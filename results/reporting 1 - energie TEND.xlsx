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4.xml" ContentType="application/vnd.openxmlformats-officedocument.spreadsheetml.worksheet+xml"/>
  <Override PartName="/xl/chartsheets/sheet5.xml" ContentType="application/vnd.openxmlformats-officedocument.spreadsheetml.chartsheet+xml"/>
  <Override PartName="/xl/worksheets/sheet5.xml" ContentType="application/vnd.openxmlformats-officedocument.spreadsheetml.worksheet+xml"/>
  <Override PartName="/xl/chartsheets/sheet6.xml" ContentType="application/vnd.openxmlformats-officedocument.spreadsheetml.chartsheet+xml"/>
  <Override PartName="/xl/worksheets/sheet6.xml" ContentType="application/vnd.openxmlformats-officedocument.spreadsheetml.worksheet+xml"/>
  <Override PartName="/xl/chartsheets/sheet7.xml" ContentType="application/vnd.openxmlformats-officedocument.spreadsheetml.chart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ThreeME\results\"/>
    </mc:Choice>
  </mc:AlternateContent>
  <xr:revisionPtr revIDLastSave="0" documentId="13_ncr:1_{B446CE63-4559-41EB-A81F-802390FEC315}" xr6:coauthVersionLast="47" xr6:coauthVersionMax="47" xr10:uidLastSave="{00000000-0000-0000-0000-000000000000}"/>
  <bookViews>
    <workbookView xWindow="-120" yWindow="-120" windowWidth="20730" windowHeight="11040" firstSheet="1" activeTab="7" xr2:uid="{00000000-000D-0000-FFFF-FFFF00000000}"/>
  </bookViews>
  <sheets>
    <sheet name="Résultats" sheetId="2" r:id="rId1"/>
    <sheet name="T energie vecteurs" sheetId="13" r:id="rId2"/>
    <sheet name="T energie usages" sheetId="16" r:id="rId3"/>
    <sheet name="Graphique8" sheetId="27" r:id="rId4"/>
    <sheet name="Graphique9" sheetId="22" r:id="rId5"/>
    <sheet name="Graphique10" sheetId="23" r:id="rId6"/>
    <sheet name="Graphique11" sheetId="24" r:id="rId7"/>
    <sheet name="T CO2" sheetId="10" r:id="rId8"/>
    <sheet name="Graphique12" sheetId="26" r:id="rId9"/>
    <sheet name="T parc auto" sheetId="25" r:id="rId10"/>
    <sheet name="Graphique13" sheetId="19" r:id="rId11"/>
    <sheet name="T logement" sheetId="14" r:id="rId12"/>
    <sheet name="Graphique14" sheetId="20" r:id="rId13"/>
    <sheet name="Table Graphs" sheetId="28" r:id="rId14"/>
  </sheets>
  <externalReferences>
    <externalReference r:id="rId15"/>
  </externalReferences>
  <definedNames>
    <definedName name="_xlnm.Print_Area" localSheetId="9">'T parc auto'!$C$26:$AM$109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0" l="1"/>
  <c r="G81" i="10"/>
  <c r="F80" i="10"/>
  <c r="E80" i="10"/>
  <c r="D80" i="10"/>
  <c r="C80" i="10"/>
  <c r="B80" i="10"/>
  <c r="E78" i="10"/>
  <c r="C78" i="10"/>
  <c r="F77" i="10"/>
  <c r="F76" i="10" s="1"/>
  <c r="E77" i="10"/>
  <c r="C77" i="10"/>
  <c r="B77" i="10"/>
  <c r="E75" i="10"/>
  <c r="C75" i="10"/>
  <c r="B75" i="10"/>
  <c r="E74" i="10"/>
  <c r="C74" i="10"/>
  <c r="B74" i="10"/>
  <c r="E73" i="10"/>
  <c r="C73" i="10"/>
  <c r="E72" i="10"/>
  <c r="C72" i="10"/>
  <c r="C81" i="10" s="1"/>
  <c r="G68" i="10"/>
  <c r="F67" i="10"/>
  <c r="E67" i="10"/>
  <c r="D67" i="10"/>
  <c r="C67" i="10"/>
  <c r="B67" i="10"/>
  <c r="E65" i="10"/>
  <c r="C65" i="10"/>
  <c r="F64" i="10"/>
  <c r="F63" i="10" s="1"/>
  <c r="F66" i="10" s="1"/>
  <c r="E64" i="10"/>
  <c r="C64" i="10"/>
  <c r="B64" i="10"/>
  <c r="B63" i="10" s="1"/>
  <c r="E62" i="10"/>
  <c r="C62" i="10"/>
  <c r="B62" i="10"/>
  <c r="E61" i="10"/>
  <c r="C61" i="10"/>
  <c r="B61" i="10"/>
  <c r="E60" i="10"/>
  <c r="C60" i="10"/>
  <c r="E59" i="10"/>
  <c r="C59" i="10"/>
  <c r="C68" i="10" s="1"/>
  <c r="G55" i="10"/>
  <c r="F54" i="10"/>
  <c r="E54" i="10"/>
  <c r="D54" i="10"/>
  <c r="C54" i="10"/>
  <c r="B54" i="10"/>
  <c r="E52" i="10"/>
  <c r="C52" i="10"/>
  <c r="F51" i="10"/>
  <c r="F50" i="10" s="1"/>
  <c r="F53" i="10" s="1"/>
  <c r="E51" i="10"/>
  <c r="C51" i="10"/>
  <c r="B51" i="10"/>
  <c r="E49" i="10"/>
  <c r="C49" i="10"/>
  <c r="B49" i="10"/>
  <c r="E48" i="10"/>
  <c r="C48" i="10"/>
  <c r="B48" i="10"/>
  <c r="E47" i="10"/>
  <c r="C47" i="10"/>
  <c r="E46" i="10"/>
  <c r="C46" i="10"/>
  <c r="C55" i="10" s="1"/>
  <c r="F71" i="10"/>
  <c r="B71" i="10"/>
  <c r="F58" i="10"/>
  <c r="B58" i="10"/>
  <c r="B50" i="10"/>
  <c r="F45" i="10"/>
  <c r="B45" i="10"/>
  <c r="B32" i="10"/>
  <c r="F32" i="10"/>
  <c r="C33" i="10"/>
  <c r="E33" i="10"/>
  <c r="C34" i="10"/>
  <c r="E34" i="10"/>
  <c r="B35" i="10"/>
  <c r="E35" i="10"/>
  <c r="B36" i="10"/>
  <c r="C36" i="10"/>
  <c r="E36" i="10"/>
  <c r="B38" i="10"/>
  <c r="B37" i="10" s="1"/>
  <c r="C38" i="10"/>
  <c r="E38" i="10"/>
  <c r="F38" i="10"/>
  <c r="F37" i="10" s="1"/>
  <c r="F40" i="10" s="1"/>
  <c r="C39" i="10"/>
  <c r="E39" i="10"/>
  <c r="B41" i="10"/>
  <c r="C41" i="10"/>
  <c r="D41" i="10"/>
  <c r="E41" i="10"/>
  <c r="F41" i="10"/>
  <c r="G42" i="10"/>
  <c r="G29" i="10"/>
  <c r="F28" i="10"/>
  <c r="E28" i="10"/>
  <c r="D28" i="10"/>
  <c r="C28" i="10"/>
  <c r="B28" i="10"/>
  <c r="G28" i="10" s="1"/>
  <c r="E26" i="10"/>
  <c r="C26" i="10"/>
  <c r="F25" i="10"/>
  <c r="F24" i="10" s="1"/>
  <c r="F27" i="10" s="1"/>
  <c r="E25" i="10"/>
  <c r="C25" i="10"/>
  <c r="B25" i="10"/>
  <c r="B24" i="10" s="1"/>
  <c r="E23" i="10"/>
  <c r="C23" i="10"/>
  <c r="B23" i="10"/>
  <c r="E22" i="10"/>
  <c r="C22" i="10"/>
  <c r="B22" i="10"/>
  <c r="E21" i="10"/>
  <c r="C21" i="10"/>
  <c r="E20" i="10"/>
  <c r="E19" i="10" s="1"/>
  <c r="C20" i="10"/>
  <c r="F19" i="10"/>
  <c r="B19" i="10"/>
  <c r="C9" i="10"/>
  <c r="E15" i="10"/>
  <c r="C15" i="10"/>
  <c r="E76" i="10" l="1"/>
  <c r="C19" i="10"/>
  <c r="E45" i="10"/>
  <c r="E53" i="10" s="1"/>
  <c r="C29" i="10"/>
  <c r="E71" i="10"/>
  <c r="E79" i="10" s="1"/>
  <c r="C32" i="10"/>
  <c r="E50" i="10"/>
  <c r="C76" i="10"/>
  <c r="E32" i="10"/>
  <c r="E58" i="10"/>
  <c r="G67" i="10"/>
  <c r="C50" i="10"/>
  <c r="G80" i="10"/>
  <c r="G41" i="10"/>
  <c r="E24" i="10"/>
  <c r="E27" i="10" s="1"/>
  <c r="E37" i="10"/>
  <c r="E63" i="10"/>
  <c r="G54" i="10"/>
  <c r="C37" i="10"/>
  <c r="C40" i="10" s="1"/>
  <c r="C63" i="10"/>
  <c r="F79" i="10"/>
  <c r="B76" i="10"/>
  <c r="C71" i="10"/>
  <c r="C58" i="10"/>
  <c r="B66" i="10"/>
  <c r="C45" i="10"/>
  <c r="B53" i="10"/>
  <c r="B40" i="10"/>
  <c r="C24" i="10"/>
  <c r="C27" i="10" s="1"/>
  <c r="B27" i="10"/>
  <c r="C53" i="10" l="1"/>
  <c r="E66" i="10"/>
  <c r="E40" i="10"/>
  <c r="C66" i="10"/>
  <c r="C79" i="10"/>
  <c r="B79" i="10"/>
  <c r="E9" i="10" l="1"/>
  <c r="E7" i="10"/>
  <c r="C7" i="10"/>
  <c r="C16" i="10" s="1"/>
  <c r="K15" i="16" l="1"/>
  <c r="R123" i="16" l="1"/>
  <c r="Q123" i="16"/>
  <c r="P123" i="16"/>
  <c r="O123" i="16"/>
  <c r="R122" i="16"/>
  <c r="P122" i="16"/>
  <c r="O122" i="16"/>
  <c r="R121" i="16"/>
  <c r="Q121" i="16"/>
  <c r="P121" i="16"/>
  <c r="O121" i="16"/>
  <c r="R119" i="16"/>
  <c r="Q119" i="16"/>
  <c r="P119" i="16"/>
  <c r="O119" i="16"/>
  <c r="R118" i="16"/>
  <c r="Q118" i="16"/>
  <c r="P118" i="16"/>
  <c r="O118" i="16"/>
  <c r="R115" i="16"/>
  <c r="Q115" i="16"/>
  <c r="P115" i="16"/>
  <c r="O115" i="16"/>
  <c r="R110" i="16"/>
  <c r="Q110" i="16"/>
  <c r="P110" i="16"/>
  <c r="O110" i="16"/>
  <c r="R109" i="16"/>
  <c r="P109" i="16"/>
  <c r="O109" i="16"/>
  <c r="R108" i="16"/>
  <c r="Q108" i="16"/>
  <c r="P108" i="16"/>
  <c r="O108" i="16"/>
  <c r="R106" i="16"/>
  <c r="Q106" i="16"/>
  <c r="P106" i="16"/>
  <c r="O106" i="16"/>
  <c r="R105" i="16"/>
  <c r="Q105" i="16"/>
  <c r="P105" i="16"/>
  <c r="O105" i="16"/>
  <c r="R102" i="16"/>
  <c r="Q102" i="16"/>
  <c r="P102" i="16"/>
  <c r="O102" i="16"/>
  <c r="R97" i="16"/>
  <c r="Q97" i="16"/>
  <c r="P97" i="16"/>
  <c r="O97" i="16"/>
  <c r="R96" i="16"/>
  <c r="P96" i="16"/>
  <c r="O96" i="16"/>
  <c r="R95" i="16"/>
  <c r="Q95" i="16"/>
  <c r="P95" i="16"/>
  <c r="O95" i="16"/>
  <c r="R93" i="16"/>
  <c r="Q93" i="16"/>
  <c r="P93" i="16"/>
  <c r="O93" i="16"/>
  <c r="R92" i="16"/>
  <c r="Q92" i="16"/>
  <c r="P92" i="16"/>
  <c r="O92" i="16"/>
  <c r="R89" i="16"/>
  <c r="Q89" i="16"/>
  <c r="P89" i="16"/>
  <c r="O89" i="16"/>
  <c r="R84" i="16"/>
  <c r="Q84" i="16"/>
  <c r="P84" i="16"/>
  <c r="O84" i="16"/>
  <c r="R83" i="16"/>
  <c r="P83" i="16"/>
  <c r="O83" i="16"/>
  <c r="R82" i="16"/>
  <c r="Q82" i="16"/>
  <c r="P82" i="16"/>
  <c r="O82" i="16"/>
  <c r="R80" i="16"/>
  <c r="Q80" i="16"/>
  <c r="P80" i="16"/>
  <c r="O80" i="16"/>
  <c r="R79" i="16"/>
  <c r="Q79" i="16"/>
  <c r="P79" i="16"/>
  <c r="O79" i="16"/>
  <c r="R76" i="16"/>
  <c r="Q76" i="16"/>
  <c r="P76" i="16"/>
  <c r="O76" i="16"/>
  <c r="R71" i="16"/>
  <c r="Q71" i="16"/>
  <c r="P71" i="16"/>
  <c r="O71" i="16"/>
  <c r="R70" i="16"/>
  <c r="P70" i="16"/>
  <c r="O70" i="16"/>
  <c r="R69" i="16"/>
  <c r="Q69" i="16"/>
  <c r="P69" i="16"/>
  <c r="O69" i="16"/>
  <c r="R67" i="16"/>
  <c r="Q67" i="16"/>
  <c r="P67" i="16"/>
  <c r="O67" i="16"/>
  <c r="R66" i="16"/>
  <c r="Q66" i="16"/>
  <c r="P66" i="16"/>
  <c r="O66" i="16"/>
  <c r="R63" i="16"/>
  <c r="Q63" i="16"/>
  <c r="P63" i="16"/>
  <c r="O63" i="16"/>
  <c r="R58" i="16"/>
  <c r="Q58" i="16"/>
  <c r="P58" i="16"/>
  <c r="O58" i="16"/>
  <c r="R57" i="16"/>
  <c r="P57" i="16"/>
  <c r="O57" i="16"/>
  <c r="R56" i="16"/>
  <c r="Q56" i="16"/>
  <c r="P56" i="16"/>
  <c r="O56" i="16"/>
  <c r="R54" i="16"/>
  <c r="Q54" i="16"/>
  <c r="P54" i="16"/>
  <c r="O54" i="16"/>
  <c r="R53" i="16"/>
  <c r="Q53" i="16"/>
  <c r="P53" i="16"/>
  <c r="O53" i="16"/>
  <c r="R50" i="16"/>
  <c r="Q50" i="16"/>
  <c r="P50" i="16"/>
  <c r="O50" i="16"/>
  <c r="R45" i="16"/>
  <c r="Q45" i="16"/>
  <c r="P45" i="16"/>
  <c r="O45" i="16"/>
  <c r="R44" i="16"/>
  <c r="P44" i="16"/>
  <c r="O44" i="16"/>
  <c r="R43" i="16"/>
  <c r="Q43" i="16"/>
  <c r="P43" i="16"/>
  <c r="O43" i="16"/>
  <c r="R41" i="16"/>
  <c r="Q41" i="16"/>
  <c r="P41" i="16"/>
  <c r="O41" i="16"/>
  <c r="R40" i="16"/>
  <c r="Q40" i="16"/>
  <c r="P40" i="16"/>
  <c r="O40" i="16"/>
  <c r="R37" i="16"/>
  <c r="Q37" i="16"/>
  <c r="P37" i="16"/>
  <c r="O37" i="16"/>
  <c r="R32" i="16"/>
  <c r="Q32" i="16"/>
  <c r="P32" i="16"/>
  <c r="O32" i="16"/>
  <c r="R31" i="16"/>
  <c r="P31" i="16"/>
  <c r="O31" i="16"/>
  <c r="R30" i="16"/>
  <c r="Q30" i="16"/>
  <c r="P30" i="16"/>
  <c r="O30" i="16"/>
  <c r="R28" i="16"/>
  <c r="Q28" i="16"/>
  <c r="P28" i="16"/>
  <c r="O28" i="16"/>
  <c r="R27" i="16"/>
  <c r="Q27" i="16"/>
  <c r="P27" i="16"/>
  <c r="O27" i="16"/>
  <c r="R24" i="16"/>
  <c r="Q24" i="16"/>
  <c r="P24" i="16"/>
  <c r="O24" i="16"/>
  <c r="R19" i="16"/>
  <c r="Q19" i="16"/>
  <c r="P19" i="16"/>
  <c r="O19" i="16"/>
  <c r="R18" i="16"/>
  <c r="P18" i="16"/>
  <c r="O18" i="16"/>
  <c r="R17" i="16"/>
  <c r="Q17" i="16"/>
  <c r="P17" i="16"/>
  <c r="O17" i="16"/>
  <c r="R15" i="16"/>
  <c r="Q15" i="16"/>
  <c r="P15" i="16"/>
  <c r="O15" i="16"/>
  <c r="R14" i="16"/>
  <c r="Q14" i="16"/>
  <c r="P14" i="16"/>
  <c r="O14" i="16"/>
  <c r="R11" i="16"/>
  <c r="Q11" i="16"/>
  <c r="P11" i="16"/>
  <c r="O11" i="16"/>
  <c r="K118" i="16" l="1"/>
  <c r="K105" i="16"/>
  <c r="K92" i="16"/>
  <c r="K79" i="16"/>
  <c r="K66" i="16"/>
  <c r="K53" i="16"/>
  <c r="K40" i="16"/>
  <c r="K27" i="16"/>
  <c r="K14" i="16"/>
  <c r="K58" i="16" l="1"/>
  <c r="J58" i="16"/>
  <c r="I58" i="16"/>
  <c r="H58" i="16"/>
  <c r="K57" i="16"/>
  <c r="J57" i="16"/>
  <c r="I57" i="16"/>
  <c r="H57" i="16"/>
  <c r="K56" i="16"/>
  <c r="J56" i="16"/>
  <c r="I56" i="16"/>
  <c r="H56" i="16"/>
  <c r="K54" i="16"/>
  <c r="J54" i="16"/>
  <c r="I54" i="16"/>
  <c r="H54" i="16"/>
  <c r="J53" i="16"/>
  <c r="I53" i="16"/>
  <c r="H53" i="16"/>
  <c r="K52" i="16"/>
  <c r="J52" i="16"/>
  <c r="I52" i="16"/>
  <c r="H52" i="16"/>
  <c r="K51" i="16"/>
  <c r="J51" i="16"/>
  <c r="I51" i="16"/>
  <c r="H51" i="16"/>
  <c r="K45" i="16"/>
  <c r="J45" i="16"/>
  <c r="I45" i="16"/>
  <c r="H45" i="16"/>
  <c r="K44" i="16"/>
  <c r="J44" i="16"/>
  <c r="I44" i="16"/>
  <c r="H44" i="16"/>
  <c r="K43" i="16"/>
  <c r="J43" i="16"/>
  <c r="I43" i="16"/>
  <c r="H43" i="16"/>
  <c r="K41" i="16"/>
  <c r="J41" i="16"/>
  <c r="I41" i="16"/>
  <c r="H41" i="16"/>
  <c r="J40" i="16"/>
  <c r="I40" i="16"/>
  <c r="H40" i="16"/>
  <c r="K39" i="16"/>
  <c r="J39" i="16"/>
  <c r="I39" i="16"/>
  <c r="H39" i="16"/>
  <c r="K38" i="16"/>
  <c r="J38" i="16"/>
  <c r="I38" i="16"/>
  <c r="H38" i="16"/>
  <c r="Q55" i="16"/>
  <c r="Q42" i="16"/>
  <c r="K110" i="16"/>
  <c r="J110" i="16"/>
  <c r="I110" i="16"/>
  <c r="H110" i="16"/>
  <c r="K109" i="16"/>
  <c r="J109" i="16"/>
  <c r="I109" i="16"/>
  <c r="H109" i="16"/>
  <c r="K108" i="16"/>
  <c r="J108" i="16"/>
  <c r="I108" i="16"/>
  <c r="H108" i="16"/>
  <c r="K106" i="16"/>
  <c r="J106" i="16"/>
  <c r="I106" i="16"/>
  <c r="H106" i="16"/>
  <c r="J105" i="16"/>
  <c r="I105" i="16"/>
  <c r="H105" i="16"/>
  <c r="K104" i="16"/>
  <c r="J104" i="16"/>
  <c r="I104" i="16"/>
  <c r="H104" i="16"/>
  <c r="K103" i="16"/>
  <c r="J103" i="16"/>
  <c r="I103" i="16"/>
  <c r="H103" i="16"/>
  <c r="I37" i="16" l="1"/>
  <c r="P55" i="16"/>
  <c r="P59" i="16" s="1"/>
  <c r="I50" i="16"/>
  <c r="I55" i="16"/>
  <c r="H37" i="16"/>
  <c r="L41" i="16"/>
  <c r="L45" i="16"/>
  <c r="L53" i="16"/>
  <c r="L57" i="16"/>
  <c r="L51" i="16"/>
  <c r="L54" i="16"/>
  <c r="L58" i="16"/>
  <c r="R42" i="16"/>
  <c r="R46" i="16" s="1"/>
  <c r="Q46" i="16"/>
  <c r="S45" i="16"/>
  <c r="T45" i="16" s="1"/>
  <c r="S54" i="16"/>
  <c r="T54" i="16" s="1"/>
  <c r="O55" i="16"/>
  <c r="O59" i="16" s="1"/>
  <c r="S40" i="16"/>
  <c r="T40" i="16" s="1"/>
  <c r="S44" i="16"/>
  <c r="K50" i="16"/>
  <c r="L56" i="16"/>
  <c r="L52" i="16"/>
  <c r="J55" i="16"/>
  <c r="K55" i="16"/>
  <c r="H42" i="16"/>
  <c r="J37" i="16"/>
  <c r="L38" i="16"/>
  <c r="K37" i="16"/>
  <c r="L40" i="16"/>
  <c r="I42" i="16"/>
  <c r="L39" i="16"/>
  <c r="J42" i="16"/>
  <c r="K42" i="16"/>
  <c r="L44" i="16"/>
  <c r="J50" i="16"/>
  <c r="J59" i="16" s="1"/>
  <c r="P42" i="16"/>
  <c r="P46" i="16" s="1"/>
  <c r="S43" i="16"/>
  <c r="Q59" i="16"/>
  <c r="L43" i="16"/>
  <c r="R55" i="16"/>
  <c r="S58" i="16"/>
  <c r="T58" i="16" s="1"/>
  <c r="S53" i="16"/>
  <c r="T53" i="16" s="1"/>
  <c r="S37" i="16"/>
  <c r="T37" i="16" s="1"/>
  <c r="O42" i="16"/>
  <c r="S57" i="16"/>
  <c r="S41" i="16"/>
  <c r="T41" i="16" s="1"/>
  <c r="S50" i="16"/>
  <c r="T50" i="16" s="1"/>
  <c r="H50" i="16"/>
  <c r="S56" i="16"/>
  <c r="H55" i="16"/>
  <c r="Q16" i="16"/>
  <c r="Q120" i="16"/>
  <c r="Q107" i="16"/>
  <c r="Q94" i="16"/>
  <c r="Q81" i="16"/>
  <c r="Q68" i="16"/>
  <c r="Q29" i="16"/>
  <c r="I46" i="16" l="1"/>
  <c r="K59" i="16"/>
  <c r="I59" i="16"/>
  <c r="H46" i="16"/>
  <c r="K46" i="16"/>
  <c r="L42" i="16"/>
  <c r="S55" i="16"/>
  <c r="T55" i="16" s="1"/>
  <c r="T59" i="16" s="1"/>
  <c r="S42" i="16"/>
  <c r="T42" i="16" s="1"/>
  <c r="T46" i="16" s="1"/>
  <c r="L37" i="16"/>
  <c r="L55" i="16"/>
  <c r="J46" i="16"/>
  <c r="R59" i="16"/>
  <c r="S59" i="16" s="1"/>
  <c r="O46" i="16"/>
  <c r="S46" i="16" s="1"/>
  <c r="L50" i="16"/>
  <c r="H59" i="16"/>
  <c r="O68" i="16"/>
  <c r="O72" i="16" s="1"/>
  <c r="P81" i="16"/>
  <c r="P85" i="16" s="1"/>
  <c r="P16" i="16"/>
  <c r="P20" i="16" s="1"/>
  <c r="P68" i="16"/>
  <c r="P72" i="16" s="1"/>
  <c r="O107" i="16"/>
  <c r="O111" i="16" s="1"/>
  <c r="P120" i="16"/>
  <c r="P124" i="16" s="1"/>
  <c r="O94" i="16"/>
  <c r="O98" i="16" s="1"/>
  <c r="P107" i="16"/>
  <c r="P111" i="16" s="1"/>
  <c r="O81" i="16"/>
  <c r="O85" i="16" s="1"/>
  <c r="P94" i="16"/>
  <c r="P98" i="16" s="1"/>
  <c r="O120" i="16"/>
  <c r="O124" i="16" s="1"/>
  <c r="S84" i="16"/>
  <c r="T84" i="16" s="1"/>
  <c r="S15" i="16"/>
  <c r="T15" i="16" s="1"/>
  <c r="R16" i="16"/>
  <c r="R20" i="16" s="1"/>
  <c r="P29" i="16"/>
  <c r="P33" i="16" s="1"/>
  <c r="Q98" i="16"/>
  <c r="Q85" i="16"/>
  <c r="R29" i="16"/>
  <c r="R33" i="16" s="1"/>
  <c r="Q111" i="16"/>
  <c r="S119" i="16"/>
  <c r="T119" i="16" s="1"/>
  <c r="S123" i="16"/>
  <c r="T123" i="16" s="1"/>
  <c r="S93" i="16"/>
  <c r="T93" i="16" s="1"/>
  <c r="S97" i="16"/>
  <c r="T97" i="16" s="1"/>
  <c r="Q124" i="16"/>
  <c r="S106" i="16"/>
  <c r="T106" i="16" s="1"/>
  <c r="R107" i="16"/>
  <c r="S110" i="16"/>
  <c r="T110" i="16" s="1"/>
  <c r="S121" i="16"/>
  <c r="S109" i="16"/>
  <c r="S122" i="16"/>
  <c r="S19" i="16"/>
  <c r="T19" i="16" s="1"/>
  <c r="S18" i="16"/>
  <c r="O16" i="16"/>
  <c r="O20" i="16" s="1"/>
  <c r="Q20" i="16"/>
  <c r="S17" i="16"/>
  <c r="S14" i="16"/>
  <c r="T14" i="16" s="1"/>
  <c r="S11" i="16"/>
  <c r="T11" i="16" s="1"/>
  <c r="S105" i="16"/>
  <c r="T105" i="16" s="1"/>
  <c r="S118" i="16"/>
  <c r="T118" i="16" s="1"/>
  <c r="S82" i="16"/>
  <c r="R94" i="16"/>
  <c r="R98" i="16" s="1"/>
  <c r="S66" i="16"/>
  <c r="T66" i="16" s="1"/>
  <c r="S67" i="16"/>
  <c r="T67" i="16" s="1"/>
  <c r="S70" i="16"/>
  <c r="S71" i="16"/>
  <c r="T71" i="16" s="1"/>
  <c r="S83" i="16"/>
  <c r="S96" i="16"/>
  <c r="S108" i="16"/>
  <c r="R68" i="16"/>
  <c r="S80" i="16"/>
  <c r="T80" i="16" s="1"/>
  <c r="R120" i="16"/>
  <c r="R124" i="16" s="1"/>
  <c r="S115" i="16"/>
  <c r="T115" i="16" s="1"/>
  <c r="S102" i="16"/>
  <c r="T102" i="16" s="1"/>
  <c r="S79" i="16"/>
  <c r="T79" i="16" s="1"/>
  <c r="S92" i="16"/>
  <c r="T92" i="16" s="1"/>
  <c r="S27" i="16"/>
  <c r="T27" i="16" s="1"/>
  <c r="Q72" i="16"/>
  <c r="S95" i="16"/>
  <c r="S89" i="16"/>
  <c r="T89" i="16" s="1"/>
  <c r="R81" i="16"/>
  <c r="S76" i="16"/>
  <c r="T76" i="16" s="1"/>
  <c r="S69" i="16"/>
  <c r="S63" i="16"/>
  <c r="T63" i="16" s="1"/>
  <c r="S32" i="16"/>
  <c r="T32" i="16" s="1"/>
  <c r="S31" i="16"/>
  <c r="O29" i="16"/>
  <c r="O33" i="16" s="1"/>
  <c r="S30" i="16"/>
  <c r="S28" i="16"/>
  <c r="T28" i="16" s="1"/>
  <c r="Q33" i="16"/>
  <c r="S24" i="16"/>
  <c r="T24" i="16" s="1"/>
  <c r="L59" i="16" l="1"/>
  <c r="L46" i="16"/>
  <c r="S68" i="16"/>
  <c r="T68" i="16" s="1"/>
  <c r="T72" i="16" s="1"/>
  <c r="S107" i="16"/>
  <c r="T107" i="16" s="1"/>
  <c r="T111" i="16" s="1"/>
  <c r="S81" i="16"/>
  <c r="T81" i="16" s="1"/>
  <c r="T85" i="16" s="1"/>
  <c r="S94" i="16"/>
  <c r="T94" i="16" s="1"/>
  <c r="T98" i="16" s="1"/>
  <c r="R111" i="16"/>
  <c r="S111" i="16" s="1"/>
  <c r="S120" i="16"/>
  <c r="T120" i="16" s="1"/>
  <c r="T124" i="16" s="1"/>
  <c r="S124" i="16"/>
  <c r="S20" i="16"/>
  <c r="S29" i="16"/>
  <c r="T29" i="16" s="1"/>
  <c r="T33" i="16" s="1"/>
  <c r="S16" i="16"/>
  <c r="S98" i="16"/>
  <c r="R72" i="16"/>
  <c r="S72" i="16" s="1"/>
  <c r="R85" i="16"/>
  <c r="S85" i="16" s="1"/>
  <c r="S33" i="16"/>
  <c r="S21" i="16" l="1"/>
  <c r="T16" i="16"/>
  <c r="T20" i="16" s="1"/>
  <c r="F128" i="16"/>
  <c r="D1" i="2" l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G16" i="10" l="1"/>
  <c r="F15" i="10"/>
  <c r="D15" i="10"/>
  <c r="B15" i="10"/>
  <c r="E13" i="10"/>
  <c r="C13" i="10"/>
  <c r="F12" i="10"/>
  <c r="E12" i="10"/>
  <c r="C12" i="10"/>
  <c r="B12" i="10"/>
  <c r="E10" i="10"/>
  <c r="C10" i="10"/>
  <c r="B10" i="10"/>
  <c r="B9" i="10"/>
  <c r="E8" i="10"/>
  <c r="C8" i="10"/>
  <c r="B10" i="28" l="1"/>
  <c r="B9" i="28"/>
  <c r="B8" i="28"/>
  <c r="B7" i="28"/>
  <c r="B6" i="28"/>
  <c r="B5" i="28"/>
  <c r="B4" i="28"/>
  <c r="A4" i="14" l="1"/>
  <c r="A4" i="25"/>
  <c r="A26" i="25"/>
  <c r="A3" i="10"/>
  <c r="A4" i="16"/>
  <c r="A31" i="13"/>
  <c r="A4" i="13"/>
  <c r="E2" i="25" l="1"/>
  <c r="E45" i="25" l="1"/>
  <c r="E47" i="25"/>
  <c r="E49" i="25"/>
  <c r="E51" i="25"/>
  <c r="E53" i="25"/>
  <c r="E55" i="25"/>
  <c r="E57" i="25"/>
  <c r="E59" i="25"/>
  <c r="E61" i="25"/>
  <c r="E63" i="25"/>
  <c r="E65" i="25"/>
  <c r="E44" i="25"/>
  <c r="E48" i="25"/>
  <c r="E52" i="25"/>
  <c r="E56" i="25"/>
  <c r="E60" i="25"/>
  <c r="E62" i="25"/>
  <c r="E46" i="25"/>
  <c r="E50" i="25"/>
  <c r="E54" i="25"/>
  <c r="E58" i="25"/>
  <c r="E64" i="25"/>
  <c r="E26" i="25"/>
  <c r="E69" i="25" s="1"/>
  <c r="E27" i="25"/>
  <c r="E33" i="25"/>
  <c r="E36" i="25"/>
  <c r="E41" i="25"/>
  <c r="E30" i="25"/>
  <c r="E31" i="25"/>
  <c r="E38" i="25"/>
  <c r="E40" i="25"/>
  <c r="E42" i="25"/>
  <c r="E32" i="25"/>
  <c r="E34" i="25"/>
  <c r="E35" i="25"/>
  <c r="E28" i="25"/>
  <c r="E29" i="25"/>
  <c r="E39" i="25"/>
  <c r="E37" i="25"/>
  <c r="F2" i="25"/>
  <c r="E99" i="25" l="1"/>
  <c r="E103" i="25"/>
  <c r="E97" i="25"/>
  <c r="E108" i="25"/>
  <c r="E93" i="25"/>
  <c r="E100" i="25"/>
  <c r="E78" i="25"/>
  <c r="E83" i="25"/>
  <c r="E80" i="25"/>
  <c r="E102" i="25"/>
  <c r="E82" i="25"/>
  <c r="E106" i="25"/>
  <c r="E98" i="25"/>
  <c r="E84" i="25"/>
  <c r="E77" i="25"/>
  <c r="E81" i="25"/>
  <c r="E107" i="25"/>
  <c r="E95" i="25"/>
  <c r="E72" i="25"/>
  <c r="E75" i="25"/>
  <c r="E74" i="25"/>
  <c r="E76" i="25"/>
  <c r="E101" i="25"/>
  <c r="E105" i="25"/>
  <c r="E104" i="25"/>
  <c r="E96" i="25"/>
  <c r="E89" i="25"/>
  <c r="E91" i="25"/>
  <c r="E71" i="25"/>
  <c r="E85" i="25"/>
  <c r="E73" i="25"/>
  <c r="E70" i="25"/>
  <c r="E4" i="25"/>
  <c r="E92" i="25"/>
  <c r="E87" i="25"/>
  <c r="E94" i="25"/>
  <c r="E79" i="25"/>
  <c r="E90" i="25"/>
  <c r="F44" i="25"/>
  <c r="F46" i="25"/>
  <c r="F48" i="25"/>
  <c r="F50" i="25"/>
  <c r="F52" i="25"/>
  <c r="F54" i="25"/>
  <c r="F56" i="25"/>
  <c r="F58" i="25"/>
  <c r="F60" i="25"/>
  <c r="F62" i="25"/>
  <c r="F64" i="25"/>
  <c r="F45" i="25"/>
  <c r="F47" i="25"/>
  <c r="F49" i="25"/>
  <c r="F51" i="25"/>
  <c r="F53" i="25"/>
  <c r="F55" i="25"/>
  <c r="F57" i="25"/>
  <c r="F59" i="25"/>
  <c r="F61" i="25"/>
  <c r="F63" i="25"/>
  <c r="F65" i="25"/>
  <c r="F40" i="25"/>
  <c r="F28" i="25"/>
  <c r="F36" i="25"/>
  <c r="F27" i="25"/>
  <c r="F39" i="25"/>
  <c r="F30" i="25"/>
  <c r="F38" i="25"/>
  <c r="F29" i="25"/>
  <c r="G2" i="25"/>
  <c r="F26" i="25"/>
  <c r="F69" i="25" s="1"/>
  <c r="F34" i="25"/>
  <c r="F35" i="25"/>
  <c r="F37" i="25"/>
  <c r="F33" i="25"/>
  <c r="F41" i="25"/>
  <c r="F32" i="25"/>
  <c r="F42" i="25"/>
  <c r="F31" i="25"/>
  <c r="E88" i="25"/>
  <c r="E2" i="14"/>
  <c r="F2" i="14" s="1"/>
  <c r="G2" i="14" s="1"/>
  <c r="B6" i="10"/>
  <c r="F6" i="10"/>
  <c r="F90" i="25" l="1"/>
  <c r="F89" i="25"/>
  <c r="F88" i="25"/>
  <c r="F100" i="25"/>
  <c r="F108" i="25"/>
  <c r="F104" i="25"/>
  <c r="F96" i="25"/>
  <c r="F102" i="25"/>
  <c r="F91" i="25"/>
  <c r="F106" i="25"/>
  <c r="F98" i="25"/>
  <c r="F103" i="25"/>
  <c r="F95" i="25"/>
  <c r="F74" i="25"/>
  <c r="F76" i="25"/>
  <c r="F73" i="25"/>
  <c r="F75" i="25"/>
  <c r="F78" i="25"/>
  <c r="F72" i="25"/>
  <c r="F70" i="25"/>
  <c r="F105" i="25"/>
  <c r="F97" i="25"/>
  <c r="F84" i="25"/>
  <c r="F77" i="25"/>
  <c r="F81" i="25"/>
  <c r="F79" i="25"/>
  <c r="F4" i="25"/>
  <c r="F87" i="25"/>
  <c r="F92" i="25"/>
  <c r="F101" i="25"/>
  <c r="F93" i="25"/>
  <c r="F71" i="25"/>
  <c r="F85" i="25"/>
  <c r="F80" i="25"/>
  <c r="G52" i="25"/>
  <c r="G48" i="25"/>
  <c r="G65" i="25"/>
  <c r="G51" i="25"/>
  <c r="G34" i="25"/>
  <c r="G40" i="25"/>
  <c r="G63" i="25"/>
  <c r="G39" i="25"/>
  <c r="G32" i="25"/>
  <c r="G56" i="25"/>
  <c r="G53" i="25"/>
  <c r="G59" i="25"/>
  <c r="G38" i="25"/>
  <c r="G29" i="25"/>
  <c r="G26" i="25"/>
  <c r="G69" i="25" s="1"/>
  <c r="G60" i="25"/>
  <c r="G58" i="25"/>
  <c r="G33" i="25"/>
  <c r="G31" i="25"/>
  <c r="G37" i="25"/>
  <c r="G64" i="25"/>
  <c r="G61" i="25"/>
  <c r="G30" i="25"/>
  <c r="G36" i="25"/>
  <c r="G35" i="25"/>
  <c r="G28" i="25"/>
  <c r="G41" i="25"/>
  <c r="G49" i="25"/>
  <c r="G50" i="25"/>
  <c r="G27" i="25"/>
  <c r="G55" i="25"/>
  <c r="G44" i="25"/>
  <c r="G57" i="25"/>
  <c r="G62" i="25"/>
  <c r="G42" i="25"/>
  <c r="G54" i="25"/>
  <c r="G47" i="25"/>
  <c r="G45" i="25"/>
  <c r="G46" i="25"/>
  <c r="H2" i="25"/>
  <c r="F82" i="25"/>
  <c r="F83" i="25"/>
  <c r="F94" i="25"/>
  <c r="F107" i="25"/>
  <c r="F99" i="25"/>
  <c r="H2" i="14"/>
  <c r="G11" i="14"/>
  <c r="G7" i="14"/>
  <c r="G10" i="14"/>
  <c r="G6" i="14"/>
  <c r="G9" i="14"/>
  <c r="G5" i="14"/>
  <c r="G4" i="14"/>
  <c r="G15" i="14" s="1"/>
  <c r="G8" i="14"/>
  <c r="E50" i="13"/>
  <c r="E46" i="13"/>
  <c r="E41" i="13"/>
  <c r="E37" i="13"/>
  <c r="E35" i="13"/>
  <c r="E49" i="13"/>
  <c r="E51" i="13"/>
  <c r="E47" i="13"/>
  <c r="E42" i="13"/>
  <c r="E38" i="13"/>
  <c r="E40" i="13"/>
  <c r="E52" i="13"/>
  <c r="E48" i="13"/>
  <c r="E43" i="13"/>
  <c r="E39" i="13"/>
  <c r="E44" i="13"/>
  <c r="E34" i="13"/>
  <c r="F11" i="10"/>
  <c r="E11" i="13"/>
  <c r="E15" i="13"/>
  <c r="E20" i="13"/>
  <c r="E24" i="13"/>
  <c r="E12" i="13"/>
  <c r="E16" i="13"/>
  <c r="E21" i="13"/>
  <c r="E25" i="13"/>
  <c r="E8" i="13"/>
  <c r="E13" i="13"/>
  <c r="E17" i="13"/>
  <c r="E22" i="13"/>
  <c r="E26" i="13"/>
  <c r="E11" i="10"/>
  <c r="B11" i="10"/>
  <c r="E9" i="13"/>
  <c r="E14" i="13"/>
  <c r="E18" i="13"/>
  <c r="E23" i="13"/>
  <c r="C11" i="10"/>
  <c r="F5" i="13"/>
  <c r="E5" i="14"/>
  <c r="E4" i="14"/>
  <c r="G15" i="10"/>
  <c r="G89" i="25" l="1"/>
  <c r="G88" i="25"/>
  <c r="G90" i="25"/>
  <c r="G84" i="25"/>
  <c r="G74" i="25"/>
  <c r="G85" i="25"/>
  <c r="G93" i="25"/>
  <c r="G6" i="25" s="1"/>
  <c r="G97" i="25"/>
  <c r="G73" i="25"/>
  <c r="G105" i="25"/>
  <c r="G100" i="25"/>
  <c r="G98" i="25"/>
  <c r="G70" i="25"/>
  <c r="G71" i="25"/>
  <c r="G78" i="25"/>
  <c r="G79" i="25"/>
  <c r="G104" i="25"/>
  <c r="G76" i="25"/>
  <c r="G96" i="25"/>
  <c r="G106" i="25"/>
  <c r="G108" i="25"/>
  <c r="G72" i="25"/>
  <c r="G99" i="25"/>
  <c r="G83" i="25"/>
  <c r="G91" i="25"/>
  <c r="G107" i="25"/>
  <c r="G101" i="25"/>
  <c r="G7" i="25" s="1"/>
  <c r="G81" i="25"/>
  <c r="G75" i="25"/>
  <c r="G77" i="25"/>
  <c r="G95" i="25"/>
  <c r="H47" i="25"/>
  <c r="H52" i="25"/>
  <c r="H26" i="25"/>
  <c r="H69" i="25" s="1"/>
  <c r="H42" i="25"/>
  <c r="H55" i="25"/>
  <c r="H59" i="25"/>
  <c r="H63" i="25"/>
  <c r="H31" i="25"/>
  <c r="H36" i="25"/>
  <c r="I2" i="25"/>
  <c r="H49" i="25"/>
  <c r="H54" i="25"/>
  <c r="H40" i="25"/>
  <c r="H61" i="25"/>
  <c r="H39" i="25"/>
  <c r="H51" i="25"/>
  <c r="H50" i="25"/>
  <c r="H33" i="25"/>
  <c r="H62" i="25"/>
  <c r="H27" i="25"/>
  <c r="H41" i="25"/>
  <c r="H44" i="25"/>
  <c r="H48" i="25"/>
  <c r="H53" i="25"/>
  <c r="H30" i="25"/>
  <c r="H32" i="25"/>
  <c r="H56" i="25"/>
  <c r="H60" i="25"/>
  <c r="H64" i="25"/>
  <c r="H35" i="25"/>
  <c r="H29" i="25"/>
  <c r="H45" i="25"/>
  <c r="H34" i="25"/>
  <c r="H57" i="25"/>
  <c r="H65" i="25"/>
  <c r="H37" i="25"/>
  <c r="H46" i="25"/>
  <c r="H38" i="25"/>
  <c r="H58" i="25"/>
  <c r="H28" i="25"/>
  <c r="G4" i="25"/>
  <c r="G5" i="25" s="1"/>
  <c r="G92" i="25"/>
  <c r="G87" i="25"/>
  <c r="G80" i="25"/>
  <c r="G103" i="25"/>
  <c r="G102" i="25"/>
  <c r="G82" i="25"/>
  <c r="G94" i="25"/>
  <c r="G5" i="13"/>
  <c r="G40" i="13" s="1"/>
  <c r="E33" i="13"/>
  <c r="G21" i="14"/>
  <c r="G16" i="14"/>
  <c r="G18" i="14"/>
  <c r="G20" i="14"/>
  <c r="G22" i="14"/>
  <c r="G19" i="14"/>
  <c r="G17" i="14"/>
  <c r="I2" i="14"/>
  <c r="H4" i="14"/>
  <c r="H15" i="14" s="1"/>
  <c r="H8" i="14"/>
  <c r="H5" i="14"/>
  <c r="H7" i="14"/>
  <c r="H11" i="14"/>
  <c r="H6" i="14"/>
  <c r="H10" i="14"/>
  <c r="H9" i="14"/>
  <c r="F51" i="13"/>
  <c r="F47" i="13"/>
  <c r="F42" i="13"/>
  <c r="F38" i="13"/>
  <c r="F41" i="13"/>
  <c r="F37" i="13"/>
  <c r="F35" i="13"/>
  <c r="F52" i="13"/>
  <c r="F48" i="13"/>
  <c r="F43" i="13"/>
  <c r="F39" i="13"/>
  <c r="F40" i="13"/>
  <c r="F34" i="13"/>
  <c r="F49" i="13"/>
  <c r="F44" i="13"/>
  <c r="F50" i="13"/>
  <c r="F46" i="13"/>
  <c r="E36" i="13"/>
  <c r="E45" i="13"/>
  <c r="F14" i="10"/>
  <c r="E6" i="14"/>
  <c r="E17" i="14" s="1"/>
  <c r="E11" i="14"/>
  <c r="E22" i="14" s="1"/>
  <c r="E7" i="14"/>
  <c r="E18" i="14" s="1"/>
  <c r="E8" i="14"/>
  <c r="E19" i="14" s="1"/>
  <c r="F10" i="14"/>
  <c r="E9" i="14"/>
  <c r="E20" i="14" s="1"/>
  <c r="E10" i="14"/>
  <c r="E21" i="14" s="1"/>
  <c r="J14" i="16"/>
  <c r="H17" i="16"/>
  <c r="H14" i="16"/>
  <c r="I14" i="16"/>
  <c r="K13" i="16"/>
  <c r="I17" i="16"/>
  <c r="J13" i="16"/>
  <c r="J15" i="16"/>
  <c r="K19" i="16"/>
  <c r="H19" i="16"/>
  <c r="E7" i="13"/>
  <c r="E19" i="13"/>
  <c r="E10" i="13"/>
  <c r="E16" i="14"/>
  <c r="B14" i="10"/>
  <c r="E15" i="14"/>
  <c r="H13" i="16"/>
  <c r="J19" i="16"/>
  <c r="H15" i="16"/>
  <c r="I19" i="16"/>
  <c r="J17" i="16"/>
  <c r="K18" i="16"/>
  <c r="I13" i="16"/>
  <c r="I12" i="16"/>
  <c r="J12" i="16"/>
  <c r="K17" i="16"/>
  <c r="I18" i="16"/>
  <c r="F20" i="13"/>
  <c r="F11" i="13"/>
  <c r="H12" i="16"/>
  <c r="J18" i="16"/>
  <c r="F26" i="13"/>
  <c r="F25" i="13"/>
  <c r="F23" i="13"/>
  <c r="K12" i="16"/>
  <c r="F13" i="13"/>
  <c r="F9" i="13"/>
  <c r="F12" i="13"/>
  <c r="I15" i="16"/>
  <c r="F22" i="13"/>
  <c r="F15" i="13"/>
  <c r="F8" i="13"/>
  <c r="F14" i="13"/>
  <c r="F16" i="13"/>
  <c r="H18" i="16"/>
  <c r="F24" i="13"/>
  <c r="F17" i="13"/>
  <c r="F18" i="13"/>
  <c r="F21" i="13"/>
  <c r="L14" i="16" l="1"/>
  <c r="H108" i="25"/>
  <c r="G21" i="13"/>
  <c r="G8" i="25"/>
  <c r="H72" i="25"/>
  <c r="H91" i="25"/>
  <c r="H82" i="25"/>
  <c r="H5" i="13"/>
  <c r="H51" i="13" s="1"/>
  <c r="H88" i="25"/>
  <c r="H105" i="25"/>
  <c r="H101" i="25"/>
  <c r="H7" i="25" s="1"/>
  <c r="H99" i="25"/>
  <c r="H89" i="25"/>
  <c r="G16" i="13"/>
  <c r="G12" i="13"/>
  <c r="G25" i="13"/>
  <c r="G48" i="13"/>
  <c r="G46" i="13"/>
  <c r="G24" i="13"/>
  <c r="G20" i="13"/>
  <c r="G15" i="13"/>
  <c r="G11" i="13"/>
  <c r="G38" i="13"/>
  <c r="G39" i="13"/>
  <c r="G23" i="13"/>
  <c r="G18" i="13"/>
  <c r="G14" i="13"/>
  <c r="G9" i="13"/>
  <c r="G47" i="13"/>
  <c r="G35" i="13"/>
  <c r="G26" i="13"/>
  <c r="G22" i="13"/>
  <c r="G17" i="13"/>
  <c r="G13" i="13"/>
  <c r="G8" i="13"/>
  <c r="G37" i="13"/>
  <c r="G44" i="13"/>
  <c r="H106" i="25"/>
  <c r="G34" i="13"/>
  <c r="G42" i="13"/>
  <c r="G41" i="13"/>
  <c r="G43" i="13"/>
  <c r="G49" i="13"/>
  <c r="H81" i="25"/>
  <c r="H100" i="25"/>
  <c r="H78" i="25"/>
  <c r="H75" i="25"/>
  <c r="H4" i="25"/>
  <c r="H5" i="25" s="1"/>
  <c r="H92" i="25"/>
  <c r="H87" i="25"/>
  <c r="H76" i="25"/>
  <c r="H104" i="25"/>
  <c r="I53" i="25"/>
  <c r="I57" i="25"/>
  <c r="I61" i="25"/>
  <c r="I65" i="25"/>
  <c r="I48" i="25"/>
  <c r="I36" i="25"/>
  <c r="I35" i="25"/>
  <c r="I28" i="25"/>
  <c r="I38" i="25"/>
  <c r="I58" i="25"/>
  <c r="I45" i="25"/>
  <c r="I50" i="25"/>
  <c r="I41" i="25"/>
  <c r="J2" i="25"/>
  <c r="I51" i="25"/>
  <c r="I59" i="25"/>
  <c r="I46" i="25"/>
  <c r="I34" i="25"/>
  <c r="I37" i="25"/>
  <c r="I56" i="25"/>
  <c r="I47" i="25"/>
  <c r="I30" i="25"/>
  <c r="I44" i="25"/>
  <c r="I54" i="25"/>
  <c r="I62" i="25"/>
  <c r="I49" i="25"/>
  <c r="I39" i="25"/>
  <c r="I33" i="25"/>
  <c r="I55" i="25"/>
  <c r="I63" i="25"/>
  <c r="I27" i="25"/>
  <c r="I42" i="25"/>
  <c r="I52" i="25"/>
  <c r="I64" i="25"/>
  <c r="I31" i="25"/>
  <c r="I40" i="25"/>
  <c r="I26" i="25"/>
  <c r="I69" i="25" s="1"/>
  <c r="I60" i="25"/>
  <c r="I32" i="25"/>
  <c r="I29" i="25"/>
  <c r="H102" i="25"/>
  <c r="H95" i="25"/>
  <c r="H77" i="25"/>
  <c r="H107" i="25"/>
  <c r="H73" i="25"/>
  <c r="H84" i="25"/>
  <c r="H93" i="25"/>
  <c r="H6" i="25" s="1"/>
  <c r="H83" i="25"/>
  <c r="H79" i="25"/>
  <c r="H98" i="25"/>
  <c r="H90" i="25"/>
  <c r="G52" i="13"/>
  <c r="G51" i="13"/>
  <c r="G50" i="13"/>
  <c r="H71" i="25"/>
  <c r="H80" i="25"/>
  <c r="H103" i="25"/>
  <c r="H96" i="25"/>
  <c r="H70" i="25"/>
  <c r="H94" i="25"/>
  <c r="H97" i="25"/>
  <c r="H74" i="25"/>
  <c r="H85" i="25"/>
  <c r="H22" i="14"/>
  <c r="H20" i="14"/>
  <c r="H18" i="14"/>
  <c r="J2" i="14"/>
  <c r="I5" i="14"/>
  <c r="I9" i="14"/>
  <c r="I4" i="14"/>
  <c r="I15" i="14" s="1"/>
  <c r="I8" i="14"/>
  <c r="I7" i="14"/>
  <c r="I11" i="14"/>
  <c r="I10" i="14"/>
  <c r="I6" i="14"/>
  <c r="H21" i="14"/>
  <c r="H16" i="14"/>
  <c r="I5" i="13"/>
  <c r="H50" i="13"/>
  <c r="H46" i="13"/>
  <c r="H44" i="13"/>
  <c r="H40" i="13"/>
  <c r="H52" i="13"/>
  <c r="H11" i="13"/>
  <c r="H15" i="13"/>
  <c r="H20" i="13"/>
  <c r="H24" i="13"/>
  <c r="H8" i="13"/>
  <c r="H17" i="13"/>
  <c r="H22" i="13"/>
  <c r="H26" i="13"/>
  <c r="H16" i="13"/>
  <c r="H17" i="14"/>
  <c r="H19" i="14"/>
  <c r="E53" i="13"/>
  <c r="F36" i="13"/>
  <c r="F45" i="13"/>
  <c r="F33" i="13"/>
  <c r="F6" i="14"/>
  <c r="F4" i="14"/>
  <c r="F15" i="14" s="1"/>
  <c r="F8" i="14"/>
  <c r="F11" i="14"/>
  <c r="F9" i="14"/>
  <c r="F7" i="14"/>
  <c r="F5" i="14"/>
  <c r="J11" i="16"/>
  <c r="K11" i="16"/>
  <c r="H16" i="16"/>
  <c r="E27" i="13"/>
  <c r="F7" i="13"/>
  <c r="I16" i="16"/>
  <c r="I11" i="16"/>
  <c r="L17" i="16"/>
  <c r="L19" i="16"/>
  <c r="L13" i="16"/>
  <c r="K16" i="16"/>
  <c r="H11" i="16"/>
  <c r="L12" i="16"/>
  <c r="F19" i="13"/>
  <c r="L15" i="16"/>
  <c r="J16" i="16"/>
  <c r="L18" i="16"/>
  <c r="F10" i="13"/>
  <c r="L16" i="16" l="1"/>
  <c r="H37" i="13"/>
  <c r="H34" i="13"/>
  <c r="H43" i="13"/>
  <c r="H21" i="13"/>
  <c r="H48" i="13"/>
  <c r="H13" i="13"/>
  <c r="H39" i="13"/>
  <c r="H41" i="13"/>
  <c r="H23" i="13"/>
  <c r="H49" i="13"/>
  <c r="H12" i="13"/>
  <c r="H18" i="13"/>
  <c r="H38" i="13"/>
  <c r="H25" i="13"/>
  <c r="H14" i="13"/>
  <c r="H42" i="13"/>
  <c r="H9" i="13"/>
  <c r="H7" i="13" s="1"/>
  <c r="H47" i="13"/>
  <c r="G7" i="13"/>
  <c r="H35" i="13"/>
  <c r="H8" i="25"/>
  <c r="I103" i="25"/>
  <c r="G19" i="13"/>
  <c r="G10" i="13"/>
  <c r="G45" i="13"/>
  <c r="G33" i="13"/>
  <c r="I90" i="25"/>
  <c r="I89" i="25"/>
  <c r="G36" i="13"/>
  <c r="I107" i="25"/>
  <c r="I106" i="25"/>
  <c r="I95" i="25"/>
  <c r="I98" i="25"/>
  <c r="I105" i="25"/>
  <c r="I84" i="25"/>
  <c r="I81" i="25"/>
  <c r="I91" i="25"/>
  <c r="I96" i="25"/>
  <c r="I72" i="25"/>
  <c r="I83" i="25"/>
  <c r="I85" i="25"/>
  <c r="I76" i="25"/>
  <c r="I97" i="25"/>
  <c r="I99" i="25"/>
  <c r="I102" i="25"/>
  <c r="I93" i="25"/>
  <c r="I71" i="25"/>
  <c r="I108" i="25"/>
  <c r="I75" i="25"/>
  <c r="I74" i="25"/>
  <c r="I70" i="25"/>
  <c r="I82" i="25"/>
  <c r="I4" i="25"/>
  <c r="I5" i="25" s="1"/>
  <c r="I92" i="25"/>
  <c r="I87" i="25"/>
  <c r="I80" i="25"/>
  <c r="I94" i="25"/>
  <c r="I88" i="25"/>
  <c r="I78" i="25"/>
  <c r="I104" i="25"/>
  <c r="I73" i="25"/>
  <c r="I77" i="25"/>
  <c r="J46" i="25"/>
  <c r="J50" i="25"/>
  <c r="J52" i="25"/>
  <c r="J56" i="25"/>
  <c r="J60" i="25"/>
  <c r="J64" i="25"/>
  <c r="J33" i="25"/>
  <c r="J36" i="25"/>
  <c r="J34" i="25"/>
  <c r="J47" i="25"/>
  <c r="J44" i="25"/>
  <c r="J53" i="25"/>
  <c r="J57" i="25"/>
  <c r="J61" i="25"/>
  <c r="J65" i="25"/>
  <c r="J37" i="25"/>
  <c r="J35" i="25"/>
  <c r="J31" i="25"/>
  <c r="J41" i="25"/>
  <c r="J28" i="25"/>
  <c r="J27" i="25"/>
  <c r="J40" i="25"/>
  <c r="J45" i="25"/>
  <c r="J88" i="25" s="1"/>
  <c r="J51" i="25"/>
  <c r="J59" i="25"/>
  <c r="J29" i="25"/>
  <c r="J32" i="25"/>
  <c r="J42" i="25"/>
  <c r="K2" i="25"/>
  <c r="J48" i="25"/>
  <c r="J26" i="25"/>
  <c r="J69" i="25" s="1"/>
  <c r="J54" i="25"/>
  <c r="J58" i="25"/>
  <c r="J62" i="25"/>
  <c r="J39" i="25"/>
  <c r="J49" i="25"/>
  <c r="J55" i="25"/>
  <c r="J63" i="25"/>
  <c r="J30" i="25"/>
  <c r="J38" i="25"/>
  <c r="I101" i="25"/>
  <c r="I79" i="25"/>
  <c r="I100" i="25"/>
  <c r="H26" i="16"/>
  <c r="J28" i="16"/>
  <c r="K31" i="16"/>
  <c r="H28" i="16"/>
  <c r="H25" i="16"/>
  <c r="J30" i="16"/>
  <c r="H30" i="16"/>
  <c r="I25" i="16"/>
  <c r="I30" i="16"/>
  <c r="K26" i="16"/>
  <c r="K25" i="16"/>
  <c r="H27" i="16"/>
  <c r="K30" i="16"/>
  <c r="I28" i="16"/>
  <c r="K32" i="16"/>
  <c r="K28" i="16"/>
  <c r="I32" i="16"/>
  <c r="J32" i="16"/>
  <c r="J26" i="16"/>
  <c r="J27" i="16"/>
  <c r="I26" i="16"/>
  <c r="J25" i="16"/>
  <c r="I21" i="14"/>
  <c r="I27" i="16"/>
  <c r="H31" i="16"/>
  <c r="H32" i="16"/>
  <c r="I31" i="16"/>
  <c r="J31" i="16"/>
  <c r="I22" i="14"/>
  <c r="I17" i="14"/>
  <c r="I18" i="14"/>
  <c r="I19" i="14"/>
  <c r="K2" i="14"/>
  <c r="J6" i="14"/>
  <c r="J10" i="14"/>
  <c r="J5" i="14"/>
  <c r="J9" i="14"/>
  <c r="J4" i="14"/>
  <c r="J15" i="14" s="1"/>
  <c r="J8" i="14"/>
  <c r="J11" i="14"/>
  <c r="J7" i="14"/>
  <c r="J5" i="13"/>
  <c r="I51" i="13"/>
  <c r="I47" i="13"/>
  <c r="I42" i="13"/>
  <c r="I38" i="13"/>
  <c r="I34" i="13"/>
  <c r="I50" i="13"/>
  <c r="I46" i="13"/>
  <c r="I52" i="13"/>
  <c r="I48" i="13"/>
  <c r="I43" i="13"/>
  <c r="I39" i="13"/>
  <c r="I49" i="13"/>
  <c r="I44" i="13"/>
  <c r="I40" i="13"/>
  <c r="I35" i="13"/>
  <c r="I41" i="13"/>
  <c r="I37" i="13"/>
  <c r="I8" i="13"/>
  <c r="I9" i="13"/>
  <c r="I11" i="13"/>
  <c r="I12" i="13"/>
  <c r="I13" i="13"/>
  <c r="I14" i="13"/>
  <c r="I15" i="13"/>
  <c r="I16" i="13"/>
  <c r="I17" i="13"/>
  <c r="I18" i="13"/>
  <c r="I20" i="13"/>
  <c r="I21" i="13"/>
  <c r="I22" i="13"/>
  <c r="I23" i="13"/>
  <c r="I24" i="13"/>
  <c r="I25" i="13"/>
  <c r="I26" i="13"/>
  <c r="I20" i="14"/>
  <c r="I16" i="14"/>
  <c r="F53" i="13"/>
  <c r="F17" i="14"/>
  <c r="F22" i="14"/>
  <c r="F21" i="14"/>
  <c r="F16" i="14"/>
  <c r="F19" i="14"/>
  <c r="F18" i="14"/>
  <c r="F20" i="14"/>
  <c r="E6" i="10"/>
  <c r="E14" i="10" s="1"/>
  <c r="J20" i="16"/>
  <c r="K20" i="16"/>
  <c r="H20" i="16"/>
  <c r="L11" i="16"/>
  <c r="I20" i="16"/>
  <c r="F27" i="13"/>
  <c r="C6" i="10"/>
  <c r="C14" i="10" s="1"/>
  <c r="D23" i="10" l="1"/>
  <c r="G23" i="10" s="1"/>
  <c r="D51" i="10"/>
  <c r="D46" i="10"/>
  <c r="D47" i="10"/>
  <c r="G47" i="10" s="1"/>
  <c r="D48" i="10"/>
  <c r="G48" i="10" s="1"/>
  <c r="D33" i="10"/>
  <c r="D38" i="10"/>
  <c r="D36" i="10"/>
  <c r="G36" i="10" s="1"/>
  <c r="D49" i="10"/>
  <c r="G49" i="10" s="1"/>
  <c r="D34" i="10"/>
  <c r="G34" i="10" s="1"/>
  <c r="D39" i="10"/>
  <c r="G39" i="10" s="1"/>
  <c r="D52" i="10"/>
  <c r="G52" i="10" s="1"/>
  <c r="D35" i="10"/>
  <c r="G35" i="10" s="1"/>
  <c r="D20" i="10"/>
  <c r="D22" i="10"/>
  <c r="G22" i="10" s="1"/>
  <c r="D21" i="10"/>
  <c r="G21" i="10" s="1"/>
  <c r="D26" i="10"/>
  <c r="G26" i="10" s="1"/>
  <c r="D25" i="10"/>
  <c r="H33" i="13"/>
  <c r="H45" i="13"/>
  <c r="I16" i="25"/>
  <c r="H10" i="13"/>
  <c r="H36" i="13"/>
  <c r="G53" i="13"/>
  <c r="G27" i="13"/>
  <c r="H19" i="13"/>
  <c r="J106" i="25"/>
  <c r="J91" i="25"/>
  <c r="J105" i="25"/>
  <c r="J73" i="25"/>
  <c r="J82" i="25"/>
  <c r="I17" i="25"/>
  <c r="I18" i="25"/>
  <c r="D9" i="10"/>
  <c r="D7" i="10"/>
  <c r="D13" i="10"/>
  <c r="D12" i="10"/>
  <c r="D10" i="10"/>
  <c r="D8" i="10"/>
  <c r="J104" i="25"/>
  <c r="J98" i="25"/>
  <c r="J101" i="25"/>
  <c r="J7" i="25" s="1"/>
  <c r="J102" i="25"/>
  <c r="J108" i="25"/>
  <c r="J95" i="25"/>
  <c r="J75" i="25"/>
  <c r="J84" i="25"/>
  <c r="J4" i="25"/>
  <c r="J5" i="25" s="1"/>
  <c r="J87" i="25"/>
  <c r="J92" i="25"/>
  <c r="J76" i="25"/>
  <c r="I13" i="25"/>
  <c r="I14" i="25"/>
  <c r="I6" i="25"/>
  <c r="J72" i="25"/>
  <c r="J83" i="25"/>
  <c r="J74" i="25"/>
  <c r="J90" i="25"/>
  <c r="J107" i="25"/>
  <c r="J93" i="25"/>
  <c r="J6" i="25" s="1"/>
  <c r="I7" i="25"/>
  <c r="I15" i="25"/>
  <c r="K45" i="25"/>
  <c r="K49" i="25"/>
  <c r="K26" i="25"/>
  <c r="K69" i="25" s="1"/>
  <c r="K54" i="25"/>
  <c r="K58" i="25"/>
  <c r="K62" i="25"/>
  <c r="K30" i="25"/>
  <c r="K29" i="25"/>
  <c r="K41" i="25"/>
  <c r="K32" i="25"/>
  <c r="L2" i="25"/>
  <c r="K31" i="25"/>
  <c r="K44" i="25"/>
  <c r="K61" i="25"/>
  <c r="K36" i="25"/>
  <c r="K46" i="25"/>
  <c r="K50" i="25"/>
  <c r="K51" i="25"/>
  <c r="K55" i="25"/>
  <c r="K59" i="25"/>
  <c r="K63" i="25"/>
  <c r="K34" i="25"/>
  <c r="K33" i="25"/>
  <c r="K39" i="25"/>
  <c r="K48" i="25"/>
  <c r="K65" i="25"/>
  <c r="K47" i="25"/>
  <c r="K27" i="25"/>
  <c r="K52" i="25"/>
  <c r="K56" i="25"/>
  <c r="K60" i="25"/>
  <c r="K64" i="25"/>
  <c r="K38" i="25"/>
  <c r="K37" i="25"/>
  <c r="K35" i="25"/>
  <c r="K42" i="25"/>
  <c r="K53" i="25"/>
  <c r="K57" i="25"/>
  <c r="K28" i="25"/>
  <c r="K40" i="25"/>
  <c r="J70" i="25"/>
  <c r="J78" i="25"/>
  <c r="J100" i="25"/>
  <c r="J77" i="25"/>
  <c r="J103" i="25"/>
  <c r="J89" i="25"/>
  <c r="J81" i="25"/>
  <c r="J97" i="25"/>
  <c r="J85" i="25"/>
  <c r="J94" i="25"/>
  <c r="J71" i="25"/>
  <c r="J80" i="25"/>
  <c r="J96" i="25"/>
  <c r="J79" i="25"/>
  <c r="J99" i="25"/>
  <c r="H24" i="16"/>
  <c r="I24" i="16"/>
  <c r="L31" i="16"/>
  <c r="J24" i="16"/>
  <c r="L28" i="16"/>
  <c r="H29" i="16"/>
  <c r="L30" i="16"/>
  <c r="L26" i="16"/>
  <c r="K29" i="16"/>
  <c r="L25" i="16"/>
  <c r="J29" i="16"/>
  <c r="I29" i="16"/>
  <c r="L32" i="16"/>
  <c r="K24" i="16"/>
  <c r="Z19" i="14"/>
  <c r="L27" i="16"/>
  <c r="Z17" i="14"/>
  <c r="J22" i="14"/>
  <c r="Z18" i="14"/>
  <c r="J19" i="14"/>
  <c r="J18" i="14"/>
  <c r="J20" i="14"/>
  <c r="J16" i="14"/>
  <c r="I7" i="13"/>
  <c r="AK34" i="13"/>
  <c r="I33" i="13"/>
  <c r="AF33" i="13" s="1"/>
  <c r="I36" i="13"/>
  <c r="AA35" i="13" s="1"/>
  <c r="I19" i="13"/>
  <c r="I10" i="13"/>
  <c r="K5" i="13"/>
  <c r="J52" i="13"/>
  <c r="J48" i="13"/>
  <c r="J43" i="13"/>
  <c r="J39" i="13"/>
  <c r="J34" i="13"/>
  <c r="J49" i="13"/>
  <c r="J44" i="13"/>
  <c r="J40" i="13"/>
  <c r="J35" i="13"/>
  <c r="J50" i="13"/>
  <c r="J46" i="13"/>
  <c r="J41" i="13"/>
  <c r="J37" i="13"/>
  <c r="J51" i="13"/>
  <c r="J47" i="13"/>
  <c r="J42" i="13"/>
  <c r="J38" i="13"/>
  <c r="J8" i="13"/>
  <c r="J9" i="13"/>
  <c r="J11" i="13"/>
  <c r="J12" i="13"/>
  <c r="J13" i="13"/>
  <c r="J14" i="13"/>
  <c r="J15" i="13"/>
  <c r="J16" i="13"/>
  <c r="J17" i="13"/>
  <c r="J18" i="13"/>
  <c r="J20" i="13"/>
  <c r="J21" i="13"/>
  <c r="J22" i="13"/>
  <c r="J23" i="13"/>
  <c r="J24" i="13"/>
  <c r="J25" i="13"/>
  <c r="J26" i="13"/>
  <c r="J21" i="14"/>
  <c r="L2" i="14"/>
  <c r="K7" i="14"/>
  <c r="K11" i="14"/>
  <c r="K6" i="14"/>
  <c r="K10" i="14"/>
  <c r="K5" i="14"/>
  <c r="K9" i="14"/>
  <c r="K4" i="14"/>
  <c r="K15" i="14" s="1"/>
  <c r="K8" i="14"/>
  <c r="AK33" i="13"/>
  <c r="I45" i="13"/>
  <c r="J17" i="14"/>
  <c r="L20" i="16"/>
  <c r="D37" i="10" l="1"/>
  <c r="G37" i="10" s="1"/>
  <c r="G38" i="10"/>
  <c r="D24" i="10"/>
  <c r="G24" i="10" s="1"/>
  <c r="G25" i="10"/>
  <c r="D32" i="10"/>
  <c r="G33" i="10"/>
  <c r="D45" i="10"/>
  <c r="G46" i="10"/>
  <c r="D19" i="10"/>
  <c r="G20" i="10"/>
  <c r="D50" i="10"/>
  <c r="G50" i="10" s="1"/>
  <c r="G51" i="10"/>
  <c r="K91" i="25"/>
  <c r="K108" i="25"/>
  <c r="H53" i="13"/>
  <c r="K83" i="25"/>
  <c r="K70" i="25"/>
  <c r="K100" i="25"/>
  <c r="H27" i="13"/>
  <c r="K79" i="25"/>
  <c r="K71" i="25"/>
  <c r="K96" i="25"/>
  <c r="K107" i="25"/>
  <c r="K106" i="25"/>
  <c r="K103" i="25"/>
  <c r="K98" i="25"/>
  <c r="K73" i="25"/>
  <c r="K99" i="25"/>
  <c r="K94" i="25"/>
  <c r="K105" i="25"/>
  <c r="K104" i="25"/>
  <c r="K95" i="25"/>
  <c r="K93" i="25"/>
  <c r="K6" i="25" s="1"/>
  <c r="K101" i="25"/>
  <c r="K7" i="25" s="1"/>
  <c r="I19" i="25"/>
  <c r="K81" i="25"/>
  <c r="K84" i="25"/>
  <c r="K102" i="25"/>
  <c r="J8" i="25"/>
  <c r="K85" i="25"/>
  <c r="K78" i="25"/>
  <c r="K76" i="25"/>
  <c r="K80" i="25"/>
  <c r="K90" i="25"/>
  <c r="K82" i="25"/>
  <c r="K77" i="25"/>
  <c r="K75" i="25"/>
  <c r="H33" i="16"/>
  <c r="K74" i="25"/>
  <c r="K4" i="25"/>
  <c r="K5" i="25" s="1"/>
  <c r="K87" i="25"/>
  <c r="K92" i="25"/>
  <c r="K88" i="25"/>
  <c r="K89" i="25"/>
  <c r="K72" i="25"/>
  <c r="K97" i="25"/>
  <c r="L44" i="25"/>
  <c r="L48" i="25"/>
  <c r="L31" i="25"/>
  <c r="L52" i="25"/>
  <c r="L56" i="25"/>
  <c r="L60" i="25"/>
  <c r="L64" i="25"/>
  <c r="L38" i="25"/>
  <c r="L32" i="25"/>
  <c r="L27" i="25"/>
  <c r="L40" i="25"/>
  <c r="L55" i="25"/>
  <c r="L63" i="25"/>
  <c r="L45" i="25"/>
  <c r="L49" i="25"/>
  <c r="L35" i="25"/>
  <c r="L53" i="25"/>
  <c r="L57" i="25"/>
  <c r="L61" i="25"/>
  <c r="L65" i="25"/>
  <c r="L29" i="25"/>
  <c r="L36" i="25"/>
  <c r="L33" i="25"/>
  <c r="L28" i="25"/>
  <c r="L51" i="25"/>
  <c r="L59" i="25"/>
  <c r="L42" i="25"/>
  <c r="L46" i="25"/>
  <c r="L50" i="25"/>
  <c r="L39" i="25"/>
  <c r="L54" i="25"/>
  <c r="L58" i="25"/>
  <c r="L62" i="25"/>
  <c r="L30" i="25"/>
  <c r="L37" i="25"/>
  <c r="L41" i="25"/>
  <c r="M2" i="25"/>
  <c r="L47" i="25"/>
  <c r="L34" i="25"/>
  <c r="L26" i="25"/>
  <c r="L69" i="25" s="1"/>
  <c r="I8" i="25"/>
  <c r="J33" i="16"/>
  <c r="I33" i="16"/>
  <c r="L24" i="16"/>
  <c r="K33" i="16"/>
  <c r="L29" i="16"/>
  <c r="AF34" i="13"/>
  <c r="AF35" i="13" s="1"/>
  <c r="AA36" i="13"/>
  <c r="Z20" i="14"/>
  <c r="I53" i="13"/>
  <c r="AA38" i="13"/>
  <c r="K20" i="14"/>
  <c r="K19" i="14"/>
  <c r="AK35" i="13"/>
  <c r="K16" i="14"/>
  <c r="K18" i="14"/>
  <c r="AA37" i="13"/>
  <c r="K21" i="14"/>
  <c r="I27" i="13"/>
  <c r="AA8" i="13" s="1"/>
  <c r="AA33" i="13"/>
  <c r="AA34" i="13"/>
  <c r="K22" i="14"/>
  <c r="J45" i="13"/>
  <c r="J7" i="13"/>
  <c r="M2" i="14"/>
  <c r="L4" i="14"/>
  <c r="L15" i="14" s="1"/>
  <c r="L8" i="14"/>
  <c r="L7" i="14"/>
  <c r="L11" i="14"/>
  <c r="L6" i="14"/>
  <c r="L10" i="14"/>
  <c r="L5" i="14"/>
  <c r="L9" i="14"/>
  <c r="J36" i="13"/>
  <c r="J33" i="13"/>
  <c r="K17" i="14"/>
  <c r="J19" i="13"/>
  <c r="J10" i="13"/>
  <c r="L5" i="13"/>
  <c r="K49" i="13"/>
  <c r="K44" i="13"/>
  <c r="K40" i="13"/>
  <c r="K35" i="13"/>
  <c r="K50" i="13"/>
  <c r="K46" i="13"/>
  <c r="K41" i="13"/>
  <c r="K37" i="13"/>
  <c r="K52" i="13"/>
  <c r="K48" i="13"/>
  <c r="K43" i="13"/>
  <c r="K39" i="13"/>
  <c r="K51" i="13"/>
  <c r="K47" i="13"/>
  <c r="K42" i="13"/>
  <c r="K38" i="13"/>
  <c r="K34" i="13"/>
  <c r="K8" i="13"/>
  <c r="K9" i="13"/>
  <c r="K11" i="13"/>
  <c r="K12" i="13"/>
  <c r="K13" i="13"/>
  <c r="K14" i="13"/>
  <c r="K15" i="13"/>
  <c r="K16" i="13"/>
  <c r="K17" i="13"/>
  <c r="K18" i="13"/>
  <c r="K20" i="13"/>
  <c r="K21" i="13"/>
  <c r="K22" i="13"/>
  <c r="K23" i="13"/>
  <c r="K24" i="13"/>
  <c r="K25" i="13"/>
  <c r="K26" i="13"/>
  <c r="G10" i="10"/>
  <c r="G9" i="10"/>
  <c r="G13" i="10"/>
  <c r="G12" i="10"/>
  <c r="D11" i="10"/>
  <c r="G7" i="10"/>
  <c r="D6" i="10"/>
  <c r="G8" i="10"/>
  <c r="G19" i="10" l="1"/>
  <c r="D27" i="10"/>
  <c r="G27" i="10" s="1"/>
  <c r="D53" i="10"/>
  <c r="G53" i="10" s="1"/>
  <c r="G45" i="10"/>
  <c r="D40" i="10"/>
  <c r="G40" i="10" s="1"/>
  <c r="G32" i="10"/>
  <c r="L93" i="25"/>
  <c r="L6" i="25" s="1"/>
  <c r="K8" i="25"/>
  <c r="L105" i="25"/>
  <c r="L101" i="25"/>
  <c r="L7" i="25" s="1"/>
  <c r="L97" i="25"/>
  <c r="L104" i="25"/>
  <c r="L89" i="25"/>
  <c r="L90" i="25"/>
  <c r="L88" i="25"/>
  <c r="L102" i="25"/>
  <c r="L91" i="25"/>
  <c r="L100" i="25"/>
  <c r="L94" i="25"/>
  <c r="L108" i="25"/>
  <c r="L96" i="25"/>
  <c r="L9" i="10"/>
  <c r="L10" i="10"/>
  <c r="M44" i="25"/>
  <c r="M54" i="25"/>
  <c r="M58" i="25"/>
  <c r="M62" i="25"/>
  <c r="M50" i="25"/>
  <c r="M36" i="25"/>
  <c r="M30" i="25"/>
  <c r="M27" i="25"/>
  <c r="M37" i="25"/>
  <c r="M28" i="25"/>
  <c r="N2" i="25"/>
  <c r="M48" i="25"/>
  <c r="M45" i="25"/>
  <c r="M57" i="25"/>
  <c r="M65" i="25"/>
  <c r="M26" i="25"/>
  <c r="M69" i="25" s="1"/>
  <c r="M51" i="25"/>
  <c r="M55" i="25"/>
  <c r="M59" i="25"/>
  <c r="M63" i="25"/>
  <c r="M46" i="25"/>
  <c r="M31" i="25"/>
  <c r="M38" i="25"/>
  <c r="M33" i="25"/>
  <c r="M42" i="25"/>
  <c r="M34" i="25"/>
  <c r="M52" i="25"/>
  <c r="M56" i="25"/>
  <c r="M60" i="25"/>
  <c r="M64" i="25"/>
  <c r="M35" i="25"/>
  <c r="M39" i="25"/>
  <c r="M40" i="25"/>
  <c r="M41" i="25"/>
  <c r="M53" i="25"/>
  <c r="M61" i="25"/>
  <c r="M32" i="25"/>
  <c r="M47" i="25"/>
  <c r="M29" i="25"/>
  <c r="M49" i="25"/>
  <c r="L72" i="25"/>
  <c r="L106" i="25"/>
  <c r="L75" i="25"/>
  <c r="L99" i="25"/>
  <c r="L4" i="25"/>
  <c r="L5" i="25" s="1"/>
  <c r="L92" i="25"/>
  <c r="L87" i="25"/>
  <c r="L84" i="25"/>
  <c r="L71" i="25"/>
  <c r="L78" i="25"/>
  <c r="L98" i="25"/>
  <c r="L81" i="25"/>
  <c r="L95" i="25"/>
  <c r="L77" i="25"/>
  <c r="L80" i="25"/>
  <c r="L85" i="25"/>
  <c r="L76" i="25"/>
  <c r="L83" i="25"/>
  <c r="L107" i="25"/>
  <c r="L74" i="25"/>
  <c r="L73" i="25"/>
  <c r="L82" i="25"/>
  <c r="L79" i="25"/>
  <c r="L70" i="25"/>
  <c r="L103" i="25"/>
  <c r="L33" i="16"/>
  <c r="L17" i="14"/>
  <c r="L21" i="14"/>
  <c r="L20" i="14"/>
  <c r="L16" i="14"/>
  <c r="L18" i="14"/>
  <c r="J53" i="13"/>
  <c r="L19" i="14"/>
  <c r="L22" i="14"/>
  <c r="AA39" i="13"/>
  <c r="K7" i="13"/>
  <c r="J27" i="13"/>
  <c r="K33" i="13"/>
  <c r="K19" i="13"/>
  <c r="K10" i="13"/>
  <c r="K36" i="13"/>
  <c r="M5" i="13"/>
  <c r="L50" i="13"/>
  <c r="L46" i="13"/>
  <c r="L41" i="13"/>
  <c r="L37" i="13"/>
  <c r="L49" i="13"/>
  <c r="L51" i="13"/>
  <c r="L47" i="13"/>
  <c r="L42" i="13"/>
  <c r="L38" i="13"/>
  <c r="L52" i="13"/>
  <c r="L48" i="13"/>
  <c r="L43" i="13"/>
  <c r="L39" i="13"/>
  <c r="L34" i="13"/>
  <c r="L44" i="13"/>
  <c r="L40" i="13"/>
  <c r="L35" i="13"/>
  <c r="L11" i="13"/>
  <c r="L15" i="13"/>
  <c r="L20" i="13"/>
  <c r="L24" i="13"/>
  <c r="L9" i="13"/>
  <c r="L14" i="13"/>
  <c r="L18" i="13"/>
  <c r="L23" i="13"/>
  <c r="L12" i="13"/>
  <c r="L16" i="13"/>
  <c r="L21" i="13"/>
  <c r="L25" i="13"/>
  <c r="L8" i="13"/>
  <c r="L13" i="13"/>
  <c r="L17" i="13"/>
  <c r="L22" i="13"/>
  <c r="L26" i="13"/>
  <c r="K45" i="13"/>
  <c r="N2" i="14"/>
  <c r="M5" i="14"/>
  <c r="M9" i="14"/>
  <c r="M4" i="14"/>
  <c r="M15" i="14" s="1"/>
  <c r="M8" i="14"/>
  <c r="M7" i="14"/>
  <c r="M11" i="14"/>
  <c r="M6" i="14"/>
  <c r="M10" i="14"/>
  <c r="D14" i="10"/>
  <c r="G6" i="10"/>
  <c r="G11" i="10"/>
  <c r="L8" i="25" l="1"/>
  <c r="M88" i="25"/>
  <c r="M90" i="25"/>
  <c r="M95" i="25"/>
  <c r="M89" i="25"/>
  <c r="M82" i="25"/>
  <c r="M76" i="25"/>
  <c r="L8" i="10"/>
  <c r="L11" i="10"/>
  <c r="M91" i="25"/>
  <c r="M104" i="25"/>
  <c r="M99" i="25"/>
  <c r="M106" i="25"/>
  <c r="M70" i="25"/>
  <c r="M105" i="25"/>
  <c r="M72" i="25"/>
  <c r="M96" i="25"/>
  <c r="M78" i="25"/>
  <c r="M81" i="25"/>
  <c r="M102" i="25"/>
  <c r="M108" i="25"/>
  <c r="N53" i="25"/>
  <c r="N56" i="25"/>
  <c r="N60" i="25"/>
  <c r="N64" i="25"/>
  <c r="N33" i="25"/>
  <c r="N32" i="25"/>
  <c r="N42" i="25"/>
  <c r="N47" i="25"/>
  <c r="N50" i="25"/>
  <c r="N62" i="25"/>
  <c r="N27" i="25"/>
  <c r="N31" i="25"/>
  <c r="N34" i="25"/>
  <c r="N52" i="25"/>
  <c r="N59" i="25"/>
  <c r="N29" i="25"/>
  <c r="N40" i="25"/>
  <c r="N41" i="25"/>
  <c r="N28" i="25"/>
  <c r="N44" i="25"/>
  <c r="N26" i="25"/>
  <c r="N69" i="25" s="1"/>
  <c r="N57" i="25"/>
  <c r="N61" i="25"/>
  <c r="N65" i="25"/>
  <c r="N37" i="25"/>
  <c r="N36" i="25"/>
  <c r="N49" i="25"/>
  <c r="N30" i="25"/>
  <c r="N35" i="25"/>
  <c r="N51" i="25"/>
  <c r="N54" i="25"/>
  <c r="N58" i="25"/>
  <c r="N46" i="25"/>
  <c r="N38" i="25"/>
  <c r="N45" i="25"/>
  <c r="N55" i="25"/>
  <c r="N63" i="25"/>
  <c r="N48" i="25"/>
  <c r="N39" i="25"/>
  <c r="O2" i="25"/>
  <c r="M73" i="25"/>
  <c r="M101" i="25"/>
  <c r="M7" i="25" s="1"/>
  <c r="M84" i="25"/>
  <c r="M107" i="25"/>
  <c r="M77" i="25"/>
  <c r="M74" i="25"/>
  <c r="M98" i="25"/>
  <c r="M100" i="25"/>
  <c r="M71" i="25"/>
  <c r="M79" i="25"/>
  <c r="M97" i="25"/>
  <c r="M75" i="25"/>
  <c r="M83" i="25"/>
  <c r="M103" i="25"/>
  <c r="M85" i="25"/>
  <c r="M94" i="25"/>
  <c r="M80" i="25"/>
  <c r="M93" i="25"/>
  <c r="M6" i="25" s="1"/>
  <c r="M4" i="25"/>
  <c r="M5" i="25" s="1"/>
  <c r="M92" i="25"/>
  <c r="M87" i="25"/>
  <c r="L7" i="13"/>
  <c r="M21" i="14"/>
  <c r="M17" i="14"/>
  <c r="M22" i="14"/>
  <c r="M18" i="14"/>
  <c r="K53" i="13"/>
  <c r="K27" i="13"/>
  <c r="M19" i="14"/>
  <c r="L33" i="13"/>
  <c r="M20" i="14"/>
  <c r="L19" i="13"/>
  <c r="L36" i="13"/>
  <c r="N5" i="13"/>
  <c r="M51" i="13"/>
  <c r="M47" i="13"/>
  <c r="M42" i="13"/>
  <c r="M38" i="13"/>
  <c r="M41" i="13"/>
  <c r="M52" i="13"/>
  <c r="M48" i="13"/>
  <c r="M43" i="13"/>
  <c r="M39" i="13"/>
  <c r="M34" i="13"/>
  <c r="M37" i="13"/>
  <c r="M49" i="13"/>
  <c r="M44" i="13"/>
  <c r="M40" i="13"/>
  <c r="M35" i="13"/>
  <c r="M50" i="13"/>
  <c r="M46" i="13"/>
  <c r="M8" i="13"/>
  <c r="M9" i="13"/>
  <c r="M11" i="13"/>
  <c r="M12" i="13"/>
  <c r="M13" i="13"/>
  <c r="M14" i="13"/>
  <c r="M15" i="13"/>
  <c r="M16" i="13"/>
  <c r="M17" i="13"/>
  <c r="M18" i="13"/>
  <c r="M20" i="13"/>
  <c r="M21" i="13"/>
  <c r="M22" i="13"/>
  <c r="M23" i="13"/>
  <c r="M24" i="13"/>
  <c r="M25" i="13"/>
  <c r="M26" i="13"/>
  <c r="M16" i="14"/>
  <c r="O2" i="14"/>
  <c r="N6" i="14"/>
  <c r="N10" i="14"/>
  <c r="N5" i="14"/>
  <c r="N9" i="14"/>
  <c r="N4" i="14"/>
  <c r="N15" i="14" s="1"/>
  <c r="N8" i="14"/>
  <c r="N11" i="14"/>
  <c r="N7" i="14"/>
  <c r="L10" i="13"/>
  <c r="L45" i="13"/>
  <c r="G14" i="10"/>
  <c r="H15" i="10" s="1"/>
  <c r="L12" i="10" l="1"/>
  <c r="N97" i="25"/>
  <c r="M8" i="25"/>
  <c r="N101" i="25"/>
  <c r="N7" i="25" s="1"/>
  <c r="N78" i="25"/>
  <c r="N106" i="25"/>
  <c r="N98" i="25"/>
  <c r="N89" i="25"/>
  <c r="N108" i="25"/>
  <c r="N93" i="25"/>
  <c r="N6" i="25" s="1"/>
  <c r="N96" i="25"/>
  <c r="N107" i="25"/>
  <c r="N77" i="25"/>
  <c r="O45" i="25"/>
  <c r="O49" i="25"/>
  <c r="O52" i="25"/>
  <c r="O28" i="25"/>
  <c r="O29" i="25"/>
  <c r="O41" i="25"/>
  <c r="O40" i="25"/>
  <c r="O57" i="25"/>
  <c r="O61" i="25"/>
  <c r="O65" i="25"/>
  <c r="P2" i="25"/>
  <c r="O26" i="25"/>
  <c r="O69" i="25" s="1"/>
  <c r="O55" i="25"/>
  <c r="O63" i="25"/>
  <c r="O51" i="25"/>
  <c r="O44" i="25"/>
  <c r="O32" i="25"/>
  <c r="O56" i="25"/>
  <c r="O64" i="25"/>
  <c r="O46" i="25"/>
  <c r="O50" i="25"/>
  <c r="O53" i="25"/>
  <c r="O30" i="25"/>
  <c r="O33" i="25"/>
  <c r="O35" i="25"/>
  <c r="O54" i="25"/>
  <c r="O58" i="25"/>
  <c r="O62" i="25"/>
  <c r="O36" i="25"/>
  <c r="O47" i="25"/>
  <c r="O27" i="25"/>
  <c r="O34" i="25"/>
  <c r="O37" i="25"/>
  <c r="O42" i="25"/>
  <c r="O59" i="25"/>
  <c r="O39" i="25"/>
  <c r="O48" i="25"/>
  <c r="O38" i="25"/>
  <c r="O31" i="25"/>
  <c r="O60" i="25"/>
  <c r="N73" i="25"/>
  <c r="N4" i="25"/>
  <c r="N5" i="25" s="1"/>
  <c r="N92" i="25"/>
  <c r="N87" i="25"/>
  <c r="N74" i="25"/>
  <c r="N82" i="25"/>
  <c r="N88" i="25"/>
  <c r="N104" i="25"/>
  <c r="N71" i="25"/>
  <c r="N102" i="25"/>
  <c r="N70" i="25"/>
  <c r="N85" i="25"/>
  <c r="N103" i="25"/>
  <c r="N80" i="25"/>
  <c r="N83" i="25"/>
  <c r="N76" i="25"/>
  <c r="N72" i="25"/>
  <c r="N90" i="25"/>
  <c r="N91" i="25"/>
  <c r="N81" i="25"/>
  <c r="N94" i="25"/>
  <c r="N79" i="25"/>
  <c r="N100" i="25"/>
  <c r="N84" i="25"/>
  <c r="N95" i="25"/>
  <c r="N105" i="25"/>
  <c r="N75" i="25"/>
  <c r="N99" i="25"/>
  <c r="L27" i="13"/>
  <c r="M45" i="13"/>
  <c r="M7" i="13"/>
  <c r="N18" i="14"/>
  <c r="N20" i="14"/>
  <c r="P2" i="14"/>
  <c r="O7" i="14"/>
  <c r="O11" i="14"/>
  <c r="O6" i="14"/>
  <c r="O10" i="14"/>
  <c r="O5" i="14"/>
  <c r="O9" i="14"/>
  <c r="O4" i="14"/>
  <c r="O15" i="14" s="1"/>
  <c r="O8" i="14"/>
  <c r="M19" i="13"/>
  <c r="M10" i="13"/>
  <c r="O5" i="13"/>
  <c r="N52" i="13"/>
  <c r="N48" i="13"/>
  <c r="N43" i="13"/>
  <c r="N39" i="13"/>
  <c r="N34" i="13"/>
  <c r="N49" i="13"/>
  <c r="N44" i="13"/>
  <c r="N40" i="13"/>
  <c r="N35" i="13"/>
  <c r="N51" i="13"/>
  <c r="N47" i="13"/>
  <c r="N42" i="13"/>
  <c r="N38" i="13"/>
  <c r="N50" i="13"/>
  <c r="N46" i="13"/>
  <c r="N41" i="13"/>
  <c r="N37" i="13"/>
  <c r="N8" i="13"/>
  <c r="N9" i="13"/>
  <c r="N11" i="13"/>
  <c r="N12" i="13"/>
  <c r="N13" i="13"/>
  <c r="N14" i="13"/>
  <c r="N15" i="13"/>
  <c r="N16" i="13"/>
  <c r="N17" i="13"/>
  <c r="N18" i="13"/>
  <c r="N20" i="13"/>
  <c r="N21" i="13"/>
  <c r="N22" i="13"/>
  <c r="N23" i="13"/>
  <c r="N24" i="13"/>
  <c r="N25" i="13"/>
  <c r="N26" i="13"/>
  <c r="H71" i="16"/>
  <c r="H70" i="16"/>
  <c r="I70" i="16"/>
  <c r="I69" i="16"/>
  <c r="H66" i="16"/>
  <c r="K70" i="16"/>
  <c r="K69" i="16"/>
  <c r="K65" i="16"/>
  <c r="K67" i="16"/>
  <c r="J67" i="16"/>
  <c r="D62" i="10" s="1"/>
  <c r="G62" i="10" s="1"/>
  <c r="J65" i="16"/>
  <c r="D60" i="10" s="1"/>
  <c r="G60" i="10" s="1"/>
  <c r="J66" i="16"/>
  <c r="D61" i="10" s="1"/>
  <c r="G61" i="10" s="1"/>
  <c r="K64" i="16"/>
  <c r="J69" i="16"/>
  <c r="D64" i="10" s="1"/>
  <c r="I71" i="16"/>
  <c r="I65" i="16"/>
  <c r="J64" i="16"/>
  <c r="D59" i="10" s="1"/>
  <c r="H69" i="16"/>
  <c r="H67" i="16"/>
  <c r="J71" i="16"/>
  <c r="D65" i="10" s="1"/>
  <c r="G65" i="10" s="1"/>
  <c r="K71" i="16"/>
  <c r="I66" i="16"/>
  <c r="I67" i="16"/>
  <c r="H65" i="16"/>
  <c r="H64" i="16"/>
  <c r="I64" i="16"/>
  <c r="J70" i="16"/>
  <c r="N17" i="14"/>
  <c r="N22" i="14"/>
  <c r="N16" i="14"/>
  <c r="M36" i="13"/>
  <c r="L53" i="13"/>
  <c r="N19" i="14"/>
  <c r="N21" i="14"/>
  <c r="M33" i="13"/>
  <c r="D58" i="10" l="1"/>
  <c r="G59" i="10"/>
  <c r="D63" i="10"/>
  <c r="G63" i="10" s="1"/>
  <c r="G64" i="10"/>
  <c r="O106" i="25"/>
  <c r="O97" i="25"/>
  <c r="O89" i="25"/>
  <c r="N8" i="25"/>
  <c r="O76" i="25"/>
  <c r="O82" i="25"/>
  <c r="O85" i="25"/>
  <c r="O77" i="25"/>
  <c r="O80" i="25"/>
  <c r="O91" i="25"/>
  <c r="O74" i="25"/>
  <c r="O81" i="25"/>
  <c r="O73" i="25"/>
  <c r="O96" i="25"/>
  <c r="O108" i="25"/>
  <c r="O70" i="25"/>
  <c r="O99" i="25"/>
  <c r="O90" i="25"/>
  <c r="O79" i="25"/>
  <c r="O78" i="25"/>
  <c r="O75" i="25"/>
  <c r="O93" i="25"/>
  <c r="O6" i="25" s="1"/>
  <c r="O98" i="25"/>
  <c r="O104" i="25"/>
  <c r="O103" i="25"/>
  <c r="O105" i="25"/>
  <c r="O100" i="25"/>
  <c r="O102" i="25"/>
  <c r="O101" i="25"/>
  <c r="O7" i="25" s="1"/>
  <c r="O107" i="25"/>
  <c r="O94" i="25"/>
  <c r="O83" i="25"/>
  <c r="O95" i="25"/>
  <c r="O84" i="25"/>
  <c r="O72" i="25"/>
  <c r="O88" i="25"/>
  <c r="P45" i="25"/>
  <c r="P49" i="25"/>
  <c r="P31" i="25"/>
  <c r="P27" i="25"/>
  <c r="P51" i="25"/>
  <c r="P36" i="25"/>
  <c r="P29" i="25"/>
  <c r="P55" i="25"/>
  <c r="P59" i="25"/>
  <c r="P63" i="25"/>
  <c r="P60" i="25"/>
  <c r="Q2" i="25"/>
  <c r="P65" i="25"/>
  <c r="P44" i="25"/>
  <c r="P38" i="25"/>
  <c r="P54" i="25"/>
  <c r="P46" i="25"/>
  <c r="P50" i="25"/>
  <c r="P35" i="25"/>
  <c r="P30" i="25"/>
  <c r="P53" i="25"/>
  <c r="P32" i="25"/>
  <c r="P37" i="25"/>
  <c r="P56" i="25"/>
  <c r="P64" i="25"/>
  <c r="P26" i="25"/>
  <c r="P69" i="25" s="1"/>
  <c r="P52" i="25"/>
  <c r="P58" i="25"/>
  <c r="P47" i="25"/>
  <c r="P28" i="25"/>
  <c r="P39" i="25"/>
  <c r="P34" i="25"/>
  <c r="P33" i="25"/>
  <c r="P41" i="25"/>
  <c r="P40" i="25"/>
  <c r="P57" i="25"/>
  <c r="P61" i="25"/>
  <c r="P48" i="25"/>
  <c r="P42" i="25"/>
  <c r="P62" i="25"/>
  <c r="O4" i="25"/>
  <c r="O5" i="25" s="1"/>
  <c r="O87" i="25"/>
  <c r="O92" i="25"/>
  <c r="O71" i="25"/>
  <c r="M27" i="13"/>
  <c r="M53" i="13"/>
  <c r="N7" i="13"/>
  <c r="N36" i="13"/>
  <c r="O19" i="14"/>
  <c r="O20" i="14"/>
  <c r="I68" i="16"/>
  <c r="O16" i="14"/>
  <c r="O18" i="14"/>
  <c r="I63" i="16"/>
  <c r="L67" i="16"/>
  <c r="K68" i="16"/>
  <c r="N33" i="13"/>
  <c r="O21" i="14"/>
  <c r="Q2" i="14"/>
  <c r="P4" i="14"/>
  <c r="P15" i="14" s="1"/>
  <c r="P8" i="14"/>
  <c r="P7" i="14"/>
  <c r="P11" i="14"/>
  <c r="P6" i="14"/>
  <c r="P10" i="14"/>
  <c r="P9" i="14"/>
  <c r="P5" i="14"/>
  <c r="L70" i="16"/>
  <c r="N19" i="13"/>
  <c r="N10" i="13"/>
  <c r="P5" i="13"/>
  <c r="O49" i="13"/>
  <c r="O44" i="13"/>
  <c r="O40" i="13"/>
  <c r="O35" i="13"/>
  <c r="O52" i="13"/>
  <c r="O48" i="13"/>
  <c r="O50" i="13"/>
  <c r="O46" i="13"/>
  <c r="O41" i="13"/>
  <c r="O37" i="13"/>
  <c r="O51" i="13"/>
  <c r="O47" i="13"/>
  <c r="O42" i="13"/>
  <c r="O38" i="13"/>
  <c r="O43" i="13"/>
  <c r="O39" i="13"/>
  <c r="O34" i="13"/>
  <c r="O8" i="13"/>
  <c r="O9" i="13"/>
  <c r="O11" i="13"/>
  <c r="O12" i="13"/>
  <c r="O13" i="13"/>
  <c r="O14" i="13"/>
  <c r="O15" i="13"/>
  <c r="O16" i="13"/>
  <c r="O17" i="13"/>
  <c r="O18" i="13"/>
  <c r="O20" i="13"/>
  <c r="O21" i="13"/>
  <c r="O22" i="13"/>
  <c r="O23" i="13"/>
  <c r="O24" i="13"/>
  <c r="O25" i="13"/>
  <c r="O26" i="13"/>
  <c r="O17" i="14"/>
  <c r="L64" i="16"/>
  <c r="H63" i="16"/>
  <c r="H68" i="16"/>
  <c r="L69" i="16"/>
  <c r="J68" i="16"/>
  <c r="L65" i="16"/>
  <c r="J63" i="16"/>
  <c r="K63" i="16"/>
  <c r="L66" i="16"/>
  <c r="L71" i="16"/>
  <c r="N45" i="13"/>
  <c r="O22" i="14"/>
  <c r="D66" i="10" l="1"/>
  <c r="G66" i="10" s="1"/>
  <c r="G58" i="10"/>
  <c r="P91" i="25"/>
  <c r="P105" i="25"/>
  <c r="P95" i="25"/>
  <c r="P104" i="25"/>
  <c r="P100" i="25"/>
  <c r="P107" i="25"/>
  <c r="P71" i="25"/>
  <c r="P93" i="25"/>
  <c r="P6" i="25" s="1"/>
  <c r="P90" i="25"/>
  <c r="P101" i="25"/>
  <c r="P7" i="25" s="1"/>
  <c r="P97" i="25"/>
  <c r="P99" i="25"/>
  <c r="P84" i="25"/>
  <c r="P106" i="25"/>
  <c r="P96" i="25"/>
  <c r="P76" i="25"/>
  <c r="P89" i="25"/>
  <c r="P108" i="25"/>
  <c r="P102" i="25"/>
  <c r="P94" i="25"/>
  <c r="O8" i="25"/>
  <c r="P103" i="25"/>
  <c r="P98" i="25"/>
  <c r="I72" i="16"/>
  <c r="P77" i="25"/>
  <c r="P73" i="25"/>
  <c r="P70" i="25"/>
  <c r="P85" i="25"/>
  <c r="P83" i="25"/>
  <c r="P82" i="25"/>
  <c r="P80" i="25"/>
  <c r="P78" i="25"/>
  <c r="P81" i="25"/>
  <c r="Q51" i="25"/>
  <c r="Q46" i="25"/>
  <c r="Q54" i="25"/>
  <c r="Q58" i="25"/>
  <c r="Q62" i="25"/>
  <c r="Q32" i="25"/>
  <c r="Q31" i="25"/>
  <c r="Q37" i="25"/>
  <c r="Q30" i="25"/>
  <c r="Q29" i="25"/>
  <c r="R2" i="25"/>
  <c r="Q49" i="25"/>
  <c r="Q61" i="25"/>
  <c r="Q34" i="25"/>
  <c r="Q52" i="25"/>
  <c r="Q47" i="25"/>
  <c r="Q55" i="25"/>
  <c r="Q59" i="25"/>
  <c r="Q63" i="25"/>
  <c r="Q36" i="25"/>
  <c r="Q35" i="25"/>
  <c r="Q39" i="25"/>
  <c r="Q38" i="25"/>
  <c r="Q40" i="25"/>
  <c r="Q45" i="25"/>
  <c r="Q65" i="25"/>
  <c r="Q50" i="25"/>
  <c r="Q53" i="25"/>
  <c r="Q48" i="25"/>
  <c r="Q56" i="25"/>
  <c r="Q60" i="25"/>
  <c r="Q64" i="25"/>
  <c r="Q26" i="25"/>
  <c r="Q69" i="25" s="1"/>
  <c r="Q27" i="25"/>
  <c r="Q33" i="25"/>
  <c r="Q41" i="25"/>
  <c r="Q44" i="25"/>
  <c r="Q57" i="25"/>
  <c r="Q28" i="25"/>
  <c r="Q42" i="25"/>
  <c r="P72" i="25"/>
  <c r="P74" i="25"/>
  <c r="P75" i="25"/>
  <c r="P4" i="25"/>
  <c r="P5" i="25" s="1"/>
  <c r="P87" i="25"/>
  <c r="P92" i="25"/>
  <c r="P79" i="25"/>
  <c r="P88" i="25"/>
  <c r="N53" i="13"/>
  <c r="P17" i="14"/>
  <c r="K72" i="16"/>
  <c r="N27" i="13"/>
  <c r="J72" i="16"/>
  <c r="O10" i="13"/>
  <c r="L68" i="16"/>
  <c r="O7" i="13"/>
  <c r="L63" i="16"/>
  <c r="H72" i="16"/>
  <c r="P16" i="14"/>
  <c r="P22" i="14"/>
  <c r="R2" i="14"/>
  <c r="Q5" i="14"/>
  <c r="Q9" i="14"/>
  <c r="Q4" i="14"/>
  <c r="Q15" i="14" s="1"/>
  <c r="Q8" i="14"/>
  <c r="Q7" i="14"/>
  <c r="Q11" i="14"/>
  <c r="Q6" i="14"/>
  <c r="Q10" i="14"/>
  <c r="O19" i="13"/>
  <c r="O36" i="13"/>
  <c r="P20" i="14"/>
  <c r="P18" i="14"/>
  <c r="O45" i="13"/>
  <c r="Q5" i="13"/>
  <c r="P50" i="13"/>
  <c r="P46" i="13"/>
  <c r="P41" i="13"/>
  <c r="P37" i="13"/>
  <c r="P44" i="13"/>
  <c r="P40" i="13"/>
  <c r="P51" i="13"/>
  <c r="P47" i="13"/>
  <c r="P42" i="13"/>
  <c r="P38" i="13"/>
  <c r="P35" i="13"/>
  <c r="P52" i="13"/>
  <c r="P48" i="13"/>
  <c r="P43" i="13"/>
  <c r="P39" i="13"/>
  <c r="P34" i="13"/>
  <c r="P49" i="13"/>
  <c r="P12" i="13"/>
  <c r="P16" i="13"/>
  <c r="P21" i="13"/>
  <c r="P25" i="13"/>
  <c r="P11" i="13"/>
  <c r="P15" i="13"/>
  <c r="P20" i="13"/>
  <c r="P24" i="13"/>
  <c r="P8" i="13"/>
  <c r="P9" i="13"/>
  <c r="P14" i="13"/>
  <c r="P18" i="13"/>
  <c r="P23" i="13"/>
  <c r="P13" i="13"/>
  <c r="P17" i="13"/>
  <c r="P22" i="13"/>
  <c r="P26" i="13"/>
  <c r="O33" i="13"/>
  <c r="P21" i="14"/>
  <c r="P19" i="14"/>
  <c r="P8" i="25" l="1"/>
  <c r="Q96" i="25"/>
  <c r="Q107" i="25"/>
  <c r="Q85" i="25"/>
  <c r="Q71" i="25"/>
  <c r="Q76" i="25"/>
  <c r="Q84" i="25"/>
  <c r="Q83" i="25"/>
  <c r="Q79" i="25"/>
  <c r="Q90" i="25"/>
  <c r="Q80" i="25"/>
  <c r="Q101" i="25"/>
  <c r="Q7" i="25" s="1"/>
  <c r="Q103" i="25"/>
  <c r="Q93" i="25"/>
  <c r="Q6" i="25" s="1"/>
  <c r="Q81" i="25"/>
  <c r="Q106" i="25"/>
  <c r="Q95" i="25"/>
  <c r="R44" i="25"/>
  <c r="R48" i="25"/>
  <c r="R54" i="25"/>
  <c r="R58" i="25"/>
  <c r="R62" i="25"/>
  <c r="R29" i="25"/>
  <c r="R36" i="25"/>
  <c r="R40" i="25"/>
  <c r="R53" i="25"/>
  <c r="R42" i="25"/>
  <c r="S2" i="25"/>
  <c r="R45" i="25"/>
  <c r="R49" i="25"/>
  <c r="R55" i="25"/>
  <c r="R59" i="25"/>
  <c r="R63" i="25"/>
  <c r="R33" i="25"/>
  <c r="R28" i="25"/>
  <c r="R52" i="25"/>
  <c r="R27" i="25"/>
  <c r="R30" i="25"/>
  <c r="R34" i="25"/>
  <c r="R41" i="25"/>
  <c r="R26" i="25"/>
  <c r="R69" i="25" s="1"/>
  <c r="R61" i="25"/>
  <c r="R32" i="25"/>
  <c r="R51" i="25"/>
  <c r="R31" i="25"/>
  <c r="R46" i="25"/>
  <c r="R50" i="25"/>
  <c r="R56" i="25"/>
  <c r="R60" i="25"/>
  <c r="R64" i="25"/>
  <c r="R37" i="25"/>
  <c r="R35" i="25"/>
  <c r="R38" i="25"/>
  <c r="R47" i="25"/>
  <c r="R57" i="25"/>
  <c r="R65" i="25"/>
  <c r="R39" i="25"/>
  <c r="Q74" i="25"/>
  <c r="Q97" i="25"/>
  <c r="Q100" i="25"/>
  <c r="Q70" i="25"/>
  <c r="Q99" i="25"/>
  <c r="Q108" i="25"/>
  <c r="Q82" i="25"/>
  <c r="Q102" i="25"/>
  <c r="Q77" i="25"/>
  <c r="Q72" i="25"/>
  <c r="Q75" i="25"/>
  <c r="Q89" i="25"/>
  <c r="Q4" i="25"/>
  <c r="Q5" i="25" s="1"/>
  <c r="Q92" i="25"/>
  <c r="Q87" i="25"/>
  <c r="Q91" i="25"/>
  <c r="Q88" i="25"/>
  <c r="Q78" i="25"/>
  <c r="Q98" i="25"/>
  <c r="Q104" i="25"/>
  <c r="Q73" i="25"/>
  <c r="Q105" i="25"/>
  <c r="Q94" i="25"/>
  <c r="Q17" i="14"/>
  <c r="L72" i="16"/>
  <c r="P7" i="13"/>
  <c r="P33" i="13"/>
  <c r="O27" i="13"/>
  <c r="O53" i="13"/>
  <c r="P19" i="13"/>
  <c r="P36" i="13"/>
  <c r="R5" i="13"/>
  <c r="Q51" i="13"/>
  <c r="Q47" i="13"/>
  <c r="Q42" i="13"/>
  <c r="Q38" i="13"/>
  <c r="Q37" i="13"/>
  <c r="Q52" i="13"/>
  <c r="Q48" i="13"/>
  <c r="Q43" i="13"/>
  <c r="Q39" i="13"/>
  <c r="Q34" i="13"/>
  <c r="Q50" i="13"/>
  <c r="Q46" i="13"/>
  <c r="Q41" i="13"/>
  <c r="Q49" i="13"/>
  <c r="Q44" i="13"/>
  <c r="Q40" i="13"/>
  <c r="Q35" i="13"/>
  <c r="Q8" i="13"/>
  <c r="Q9" i="13"/>
  <c r="Q11" i="13"/>
  <c r="Q12" i="13"/>
  <c r="Q13" i="13"/>
  <c r="Q14" i="13"/>
  <c r="Q15" i="13"/>
  <c r="Q16" i="13"/>
  <c r="Q17" i="13"/>
  <c r="Q18" i="13"/>
  <c r="Q20" i="13"/>
  <c r="Q21" i="13"/>
  <c r="Q22" i="13"/>
  <c r="Q23" i="13"/>
  <c r="Q24" i="13"/>
  <c r="Q25" i="13"/>
  <c r="Q26" i="13"/>
  <c r="Q22" i="14"/>
  <c r="Q20" i="14"/>
  <c r="Q18" i="14"/>
  <c r="Q16" i="14"/>
  <c r="P10" i="13"/>
  <c r="P45" i="13"/>
  <c r="Q21" i="14"/>
  <c r="Q19" i="14"/>
  <c r="S2" i="14"/>
  <c r="R6" i="14"/>
  <c r="R10" i="14"/>
  <c r="R5" i="14"/>
  <c r="R9" i="14"/>
  <c r="R4" i="14"/>
  <c r="R15" i="14" s="1"/>
  <c r="R8" i="14"/>
  <c r="R11" i="14"/>
  <c r="R7" i="14"/>
  <c r="R90" i="25" l="1"/>
  <c r="R104" i="25"/>
  <c r="R100" i="25"/>
  <c r="R91" i="25"/>
  <c r="R82" i="25"/>
  <c r="R107" i="25"/>
  <c r="R103" i="25"/>
  <c r="R93" i="25"/>
  <c r="R6" i="25" s="1"/>
  <c r="R89" i="25"/>
  <c r="R106" i="25"/>
  <c r="R88" i="25"/>
  <c r="R108" i="25"/>
  <c r="R99" i="25"/>
  <c r="R98" i="25"/>
  <c r="R81" i="25"/>
  <c r="R74" i="25"/>
  <c r="R80" i="25"/>
  <c r="Q8" i="25"/>
  <c r="R75" i="25"/>
  <c r="R77" i="25"/>
  <c r="R71" i="25"/>
  <c r="R85" i="25"/>
  <c r="R72" i="25"/>
  <c r="R73" i="25"/>
  <c r="R76" i="25"/>
  <c r="R96" i="25"/>
  <c r="R105" i="25"/>
  <c r="R4" i="25"/>
  <c r="R5" i="25" s="1"/>
  <c r="R92" i="25"/>
  <c r="R87" i="25"/>
  <c r="R70" i="25"/>
  <c r="R83" i="25"/>
  <c r="R101" i="25"/>
  <c r="R7" i="25" s="1"/>
  <c r="R78" i="25"/>
  <c r="R94" i="25"/>
  <c r="R84" i="25"/>
  <c r="R95" i="25"/>
  <c r="R102" i="25"/>
  <c r="S48" i="25"/>
  <c r="S51" i="25"/>
  <c r="S26" i="25"/>
  <c r="S69" i="25" s="1"/>
  <c r="S57" i="25"/>
  <c r="S61" i="25"/>
  <c r="S65" i="25"/>
  <c r="S29" i="25"/>
  <c r="S41" i="25"/>
  <c r="S40" i="25"/>
  <c r="S44" i="25"/>
  <c r="S60" i="25"/>
  <c r="S36" i="25"/>
  <c r="T2" i="25"/>
  <c r="S45" i="25"/>
  <c r="S49" i="25"/>
  <c r="S52" i="25"/>
  <c r="S54" i="25"/>
  <c r="S58" i="25"/>
  <c r="S62" i="25"/>
  <c r="S30" i="25"/>
  <c r="S33" i="25"/>
  <c r="S28" i="25"/>
  <c r="S32" i="25"/>
  <c r="S63" i="25"/>
  <c r="S37" i="25"/>
  <c r="S31" i="25"/>
  <c r="X2" i="25"/>
  <c r="S47" i="25"/>
  <c r="S64" i="25"/>
  <c r="S39" i="25"/>
  <c r="S46" i="25"/>
  <c r="S50" i="25"/>
  <c r="S53" i="25"/>
  <c r="S55" i="25"/>
  <c r="S59" i="25"/>
  <c r="S34" i="25"/>
  <c r="S35" i="25"/>
  <c r="S27" i="25"/>
  <c r="S56" i="25"/>
  <c r="S38" i="25"/>
  <c r="S42" i="25"/>
  <c r="R79" i="25"/>
  <c r="R97" i="25"/>
  <c r="Q7" i="13"/>
  <c r="P53" i="13"/>
  <c r="P27" i="13"/>
  <c r="R22" i="14"/>
  <c r="R16" i="14"/>
  <c r="Q45" i="13"/>
  <c r="Q10" i="13"/>
  <c r="S5" i="13"/>
  <c r="R52" i="13"/>
  <c r="R48" i="13"/>
  <c r="R43" i="13"/>
  <c r="R39" i="13"/>
  <c r="R34" i="13"/>
  <c r="R51" i="13"/>
  <c r="R47" i="13"/>
  <c r="R49" i="13"/>
  <c r="R44" i="13"/>
  <c r="R40" i="13"/>
  <c r="R35" i="13"/>
  <c r="R50" i="13"/>
  <c r="R46" i="13"/>
  <c r="R41" i="13"/>
  <c r="R37" i="13"/>
  <c r="R42" i="13"/>
  <c r="R38" i="13"/>
  <c r="R8" i="13"/>
  <c r="R9" i="13"/>
  <c r="R11" i="13"/>
  <c r="R12" i="13"/>
  <c r="R13" i="13"/>
  <c r="R14" i="13"/>
  <c r="R15" i="13"/>
  <c r="R16" i="13"/>
  <c r="R17" i="13"/>
  <c r="R18" i="13"/>
  <c r="R20" i="13"/>
  <c r="R21" i="13"/>
  <c r="R22" i="13"/>
  <c r="R23" i="13"/>
  <c r="R24" i="13"/>
  <c r="R25" i="13"/>
  <c r="R26" i="13"/>
  <c r="R19" i="14"/>
  <c r="R21" i="14"/>
  <c r="R17" i="14"/>
  <c r="Q33" i="13"/>
  <c r="Q19" i="13"/>
  <c r="R18" i="14"/>
  <c r="R20" i="14"/>
  <c r="T2" i="14"/>
  <c r="S7" i="14"/>
  <c r="S11" i="14"/>
  <c r="S5" i="14"/>
  <c r="S9" i="14"/>
  <c r="S10" i="14"/>
  <c r="S4" i="14"/>
  <c r="S15" i="14" s="1"/>
  <c r="S8" i="14"/>
  <c r="S6" i="14"/>
  <c r="Q36" i="13"/>
  <c r="S99" i="25" l="1"/>
  <c r="R8" i="25"/>
  <c r="S89" i="25"/>
  <c r="S90" i="25"/>
  <c r="S102" i="25"/>
  <c r="S75" i="25"/>
  <c r="S88" i="25"/>
  <c r="S105" i="25"/>
  <c r="S72" i="25"/>
  <c r="S81" i="25"/>
  <c r="S77" i="25"/>
  <c r="S93" i="25"/>
  <c r="S6" i="25" s="1"/>
  <c r="S73" i="25"/>
  <c r="S70" i="25"/>
  <c r="S82" i="25"/>
  <c r="S85" i="25"/>
  <c r="S78" i="25"/>
  <c r="S96" i="25"/>
  <c r="S107" i="25"/>
  <c r="S80" i="25"/>
  <c r="S76" i="25"/>
  <c r="S106" i="25"/>
  <c r="S79" i="25"/>
  <c r="S84" i="25"/>
  <c r="S95" i="25"/>
  <c r="S100" i="25"/>
  <c r="S97" i="25"/>
  <c r="X50" i="25"/>
  <c r="X45" i="25"/>
  <c r="X31" i="25"/>
  <c r="X34" i="25"/>
  <c r="X42" i="25"/>
  <c r="X56" i="25"/>
  <c r="X60" i="25"/>
  <c r="X64" i="25"/>
  <c r="X46" i="25"/>
  <c r="X27" i="25"/>
  <c r="AC2" i="25"/>
  <c r="X49" i="25"/>
  <c r="X54" i="25"/>
  <c r="X58" i="25"/>
  <c r="X37" i="25"/>
  <c r="X30" i="25"/>
  <c r="X55" i="25"/>
  <c r="X63" i="25"/>
  <c r="Y2" i="25"/>
  <c r="X51" i="25"/>
  <c r="X47" i="25"/>
  <c r="X35" i="25"/>
  <c r="X38" i="25"/>
  <c r="X28" i="25"/>
  <c r="X57" i="25"/>
  <c r="X61" i="25"/>
  <c r="X65" i="25"/>
  <c r="X29" i="25"/>
  <c r="X36" i="25"/>
  <c r="X52" i="25"/>
  <c r="X39" i="25"/>
  <c r="X48" i="25"/>
  <c r="X62" i="25"/>
  <c r="X32" i="25"/>
  <c r="X33" i="25"/>
  <c r="X59" i="25"/>
  <c r="X41" i="25"/>
  <c r="X40" i="25"/>
  <c r="X44" i="25"/>
  <c r="X53" i="25"/>
  <c r="X26" i="25"/>
  <c r="X69" i="25" s="1"/>
  <c r="S103" i="25"/>
  <c r="S98" i="25"/>
  <c r="S74" i="25"/>
  <c r="S71" i="25"/>
  <c r="S101" i="25"/>
  <c r="S4" i="25"/>
  <c r="S5" i="25" s="1"/>
  <c r="S87" i="25"/>
  <c r="S92" i="25"/>
  <c r="S108" i="25"/>
  <c r="S94" i="25"/>
  <c r="T44" i="25"/>
  <c r="T47" i="25"/>
  <c r="T51" i="25"/>
  <c r="T31" i="25"/>
  <c r="T55" i="25"/>
  <c r="T59" i="25"/>
  <c r="T63" i="25"/>
  <c r="T34" i="25"/>
  <c r="T37" i="25"/>
  <c r="T33" i="25"/>
  <c r="T26" i="25"/>
  <c r="T69" i="25" s="1"/>
  <c r="U2" i="25"/>
  <c r="T28" i="25"/>
  <c r="T48" i="25"/>
  <c r="T52" i="25"/>
  <c r="T35" i="25"/>
  <c r="T56" i="25"/>
  <c r="T60" i="25"/>
  <c r="T64" i="25"/>
  <c r="T38" i="25"/>
  <c r="T42" i="25"/>
  <c r="T40" i="25"/>
  <c r="T57" i="25"/>
  <c r="T61" i="25"/>
  <c r="T65" i="25"/>
  <c r="T36" i="25"/>
  <c r="T32" i="25"/>
  <c r="T45" i="25"/>
  <c r="T49" i="25"/>
  <c r="T53" i="25"/>
  <c r="T39" i="25"/>
  <c r="T46" i="25"/>
  <c r="T50" i="25"/>
  <c r="T27" i="25"/>
  <c r="T54" i="25"/>
  <c r="T58" i="25"/>
  <c r="T62" i="25"/>
  <c r="T30" i="25"/>
  <c r="T29" i="25"/>
  <c r="T41" i="25"/>
  <c r="S83" i="25"/>
  <c r="S104" i="25"/>
  <c r="S91" i="25"/>
  <c r="R7" i="13"/>
  <c r="Q53" i="13"/>
  <c r="Q27" i="13"/>
  <c r="S19" i="14"/>
  <c r="S16" i="14"/>
  <c r="S22" i="14"/>
  <c r="R45" i="13"/>
  <c r="R33" i="13"/>
  <c r="S21" i="14"/>
  <c r="S18" i="14"/>
  <c r="R19" i="13"/>
  <c r="R10" i="13"/>
  <c r="T5" i="13"/>
  <c r="S49" i="13"/>
  <c r="S44" i="13"/>
  <c r="S40" i="13"/>
  <c r="S35" i="13"/>
  <c r="S43" i="13"/>
  <c r="S39" i="13"/>
  <c r="S50" i="13"/>
  <c r="S46" i="13"/>
  <c r="S41" i="13"/>
  <c r="S37" i="13"/>
  <c r="S51" i="13"/>
  <c r="S47" i="13"/>
  <c r="S42" i="13"/>
  <c r="S38" i="13"/>
  <c r="S52" i="13"/>
  <c r="S48" i="13"/>
  <c r="S34" i="13"/>
  <c r="J78" i="16"/>
  <c r="D73" i="10" s="1"/>
  <c r="G73" i="10" s="1"/>
  <c r="H80" i="16"/>
  <c r="I77" i="16"/>
  <c r="J77" i="16"/>
  <c r="D72" i="10" s="1"/>
  <c r="H77" i="16"/>
  <c r="S22" i="13"/>
  <c r="J82" i="16"/>
  <c r="D77" i="10" s="1"/>
  <c r="S11" i="13"/>
  <c r="J79" i="16"/>
  <c r="D74" i="10" s="1"/>
  <c r="G74" i="10" s="1"/>
  <c r="S26" i="13"/>
  <c r="S8" i="13"/>
  <c r="J83" i="16"/>
  <c r="H82" i="16"/>
  <c r="S16" i="13"/>
  <c r="S17" i="13"/>
  <c r="I84" i="16"/>
  <c r="J80" i="16"/>
  <c r="D75" i="10" s="1"/>
  <c r="G75" i="10" s="1"/>
  <c r="I78" i="16"/>
  <c r="I79" i="16"/>
  <c r="K84" i="16"/>
  <c r="S25" i="13"/>
  <c r="K82" i="16"/>
  <c r="S9" i="13"/>
  <c r="K80" i="16"/>
  <c r="S12" i="13"/>
  <c r="S14" i="13"/>
  <c r="I80" i="16"/>
  <c r="S18" i="13"/>
  <c r="S24" i="13"/>
  <c r="H78" i="16"/>
  <c r="H83" i="16"/>
  <c r="H84" i="16"/>
  <c r="S20" i="13"/>
  <c r="K83" i="16"/>
  <c r="K78" i="16"/>
  <c r="S13" i="13"/>
  <c r="K77" i="16"/>
  <c r="S15" i="13"/>
  <c r="S21" i="13"/>
  <c r="H79" i="16"/>
  <c r="J84" i="16"/>
  <c r="D78" i="10" s="1"/>
  <c r="G78" i="10" s="1"/>
  <c r="I82" i="16"/>
  <c r="I83" i="16"/>
  <c r="S23" i="13"/>
  <c r="S17" i="14"/>
  <c r="S20" i="14"/>
  <c r="U2" i="14"/>
  <c r="T7" i="14"/>
  <c r="T11" i="14"/>
  <c r="T4" i="14"/>
  <c r="T15" i="14" s="1"/>
  <c r="T8" i="14"/>
  <c r="T5" i="14"/>
  <c r="T10" i="14"/>
  <c r="T9" i="14"/>
  <c r="T6" i="14"/>
  <c r="R36" i="13"/>
  <c r="D71" i="10" l="1"/>
  <c r="G72" i="10"/>
  <c r="D76" i="10"/>
  <c r="G76" i="10" s="1"/>
  <c r="G77" i="10"/>
  <c r="X102" i="25"/>
  <c r="T89" i="25"/>
  <c r="J17" i="25"/>
  <c r="J16" i="25"/>
  <c r="X105" i="25"/>
  <c r="J13" i="25"/>
  <c r="AL34" i="13"/>
  <c r="T105" i="25"/>
  <c r="X96" i="25"/>
  <c r="T93" i="25"/>
  <c r="T6" i="25" s="1"/>
  <c r="T82" i="25"/>
  <c r="X94" i="25"/>
  <c r="J18" i="25"/>
  <c r="T72" i="25"/>
  <c r="T75" i="25"/>
  <c r="T91" i="25"/>
  <c r="T88" i="25"/>
  <c r="T96" i="25"/>
  <c r="T103" i="25"/>
  <c r="T90" i="25"/>
  <c r="X100" i="25"/>
  <c r="X98" i="25"/>
  <c r="X97" i="25"/>
  <c r="T97" i="25"/>
  <c r="T101" i="25"/>
  <c r="T7" i="25" s="1"/>
  <c r="T100" i="25"/>
  <c r="T107" i="25"/>
  <c r="J14" i="25"/>
  <c r="X108" i="25"/>
  <c r="T84" i="25"/>
  <c r="X95" i="25"/>
  <c r="X104" i="25"/>
  <c r="X106" i="25"/>
  <c r="X101" i="25"/>
  <c r="X7" i="25" s="1"/>
  <c r="T104" i="25"/>
  <c r="T81" i="25"/>
  <c r="T78" i="25"/>
  <c r="T77" i="25"/>
  <c r="T74" i="25"/>
  <c r="X76" i="25"/>
  <c r="X82" i="25"/>
  <c r="X81" i="25"/>
  <c r="X80" i="25"/>
  <c r="X103" i="25"/>
  <c r="X74" i="25"/>
  <c r="T95" i="25"/>
  <c r="T106" i="25"/>
  <c r="T94" i="25"/>
  <c r="X83" i="25"/>
  <c r="X75" i="25"/>
  <c r="X99" i="25"/>
  <c r="X4" i="25"/>
  <c r="X5" i="25" s="1"/>
  <c r="X87" i="25"/>
  <c r="X92" i="25"/>
  <c r="X78" i="25"/>
  <c r="X70" i="25"/>
  <c r="X88" i="25"/>
  <c r="U44" i="25"/>
  <c r="U45" i="25"/>
  <c r="U49" i="25"/>
  <c r="U53" i="25"/>
  <c r="U57" i="25"/>
  <c r="U61" i="25"/>
  <c r="U65" i="25"/>
  <c r="U27" i="25"/>
  <c r="U38" i="25"/>
  <c r="U29" i="25"/>
  <c r="U46" i="25"/>
  <c r="U50" i="25"/>
  <c r="U54" i="25"/>
  <c r="U58" i="25"/>
  <c r="U62" i="25"/>
  <c r="U28" i="25"/>
  <c r="U31" i="25"/>
  <c r="U41" i="25"/>
  <c r="U37" i="25"/>
  <c r="U33" i="25"/>
  <c r="V2" i="25"/>
  <c r="U56" i="25"/>
  <c r="U64" i="25"/>
  <c r="U26" i="25"/>
  <c r="U69" i="25" s="1"/>
  <c r="Z2" i="25"/>
  <c r="U47" i="25"/>
  <c r="U51" i="25"/>
  <c r="U55" i="25"/>
  <c r="U59" i="25"/>
  <c r="U63" i="25"/>
  <c r="U32" i="25"/>
  <c r="U35" i="25"/>
  <c r="U40" i="25"/>
  <c r="U42" i="25"/>
  <c r="U48" i="25"/>
  <c r="U52" i="25"/>
  <c r="U60" i="25"/>
  <c r="U36" i="25"/>
  <c r="U30" i="25"/>
  <c r="U34" i="25"/>
  <c r="U39" i="25"/>
  <c r="Y44" i="25"/>
  <c r="Y53" i="25"/>
  <c r="Y57" i="25"/>
  <c r="Y61" i="25"/>
  <c r="Y65" i="25"/>
  <c r="Y36" i="25"/>
  <c r="Y26" i="25"/>
  <c r="Y69" i="25" s="1"/>
  <c r="Y46" i="25"/>
  <c r="Y39" i="25"/>
  <c r="Y50" i="25"/>
  <c r="Y54" i="25"/>
  <c r="Y58" i="25"/>
  <c r="Y62" i="25"/>
  <c r="Y27" i="25"/>
  <c r="Y45" i="25"/>
  <c r="Y31" i="25"/>
  <c r="Y29" i="25"/>
  <c r="Y42" i="25"/>
  <c r="Y37" i="25"/>
  <c r="Y51" i="25"/>
  <c r="Y55" i="25"/>
  <c r="Y59" i="25"/>
  <c r="Y63" i="25"/>
  <c r="Y28" i="25"/>
  <c r="Y47" i="25"/>
  <c r="Y90" i="25" s="1"/>
  <c r="Y35" i="25"/>
  <c r="Y48" i="25"/>
  <c r="Y30" i="25"/>
  <c r="Y40" i="25"/>
  <c r="AD2" i="25"/>
  <c r="Y52" i="25"/>
  <c r="Y56" i="25"/>
  <c r="Y60" i="25"/>
  <c r="Y64" i="25"/>
  <c r="Y32" i="25"/>
  <c r="Y49" i="25"/>
  <c r="Y34" i="25"/>
  <c r="Y33" i="25"/>
  <c r="Y38" i="25"/>
  <c r="Y41" i="25"/>
  <c r="AC52" i="25"/>
  <c r="AC47" i="25"/>
  <c r="AC55" i="25"/>
  <c r="AC59" i="25"/>
  <c r="AC63" i="25"/>
  <c r="AC32" i="25"/>
  <c r="AC30" i="25"/>
  <c r="AC33" i="25"/>
  <c r="AC37" i="25"/>
  <c r="AC44" i="25"/>
  <c r="AC53" i="25"/>
  <c r="AC48" i="25"/>
  <c r="AC56" i="25"/>
  <c r="AC60" i="25"/>
  <c r="AC64" i="25"/>
  <c r="AC36" i="25"/>
  <c r="AC38" i="25"/>
  <c r="AC40" i="25"/>
  <c r="AC42" i="25"/>
  <c r="AC50" i="25"/>
  <c r="AC45" i="25"/>
  <c r="AC49" i="25"/>
  <c r="AC57" i="25"/>
  <c r="AC61" i="25"/>
  <c r="AC65" i="25"/>
  <c r="AC31" i="25"/>
  <c r="AC39" i="25"/>
  <c r="AC27" i="25"/>
  <c r="AC34" i="25"/>
  <c r="AH2" i="25"/>
  <c r="AC51" i="25"/>
  <c r="AC46" i="25"/>
  <c r="AC54" i="25"/>
  <c r="AC58" i="25"/>
  <c r="AC101" i="25" s="1"/>
  <c r="AC7" i="25" s="1"/>
  <c r="AC62" i="25"/>
  <c r="AC28" i="25"/>
  <c r="AC35" i="25"/>
  <c r="AC41" i="25"/>
  <c r="AC29" i="25"/>
  <c r="AC26" i="25"/>
  <c r="AC69" i="25" s="1"/>
  <c r="T73" i="25"/>
  <c r="T70" i="25"/>
  <c r="T79" i="25"/>
  <c r="T83" i="25"/>
  <c r="T76" i="25"/>
  <c r="T102" i="25"/>
  <c r="J15" i="25"/>
  <c r="S7" i="25"/>
  <c r="S8" i="25" s="1"/>
  <c r="X84" i="25"/>
  <c r="X79" i="25"/>
  <c r="X90" i="25"/>
  <c r="X89" i="25"/>
  <c r="X85" i="25"/>
  <c r="X93" i="25"/>
  <c r="X6" i="25" s="1"/>
  <c r="T108" i="25"/>
  <c r="T85" i="25"/>
  <c r="T99" i="25"/>
  <c r="T71" i="25"/>
  <c r="T80" i="25"/>
  <c r="T98" i="25"/>
  <c r="T4" i="25"/>
  <c r="T5" i="25" s="1"/>
  <c r="T87" i="25"/>
  <c r="T92" i="25"/>
  <c r="X91" i="25"/>
  <c r="X72" i="25"/>
  <c r="X71" i="25"/>
  <c r="X73" i="25"/>
  <c r="X107" i="25"/>
  <c r="X77" i="25"/>
  <c r="T20" i="14"/>
  <c r="AA17" i="14"/>
  <c r="I81" i="16"/>
  <c r="L79" i="16"/>
  <c r="S33" i="13"/>
  <c r="AG33" i="13" s="1"/>
  <c r="T21" i="14"/>
  <c r="T22" i="14"/>
  <c r="T16" i="14"/>
  <c r="T18" i="14"/>
  <c r="L84" i="16"/>
  <c r="R27" i="13"/>
  <c r="T17" i="14"/>
  <c r="AA19" i="14"/>
  <c r="H76" i="16"/>
  <c r="L77" i="16"/>
  <c r="S36" i="13"/>
  <c r="AB33" i="13" s="1"/>
  <c r="R53" i="13"/>
  <c r="T19" i="14"/>
  <c r="V2" i="14"/>
  <c r="U7" i="14"/>
  <c r="U11" i="14"/>
  <c r="U6" i="14"/>
  <c r="U4" i="14"/>
  <c r="U15" i="14" s="1"/>
  <c r="U8" i="14"/>
  <c r="U5" i="14"/>
  <c r="U9" i="14"/>
  <c r="U10" i="14"/>
  <c r="S10" i="13"/>
  <c r="J76" i="16"/>
  <c r="AA18" i="14"/>
  <c r="H81" i="16"/>
  <c r="L82" i="16"/>
  <c r="L83" i="16"/>
  <c r="S7" i="13"/>
  <c r="J81" i="16"/>
  <c r="I76" i="16"/>
  <c r="AL33" i="13"/>
  <c r="S45" i="13"/>
  <c r="U5" i="13"/>
  <c r="T44" i="13"/>
  <c r="T46" i="13"/>
  <c r="T42" i="13"/>
  <c r="T43" i="13"/>
  <c r="J97" i="16"/>
  <c r="I90" i="16"/>
  <c r="J91" i="16"/>
  <c r="K93" i="16"/>
  <c r="I96" i="16"/>
  <c r="T17" i="13"/>
  <c r="H91" i="16"/>
  <c r="H90" i="16"/>
  <c r="T12" i="13"/>
  <c r="H96" i="16"/>
  <c r="T18" i="13"/>
  <c r="T15" i="13"/>
  <c r="T35" i="13"/>
  <c r="T47" i="13"/>
  <c r="I97" i="16"/>
  <c r="K91" i="16"/>
  <c r="H95" i="16"/>
  <c r="H93" i="16"/>
  <c r="H92" i="16"/>
  <c r="T13" i="13"/>
  <c r="T40" i="13"/>
  <c r="T41" i="13"/>
  <c r="T38" i="13"/>
  <c r="T52" i="13"/>
  <c r="J92" i="16"/>
  <c r="K97" i="16"/>
  <c r="K90" i="16"/>
  <c r="J95" i="16"/>
  <c r="J90" i="16"/>
  <c r="T21" i="13"/>
  <c r="J96" i="16"/>
  <c r="T23" i="13"/>
  <c r="T11" i="13"/>
  <c r="T22" i="13"/>
  <c r="T25" i="13"/>
  <c r="T39" i="13"/>
  <c r="T14" i="13"/>
  <c r="T16" i="13"/>
  <c r="T34" i="13"/>
  <c r="T37" i="13"/>
  <c r="T51" i="13"/>
  <c r="T48" i="13"/>
  <c r="K95" i="16"/>
  <c r="I91" i="16"/>
  <c r="I95" i="16"/>
  <c r="I93" i="16"/>
  <c r="I92" i="16"/>
  <c r="T20" i="13"/>
  <c r="H97" i="16"/>
  <c r="T26" i="13"/>
  <c r="J93" i="16"/>
  <c r="T24" i="13"/>
  <c r="T9" i="13"/>
  <c r="T49" i="13"/>
  <c r="T50" i="13"/>
  <c r="K96" i="16"/>
  <c r="T8" i="13"/>
  <c r="K76" i="16"/>
  <c r="S19" i="13"/>
  <c r="L78" i="16"/>
  <c r="K81" i="16"/>
  <c r="L80" i="16"/>
  <c r="D79" i="10" l="1"/>
  <c r="G79" i="10" s="1"/>
  <c r="G71" i="10"/>
  <c r="AL35" i="13"/>
  <c r="Y80" i="25"/>
  <c r="T8" i="25"/>
  <c r="J102" i="16"/>
  <c r="U98" i="25"/>
  <c r="J19" i="25"/>
  <c r="X8" i="25"/>
  <c r="U105" i="25"/>
  <c r="U106" i="25"/>
  <c r="U95" i="25"/>
  <c r="U94" i="25"/>
  <c r="Y85" i="25"/>
  <c r="U107" i="25"/>
  <c r="Y83" i="25"/>
  <c r="U108" i="25"/>
  <c r="Y81" i="25"/>
  <c r="U78" i="25"/>
  <c r="Y76" i="25"/>
  <c r="Y78" i="25"/>
  <c r="Y70" i="25"/>
  <c r="U75" i="25"/>
  <c r="Y77" i="25"/>
  <c r="Y75" i="25"/>
  <c r="U77" i="25"/>
  <c r="U73" i="25"/>
  <c r="Y91" i="25"/>
  <c r="U93" i="25"/>
  <c r="U6" i="25" s="1"/>
  <c r="Y72" i="25"/>
  <c r="U79" i="25"/>
  <c r="U85" i="25"/>
  <c r="U99" i="25"/>
  <c r="U101" i="25"/>
  <c r="U7" i="25" s="1"/>
  <c r="AC89" i="25"/>
  <c r="Y84" i="25"/>
  <c r="Y73" i="25"/>
  <c r="Y71" i="25"/>
  <c r="U82" i="25"/>
  <c r="U103" i="25"/>
  <c r="U102" i="25"/>
  <c r="U97" i="25"/>
  <c r="U100" i="25"/>
  <c r="AC104" i="25"/>
  <c r="AC93" i="25"/>
  <c r="AC6" i="25" s="1"/>
  <c r="AC8" i="25" s="1"/>
  <c r="AC91" i="25"/>
  <c r="Y74" i="25"/>
  <c r="U83" i="25"/>
  <c r="U74" i="25"/>
  <c r="U81" i="25"/>
  <c r="Y88" i="25"/>
  <c r="Y79" i="25"/>
  <c r="AC71" i="25"/>
  <c r="AC102" i="25"/>
  <c r="Y89" i="25"/>
  <c r="AC70" i="25"/>
  <c r="AC79" i="25"/>
  <c r="AC76" i="25"/>
  <c r="Y94" i="25"/>
  <c r="Y101" i="25"/>
  <c r="Y7" i="25" s="1"/>
  <c r="Y104" i="25"/>
  <c r="Z45" i="25"/>
  <c r="Z49" i="25"/>
  <c r="Z52" i="25"/>
  <c r="Z56" i="25"/>
  <c r="Z60" i="25"/>
  <c r="Z64" i="25"/>
  <c r="Z37" i="25"/>
  <c r="Z36" i="25"/>
  <c r="Z30" i="25"/>
  <c r="Z42" i="25"/>
  <c r="AA2" i="25"/>
  <c r="Z34" i="25"/>
  <c r="AE2" i="25"/>
  <c r="Z50" i="25"/>
  <c r="Z46" i="25"/>
  <c r="Z26" i="25"/>
  <c r="Z69" i="25" s="1"/>
  <c r="Z53" i="25"/>
  <c r="Z57" i="25"/>
  <c r="Z61" i="25"/>
  <c r="Z65" i="25"/>
  <c r="Z27" i="25"/>
  <c r="Z44" i="25"/>
  <c r="Z38" i="25"/>
  <c r="Z47" i="25"/>
  <c r="Z48" i="25"/>
  <c r="Z51" i="25"/>
  <c r="Z55" i="25"/>
  <c r="Z59" i="25"/>
  <c r="Z63" i="25"/>
  <c r="Z33" i="25"/>
  <c r="Z32" i="25"/>
  <c r="Z40" i="25"/>
  <c r="Z39" i="25"/>
  <c r="Z54" i="25"/>
  <c r="Z28" i="25"/>
  <c r="Z35" i="25"/>
  <c r="Z58" i="25"/>
  <c r="Z62" i="25"/>
  <c r="Z105" i="25" s="1"/>
  <c r="Z31" i="25"/>
  <c r="Z29" i="25"/>
  <c r="Z41" i="25"/>
  <c r="V48" i="25"/>
  <c r="V54" i="25"/>
  <c r="V58" i="25"/>
  <c r="V62" i="25"/>
  <c r="V50" i="25"/>
  <c r="V29" i="25"/>
  <c r="V32" i="25"/>
  <c r="V42" i="25"/>
  <c r="V27" i="25"/>
  <c r="V45" i="25"/>
  <c r="V49" i="25"/>
  <c r="V55" i="25"/>
  <c r="V59" i="25"/>
  <c r="V63" i="25"/>
  <c r="V51" i="25"/>
  <c r="V33" i="25"/>
  <c r="V36" i="25"/>
  <c r="V41" i="25"/>
  <c r="V35" i="25"/>
  <c r="V46" i="25"/>
  <c r="V26" i="25"/>
  <c r="V69" i="25" s="1"/>
  <c r="V56" i="25"/>
  <c r="V60" i="25"/>
  <c r="V64" i="25"/>
  <c r="V52" i="25"/>
  <c r="V37" i="25"/>
  <c r="V31" i="25"/>
  <c r="V30" i="25"/>
  <c r="V34" i="25"/>
  <c r="V47" i="25"/>
  <c r="V44" i="25"/>
  <c r="V57" i="25"/>
  <c r="V61" i="25"/>
  <c r="V65" i="25"/>
  <c r="V53" i="25"/>
  <c r="V28" i="25"/>
  <c r="V40" i="25"/>
  <c r="V38" i="25"/>
  <c r="V39" i="25"/>
  <c r="W2" i="25"/>
  <c r="AC72" i="25"/>
  <c r="AC105" i="25"/>
  <c r="AC94" i="25"/>
  <c r="AC82" i="25"/>
  <c r="AC100" i="25"/>
  <c r="AC85" i="25"/>
  <c r="AC107" i="25"/>
  <c r="AC96" i="25"/>
  <c r="AC73" i="25"/>
  <c r="AC98" i="25"/>
  <c r="Y95" i="25"/>
  <c r="Y106" i="25"/>
  <c r="Y97" i="25"/>
  <c r="Y100" i="25"/>
  <c r="U76" i="25"/>
  <c r="U71" i="25"/>
  <c r="U70" i="25"/>
  <c r="U96" i="25"/>
  <c r="AC84" i="25"/>
  <c r="AH55" i="25"/>
  <c r="AH59" i="25"/>
  <c r="AH63" i="25"/>
  <c r="AH48" i="25"/>
  <c r="AH50" i="25"/>
  <c r="AH28" i="25"/>
  <c r="AH35" i="25"/>
  <c r="AH49" i="25"/>
  <c r="AH31" i="25"/>
  <c r="AH30" i="25"/>
  <c r="AH44" i="25"/>
  <c r="AH56" i="25"/>
  <c r="AH60" i="25"/>
  <c r="AH64" i="25"/>
  <c r="AH29" i="25"/>
  <c r="AH51" i="25"/>
  <c r="AH32" i="25"/>
  <c r="AH40" i="25"/>
  <c r="AH34" i="25"/>
  <c r="AH42" i="25"/>
  <c r="AH26" i="25"/>
  <c r="AH69" i="25" s="1"/>
  <c r="AH57" i="25"/>
  <c r="AH61" i="25"/>
  <c r="AH65" i="25"/>
  <c r="AH33" i="25"/>
  <c r="AH52" i="25"/>
  <c r="AH36" i="25"/>
  <c r="AH27" i="25"/>
  <c r="AH54" i="25"/>
  <c r="AH58" i="25"/>
  <c r="AH62" i="25"/>
  <c r="AH46" i="25"/>
  <c r="AH37" i="25"/>
  <c r="AH53" i="25"/>
  <c r="AH45" i="25"/>
  <c r="AH88" i="25" s="1"/>
  <c r="AH38" i="25"/>
  <c r="AH47" i="25"/>
  <c r="AH41" i="25"/>
  <c r="AH39" i="25"/>
  <c r="AM2" i="25"/>
  <c r="AC74" i="25"/>
  <c r="AC83" i="25"/>
  <c r="AC103" i="25"/>
  <c r="AC4" i="25"/>
  <c r="AC5" i="25" s="1"/>
  <c r="AC87" i="25"/>
  <c r="AC92" i="25"/>
  <c r="AC75" i="25"/>
  <c r="AC90" i="25"/>
  <c r="Y107" i="25"/>
  <c r="AD44" i="25"/>
  <c r="AD53" i="25"/>
  <c r="AD47" i="25"/>
  <c r="AD55" i="25"/>
  <c r="AD59" i="25"/>
  <c r="AD63" i="25"/>
  <c r="AD29" i="25"/>
  <c r="AD32" i="25"/>
  <c r="AD42" i="25"/>
  <c r="AD38" i="25"/>
  <c r="AI2" i="25"/>
  <c r="AD50" i="25"/>
  <c r="AD26" i="25"/>
  <c r="AD69" i="25" s="1"/>
  <c r="AD48" i="25"/>
  <c r="AD56" i="25"/>
  <c r="AD60" i="25"/>
  <c r="AD64" i="25"/>
  <c r="AD33" i="25"/>
  <c r="AD36" i="25"/>
  <c r="AD34" i="25"/>
  <c r="AD39" i="25"/>
  <c r="AD51" i="25"/>
  <c r="AD45" i="25"/>
  <c r="AD49" i="25"/>
  <c r="AD57" i="25"/>
  <c r="AD61" i="25"/>
  <c r="AD65" i="25"/>
  <c r="AD37" i="25"/>
  <c r="AD31" i="25"/>
  <c r="AD41" i="25"/>
  <c r="AD35" i="25"/>
  <c r="AD52" i="25"/>
  <c r="AD46" i="25"/>
  <c r="AD54" i="25"/>
  <c r="AD58" i="25"/>
  <c r="AD62" i="25"/>
  <c r="AD27" i="25"/>
  <c r="AD28" i="25"/>
  <c r="AD40" i="25"/>
  <c r="AD30" i="25"/>
  <c r="Y102" i="25"/>
  <c r="Y93" i="25"/>
  <c r="Y6" i="25" s="1"/>
  <c r="Y8" i="25" s="1"/>
  <c r="Y96" i="25"/>
  <c r="U91" i="25"/>
  <c r="U80" i="25"/>
  <c r="U89" i="25"/>
  <c r="Y99" i="25"/>
  <c r="U4" i="25"/>
  <c r="U5" i="25" s="1"/>
  <c r="U92" i="25"/>
  <c r="U87" i="25"/>
  <c r="AC78" i="25"/>
  <c r="AC97" i="25"/>
  <c r="AC77" i="25"/>
  <c r="AC108" i="25"/>
  <c r="AC88" i="25"/>
  <c r="AC81" i="25"/>
  <c r="AC99" i="25"/>
  <c r="AC80" i="25"/>
  <c r="AC106" i="25"/>
  <c r="AC95" i="25"/>
  <c r="Y103" i="25"/>
  <c r="Y98" i="25"/>
  <c r="Y105" i="25"/>
  <c r="Y82" i="25"/>
  <c r="Y108" i="25"/>
  <c r="Y4" i="25"/>
  <c r="Y5" i="25" s="1"/>
  <c r="Y92" i="25"/>
  <c r="Y87" i="25"/>
  <c r="U90" i="25"/>
  <c r="U84" i="25"/>
  <c r="U72" i="25"/>
  <c r="U104" i="25"/>
  <c r="U88" i="25"/>
  <c r="I85" i="16"/>
  <c r="AA20" i="14"/>
  <c r="AG34" i="13"/>
  <c r="AG35" i="13" s="1"/>
  <c r="U21" i="14"/>
  <c r="AB35" i="13"/>
  <c r="S27" i="13"/>
  <c r="AB8" i="13" s="1"/>
  <c r="AB37" i="13"/>
  <c r="S53" i="13"/>
  <c r="AB36" i="13"/>
  <c r="U16" i="14"/>
  <c r="U19" i="14"/>
  <c r="U20" i="14"/>
  <c r="T7" i="13"/>
  <c r="U22" i="14"/>
  <c r="U18" i="14"/>
  <c r="AB38" i="13"/>
  <c r="U17" i="14"/>
  <c r="K85" i="16"/>
  <c r="T33" i="13"/>
  <c r="AB34" i="13"/>
  <c r="L97" i="16"/>
  <c r="I94" i="16"/>
  <c r="L93" i="16"/>
  <c r="L96" i="16"/>
  <c r="L81" i="16"/>
  <c r="T19" i="13"/>
  <c r="T36" i="13"/>
  <c r="T10" i="13"/>
  <c r="J89" i="16"/>
  <c r="H94" i="16"/>
  <c r="L95" i="16"/>
  <c r="H85" i="16"/>
  <c r="L76" i="16"/>
  <c r="K94" i="16"/>
  <c r="J94" i="16"/>
  <c r="L90" i="16"/>
  <c r="H89" i="16"/>
  <c r="V5" i="13"/>
  <c r="U50" i="13"/>
  <c r="U46" i="13"/>
  <c r="U41" i="13"/>
  <c r="U37" i="13"/>
  <c r="U35" i="13"/>
  <c r="U51" i="13"/>
  <c r="U47" i="13"/>
  <c r="U42" i="13"/>
  <c r="U38" i="13"/>
  <c r="U49" i="13"/>
  <c r="U44" i="13"/>
  <c r="U40" i="13"/>
  <c r="U52" i="13"/>
  <c r="U48" i="13"/>
  <c r="U43" i="13"/>
  <c r="U39" i="13"/>
  <c r="U34" i="13"/>
  <c r="U8" i="13"/>
  <c r="U11" i="13"/>
  <c r="U13" i="13"/>
  <c r="U15" i="13"/>
  <c r="U17" i="13"/>
  <c r="U20" i="13"/>
  <c r="U22" i="13"/>
  <c r="U24" i="13"/>
  <c r="U26" i="13"/>
  <c r="U9" i="13"/>
  <c r="U12" i="13"/>
  <c r="U14" i="13"/>
  <c r="U16" i="13"/>
  <c r="U18" i="13"/>
  <c r="U21" i="13"/>
  <c r="U23" i="13"/>
  <c r="U25" i="13"/>
  <c r="W2" i="14"/>
  <c r="V4" i="14"/>
  <c r="V15" i="14" s="1"/>
  <c r="V8" i="14"/>
  <c r="V7" i="14"/>
  <c r="V5" i="14"/>
  <c r="V9" i="14"/>
  <c r="V11" i="14"/>
  <c r="V6" i="14"/>
  <c r="V10" i="14"/>
  <c r="I89" i="16"/>
  <c r="T45" i="13"/>
  <c r="K89" i="16"/>
  <c r="L92" i="16"/>
  <c r="L91" i="16"/>
  <c r="J85" i="16"/>
  <c r="Z93" i="25" l="1"/>
  <c r="Z6" i="25" s="1"/>
  <c r="AH96" i="25"/>
  <c r="AH100" i="25"/>
  <c r="K107" i="16"/>
  <c r="L105" i="16"/>
  <c r="L109" i="16"/>
  <c r="L106" i="16"/>
  <c r="L108" i="16"/>
  <c r="H107" i="16"/>
  <c r="L110" i="16"/>
  <c r="L103" i="16"/>
  <c r="H102" i="16"/>
  <c r="J107" i="16"/>
  <c r="J111" i="16" s="1"/>
  <c r="I102" i="16"/>
  <c r="K102" i="16"/>
  <c r="L104" i="16"/>
  <c r="I107" i="16"/>
  <c r="AH80" i="25"/>
  <c r="K98" i="16"/>
  <c r="U33" i="13"/>
  <c r="Z98" i="25"/>
  <c r="AH101" i="25"/>
  <c r="AH7" i="25" s="1"/>
  <c r="AH108" i="25"/>
  <c r="AH99" i="25"/>
  <c r="AD105" i="25"/>
  <c r="AH76" i="25"/>
  <c r="AD70" i="25"/>
  <c r="V96" i="25"/>
  <c r="AD89" i="25"/>
  <c r="AD82" i="25"/>
  <c r="AD74" i="25"/>
  <c r="Z72" i="25"/>
  <c r="AD95" i="25"/>
  <c r="V100" i="25"/>
  <c r="Z78" i="25"/>
  <c r="V108" i="25"/>
  <c r="Z74" i="25"/>
  <c r="AH105" i="25"/>
  <c r="Z71" i="25"/>
  <c r="Z81" i="25"/>
  <c r="Z94" i="25"/>
  <c r="V77" i="25"/>
  <c r="Z97" i="25"/>
  <c r="Z82" i="25"/>
  <c r="V103" i="25"/>
  <c r="V104" i="25"/>
  <c r="AH94" i="25"/>
  <c r="V94" i="25"/>
  <c r="Z83" i="25"/>
  <c r="Z75" i="25"/>
  <c r="Z104" i="25"/>
  <c r="AH95" i="25"/>
  <c r="V83" i="25"/>
  <c r="V95" i="25"/>
  <c r="V102" i="25"/>
  <c r="Z76" i="25"/>
  <c r="Z100" i="25"/>
  <c r="Z107" i="25"/>
  <c r="Z84" i="25"/>
  <c r="U8" i="25"/>
  <c r="AD100" i="25"/>
  <c r="AH84" i="25"/>
  <c r="AD71" i="25"/>
  <c r="AH82" i="25"/>
  <c r="AD101" i="25"/>
  <c r="AD7" i="25" s="1"/>
  <c r="AH81" i="25"/>
  <c r="AH90" i="25"/>
  <c r="AH97" i="25"/>
  <c r="V107" i="25"/>
  <c r="Z101" i="25"/>
  <c r="Z7" i="25" s="1"/>
  <c r="Z8" i="25" s="1"/>
  <c r="AH89" i="25"/>
  <c r="Z102" i="25"/>
  <c r="AD73" i="25"/>
  <c r="AD80" i="25"/>
  <c r="V71" i="25"/>
  <c r="Z106" i="25"/>
  <c r="Z96" i="25"/>
  <c r="Z103" i="25"/>
  <c r="AD83" i="25"/>
  <c r="AD78" i="25"/>
  <c r="AD88" i="25"/>
  <c r="AD90" i="25"/>
  <c r="AH91" i="25"/>
  <c r="V82" i="25"/>
  <c r="Z108" i="25"/>
  <c r="M10" i="10"/>
  <c r="V74" i="25"/>
  <c r="Z90" i="25"/>
  <c r="Z99" i="25"/>
  <c r="AD97" i="25"/>
  <c r="AD84" i="25"/>
  <c r="AD104" i="25"/>
  <c r="AD94" i="25"/>
  <c r="AD76" i="25"/>
  <c r="AD91" i="25"/>
  <c r="AD81" i="25"/>
  <c r="AD106" i="25"/>
  <c r="AD96" i="25"/>
  <c r="AH104" i="25"/>
  <c r="V81" i="25"/>
  <c r="V99" i="25"/>
  <c r="Z95" i="25"/>
  <c r="AD77" i="25"/>
  <c r="AH103" i="25"/>
  <c r="AH93" i="25"/>
  <c r="AH6" i="25" s="1"/>
  <c r="V73" i="25"/>
  <c r="V98" i="25"/>
  <c r="Z91" i="25"/>
  <c r="Z70" i="25"/>
  <c r="AD107" i="25"/>
  <c r="AD85" i="25"/>
  <c r="AD102" i="25"/>
  <c r="AD4" i="25"/>
  <c r="AD5" i="25" s="1"/>
  <c r="AD92" i="25"/>
  <c r="AD87" i="25"/>
  <c r="AH83" i="25"/>
  <c r="AH107" i="25"/>
  <c r="AH73" i="25"/>
  <c r="AH71" i="25"/>
  <c r="AH102" i="25"/>
  <c r="V79" i="25"/>
  <c r="V70" i="25"/>
  <c r="V93" i="25"/>
  <c r="V6" i="25" s="1"/>
  <c r="V91" i="25"/>
  <c r="Z4" i="25"/>
  <c r="Z5" i="25" s="1"/>
  <c r="Z87" i="25"/>
  <c r="Z92" i="25"/>
  <c r="Z85" i="25"/>
  <c r="AD103" i="25"/>
  <c r="AD93" i="25"/>
  <c r="AD6" i="25" s="1"/>
  <c r="AD75" i="25"/>
  <c r="AD98" i="25"/>
  <c r="AH75" i="25"/>
  <c r="AH74" i="25"/>
  <c r="AH98" i="25"/>
  <c r="W46" i="25"/>
  <c r="W44" i="25"/>
  <c r="W34" i="25"/>
  <c r="W52" i="25"/>
  <c r="W37" i="25"/>
  <c r="W57" i="25"/>
  <c r="W61" i="25"/>
  <c r="W65" i="25"/>
  <c r="W42" i="25"/>
  <c r="W36" i="25"/>
  <c r="W47" i="25"/>
  <c r="W27" i="25"/>
  <c r="W38" i="25"/>
  <c r="W53" i="25"/>
  <c r="W54" i="25"/>
  <c r="W58" i="25"/>
  <c r="W62" i="25"/>
  <c r="W32" i="25"/>
  <c r="W31" i="25"/>
  <c r="W35" i="25"/>
  <c r="AB2" i="25"/>
  <c r="W45" i="25"/>
  <c r="W30" i="25"/>
  <c r="W33" i="25"/>
  <c r="W60" i="25"/>
  <c r="W41" i="25"/>
  <c r="W63" i="25"/>
  <c r="W48" i="25"/>
  <c r="W50" i="25"/>
  <c r="W55" i="25"/>
  <c r="W49" i="25"/>
  <c r="W51" i="25"/>
  <c r="W56" i="25"/>
  <c r="W64" i="25"/>
  <c r="W28" i="25"/>
  <c r="W26" i="25"/>
  <c r="W69" i="25" s="1"/>
  <c r="W29" i="25"/>
  <c r="W59" i="25"/>
  <c r="W39" i="25"/>
  <c r="W40" i="25"/>
  <c r="V89" i="25"/>
  <c r="V76" i="25"/>
  <c r="V85" i="25"/>
  <c r="V105" i="25"/>
  <c r="AE46" i="25"/>
  <c r="AE44" i="25"/>
  <c r="AE52" i="25"/>
  <c r="AE34" i="25"/>
  <c r="AE37" i="25"/>
  <c r="AE42" i="25"/>
  <c r="AE55" i="25"/>
  <c r="AE59" i="25"/>
  <c r="AE63" i="25"/>
  <c r="AE36" i="25"/>
  <c r="AE47" i="25"/>
  <c r="AE27" i="25"/>
  <c r="AE53" i="25"/>
  <c r="AE38" i="25"/>
  <c r="AE32" i="25"/>
  <c r="AE31" i="25"/>
  <c r="AE56" i="25"/>
  <c r="AE60" i="25"/>
  <c r="AE64" i="25"/>
  <c r="AE39" i="25"/>
  <c r="AE48" i="25"/>
  <c r="AE50" i="25"/>
  <c r="AE26" i="25"/>
  <c r="AE69" i="25" s="1"/>
  <c r="AE29" i="25"/>
  <c r="AE41" i="25"/>
  <c r="AE40" i="25"/>
  <c r="AE57" i="25"/>
  <c r="AE61" i="25"/>
  <c r="AE65" i="25"/>
  <c r="AE45" i="25"/>
  <c r="AE49" i="25"/>
  <c r="AE51" i="25"/>
  <c r="AE30" i="25"/>
  <c r="AE33" i="25"/>
  <c r="AE35" i="25"/>
  <c r="AE54" i="25"/>
  <c r="AE58" i="25"/>
  <c r="AE62" i="25"/>
  <c r="AE28" i="25"/>
  <c r="AJ2" i="25"/>
  <c r="Z73" i="25"/>
  <c r="Z88" i="25"/>
  <c r="AD108" i="25"/>
  <c r="AD79" i="25"/>
  <c r="AD99" i="25"/>
  <c r="AI48" i="25"/>
  <c r="AI51" i="25"/>
  <c r="AI26" i="25"/>
  <c r="AI69" i="25" s="1"/>
  <c r="AI57" i="25"/>
  <c r="AI61" i="25"/>
  <c r="AI65" i="25"/>
  <c r="AI29" i="25"/>
  <c r="AI36" i="25"/>
  <c r="AI32" i="25"/>
  <c r="AI45" i="25"/>
  <c r="AI49" i="25"/>
  <c r="AI52" i="25"/>
  <c r="AI54" i="25"/>
  <c r="AI58" i="25"/>
  <c r="AI62" i="25"/>
  <c r="AI30" i="25"/>
  <c r="AI33" i="25"/>
  <c r="AI41" i="25"/>
  <c r="AI39" i="25"/>
  <c r="AI46" i="25"/>
  <c r="AI44" i="25"/>
  <c r="AI53" i="25"/>
  <c r="AI55" i="25"/>
  <c r="AI59" i="25"/>
  <c r="AI63" i="25"/>
  <c r="AI34" i="25"/>
  <c r="AI37" i="25"/>
  <c r="AI35" i="25"/>
  <c r="AI31" i="25"/>
  <c r="AI47" i="25"/>
  <c r="AI50" i="25"/>
  <c r="AI27" i="25"/>
  <c r="AI56" i="25"/>
  <c r="AI60" i="25"/>
  <c r="AI64" i="25"/>
  <c r="AI38" i="25"/>
  <c r="AI28" i="25"/>
  <c r="AI40" i="25"/>
  <c r="AI42" i="25"/>
  <c r="AD72" i="25"/>
  <c r="AM47" i="25"/>
  <c r="AM27" i="25"/>
  <c r="AM38" i="25"/>
  <c r="AM54" i="25"/>
  <c r="AM58" i="25"/>
  <c r="AM62" i="25"/>
  <c r="AM32" i="25"/>
  <c r="AM51" i="25"/>
  <c r="AM28" i="25"/>
  <c r="AM35" i="25"/>
  <c r="AM48" i="25"/>
  <c r="AM26" i="25"/>
  <c r="AM69" i="25" s="1"/>
  <c r="AM29" i="25"/>
  <c r="AM55" i="25"/>
  <c r="AM59" i="25"/>
  <c r="AM63" i="25"/>
  <c r="AM41" i="25"/>
  <c r="AM53" i="25"/>
  <c r="AM36" i="25"/>
  <c r="AM45" i="25"/>
  <c r="AM49" i="25"/>
  <c r="AM30" i="25"/>
  <c r="AM33" i="25"/>
  <c r="AM56" i="25"/>
  <c r="AM60" i="25"/>
  <c r="AM64" i="25"/>
  <c r="AM50" i="25"/>
  <c r="AM31" i="25"/>
  <c r="AM39" i="25"/>
  <c r="AM46" i="25"/>
  <c r="AM44" i="25"/>
  <c r="AM34" i="25"/>
  <c r="AM37" i="25"/>
  <c r="AM57" i="25"/>
  <c r="AM61" i="25"/>
  <c r="AM65" i="25"/>
  <c r="AM42" i="25"/>
  <c r="AM40" i="25"/>
  <c r="AM52" i="25"/>
  <c r="AH70" i="25"/>
  <c r="AH85" i="25"/>
  <c r="V4" i="25"/>
  <c r="V5" i="25" s="1"/>
  <c r="V87" i="25"/>
  <c r="V92" i="25"/>
  <c r="V78" i="25"/>
  <c r="V75" i="25"/>
  <c r="V101" i="25"/>
  <c r="V7" i="25" s="1"/>
  <c r="Z77" i="25"/>
  <c r="Z79" i="25"/>
  <c r="AH79" i="25"/>
  <c r="AH77" i="25"/>
  <c r="AH72" i="25"/>
  <c r="AH4" i="25"/>
  <c r="AH5" i="25" s="1"/>
  <c r="AH92" i="25"/>
  <c r="AH87" i="25"/>
  <c r="AH78" i="25"/>
  <c r="AH106" i="25"/>
  <c r="V90" i="25"/>
  <c r="V80" i="25"/>
  <c r="V84" i="25"/>
  <c r="V106" i="25"/>
  <c r="V88" i="25"/>
  <c r="V72" i="25"/>
  <c r="V97" i="25"/>
  <c r="Z89" i="25"/>
  <c r="AA45" i="25"/>
  <c r="AA49" i="25"/>
  <c r="AA55" i="25"/>
  <c r="AA59" i="25"/>
  <c r="AA63" i="25"/>
  <c r="AA34" i="25"/>
  <c r="AA37" i="25"/>
  <c r="AA36" i="25"/>
  <c r="AA44" i="25"/>
  <c r="AA53" i="25"/>
  <c r="AA46" i="25"/>
  <c r="AA27" i="25"/>
  <c r="AA56" i="25"/>
  <c r="AA60" i="25"/>
  <c r="AA64" i="25"/>
  <c r="AA38" i="25"/>
  <c r="AA50" i="25"/>
  <c r="AA41" i="25"/>
  <c r="AA35" i="25"/>
  <c r="AA32" i="25"/>
  <c r="AF2" i="25"/>
  <c r="AA47" i="25"/>
  <c r="AA48" i="25"/>
  <c r="AA54" i="25"/>
  <c r="AA58" i="25"/>
  <c r="AA62" i="25"/>
  <c r="AA30" i="25"/>
  <c r="AA33" i="25"/>
  <c r="AA28" i="25"/>
  <c r="AA39" i="25"/>
  <c r="AA51" i="25"/>
  <c r="AA26" i="25"/>
  <c r="AA69" i="25" s="1"/>
  <c r="AA29" i="25"/>
  <c r="AA42" i="25"/>
  <c r="AA57" i="25"/>
  <c r="AA52" i="25"/>
  <c r="AA61" i="25"/>
  <c r="AA31" i="25"/>
  <c r="AA65" i="25"/>
  <c r="AA40" i="25"/>
  <c r="Z80" i="25"/>
  <c r="T53" i="13"/>
  <c r="I98" i="16"/>
  <c r="AB39" i="13"/>
  <c r="T27" i="13"/>
  <c r="J98" i="16"/>
  <c r="U36" i="13"/>
  <c r="W5" i="13"/>
  <c r="V51" i="13"/>
  <c r="V47" i="13"/>
  <c r="V42" i="13"/>
  <c r="V38" i="13"/>
  <c r="V50" i="13"/>
  <c r="V46" i="13"/>
  <c r="V41" i="13"/>
  <c r="V37" i="13"/>
  <c r="V52" i="13"/>
  <c r="V48" i="13"/>
  <c r="V43" i="13"/>
  <c r="V39" i="13"/>
  <c r="V34" i="13"/>
  <c r="V49" i="13"/>
  <c r="V44" i="13"/>
  <c r="V40" i="13"/>
  <c r="V35" i="13"/>
  <c r="V8" i="13"/>
  <c r="V11" i="13"/>
  <c r="V13" i="13"/>
  <c r="V15" i="13"/>
  <c r="V17" i="13"/>
  <c r="V20" i="13"/>
  <c r="V22" i="13"/>
  <c r="V24" i="13"/>
  <c r="V26" i="13"/>
  <c r="V16" i="13"/>
  <c r="V25" i="13"/>
  <c r="V14" i="13"/>
  <c r="V9" i="13"/>
  <c r="V18" i="13"/>
  <c r="V12" i="13"/>
  <c r="V21" i="13"/>
  <c r="V23" i="13"/>
  <c r="V21" i="14"/>
  <c r="V16" i="14"/>
  <c r="W4" i="14"/>
  <c r="W15" i="14" s="1"/>
  <c r="W8" i="14"/>
  <c r="W7" i="14"/>
  <c r="W5" i="14"/>
  <c r="W9" i="14"/>
  <c r="W11" i="14"/>
  <c r="W6" i="14"/>
  <c r="W10" i="14"/>
  <c r="U19" i="13"/>
  <c r="U10" i="13"/>
  <c r="L89" i="16"/>
  <c r="H98" i="16"/>
  <c r="L94" i="16"/>
  <c r="V20" i="14"/>
  <c r="V17" i="14"/>
  <c r="V18" i="14"/>
  <c r="U7" i="13"/>
  <c r="U45" i="13"/>
  <c r="L85" i="16"/>
  <c r="V22" i="14"/>
  <c r="V19" i="14"/>
  <c r="AH8" i="25" l="1"/>
  <c r="K111" i="16"/>
  <c r="I111" i="16"/>
  <c r="H111" i="16"/>
  <c r="AI78" i="25"/>
  <c r="AI73" i="25"/>
  <c r="L107" i="16"/>
  <c r="L102" i="16"/>
  <c r="AE71" i="25"/>
  <c r="AI85" i="25"/>
  <c r="AE78" i="25"/>
  <c r="AI80" i="25"/>
  <c r="AI81" i="25"/>
  <c r="AI70" i="25"/>
  <c r="AI82" i="25"/>
  <c r="AD8" i="25"/>
  <c r="AA105" i="25"/>
  <c r="W91" i="25"/>
  <c r="AA72" i="25"/>
  <c r="AI90" i="25"/>
  <c r="W90" i="25"/>
  <c r="AM103" i="25"/>
  <c r="W88" i="25"/>
  <c r="AI107" i="25"/>
  <c r="AA94" i="25"/>
  <c r="AM100" i="25"/>
  <c r="AI105" i="25"/>
  <c r="AA71" i="25"/>
  <c r="AE90" i="25"/>
  <c r="AA83" i="25"/>
  <c r="AA108" i="25"/>
  <c r="AA107" i="25"/>
  <c r="AM77" i="25"/>
  <c r="AI102" i="25"/>
  <c r="AE91" i="25"/>
  <c r="L98" i="16"/>
  <c r="AI98" i="25"/>
  <c r="AE88" i="25"/>
  <c r="AA103" i="25"/>
  <c r="AA100" i="25"/>
  <c r="AM74" i="25"/>
  <c r="AI79" i="25"/>
  <c r="AA96" i="25"/>
  <c r="AI93" i="25"/>
  <c r="AI6" i="25" s="1"/>
  <c r="AE105" i="25"/>
  <c r="AE76" i="25"/>
  <c r="W102" i="25"/>
  <c r="W107" i="25"/>
  <c r="AM79" i="25"/>
  <c r="W83" i="25"/>
  <c r="U53" i="13"/>
  <c r="AA104" i="25"/>
  <c r="AA101" i="25"/>
  <c r="AA7" i="25" s="1"/>
  <c r="AA93" i="25"/>
  <c r="AA6" i="25" s="1"/>
  <c r="AM83" i="25"/>
  <c r="AI83" i="25"/>
  <c r="AI103" i="25"/>
  <c r="AI77" i="25"/>
  <c r="AI96" i="25"/>
  <c r="AI84" i="25"/>
  <c r="AM76" i="25"/>
  <c r="AI72" i="25"/>
  <c r="AA95" i="25"/>
  <c r="AM85" i="25"/>
  <c r="AM80" i="25"/>
  <c r="AM82" i="25"/>
  <c r="AI71" i="25"/>
  <c r="AI99" i="25"/>
  <c r="AI74" i="25"/>
  <c r="AI106" i="25"/>
  <c r="AI76" i="25"/>
  <c r="AI95" i="25"/>
  <c r="AA99" i="25"/>
  <c r="AA106" i="25"/>
  <c r="AM89" i="25"/>
  <c r="AM73" i="25"/>
  <c r="AM78" i="25"/>
  <c r="AM70" i="25"/>
  <c r="AI101" i="25"/>
  <c r="AI7" i="25" s="1"/>
  <c r="AI108" i="25"/>
  <c r="AI94" i="25"/>
  <c r="AA97" i="25"/>
  <c r="AA102" i="25"/>
  <c r="AM84" i="25"/>
  <c r="AM72" i="25"/>
  <c r="AM71" i="25"/>
  <c r="AI97" i="25"/>
  <c r="AI75" i="25"/>
  <c r="AI104" i="25"/>
  <c r="AE101" i="25"/>
  <c r="AE7" i="25" s="1"/>
  <c r="AE73" i="25"/>
  <c r="AE83" i="25"/>
  <c r="AA74" i="25"/>
  <c r="AA85" i="25"/>
  <c r="AA82" i="25"/>
  <c r="AA90" i="25"/>
  <c r="AA84" i="25"/>
  <c r="AA77" i="25"/>
  <c r="AM95" i="25"/>
  <c r="AM104" i="25"/>
  <c r="AM4" i="25"/>
  <c r="AM5" i="25" s="1"/>
  <c r="AM87" i="25"/>
  <c r="AM92" i="25"/>
  <c r="AM93" i="25"/>
  <c r="AM102" i="25"/>
  <c r="AM91" i="25"/>
  <c r="AM75" i="25"/>
  <c r="AM81" i="25"/>
  <c r="AJ51" i="25"/>
  <c r="AJ27" i="25"/>
  <c r="AJ48" i="25"/>
  <c r="AJ57" i="25"/>
  <c r="AJ61" i="25"/>
  <c r="AJ65" i="25"/>
  <c r="AJ26" i="25"/>
  <c r="AJ69" i="25" s="1"/>
  <c r="AJ39" i="25"/>
  <c r="AJ41" i="25"/>
  <c r="AJ32" i="25"/>
  <c r="AJ52" i="25"/>
  <c r="AJ31" i="25"/>
  <c r="AJ54" i="25"/>
  <c r="AJ58" i="25"/>
  <c r="AJ62" i="25"/>
  <c r="AJ30" i="25"/>
  <c r="AJ29" i="25"/>
  <c r="AJ45" i="25"/>
  <c r="AJ33" i="25"/>
  <c r="AJ49" i="25"/>
  <c r="AJ53" i="25"/>
  <c r="AJ35" i="25"/>
  <c r="AJ55" i="25"/>
  <c r="AJ59" i="25"/>
  <c r="AJ63" i="25"/>
  <c r="AJ34" i="25"/>
  <c r="AJ37" i="25"/>
  <c r="AJ28" i="25"/>
  <c r="AJ40" i="25"/>
  <c r="AJ46" i="25"/>
  <c r="AJ38" i="25"/>
  <c r="AJ42" i="25"/>
  <c r="AJ47" i="25"/>
  <c r="AJ50" i="25"/>
  <c r="AJ44" i="25"/>
  <c r="AJ56" i="25"/>
  <c r="AJ60" i="25"/>
  <c r="AJ64" i="25"/>
  <c r="AJ36" i="25"/>
  <c r="AE97" i="25"/>
  <c r="AE94" i="25"/>
  <c r="AE104" i="25"/>
  <c r="AE72" i="25"/>
  <c r="AE82" i="25"/>
  <c r="AE74" i="25"/>
  <c r="AE70" i="25"/>
  <c r="AE102" i="25"/>
  <c r="AE77" i="25"/>
  <c r="W94" i="25"/>
  <c r="W76" i="25"/>
  <c r="W78" i="25"/>
  <c r="W101" i="25"/>
  <c r="W7" i="25" s="1"/>
  <c r="W70" i="25"/>
  <c r="W108" i="25"/>
  <c r="W95" i="25"/>
  <c r="AF46" i="25"/>
  <c r="AF44" i="25"/>
  <c r="AF53" i="25"/>
  <c r="AF27" i="25"/>
  <c r="AF33" i="25"/>
  <c r="AF56" i="25"/>
  <c r="AF60" i="25"/>
  <c r="AF64" i="25"/>
  <c r="AF41" i="25"/>
  <c r="AF28" i="25"/>
  <c r="AF47" i="25"/>
  <c r="AF50" i="25"/>
  <c r="AF26" i="25"/>
  <c r="AF69" i="25" s="1"/>
  <c r="AF30" i="25"/>
  <c r="AF42" i="25"/>
  <c r="AF57" i="25"/>
  <c r="AF61" i="25"/>
  <c r="AF65" i="25"/>
  <c r="AF29" i="25"/>
  <c r="AF39" i="25"/>
  <c r="AK2" i="25"/>
  <c r="AF48" i="25"/>
  <c r="AF51" i="25"/>
  <c r="AF31" i="25"/>
  <c r="AF34" i="25"/>
  <c r="AF54" i="25"/>
  <c r="AF58" i="25"/>
  <c r="AF62" i="25"/>
  <c r="AF36" i="25"/>
  <c r="AF37" i="25"/>
  <c r="AF45" i="25"/>
  <c r="AF49" i="25"/>
  <c r="AF52" i="25"/>
  <c r="AF35" i="25"/>
  <c r="AF38" i="25"/>
  <c r="AF55" i="25"/>
  <c r="AF59" i="25"/>
  <c r="AF63" i="25"/>
  <c r="AF32" i="25"/>
  <c r="AF40" i="25"/>
  <c r="AA4" i="25"/>
  <c r="AA5" i="25" s="1"/>
  <c r="AA87" i="25"/>
  <c r="AA92" i="25"/>
  <c r="AA88" i="25"/>
  <c r="AM107" i="25"/>
  <c r="AM96" i="25"/>
  <c r="AM98" i="25"/>
  <c r="AM105" i="25"/>
  <c r="AI88" i="25"/>
  <c r="AE100" i="25"/>
  <c r="AE107" i="25"/>
  <c r="AE75" i="25"/>
  <c r="AE98" i="25"/>
  <c r="AE95" i="25"/>
  <c r="W82" i="25"/>
  <c r="W71" i="25"/>
  <c r="W106" i="25"/>
  <c r="W73" i="25"/>
  <c r="W74" i="25"/>
  <c r="W97" i="25"/>
  <c r="W104" i="25"/>
  <c r="W77" i="25"/>
  <c r="AA76" i="25"/>
  <c r="AA75" i="25"/>
  <c r="AA81" i="25"/>
  <c r="AA70" i="25"/>
  <c r="AA79" i="25"/>
  <c r="AM101" i="25"/>
  <c r="AM90" i="25"/>
  <c r="AI4" i="25"/>
  <c r="AI5" i="25" s="1"/>
  <c r="AI87" i="25"/>
  <c r="AI92" i="25"/>
  <c r="AI91" i="25"/>
  <c r="AE93" i="25"/>
  <c r="AE6" i="25" s="1"/>
  <c r="AE103" i="25"/>
  <c r="AE81" i="25"/>
  <c r="AE79" i="25"/>
  <c r="AE85" i="25"/>
  <c r="AE4" i="25"/>
  <c r="AE5" i="25" s="1"/>
  <c r="AE87" i="25"/>
  <c r="AE92" i="25"/>
  <c r="W98" i="25"/>
  <c r="W84" i="25"/>
  <c r="W75" i="25"/>
  <c r="W96" i="25"/>
  <c r="W79" i="25"/>
  <c r="W100" i="25"/>
  <c r="W4" i="25"/>
  <c r="W5" i="25" s="1"/>
  <c r="W92" i="25"/>
  <c r="W87" i="25"/>
  <c r="V8" i="25"/>
  <c r="AA73" i="25"/>
  <c r="AA91" i="25"/>
  <c r="AA78" i="25"/>
  <c r="AA89" i="25"/>
  <c r="AA80" i="25"/>
  <c r="AA98" i="25"/>
  <c r="AM108" i="25"/>
  <c r="AM99" i="25"/>
  <c r="AM88" i="25"/>
  <c r="AM106" i="25"/>
  <c r="AM94" i="25"/>
  <c r="AM97" i="25"/>
  <c r="AI89" i="25"/>
  <c r="AI100" i="25"/>
  <c r="AE108" i="25"/>
  <c r="AE84" i="25"/>
  <c r="AE99" i="25"/>
  <c r="AE96" i="25"/>
  <c r="AE106" i="25"/>
  <c r="AE80" i="25"/>
  <c r="AE89" i="25"/>
  <c r="W72" i="25"/>
  <c r="W99" i="25"/>
  <c r="W93" i="25"/>
  <c r="W6" i="25" s="1"/>
  <c r="W103" i="25"/>
  <c r="AB46" i="25"/>
  <c r="AB31" i="25"/>
  <c r="AB55" i="25"/>
  <c r="AB59" i="25"/>
  <c r="AB63" i="25"/>
  <c r="AB34" i="25"/>
  <c r="AB37" i="25"/>
  <c r="AB50" i="25"/>
  <c r="AB41" i="25"/>
  <c r="AB51" i="25"/>
  <c r="AB60" i="25"/>
  <c r="AB38" i="25"/>
  <c r="AB42" i="25"/>
  <c r="AB26" i="25"/>
  <c r="AB69" i="25" s="1"/>
  <c r="AB47" i="25"/>
  <c r="AB35" i="25"/>
  <c r="AB56" i="25"/>
  <c r="AB64" i="25"/>
  <c r="AB52" i="25"/>
  <c r="AB62" i="25"/>
  <c r="AB44" i="25"/>
  <c r="AB48" i="25"/>
  <c r="AB39" i="25"/>
  <c r="AB57" i="25"/>
  <c r="AB61" i="25"/>
  <c r="AB65" i="25"/>
  <c r="AB27" i="25"/>
  <c r="AB53" i="25"/>
  <c r="AB28" i="25"/>
  <c r="AB33" i="25"/>
  <c r="AG2" i="25"/>
  <c r="AB49" i="25"/>
  <c r="AB45" i="25"/>
  <c r="AB54" i="25"/>
  <c r="AB58" i="25"/>
  <c r="AB30" i="25"/>
  <c r="AB40" i="25"/>
  <c r="AB29" i="25"/>
  <c r="AB32" i="25"/>
  <c r="AB36" i="25"/>
  <c r="W105" i="25"/>
  <c r="W81" i="25"/>
  <c r="W85" i="25"/>
  <c r="W80" i="25"/>
  <c r="W89" i="25"/>
  <c r="W20" i="14"/>
  <c r="W21" i="14"/>
  <c r="W22" i="14"/>
  <c r="W19" i="14"/>
  <c r="U27" i="13"/>
  <c r="W16" i="14"/>
  <c r="W17" i="14"/>
  <c r="V36" i="13"/>
  <c r="W39" i="13"/>
  <c r="W34" i="13"/>
  <c r="W46" i="13"/>
  <c r="W51" i="13"/>
  <c r="I123" i="16"/>
  <c r="K123" i="16"/>
  <c r="K117" i="16"/>
  <c r="K122" i="16"/>
  <c r="W26" i="13"/>
  <c r="W21" i="13"/>
  <c r="W11" i="13"/>
  <c r="I119" i="16"/>
  <c r="W16" i="13"/>
  <c r="W9" i="13"/>
  <c r="W20" i="13"/>
  <c r="W23" i="13"/>
  <c r="W18" i="13"/>
  <c r="W52" i="13"/>
  <c r="W49" i="13"/>
  <c r="W41" i="13"/>
  <c r="W37" i="13"/>
  <c r="W38" i="13"/>
  <c r="H117" i="16"/>
  <c r="J123" i="16"/>
  <c r="J121" i="16"/>
  <c r="H116" i="16"/>
  <c r="W25" i="13"/>
  <c r="H123" i="16"/>
  <c r="W8" i="13"/>
  <c r="I116" i="16"/>
  <c r="W15" i="13"/>
  <c r="J118" i="16"/>
  <c r="I117" i="16"/>
  <c r="H121" i="16"/>
  <c r="I118" i="16"/>
  <c r="W14" i="13"/>
  <c r="W43" i="13"/>
  <c r="W40" i="13"/>
  <c r="W50" i="13"/>
  <c r="W42" i="13"/>
  <c r="H119" i="16"/>
  <c r="K121" i="16"/>
  <c r="W22" i="13"/>
  <c r="W17" i="13"/>
  <c r="W48" i="13"/>
  <c r="W44" i="13"/>
  <c r="W47" i="13"/>
  <c r="W35" i="13"/>
  <c r="H118" i="16"/>
  <c r="J117" i="16"/>
  <c r="K119" i="16"/>
  <c r="J116" i="16"/>
  <c r="W24" i="13"/>
  <c r="I121" i="16"/>
  <c r="J122" i="16"/>
  <c r="W13" i="13"/>
  <c r="J119" i="16"/>
  <c r="K116" i="16"/>
  <c r="I122" i="16"/>
  <c r="H122" i="16"/>
  <c r="W12" i="13"/>
  <c r="W18" i="14"/>
  <c r="M9" i="10"/>
  <c r="V19" i="13"/>
  <c r="V10" i="13"/>
  <c r="M8" i="10"/>
  <c r="M11" i="10"/>
  <c r="V7" i="13"/>
  <c r="V45" i="13"/>
  <c r="V33" i="13"/>
  <c r="AB88" i="25" l="1"/>
  <c r="L111" i="16"/>
  <c r="Q137" i="16"/>
  <c r="J137" i="16"/>
  <c r="K136" i="16"/>
  <c r="R136" i="16"/>
  <c r="I138" i="16"/>
  <c r="P138" i="16"/>
  <c r="J132" i="16"/>
  <c r="Q132" i="16"/>
  <c r="H131" i="16"/>
  <c r="O131" i="16"/>
  <c r="K133" i="16"/>
  <c r="R133" i="16"/>
  <c r="H133" i="16"/>
  <c r="O133" i="16"/>
  <c r="J136" i="16"/>
  <c r="Q136" i="16"/>
  <c r="J138" i="16"/>
  <c r="Q138" i="16"/>
  <c r="I134" i="16"/>
  <c r="P134" i="16"/>
  <c r="K138" i="16"/>
  <c r="R138" i="16"/>
  <c r="H134" i="16"/>
  <c r="O134" i="16"/>
  <c r="Q131" i="16"/>
  <c r="J131" i="16"/>
  <c r="I137" i="16"/>
  <c r="P137" i="16"/>
  <c r="I133" i="16"/>
  <c r="P133" i="16"/>
  <c r="H132" i="16"/>
  <c r="O132" i="16"/>
  <c r="I131" i="16"/>
  <c r="P131" i="16"/>
  <c r="H138" i="16"/>
  <c r="O138" i="16"/>
  <c r="H137" i="16"/>
  <c r="O137" i="16"/>
  <c r="R131" i="16"/>
  <c r="K131" i="16"/>
  <c r="H136" i="16"/>
  <c r="O136" i="16"/>
  <c r="I136" i="16"/>
  <c r="P136" i="16"/>
  <c r="K134" i="16"/>
  <c r="R134" i="16"/>
  <c r="J134" i="16"/>
  <c r="Q134" i="16"/>
  <c r="I132" i="16"/>
  <c r="P132" i="16"/>
  <c r="K132" i="16"/>
  <c r="R132" i="16"/>
  <c r="J133" i="16"/>
  <c r="Q133" i="16"/>
  <c r="K137" i="16"/>
  <c r="R137" i="16"/>
  <c r="AI8" i="25"/>
  <c r="K16" i="25"/>
  <c r="AF98" i="25"/>
  <c r="AB104" i="25"/>
  <c r="AB97" i="25"/>
  <c r="AA8" i="25"/>
  <c r="AB72" i="25"/>
  <c r="AF83" i="25"/>
  <c r="AF75" i="25"/>
  <c r="AJ93" i="25"/>
  <c r="AJ6" i="25" s="1"/>
  <c r="AF77" i="25"/>
  <c r="AF81" i="25"/>
  <c r="AF78" i="25"/>
  <c r="AF91" i="25"/>
  <c r="AJ76" i="25"/>
  <c r="W8" i="25"/>
  <c r="AJ81" i="25"/>
  <c r="AJ107" i="25"/>
  <c r="AF80" i="25"/>
  <c r="AJ103" i="25"/>
  <c r="AJ106" i="25"/>
  <c r="AF79" i="25"/>
  <c r="AJ99" i="25"/>
  <c r="AJ102" i="25"/>
  <c r="AJ79" i="25"/>
  <c r="AJ77" i="25"/>
  <c r="AJ80" i="25"/>
  <c r="AB76" i="25"/>
  <c r="AF101" i="25"/>
  <c r="AF7" i="25" s="1"/>
  <c r="AJ78" i="25"/>
  <c r="AB83" i="25"/>
  <c r="AB71" i="25"/>
  <c r="AF106" i="25"/>
  <c r="AJ83" i="25"/>
  <c r="AJ85" i="25"/>
  <c r="AJ71" i="25"/>
  <c r="AJ72" i="25"/>
  <c r="AJ89" i="25"/>
  <c r="AE8" i="25"/>
  <c r="AF88" i="25"/>
  <c r="AB101" i="25"/>
  <c r="AB7" i="25" s="1"/>
  <c r="AF74" i="25"/>
  <c r="AF82" i="25"/>
  <c r="AJ98" i="25"/>
  <c r="AJ105" i="25"/>
  <c r="AB108" i="25"/>
  <c r="AB91" i="25"/>
  <c r="AF72" i="25"/>
  <c r="AF85" i="25"/>
  <c r="AF90" i="25"/>
  <c r="AJ96" i="25"/>
  <c r="AB79" i="25"/>
  <c r="AB73" i="25"/>
  <c r="AF102" i="25"/>
  <c r="AB75" i="25"/>
  <c r="AG51" i="25"/>
  <c r="AG46" i="25"/>
  <c r="AG55" i="25"/>
  <c r="AG59" i="25"/>
  <c r="AG63" i="25"/>
  <c r="AG32" i="25"/>
  <c r="AG35" i="25"/>
  <c r="AG37" i="25"/>
  <c r="AG30" i="25"/>
  <c r="AG40" i="25"/>
  <c r="AG60" i="25"/>
  <c r="AG36" i="25"/>
  <c r="AG33" i="25"/>
  <c r="AG38" i="25"/>
  <c r="AG45" i="25"/>
  <c r="AG31" i="25"/>
  <c r="AG52" i="25"/>
  <c r="AG47" i="25"/>
  <c r="AG56" i="25"/>
  <c r="AG64" i="25"/>
  <c r="AG49" i="25"/>
  <c r="AG58" i="25"/>
  <c r="AG29" i="25"/>
  <c r="AG44" i="25"/>
  <c r="AG53" i="25"/>
  <c r="AG48" i="25"/>
  <c r="AG57" i="25"/>
  <c r="AG61" i="25"/>
  <c r="AG65" i="25"/>
  <c r="AG26" i="25"/>
  <c r="AG69" i="25" s="1"/>
  <c r="AG34" i="25"/>
  <c r="AG42" i="25"/>
  <c r="AG41" i="25"/>
  <c r="AG54" i="25"/>
  <c r="AG62" i="25"/>
  <c r="AG27" i="25"/>
  <c r="AG50" i="25"/>
  <c r="AG28" i="25"/>
  <c r="AG39" i="25"/>
  <c r="AL2" i="25"/>
  <c r="AB70" i="25"/>
  <c r="AB82" i="25"/>
  <c r="AB95" i="25"/>
  <c r="AB90" i="25"/>
  <c r="AB103" i="25"/>
  <c r="AB80" i="25"/>
  <c r="AB98" i="25"/>
  <c r="AF105" i="25"/>
  <c r="AF100" i="25"/>
  <c r="AF93" i="25"/>
  <c r="AF6" i="25" s="1"/>
  <c r="AF107" i="25"/>
  <c r="AF70" i="25"/>
  <c r="AJ4" i="25"/>
  <c r="AJ5" i="25" s="1"/>
  <c r="AJ92" i="25"/>
  <c r="AJ87" i="25"/>
  <c r="AJ95" i="25"/>
  <c r="AJ91" i="25"/>
  <c r="AM6" i="25"/>
  <c r="K14" i="25"/>
  <c r="K13" i="25"/>
  <c r="K17" i="25"/>
  <c r="AB107" i="25"/>
  <c r="AB94" i="25"/>
  <c r="AB77" i="25"/>
  <c r="AB74" i="25"/>
  <c r="AF94" i="25"/>
  <c r="AF103" i="25"/>
  <c r="AF96" i="25"/>
  <c r="AJ88" i="25"/>
  <c r="AJ101" i="25"/>
  <c r="AJ7" i="25" s="1"/>
  <c r="AJ75" i="25"/>
  <c r="AJ108" i="25"/>
  <c r="AJ70" i="25"/>
  <c r="AB4" i="25"/>
  <c r="AB5" i="25" s="1"/>
  <c r="AB87" i="25"/>
  <c r="AB92" i="25"/>
  <c r="AB99" i="25"/>
  <c r="AB85" i="25"/>
  <c r="AB84" i="25"/>
  <c r="AB106" i="25"/>
  <c r="AB89" i="25"/>
  <c r="K18" i="25"/>
  <c r="AF97" i="25"/>
  <c r="AF108" i="25"/>
  <c r="AF73" i="25"/>
  <c r="AF71" i="25"/>
  <c r="AF99" i="25"/>
  <c r="AF4" i="25"/>
  <c r="AF5" i="25" s="1"/>
  <c r="AF92" i="25"/>
  <c r="AF87" i="25"/>
  <c r="AJ90" i="25"/>
  <c r="AJ97" i="25"/>
  <c r="AJ84" i="25"/>
  <c r="AJ104" i="25"/>
  <c r="AJ94" i="25"/>
  <c r="AB96" i="25"/>
  <c r="AB100" i="25"/>
  <c r="AB105" i="25"/>
  <c r="AB78" i="25"/>
  <c r="AB81" i="25"/>
  <c r="AB93" i="25"/>
  <c r="AB6" i="25" s="1"/>
  <c r="AB102" i="25"/>
  <c r="AM7" i="25"/>
  <c r="K15" i="25"/>
  <c r="AF95" i="25"/>
  <c r="AK47" i="25"/>
  <c r="AK51" i="25"/>
  <c r="AK55" i="25"/>
  <c r="AK59" i="25"/>
  <c r="AK63" i="25"/>
  <c r="AK32" i="25"/>
  <c r="AK35" i="25"/>
  <c r="AK41" i="25"/>
  <c r="AK37" i="25"/>
  <c r="AK29" i="25"/>
  <c r="AK44" i="25"/>
  <c r="AK48" i="25"/>
  <c r="AK52" i="25"/>
  <c r="AK56" i="25"/>
  <c r="AK60" i="25"/>
  <c r="AK64" i="25"/>
  <c r="AK36" i="25"/>
  <c r="AK30" i="25"/>
  <c r="AK40" i="25"/>
  <c r="AK42" i="25"/>
  <c r="AK39" i="25"/>
  <c r="AK45" i="25"/>
  <c r="AK49" i="25"/>
  <c r="AK53" i="25"/>
  <c r="AK57" i="25"/>
  <c r="AK61" i="25"/>
  <c r="AK65" i="25"/>
  <c r="AK27" i="25"/>
  <c r="AK38" i="25"/>
  <c r="AK26" i="25"/>
  <c r="AK69" i="25" s="1"/>
  <c r="AK34" i="25"/>
  <c r="AK33" i="25"/>
  <c r="AK46" i="25"/>
  <c r="AK50" i="25"/>
  <c r="AK54" i="25"/>
  <c r="AK58" i="25"/>
  <c r="AK62" i="25"/>
  <c r="AK28" i="25"/>
  <c r="AK31" i="25"/>
  <c r="AF104" i="25"/>
  <c r="AF84" i="25"/>
  <c r="AF76" i="25"/>
  <c r="AF89" i="25"/>
  <c r="AJ73" i="25"/>
  <c r="AJ74" i="25"/>
  <c r="AJ82" i="25"/>
  <c r="AJ100" i="25"/>
  <c r="AM34" i="13"/>
  <c r="K120" i="16"/>
  <c r="I120" i="16"/>
  <c r="J120" i="16"/>
  <c r="AB19" i="14"/>
  <c r="AB18" i="14"/>
  <c r="V27" i="13"/>
  <c r="V53" i="13"/>
  <c r="M12" i="10"/>
  <c r="L118" i="16"/>
  <c r="W7" i="13"/>
  <c r="L123" i="16"/>
  <c r="AB17" i="14"/>
  <c r="K115" i="16"/>
  <c r="L121" i="16"/>
  <c r="H120" i="16"/>
  <c r="I115" i="16"/>
  <c r="H115" i="16"/>
  <c r="L116" i="16"/>
  <c r="W33" i="13"/>
  <c r="AH33" i="13" s="1"/>
  <c r="W36" i="13"/>
  <c r="AC34" i="13" s="1"/>
  <c r="L119" i="16"/>
  <c r="L122" i="16"/>
  <c r="J115" i="16"/>
  <c r="L117" i="16"/>
  <c r="W19" i="13"/>
  <c r="W10" i="13"/>
  <c r="AM33" i="13"/>
  <c r="W45" i="13"/>
  <c r="AK101" i="25" l="1"/>
  <c r="AK7" i="25" s="1"/>
  <c r="AK105" i="25"/>
  <c r="AK100" i="25"/>
  <c r="H130" i="16"/>
  <c r="O130" i="16"/>
  <c r="S132" i="16"/>
  <c r="L132" i="16"/>
  <c r="J135" i="16"/>
  <c r="Q135" i="16"/>
  <c r="K130" i="16"/>
  <c r="R130" i="16"/>
  <c r="J130" i="16"/>
  <c r="Q130" i="16"/>
  <c r="L137" i="16"/>
  <c r="S137" i="16"/>
  <c r="I135" i="16"/>
  <c r="P135" i="16"/>
  <c r="H135" i="16"/>
  <c r="O135" i="16"/>
  <c r="L134" i="16"/>
  <c r="S134" i="16"/>
  <c r="I130" i="16"/>
  <c r="P130" i="16"/>
  <c r="L138" i="16"/>
  <c r="S138" i="16"/>
  <c r="K135" i="16"/>
  <c r="R135" i="16"/>
  <c r="L133" i="16"/>
  <c r="S133" i="16"/>
  <c r="L136" i="16"/>
  <c r="S136" i="16"/>
  <c r="S131" i="16"/>
  <c r="L131" i="16"/>
  <c r="AJ8" i="25"/>
  <c r="AK95" i="25"/>
  <c r="AK90" i="25"/>
  <c r="K19" i="25"/>
  <c r="AG97" i="25"/>
  <c r="AK97" i="25"/>
  <c r="AK89" i="25"/>
  <c r="AK108" i="25"/>
  <c r="AG105" i="25"/>
  <c r="AG108" i="25"/>
  <c r="AG104" i="25"/>
  <c r="AB8" i="25"/>
  <c r="AG100" i="25"/>
  <c r="AF8" i="25"/>
  <c r="AG71" i="25"/>
  <c r="AG93" i="25"/>
  <c r="AG6" i="25" s="1"/>
  <c r="AG96" i="25"/>
  <c r="AK88" i="25"/>
  <c r="AK71" i="25"/>
  <c r="AM35" i="13"/>
  <c r="AG99" i="25"/>
  <c r="AG70" i="25"/>
  <c r="AG85" i="25"/>
  <c r="AG107" i="25"/>
  <c r="AG74" i="25"/>
  <c r="AG79" i="25"/>
  <c r="AG80" i="25"/>
  <c r="AG102" i="25"/>
  <c r="AK93" i="25"/>
  <c r="AK6" i="25" s="1"/>
  <c r="AK104" i="25"/>
  <c r="AK99" i="25"/>
  <c r="AK94" i="25"/>
  <c r="AG82" i="25"/>
  <c r="AG77" i="25"/>
  <c r="AG72" i="25"/>
  <c r="AG103" i="25"/>
  <c r="AG78" i="25"/>
  <c r="AG84" i="25"/>
  <c r="AK81" i="25"/>
  <c r="AK82" i="25"/>
  <c r="AK79" i="25"/>
  <c r="AK80" i="25"/>
  <c r="AK106" i="25"/>
  <c r="AG88" i="25"/>
  <c r="AG98" i="25"/>
  <c r="AK72" i="25"/>
  <c r="AK76" i="25"/>
  <c r="AK70" i="25"/>
  <c r="AK96" i="25"/>
  <c r="AK85" i="25"/>
  <c r="AK107" i="25"/>
  <c r="AK91" i="25"/>
  <c r="AK84" i="25"/>
  <c r="AK102" i="25"/>
  <c r="AM8" i="25"/>
  <c r="AG91" i="25"/>
  <c r="AG101" i="25"/>
  <c r="AG7" i="25" s="1"/>
  <c r="AG90" i="25"/>
  <c r="AG81" i="25"/>
  <c r="AG83" i="25"/>
  <c r="AG75" i="25"/>
  <c r="AG89" i="25"/>
  <c r="AK73" i="25"/>
  <c r="AK75" i="25"/>
  <c r="AL48" i="25"/>
  <c r="AL55" i="25"/>
  <c r="AL59" i="25"/>
  <c r="AL63" i="25"/>
  <c r="AL33" i="25"/>
  <c r="AL32" i="25"/>
  <c r="AL27" i="25"/>
  <c r="AL41" i="25"/>
  <c r="AL50" i="25"/>
  <c r="AL45" i="25"/>
  <c r="AL26" i="25"/>
  <c r="AL69" i="25" s="1"/>
  <c r="AL56" i="25"/>
  <c r="AL60" i="25"/>
  <c r="AL64" i="25"/>
  <c r="AL37" i="25"/>
  <c r="AL36" i="25"/>
  <c r="AL31" i="25"/>
  <c r="AL30" i="25"/>
  <c r="AL52" i="25"/>
  <c r="AL35" i="25"/>
  <c r="AL46" i="25"/>
  <c r="AL49" i="25"/>
  <c r="AL57" i="25"/>
  <c r="AL61" i="25"/>
  <c r="AL65" i="25"/>
  <c r="AL44" i="25"/>
  <c r="AL51" i="25"/>
  <c r="AL40" i="25"/>
  <c r="AL38" i="25"/>
  <c r="AL47" i="25"/>
  <c r="AL54" i="25"/>
  <c r="AL58" i="25"/>
  <c r="AL62" i="25"/>
  <c r="AL29" i="25"/>
  <c r="AL28" i="25"/>
  <c r="AL53" i="25"/>
  <c r="AL42" i="25"/>
  <c r="AL39" i="25"/>
  <c r="AL34" i="25"/>
  <c r="AG4" i="25"/>
  <c r="AG5" i="25" s="1"/>
  <c r="AG87" i="25"/>
  <c r="AG92" i="25"/>
  <c r="AK74" i="25"/>
  <c r="AK77" i="25"/>
  <c r="AK83" i="25"/>
  <c r="AK103" i="25"/>
  <c r="AK4" i="25"/>
  <c r="AK5" i="25" s="1"/>
  <c r="AK92" i="25"/>
  <c r="AK87" i="25"/>
  <c r="AK78" i="25"/>
  <c r="AK98" i="25"/>
  <c r="AG95" i="25"/>
  <c r="AG76" i="25"/>
  <c r="AG73" i="25"/>
  <c r="AG106" i="25"/>
  <c r="AG94" i="25"/>
  <c r="L115" i="16"/>
  <c r="I124" i="16"/>
  <c r="L120" i="16"/>
  <c r="AB20" i="14"/>
  <c r="K124" i="16"/>
  <c r="W27" i="13"/>
  <c r="AC8" i="13" s="1"/>
  <c r="AC36" i="13"/>
  <c r="AC35" i="13"/>
  <c r="W53" i="13"/>
  <c r="J124" i="16"/>
  <c r="AC38" i="13"/>
  <c r="AC33" i="13"/>
  <c r="AC37" i="13"/>
  <c r="AH34" i="13"/>
  <c r="AH35" i="13" s="1"/>
  <c r="H124" i="16"/>
  <c r="AK8" i="25" l="1"/>
  <c r="AL85" i="25"/>
  <c r="L135" i="16"/>
  <c r="S135" i="16"/>
  <c r="I139" i="16"/>
  <c r="P139" i="16"/>
  <c r="L130" i="16"/>
  <c r="S130" i="16"/>
  <c r="J139" i="16"/>
  <c r="Q139" i="16"/>
  <c r="K139" i="16"/>
  <c r="R139" i="16"/>
  <c r="H139" i="16"/>
  <c r="O139" i="16"/>
  <c r="AG8" i="25"/>
  <c r="AL90" i="25"/>
  <c r="AL73" i="25"/>
  <c r="AL81" i="25"/>
  <c r="AL74" i="25"/>
  <c r="AL83" i="25"/>
  <c r="AL71" i="25"/>
  <c r="AL72" i="25"/>
  <c r="AL77" i="25"/>
  <c r="AL80" i="25"/>
  <c r="AL82" i="25"/>
  <c r="AL78" i="25"/>
  <c r="AL105" i="25"/>
  <c r="AL89" i="25"/>
  <c r="AL108" i="25"/>
  <c r="AL96" i="25"/>
  <c r="AL101" i="25"/>
  <c r="AL7" i="25" s="1"/>
  <c r="AL97" i="25"/>
  <c r="AL94" i="25"/>
  <c r="N10" i="10"/>
  <c r="N9" i="10"/>
  <c r="AL4" i="25"/>
  <c r="AL5" i="25" s="1"/>
  <c r="AL87" i="25"/>
  <c r="AL92" i="25"/>
  <c r="AL107" i="25"/>
  <c r="AL88" i="25"/>
  <c r="AL75" i="25"/>
  <c r="AL98" i="25"/>
  <c r="AL103" i="25"/>
  <c r="AL93" i="25"/>
  <c r="AL6" i="25" s="1"/>
  <c r="AL76" i="25"/>
  <c r="AL91" i="25"/>
  <c r="AL104" i="25"/>
  <c r="AL79" i="25"/>
  <c r="AL99" i="25"/>
  <c r="AL84" i="25"/>
  <c r="AL106" i="25"/>
  <c r="AL100" i="25"/>
  <c r="AL95" i="25"/>
  <c r="AL70" i="25"/>
  <c r="AL102" i="25"/>
  <c r="AC39" i="13"/>
  <c r="L124" i="16"/>
  <c r="L139" i="16" l="1"/>
  <c r="S139" i="16"/>
  <c r="AL8" i="25"/>
  <c r="N11" i="10"/>
  <c r="N8" i="10"/>
  <c r="N1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 Gaël</author>
  </authors>
  <commentList>
    <comment ref="S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S3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 Gaël</author>
  </authors>
  <commentList>
    <comment ref="G16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la différence correspond au consommation de gaz du secteur 2201</t>
        </r>
      </text>
    </comment>
    <comment ref="G29" authorId="0" shapeId="0" xr:uid="{141798AC-1BCC-40CE-9636-39078B2DA552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la différence correspond au consommation de gaz du secteur 2201</t>
        </r>
      </text>
    </comment>
    <comment ref="G55" authorId="0" shapeId="0" xr:uid="{F0C485F9-DD62-4EDC-8E99-640FA0CFE531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la différence correspond au consommation de gaz du secteur 2201</t>
        </r>
      </text>
    </comment>
    <comment ref="G68" authorId="0" shapeId="0" xr:uid="{A851B7CF-4ACB-4533-8058-73180FE5E626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la différence correspond au consommation de gaz du secteur 2201</t>
        </r>
      </text>
    </comment>
    <comment ref="G81" authorId="0" shapeId="0" xr:uid="{D0F52C1E-B813-4B6F-9A8C-439492D3E42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la différence correspond au consommation de gaz du secteur 2201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CALLONNEC Gaël</author>
  </authors>
  <commentList>
    <comment ref="S27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S3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S70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  <comment ref="S78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CALLONNEC Gaël:</t>
        </r>
        <r>
          <rPr>
            <sz val="9"/>
            <color indexed="81"/>
            <rFont val="Tahoma"/>
            <family val="2"/>
          </rPr>
          <t xml:space="preserve">
Cela est dû à un problème de report modal fioul gaz dans le résidentiel voir onglet suivant.</t>
        </r>
      </text>
    </comment>
  </commentList>
</comments>
</file>

<file path=xl/sharedStrings.xml><?xml version="1.0" encoding="utf-8"?>
<sst xmlns="http://schemas.openxmlformats.org/spreadsheetml/2006/main" count="1715" uniqueCount="537">
  <si>
    <t>Refined petroleum products</t>
  </si>
  <si>
    <t>Total</t>
  </si>
  <si>
    <t>Oil</t>
  </si>
  <si>
    <t>Biofuels</t>
  </si>
  <si>
    <t>Electric power generation, transmission and distribution</t>
  </si>
  <si>
    <t>Nuclear</t>
  </si>
  <si>
    <t>Fuel</t>
  </si>
  <si>
    <t>Combined gas</t>
  </si>
  <si>
    <t>Coal</t>
  </si>
  <si>
    <t>Wind</t>
  </si>
  <si>
    <t>Solar</t>
  </si>
  <si>
    <t>Hydraulic</t>
  </si>
  <si>
    <t>Cogeneration (CHP)</t>
  </si>
  <si>
    <t>Natural gas</t>
  </si>
  <si>
    <t>Wood</t>
  </si>
  <si>
    <t>Biogas</t>
  </si>
  <si>
    <t>Waste incineration</t>
  </si>
  <si>
    <t>Geothermal</t>
  </si>
  <si>
    <t>Transport</t>
  </si>
  <si>
    <t>Personal vehicles</t>
  </si>
  <si>
    <t xml:space="preserve">Public and freight transport </t>
  </si>
  <si>
    <t>Residential</t>
  </si>
  <si>
    <t>Service</t>
  </si>
  <si>
    <t>Industry and agriculture</t>
  </si>
  <si>
    <t xml:space="preserve">Industry </t>
  </si>
  <si>
    <t>Agriculture</t>
  </si>
  <si>
    <t>Total Final Mtep</t>
  </si>
  <si>
    <t>Class A</t>
  </si>
  <si>
    <t>Class B</t>
  </si>
  <si>
    <t>Class C</t>
  </si>
  <si>
    <t>Class D</t>
  </si>
  <si>
    <t>Class E</t>
  </si>
  <si>
    <t>Class F</t>
  </si>
  <si>
    <t>Class G</t>
  </si>
  <si>
    <t>Electricity</t>
  </si>
  <si>
    <t>Gas</t>
  </si>
  <si>
    <t>coal</t>
  </si>
  <si>
    <t>oil</t>
  </si>
  <si>
    <t>elec</t>
  </si>
  <si>
    <t>gas</t>
  </si>
  <si>
    <t>decarb</t>
  </si>
  <si>
    <t>Total Final MTEC</t>
  </si>
  <si>
    <t>charbon</t>
  </si>
  <si>
    <t>Verif</t>
  </si>
  <si>
    <t>stock of housing and %</t>
  </si>
  <si>
    <t>ER_AUTO_0</t>
  </si>
  <si>
    <t>ER_AUTO_TH_A_0</t>
  </si>
  <si>
    <t>ER_AUTO_TH_B_0</t>
  </si>
  <si>
    <t>ER_AUTO_TH_C_0</t>
  </si>
  <si>
    <t>ER_AUTO_TH_D_0</t>
  </si>
  <si>
    <t>ER_AUTO_TH_E_0</t>
  </si>
  <si>
    <t>ER_AUTO_TH_F_0</t>
  </si>
  <si>
    <t>ER_AUTO_TH_G_0</t>
  </si>
  <si>
    <t>ER_AUTO_ELEC_A_0</t>
  </si>
  <si>
    <t>ER_AUTO_ELEC_B_0</t>
  </si>
  <si>
    <t>ER_AUTO_ELEC_C_0</t>
  </si>
  <si>
    <t>ER_AUTO_ELEC_D_0</t>
  </si>
  <si>
    <t>ER_AUTO_ELEC_E_0</t>
  </si>
  <si>
    <t>ER_AUTO_ELEC_F_0</t>
  </si>
  <si>
    <t>ER_AUTO_ELEC_G_0</t>
  </si>
  <si>
    <t>ER_AUTO_COAL_0</t>
  </si>
  <si>
    <t>ER_AUTO_TH_0</t>
  </si>
  <si>
    <t>ER_AUTO_ELEC_0</t>
  </si>
  <si>
    <t>ER_AUTO_GAS_0</t>
  </si>
  <si>
    <t>ER_NEWAUTO_0</t>
  </si>
  <si>
    <t>ER_NEWAUTO_TH_0</t>
  </si>
  <si>
    <t>ER_NEWAUTO_TH_A_0</t>
  </si>
  <si>
    <t>ER_NEWAUTO_TH_B_0</t>
  </si>
  <si>
    <t>ER_NEWAUTO_TH_C_0</t>
  </si>
  <si>
    <t>ER_NEWAUTO_TH_D_0</t>
  </si>
  <si>
    <t>ER_NEWAUTO_TH_E_0</t>
  </si>
  <si>
    <t>ER_NEWAUTO_TH_F_0</t>
  </si>
  <si>
    <t>ER_NEWAUTO_TH_G_0</t>
  </si>
  <si>
    <t>ER_NEWAUTO_ELEC_0</t>
  </si>
  <si>
    <t>ER_NEWAUTO_ELEC_A_0</t>
  </si>
  <si>
    <t>ER_NEWAUTO_ELEC_B_0</t>
  </si>
  <si>
    <t>ER_NEWAUTO_ELEC_C_0</t>
  </si>
  <si>
    <t>ER_NEWAUTO_ELEC_D_0</t>
  </si>
  <si>
    <t>ER_NEWAUTO_ELEC_E_0</t>
  </si>
  <si>
    <t>ER_NEWAUTO_ELEC_F_0</t>
  </si>
  <si>
    <t>ER_NEWAUTO_ELEC_G_0</t>
  </si>
  <si>
    <t>ER_BUIL_0</t>
  </si>
  <si>
    <t>ER_BUIL_A_0</t>
  </si>
  <si>
    <t>ER_BUIL_B_0</t>
  </si>
  <si>
    <t>ER_BUIL_C_0</t>
  </si>
  <si>
    <t>ER_BUIL_D_0</t>
  </si>
  <si>
    <t>ER_BUIL_E_0</t>
  </si>
  <si>
    <t>ER_BUIL_F_0</t>
  </si>
  <si>
    <t>ER_BUIL_G_0</t>
  </si>
  <si>
    <t>ER_Oil_0</t>
  </si>
  <si>
    <t>ER_elec_0</t>
  </si>
  <si>
    <t>ER_Gas_0</t>
  </si>
  <si>
    <t>ER_coal_0</t>
  </si>
  <si>
    <t>ER_Total_0</t>
  </si>
  <si>
    <t>electric</t>
  </si>
  <si>
    <t>Combustion</t>
  </si>
  <si>
    <t>ER_Elec_2301_0</t>
  </si>
  <si>
    <t>ER_elec_2302_0</t>
  </si>
  <si>
    <t>ER_Elec_2303_0</t>
  </si>
  <si>
    <t>ER_elec_2304_0</t>
  </si>
  <si>
    <t>ER_Elec_2305_0</t>
  </si>
  <si>
    <t>ER_elec_2306_0</t>
  </si>
  <si>
    <t>ER_Elec_2307_0</t>
  </si>
  <si>
    <t>ER_elec_2308_0</t>
  </si>
  <si>
    <t>ER_oil_2201_0</t>
  </si>
  <si>
    <t>ER_oil_2202_0</t>
  </si>
  <si>
    <t>ER_Gas_2401_0</t>
  </si>
  <si>
    <t>ER_Gas_2402_0</t>
  </si>
  <si>
    <t>ER_Gas_2403_0</t>
  </si>
  <si>
    <t>ER_Gas_2404_0</t>
  </si>
  <si>
    <t>ER_Gas_2405_0</t>
  </si>
  <si>
    <t>ER_Gas_2406_0</t>
  </si>
  <si>
    <t>Q_Mtep_ep_2201_0</t>
  </si>
  <si>
    <t>Q_Mtep_ep_2202_0</t>
  </si>
  <si>
    <t>Q_Mtep_ep_2301_0</t>
  </si>
  <si>
    <t>Q_Mtep_ep_2302_0</t>
  </si>
  <si>
    <t>Q_Mtep_ep_2303_0</t>
  </si>
  <si>
    <t>Q_Mtep_ep_2304_0</t>
  </si>
  <si>
    <t>Q_Mtep_ep_2305_0</t>
  </si>
  <si>
    <t>Q_Mtep_ep_2306_0</t>
  </si>
  <si>
    <t>Q_Mtep_ep_2307_0</t>
  </si>
  <si>
    <t>Q_Mtep_ep_2308_0</t>
  </si>
  <si>
    <t>Q_Mtep_ep_2401_0</t>
  </si>
  <si>
    <t>Q_Mtep_ep_2402_0</t>
  </si>
  <si>
    <t>Q_Mtep_ep_2403_0</t>
  </si>
  <si>
    <t>Q_Mtep_ep_2404_0</t>
  </si>
  <si>
    <t>Q_Mtep_ep_2405_0</t>
  </si>
  <si>
    <t>Q_Mtep_ep_2406_0</t>
  </si>
  <si>
    <t>Q_Mtep_ep_21_0</t>
  </si>
  <si>
    <t>Industry non energetic uses</t>
  </si>
  <si>
    <t>gas biogas biomass</t>
  </si>
  <si>
    <t>fuel and biofuel</t>
  </si>
  <si>
    <t>Hors bois domestique non marchand, avec consommation à double usage</t>
  </si>
  <si>
    <t>New vehicle sales</t>
  </si>
  <si>
    <t>stock of vehicles</t>
  </si>
  <si>
    <t>Gas and heat</t>
  </si>
  <si>
    <t>Basse consommation</t>
  </si>
  <si>
    <t xml:space="preserve">Consommation modérée </t>
  </si>
  <si>
    <t>Faiblement émettrices</t>
  </si>
  <si>
    <t>Modérément émettrices</t>
  </si>
  <si>
    <t>Fortement émettrices</t>
  </si>
  <si>
    <t>Electriques</t>
  </si>
  <si>
    <t>Passoires énergétiques</t>
  </si>
  <si>
    <t>nucléaire</t>
  </si>
  <si>
    <t>solaire</t>
  </si>
  <si>
    <t xml:space="preserve">éolien </t>
  </si>
  <si>
    <t>autres renouvelables</t>
  </si>
  <si>
    <t>biocarburants</t>
  </si>
  <si>
    <t>gaz naturel</t>
  </si>
  <si>
    <t>biogaz</t>
  </si>
  <si>
    <t>Energie primaire</t>
  </si>
  <si>
    <t>Automobile - synthèse</t>
  </si>
  <si>
    <t>verif</t>
  </si>
  <si>
    <t>parc automobile (milliers)</t>
  </si>
  <si>
    <t>parc automobile (M)</t>
  </si>
  <si>
    <t>parc véhicules élec (%)</t>
  </si>
  <si>
    <t>parc véhicules thermiques (%)</t>
  </si>
  <si>
    <t>TEND</t>
  </si>
  <si>
    <t>ER_AUTO_0/1000</t>
  </si>
  <si>
    <t>ER_AUTO_ELEC_0/ER_AUTO_0</t>
  </si>
  <si>
    <t>part véhicules thermiques</t>
  </si>
  <si>
    <t>Automobile - detail</t>
  </si>
  <si>
    <t>Ventes (milliers)</t>
  </si>
  <si>
    <t>Parc (milliers)</t>
  </si>
  <si>
    <t>Ventes (%)</t>
  </si>
  <si>
    <t>Parc (%)</t>
  </si>
  <si>
    <t>ER_NEWAUTO_ELEC_0/ER_NEWAUTO_0</t>
  </si>
  <si>
    <t>ER_NEWAUTO_ELEC_A_0/ER_NEWAUTO_0</t>
  </si>
  <si>
    <t>ER_NEWAUTO_ELEC_B_0/ER_NEWAUTO_0</t>
  </si>
  <si>
    <t>ER_NEWAUTO_ELEC_C_0/ER_NEWAUTO_0</t>
  </si>
  <si>
    <t>ER_NEWAUTO_ELEC_D_0/ER_NEWAUTO_0</t>
  </si>
  <si>
    <t>ER_NEWAUTO_ELEC_E_0/ER_NEWAUTO_0</t>
  </si>
  <si>
    <t>ER_NEWAUTO_ELEC_F_0/ER_NEWAUTO_0</t>
  </si>
  <si>
    <t>ER_NEWAUTO_ELEC_G_0/ER_NEWAUTO_0</t>
  </si>
  <si>
    <t>ER_NEWAUTO_TH_0/ER_NEWAUTO_0</t>
  </si>
  <si>
    <t>ER_NEWAUTO_TH_A_0/ER_NEWAUTO_0</t>
  </si>
  <si>
    <t>ER_NEWAUTO_TH_B_0/ER_NEWAUTO_0</t>
  </si>
  <si>
    <t>ER_NEWAUTO_TH_C_0/ER_NEWAUTO_0</t>
  </si>
  <si>
    <t>ER_NEWAUTO_TH_D_0/ER_NEWAUTO_0</t>
  </si>
  <si>
    <t>ER_NEWAUTO_TH_E_0/ER_NEWAUTO_0</t>
  </si>
  <si>
    <t>ER_NEWAUTO_TH_F_0/ER_NEWAUTO_0</t>
  </si>
  <si>
    <t>ER_NEWAUTO_TH_G_0/ER_NEWAUTO_0</t>
  </si>
  <si>
    <t>ER_AUTO_COAL_0/ER_AUTO_0</t>
  </si>
  <si>
    <t>ER_AUTO_TH_0/ER_AUTO_0</t>
  </si>
  <si>
    <t>ER_AUTO_GAS_0/ER_AUTO_0</t>
  </si>
  <si>
    <t>ER_AUTO_ELEC_A_0/ER_AUTO_0</t>
  </si>
  <si>
    <t>ER_AUTO_ELEC_B_0/ER_AUTO_0</t>
  </si>
  <si>
    <t>ER_AUTO_ELEC_C_0/ER_AUTO_0</t>
  </si>
  <si>
    <t>ER_AUTO_ELEC_D_0/ER_AUTO_0</t>
  </si>
  <si>
    <t>ER_AUTO_ELEC_E_0/ER_AUTO_0</t>
  </si>
  <si>
    <t>ER_AUTO_ELEC_F_0/ER_AUTO_0</t>
  </si>
  <si>
    <t>ER_AUTO_ELEC_G_0/ER_AUTO_0</t>
  </si>
  <si>
    <t>ER_AUTO_TH_A_0/ER_AUTO_0</t>
  </si>
  <si>
    <t>ER_AUTO_TH_B_0/ER_AUTO_0</t>
  </si>
  <si>
    <t>ER_AUTO_TH_C_0/ER_AUTO_0</t>
  </si>
  <si>
    <t>ER_AUTO_TH_D_0/ER_AUTO_0</t>
  </si>
  <si>
    <t>ER_AUTO_TH_E_0/ER_AUTO_0</t>
  </si>
  <si>
    <t>ER_AUTO_TH_F_0/ER_AUTO_0</t>
  </si>
  <si>
    <t>ER_AUTO_TH_G_0/ER_AUTO_0</t>
  </si>
  <si>
    <t>Energie primaire (Mtep)</t>
  </si>
  <si>
    <t>Energie finale (Mtep)</t>
  </si>
  <si>
    <t>Consos résultats de ThreeME</t>
  </si>
  <si>
    <t>Consos cibles d'Enerdata</t>
  </si>
  <si>
    <t>Hors bois domestique auto produit (8MTEP entre 2015 et 2030 4 Mtep en 2050)</t>
  </si>
  <si>
    <t>Emissions CO2 (MtCO2)</t>
  </si>
  <si>
    <t>Residentiel</t>
  </si>
  <si>
    <t>Industrie et agriculture</t>
  </si>
  <si>
    <t>Cf. onglet "G emissions"</t>
  </si>
  <si>
    <t>Cf. onglet "G énergie"</t>
  </si>
  <si>
    <t>Cf. onglet "G mix elec"</t>
  </si>
  <si>
    <t xml:space="preserve">Total </t>
  </si>
  <si>
    <t>hydraulique</t>
  </si>
  <si>
    <t>Cf. onglet "G mix carb"</t>
  </si>
  <si>
    <t>Cf. onglet "G mix gaz"</t>
  </si>
  <si>
    <t>carburants fossiles</t>
  </si>
  <si>
    <t>Energie par vecteur énergétique</t>
  </si>
  <si>
    <t>Energie par usage</t>
  </si>
  <si>
    <t>Logement</t>
  </si>
  <si>
    <t>Parc logement (m²)</t>
  </si>
  <si>
    <t>Parc logement (%)</t>
  </si>
  <si>
    <t>Cf. onglet "G parc logt"</t>
  </si>
  <si>
    <t>1) Copier-coller sorties Eviews en B2
2) veillez à ce que les données commencent en 2004
3) modifier le scénario si besoin en B1</t>
  </si>
  <si>
    <t>Différences en 2050 résultant des modifs de chocs</t>
  </si>
  <si>
    <t>Ecarts par rapport à la cible</t>
  </si>
  <si>
    <t>ER_TRANS_PRIVATE_coal_2</t>
  </si>
  <si>
    <t>ER_TRANS_PRIVATE_oil_2</t>
  </si>
  <si>
    <t>ER_TRANS_PRIVATE_elec_2</t>
  </si>
  <si>
    <t>ER_TRANS_PRIVATE_gas_2</t>
  </si>
  <si>
    <t>ER_TRANS_PUBLIC_coal_2</t>
  </si>
  <si>
    <t>ER_TRANS_PUBLIC_oil_2</t>
  </si>
  <si>
    <t>ER_TRANS_PUBLIC_elec_2</t>
  </si>
  <si>
    <t>ER_TRANS_PUBLIC_gas_2</t>
  </si>
  <si>
    <t>ER_RESIDENTIAL_coal_2</t>
  </si>
  <si>
    <t>ER_RESIDENTIAL_oil_2</t>
  </si>
  <si>
    <t>ER_RESIDENTIAL_elec_2</t>
  </si>
  <si>
    <t>ER_RESIDENTIAL_gas_2</t>
  </si>
  <si>
    <t>ER_TERTIARY_coal_2</t>
  </si>
  <si>
    <t>ER_TERTIARY_oil_2</t>
  </si>
  <si>
    <t>ER_TERTIARY_elec_2</t>
  </si>
  <si>
    <t>ER_TERTIARY_gas_2</t>
  </si>
  <si>
    <t>ER_INDUS_coal_2</t>
  </si>
  <si>
    <t>ER_INDUS_oil_2</t>
  </si>
  <si>
    <t>ER_INDUS_elec_2</t>
  </si>
  <si>
    <t>ER_INDUS_gas_2</t>
  </si>
  <si>
    <t>Q_Mtep_indus_21_2</t>
  </si>
  <si>
    <t>Q_Mtep_indus_22_2</t>
  </si>
  <si>
    <t>Q_Mtep_indus_23_2</t>
  </si>
  <si>
    <t>Q_Mtep_indus_24_2</t>
  </si>
  <si>
    <t>ER_AGRICULTURE_coal_2</t>
  </si>
  <si>
    <t>ER_AGRICULTURE_oil_2</t>
  </si>
  <si>
    <t>ER_AGRICULTURE_elec_2</t>
  </si>
  <si>
    <t>ER_AGRICULTURE_gas_2</t>
  </si>
  <si>
    <t>Industry</t>
  </si>
  <si>
    <t>Industry energetic uses</t>
  </si>
  <si>
    <t>ER_OIL_1</t>
  </si>
  <si>
    <t>ER_OIL_2201_1</t>
  </si>
  <si>
    <t>ER_OIL_2202_1</t>
  </si>
  <si>
    <t>ER_ELEC_2301_1</t>
  </si>
  <si>
    <t>ER_ELEC_2302_1</t>
  </si>
  <si>
    <t>ER_ELEC_2303_1</t>
  </si>
  <si>
    <t>ER_ELEC_2304_1</t>
  </si>
  <si>
    <t>ER_ELEC_2305_1</t>
  </si>
  <si>
    <t>ER_ELEC_2306_1</t>
  </si>
  <si>
    <t>ER_ELEC_2307_1</t>
  </si>
  <si>
    <t>ER_ELEC_2308_1</t>
  </si>
  <si>
    <t>ER_ELEC_1</t>
  </si>
  <si>
    <t>ER_GAS_1</t>
  </si>
  <si>
    <t>ER_GAS_2401_1</t>
  </si>
  <si>
    <t>ER_GAS_2402_1</t>
  </si>
  <si>
    <t>ER_GAS_2403_1</t>
  </si>
  <si>
    <t>ER_GAS_2404_1</t>
  </si>
  <si>
    <t>ER_GAS_2405_1</t>
  </si>
  <si>
    <t>ER_GAS_2406_1</t>
  </si>
  <si>
    <t>ER_COAL_1</t>
  </si>
  <si>
    <t>ER_TOTAL_1</t>
  </si>
  <si>
    <t>ER_AGRICULTURE_1</t>
  </si>
  <si>
    <t>ER_INDUS_1</t>
  </si>
  <si>
    <t>ER_RESIDENTIAL_1</t>
  </si>
  <si>
    <t>ER_TERTIARY_1</t>
  </si>
  <si>
    <t>ER_TRANS_PRIVATE_1</t>
  </si>
  <si>
    <t>ER_TRANS_PUBLIC_1</t>
  </si>
  <si>
    <t>ER_AUTO_1</t>
  </si>
  <si>
    <t>ER_AUTO_TH_A_1</t>
  </si>
  <si>
    <t>ER_AUTO_TH_B_1</t>
  </si>
  <si>
    <t>ER_AUTO_TH_C_1</t>
  </si>
  <si>
    <t>ER_AUTO_TH_D_1</t>
  </si>
  <si>
    <t>ER_AUTO_TH_E_1</t>
  </si>
  <si>
    <t>ER_AUTO_TH_F_1</t>
  </si>
  <si>
    <t>ER_AUTO_TH_G_1</t>
  </si>
  <si>
    <t>ER_AUTO_ELEC_A_1</t>
  </si>
  <si>
    <t>ER_AUTO_ELEC_B_1</t>
  </si>
  <si>
    <t>ER_AUTO_ELEC_C_1</t>
  </si>
  <si>
    <t>ER_AUTO_ELEC_D_1</t>
  </si>
  <si>
    <t>ER_AUTO_ELEC_E_1</t>
  </si>
  <si>
    <t>ER_AUTO_ELEC_F_1</t>
  </si>
  <si>
    <t>ER_AUTO_ELEC_G_1</t>
  </si>
  <si>
    <t>ER_AUTO_COAL_1</t>
  </si>
  <si>
    <t>ER_AUTO_TH_1</t>
  </si>
  <si>
    <t>ER_AUTO_ELEC_1</t>
  </si>
  <si>
    <t>ER_AUTO_GAS_1</t>
  </si>
  <si>
    <t>ER_NEWAUTO_1</t>
  </si>
  <si>
    <t>ER_NEWAUTO_TH_1</t>
  </si>
  <si>
    <t>ER_NEWAUTO_TH_A_1</t>
  </si>
  <si>
    <t>ER_NEWAUTO_TH_B_1</t>
  </si>
  <si>
    <t>ER_NEWAUTO_TH_C_1</t>
  </si>
  <si>
    <t>ER_NEWAUTO_TH_D_1</t>
  </si>
  <si>
    <t>ER_NEWAUTO_TH_E_1</t>
  </si>
  <si>
    <t>ER_NEWAUTO_TH_F_1</t>
  </si>
  <si>
    <t>ER_NEWAUTO_TH_G_1</t>
  </si>
  <si>
    <t>ER_NEWAUTO_ELEC_1</t>
  </si>
  <si>
    <t>ER_NEWAUTO_ELEC_A_1</t>
  </si>
  <si>
    <t>ER_NEWAUTO_ELEC_B_1</t>
  </si>
  <si>
    <t>ER_NEWAUTO_ELEC_C_1</t>
  </si>
  <si>
    <t>ER_NEWAUTO_ELEC_D_1</t>
  </si>
  <si>
    <t>ER_NEWAUTO_ELEC_E_1</t>
  </si>
  <si>
    <t>ER_NEWAUTO_ELEC_F_1</t>
  </si>
  <si>
    <t>ER_NEWAUTO_ELEC_G_1</t>
  </si>
  <si>
    <t>ER_AGRICULTURE_COAL_1</t>
  </si>
  <si>
    <t>ER_INDUS_COAL_1</t>
  </si>
  <si>
    <t>ER_RESIDENTIAL_COAL_1</t>
  </si>
  <si>
    <t>ER_TERTIARY_COAL_1</t>
  </si>
  <si>
    <t>ER_TRANS_PRIVATE_COAL_1</t>
  </si>
  <si>
    <t>ER_TRANS_PUBLIC_COAL_1</t>
  </si>
  <si>
    <t>ER_AGRICULTURE_OIL_1</t>
  </si>
  <si>
    <t>ER_INDUS_OIL_1</t>
  </si>
  <si>
    <t>ER_RESIDENTIAL_OIL_1</t>
  </si>
  <si>
    <t>ER_TERTIARY_OIL_1</t>
  </si>
  <si>
    <t>ER_TRANS_PRIVATE_OIL_1</t>
  </si>
  <si>
    <t>ER_TRANS_PUBLIC_OIL_1</t>
  </si>
  <si>
    <t>ER_AGRICULTURE_ELEC_1</t>
  </si>
  <si>
    <t>ER_INDUS_ELEC_1</t>
  </si>
  <si>
    <t>ER_RESIDENTIAL_ELEC_1</t>
  </si>
  <si>
    <t>ER_TERTIARY_ELEC_1</t>
  </si>
  <si>
    <t>ER_TRANS_PRIVATE_ELEC_1</t>
  </si>
  <si>
    <t>ER_TRANS_PUBLIC_ELEC_1</t>
  </si>
  <si>
    <t>ER_AGRICULTURE_GAS_1</t>
  </si>
  <si>
    <t>ER_INDUS_GAS_1</t>
  </si>
  <si>
    <t>ER_RESIDENTIAL_GAS_1</t>
  </si>
  <si>
    <t>ER_TERTIARY_GAS_1</t>
  </si>
  <si>
    <t>ER_TRANS_PRIVATE_GAS_1</t>
  </si>
  <si>
    <t>ER_TRANS_PUBLIC_GAS_1</t>
  </si>
  <si>
    <t>ER_BUIL_1</t>
  </si>
  <si>
    <t>ER_BUIL_A_1</t>
  </si>
  <si>
    <t>ER_BUIL_B_1</t>
  </si>
  <si>
    <t>ER_BUIL_C_1</t>
  </si>
  <si>
    <t>ER_BUIL_D_1</t>
  </si>
  <si>
    <t>ER_BUIL_E_1</t>
  </si>
  <si>
    <t>ER_BUIL_F_1</t>
  </si>
  <si>
    <t>ER_BUIL_G_1</t>
  </si>
  <si>
    <t>EMS_DC_04_1</t>
  </si>
  <si>
    <t>EMS_DC_05_1</t>
  </si>
  <si>
    <t>EMS_DC_1</t>
  </si>
  <si>
    <t>EMS_HH_1</t>
  </si>
  <si>
    <t>EMS_HH_21_1</t>
  </si>
  <si>
    <t>EMS_HH_21_H01_1</t>
  </si>
  <si>
    <t>EMS_HH_22_1</t>
  </si>
  <si>
    <t>EMS_HH_22_H01_1</t>
  </si>
  <si>
    <t>EMS_HH_24_1</t>
  </si>
  <si>
    <t>EMS_HH_24_H01_1</t>
  </si>
  <si>
    <t>EMS_SEC_TOT_01_1</t>
  </si>
  <si>
    <t>EMS_SEC_TOT_02_1</t>
  </si>
  <si>
    <t>EMS_SEC_TOT_03_1</t>
  </si>
  <si>
    <t>EMS_SEC_TOT_04_1</t>
  </si>
  <si>
    <t>EMS_SEC_TOT_05_1</t>
  </si>
  <si>
    <t>EMS_SEC_TOT_06_1</t>
  </si>
  <si>
    <t>EMS_SEC_TOT_07_1</t>
  </si>
  <si>
    <t>EMS_SEC_TOT_08_1</t>
  </si>
  <si>
    <t>EMS_SEC_TOT_09_1</t>
  </si>
  <si>
    <t>EMS_SEC_TOT_10_1</t>
  </si>
  <si>
    <t>EMS_SEC_TOT_11_1</t>
  </si>
  <si>
    <t>EMS_SEC_TOT_12_1</t>
  </si>
  <si>
    <t>EMS_SEC_TOT_13_1</t>
  </si>
  <si>
    <t>EMS_SEC_TOT_14_1</t>
  </si>
  <si>
    <t>EMS_SEC_TOT_15_1</t>
  </si>
  <si>
    <t>EMS_SEC_TOT_16_1</t>
  </si>
  <si>
    <t>EMS_SEC_TOT_17_1</t>
  </si>
  <si>
    <t>EMS_SEC_TOT_18_1</t>
  </si>
  <si>
    <t>EMS_SEC_TOT_19_1</t>
  </si>
  <si>
    <t>EMS_SEC_TOT_1</t>
  </si>
  <si>
    <t>EMS_SEC_TOT_20_1</t>
  </si>
  <si>
    <t>EMS_SEC_TOT_21_05_1</t>
  </si>
  <si>
    <t>EMS_SEC_TOT_21_06_1</t>
  </si>
  <si>
    <t>EMS_SEC_TOT_21_07_1</t>
  </si>
  <si>
    <t>EMS_SEC_TOT_21_08_1</t>
  </si>
  <si>
    <t>EMS_SEC_TOT_21_10_1</t>
  </si>
  <si>
    <t>EMS_SEC_TOT_21_12_1</t>
  </si>
  <si>
    <t>EMS_SEC_TOT_21_19_1</t>
  </si>
  <si>
    <t>EMS_SEC_TOT_21_20_1</t>
  </si>
  <si>
    <t>EMS_SEC_TOT_21_2304_1</t>
  </si>
  <si>
    <t>EMS_SEC_TOT_2201_1</t>
  </si>
  <si>
    <t>EMS_SEC_TOT_22_01_1</t>
  </si>
  <si>
    <t>EMS_SEC_TOT_22_02_1</t>
  </si>
  <si>
    <t>EMS_SEC_TOT_22_03_1</t>
  </si>
  <si>
    <t>EMS_SEC_TOT_22_04_1</t>
  </si>
  <si>
    <t>EMS_SEC_TOT_22_05_1</t>
  </si>
  <si>
    <t>EMS_SEC_TOT_22_06_1</t>
  </si>
  <si>
    <t>EMS_SEC_TOT_22_07_1</t>
  </si>
  <si>
    <t>EMS_SEC_TOT_22_08_1</t>
  </si>
  <si>
    <t>EMS_SEC_TOT_22_09_1</t>
  </si>
  <si>
    <t>EMS_SEC_TOT_22_12_1</t>
  </si>
  <si>
    <t>EMS_SEC_TOT_22_13_1</t>
  </si>
  <si>
    <t>EMS_SEC_TOT_22_14_1</t>
  </si>
  <si>
    <t>EMS_SEC_TOT_22_15_1</t>
  </si>
  <si>
    <t>EMS_SEC_TOT_22_16_1</t>
  </si>
  <si>
    <t>EMS_SEC_TOT_22_17_1</t>
  </si>
  <si>
    <t>EMS_SEC_TOT_22_18_1</t>
  </si>
  <si>
    <t>EMS_SEC_TOT_22_19_1</t>
  </si>
  <si>
    <t>EMS_SEC_TOT_22_20_1</t>
  </si>
  <si>
    <t>EMS_SEC_TOT_22_2201_1</t>
  </si>
  <si>
    <t>EMS_SEC_TOT_22_2302_1</t>
  </si>
  <si>
    <t>EMS_SEC_TOT_2302_1</t>
  </si>
  <si>
    <t>EMS_SEC_TOT_2303_1</t>
  </si>
  <si>
    <t>EMS_SEC_TOT_2304_1</t>
  </si>
  <si>
    <t>EMS_SEC_TOT_2401_1</t>
  </si>
  <si>
    <t>EMS_SEC_TOT_24_01_1</t>
  </si>
  <si>
    <t>EMS_SEC_TOT_24_02_1</t>
  </si>
  <si>
    <t>EMS_SEC_TOT_24_03_1</t>
  </si>
  <si>
    <t>EMS_SEC_TOT_24_04_1</t>
  </si>
  <si>
    <t>EMS_SEC_TOT_24_05_1</t>
  </si>
  <si>
    <t>EMS_SEC_TOT_24_06_1</t>
  </si>
  <si>
    <t>EMS_SEC_TOT_24_07_1</t>
  </si>
  <si>
    <t>EMS_SEC_TOT_24_08_1</t>
  </si>
  <si>
    <t>EMS_SEC_TOT_24_09_1</t>
  </si>
  <si>
    <t>EMS_SEC_TOT_24_10_1</t>
  </si>
  <si>
    <t>EMS_SEC_TOT_24_11_1</t>
  </si>
  <si>
    <t>EMS_SEC_TOT_24_12_1</t>
  </si>
  <si>
    <t>EMS_SEC_TOT_24_13_1</t>
  </si>
  <si>
    <t>EMS_SEC_TOT_24_14_1</t>
  </si>
  <si>
    <t>EMS_SEC_TOT_24_15_1</t>
  </si>
  <si>
    <t>EMS_SEC_TOT_24_16_1</t>
  </si>
  <si>
    <t>EMS_SEC_TOT_24_17_1</t>
  </si>
  <si>
    <t>EMS_SEC_TOT_24_18_1</t>
  </si>
  <si>
    <t>EMS_SEC_TOT_24_19_1</t>
  </si>
  <si>
    <t>EMS_SEC_TOT_24_20_1</t>
  </si>
  <si>
    <t>EMS_SEC_TOT_24_2201_1</t>
  </si>
  <si>
    <t>EMS_SEC_TOT_24_2303_1</t>
  </si>
  <si>
    <t>EMS_SEC_TOT_24_2401_1</t>
  </si>
  <si>
    <t>EMS_SECSOU_1</t>
  </si>
  <si>
    <t>EMS_SECSOU_21_1</t>
  </si>
  <si>
    <t>EMS_SECSOU_22_1</t>
  </si>
  <si>
    <t>EMS_SECSOU_24_1</t>
  </si>
  <si>
    <t>EMS_SOU_1</t>
  </si>
  <si>
    <t>EMS_SOU_21_1</t>
  </si>
  <si>
    <t>EMS_SOU_22_1</t>
  </si>
  <si>
    <t>EMS_SOU_24_1</t>
  </si>
  <si>
    <t>EMS_TOT_1</t>
  </si>
  <si>
    <t>Q_MTEP_EP_1</t>
  </si>
  <si>
    <t>Q_MTEP_EP_21_1</t>
  </si>
  <si>
    <t>Q_MTEP_EP_21_21_1</t>
  </si>
  <si>
    <t>Q_MTEP_EP_2201_1</t>
  </si>
  <si>
    <t>Q_MTEP_EP_2202_1</t>
  </si>
  <si>
    <t>Q_MTEP_EP_22_2201_1</t>
  </si>
  <si>
    <t>Q_MTEP_EP_22_2202_1</t>
  </si>
  <si>
    <t>Q_MTEP_EP_2301_1</t>
  </si>
  <si>
    <t>Q_MTEP_EP_2302_1</t>
  </si>
  <si>
    <t>Q_MTEP_EP_2303_1</t>
  </si>
  <si>
    <t>Q_MTEP_EP_2304_1</t>
  </si>
  <si>
    <t>Q_MTEP_EP_2305_1</t>
  </si>
  <si>
    <t>Q_MTEP_EP_2306_1</t>
  </si>
  <si>
    <t>Q_MTEP_EP_2307_1</t>
  </si>
  <si>
    <t>Q_MTEP_EP_2308_1</t>
  </si>
  <si>
    <t>Q_MTEP_EP_23_2301_1</t>
  </si>
  <si>
    <t>Q_MTEP_EP_23_2302_1</t>
  </si>
  <si>
    <t>Q_MTEP_EP_23_2303_1</t>
  </si>
  <si>
    <t>Q_MTEP_EP_23_2304_1</t>
  </si>
  <si>
    <t>Q_MTEP_EP_23_2305_1</t>
  </si>
  <si>
    <t>Q_MTEP_EP_23_2306_1</t>
  </si>
  <si>
    <t>Q_MTEP_EP_23_2307_1</t>
  </si>
  <si>
    <t>Q_MTEP_EP_23_2308_1</t>
  </si>
  <si>
    <t>Q_MTEP_EP_2401_1</t>
  </si>
  <si>
    <t>Q_MTEP_EP_2402_1</t>
  </si>
  <si>
    <t>Q_MTEP_EP_2403_1</t>
  </si>
  <si>
    <t>Q_MTEP_EP_2404_1</t>
  </si>
  <si>
    <t>Q_MTEP_EP_2405_1</t>
  </si>
  <si>
    <t>Q_MTEP_EP_2406_1</t>
  </si>
  <si>
    <t>Q_MTEP_EP_24_2401_1</t>
  </si>
  <si>
    <t>Q_MTEP_EP_24_2402_1</t>
  </si>
  <si>
    <t>Q_MTEP_EP_24_2403_1</t>
  </si>
  <si>
    <t>Q_MTEP_EP_24_2404_1</t>
  </si>
  <si>
    <t>Q_MTEP_EP_24_2405_1</t>
  </si>
  <si>
    <t>Q_MTEP_EP_24_2406_1</t>
  </si>
  <si>
    <t>Q_MTEP_INDUS_21_1</t>
  </si>
  <si>
    <t>Q_MTEP_INDUS_22_1</t>
  </si>
  <si>
    <t>Q_MTEP_INDUS_23_1</t>
  </si>
  <si>
    <t>Q_MTEP_INDUS_24_1</t>
  </si>
  <si>
    <t>PHIY_EF_TOT_22_2201_1</t>
  </si>
  <si>
    <t>PHIY_EF_TOT_22_2202_1</t>
  </si>
  <si>
    <t>PHIY_EF_TOT_23_2301_1</t>
  </si>
  <si>
    <t>PHIY_EF_TOT_23_2302_1</t>
  </si>
  <si>
    <t>PHIY_EF_TOT_23_2303_1</t>
  </si>
  <si>
    <t>PHIY_EF_TOT_23_2304_1</t>
  </si>
  <si>
    <t>PHIY_EF_TOT_23_2305_1</t>
  </si>
  <si>
    <t>PHIY_EF_TOT_23_2306_1</t>
  </si>
  <si>
    <t>PHIY_EF_TOT_23_2307_1</t>
  </si>
  <si>
    <t>PHIY_EF_TOT_23_2308_1</t>
  </si>
  <si>
    <t>PHIY_EF_TOT_24_2401_1</t>
  </si>
  <si>
    <t>PHIY_EF_TOT_24_2402_1</t>
  </si>
  <si>
    <t>PHIY_EF_TOT_24_2403_1</t>
  </si>
  <si>
    <t>PHIY_EF_TOT_24_2404_1</t>
  </si>
  <si>
    <t>PHIY_EF_TOT_24_2405_1</t>
  </si>
  <si>
    <t>PHIY_EF_TOT_24_2406_1</t>
  </si>
  <si>
    <t>IC_HH_22_H01_1</t>
  </si>
  <si>
    <t>ER_TRANS_PRIVATE_coal_1</t>
  </si>
  <si>
    <t>ER_TRANS_PRIVATE_oil_1</t>
  </si>
  <si>
    <t>ER_TRANS_PRIVATE_elec_1</t>
  </si>
  <si>
    <t>ER_TRANS_PRIVATE_gas_1</t>
  </si>
  <si>
    <t>ER_TRANS_PUBLIC_coal_1</t>
  </si>
  <si>
    <t>ER_TRANS_PUBLIC_oil_1</t>
  </si>
  <si>
    <t>ER_TRANS_PUBLIC_elec_1</t>
  </si>
  <si>
    <t>ER_TRANS_PUBLIC_gas_1</t>
  </si>
  <si>
    <t>ER_RESIDENTIAL_coal_1</t>
  </si>
  <si>
    <t>ER_RESIDENTIAL_oil_1</t>
  </si>
  <si>
    <t>ER_RESIDENTIAL_elec_1</t>
  </si>
  <si>
    <t>ER_RESIDENTIAL_gas_1</t>
  </si>
  <si>
    <t>ER_TERTIARY_coal_1</t>
  </si>
  <si>
    <t>ER_TERTIARY_oil_1</t>
  </si>
  <si>
    <t>ER_TERTIARY_elec_1</t>
  </si>
  <si>
    <t>ER_TERTIARY_gas_1</t>
  </si>
  <si>
    <t>ER_INDUS_coal_1</t>
  </si>
  <si>
    <t>ER_INDUS_oil_1</t>
  </si>
  <si>
    <t>ER_INDUS_elec_1</t>
  </si>
  <si>
    <t>ER_INDUS_gas_1</t>
  </si>
  <si>
    <t>Q_Mtep_indus_21_1</t>
  </si>
  <si>
    <t>Q_Mtep_indus_22_1</t>
  </si>
  <si>
    <t>Q_Mtep_indus_23_1</t>
  </si>
  <si>
    <t>Q_Mtep_indus_24_1</t>
  </si>
  <si>
    <t>ER_AGRICULTURE_coal_1</t>
  </si>
  <si>
    <t>ER_AGRICULTURE_oil_1</t>
  </si>
  <si>
    <t>ER_AGRICULTURE_elec_1</t>
  </si>
  <si>
    <t>ER_AGRICULTURE_gas_1</t>
  </si>
  <si>
    <t>Hors chal env PAC</t>
  </si>
  <si>
    <t>EMS_BUIL_22_H01_1</t>
  </si>
  <si>
    <t>EMS_BUIL_24_H01_1</t>
  </si>
  <si>
    <t>EMS_AUTO_22_H01_1</t>
  </si>
  <si>
    <t>EMS_AUTO_24_H01_1</t>
  </si>
  <si>
    <t>c</t>
  </si>
  <si>
    <t>IC_HH_24_H01_1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</si>
</sst>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#,##0.0"/>
    <numFmt numFmtId="167" formatCode="0.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6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dotted">
        <color auto="1"/>
      </bottom>
      <diagonal/>
    </border>
    <border>
      <left/>
      <right style="thin">
        <color indexed="64"/>
      </right>
      <top style="thin">
        <color auto="1"/>
      </top>
      <bottom style="dotted">
        <color auto="1"/>
      </bottom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dotted">
        <color auto="1"/>
      </top>
      <bottom/>
      <diagonal/>
    </border>
    <border>
      <left style="thin">
        <color indexed="64"/>
      </left>
      <right/>
      <top style="dotted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5" fillId="0" borderId="0"/>
    <xf numFmtId="0" fontId="1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5" fillId="0" borderId="0"/>
  </cellStyleXfs>
  <cellXfs count="273">
    <xf numFmtId="0" fontId="0" fillId="0" borderId="0" xfId="0"/>
    <xf numFmtId="0" fontId="3" fillId="0" borderId="0" xfId="0" applyFont="1"/>
    <xf numFmtId="0" fontId="0" fillId="2" borderId="1" xfId="0" applyFill="1" applyBorder="1"/>
    <xf numFmtId="0" fontId="0" fillId="2" borderId="0" xfId="0" applyFill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1" fontId="2" fillId="3" borderId="3" xfId="0" applyNumberFormat="1" applyFont="1" applyFill="1" applyBorder="1" applyAlignment="1">
      <alignment horizontal="right"/>
    </xf>
    <xf numFmtId="0" fontId="0" fillId="2" borderId="3" xfId="0" applyFill="1" applyBorder="1"/>
    <xf numFmtId="1" fontId="2" fillId="3" borderId="1" xfId="0" applyNumberFormat="1" applyFont="1" applyFill="1" applyBorder="1" applyAlignment="1">
      <alignment horizontal="right"/>
    </xf>
    <xf numFmtId="1" fontId="2" fillId="4" borderId="1" xfId="0" applyNumberFormat="1" applyFont="1" applyFill="1" applyBorder="1"/>
    <xf numFmtId="0" fontId="0" fillId="0" borderId="3" xfId="0" applyBorder="1"/>
    <xf numFmtId="0" fontId="4" fillId="0" borderId="0" xfId="0" applyFont="1"/>
    <xf numFmtId="0" fontId="5" fillId="0" borderId="0" xfId="0" applyFont="1"/>
    <xf numFmtId="0" fontId="2" fillId="0" borderId="1" xfId="0" applyFont="1" applyBorder="1"/>
    <xf numFmtId="0" fontId="7" fillId="0" borderId="0" xfId="0" applyFont="1" applyAlignment="1">
      <alignment horizontal="left" indent="2"/>
    </xf>
    <xf numFmtId="0" fontId="9" fillId="0" borderId="0" xfId="0" applyFont="1"/>
    <xf numFmtId="0" fontId="10" fillId="0" borderId="0" xfId="0" applyFont="1"/>
    <xf numFmtId="1" fontId="2" fillId="2" borderId="1" xfId="0" applyNumberFormat="1" applyFont="1" applyFill="1" applyBorder="1" applyAlignment="1">
      <alignment horizontal="left"/>
    </xf>
    <xf numFmtId="0" fontId="0" fillId="2" borderId="2" xfId="0" applyFill="1" applyBorder="1"/>
    <xf numFmtId="1" fontId="0" fillId="2" borderId="0" xfId="0" applyNumberFormat="1" applyFill="1" applyAlignment="1">
      <alignment horizontal="right"/>
    </xf>
    <xf numFmtId="1" fontId="0" fillId="2" borderId="3" xfId="0" applyNumberFormat="1" applyFill="1" applyBorder="1" applyAlignment="1">
      <alignment horizontal="right"/>
    </xf>
    <xf numFmtId="3" fontId="0" fillId="0" borderId="0" xfId="0" applyNumberFormat="1"/>
    <xf numFmtId="3" fontId="2" fillId="3" borderId="3" xfId="0" applyNumberFormat="1" applyFont="1" applyFill="1" applyBorder="1" applyAlignment="1">
      <alignment horizontal="right"/>
    </xf>
    <xf numFmtId="0" fontId="2" fillId="0" borderId="0" xfId="0" applyFont="1"/>
    <xf numFmtId="1" fontId="0" fillId="0" borderId="0" xfId="0" applyNumberFormat="1"/>
    <xf numFmtId="0" fontId="2" fillId="2" borderId="0" xfId="0" applyFont="1" applyFill="1" applyAlignment="1">
      <alignment horizontal="right"/>
    </xf>
    <xf numFmtId="0" fontId="2" fillId="2" borderId="4" xfId="0" applyFont="1" applyFill="1" applyBorder="1" applyAlignment="1">
      <alignment horizontal="right"/>
    </xf>
    <xf numFmtId="1" fontId="2" fillId="3" borderId="4" xfId="0" applyNumberFormat="1" applyFont="1" applyFill="1" applyBorder="1" applyAlignment="1">
      <alignment horizontal="right"/>
    </xf>
    <xf numFmtId="1" fontId="0" fillId="2" borderId="5" xfId="0" applyNumberFormat="1" applyFill="1" applyBorder="1" applyAlignment="1">
      <alignment horizontal="right"/>
    </xf>
    <xf numFmtId="1" fontId="2" fillId="4" borderId="4" xfId="0" applyNumberFormat="1" applyFont="1" applyFill="1" applyBorder="1"/>
    <xf numFmtId="0" fontId="6" fillId="0" borderId="1" xfId="0" applyFont="1" applyBorder="1"/>
    <xf numFmtId="3" fontId="0" fillId="2" borderId="0" xfId="0" applyNumberFormat="1" applyFill="1" applyAlignment="1">
      <alignment horizontal="right"/>
    </xf>
    <xf numFmtId="0" fontId="10" fillId="0" borderId="3" xfId="0" applyFont="1" applyBorder="1"/>
    <xf numFmtId="1" fontId="2" fillId="2" borderId="1" xfId="0" applyNumberFormat="1" applyFont="1" applyFill="1" applyBorder="1" applyAlignment="1">
      <alignment horizontal="right"/>
    </xf>
    <xf numFmtId="1" fontId="2" fillId="0" borderId="0" xfId="0" applyNumberFormat="1" applyFont="1" applyAlignment="1">
      <alignment horizontal="right"/>
    </xf>
    <xf numFmtId="1" fontId="11" fillId="5" borderId="1" xfId="0" applyNumberFormat="1" applyFont="1" applyFill="1" applyBorder="1" applyAlignment="1">
      <alignment horizontal="right"/>
    </xf>
    <xf numFmtId="1" fontId="11" fillId="5" borderId="4" xfId="0" applyNumberFormat="1" applyFont="1" applyFill="1" applyBorder="1" applyAlignment="1">
      <alignment horizontal="right"/>
    </xf>
    <xf numFmtId="1" fontId="16" fillId="2" borderId="0" xfId="0" applyNumberFormat="1" applyFont="1" applyFill="1" applyAlignment="1">
      <alignment horizontal="right"/>
    </xf>
    <xf numFmtId="1" fontId="11" fillId="6" borderId="1" xfId="0" applyNumberFormat="1" applyFont="1" applyFill="1" applyBorder="1"/>
    <xf numFmtId="164" fontId="0" fillId="0" borderId="0" xfId="0" applyNumberFormat="1"/>
    <xf numFmtId="1" fontId="11" fillId="6" borderId="4" xfId="0" applyNumberFormat="1" applyFont="1" applyFill="1" applyBorder="1"/>
    <xf numFmtId="1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6" fillId="0" borderId="0" xfId="0" applyFont="1"/>
    <xf numFmtId="0" fontId="2" fillId="0" borderId="0" xfId="0" applyFont="1" applyAlignment="1">
      <alignment horizontal="right"/>
    </xf>
    <xf numFmtId="1" fontId="11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" fontId="11" fillId="0" borderId="0" xfId="0" applyNumberFormat="1" applyFont="1"/>
    <xf numFmtId="1" fontId="2" fillId="0" borderId="0" xfId="0" applyNumberFormat="1" applyFont="1"/>
    <xf numFmtId="164" fontId="14" fillId="0" borderId="0" xfId="0" applyNumberFormat="1" applyFont="1"/>
    <xf numFmtId="1" fontId="13" fillId="0" borderId="0" xfId="0" applyNumberFormat="1" applyFont="1"/>
    <xf numFmtId="2" fontId="2" fillId="0" borderId="0" xfId="0" applyNumberFormat="1" applyFont="1"/>
    <xf numFmtId="165" fontId="2" fillId="0" borderId="0" xfId="1" applyNumberFormat="1" applyFont="1" applyFill="1" applyBorder="1" applyAlignment="1">
      <alignment horizontal="right"/>
    </xf>
    <xf numFmtId="2" fontId="0" fillId="0" borderId="0" xfId="0" applyNumberFormat="1" applyAlignment="1">
      <alignment horizontal="right"/>
    </xf>
    <xf numFmtId="165" fontId="2" fillId="0" borderId="0" xfId="1" applyNumberFormat="1" applyFont="1" applyFill="1" applyBorder="1"/>
    <xf numFmtId="164" fontId="0" fillId="2" borderId="0" xfId="0" applyNumberFormat="1" applyFill="1" applyAlignment="1">
      <alignment horizontal="right"/>
    </xf>
    <xf numFmtId="0" fontId="7" fillId="2" borderId="0" xfId="0" applyFont="1" applyFill="1" applyAlignment="1">
      <alignment horizontal="left" indent="2"/>
    </xf>
    <xf numFmtId="1" fontId="2" fillId="7" borderId="1" xfId="0" applyNumberFormat="1" applyFont="1" applyFill="1" applyBorder="1" applyAlignment="1">
      <alignment horizontal="right"/>
    </xf>
    <xf numFmtId="1" fontId="2" fillId="8" borderId="1" xfId="0" applyNumberFormat="1" applyFont="1" applyFill="1" applyBorder="1"/>
    <xf numFmtId="2" fontId="0" fillId="2" borderId="0" xfId="0" applyNumberFormat="1" applyFill="1" applyAlignment="1">
      <alignment horizontal="right"/>
    </xf>
    <xf numFmtId="0" fontId="19" fillId="0" borderId="0" xfId="3" applyFill="1"/>
    <xf numFmtId="2" fontId="2" fillId="2" borderId="3" xfId="0" applyNumberFormat="1" applyFont="1" applyFill="1" applyBorder="1" applyAlignment="1">
      <alignment horizontal="right"/>
    </xf>
    <xf numFmtId="2" fontId="2" fillId="2" borderId="0" xfId="0" applyNumberFormat="1" applyFont="1" applyFill="1" applyAlignment="1">
      <alignment horizontal="right"/>
    </xf>
    <xf numFmtId="0" fontId="4" fillId="2" borderId="0" xfId="0" applyFont="1" applyFill="1"/>
    <xf numFmtId="0" fontId="5" fillId="2" borderId="0" xfId="0" applyFont="1" applyFill="1"/>
    <xf numFmtId="0" fontId="6" fillId="2" borderId="3" xfId="0" applyFont="1" applyFill="1" applyBorder="1"/>
    <xf numFmtId="0" fontId="6" fillId="2" borderId="0" xfId="0" applyFont="1" applyFill="1"/>
    <xf numFmtId="1" fontId="0" fillId="2" borderId="0" xfId="0" applyNumberFormat="1" applyFill="1"/>
    <xf numFmtId="0" fontId="3" fillId="2" borderId="0" xfId="0" applyFont="1" applyFill="1"/>
    <xf numFmtId="164" fontId="0" fillId="2" borderId="0" xfId="0" applyNumberFormat="1" applyFill="1"/>
    <xf numFmtId="1" fontId="2" fillId="8" borderId="4" xfId="0" applyNumberFormat="1" applyFont="1" applyFill="1" applyBorder="1"/>
    <xf numFmtId="0" fontId="6" fillId="2" borderId="1" xfId="0" applyFont="1" applyFill="1" applyBorder="1"/>
    <xf numFmtId="0" fontId="8" fillId="2" borderId="2" xfId="0" applyFont="1" applyFill="1" applyBorder="1"/>
    <xf numFmtId="3" fontId="2" fillId="9" borderId="11" xfId="0" applyNumberFormat="1" applyFont="1" applyFill="1" applyBorder="1" applyAlignment="1">
      <alignment horizontal="right"/>
    </xf>
    <xf numFmtId="0" fontId="0" fillId="2" borderId="12" xfId="0" applyFill="1" applyBorder="1"/>
    <xf numFmtId="3" fontId="2" fillId="3" borderId="13" xfId="0" applyNumberFormat="1" applyFont="1" applyFill="1" applyBorder="1" applyAlignment="1">
      <alignment horizontal="right"/>
    </xf>
    <xf numFmtId="0" fontId="10" fillId="2" borderId="0" xfId="0" applyFont="1" applyFill="1"/>
    <xf numFmtId="3" fontId="0" fillId="2" borderId="13" xfId="0" applyNumberFormat="1" applyFill="1" applyBorder="1" applyAlignment="1">
      <alignment horizontal="right"/>
    </xf>
    <xf numFmtId="0" fontId="7" fillId="2" borderId="3" xfId="0" applyFont="1" applyFill="1" applyBorder="1" applyAlignment="1">
      <alignment horizontal="left" indent="2"/>
    </xf>
    <xf numFmtId="3" fontId="0" fillId="2" borderId="3" xfId="0" applyNumberFormat="1" applyFill="1" applyBorder="1" applyAlignment="1">
      <alignment horizontal="right"/>
    </xf>
    <xf numFmtId="0" fontId="2" fillId="2" borderId="11" xfId="0" applyFont="1" applyFill="1" applyBorder="1"/>
    <xf numFmtId="3" fontId="2" fillId="9" borderId="2" xfId="0" applyNumberFormat="1" applyFont="1" applyFill="1" applyBorder="1" applyAlignment="1">
      <alignment horizontal="right"/>
    </xf>
    <xf numFmtId="0" fontId="2" fillId="2" borderId="0" xfId="0" applyFont="1" applyFill="1"/>
    <xf numFmtId="3" fontId="2" fillId="3" borderId="12" xfId="0" applyNumberFormat="1" applyFont="1" applyFill="1" applyBorder="1" applyAlignment="1">
      <alignment horizontal="right"/>
    </xf>
    <xf numFmtId="0" fontId="7" fillId="2" borderId="14" xfId="0" applyFont="1" applyFill="1" applyBorder="1" applyAlignment="1">
      <alignment horizontal="left" indent="2"/>
    </xf>
    <xf numFmtId="0" fontId="10" fillId="2" borderId="14" xfId="0" applyFont="1" applyFill="1" applyBorder="1"/>
    <xf numFmtId="0" fontId="2" fillId="2" borderId="12" xfId="0" applyFont="1" applyFill="1" applyBorder="1"/>
    <xf numFmtId="3" fontId="0" fillId="2" borderId="0" xfId="1" applyNumberFormat="1" applyFont="1" applyFill="1" applyBorder="1" applyAlignment="1">
      <alignment horizontal="right"/>
    </xf>
    <xf numFmtId="0" fontId="10" fillId="2" borderId="3" xfId="0" applyFont="1" applyFill="1" applyBorder="1"/>
    <xf numFmtId="165" fontId="2" fillId="3" borderId="13" xfId="0" applyNumberFormat="1" applyFont="1" applyFill="1" applyBorder="1" applyAlignment="1">
      <alignment horizontal="right"/>
    </xf>
    <xf numFmtId="165" fontId="0" fillId="2" borderId="0" xfId="0" applyNumberFormat="1" applyFill="1" applyAlignment="1">
      <alignment horizontal="right"/>
    </xf>
    <xf numFmtId="165" fontId="0" fillId="2" borderId="13" xfId="0" applyNumberFormat="1" applyFill="1" applyBorder="1" applyAlignment="1">
      <alignment horizontal="right"/>
    </xf>
    <xf numFmtId="165" fontId="0" fillId="2" borderId="3" xfId="0" applyNumberFormat="1" applyFill="1" applyBorder="1" applyAlignment="1">
      <alignment horizontal="right"/>
    </xf>
    <xf numFmtId="165" fontId="2" fillId="3" borderId="12" xfId="0" applyNumberFormat="1" applyFont="1" applyFill="1" applyBorder="1" applyAlignment="1">
      <alignment horizontal="right"/>
    </xf>
    <xf numFmtId="165" fontId="0" fillId="2" borderId="0" xfId="1" applyNumberFormat="1" applyFont="1" applyFill="1" applyBorder="1" applyAlignment="1">
      <alignment horizontal="right"/>
    </xf>
    <xf numFmtId="165" fontId="0" fillId="2" borderId="3" xfId="1" applyNumberFormat="1" applyFont="1" applyFill="1" applyBorder="1" applyAlignment="1">
      <alignment horizontal="right"/>
    </xf>
    <xf numFmtId="165" fontId="0" fillId="2" borderId="2" xfId="0" applyNumberFormat="1" applyFill="1" applyBorder="1" applyAlignment="1">
      <alignment horizontal="right"/>
    </xf>
    <xf numFmtId="1" fontId="2" fillId="2" borderId="0" xfId="0" applyNumberFormat="1" applyFont="1" applyFill="1" applyAlignment="1">
      <alignment horizontal="right"/>
    </xf>
    <xf numFmtId="11" fontId="0" fillId="0" borderId="0" xfId="0" applyNumberFormat="1"/>
    <xf numFmtId="0" fontId="2" fillId="2" borderId="1" xfId="0" applyFont="1" applyFill="1" applyBorder="1" applyAlignment="1">
      <alignment horizontal="right" wrapText="1" shrinkToFit="1"/>
    </xf>
    <xf numFmtId="3" fontId="0" fillId="0" borderId="0" xfId="0" applyNumberFormat="1" applyAlignment="1">
      <alignment horizontal="right"/>
    </xf>
    <xf numFmtId="164" fontId="20" fillId="2" borderId="0" xfId="0" applyNumberFormat="1" applyFont="1" applyFill="1"/>
    <xf numFmtId="1" fontId="20" fillId="2" borderId="0" xfId="0" applyNumberFormat="1" applyFont="1" applyFill="1"/>
    <xf numFmtId="1" fontId="2" fillId="2" borderId="0" xfId="0" applyNumberFormat="1" applyFont="1" applyFill="1"/>
    <xf numFmtId="1" fontId="11" fillId="2" borderId="0" xfId="0" applyNumberFormat="1" applyFont="1" applyFill="1"/>
    <xf numFmtId="0" fontId="16" fillId="2" borderId="0" xfId="0" applyFont="1" applyFill="1"/>
    <xf numFmtId="1" fontId="2" fillId="2" borderId="16" xfId="0" applyNumberFormat="1" applyFont="1" applyFill="1" applyBorder="1" applyAlignment="1">
      <alignment horizontal="right"/>
    </xf>
    <xf numFmtId="1" fontId="2" fillId="3" borderId="9" xfId="0" applyNumberFormat="1" applyFont="1" applyFill="1" applyBorder="1" applyAlignment="1">
      <alignment horizontal="right"/>
    </xf>
    <xf numFmtId="1" fontId="2" fillId="3" borderId="10" xfId="0" applyNumberFormat="1" applyFont="1" applyFill="1" applyBorder="1" applyAlignment="1">
      <alignment horizontal="right"/>
    </xf>
    <xf numFmtId="1" fontId="0" fillId="2" borderId="6" xfId="0" applyNumberFormat="1" applyFill="1" applyBorder="1" applyAlignment="1">
      <alignment horizontal="right"/>
    </xf>
    <xf numFmtId="1" fontId="2" fillId="3" borderId="16" xfId="0" applyNumberFormat="1" applyFont="1" applyFill="1" applyBorder="1" applyAlignment="1">
      <alignment horizontal="right"/>
    </xf>
    <xf numFmtId="1" fontId="0" fillId="2" borderId="9" xfId="0" applyNumberFormat="1" applyFill="1" applyBorder="1" applyAlignment="1">
      <alignment horizontal="right"/>
    </xf>
    <xf numFmtId="1" fontId="0" fillId="2" borderId="10" xfId="0" applyNumberFormat="1" applyFill="1" applyBorder="1" applyAlignment="1">
      <alignment horizontal="right"/>
    </xf>
    <xf numFmtId="1" fontId="2" fillId="4" borderId="16" xfId="0" applyNumberFormat="1" applyFont="1" applyFill="1" applyBorder="1"/>
    <xf numFmtId="1" fontId="2" fillId="2" borderId="4" xfId="0" applyNumberFormat="1" applyFont="1" applyFill="1" applyBorder="1" applyAlignment="1">
      <alignment horizontal="right"/>
    </xf>
    <xf numFmtId="0" fontId="2" fillId="2" borderId="16" xfId="0" applyFont="1" applyFill="1" applyBorder="1" applyAlignment="1">
      <alignment horizontal="right"/>
    </xf>
    <xf numFmtId="0" fontId="2" fillId="2" borderId="15" xfId="0" applyFont="1" applyFill="1" applyBorder="1" applyAlignment="1">
      <alignment horizontal="right"/>
    </xf>
    <xf numFmtId="1" fontId="2" fillId="3" borderId="17" xfId="0" applyNumberFormat="1" applyFont="1" applyFill="1" applyBorder="1" applyAlignment="1">
      <alignment horizontal="right"/>
    </xf>
    <xf numFmtId="1" fontId="0" fillId="2" borderId="18" xfId="0" applyNumberFormat="1" applyFill="1" applyBorder="1" applyAlignment="1">
      <alignment horizontal="right"/>
    </xf>
    <xf numFmtId="1" fontId="2" fillId="3" borderId="15" xfId="0" applyNumberFormat="1" applyFont="1" applyFill="1" applyBorder="1" applyAlignment="1">
      <alignment horizontal="right"/>
    </xf>
    <xf numFmtId="1" fontId="0" fillId="2" borderId="17" xfId="0" applyNumberFormat="1" applyFill="1" applyBorder="1" applyAlignment="1">
      <alignment horizontal="right"/>
    </xf>
    <xf numFmtId="1" fontId="2" fillId="4" borderId="15" xfId="0" applyNumberFormat="1" applyFont="1" applyFill="1" applyBorder="1"/>
    <xf numFmtId="3" fontId="2" fillId="9" borderId="19" xfId="0" applyNumberFormat="1" applyFont="1" applyFill="1" applyBorder="1" applyAlignment="1">
      <alignment horizontal="right"/>
    </xf>
    <xf numFmtId="3" fontId="2" fillId="9" borderId="20" xfId="0" applyNumberFormat="1" applyFont="1" applyFill="1" applyBorder="1" applyAlignment="1">
      <alignment horizontal="right"/>
    </xf>
    <xf numFmtId="3" fontId="0" fillId="2" borderId="5" xfId="0" applyNumberFormat="1" applyFill="1" applyBorder="1" applyAlignment="1">
      <alignment horizontal="right"/>
    </xf>
    <xf numFmtId="3" fontId="0" fillId="2" borderId="6" xfId="0" applyNumberFormat="1" applyFill="1" applyBorder="1" applyAlignment="1">
      <alignment horizontal="right"/>
    </xf>
    <xf numFmtId="3" fontId="2" fillId="9" borderId="7" xfId="0" applyNumberFormat="1" applyFont="1" applyFill="1" applyBorder="1" applyAlignment="1">
      <alignment horizontal="right"/>
    </xf>
    <xf numFmtId="3" fontId="2" fillId="9" borderId="25" xfId="0" applyNumberFormat="1" applyFont="1" applyFill="1" applyBorder="1" applyAlignment="1">
      <alignment horizontal="right"/>
    </xf>
    <xf numFmtId="3" fontId="0" fillId="2" borderId="18" xfId="0" applyNumberFormat="1" applyFill="1" applyBorder="1" applyAlignment="1">
      <alignment horizontal="right"/>
    </xf>
    <xf numFmtId="3" fontId="2" fillId="3" borderId="9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165" fontId="0" fillId="2" borderId="8" xfId="0" applyNumberFormat="1" applyFill="1" applyBorder="1" applyAlignment="1">
      <alignment horizontal="right"/>
    </xf>
    <xf numFmtId="165" fontId="0" fillId="2" borderId="7" xfId="0" applyNumberFormat="1" applyFill="1" applyBorder="1" applyAlignment="1">
      <alignment horizontal="right"/>
    </xf>
    <xf numFmtId="165" fontId="0" fillId="2" borderId="5" xfId="0" applyNumberFormat="1" applyFill="1" applyBorder="1" applyAlignment="1">
      <alignment horizontal="right"/>
    </xf>
    <xf numFmtId="165" fontId="0" fillId="2" borderId="6" xfId="0" applyNumberFormat="1" applyFill="1" applyBorder="1" applyAlignment="1">
      <alignment horizontal="right"/>
    </xf>
    <xf numFmtId="165" fontId="0" fillId="2" borderId="9" xfId="0" applyNumberFormat="1" applyFill="1" applyBorder="1" applyAlignment="1">
      <alignment horizontal="right"/>
    </xf>
    <xf numFmtId="165" fontId="0" fillId="2" borderId="10" xfId="0" applyNumberFormat="1" applyFill="1" applyBorder="1" applyAlignment="1">
      <alignment horizontal="right"/>
    </xf>
    <xf numFmtId="3" fontId="2" fillId="3" borderId="17" xfId="0" applyNumberFormat="1" applyFont="1" applyFill="1" applyBorder="1" applyAlignment="1">
      <alignment horizontal="right"/>
    </xf>
    <xf numFmtId="165" fontId="0" fillId="2" borderId="27" xfId="0" applyNumberFormat="1" applyFill="1" applyBorder="1" applyAlignment="1">
      <alignment horizontal="right"/>
    </xf>
    <xf numFmtId="165" fontId="0" fillId="2" borderId="18" xfId="0" applyNumberFormat="1" applyFill="1" applyBorder="1" applyAlignment="1">
      <alignment horizontal="right"/>
    </xf>
    <xf numFmtId="165" fontId="0" fillId="2" borderId="17" xfId="0" applyNumberFormat="1" applyFill="1" applyBorder="1" applyAlignment="1">
      <alignment horizontal="right"/>
    </xf>
    <xf numFmtId="165" fontId="2" fillId="3" borderId="26" xfId="0" applyNumberFormat="1" applyFont="1" applyFill="1" applyBorder="1" applyAlignment="1">
      <alignment horizontal="right"/>
    </xf>
    <xf numFmtId="165" fontId="0" fillId="2" borderId="26" xfId="0" applyNumberFormat="1" applyFill="1" applyBorder="1" applyAlignment="1">
      <alignment horizontal="right"/>
    </xf>
    <xf numFmtId="165" fontId="2" fillId="3" borderId="28" xfId="0" applyNumberFormat="1" applyFont="1" applyFill="1" applyBorder="1" applyAlignment="1">
      <alignment horizontal="right"/>
    </xf>
    <xf numFmtId="165" fontId="0" fillId="2" borderId="18" xfId="1" applyNumberFormat="1" applyFont="1" applyFill="1" applyBorder="1" applyAlignment="1">
      <alignment horizontal="right"/>
    </xf>
    <xf numFmtId="165" fontId="0" fillId="2" borderId="17" xfId="1" applyNumberFormat="1" applyFont="1" applyFill="1" applyBorder="1" applyAlignment="1">
      <alignment horizontal="right"/>
    </xf>
    <xf numFmtId="165" fontId="2" fillId="3" borderId="21" xfId="0" applyNumberFormat="1" applyFont="1" applyFill="1" applyBorder="1" applyAlignment="1">
      <alignment horizontal="right"/>
    </xf>
    <xf numFmtId="165" fontId="2" fillId="3" borderId="22" xfId="0" applyNumberFormat="1" applyFont="1" applyFill="1" applyBorder="1" applyAlignment="1">
      <alignment horizontal="right"/>
    </xf>
    <xf numFmtId="165" fontId="0" fillId="2" borderId="21" xfId="0" applyNumberFormat="1" applyFill="1" applyBorder="1" applyAlignment="1">
      <alignment horizontal="right"/>
    </xf>
    <xf numFmtId="165" fontId="0" fillId="2" borderId="22" xfId="0" applyNumberFormat="1" applyFill="1" applyBorder="1" applyAlignment="1">
      <alignment horizontal="right"/>
    </xf>
    <xf numFmtId="165" fontId="2" fillId="3" borderId="23" xfId="0" applyNumberFormat="1" applyFont="1" applyFill="1" applyBorder="1" applyAlignment="1">
      <alignment horizontal="right"/>
    </xf>
    <xf numFmtId="165" fontId="2" fillId="3" borderId="24" xfId="0" applyNumberFormat="1" applyFont="1" applyFill="1" applyBorder="1" applyAlignment="1">
      <alignment horizontal="right"/>
    </xf>
    <xf numFmtId="165" fontId="0" fillId="2" borderId="5" xfId="1" applyNumberFormat="1" applyFont="1" applyFill="1" applyBorder="1" applyAlignment="1">
      <alignment horizontal="right"/>
    </xf>
    <xf numFmtId="165" fontId="0" fillId="2" borderId="6" xfId="1" applyNumberFormat="1" applyFont="1" applyFill="1" applyBorder="1" applyAlignment="1">
      <alignment horizontal="right"/>
    </xf>
    <xf numFmtId="165" fontId="0" fillId="2" borderId="9" xfId="1" applyNumberFormat="1" applyFont="1" applyFill="1" applyBorder="1" applyAlignment="1">
      <alignment horizontal="right"/>
    </xf>
    <xf numFmtId="165" fontId="0" fillId="2" borderId="10" xfId="1" applyNumberFormat="1" applyFont="1" applyFill="1" applyBorder="1" applyAlignment="1">
      <alignment horizontal="right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65" fontId="0" fillId="0" borderId="0" xfId="0" applyNumberFormat="1"/>
    <xf numFmtId="165" fontId="0" fillId="0" borderId="33" xfId="0" applyNumberFormat="1" applyBorder="1"/>
    <xf numFmtId="0" fontId="0" fillId="0" borderId="34" xfId="0" applyBorder="1"/>
    <xf numFmtId="165" fontId="0" fillId="0" borderId="35" xfId="0" applyNumberFormat="1" applyBorder="1"/>
    <xf numFmtId="165" fontId="0" fillId="0" borderId="36" xfId="0" applyNumberFormat="1" applyBorder="1"/>
    <xf numFmtId="165" fontId="2" fillId="3" borderId="21" xfId="0" applyNumberFormat="1" applyFont="1" applyFill="1" applyBorder="1" applyAlignment="1">
      <alignment horizontal="center"/>
    </xf>
    <xf numFmtId="165" fontId="2" fillId="3" borderId="26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right" wrapText="1" shrinkToFit="1"/>
    </xf>
    <xf numFmtId="1" fontId="11" fillId="5" borderId="15" xfId="0" applyNumberFormat="1" applyFont="1" applyFill="1" applyBorder="1" applyAlignment="1">
      <alignment horizontal="right"/>
    </xf>
    <xf numFmtId="1" fontId="16" fillId="2" borderId="5" xfId="0" applyNumberFormat="1" applyFont="1" applyFill="1" applyBorder="1" applyAlignment="1">
      <alignment horizontal="right"/>
    </xf>
    <xf numFmtId="1" fontId="11" fillId="6" borderId="15" xfId="0" applyNumberFormat="1" applyFont="1" applyFill="1" applyBorder="1"/>
    <xf numFmtId="0" fontId="12" fillId="2" borderId="4" xfId="0" applyFont="1" applyFill="1" applyBorder="1"/>
    <xf numFmtId="0" fontId="0" fillId="0" borderId="2" xfId="0" applyBorder="1"/>
    <xf numFmtId="1" fontId="2" fillId="3" borderId="4" xfId="0" applyNumberFormat="1" applyFont="1" applyFill="1" applyBorder="1" applyAlignment="1">
      <alignment horizontal="left"/>
    </xf>
    <xf numFmtId="0" fontId="7" fillId="2" borderId="8" xfId="0" applyFont="1" applyFill="1" applyBorder="1" applyAlignment="1">
      <alignment horizontal="left" indent="2"/>
    </xf>
    <xf numFmtId="0" fontId="7" fillId="2" borderId="5" xfId="0" applyFont="1" applyFill="1" applyBorder="1" applyAlignment="1">
      <alignment horizontal="left" indent="2"/>
    </xf>
    <xf numFmtId="1" fontId="2" fillId="5" borderId="4" xfId="0" applyNumberFormat="1" applyFont="1" applyFill="1" applyBorder="1" applyAlignment="1">
      <alignment horizontal="left"/>
    </xf>
    <xf numFmtId="1" fontId="2" fillId="6" borderId="4" xfId="0" applyNumberFormat="1" applyFont="1" applyFill="1" applyBorder="1"/>
    <xf numFmtId="0" fontId="2" fillId="10" borderId="0" xfId="0" applyFont="1" applyFill="1"/>
    <xf numFmtId="0" fontId="21" fillId="2" borderId="0" xfId="4" applyFill="1" applyBorder="1"/>
    <xf numFmtId="9" fontId="21" fillId="0" borderId="0" xfId="4" applyNumberFormat="1"/>
    <xf numFmtId="166" fontId="2" fillId="9" borderId="2" xfId="0" applyNumberFormat="1" applyFont="1" applyFill="1" applyBorder="1" applyAlignment="1">
      <alignment horizontal="right"/>
    </xf>
    <xf numFmtId="9" fontId="2" fillId="3" borderId="23" xfId="0" applyNumberFormat="1" applyFont="1" applyFill="1" applyBorder="1" applyAlignment="1">
      <alignment horizontal="right"/>
    </xf>
    <xf numFmtId="0" fontId="5" fillId="0" borderId="4" xfId="0" applyFont="1" applyBorder="1"/>
    <xf numFmtId="0" fontId="2" fillId="2" borderId="5" xfId="0" applyFont="1" applyFill="1" applyBorder="1"/>
    <xf numFmtId="0" fontId="7" fillId="2" borderId="38" xfId="0" applyFont="1" applyFill="1" applyBorder="1" applyAlignment="1">
      <alignment vertical="center"/>
    </xf>
    <xf numFmtId="165" fontId="0" fillId="2" borderId="18" xfId="0" applyNumberFormat="1" applyFill="1" applyBorder="1" applyAlignment="1">
      <alignment vertical="center"/>
    </xf>
    <xf numFmtId="165" fontId="0" fillId="2" borderId="37" xfId="0" applyNumberForma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21" fillId="0" borderId="9" xfId="4" applyBorder="1"/>
    <xf numFmtId="165" fontId="21" fillId="2" borderId="17" xfId="4" applyNumberFormat="1" applyFill="1" applyBorder="1" applyAlignment="1">
      <alignment vertical="center"/>
    </xf>
    <xf numFmtId="0" fontId="3" fillId="10" borderId="0" xfId="0" applyFont="1" applyFill="1"/>
    <xf numFmtId="1" fontId="2" fillId="7" borderId="4" xfId="0" applyNumberFormat="1" applyFont="1" applyFill="1" applyBorder="1" applyAlignment="1">
      <alignment horizontal="left"/>
    </xf>
    <xf numFmtId="1" fontId="2" fillId="7" borderId="15" xfId="0" applyNumberFormat="1" applyFont="1" applyFill="1" applyBorder="1" applyAlignment="1">
      <alignment horizontal="right"/>
    </xf>
    <xf numFmtId="164" fontId="2" fillId="8" borderId="15" xfId="0" applyNumberFormat="1" applyFont="1" applyFill="1" applyBorder="1"/>
    <xf numFmtId="0" fontId="21" fillId="2" borderId="0" xfId="4" applyFill="1"/>
    <xf numFmtId="2" fontId="21" fillId="2" borderId="0" xfId="4" applyNumberFormat="1" applyFill="1" applyBorder="1" applyAlignment="1">
      <alignment horizontal="right"/>
    </xf>
    <xf numFmtId="164" fontId="21" fillId="2" borderId="0" xfId="4" applyNumberFormat="1" applyFill="1"/>
    <xf numFmtId="1" fontId="21" fillId="2" borderId="0" xfId="4" applyNumberFormat="1" applyFill="1"/>
    <xf numFmtId="164" fontId="21" fillId="2" borderId="0" xfId="4" applyNumberFormat="1" applyFill="1" applyBorder="1"/>
    <xf numFmtId="2" fontId="2" fillId="2" borderId="0" xfId="0" applyNumberFormat="1" applyFont="1" applyFill="1"/>
    <xf numFmtId="0" fontId="0" fillId="2" borderId="4" xfId="0" applyFill="1" applyBorder="1"/>
    <xf numFmtId="0" fontId="2" fillId="2" borderId="4" xfId="0" applyFont="1" applyFill="1" applyBorder="1"/>
    <xf numFmtId="0" fontId="22" fillId="2" borderId="4" xfId="0" applyFont="1" applyFill="1" applyBorder="1" applyAlignment="1">
      <alignment horizontal="left" vertical="center" wrapText="1"/>
    </xf>
    <xf numFmtId="2" fontId="2" fillId="0" borderId="8" xfId="0" applyNumberFormat="1" applyFont="1" applyBorder="1"/>
    <xf numFmtId="1" fontId="2" fillId="0" borderId="2" xfId="0" applyNumberFormat="1" applyFont="1" applyBorder="1"/>
    <xf numFmtId="1" fontId="2" fillId="0" borderId="7" xfId="0" applyNumberFormat="1" applyFont="1" applyBorder="1"/>
    <xf numFmtId="2" fontId="2" fillId="0" borderId="5" xfId="0" applyNumberFormat="1" applyFont="1" applyBorder="1"/>
    <xf numFmtId="0" fontId="2" fillId="0" borderId="5" xfId="0" applyFont="1" applyBorder="1"/>
    <xf numFmtId="2" fontId="2" fillId="0" borderId="9" xfId="0" applyNumberFormat="1" applyFont="1" applyBorder="1"/>
    <xf numFmtId="1" fontId="0" fillId="0" borderId="6" xfId="0" applyNumberFormat="1" applyBorder="1" applyAlignment="1">
      <alignment horizontal="right"/>
    </xf>
    <xf numFmtId="1" fontId="0" fillId="0" borderId="3" xfId="0" applyNumberFormat="1" applyBorder="1"/>
    <xf numFmtId="1" fontId="0" fillId="0" borderId="10" xfId="0" applyNumberFormat="1" applyBorder="1" applyAlignment="1">
      <alignment horizontal="right"/>
    </xf>
    <xf numFmtId="2" fontId="21" fillId="0" borderId="0" xfId="4" applyNumberFormat="1" applyFill="1" applyBorder="1"/>
    <xf numFmtId="1" fontId="21" fillId="0" borderId="0" xfId="4" applyNumberFormat="1" applyFill="1" applyBorder="1"/>
    <xf numFmtId="1" fontId="21" fillId="0" borderId="0" xfId="4" applyNumberFormat="1" applyFill="1" applyBorder="1" applyAlignment="1">
      <alignment horizontal="right"/>
    </xf>
    <xf numFmtId="9" fontId="0" fillId="0" borderId="0" xfId="0" applyNumberFormat="1" applyAlignment="1">
      <alignment horizontal="right"/>
    </xf>
    <xf numFmtId="9" fontId="0" fillId="0" borderId="6" xfId="0" applyNumberFormat="1" applyBorder="1" applyAlignment="1">
      <alignment horizontal="right"/>
    </xf>
    <xf numFmtId="9" fontId="0" fillId="0" borderId="3" xfId="0" applyNumberFormat="1" applyBorder="1" applyAlignment="1">
      <alignment horizontal="right"/>
    </xf>
    <xf numFmtId="9" fontId="0" fillId="0" borderId="10" xfId="0" applyNumberFormat="1" applyBorder="1" applyAlignment="1">
      <alignment horizontal="right"/>
    </xf>
    <xf numFmtId="9" fontId="21" fillId="0" borderId="0" xfId="4" applyNumberFormat="1" applyFill="1" applyBorder="1" applyAlignment="1">
      <alignment horizontal="right"/>
    </xf>
    <xf numFmtId="0" fontId="23" fillId="2" borderId="0" xfId="0" applyFont="1" applyFill="1"/>
    <xf numFmtId="0" fontId="24" fillId="2" borderId="0" xfId="0" applyFont="1" applyFill="1"/>
    <xf numFmtId="0" fontId="21" fillId="0" borderId="0" xfId="4" applyFill="1" applyBorder="1"/>
    <xf numFmtId="9" fontId="21" fillId="0" borderId="0" xfId="4" applyNumberFormat="1" applyFill="1" applyBorder="1"/>
    <xf numFmtId="0" fontId="0" fillId="0" borderId="8" xfId="0" applyBorder="1"/>
    <xf numFmtId="0" fontId="0" fillId="0" borderId="5" xfId="0" applyBorder="1"/>
    <xf numFmtId="0" fontId="2" fillId="2" borderId="19" xfId="0" applyFont="1" applyFill="1" applyBorder="1"/>
    <xf numFmtId="166" fontId="2" fillId="9" borderId="7" xfId="0" applyNumberFormat="1" applyFont="1" applyFill="1" applyBorder="1" applyAlignment="1">
      <alignment horizontal="right"/>
    </xf>
    <xf numFmtId="9" fontId="2" fillId="3" borderId="28" xfId="0" applyNumberFormat="1" applyFont="1" applyFill="1" applyBorder="1" applyAlignment="1">
      <alignment horizontal="right"/>
    </xf>
    <xf numFmtId="0" fontId="2" fillId="2" borderId="9" xfId="0" applyFont="1" applyFill="1" applyBorder="1"/>
    <xf numFmtId="9" fontId="2" fillId="3" borderId="39" xfId="0" applyNumberFormat="1" applyFont="1" applyFill="1" applyBorder="1" applyAlignment="1">
      <alignment horizontal="right"/>
    </xf>
    <xf numFmtId="9" fontId="2" fillId="3" borderId="40" xfId="0" applyNumberFormat="1" applyFont="1" applyFill="1" applyBorder="1" applyAlignment="1">
      <alignment horizontal="right"/>
    </xf>
    <xf numFmtId="1" fontId="25" fillId="10" borderId="0" xfId="5" applyNumberFormat="1" applyFont="1" applyFill="1" applyAlignment="1">
      <alignment horizontal="left" vertical="center" wrapText="1"/>
    </xf>
    <xf numFmtId="0" fontId="26" fillId="11" borderId="0" xfId="0" applyFont="1" applyFill="1"/>
    <xf numFmtId="0" fontId="2" fillId="0" borderId="6" xfId="0" applyFont="1" applyBorder="1"/>
    <xf numFmtId="0" fontId="9" fillId="2" borderId="0" xfId="0" applyFont="1" applyFill="1"/>
    <xf numFmtId="0" fontId="0" fillId="2" borderId="6" xfId="0" applyFill="1" applyBorder="1"/>
    <xf numFmtId="0" fontId="2" fillId="2" borderId="6" xfId="0" applyFont="1" applyFill="1" applyBorder="1"/>
    <xf numFmtId="0" fontId="2" fillId="5" borderId="41" xfId="0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right"/>
    </xf>
    <xf numFmtId="0" fontId="10" fillId="10" borderId="0" xfId="0" applyFont="1" applyFill="1"/>
    <xf numFmtId="0" fontId="16" fillId="0" borderId="0" xfId="0" applyFont="1"/>
    <xf numFmtId="1" fontId="2" fillId="12" borderId="4" xfId="0" applyNumberFormat="1" applyFont="1" applyFill="1" applyBorder="1" applyAlignment="1">
      <alignment horizontal="left"/>
    </xf>
    <xf numFmtId="0" fontId="0" fillId="12" borderId="0" xfId="0" applyFill="1"/>
    <xf numFmtId="164" fontId="11" fillId="12" borderId="4" xfId="0" quotePrefix="1" applyNumberFormat="1" applyFont="1" applyFill="1" applyBorder="1" applyAlignment="1">
      <alignment horizontal="right"/>
    </xf>
    <xf numFmtId="164" fontId="11" fillId="12" borderId="1" xfId="0" applyNumberFormat="1" applyFont="1" applyFill="1" applyBorder="1" applyAlignment="1">
      <alignment horizontal="right"/>
    </xf>
    <xf numFmtId="164" fontId="11" fillId="12" borderId="15" xfId="0" applyNumberFormat="1" applyFont="1" applyFill="1" applyBorder="1" applyAlignment="1">
      <alignment horizontal="right"/>
    </xf>
    <xf numFmtId="164" fontId="16" fillId="2" borderId="5" xfId="0" applyNumberFormat="1" applyFont="1" applyFill="1" applyBorder="1" applyAlignment="1">
      <alignment horizontal="right"/>
    </xf>
    <xf numFmtId="164" fontId="0" fillId="2" borderId="18" xfId="0" applyNumberFormat="1" applyFill="1" applyBorder="1" applyAlignment="1">
      <alignment horizontal="right"/>
    </xf>
    <xf numFmtId="164" fontId="11" fillId="12" borderId="4" xfId="0" applyNumberFormat="1" applyFont="1" applyFill="1" applyBorder="1" applyAlignment="1">
      <alignment horizontal="right"/>
    </xf>
    <xf numFmtId="164" fontId="16" fillId="2" borderId="0" xfId="0" applyNumberFormat="1" applyFont="1" applyFill="1" applyAlignment="1">
      <alignment horizontal="right"/>
    </xf>
    <xf numFmtId="164" fontId="0" fillId="2" borderId="5" xfId="0" applyNumberFormat="1" applyFill="1" applyBorder="1" applyAlignment="1">
      <alignment horizontal="right"/>
    </xf>
    <xf numFmtId="1" fontId="2" fillId="13" borderId="4" xfId="0" applyNumberFormat="1" applyFont="1" applyFill="1" applyBorder="1"/>
    <xf numFmtId="0" fontId="0" fillId="13" borderId="3" xfId="0" applyFill="1" applyBorder="1"/>
    <xf numFmtId="164" fontId="11" fillId="13" borderId="4" xfId="0" applyNumberFormat="1" applyFont="1" applyFill="1" applyBorder="1"/>
    <xf numFmtId="164" fontId="11" fillId="13" borderId="1" xfId="0" applyNumberFormat="1" applyFont="1" applyFill="1" applyBorder="1"/>
    <xf numFmtId="164" fontId="11" fillId="13" borderId="15" xfId="0" applyNumberFormat="1" applyFont="1" applyFill="1" applyBorder="1"/>
    <xf numFmtId="164" fontId="2" fillId="3" borderId="1" xfId="0" applyNumberFormat="1" applyFont="1" applyFill="1" applyBorder="1" applyAlignment="1">
      <alignment horizontal="right"/>
    </xf>
    <xf numFmtId="164" fontId="2" fillId="3" borderId="15" xfId="0" applyNumberFormat="1" applyFont="1" applyFill="1" applyBorder="1" applyAlignment="1">
      <alignment horizontal="right"/>
    </xf>
    <xf numFmtId="2" fontId="16" fillId="2" borderId="0" xfId="0" applyNumberFormat="1" applyFont="1" applyFill="1" applyAlignment="1">
      <alignment horizontal="right"/>
    </xf>
    <xf numFmtId="1" fontId="16" fillId="2" borderId="18" xfId="0" applyNumberFormat="1" applyFont="1" applyFill="1" applyBorder="1" applyAlignment="1">
      <alignment horizontal="right"/>
    </xf>
    <xf numFmtId="1" fontId="11" fillId="3" borderId="1" xfId="0" applyNumberFormat="1" applyFont="1" applyFill="1" applyBorder="1" applyAlignment="1">
      <alignment horizontal="right"/>
    </xf>
    <xf numFmtId="1" fontId="11" fillId="3" borderId="15" xfId="0" applyNumberFormat="1" applyFont="1" applyFill="1" applyBorder="1" applyAlignment="1">
      <alignment horizontal="right"/>
    </xf>
    <xf numFmtId="1" fontId="11" fillId="4" borderId="1" xfId="0" applyNumberFormat="1" applyFont="1" applyFill="1" applyBorder="1"/>
    <xf numFmtId="1" fontId="11" fillId="4" borderId="15" xfId="0" applyNumberFormat="1" applyFont="1" applyFill="1" applyBorder="1"/>
    <xf numFmtId="2" fontId="2" fillId="3" borderId="1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right" wrapText="1"/>
    </xf>
    <xf numFmtId="1" fontId="11" fillId="14" borderId="15" xfId="0" applyNumberFormat="1" applyFont="1" applyFill="1" applyBorder="1"/>
    <xf numFmtId="1" fontId="11" fillId="15" borderId="15" xfId="0" applyNumberFormat="1" applyFont="1" applyFill="1" applyBorder="1" applyAlignment="1">
      <alignment horizontal="right"/>
    </xf>
    <xf numFmtId="0" fontId="22" fillId="2" borderId="8" xfId="0" applyFont="1" applyFill="1" applyBorder="1" applyAlignment="1">
      <alignment horizontal="left" vertical="center" wrapText="1"/>
    </xf>
    <xf numFmtId="0" fontId="22" fillId="2" borderId="5" xfId="0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left" vertical="center" wrapText="1"/>
    </xf>
  </cellXfs>
  <cellStyles count="6">
    <cellStyle name="Lien hypertexte" xfId="3" builtinId="8"/>
    <cellStyle name="Motif 2 2" xfId="2" xr:uid="{00000000-0005-0000-0000-000001000000}"/>
    <cellStyle name="Normal" xfId="0" builtinId="0"/>
    <cellStyle name="Normal 2" xfId="5" xr:uid="{00000000-0005-0000-0000-000003000000}"/>
    <cellStyle name="Pourcentage" xfId="1" builtinId="5"/>
    <cellStyle name="Texte explicatif" xfId="4" builtinId="53"/>
  </cellStyles>
  <dxfs count="0"/>
  <tableStyles count="0" defaultTableStyle="TableStyleMedium2" defaultPivotStyle="PivotStyleLight16"/>
  <colors>
    <mruColors>
      <color rgb="FFFFFF9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chartsheet" Target="chartsheets/sheet7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4.xml"/><Relationship Id="rId12" Type="http://schemas.openxmlformats.org/officeDocument/2006/relationships/worksheet" Target="worksheets/sheet6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hartsheet" Target="chartsheets/sheet6.xml"/><Relationship Id="rId5" Type="http://schemas.openxmlformats.org/officeDocument/2006/relationships/chartsheet" Target="chartsheets/sheet2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5.xml"/><Relationship Id="rId19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chartsheet" Target="chartsheets/sheet5.xml"/><Relationship Id="rId14" Type="http://schemas.openxmlformats.org/officeDocument/2006/relationships/worksheet" Target="worksheets/sheet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 Graphs'!$B$4</c:f>
          <c:strCache>
            <c:ptCount val="1"/>
            <c:pt idx="0">
              <c:v>TEND : Energie finale par usage et énergie primaire (Mtep)</c:v>
            </c:pt>
          </c:strCache>
        </c:strRef>
      </c:tx>
      <c:layout>
        <c:manualLayout>
          <c:xMode val="edge"/>
          <c:yMode val="edge"/>
          <c:x val="4.565027119818825E-2"/>
          <c:y val="1.8790840800072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2368481705777662E-2"/>
          <c:y val="9.2178709531540379E-2"/>
          <c:w val="0.72086842510503502"/>
          <c:h val="0.8074301152169982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'T energie usages'!#REF!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E4B-4528-ADD6-F8FC9A686728}"/>
            </c:ext>
          </c:extLst>
        </c:ser>
        <c:ser>
          <c:idx val="0"/>
          <c:order val="1"/>
          <c:tx>
            <c:strRef>
              <c:f>'T energie usages'!#REF!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E4B-4528-ADD6-F8FC9A686728}"/>
            </c:ext>
          </c:extLst>
        </c:ser>
        <c:ser>
          <c:idx val="2"/>
          <c:order val="2"/>
          <c:tx>
            <c:strRef>
              <c:f>'T energie usages'!#REF!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9E4B-4528-ADD6-F8FC9A686728}"/>
            </c:ext>
          </c:extLst>
        </c:ser>
        <c:ser>
          <c:idx val="3"/>
          <c:order val="3"/>
          <c:tx>
            <c:strRef>
              <c:f>'T energie usages'!#REF!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9E4B-4528-ADD6-F8FC9A686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035744"/>
        <c:axId val="213036528"/>
      </c:barChart>
      <c:lineChart>
        <c:grouping val="standard"/>
        <c:varyColors val="0"/>
        <c:ser>
          <c:idx val="4"/>
          <c:order val="4"/>
          <c:tx>
            <c:strRef>
              <c:f>'T energie vecteurs'!$Z$8</c:f>
              <c:strCache>
                <c:ptCount val="1"/>
                <c:pt idx="0">
                  <c:v>Energie primaire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369058718806952E-3"/>
                  <c:y val="-3.959428411466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E4B-4528-ADD6-F8FC9A686728}"/>
                </c:ext>
              </c:extLst>
            </c:dLbl>
            <c:dLbl>
              <c:idx val="1"/>
              <c:layout>
                <c:manualLayout>
                  <c:x val="1.3684529359403977E-3"/>
                  <c:y val="-2.70908259731940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E4B-4528-ADD6-F8FC9A686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vecteurs'!$AA$8:$AC$8</c:f>
              <c:numCache>
                <c:formatCode>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9E4B-4528-ADD6-F8FC9A686728}"/>
            </c:ext>
          </c:extLst>
        </c:ser>
        <c:ser>
          <c:idx val="5"/>
          <c:order val="5"/>
          <c:tx>
            <c:strRef>
              <c:f>'T energie usages'!#REF!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5019613166221479E-17"/>
                  <c:y val="-4.38871473354231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BD-40DB-A16C-DFF8C658DFE3}"/>
                </c:ext>
              </c:extLst>
            </c:dLbl>
            <c:dLbl>
              <c:idx val="1"/>
              <c:layout>
                <c:manualLayout>
                  <c:x val="-1.3647219379051519E-3"/>
                  <c:y val="-3.76175548589341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BD-40DB-A16C-DFF8C658DFE3}"/>
                </c:ext>
              </c:extLst>
            </c:dLbl>
            <c:dLbl>
              <c:idx val="2"/>
              <c:layout>
                <c:manualLayout>
                  <c:x val="0"/>
                  <c:y val="-5.015673981191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BD-40DB-A16C-DFF8C658DFE3}"/>
                </c:ext>
              </c:extLst>
            </c:dLbl>
            <c:spPr>
              <a:solidFill>
                <a:srgbClr val="FFFF99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 energie usages'!#REF!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'T energie usages'!#REF!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4BD-40DB-A16C-DFF8C658D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35744"/>
        <c:axId val="213036528"/>
      </c:lineChart>
      <c:catAx>
        <c:axId val="21303574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6528"/>
        <c:crosses val="autoZero"/>
        <c:auto val="1"/>
        <c:lblAlgn val="ctr"/>
        <c:lblOffset val="100"/>
        <c:noMultiLvlLbl val="0"/>
      </c:catAx>
      <c:valAx>
        <c:axId val="21303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688045232372196"/>
          <c:y val="0.13592261164763317"/>
          <c:w val="0.19311954480613158"/>
          <c:h val="0.348027546713400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17079043396847435"/>
          <c:w val="0.69226941862961444"/>
          <c:h val="0.6323643943840473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vecteurs'!$Z$33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7.8001817348599803E-2"/>
                  <c:y val="-1.46075714542750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6E-4ECA-9D5C-5B4727E02E74}"/>
                </c:ext>
              </c:extLst>
            </c:dLbl>
            <c:dLbl>
              <c:idx val="1"/>
              <c:layout>
                <c:manualLayout>
                  <c:x val="7.9370270284540051E-2"/>
                  <c:y val="-1.6694367376314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6E-4ECA-9D5C-5B4727E02E74}"/>
                </c:ext>
              </c:extLst>
            </c:dLbl>
            <c:dLbl>
              <c:idx val="2"/>
              <c:layout>
                <c:manualLayout>
                  <c:x val="8.2107176156420852E-2"/>
                  <c:y val="-2.92151429085498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6E-4ECA-9D5C-5B4727E02E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vecteurs'!$AA$33:$AC$33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6E-4ECA-9D5C-5B4727E02E74}"/>
            </c:ext>
          </c:extLst>
        </c:ser>
        <c:ser>
          <c:idx val="1"/>
          <c:order val="1"/>
          <c:tx>
            <c:strRef>
              <c:f>'T energie vecteurs'!$Z$34</c:f>
              <c:strCache>
                <c:ptCount val="1"/>
                <c:pt idx="0">
                  <c:v>nucléaire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vecteurs'!$AA$34:$AC$34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6E-4ECA-9D5C-5B4727E02E74}"/>
            </c:ext>
          </c:extLst>
        </c:ser>
        <c:ser>
          <c:idx val="2"/>
          <c:order val="2"/>
          <c:tx>
            <c:strRef>
              <c:f>'T energie vecteurs'!$Z$35</c:f>
              <c:strCache>
                <c:ptCount val="1"/>
                <c:pt idx="0">
                  <c:v>hydraulique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vecteurs'!$AA$35:$AC$35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6E-4ECA-9D5C-5B4727E02E74}"/>
            </c:ext>
          </c:extLst>
        </c:ser>
        <c:ser>
          <c:idx val="3"/>
          <c:order val="3"/>
          <c:tx>
            <c:strRef>
              <c:f>'T energie vecteurs'!$Z$36</c:f>
              <c:strCache>
                <c:ptCount val="1"/>
                <c:pt idx="0">
                  <c:v>solaire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16E-4ECA-9D5C-5B4727E02E74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6E-4ECA-9D5C-5B4727E02E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vecteurs'!$AA$36:$AC$36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6E-4ECA-9D5C-5B4727E02E74}"/>
            </c:ext>
          </c:extLst>
        </c:ser>
        <c:ser>
          <c:idx val="4"/>
          <c:order val="4"/>
          <c:tx>
            <c:strRef>
              <c:f>'T energie vecteurs'!$Z$37</c:f>
              <c:strCache>
                <c:ptCount val="1"/>
                <c:pt idx="0">
                  <c:v>éolien 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5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vecteurs'!$AA$37:$AC$37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16E-4ECA-9D5C-5B4727E02E74}"/>
            </c:ext>
          </c:extLst>
        </c:ser>
        <c:ser>
          <c:idx val="5"/>
          <c:order val="5"/>
          <c:tx>
            <c:strRef>
              <c:f>'T energie vecteurs'!$Z$38</c:f>
              <c:strCache>
                <c:ptCount val="1"/>
                <c:pt idx="0">
                  <c:v>autres renouvelables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>
              <a:glow rad="12700">
                <a:schemeClr val="accent1">
                  <a:alpha val="4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vecteurs'!$AA$32:$AC$32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vecteurs'!$AA$38:$AC$38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16E-4ECA-9D5C-5B4727E02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09912"/>
        <c:axId val="231609520"/>
      </c:barChart>
      <c:catAx>
        <c:axId val="2316099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9520"/>
        <c:crosses val="autoZero"/>
        <c:auto val="1"/>
        <c:lblAlgn val="ctr"/>
        <c:lblOffset val="100"/>
        <c:noMultiLvlLbl val="0"/>
      </c:catAx>
      <c:valAx>
        <c:axId val="2316095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Graphs'!$B$5</c:f>
              <c:strCache>
                <c:ptCount val="1"/>
                <c:pt idx="0">
                  <c:v>TEND : Ventilation du mix electrique (%)</c:v>
                </c:pt>
              </c:strCache>
            </c:strRef>
          </c:tx>
          <c:layout>
            <c:manualLayout>
              <c:xMode val="edge"/>
              <c:yMode val="edge"/>
              <c:x val="2.3224558547377074E-2"/>
              <c:y val="5.2149515793284461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</c:legendEntry>
      <c:layout>
        <c:manualLayout>
          <c:xMode val="edge"/>
          <c:yMode val="edge"/>
          <c:x val="0.76142382417816912"/>
          <c:y val="0.18003801760696372"/>
          <c:w val="0.23418248890987423"/>
          <c:h val="0.62626537444194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22494198230312157"/>
          <c:w val="0.69226941862961444"/>
          <c:h val="0.578212824576599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vecteurs'!$AE$33</c:f>
              <c:strCache>
                <c:ptCount val="1"/>
                <c:pt idx="0">
                  <c:v>carburants fossiles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3684529359403476E-3"/>
                  <c:y val="-1.460755057911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44-4744-9C62-05D9B6E91931}"/>
                </c:ext>
              </c:extLst>
            </c:dLbl>
            <c:dLbl>
              <c:idx val="1"/>
              <c:layout>
                <c:manualLayout>
                  <c:x val="5.4738117437613401E-3"/>
                  <c:y val="-1.6694413842148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44-4744-9C62-05D9B6E91931}"/>
                </c:ext>
              </c:extLst>
            </c:dLbl>
            <c:dLbl>
              <c:idx val="2"/>
              <c:layout>
                <c:manualLayout>
                  <c:x val="4.1053588078210426E-3"/>
                  <c:y val="2.043544195458258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44-4744-9C62-05D9B6E919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vecteurs'!$AF$32:$AH$32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vecteurs'!$AF$33:$AH$33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44-4744-9C62-05D9B6E91931}"/>
            </c:ext>
          </c:extLst>
        </c:ser>
        <c:ser>
          <c:idx val="1"/>
          <c:order val="1"/>
          <c:tx>
            <c:strRef>
              <c:f>'T energie vecteurs'!$AE$34</c:f>
              <c:strCache>
                <c:ptCount val="1"/>
                <c:pt idx="0">
                  <c:v>biocarburants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vecteurs'!$AF$32:$AH$32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vecteurs'!$AF$34:$AH$34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44-4744-9C62-05D9B6E91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08736"/>
        <c:axId val="231608344"/>
      </c:barChart>
      <c:catAx>
        <c:axId val="2316087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8344"/>
        <c:crosses val="autoZero"/>
        <c:auto val="1"/>
        <c:lblAlgn val="ctr"/>
        <c:lblOffset val="100"/>
        <c:noMultiLvlLbl val="0"/>
      </c:catAx>
      <c:valAx>
        <c:axId val="23160834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Graphs'!$B$6</c:f>
              <c:strCache>
                <c:ptCount val="1"/>
                <c:pt idx="0">
                  <c:v>TEND : Ventilation du mix carburant (%)</c:v>
                </c:pt>
              </c:strCache>
            </c:strRef>
          </c:tx>
          <c:layout>
            <c:manualLayout>
              <c:xMode val="edge"/>
              <c:yMode val="edge"/>
              <c:x val="2.3226525402096191E-2"/>
              <c:y val="6.358106917365924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6142382417816912"/>
          <c:y val="0.29042382785002546"/>
          <c:w val="0.23418248890987423"/>
          <c:h val="0.51587955592704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chemeClr val="bg1"/>
                </a:solidFill>
              </a:rPr>
              <a:t>Mix</a:t>
            </a:r>
            <a:r>
              <a:rPr lang="fr-FR" baseline="0">
                <a:solidFill>
                  <a:schemeClr val="bg1"/>
                </a:solidFill>
              </a:rPr>
              <a:t> electrique</a:t>
            </a:r>
            <a:endParaRPr lang="fr-FR">
              <a:solidFill>
                <a:schemeClr val="bg1"/>
              </a:solidFill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9132812442860448E-2"/>
          <c:y val="0.22494198230312157"/>
          <c:w val="0.69226941862961444"/>
          <c:h val="0.578212824576599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 energie vecteurs'!$AJ$33</c:f>
              <c:strCache>
                <c:ptCount val="1"/>
                <c:pt idx="0">
                  <c:v>gaz naturel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3684529359403476E-3"/>
                  <c:y val="-1.4607550579113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1A-429A-8A28-44CA5ABCCE07}"/>
                </c:ext>
              </c:extLst>
            </c:dLbl>
            <c:dLbl>
              <c:idx val="1"/>
              <c:layout>
                <c:manualLayout>
                  <c:x val="5.4738117437613401E-3"/>
                  <c:y val="-1.6694413842148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1A-429A-8A28-44CA5ABCCE07}"/>
                </c:ext>
              </c:extLst>
            </c:dLbl>
            <c:dLbl>
              <c:idx val="2"/>
              <c:layout>
                <c:manualLayout>
                  <c:x val="8.484408202830164E-2"/>
                  <c:y val="-2.71311914679816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1A-429A-8A28-44CA5ABCCE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vecteurs'!$AK$32:$AM$32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vecteurs'!$AK$33:$AM$33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1A-429A-8A28-44CA5ABCCE07}"/>
            </c:ext>
          </c:extLst>
        </c:ser>
        <c:ser>
          <c:idx val="1"/>
          <c:order val="1"/>
          <c:tx>
            <c:strRef>
              <c:f>'T energie vecteurs'!$AJ$34</c:f>
              <c:strCache>
                <c:ptCount val="1"/>
                <c:pt idx="0">
                  <c:v>biogaz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.10536902887139103"/>
                  <c:y val="2.70862739908040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1A-429A-8A28-44CA5ABCCE07}"/>
                </c:ext>
              </c:extLst>
            </c:dLbl>
            <c:dLbl>
              <c:idx val="1"/>
              <c:layout>
                <c:manualLayout>
                  <c:x val="9.7156470825762162E-2"/>
                  <c:y val="2.70792221527424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1A-429A-8A28-44CA5ABCCE07}"/>
                </c:ext>
              </c:extLst>
            </c:dLbl>
            <c:dLbl>
              <c:idx val="2"/>
              <c:layout>
                <c:manualLayout>
                  <c:x val="7.9316239316239323E-2"/>
                  <c:y val="2.08275217167912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21A-429A-8A28-44CA5ABCCE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energie vecteurs'!$AK$32:$AM$32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energie vecteurs'!$AK$34:$AM$34</c:f>
              <c:numCache>
                <c:formatCode>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1A-429A-8A28-44CA5ABCC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231607560"/>
        <c:axId val="231607168"/>
      </c:barChart>
      <c:catAx>
        <c:axId val="23160756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7168"/>
        <c:crosses val="autoZero"/>
        <c:auto val="1"/>
        <c:lblAlgn val="ctr"/>
        <c:lblOffset val="100"/>
        <c:noMultiLvlLbl val="0"/>
      </c:catAx>
      <c:valAx>
        <c:axId val="2316071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Graphs'!$B$7</c:f>
              <c:strCache>
                <c:ptCount val="1"/>
                <c:pt idx="0">
                  <c:v>TEND : Ventilation du mix gaz (%)</c:v>
                </c:pt>
              </c:strCache>
            </c:strRef>
          </c:tx>
          <c:layout>
            <c:manualLayout>
              <c:xMode val="edge"/>
              <c:yMode val="edge"/>
              <c:x val="2.0489526833710782E-2"/>
              <c:y val="4.678465348571239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low"/>
        <c:spPr>
          <a:noFill/>
          <a:ln>
            <a:solidFill>
              <a:schemeClr val="accent1">
                <a:alpha val="99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231607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1753037776951432"/>
          <c:y val="0.29042382785002546"/>
          <c:w val="0.13839078339404989"/>
          <c:h val="0.51587955592704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9740912847575234E-2"/>
          <c:y val="0.17593989942704161"/>
          <c:w val="0.73258526136090329"/>
          <c:h val="0.7405622021454180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'T CO2'!$K$9</c:f>
              <c:strCache>
                <c:ptCount val="1"/>
                <c:pt idx="0">
                  <c:v>Residentiel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CO2'!$L$9:$N$9</c:f>
              <c:numCache>
                <c:formatCode>0</c:formatCode>
                <c:ptCount val="3"/>
                <c:pt idx="0">
                  <c:v>53.099435662269485</c:v>
                </c:pt>
                <c:pt idx="1">
                  <c:v>48.5594636475398</c:v>
                </c:pt>
                <c:pt idx="2">
                  <c:v>46.811280940327457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F-409C-BDBE-F99B69B3F72E}"/>
            </c:ext>
          </c:extLst>
        </c:ser>
        <c:ser>
          <c:idx val="0"/>
          <c:order val="1"/>
          <c:tx>
            <c:strRef>
              <c:f>'T CO2'!$K$8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CO2'!$L$8:$N$8</c:f>
              <c:numCache>
                <c:formatCode>0</c:formatCode>
                <c:ptCount val="3"/>
                <c:pt idx="0">
                  <c:v>124.91160698316125</c:v>
                </c:pt>
                <c:pt idx="1">
                  <c:v>115.3743372262649</c:v>
                </c:pt>
                <c:pt idx="2">
                  <c:v>96.497197945469637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CF-409C-BDBE-F99B69B3F72E}"/>
            </c:ext>
          </c:extLst>
        </c:ser>
        <c:ser>
          <c:idx val="2"/>
          <c:order val="2"/>
          <c:tx>
            <c:strRef>
              <c:f>'T CO2'!$K$10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CO2'!$L$10:$N$10</c:f>
              <c:numCache>
                <c:formatCode>0</c:formatCode>
                <c:ptCount val="3"/>
                <c:pt idx="0">
                  <c:v>24.435405696537821</c:v>
                </c:pt>
                <c:pt idx="1">
                  <c:v>21.766796107940419</c:v>
                </c:pt>
                <c:pt idx="2">
                  <c:v>18.884188704541934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CF-409C-BDBE-F99B69B3F72E}"/>
            </c:ext>
          </c:extLst>
        </c:ser>
        <c:ser>
          <c:idx val="3"/>
          <c:order val="3"/>
          <c:tx>
            <c:strRef>
              <c:f>'T CO2'!$K$11</c:f>
              <c:strCache>
                <c:ptCount val="1"/>
                <c:pt idx="0">
                  <c:v>Industrie et agriculture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CO2'!$L$7:$N$7</c:f>
              <c:numCache>
                <c:formatCode>0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CO2'!$L$11:$N$11</c:f>
              <c:numCache>
                <c:formatCode>0</c:formatCode>
                <c:ptCount val="3"/>
                <c:pt idx="0">
                  <c:v>95.467411196822951</c:v>
                </c:pt>
                <c:pt idx="1">
                  <c:v>95.515153831660498</c:v>
                </c:pt>
                <c:pt idx="2">
                  <c:v>107.53973226176325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CF-409C-BDBE-F99B69B3F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037312"/>
        <c:axId val="213036136"/>
      </c:barChart>
      <c:catAx>
        <c:axId val="213037312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6136"/>
        <c:crosses val="autoZero"/>
        <c:auto val="1"/>
        <c:lblAlgn val="ctr"/>
        <c:lblOffset val="100"/>
        <c:noMultiLvlLbl val="0"/>
      </c:catAx>
      <c:valAx>
        <c:axId val="21303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'Table Graphs'!$B$8</c:f>
              <c:strCache>
                <c:ptCount val="1"/>
                <c:pt idx="0">
                  <c:v>TEND : Emissions CO2 (Mt.eqCO2)</c:v>
                </c:pt>
              </c:strCache>
            </c:strRef>
          </c:tx>
          <c:layout>
            <c:manualLayout>
              <c:xMode val="edge"/>
              <c:yMode val="edge"/>
              <c:x val="1.3659715198164822E-2"/>
              <c:y val="2.390465555681330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03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691366156517532"/>
          <c:y val="0.28558169209001705"/>
          <c:w val="0.16625648083574224"/>
          <c:h val="0.680136041576351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 Graphs'!$B$9</c:f>
          <c:strCache>
            <c:ptCount val="1"/>
            <c:pt idx="0">
              <c:v>TEND : Ventilation du parc auto (%)</c:v>
            </c:pt>
          </c:strCache>
        </c:strRef>
      </c:tx>
      <c:layout>
        <c:manualLayout>
          <c:xMode val="edge"/>
          <c:yMode val="edge"/>
          <c:x val="2.7810470205815105E-2"/>
          <c:y val="2.0895522879199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'T parc auto'!$C$18</c:f>
              <c:strCache>
                <c:ptCount val="1"/>
                <c:pt idx="0">
                  <c:v>Fortement émettrices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1.0008066809404825E-16"/>
                  <c:y val="-8.35776086373180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A82-44F6-A16A-C8BCAA280A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parc auto'!$I$12:$K$12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parc auto'!$I$18:$K$18</c:f>
              <c:numCache>
                <c:formatCode>0.0%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2-44F6-A16A-C8BCAA280A45}"/>
            </c:ext>
          </c:extLst>
        </c:ser>
        <c:ser>
          <c:idx val="2"/>
          <c:order val="1"/>
          <c:tx>
            <c:strRef>
              <c:f>'T parc auto'!$C$17</c:f>
              <c:strCache>
                <c:ptCount val="1"/>
                <c:pt idx="0">
                  <c:v>Modérément émettrices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parc auto'!$I$12:$K$12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parc auto'!$I$17:$K$17</c:f>
              <c:numCache>
                <c:formatCode>0.0%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82-44F6-A16A-C8BCAA280A45}"/>
            </c:ext>
          </c:extLst>
        </c:ser>
        <c:ser>
          <c:idx val="1"/>
          <c:order val="2"/>
          <c:tx>
            <c:strRef>
              <c:f>'T parc auto'!$C$16</c:f>
              <c:strCache>
                <c:ptCount val="1"/>
                <c:pt idx="0">
                  <c:v>Faiblement émettrices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parc auto'!$I$12:$K$12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parc auto'!$I$16:$K$16</c:f>
              <c:numCache>
                <c:formatCode>0.0%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82-44F6-A16A-C8BCAA280A45}"/>
            </c:ext>
          </c:extLst>
        </c:ser>
        <c:ser>
          <c:idx val="0"/>
          <c:order val="3"/>
          <c:tx>
            <c:strRef>
              <c:f>'T parc auto'!$C$14</c:f>
              <c:strCache>
                <c:ptCount val="1"/>
                <c:pt idx="0">
                  <c:v>Electriques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parc auto'!$I$12:$K$12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parc auto'!$I$14:$K$14</c:f>
              <c:numCache>
                <c:formatCode>0.0%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82-44F6-A16A-C8BCAA280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1368712"/>
        <c:axId val="311369104"/>
      </c:barChart>
      <c:catAx>
        <c:axId val="311368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9104"/>
        <c:crosses val="autoZero"/>
        <c:auto val="1"/>
        <c:lblAlgn val="ctr"/>
        <c:lblOffset val="100"/>
        <c:noMultiLvlLbl val="0"/>
      </c:catAx>
      <c:valAx>
        <c:axId val="3113691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871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103162901676298"/>
          <c:y val="0.21336550323470299"/>
          <c:w val="0.28077254186433814"/>
          <c:h val="0.68854991088357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 Graphs'!$B$10</c:f>
          <c:strCache>
            <c:ptCount val="1"/>
            <c:pt idx="0">
              <c:v>TEND : Ventilation du parc de logements (%)</c:v>
            </c:pt>
          </c:strCache>
        </c:strRef>
      </c:tx>
      <c:layout>
        <c:manualLayout>
          <c:xMode val="edge"/>
          <c:yMode val="edge"/>
          <c:x val="7.517898543132466E-2"/>
          <c:y val="1.6717103152074645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658523898908643E-2"/>
          <c:y val="8.8051017074071342E-2"/>
          <c:w val="0.68257048305485446"/>
          <c:h val="0.8284510844983883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'T logement'!$Y$19</c:f>
              <c:strCache>
                <c:ptCount val="1"/>
                <c:pt idx="0">
                  <c:v>Passoires énergétiques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logement'!$Z$16:$AB$16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logement'!$Z$19:$AB$19</c:f>
              <c:numCache>
                <c:formatCode>0.0%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D-4A1E-817A-62C204FE9217}"/>
            </c:ext>
          </c:extLst>
        </c:ser>
        <c:ser>
          <c:idx val="1"/>
          <c:order val="1"/>
          <c:tx>
            <c:strRef>
              <c:f>'T logement'!$Y$18</c:f>
              <c:strCache>
                <c:ptCount val="1"/>
                <c:pt idx="0">
                  <c:v>Consommation modérée 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logement'!$Z$16:$AB$16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logement'!$Z$18:$AB$18</c:f>
              <c:numCache>
                <c:formatCode>0.0%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7D-4A1E-817A-62C204FE9217}"/>
            </c:ext>
          </c:extLst>
        </c:ser>
        <c:ser>
          <c:idx val="0"/>
          <c:order val="2"/>
          <c:tx>
            <c:strRef>
              <c:f>'T logement'!$Y$17</c:f>
              <c:strCache>
                <c:ptCount val="1"/>
                <c:pt idx="0">
                  <c:v>Basse consommation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 logement'!$Z$16:$AB$16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cat>
          <c:val>
            <c:numRef>
              <c:f>'T logement'!$Z$17:$AB$17</c:f>
              <c:numCache>
                <c:formatCode>0.0%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7D-4A1E-817A-62C204FE9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1369888"/>
        <c:axId val="311370280"/>
      </c:barChart>
      <c:catAx>
        <c:axId val="3113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70280"/>
        <c:crosses val="autoZero"/>
        <c:auto val="1"/>
        <c:lblAlgn val="ctr"/>
        <c:lblOffset val="100"/>
        <c:noMultiLvlLbl val="0"/>
      </c:catAx>
      <c:valAx>
        <c:axId val="3113702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1369888"/>
        <c:crosses val="autoZero"/>
        <c:crossBetween val="between"/>
        <c:min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91440886990928"/>
          <c:y val="0.32089954452336433"/>
          <c:w val="0.1938897620111919"/>
          <c:h val="0.49440758790494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>
    <tabColor rgb="FFFF0000"/>
  </sheetPr>
  <sheetViews>
    <sheetView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rgb="FFFF0000"/>
  </sheetPr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06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925" cy="607695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hub\ThreeME\data\shocks\Bilan%20&#233;nergie%20-%20AMErun2%20-%20AMSrun3.xlsx" TargetMode="External"/><Relationship Id="rId1" Type="http://schemas.openxmlformats.org/officeDocument/2006/relationships/externalLinkPath" Target="/Github/ThreeME/data/shocks/Bilan%20&#233;nergie%20-%20AMErun2%20-%20AMSrun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bles THREEME"/>
      <sheetName val="Cibles ThreeME v2 "/>
      <sheetName val=" fonds chaleur en tep"/>
      <sheetName val=" fonds chaleur en twh"/>
      <sheetName val="Cibles THREEME AMS"/>
      <sheetName val="Cibles ThreeME v2 AMS"/>
      <sheetName val="Cibles ThreeME v2 AMS FC"/>
      <sheetName val="Cibles ThreeME v3"/>
      <sheetName val="Cibles ThreeME v3 AMS"/>
      <sheetName val="brouillon"/>
      <sheetName val="Bilan_enerdata_2015"/>
      <sheetName val="Bilan 2015"/>
      <sheetName val="Bilan 2020"/>
      <sheetName val="Bilan 2020 test"/>
      <sheetName val="Bilan 2022 réel"/>
      <sheetName val="Bilan 2023 réel"/>
      <sheetName val="Bilan 2023"/>
      <sheetName val="Bilan 2025"/>
      <sheetName val="Bilan 2028"/>
      <sheetName val="Bilan 2030"/>
      <sheetName val="Bilan 2033"/>
      <sheetName val="Bilan 2035"/>
      <sheetName val="Bilan 2038"/>
      <sheetName val="Bilan 2040"/>
      <sheetName val="Bilan 2045"/>
      <sheetName val="Bilan 2050"/>
      <sheetName val="Bilan 2023 AMS"/>
      <sheetName val="Bilan 2025 AMS"/>
      <sheetName val="Bilan 2028 AMS"/>
      <sheetName val="Bilan 2030 AMS"/>
      <sheetName val="Bilan 2033 AMS"/>
      <sheetName val="Bilan 2035 AMS"/>
      <sheetName val="Bilan 2038 AMS"/>
      <sheetName val="Bilan 2040 AMS"/>
      <sheetName val="Bilan 2045 AMS"/>
      <sheetName val="Bilan 2050 AMS"/>
      <sheetName val="Bilan_E_KP_réel_2022"/>
      <sheetName val="Bilan_E_KP_réel_2023"/>
      <sheetName val="Bilan_E_AME_Met_2020"/>
      <sheetName val="Bilan_E_KP_AME_2020"/>
      <sheetName val="Bilan_E_KP_AME_2023"/>
      <sheetName val="Bilan_E_KP_AME_2025"/>
      <sheetName val="Bilan_E_KP_AME_2028"/>
      <sheetName val="Bilan_E_KP_AME_2030"/>
      <sheetName val="Bilan_E_KP_AME_2033"/>
      <sheetName val="Bilan_E_KP_AME_2035"/>
      <sheetName val="Bilan_E_KP_AME_2038"/>
      <sheetName val="Bilan_E_KP_AME_2040"/>
      <sheetName val="Bilan_E_KP_AME_2043"/>
      <sheetName val="Bilan_E_KP_AME_2045"/>
      <sheetName val="Bilan_E_KP_AME_2050"/>
      <sheetName val="Bilan_E_KP_AME"/>
      <sheetName val="Bilans_E_AMS_KP"/>
      <sheetName val="Bilans_E_AMS_KP_2023"/>
      <sheetName val="Bilans_E_AMS_KP_2025"/>
      <sheetName val="Bilans_E_AMS_KP_2028"/>
      <sheetName val="Bilans_E_AMS_KP_2030"/>
      <sheetName val="Bilans_E_AMS_KP_2033"/>
      <sheetName val="Bilans_E_AMS_KP_2035"/>
      <sheetName val="Bilans_E_AMS_KP_2038"/>
      <sheetName val="Bilans_E_AMS_KP_2040"/>
      <sheetName val="Bilans_E_AMS_KP_2043"/>
      <sheetName val="Bilans_E_AMS_KP_2045"/>
      <sheetName val="Bilans_E_AMS_KP_2050"/>
      <sheetName val="Bilan_E_KP_AMS"/>
      <sheetName val="Bilans_E_AMS_Kyoto_run3_2023"/>
      <sheetName val="Bilans_E_AMS_Kyoto_run3_2025"/>
      <sheetName val="Bilans_E_AMS_Kyoto_run3_2028"/>
      <sheetName val="Bilans_E_AMS_Kyoto_run3_2030"/>
      <sheetName val="Bilans_E_AMS_Kyoto_run3_2033"/>
      <sheetName val="Bilans_E_AMS_Kyoto_run3_2035"/>
      <sheetName val="Bilans_E_AMS_Kyoto_run3_2038"/>
      <sheetName val="Bilans_E_AMS_Kyoto_run3_2040"/>
      <sheetName val="Bilans_E_AMS_Kyoto_run3_2045"/>
      <sheetName val="Bilans_E_AMS_Kyoto_run3_2050"/>
      <sheetName val="Bilans_E_AMS_Kyoto_run3"/>
      <sheetName val="Bilans_E_AMS_Kyoto_run3_MTE"/>
      <sheetName val="Bilans_E_AMS_Kyoto_run3_MTE_anc"/>
      <sheetName val="P1_G4-G5"/>
      <sheetName val="P1_G6"/>
      <sheetName val="bilan énergie format SDS"/>
      <sheetName val="Demande Format Medpro"/>
      <sheetName val="Format demande MedPro_2015"/>
      <sheetName val="Corrections Bilan enerdata"/>
      <sheetName val="Modèle tertiaire_2015"/>
      <sheetName val="Modèle tertiaire_2020"/>
      <sheetName val="Modèle tertiaire_2025"/>
      <sheetName val="Modèle tertiaire_2030"/>
      <sheetName val="Modèle tertiaire_2050"/>
      <sheetName val="Modèle résidentiel ch_2015"/>
      <sheetName val="Modèle résidentiel ch_2020"/>
      <sheetName val="Modèle résidentiel ch_2025"/>
      <sheetName val="Modèle résidentiel ch_2030"/>
      <sheetName val="Modèle résidentiel ch_2050"/>
      <sheetName val="Modèle résidentiel hch_2015"/>
      <sheetName val="Modèle résidentiel hch_2020"/>
      <sheetName val="Modèle résidentiel hch_2025"/>
      <sheetName val="Modèle résidentiel hch_2030"/>
      <sheetName val="Modèle résidentiel hch_2050"/>
      <sheetName val="Mix énergie_2015"/>
      <sheetName val="Bilans_E_AMS_Kyoto_2050"/>
      <sheetName val="Bilan 2050 AMS_ancien"/>
      <sheetName val="Bilans_E_AMS_Kyoto"/>
      <sheetName val=" fonds chaleur"/>
      <sheetName val="Bilan énergie - AMErun2 - AMSr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3">
          <cell r="T13">
            <v>0.74651762682717104</v>
          </cell>
          <cell r="U13">
            <v>10.069552160228</v>
          </cell>
          <cell r="V13">
            <v>13.6203670581426</v>
          </cell>
          <cell r="W13">
            <v>12.701365476499801</v>
          </cell>
          <cell r="X13">
            <v>0.94471195184866696</v>
          </cell>
        </row>
        <row r="22">
          <cell r="T22">
            <v>0.20215430661253031</v>
          </cell>
          <cell r="U22">
            <v>10.298005677194096</v>
          </cell>
          <cell r="V22">
            <v>11.912749680464922</v>
          </cell>
          <cell r="W22">
            <v>7.2062454679408585</v>
          </cell>
          <cell r="X22">
            <v>7.267406707154804E-2</v>
          </cell>
        </row>
        <row r="30">
          <cell r="T30">
            <v>6.4536710533781398E-3</v>
          </cell>
          <cell r="U30">
            <v>1.1415347236508699</v>
          </cell>
          <cell r="V30">
            <v>1.21184436300186</v>
          </cell>
          <cell r="W30">
            <v>0.710753475039681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2.9897922514510483E-2</v>
          </cell>
          <cell r="U37">
            <v>1.1062928918353545</v>
          </cell>
          <cell r="V37">
            <v>6.0818806018488383</v>
          </cell>
          <cell r="W37">
            <v>0.31568062817324566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5.1467736003962539E-3</v>
          </cell>
          <cell r="U39">
            <v>2.5010085858689085E-5</v>
          </cell>
          <cell r="V39">
            <v>0.10956763115778498</v>
          </cell>
          <cell r="W39">
            <v>7.4926332712814264E-2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2.5168214298503164</v>
          </cell>
          <cell r="W40">
            <v>0.43850634072353678</v>
          </cell>
          <cell r="X40">
            <v>0</v>
          </cell>
        </row>
        <row r="41">
          <cell r="T41">
            <v>0.12266677554967495</v>
          </cell>
          <cell r="U41">
            <v>5.6111288464125664E-2</v>
          </cell>
          <cell r="V41">
            <v>0</v>
          </cell>
          <cell r="W41">
            <v>0</v>
          </cell>
          <cell r="X41">
            <v>2.9416967808253762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39.807000000000002</v>
          </cell>
        </row>
        <row r="43">
          <cell r="T43">
            <v>3.371</v>
          </cell>
          <cell r="U43">
            <v>2.3566094604778201</v>
          </cell>
          <cell r="V43">
            <v>6.6752954110546101</v>
          </cell>
          <cell r="W43">
            <v>3.01546564464017</v>
          </cell>
          <cell r="X43">
            <v>0</v>
          </cell>
        </row>
        <row r="44">
          <cell r="T44">
            <v>0</v>
          </cell>
          <cell r="U44">
            <v>0.10895527045374473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2.2137192704974398E-3</v>
          </cell>
          <cell r="U46">
            <v>1.0493092649428299</v>
          </cell>
          <cell r="V46">
            <v>3.6764196608413298E-2</v>
          </cell>
          <cell r="W46">
            <v>4.3073392295861899E-2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3.2143188055943388</v>
          </cell>
        </row>
        <row r="53">
          <cell r="E53">
            <v>1.1015862413247299</v>
          </cell>
        </row>
        <row r="54">
          <cell r="E54">
            <v>12.452999999999999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12">
        <row r="13">
          <cell r="L13">
            <v>45.039193999999995</v>
          </cell>
          <cell r="T13">
            <v>8.0414155849497</v>
          </cell>
          <cell r="U13">
            <v>105.150592236873</v>
          </cell>
          <cell r="V13">
            <v>158.3858485003</v>
          </cell>
          <cell r="W13">
            <v>124.730012203676</v>
          </cell>
          <cell r="X13">
            <v>8.3371990700000005</v>
          </cell>
        </row>
        <row r="22">
          <cell r="T22">
            <v>2.7076685555555562</v>
          </cell>
          <cell r="U22">
            <v>116.5874281388889</v>
          </cell>
          <cell r="V22">
            <v>125.05981224999999</v>
          </cell>
          <cell r="W22">
            <v>66.374696373468396</v>
          </cell>
          <cell r="X22">
            <v>2.2477144999999998</v>
          </cell>
        </row>
        <row r="30">
          <cell r="T30">
            <v>0.189373333333333</v>
          </cell>
          <cell r="U30">
            <v>18.686166128192799</v>
          </cell>
          <cell r="V30">
            <v>14.411899999999999</v>
          </cell>
          <cell r="W30">
            <v>9.5887644444444504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1.69047944444444</v>
          </cell>
          <cell r="U37">
            <v>15.5648575</v>
          </cell>
          <cell r="V37">
            <v>69.4067088888889</v>
          </cell>
          <cell r="W37">
            <v>2.8232277777777801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0.29232166666666698</v>
          </cell>
          <cell r="U39">
            <v>1.51127777777778E-2</v>
          </cell>
          <cell r="V39">
            <v>1.04480216638667</v>
          </cell>
          <cell r="W39">
            <v>0.354625058755556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27.426589444444399</v>
          </cell>
          <cell r="W40">
            <v>4.4857555555555599</v>
          </cell>
          <cell r="X40">
            <v>0</v>
          </cell>
        </row>
        <row r="41">
          <cell r="T41">
            <v>1.93666726391606</v>
          </cell>
          <cell r="U41">
            <v>1.0434102222764099</v>
          </cell>
          <cell r="V41">
            <v>0</v>
          </cell>
          <cell r="W41">
            <v>0</v>
          </cell>
          <cell r="X41">
            <v>30.751352031352699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384.06791201745</v>
          </cell>
        </row>
        <row r="43">
          <cell r="T43">
            <v>37.008579624305803</v>
          </cell>
          <cell r="U43">
            <v>30.361762354379302</v>
          </cell>
          <cell r="V43">
            <v>49.863308104442503</v>
          </cell>
          <cell r="W43">
            <v>31.480497483360899</v>
          </cell>
          <cell r="X43">
            <v>0</v>
          </cell>
        </row>
        <row r="44">
          <cell r="T44">
            <v>0</v>
          </cell>
          <cell r="U44">
            <v>3.5678886111111101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1.5371382629999999E-2</v>
          </cell>
          <cell r="U46">
            <v>8.9862670625500005</v>
          </cell>
          <cell r="V46">
            <v>0.24074954805000001</v>
          </cell>
          <cell r="W46">
            <v>0.35525487623000002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27.795210764186699</v>
          </cell>
        </row>
        <row r="53">
          <cell r="E53">
            <v>12.027936499999999</v>
          </cell>
        </row>
        <row r="54">
          <cell r="E54">
            <v>130.484119421548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13" refreshError="1"/>
      <sheetData sheetId="14">
        <row r="13">
          <cell r="T13">
            <v>7.8260000000000005</v>
          </cell>
          <cell r="U13">
            <v>107.64707300000001</v>
          </cell>
          <cell r="V13">
            <v>155.36990600000001</v>
          </cell>
          <cell r="W13">
            <v>133.03417000000002</v>
          </cell>
          <cell r="X13">
            <v>10.823198000000001</v>
          </cell>
        </row>
        <row r="22">
          <cell r="T22">
            <v>2.7474958333333332</v>
          </cell>
          <cell r="U22">
            <v>108.57266219444446</v>
          </cell>
          <cell r="V22">
            <v>110.55954550000001</v>
          </cell>
          <cell r="W22">
            <v>67.887248027777787</v>
          </cell>
          <cell r="X22">
            <v>3.7083049999999997</v>
          </cell>
        </row>
        <row r="30">
          <cell r="T30">
            <v>0.23347250000000003</v>
          </cell>
          <cell r="U30">
            <v>21.793321666666667</v>
          </cell>
          <cell r="V30">
            <v>14.53032638888889</v>
          </cell>
          <cell r="W30">
            <v>9.7167455555555549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1.8437186111111112</v>
          </cell>
          <cell r="U37">
            <v>15.531573611111112</v>
          </cell>
          <cell r="V37">
            <v>69.611392402361105</v>
          </cell>
          <cell r="W37">
            <v>3.2420080555555599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0.29211333333333334</v>
          </cell>
          <cell r="U39">
            <v>2.4585833333333335E-2</v>
          </cell>
          <cell r="V39">
            <v>2.5257802777777778</v>
          </cell>
          <cell r="W39">
            <v>0.34678083333333298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39.547388055555558</v>
          </cell>
          <cell r="W40">
            <v>4.8885494444444442</v>
          </cell>
          <cell r="X40">
            <v>0</v>
          </cell>
        </row>
        <row r="41">
          <cell r="T41">
            <v>2.0636319502888534</v>
          </cell>
          <cell r="U41">
            <v>0.8896092618446092</v>
          </cell>
          <cell r="V41">
            <v>0</v>
          </cell>
          <cell r="W41">
            <v>0</v>
          </cell>
          <cell r="X41">
            <v>35.98692255406236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468.70719657595708</v>
          </cell>
        </row>
        <row r="43">
          <cell r="T43">
            <v>39.452873847389007</v>
          </cell>
          <cell r="U43">
            <v>27.924680978677003</v>
          </cell>
          <cell r="V43">
            <v>40.712038874909005</v>
          </cell>
          <cell r="W43">
            <v>24.208682698433005</v>
          </cell>
          <cell r="X43">
            <v>0</v>
          </cell>
        </row>
        <row r="44">
          <cell r="T44">
            <v>0</v>
          </cell>
          <cell r="U44">
            <v>4.4104077777777784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1.9208852320000001E-2</v>
          </cell>
          <cell r="U46">
            <v>7.3736578567600004</v>
          </cell>
          <cell r="V46">
            <v>0.30791956671000004</v>
          </cell>
          <cell r="W46">
            <v>0.38187951663999997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44.997299641464451</v>
          </cell>
        </row>
        <row r="53">
          <cell r="E53">
            <v>10.145451250000001</v>
          </cell>
        </row>
        <row r="54">
          <cell r="E54">
            <v>107.81117013444999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15">
        <row r="13">
          <cell r="T13">
            <v>7.6348390000000004</v>
          </cell>
          <cell r="U13">
            <v>103.14419500000001</v>
          </cell>
          <cell r="V13">
            <v>151.42570800000004</v>
          </cell>
          <cell r="W13">
            <v>130.260345</v>
          </cell>
          <cell r="X13">
            <v>10.543191</v>
          </cell>
        </row>
        <row r="22">
          <cell r="T22">
            <v>2.7313033333333334</v>
          </cell>
          <cell r="U22">
            <v>100.79992327777778</v>
          </cell>
          <cell r="V22">
            <v>103.59429425</v>
          </cell>
          <cell r="W22">
            <v>63.657246916666658</v>
          </cell>
          <cell r="X22">
            <v>3.7083049999999997</v>
          </cell>
        </row>
        <row r="30">
          <cell r="T30">
            <v>0.26707805555555558</v>
          </cell>
          <cell r="U30">
            <v>21.859968333333335</v>
          </cell>
          <cell r="V30">
            <v>15.629575833333334</v>
          </cell>
          <cell r="W30">
            <v>9.8594538888888898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1.8475597222222224</v>
          </cell>
          <cell r="U37">
            <v>14.497804722222222</v>
          </cell>
          <cell r="V37">
            <v>70.150979653888882</v>
          </cell>
          <cell r="W37">
            <v>3.2188041666666698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0.29294666666666669</v>
          </cell>
          <cell r="U39">
            <v>2.5632777777777779E-2</v>
          </cell>
          <cell r="V39">
            <v>2.6333313888888892</v>
          </cell>
          <cell r="W39">
            <v>0.353265833333333</v>
          </cell>
          <cell r="X39">
            <v>0</v>
          </cell>
        </row>
        <row r="40">
          <cell r="T40">
            <v>0</v>
          </cell>
          <cell r="U40">
            <v>2.6356574892997744E-4</v>
          </cell>
          <cell r="V40">
            <v>44.439514166666662</v>
          </cell>
          <cell r="W40">
            <v>5.0584755555555549</v>
          </cell>
          <cell r="X40">
            <v>0</v>
          </cell>
        </row>
        <row r="41">
          <cell r="T41">
            <v>2.0636319502888525</v>
          </cell>
          <cell r="U41">
            <v>0.89176663588059402</v>
          </cell>
          <cell r="V41">
            <v>0</v>
          </cell>
          <cell r="W41">
            <v>4.4999999999999929E-2</v>
          </cell>
          <cell r="X41">
            <v>37.735735445533919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452.34819647075807</v>
          </cell>
        </row>
        <row r="43">
          <cell r="T43">
            <v>37.704445299680003</v>
          </cell>
          <cell r="U43">
            <v>26.970422859407002</v>
          </cell>
          <cell r="V43">
            <v>35.382495305294</v>
          </cell>
          <cell r="W43">
            <v>23.957943117617006</v>
          </cell>
          <cell r="X43">
            <v>0</v>
          </cell>
        </row>
        <row r="44">
          <cell r="T44">
            <v>0</v>
          </cell>
          <cell r="U44">
            <v>4.1018563888888897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1.4204347020000001E-2</v>
          </cell>
          <cell r="U46">
            <v>6.7561224064300012</v>
          </cell>
          <cell r="V46">
            <v>0.23010017802000002</v>
          </cell>
          <cell r="W46">
            <v>0.34274047288000004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37.544340114489998</v>
          </cell>
        </row>
        <row r="53">
          <cell r="E53">
            <v>10.01566775</v>
          </cell>
        </row>
        <row r="54">
          <cell r="E54">
            <v>113.10061663207698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16" refreshError="1"/>
      <sheetData sheetId="17">
        <row r="13">
          <cell r="L13">
            <v>64.055272794649682</v>
          </cell>
          <cell r="T13">
            <v>8.2455072704191767</v>
          </cell>
          <cell r="U13">
            <v>110.31623789955354</v>
          </cell>
          <cell r="V13">
            <v>168.17343522041736</v>
          </cell>
          <cell r="W13">
            <v>131.53831129097264</v>
          </cell>
          <cell r="X13">
            <v>17.908429224736064</v>
          </cell>
        </row>
        <row r="22">
          <cell r="T22">
            <v>2.4899238027122088</v>
          </cell>
          <cell r="U22">
            <v>112.28992403957399</v>
          </cell>
          <cell r="V22">
            <v>122.23887735132044</v>
          </cell>
          <cell r="W22">
            <v>68.197827273818135</v>
          </cell>
          <cell r="X22">
            <v>6.7841435265203538</v>
          </cell>
        </row>
        <row r="30">
          <cell r="T30">
            <v>0</v>
          </cell>
          <cell r="U30">
            <v>16.994133911313323</v>
          </cell>
          <cell r="V30">
            <v>15.992572069761611</v>
          </cell>
          <cell r="W30">
            <v>5.3259859771970728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0.70706396927287185</v>
          </cell>
          <cell r="U37">
            <v>17.593885172405454</v>
          </cell>
          <cell r="V37">
            <v>72.996556103181632</v>
          </cell>
          <cell r="W37">
            <v>3.9976752731894716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9.0201671928645533E-2</v>
          </cell>
          <cell r="U39">
            <v>3.8289980908217579E-4</v>
          </cell>
          <cell r="V39">
            <v>1.4994987295121316</v>
          </cell>
          <cell r="W39">
            <v>0.94378280475996701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32.811205728954405</v>
          </cell>
          <cell r="W40">
            <v>6.5080361221152287</v>
          </cell>
          <cell r="X40">
            <v>0</v>
          </cell>
        </row>
        <row r="41">
          <cell r="T41">
            <v>2.2606527751608563</v>
          </cell>
          <cell r="U41">
            <v>0.83302892187499988</v>
          </cell>
          <cell r="V41">
            <v>0</v>
          </cell>
          <cell r="W41">
            <v>0</v>
          </cell>
          <cell r="X41">
            <v>39.656272012198485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408.63289173322238</v>
          </cell>
        </row>
        <row r="43">
          <cell r="T43">
            <v>34.492480565946664</v>
          </cell>
          <cell r="U43">
            <v>27.107499244386606</v>
          </cell>
          <cell r="V43">
            <v>41.084750674599483</v>
          </cell>
          <cell r="W43">
            <v>21.278250753083572</v>
          </cell>
          <cell r="X43">
            <v>0</v>
          </cell>
        </row>
        <row r="44">
          <cell r="T44">
            <v>0</v>
          </cell>
          <cell r="U44">
            <v>1.7237647195692531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7.0843993210285721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41.900781249999994</v>
          </cell>
        </row>
        <row r="53">
          <cell r="E53">
            <v>12.538633041459809</v>
          </cell>
        </row>
        <row r="54">
          <cell r="E54">
            <v>127.25135409198229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18" refreshError="1"/>
      <sheetData sheetId="19">
        <row r="5">
          <cell r="T5">
            <v>47.147872325239078</v>
          </cell>
        </row>
        <row r="13">
          <cell r="T13">
            <v>7.7746258142900144</v>
          </cell>
          <cell r="U13">
            <v>109.51907717242362</v>
          </cell>
          <cell r="V13">
            <v>175.94122104806229</v>
          </cell>
          <cell r="W13">
            <v>131.24016316985416</v>
          </cell>
          <cell r="X13">
            <v>30.235692409435519</v>
          </cell>
        </row>
        <row r="22">
          <cell r="T22">
            <v>2.2065468915632476</v>
          </cell>
          <cell r="U22">
            <v>107.57006290409642</v>
          </cell>
          <cell r="V22">
            <v>105.84038447625139</v>
          </cell>
          <cell r="W22">
            <v>63.626820842219111</v>
          </cell>
          <cell r="X22">
            <v>15.340301507466149</v>
          </cell>
        </row>
        <row r="30">
          <cell r="T30">
            <v>0</v>
          </cell>
          <cell r="U30">
            <v>16.327213841854732</v>
          </cell>
          <cell r="V30">
            <v>15.783130887728015</v>
          </cell>
          <cell r="W30">
            <v>4.3528828563662758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1.4487991994826963</v>
          </cell>
          <cell r="U37">
            <v>18.534460646102772</v>
          </cell>
          <cell r="V37">
            <v>78.735270640359559</v>
          </cell>
          <cell r="W37">
            <v>3.5803203712753549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8.4265288301735436E-2</v>
          </cell>
          <cell r="U39">
            <v>3.8267455312152764E-4</v>
          </cell>
          <cell r="V39">
            <v>1.9317269815068459</v>
          </cell>
          <cell r="W39">
            <v>0.83294326034961275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41.43976216997369</v>
          </cell>
          <cell r="W40">
            <v>8.0745890957481183</v>
          </cell>
          <cell r="X40">
            <v>0</v>
          </cell>
        </row>
        <row r="41">
          <cell r="T41">
            <v>2.4657875210358444</v>
          </cell>
          <cell r="U41">
            <v>0.85092246484375</v>
          </cell>
          <cell r="V41">
            <v>0</v>
          </cell>
          <cell r="W41">
            <v>0</v>
          </cell>
          <cell r="X41">
            <v>33.466916874810835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344.1701238998171</v>
          </cell>
        </row>
        <row r="43">
          <cell r="T43">
            <v>33.167847610565538</v>
          </cell>
          <cell r="U43">
            <v>25.052429385041094</v>
          </cell>
          <cell r="V43">
            <v>31.509183869953784</v>
          </cell>
          <cell r="W43">
            <v>13.089485167364064</v>
          </cell>
          <cell r="X43">
            <v>0</v>
          </cell>
        </row>
        <row r="44">
          <cell r="T44">
            <v>0</v>
          </cell>
          <cell r="U44">
            <v>1.777675824710524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6.5032741679727843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39.843501953124999</v>
          </cell>
        </row>
        <row r="53">
          <cell r="E53">
            <v>12.411293173801123</v>
          </cell>
        </row>
        <row r="54">
          <cell r="E54">
            <v>120.50577840542185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</v>
          </cell>
        </row>
      </sheetData>
      <sheetData sheetId="20" refreshError="1"/>
      <sheetData sheetId="21">
        <row r="13">
          <cell r="L13">
            <v>50.941346245748719</v>
          </cell>
          <cell r="T13">
            <v>7.1029233048090266</v>
          </cell>
          <cell r="U13">
            <v>109.99437284793218</v>
          </cell>
          <cell r="V13">
            <v>183.08170703950353</v>
          </cell>
          <cell r="W13">
            <v>134.9475862077569</v>
          </cell>
          <cell r="X13">
            <v>46.654707564142761</v>
          </cell>
        </row>
        <row r="22">
          <cell r="T22">
            <v>1.7974129621234143</v>
          </cell>
          <cell r="U22">
            <v>103.53986201693733</v>
          </cell>
          <cell r="V22">
            <v>90.643497547790304</v>
          </cell>
          <cell r="W22">
            <v>64.079034982937259</v>
          </cell>
          <cell r="X22">
            <v>25.624578872483603</v>
          </cell>
        </row>
        <row r="30">
          <cell r="T30">
            <v>0</v>
          </cell>
          <cell r="U30">
            <v>16.103287978552984</v>
          </cell>
          <cell r="V30">
            <v>15.629207143582217</v>
          </cell>
          <cell r="W30">
            <v>3.8620862063760555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2.5129576329044134</v>
          </cell>
          <cell r="U37">
            <v>19.565687098295676</v>
          </cell>
          <cell r="V37">
            <v>86.298448588028648</v>
          </cell>
          <cell r="W37">
            <v>3.3792389882828151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7.8328904674825409E-2</v>
          </cell>
          <cell r="U39">
            <v>3.8067188808088001E-4</v>
          </cell>
          <cell r="V39">
            <v>1.9759423218950023</v>
          </cell>
          <cell r="W39">
            <v>0.77988306826531983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49.305914152356948</v>
          </cell>
          <cell r="W40">
            <v>8.5204805498073064</v>
          </cell>
          <cell r="X40">
            <v>0</v>
          </cell>
        </row>
        <row r="41">
          <cell r="T41">
            <v>2.7366524531426237</v>
          </cell>
          <cell r="U41">
            <v>0.87520713476562495</v>
          </cell>
          <cell r="V41">
            <v>0</v>
          </cell>
          <cell r="W41">
            <v>0</v>
          </cell>
          <cell r="X41">
            <v>28.280041762715456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291.38745921478562</v>
          </cell>
        </row>
        <row r="43">
          <cell r="T43">
            <v>31.378359933180146</v>
          </cell>
          <cell r="U43">
            <v>23.255205938178186</v>
          </cell>
          <cell r="V43">
            <v>24.366054746482678</v>
          </cell>
          <cell r="W43">
            <v>9.1434406229634497</v>
          </cell>
          <cell r="X43">
            <v>0</v>
          </cell>
        </row>
        <row r="44">
          <cell r="T44">
            <v>0</v>
          </cell>
          <cell r="U44">
            <v>1.7744589215827917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6.2002081056415257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39.800271484375003</v>
          </cell>
        </row>
        <row r="53">
          <cell r="E53">
            <v>12.028714359769619</v>
          </cell>
        </row>
        <row r="54">
          <cell r="E54">
            <v>114.78425758185857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0.87448992412119186</v>
          </cell>
        </row>
      </sheetData>
      <sheetData sheetId="22" refreshError="1"/>
      <sheetData sheetId="23">
        <row r="13">
          <cell r="L13">
            <v>31.055970799843635</v>
          </cell>
          <cell r="T13">
            <v>6.3643203530837074</v>
          </cell>
          <cell r="U13">
            <v>111.80433548215856</v>
          </cell>
          <cell r="V13">
            <v>187.24843332836184</v>
          </cell>
          <cell r="W13">
            <v>138.68432478978596</v>
          </cell>
          <cell r="X13">
            <v>62.086065361885787</v>
          </cell>
        </row>
        <row r="22">
          <cell r="T22">
            <v>1.3434836260904512</v>
          </cell>
          <cell r="U22">
            <v>100.27567229981769</v>
          </cell>
          <cell r="V22">
            <v>84.522095564657249</v>
          </cell>
          <cell r="W22">
            <v>64.55833796318565</v>
          </cell>
          <cell r="X22">
            <v>32.444304612937295</v>
          </cell>
        </row>
        <row r="30">
          <cell r="T30">
            <v>0</v>
          </cell>
          <cell r="U30">
            <v>16.083775404791947</v>
          </cell>
          <cell r="V30">
            <v>15.504434202631401</v>
          </cell>
          <cell r="W30">
            <v>3.5758270456804375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3.6844952632387193</v>
          </cell>
          <cell r="U37">
            <v>20.699069714826329</v>
          </cell>
          <cell r="V37">
            <v>87.012401530952616</v>
          </cell>
          <cell r="W37">
            <v>3.243340348024236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7.2392521047915395E-2</v>
          </cell>
          <cell r="U39">
            <v>3.7866244598879411E-4</v>
          </cell>
          <cell r="V39">
            <v>2.0231633432731213</v>
          </cell>
          <cell r="W39">
            <v>0.74318365128395913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54.219025663639314</v>
          </cell>
          <cell r="W40">
            <v>8.6788063603893928</v>
          </cell>
          <cell r="X40">
            <v>0</v>
          </cell>
        </row>
        <row r="41">
          <cell r="T41">
            <v>3.0029030850571363</v>
          </cell>
          <cell r="U41">
            <v>0.9136629082031249</v>
          </cell>
          <cell r="V41">
            <v>0</v>
          </cell>
          <cell r="W41">
            <v>0</v>
          </cell>
          <cell r="X41">
            <v>24.125777410294155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249.23385066161848</v>
          </cell>
        </row>
        <row r="43">
          <cell r="T43">
            <v>29.471786733039881</v>
          </cell>
          <cell r="U43">
            <v>21.83935294215906</v>
          </cell>
          <cell r="V43">
            <v>17.698191750553285</v>
          </cell>
          <cell r="W43">
            <v>5.759525486283259</v>
          </cell>
          <cell r="X43">
            <v>0</v>
          </cell>
        </row>
        <row r="44">
          <cell r="T44">
            <v>0</v>
          </cell>
          <cell r="U44">
            <v>1.7608774311708451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5.4657298257742912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39.745125000000002</v>
          </cell>
        </row>
        <row r="53">
          <cell r="E53">
            <v>11.766175832538266</v>
          </cell>
        </row>
        <row r="54">
          <cell r="E54">
            <v>109.69308299672531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1.8135973700674786</v>
          </cell>
        </row>
      </sheetData>
      <sheetData sheetId="24" refreshError="1"/>
      <sheetData sheetId="25">
        <row r="13">
          <cell r="L13">
            <v>12.7985093299136</v>
          </cell>
          <cell r="T13">
            <v>5.5235547180923223</v>
          </cell>
          <cell r="U13">
            <v>114.99790196708234</v>
          </cell>
          <cell r="V13">
            <v>194.47767196350526</v>
          </cell>
          <cell r="W13">
            <v>146.08879967332064</v>
          </cell>
          <cell r="X13">
            <v>80.819270278256823</v>
          </cell>
        </row>
        <row r="22">
          <cell r="T22">
            <v>0.82724150114229067</v>
          </cell>
          <cell r="U22">
            <v>93.244653189496177</v>
          </cell>
          <cell r="V22">
            <v>69.950393796181032</v>
          </cell>
          <cell r="W22">
            <v>63.855416891592903</v>
          </cell>
          <cell r="X22">
            <v>36.333214039569555</v>
          </cell>
        </row>
        <row r="30">
          <cell r="T30">
            <v>0</v>
          </cell>
          <cell r="U30">
            <v>16.21056036467343</v>
          </cell>
          <cell r="V30">
            <v>15.182773802844931</v>
          </cell>
          <cell r="W30">
            <v>3.3506823845440552</v>
          </cell>
          <cell r="X30">
            <v>0</v>
          </cell>
        </row>
        <row r="36"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T37">
            <v>5.0054618408177598</v>
          </cell>
          <cell r="U37">
            <v>22.791437377983073</v>
          </cell>
          <cell r="V37">
            <v>86.155325304334795</v>
          </cell>
          <cell r="W37">
            <v>3.0090868580403627</v>
          </cell>
          <cell r="X37">
            <v>0</v>
          </cell>
        </row>
        <row r="38"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T39">
            <v>6.051975379409523E-2</v>
          </cell>
          <cell r="U39">
            <v>3.7093504340600874E-4</v>
          </cell>
          <cell r="V39">
            <v>2.1206229173139883</v>
          </cell>
          <cell r="W39">
            <v>0.68093940948821108</v>
          </cell>
          <cell r="X39">
            <v>0</v>
          </cell>
        </row>
        <row r="40">
          <cell r="T40">
            <v>0</v>
          </cell>
          <cell r="U40">
            <v>0</v>
          </cell>
          <cell r="V40">
            <v>66.478227859390046</v>
          </cell>
          <cell r="W40">
            <v>8.6055350400994808</v>
          </cell>
          <cell r="X40">
            <v>0</v>
          </cell>
        </row>
        <row r="41">
          <cell r="T41">
            <v>3.2629555410385191</v>
          </cell>
          <cell r="U41">
            <v>1.007010953125</v>
          </cell>
          <cell r="V41">
            <v>0</v>
          </cell>
          <cell r="W41">
            <v>0</v>
          </cell>
          <cell r="X41">
            <v>20.896591906701669</v>
          </cell>
        </row>
        <row r="42"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216.8751541495462</v>
          </cell>
        </row>
        <row r="43">
          <cell r="T43">
            <v>27.219719362233906</v>
          </cell>
          <cell r="U43">
            <v>19.397200033553816</v>
          </cell>
          <cell r="V43">
            <v>5.2094674308398901</v>
          </cell>
          <cell r="W43">
            <v>2.3181271880740835</v>
          </cell>
          <cell r="X43">
            <v>0</v>
          </cell>
        </row>
        <row r="44">
          <cell r="T44">
            <v>0</v>
          </cell>
          <cell r="U44">
            <v>1.7013098714668424</v>
          </cell>
          <cell r="V44">
            <v>0</v>
          </cell>
          <cell r="W44">
            <v>0</v>
          </cell>
          <cell r="X44">
            <v>0</v>
          </cell>
        </row>
        <row r="45"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T46">
            <v>0</v>
          </cell>
          <cell r="U46">
            <v>3.6733927919712848</v>
          </cell>
          <cell r="V46">
            <v>0</v>
          </cell>
          <cell r="W46">
            <v>0</v>
          </cell>
          <cell r="X46">
            <v>0</v>
          </cell>
        </row>
        <row r="47"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52">
          <cell r="E52">
            <v>39.599712890625</v>
          </cell>
        </row>
        <row r="53">
          <cell r="E53">
            <v>11.196954266678716</v>
          </cell>
        </row>
        <row r="54">
          <cell r="E54">
            <v>100.05515171814793</v>
          </cell>
        </row>
        <row r="55">
          <cell r="E55">
            <v>0</v>
          </cell>
        </row>
        <row r="56">
          <cell r="E56">
            <v>0</v>
          </cell>
        </row>
        <row r="57">
          <cell r="E57">
            <v>3.9154347726113912</v>
          </cell>
        </row>
      </sheetData>
      <sheetData sheetId="26" refreshError="1"/>
      <sheetData sheetId="27">
        <row r="13">
          <cell r="L13">
            <v>86.192023090421856</v>
          </cell>
        </row>
      </sheetData>
      <sheetData sheetId="28" refreshError="1"/>
      <sheetData sheetId="29">
        <row r="13">
          <cell r="L13">
            <v>57.004792385507699</v>
          </cell>
        </row>
      </sheetData>
      <sheetData sheetId="30" refreshError="1"/>
      <sheetData sheetId="31">
        <row r="13">
          <cell r="L13">
            <v>95.466033511784872</v>
          </cell>
        </row>
      </sheetData>
      <sheetData sheetId="32" refreshError="1"/>
      <sheetData sheetId="33">
        <row r="13">
          <cell r="L13">
            <v>125.47851234932489</v>
          </cell>
        </row>
      </sheetData>
      <sheetData sheetId="34" refreshError="1"/>
      <sheetData sheetId="35">
        <row r="13">
          <cell r="L13">
            <v>28.679288227585289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57"/>
  <sheetViews>
    <sheetView zoomScale="110" zoomScaleNormal="110" workbookViewId="0">
      <pane xSplit="2" ySplit="2" topLeftCell="AN250" activePane="bottomRight" state="frozen"/>
      <selection pane="topRight" activeCell="C1" sqref="C1"/>
      <selection pane="bottomLeft" activeCell="A3" sqref="A3"/>
      <selection pane="bottomRight" activeCell="B2" sqref="B2:AW257"/>
    </sheetView>
  </sheetViews>
  <sheetFormatPr baseColWidth="10" defaultColWidth="11.42578125" defaultRowHeight="15" x14ac:dyDescent="0.25"/>
  <cols>
    <col min="1" max="1" width="19" customWidth="1"/>
    <col min="2" max="2" width="36.85546875" customWidth="1"/>
    <col min="45" max="50" width="11.7109375" customWidth="1"/>
  </cols>
  <sheetData>
    <row r="1" spans="1:49" ht="128.25" thickBot="1" x14ac:dyDescent="0.3">
      <c r="A1" s="233" t="s">
        <v>221</v>
      </c>
      <c r="B1" s="239" t="s">
        <v>157</v>
      </c>
      <c r="C1" s="234">
        <v>2</v>
      </c>
      <c r="D1" s="234">
        <f>C1+1</f>
        <v>3</v>
      </c>
      <c r="E1" s="234">
        <f t="shared" ref="E1:AS1" si="0">D1+1</f>
        <v>4</v>
      </c>
      <c r="F1" s="234">
        <f t="shared" si="0"/>
        <v>5</v>
      </c>
      <c r="G1" s="234">
        <f t="shared" si="0"/>
        <v>6</v>
      </c>
      <c r="H1" s="234">
        <f t="shared" si="0"/>
        <v>7</v>
      </c>
      <c r="I1" s="234">
        <f t="shared" si="0"/>
        <v>8</v>
      </c>
      <c r="J1" s="234">
        <f t="shared" si="0"/>
        <v>9</v>
      </c>
      <c r="K1" s="234">
        <f t="shared" si="0"/>
        <v>10</v>
      </c>
      <c r="L1" s="234">
        <f t="shared" si="0"/>
        <v>11</v>
      </c>
      <c r="M1" s="234">
        <f t="shared" si="0"/>
        <v>12</v>
      </c>
      <c r="N1" s="234">
        <f t="shared" si="0"/>
        <v>13</v>
      </c>
      <c r="O1" s="234">
        <f>N1+1</f>
        <v>14</v>
      </c>
      <c r="P1" s="234">
        <f t="shared" si="0"/>
        <v>15</v>
      </c>
      <c r="Q1" s="234">
        <f t="shared" si="0"/>
        <v>16</v>
      </c>
      <c r="R1" s="234">
        <f t="shared" si="0"/>
        <v>17</v>
      </c>
      <c r="S1" s="234">
        <f t="shared" si="0"/>
        <v>18</v>
      </c>
      <c r="T1" s="234">
        <f t="shared" si="0"/>
        <v>19</v>
      </c>
      <c r="U1" s="234">
        <f t="shared" si="0"/>
        <v>20</v>
      </c>
      <c r="V1" s="234">
        <f t="shared" si="0"/>
        <v>21</v>
      </c>
      <c r="W1" s="234">
        <f t="shared" si="0"/>
        <v>22</v>
      </c>
      <c r="X1" s="234">
        <f t="shared" si="0"/>
        <v>23</v>
      </c>
      <c r="Y1" s="234">
        <f t="shared" si="0"/>
        <v>24</v>
      </c>
      <c r="Z1" s="234">
        <f t="shared" si="0"/>
        <v>25</v>
      </c>
      <c r="AA1" s="234">
        <f t="shared" si="0"/>
        <v>26</v>
      </c>
      <c r="AB1" s="234">
        <f t="shared" si="0"/>
        <v>27</v>
      </c>
      <c r="AC1" s="234">
        <f t="shared" si="0"/>
        <v>28</v>
      </c>
      <c r="AD1" s="234">
        <f t="shared" si="0"/>
        <v>29</v>
      </c>
      <c r="AE1" s="234">
        <f t="shared" si="0"/>
        <v>30</v>
      </c>
      <c r="AF1" s="234">
        <f t="shared" si="0"/>
        <v>31</v>
      </c>
      <c r="AG1" s="234">
        <f t="shared" si="0"/>
        <v>32</v>
      </c>
      <c r="AH1" s="234">
        <f t="shared" si="0"/>
        <v>33</v>
      </c>
      <c r="AI1" s="234">
        <f t="shared" si="0"/>
        <v>34</v>
      </c>
      <c r="AJ1" s="234">
        <f t="shared" si="0"/>
        <v>35</v>
      </c>
      <c r="AK1" s="234">
        <f t="shared" si="0"/>
        <v>36</v>
      </c>
      <c r="AL1" s="234">
        <f t="shared" si="0"/>
        <v>37</v>
      </c>
      <c r="AM1" s="234">
        <f t="shared" si="0"/>
        <v>38</v>
      </c>
      <c r="AN1" s="234">
        <f t="shared" si="0"/>
        <v>39</v>
      </c>
      <c r="AO1" s="234">
        <f t="shared" si="0"/>
        <v>40</v>
      </c>
      <c r="AP1" s="234">
        <f t="shared" si="0"/>
        <v>41</v>
      </c>
      <c r="AQ1" s="234">
        <f t="shared" si="0"/>
        <v>42</v>
      </c>
      <c r="AR1" s="234">
        <f t="shared" si="0"/>
        <v>43</v>
      </c>
      <c r="AS1" s="234">
        <f t="shared" si="0"/>
        <v>44</v>
      </c>
      <c r="AT1" s="234">
        <f>AS1+1</f>
        <v>45</v>
      </c>
      <c r="AU1" s="234">
        <f>AT1+1</f>
        <v>46</v>
      </c>
      <c r="AV1" s="234">
        <f t="shared" ref="AV1:AW1" si="1">AU1+1</f>
        <v>47</v>
      </c>
      <c r="AW1" s="234">
        <f t="shared" si="1"/>
        <v>48</v>
      </c>
    </row>
    <row r="2" spans="1:49" x14ac:dyDescent="0.25">
      <c r="B2" s="241"/>
      <c r="C2">
        <v>2004</v>
      </c>
      <c r="D2">
        <v>2005</v>
      </c>
      <c r="E2">
        <v>2006</v>
      </c>
      <c r="F2">
        <v>2007</v>
      </c>
      <c r="G2">
        <v>2008</v>
      </c>
      <c r="H2">
        <v>2009</v>
      </c>
      <c r="I2">
        <v>2010</v>
      </c>
      <c r="J2">
        <v>2011</v>
      </c>
      <c r="K2">
        <v>2012</v>
      </c>
      <c r="L2">
        <v>2013</v>
      </c>
      <c r="M2">
        <v>2014</v>
      </c>
      <c r="N2">
        <v>2015</v>
      </c>
      <c r="O2">
        <v>2016</v>
      </c>
      <c r="P2">
        <v>2017</v>
      </c>
      <c r="Q2">
        <v>2018</v>
      </c>
      <c r="R2">
        <v>2019</v>
      </c>
      <c r="S2">
        <v>2020</v>
      </c>
      <c r="T2">
        <v>2021</v>
      </c>
      <c r="U2">
        <v>2022</v>
      </c>
      <c r="V2">
        <v>2023</v>
      </c>
      <c r="W2">
        <v>2024</v>
      </c>
      <c r="X2">
        <v>2025</v>
      </c>
      <c r="Y2">
        <v>2026</v>
      </c>
      <c r="Z2">
        <v>2027</v>
      </c>
      <c r="AA2">
        <v>2028</v>
      </c>
      <c r="AB2">
        <v>2029</v>
      </c>
      <c r="AC2">
        <v>2030</v>
      </c>
      <c r="AD2">
        <v>2031</v>
      </c>
      <c r="AE2">
        <v>2032</v>
      </c>
      <c r="AF2">
        <v>2033</v>
      </c>
      <c r="AG2">
        <v>2034</v>
      </c>
      <c r="AH2">
        <v>2035</v>
      </c>
      <c r="AI2">
        <v>2036</v>
      </c>
      <c r="AJ2">
        <v>2037</v>
      </c>
      <c r="AK2">
        <v>2038</v>
      </c>
      <c r="AL2">
        <v>2039</v>
      </c>
      <c r="AM2">
        <v>2040</v>
      </c>
      <c r="AN2">
        <v>2041</v>
      </c>
      <c r="AO2">
        <v>2042</v>
      </c>
      <c r="AP2">
        <v>2043</v>
      </c>
      <c r="AQ2">
        <v>2044</v>
      </c>
      <c r="AR2">
        <v>2045</v>
      </c>
      <c r="AS2">
        <v>2046</v>
      </c>
      <c r="AT2">
        <v>2047</v>
      </c>
      <c r="AU2">
        <v>2048</v>
      </c>
      <c r="AV2">
        <v>2049</v>
      </c>
      <c r="AW2">
        <v>2050</v>
      </c>
    </row>
    <row r="3" spans="1:49" x14ac:dyDescent="0.25">
      <c r="B3" s="16" t="s">
        <v>254</v>
      </c>
      <c r="C3">
        <v>78.155731330970795</v>
      </c>
      <c r="D3">
        <v>79.410546877677106</v>
      </c>
      <c r="E3">
        <v>80.666674569999998</v>
      </c>
      <c r="F3">
        <v>82.035682489999999</v>
      </c>
      <c r="G3">
        <v>78.482848050000001</v>
      </c>
      <c r="H3">
        <v>76.415372660000003</v>
      </c>
      <c r="I3">
        <v>75.517373599999999</v>
      </c>
      <c r="J3">
        <v>73.768785100000002</v>
      </c>
      <c r="K3">
        <v>71.715188029999894</v>
      </c>
      <c r="L3">
        <v>70.391377500000004</v>
      </c>
      <c r="M3">
        <v>70.512891879999998</v>
      </c>
      <c r="N3">
        <v>71.337321540000005</v>
      </c>
      <c r="O3">
        <v>70.080528200000003</v>
      </c>
      <c r="P3">
        <v>68.213216959999997</v>
      </c>
      <c r="Q3">
        <v>65.482835980000004</v>
      </c>
      <c r="R3">
        <v>63.804611970000003</v>
      </c>
      <c r="S3">
        <v>62.28017474</v>
      </c>
      <c r="T3">
        <v>62.233926959999998</v>
      </c>
      <c r="U3">
        <v>62.037374319999998</v>
      </c>
      <c r="V3">
        <v>61.94253904</v>
      </c>
      <c r="W3">
        <v>61.488789490000002</v>
      </c>
      <c r="X3">
        <v>60.520863830000003</v>
      </c>
      <c r="Y3">
        <v>59.88863636</v>
      </c>
      <c r="Z3">
        <v>59.527086560000001</v>
      </c>
      <c r="AA3">
        <v>59.164356650000002</v>
      </c>
      <c r="AB3">
        <v>58.775049320000001</v>
      </c>
      <c r="AC3">
        <v>58.230579849999998</v>
      </c>
      <c r="AD3">
        <v>57.752250910000001</v>
      </c>
      <c r="AE3">
        <v>57.34735706</v>
      </c>
      <c r="AF3">
        <v>56.950989309999997</v>
      </c>
      <c r="AG3">
        <v>56.553028990000001</v>
      </c>
      <c r="AH3">
        <v>56.153916770000002</v>
      </c>
      <c r="AI3">
        <v>55.834174689999998</v>
      </c>
      <c r="AJ3">
        <v>55.532601200000002</v>
      </c>
      <c r="AK3">
        <v>55.224903830000002</v>
      </c>
      <c r="AL3">
        <v>54.925053689999999</v>
      </c>
      <c r="AM3">
        <v>54.632668629999998</v>
      </c>
      <c r="AN3">
        <v>54.302054900000002</v>
      </c>
      <c r="AO3">
        <v>53.959506490000003</v>
      </c>
      <c r="AP3">
        <v>53.594738149999998</v>
      </c>
      <c r="AQ3">
        <v>53.224764720000003</v>
      </c>
      <c r="AR3">
        <v>52.795128589999997</v>
      </c>
      <c r="AS3">
        <v>52.536094740000003</v>
      </c>
      <c r="AT3">
        <v>52.290530480000001</v>
      </c>
      <c r="AU3">
        <v>52.044793599999998</v>
      </c>
      <c r="AV3">
        <v>51.802558670000003</v>
      </c>
      <c r="AW3">
        <v>51.584100960000001</v>
      </c>
    </row>
    <row r="4" spans="1:49" x14ac:dyDescent="0.25">
      <c r="B4" s="16" t="s">
        <v>255</v>
      </c>
      <c r="C4">
        <v>77.477678819662401</v>
      </c>
      <c r="D4">
        <v>78.721608013977402</v>
      </c>
      <c r="E4">
        <v>79.999246659999997</v>
      </c>
      <c r="F4">
        <v>81.022953920000006</v>
      </c>
      <c r="G4">
        <v>77.195780990000003</v>
      </c>
      <c r="H4">
        <v>74.853666790000005</v>
      </c>
      <c r="I4">
        <v>73.670353710000001</v>
      </c>
      <c r="J4">
        <v>71.669115129999994</v>
      </c>
      <c r="K4">
        <v>69.387954699999995</v>
      </c>
      <c r="L4">
        <v>67.827520680000006</v>
      </c>
      <c r="M4">
        <v>67.665693669999996</v>
      </c>
      <c r="N4">
        <v>68.175815979999996</v>
      </c>
      <c r="O4">
        <v>66.924744700000005</v>
      </c>
      <c r="P4">
        <v>65.089784129999998</v>
      </c>
      <c r="Q4">
        <v>62.43150043</v>
      </c>
      <c r="R4">
        <v>60.776409360000002</v>
      </c>
      <c r="S4">
        <v>59.266794470000001</v>
      </c>
      <c r="T4">
        <v>59.064032939999997</v>
      </c>
      <c r="U4">
        <v>58.724377859999997</v>
      </c>
      <c r="V4">
        <v>58.486609889999997</v>
      </c>
      <c r="W4">
        <v>58.058176170000003</v>
      </c>
      <c r="X4">
        <v>57.144253499999998</v>
      </c>
      <c r="Y4">
        <v>56.547299590000002</v>
      </c>
      <c r="Z4">
        <v>56.205921549999999</v>
      </c>
      <c r="AA4">
        <v>55.863429250000003</v>
      </c>
      <c r="AB4">
        <v>55.495842340000003</v>
      </c>
      <c r="AC4">
        <v>54.98175019</v>
      </c>
      <c r="AD4">
        <v>54.530108419999998</v>
      </c>
      <c r="AE4">
        <v>54.147804610000001</v>
      </c>
      <c r="AF4">
        <v>53.773551210000001</v>
      </c>
      <c r="AG4">
        <v>53.397794089999998</v>
      </c>
      <c r="AH4">
        <v>53.020949330000001</v>
      </c>
      <c r="AI4">
        <v>52.719046470000002</v>
      </c>
      <c r="AJ4">
        <v>52.434298519999999</v>
      </c>
      <c r="AK4">
        <v>52.143768350000002</v>
      </c>
      <c r="AL4">
        <v>51.8606476</v>
      </c>
      <c r="AM4">
        <v>51.584575430000001</v>
      </c>
      <c r="AN4">
        <v>51.272407469999997</v>
      </c>
      <c r="AO4">
        <v>50.948970690000003</v>
      </c>
      <c r="AP4">
        <v>50.604553699999997</v>
      </c>
      <c r="AQ4">
        <v>50.255222000000003</v>
      </c>
      <c r="AR4">
        <v>49.849556339999999</v>
      </c>
      <c r="AS4">
        <v>49.604974640000002</v>
      </c>
      <c r="AT4">
        <v>49.373111029999997</v>
      </c>
      <c r="AU4">
        <v>49.141084419999999</v>
      </c>
      <c r="AV4">
        <v>48.91236439</v>
      </c>
      <c r="AW4">
        <v>48.706094970000002</v>
      </c>
    </row>
    <row r="5" spans="1:49" x14ac:dyDescent="0.25">
      <c r="B5" s="16" t="s">
        <v>256</v>
      </c>
      <c r="C5">
        <v>0.67805251130835598</v>
      </c>
      <c r="D5">
        <v>0.68893886369971102</v>
      </c>
      <c r="E5">
        <v>0.66742790890000003</v>
      </c>
      <c r="F5">
        <v>1.012728563</v>
      </c>
      <c r="G5">
        <v>1.28706706</v>
      </c>
      <c r="H5">
        <v>1.5617058720000001</v>
      </c>
      <c r="I5">
        <v>1.847019881</v>
      </c>
      <c r="J5">
        <v>2.099669977</v>
      </c>
      <c r="K5">
        <v>2.3272333330000001</v>
      </c>
      <c r="L5">
        <v>2.5638568199999998</v>
      </c>
      <c r="M5">
        <v>2.8471982119999999</v>
      </c>
      <c r="N5">
        <v>3.1615055600000002</v>
      </c>
      <c r="O5">
        <v>3.1557834979999999</v>
      </c>
      <c r="P5">
        <v>3.1234328229999999</v>
      </c>
      <c r="Q5">
        <v>3.0513355519999998</v>
      </c>
      <c r="R5">
        <v>3.0282026100000001</v>
      </c>
      <c r="S5">
        <v>3.013380277</v>
      </c>
      <c r="T5">
        <v>3.1698940210000002</v>
      </c>
      <c r="U5">
        <v>3.312996461</v>
      </c>
      <c r="V5">
        <v>3.4559291440000002</v>
      </c>
      <c r="W5">
        <v>3.4306133230000002</v>
      </c>
      <c r="X5">
        <v>3.3766103300000001</v>
      </c>
      <c r="Y5">
        <v>3.3413367780000001</v>
      </c>
      <c r="Z5">
        <v>3.3211650110000002</v>
      </c>
      <c r="AA5">
        <v>3.3009274020000001</v>
      </c>
      <c r="AB5">
        <v>3.2792069719999999</v>
      </c>
      <c r="AC5">
        <v>3.2488296590000001</v>
      </c>
      <c r="AD5">
        <v>3.2221424920000001</v>
      </c>
      <c r="AE5">
        <v>3.1995524510000002</v>
      </c>
      <c r="AF5">
        <v>3.1774381030000001</v>
      </c>
      <c r="AG5">
        <v>3.1552349020000001</v>
      </c>
      <c r="AH5">
        <v>3.1329674330000001</v>
      </c>
      <c r="AI5">
        <v>3.1151282230000001</v>
      </c>
      <c r="AJ5">
        <v>3.0983026840000001</v>
      </c>
      <c r="AK5">
        <v>3.0811354780000002</v>
      </c>
      <c r="AL5">
        <v>3.0644060890000002</v>
      </c>
      <c r="AM5">
        <v>3.0480931949999999</v>
      </c>
      <c r="AN5">
        <v>3.0296474290000002</v>
      </c>
      <c r="AO5">
        <v>3.0105357970000002</v>
      </c>
      <c r="AP5">
        <v>2.990184459</v>
      </c>
      <c r="AQ5">
        <v>2.9695427159999999</v>
      </c>
      <c r="AR5">
        <v>2.9455722419999999</v>
      </c>
      <c r="AS5">
        <v>2.9311200949999998</v>
      </c>
      <c r="AT5">
        <v>2.9174194510000002</v>
      </c>
      <c r="AU5">
        <v>2.903709176</v>
      </c>
      <c r="AV5">
        <v>2.8901942840000001</v>
      </c>
      <c r="AW5">
        <v>2.8780059819999999</v>
      </c>
    </row>
    <row r="6" spans="1:49" x14ac:dyDescent="0.25">
      <c r="B6" s="16" t="s">
        <v>257</v>
      </c>
      <c r="C6">
        <v>28.634797354551999</v>
      </c>
      <c r="D6">
        <v>29.094538288267</v>
      </c>
      <c r="E6">
        <v>29.72082902</v>
      </c>
      <c r="F6">
        <v>30.395734449999999</v>
      </c>
      <c r="G6">
        <v>30.8448803</v>
      </c>
      <c r="H6">
        <v>28.382861699999999</v>
      </c>
      <c r="I6">
        <v>29.334870250000002</v>
      </c>
      <c r="J6">
        <v>30.22711339</v>
      </c>
      <c r="K6">
        <v>30.510267079999998</v>
      </c>
      <c r="L6">
        <v>30.317785789999999</v>
      </c>
      <c r="M6">
        <v>30.078583729999998</v>
      </c>
      <c r="N6">
        <v>29.36618502</v>
      </c>
      <c r="O6">
        <v>27.729942860000001</v>
      </c>
      <c r="P6">
        <v>27.282405900000001</v>
      </c>
      <c r="Q6">
        <v>27.211352890000001</v>
      </c>
      <c r="R6">
        <v>26.331808800000001</v>
      </c>
      <c r="S6">
        <v>25.339627480000001</v>
      </c>
      <c r="T6">
        <v>25.195317589999998</v>
      </c>
      <c r="U6">
        <v>25.099697840000001</v>
      </c>
      <c r="V6">
        <v>25.060583269999999</v>
      </c>
      <c r="W6">
        <v>25.428937309999998</v>
      </c>
      <c r="X6">
        <v>25.86663815</v>
      </c>
      <c r="Y6">
        <v>26.379628319999998</v>
      </c>
      <c r="Z6">
        <v>26.77454608</v>
      </c>
      <c r="AA6">
        <v>27.149902780000001</v>
      </c>
      <c r="AB6">
        <v>27.511001319999998</v>
      </c>
      <c r="AC6">
        <v>27.922979890000001</v>
      </c>
      <c r="AD6">
        <v>28.268944990000001</v>
      </c>
      <c r="AE6">
        <v>28.60299204</v>
      </c>
      <c r="AF6">
        <v>28.93165591</v>
      </c>
      <c r="AG6">
        <v>29.242489030000002</v>
      </c>
      <c r="AH6">
        <v>29.59012147</v>
      </c>
      <c r="AI6">
        <v>29.896043550000002</v>
      </c>
      <c r="AJ6">
        <v>30.19095106</v>
      </c>
      <c r="AK6">
        <v>30.474748300000002</v>
      </c>
      <c r="AL6">
        <v>30.753749859999999</v>
      </c>
      <c r="AM6">
        <v>31.028872750000001</v>
      </c>
      <c r="AN6">
        <v>31.22837955</v>
      </c>
      <c r="AO6">
        <v>31.42524208</v>
      </c>
      <c r="AP6">
        <v>31.617124520000001</v>
      </c>
      <c r="AQ6">
        <v>31.80059546</v>
      </c>
      <c r="AR6">
        <v>32.010406770000003</v>
      </c>
      <c r="AS6">
        <v>32.16323199</v>
      </c>
      <c r="AT6">
        <v>32.305166929999999</v>
      </c>
      <c r="AU6">
        <v>32.441390890000001</v>
      </c>
      <c r="AV6">
        <v>32.57457806</v>
      </c>
      <c r="AW6">
        <v>32.716674589999997</v>
      </c>
    </row>
    <row r="7" spans="1:49" x14ac:dyDescent="0.25">
      <c r="B7" s="16" t="s">
        <v>258</v>
      </c>
      <c r="C7">
        <v>0.36749349586970598</v>
      </c>
      <c r="D7">
        <v>0.37339372281503302</v>
      </c>
      <c r="E7">
        <v>0.38143141790000001</v>
      </c>
      <c r="F7">
        <v>0.3695945316</v>
      </c>
      <c r="G7">
        <v>0.35534755890000003</v>
      </c>
      <c r="H7">
        <v>0.3098016884</v>
      </c>
      <c r="I7">
        <v>0.30336754910000002</v>
      </c>
      <c r="J7">
        <v>0.29616857689999998</v>
      </c>
      <c r="K7">
        <v>0.283234182</v>
      </c>
      <c r="L7">
        <v>0.26665792030000002</v>
      </c>
      <c r="M7">
        <v>0.2506523282</v>
      </c>
      <c r="N7">
        <v>0.23185648219999999</v>
      </c>
      <c r="O7">
        <v>0.2015233276</v>
      </c>
      <c r="P7">
        <v>0.17977976230000001</v>
      </c>
      <c r="Q7">
        <v>0.1593467019</v>
      </c>
      <c r="R7">
        <v>0.13321387039999999</v>
      </c>
      <c r="S7">
        <v>0.10618667330000001</v>
      </c>
      <c r="T7">
        <v>0.1403693449</v>
      </c>
      <c r="U7">
        <v>0.17561824849999999</v>
      </c>
      <c r="V7">
        <v>0.21225064090000001</v>
      </c>
      <c r="W7">
        <v>0.21537041579999999</v>
      </c>
      <c r="X7">
        <v>0.21907752359999999</v>
      </c>
      <c r="Y7">
        <v>0.22342229450000001</v>
      </c>
      <c r="Z7">
        <v>0.226767051</v>
      </c>
      <c r="AA7">
        <v>0.229946135</v>
      </c>
      <c r="AB7">
        <v>0.23300445950000001</v>
      </c>
      <c r="AC7">
        <v>0.23649371259999999</v>
      </c>
      <c r="AD7">
        <v>0.23942386439999999</v>
      </c>
      <c r="AE7">
        <v>0.24225307630000001</v>
      </c>
      <c r="AF7">
        <v>0.2450366953</v>
      </c>
      <c r="AG7">
        <v>0.24766929679999999</v>
      </c>
      <c r="AH7">
        <v>0.25061357020000002</v>
      </c>
      <c r="AI7">
        <v>0.25320457759999998</v>
      </c>
      <c r="AJ7">
        <v>0.25570229719999998</v>
      </c>
      <c r="AK7">
        <v>0.25810591820000001</v>
      </c>
      <c r="AL7">
        <v>0.26046892230000002</v>
      </c>
      <c r="AM7">
        <v>0.26279907590000001</v>
      </c>
      <c r="AN7">
        <v>0.264488799</v>
      </c>
      <c r="AO7">
        <v>0.26615612640000003</v>
      </c>
      <c r="AP7">
        <v>0.26778127499999999</v>
      </c>
      <c r="AQ7">
        <v>0.26933518239999998</v>
      </c>
      <c r="AR7">
        <v>0.27111217949999999</v>
      </c>
      <c r="AS7">
        <v>0.2724065329</v>
      </c>
      <c r="AT7">
        <v>0.27360865099999998</v>
      </c>
      <c r="AU7">
        <v>0.27476240010000003</v>
      </c>
      <c r="AV7">
        <v>0.27589042889999998</v>
      </c>
      <c r="AW7">
        <v>0.27709391570000003</v>
      </c>
    </row>
    <row r="8" spans="1:49" x14ac:dyDescent="0.25">
      <c r="B8" t="s">
        <v>259</v>
      </c>
      <c r="C8">
        <v>1.4676116307532601</v>
      </c>
      <c r="D8">
        <v>1.4911746101974399</v>
      </c>
      <c r="E8">
        <v>1.5232737220000001</v>
      </c>
      <c r="F8">
        <v>1.5601303230000001</v>
      </c>
      <c r="G8">
        <v>1.5854864360000001</v>
      </c>
      <c r="H8">
        <v>1.461055886</v>
      </c>
      <c r="I8">
        <v>1.5122584649999999</v>
      </c>
      <c r="J8">
        <v>1.5605214160000001</v>
      </c>
      <c r="K8">
        <v>1.5774306410000001</v>
      </c>
      <c r="L8">
        <v>1.5697588819999999</v>
      </c>
      <c r="M8">
        <v>1.5596388960000001</v>
      </c>
      <c r="N8">
        <v>1.524914206</v>
      </c>
      <c r="O8">
        <v>1.612674546</v>
      </c>
      <c r="P8">
        <v>1.770053265</v>
      </c>
      <c r="Q8">
        <v>1.9634662439999999</v>
      </c>
      <c r="R8">
        <v>2.1081163809999999</v>
      </c>
      <c r="S8">
        <v>2.2469676770000002</v>
      </c>
      <c r="T8">
        <v>2.1597455769999998</v>
      </c>
      <c r="U8">
        <v>2.0749964169999999</v>
      </c>
      <c r="V8">
        <v>1.992804501</v>
      </c>
      <c r="W8">
        <v>2.0220958219999998</v>
      </c>
      <c r="X8">
        <v>2.0569015639999999</v>
      </c>
      <c r="Y8">
        <v>2.0976942749999998</v>
      </c>
      <c r="Z8">
        <v>2.1290979289999998</v>
      </c>
      <c r="AA8">
        <v>2.1589460979999999</v>
      </c>
      <c r="AB8">
        <v>2.187660465</v>
      </c>
      <c r="AC8">
        <v>2.220420786</v>
      </c>
      <c r="AD8">
        <v>2.2479317499999998</v>
      </c>
      <c r="AE8">
        <v>2.2744949970000001</v>
      </c>
      <c r="AF8">
        <v>2.3006301769999999</v>
      </c>
      <c r="AG8">
        <v>2.3253474650000001</v>
      </c>
      <c r="AH8">
        <v>2.3529910150000002</v>
      </c>
      <c r="AI8">
        <v>2.3773177790000002</v>
      </c>
      <c r="AJ8">
        <v>2.4007686700000002</v>
      </c>
      <c r="AK8">
        <v>2.4233360780000002</v>
      </c>
      <c r="AL8">
        <v>2.4455221370000002</v>
      </c>
      <c r="AM8">
        <v>2.4673997650000001</v>
      </c>
      <c r="AN8">
        <v>2.4832644419999998</v>
      </c>
      <c r="AO8">
        <v>2.4989188470000001</v>
      </c>
      <c r="AP8">
        <v>2.5141772389999999</v>
      </c>
      <c r="AQ8">
        <v>2.5287667520000001</v>
      </c>
      <c r="AR8">
        <v>2.5454508379999998</v>
      </c>
      <c r="AS8">
        <v>2.55760342</v>
      </c>
      <c r="AT8">
        <v>2.5688900119999998</v>
      </c>
      <c r="AU8">
        <v>2.5797224710000002</v>
      </c>
      <c r="AV8">
        <v>2.590313444</v>
      </c>
      <c r="AW8">
        <v>2.6016128859999998</v>
      </c>
    </row>
    <row r="9" spans="1:49" x14ac:dyDescent="0.25">
      <c r="B9" t="s">
        <v>260</v>
      </c>
      <c r="C9">
        <v>1.4643633957556199</v>
      </c>
      <c r="D9">
        <v>1.4878742237362399</v>
      </c>
      <c r="E9">
        <v>1.519902291</v>
      </c>
      <c r="F9">
        <v>1.431344376</v>
      </c>
      <c r="G9">
        <v>1.3374924130000001</v>
      </c>
      <c r="H9">
        <v>1.133290277</v>
      </c>
      <c r="I9">
        <v>1.0785639419999999</v>
      </c>
      <c r="J9">
        <v>1.0233758040000001</v>
      </c>
      <c r="K9">
        <v>0.95117674190000001</v>
      </c>
      <c r="L9">
        <v>0.87034098859999998</v>
      </c>
      <c r="M9">
        <v>0.7951079284</v>
      </c>
      <c r="N9">
        <v>0.71481387699999999</v>
      </c>
      <c r="O9">
        <v>0.59939304650000003</v>
      </c>
      <c r="P9">
        <v>0.50945315999999996</v>
      </c>
      <c r="Q9">
        <v>0.42146315629999997</v>
      </c>
      <c r="R9">
        <v>0.3167605154</v>
      </c>
      <c r="S9">
        <v>0.2092941864</v>
      </c>
      <c r="T9">
        <v>0.20105001689999999</v>
      </c>
      <c r="U9">
        <v>0.19303321949999999</v>
      </c>
      <c r="V9">
        <v>0.18525066630000001</v>
      </c>
      <c r="W9">
        <v>0.187973581</v>
      </c>
      <c r="X9">
        <v>0.19120911509999999</v>
      </c>
      <c r="Y9">
        <v>0.1950011965</v>
      </c>
      <c r="Z9">
        <v>0.1979204732</v>
      </c>
      <c r="AA9">
        <v>0.20069515239999999</v>
      </c>
      <c r="AB9">
        <v>0.20336443360000001</v>
      </c>
      <c r="AC9">
        <v>0.20640982590000001</v>
      </c>
      <c r="AD9">
        <v>0.208967239</v>
      </c>
      <c r="AE9">
        <v>0.21143655259999999</v>
      </c>
      <c r="AF9">
        <v>0.2138660731</v>
      </c>
      <c r="AG9">
        <v>0.2161637867</v>
      </c>
      <c r="AH9">
        <v>0.21873352500000001</v>
      </c>
      <c r="AI9">
        <v>0.2209949356</v>
      </c>
      <c r="AJ9">
        <v>0.22317492529999999</v>
      </c>
      <c r="AK9">
        <v>0.2252727866</v>
      </c>
      <c r="AL9">
        <v>0.22733519769999999</v>
      </c>
      <c r="AM9">
        <v>0.22936893720000001</v>
      </c>
      <c r="AN9">
        <v>0.23084371410000001</v>
      </c>
      <c r="AO9">
        <v>0.23229894409999999</v>
      </c>
      <c r="AP9">
        <v>0.2337173608</v>
      </c>
      <c r="AQ9">
        <v>0.23507359880000001</v>
      </c>
      <c r="AR9">
        <v>0.23662454769999999</v>
      </c>
      <c r="AS9">
        <v>0.237754249</v>
      </c>
      <c r="AT9">
        <v>0.23880344810000001</v>
      </c>
      <c r="AU9">
        <v>0.2398104311</v>
      </c>
      <c r="AV9">
        <v>0.2407949657</v>
      </c>
      <c r="AW9">
        <v>0.24184535930000001</v>
      </c>
    </row>
    <row r="10" spans="1:49" x14ac:dyDescent="0.25">
      <c r="B10" t="s">
        <v>261</v>
      </c>
      <c r="C10">
        <v>0.29584764130791702</v>
      </c>
      <c r="D10">
        <v>0.300597570883747</v>
      </c>
      <c r="E10">
        <v>0.30706825180000002</v>
      </c>
      <c r="F10">
        <v>0.65195869890000002</v>
      </c>
      <c r="G10">
        <v>0.97825411500000004</v>
      </c>
      <c r="H10">
        <v>1.1655633809999999</v>
      </c>
      <c r="I10">
        <v>1.4492601940000001</v>
      </c>
      <c r="J10">
        <v>1.710639969</v>
      </c>
      <c r="K10">
        <v>1.905128978</v>
      </c>
      <c r="L10">
        <v>2.0219684689999999</v>
      </c>
      <c r="M10">
        <v>2.0752166519999999</v>
      </c>
      <c r="N10">
        <v>2.0225631719999999</v>
      </c>
      <c r="O10">
        <v>2.1546739779999999</v>
      </c>
      <c r="P10">
        <v>2.3798406089999999</v>
      </c>
      <c r="Q10">
        <v>2.6543004520000002</v>
      </c>
      <c r="R10">
        <v>2.863467253</v>
      </c>
      <c r="S10">
        <v>3.0649473490000001</v>
      </c>
      <c r="T10">
        <v>3.2395533049999998</v>
      </c>
      <c r="U10">
        <v>3.4248087269999998</v>
      </c>
      <c r="V10">
        <v>3.6232296449999999</v>
      </c>
      <c r="W10">
        <v>3.6764858390000001</v>
      </c>
      <c r="X10">
        <v>3.7397681110000001</v>
      </c>
      <c r="Y10">
        <v>3.8139356260000001</v>
      </c>
      <c r="Z10">
        <v>3.8710323710000001</v>
      </c>
      <c r="AA10">
        <v>3.9253010009999998</v>
      </c>
      <c r="AB10">
        <v>3.9775082030000002</v>
      </c>
      <c r="AC10">
        <v>4.0370715810000002</v>
      </c>
      <c r="AD10">
        <v>4.0870908080000001</v>
      </c>
      <c r="AE10">
        <v>4.1353869369999998</v>
      </c>
      <c r="AF10">
        <v>4.1829047729999997</v>
      </c>
      <c r="AG10">
        <v>4.2278446599999997</v>
      </c>
      <c r="AH10">
        <v>4.2781049490000003</v>
      </c>
      <c r="AI10">
        <v>4.3223348030000004</v>
      </c>
      <c r="AJ10">
        <v>4.364972184</v>
      </c>
      <c r="AK10">
        <v>4.4060032549999999</v>
      </c>
      <c r="AL10">
        <v>4.4463409729999999</v>
      </c>
      <c r="AM10">
        <v>4.4861179160000004</v>
      </c>
      <c r="AN10">
        <v>4.5149623749999996</v>
      </c>
      <c r="AO10">
        <v>4.543424527</v>
      </c>
      <c r="AP10">
        <v>4.5711666649999998</v>
      </c>
      <c r="AQ10">
        <v>4.5976926779999996</v>
      </c>
      <c r="AR10">
        <v>4.6280269499999998</v>
      </c>
      <c r="AS10">
        <v>4.65012224</v>
      </c>
      <c r="AT10">
        <v>4.6706430259999996</v>
      </c>
      <c r="AU10">
        <v>4.6903381270000004</v>
      </c>
      <c r="AV10">
        <v>4.709594171</v>
      </c>
      <c r="AW10">
        <v>4.73013832</v>
      </c>
    </row>
    <row r="11" spans="1:49" x14ac:dyDescent="0.25">
      <c r="B11" t="s">
        <v>262</v>
      </c>
      <c r="C11">
        <v>6.65657192942814E-2</v>
      </c>
      <c r="D11">
        <v>6.7634453448843099E-2</v>
      </c>
      <c r="E11">
        <v>6.90903566E-2</v>
      </c>
      <c r="F11">
        <v>9.4005240099999998E-2</v>
      </c>
      <c r="G11">
        <v>0.12691279720000001</v>
      </c>
      <c r="H11">
        <v>0.15536794230000001</v>
      </c>
      <c r="I11">
        <v>0.2136349535</v>
      </c>
      <c r="J11">
        <v>0.29286516680000002</v>
      </c>
      <c r="K11">
        <v>0.39327827840000001</v>
      </c>
      <c r="L11">
        <v>0.51991738170000001</v>
      </c>
      <c r="M11">
        <v>0.68624176520000002</v>
      </c>
      <c r="N11">
        <v>0.89135396180000004</v>
      </c>
      <c r="O11">
        <v>0.94957587180000003</v>
      </c>
      <c r="P11">
        <v>1.0488079610000001</v>
      </c>
      <c r="Q11">
        <v>1.1697638210000001</v>
      </c>
      <c r="R11">
        <v>1.2619447029999999</v>
      </c>
      <c r="S11">
        <v>1.350738014</v>
      </c>
      <c r="T11">
        <v>1.40806575</v>
      </c>
      <c r="U11">
        <v>1.469600437</v>
      </c>
      <c r="V11">
        <v>1.536290422</v>
      </c>
      <c r="W11">
        <v>1.558871651</v>
      </c>
      <c r="X11">
        <v>1.5857040520000001</v>
      </c>
      <c r="Y11">
        <v>1.617151918</v>
      </c>
      <c r="Z11">
        <v>1.6413615850000001</v>
      </c>
      <c r="AA11">
        <v>1.6643720989999999</v>
      </c>
      <c r="AB11">
        <v>1.6865085440000001</v>
      </c>
      <c r="AC11">
        <v>1.711764091</v>
      </c>
      <c r="AD11">
        <v>1.7329728099999999</v>
      </c>
      <c r="AE11">
        <v>1.753450916</v>
      </c>
      <c r="AF11">
        <v>1.773599017</v>
      </c>
      <c r="AG11">
        <v>1.792654038</v>
      </c>
      <c r="AH11">
        <v>1.81396497</v>
      </c>
      <c r="AI11">
        <v>1.83271893</v>
      </c>
      <c r="AJ11">
        <v>1.850797662</v>
      </c>
      <c r="AK11">
        <v>1.8681953010000001</v>
      </c>
      <c r="AL11">
        <v>1.8852989499999999</v>
      </c>
      <c r="AM11">
        <v>1.9021648250000001</v>
      </c>
      <c r="AN11">
        <v>1.9143952019999999</v>
      </c>
      <c r="AO11">
        <v>1.926463477</v>
      </c>
      <c r="AP11">
        <v>1.9382264579999999</v>
      </c>
      <c r="AQ11">
        <v>1.9494737879999999</v>
      </c>
      <c r="AR11">
        <v>1.9623358630000001</v>
      </c>
      <c r="AS11">
        <v>1.971704517</v>
      </c>
      <c r="AT11">
        <v>1.9804055629999999</v>
      </c>
      <c r="AU11">
        <v>1.988756508</v>
      </c>
      <c r="AV11">
        <v>1.9969212890000001</v>
      </c>
      <c r="AW11">
        <v>2.0056322409999998</v>
      </c>
    </row>
    <row r="12" spans="1:49" x14ac:dyDescent="0.25">
      <c r="B12" t="s">
        <v>263</v>
      </c>
      <c r="C12">
        <v>3.32767453113023</v>
      </c>
      <c r="D12">
        <v>3.3811014220943498</v>
      </c>
      <c r="E12">
        <v>3.4538832089999998</v>
      </c>
      <c r="F12">
        <v>3.4079138160000002</v>
      </c>
      <c r="G12">
        <v>3.3364781360000002</v>
      </c>
      <c r="H12">
        <v>2.9620378779999998</v>
      </c>
      <c r="I12">
        <v>2.9535738280000001</v>
      </c>
      <c r="J12">
        <v>2.93622659</v>
      </c>
      <c r="K12">
        <v>2.8593553690000002</v>
      </c>
      <c r="L12">
        <v>2.7412512169999999</v>
      </c>
      <c r="M12">
        <v>2.6238437760000002</v>
      </c>
      <c r="N12">
        <v>2.4714814399999998</v>
      </c>
      <c r="O12">
        <v>2.6329149169999999</v>
      </c>
      <c r="P12">
        <v>2.9080584360000001</v>
      </c>
      <c r="Q12">
        <v>3.243436049</v>
      </c>
      <c r="R12">
        <v>3.4990284950000001</v>
      </c>
      <c r="S12">
        <v>3.7452281300000001</v>
      </c>
      <c r="T12">
        <v>3.939949645</v>
      </c>
      <c r="U12">
        <v>4.1472223650000002</v>
      </c>
      <c r="V12">
        <v>4.3699683269999996</v>
      </c>
      <c r="W12">
        <v>4.4342004900000003</v>
      </c>
      <c r="X12">
        <v>4.5105250830000001</v>
      </c>
      <c r="Y12">
        <v>4.5999783399999998</v>
      </c>
      <c r="Z12">
        <v>4.668842583</v>
      </c>
      <c r="AA12">
        <v>4.7342958429999999</v>
      </c>
      <c r="AB12">
        <v>4.7972628200000003</v>
      </c>
      <c r="AC12">
        <v>4.8691020639999998</v>
      </c>
      <c r="AD12">
        <v>4.929430129</v>
      </c>
      <c r="AE12">
        <v>4.9876799710000004</v>
      </c>
      <c r="AF12">
        <v>5.0449911160000003</v>
      </c>
      <c r="AG12">
        <v>5.0991930029999999</v>
      </c>
      <c r="AH12">
        <v>5.1598118140000002</v>
      </c>
      <c r="AI12">
        <v>5.2131573319999998</v>
      </c>
      <c r="AJ12">
        <v>5.2645821709999998</v>
      </c>
      <c r="AK12">
        <v>5.3140696439999999</v>
      </c>
      <c r="AL12">
        <v>5.3627208660000001</v>
      </c>
      <c r="AM12">
        <v>5.4106957390000003</v>
      </c>
      <c r="AN12">
        <v>5.4454849699999999</v>
      </c>
      <c r="AO12">
        <v>5.4798131010000004</v>
      </c>
      <c r="AP12">
        <v>5.5132728249999996</v>
      </c>
      <c r="AQ12">
        <v>5.5452657839999997</v>
      </c>
      <c r="AR12">
        <v>5.5818518749999999</v>
      </c>
      <c r="AS12">
        <v>5.6085009489999997</v>
      </c>
      <c r="AT12">
        <v>5.6332510190000002</v>
      </c>
      <c r="AU12">
        <v>5.6570052320000004</v>
      </c>
      <c r="AV12">
        <v>5.6802298980000003</v>
      </c>
      <c r="AW12">
        <v>5.7050081459999999</v>
      </c>
    </row>
    <row r="13" spans="1:49" x14ac:dyDescent="0.25">
      <c r="B13" t="s">
        <v>264</v>
      </c>
      <c r="C13">
        <v>0.21556468620722</v>
      </c>
      <c r="D13">
        <v>0.21902564697065</v>
      </c>
      <c r="E13">
        <v>0.22374040589999999</v>
      </c>
      <c r="F13">
        <v>0.25649359290000001</v>
      </c>
      <c r="G13">
        <v>0.29176107169999999</v>
      </c>
      <c r="H13">
        <v>0.30094062230000002</v>
      </c>
      <c r="I13">
        <v>0.34864960880000001</v>
      </c>
      <c r="J13">
        <v>0.4027004018</v>
      </c>
      <c r="K13">
        <v>0.45562943620000002</v>
      </c>
      <c r="L13">
        <v>0.5075088525</v>
      </c>
      <c r="M13">
        <v>0.56439596790000002</v>
      </c>
      <c r="N13">
        <v>0.61766703950000001</v>
      </c>
      <c r="O13">
        <v>0.56696655699999998</v>
      </c>
      <c r="P13">
        <v>0.5405243824</v>
      </c>
      <c r="Q13">
        <v>0.52044672240000001</v>
      </c>
      <c r="R13">
        <v>0.48400306630000001</v>
      </c>
      <c r="S13">
        <v>0.44518555370000001</v>
      </c>
      <c r="T13">
        <v>0.47094716660000002</v>
      </c>
      <c r="U13">
        <v>0.49826553470000001</v>
      </c>
      <c r="V13">
        <v>0.52750938439999995</v>
      </c>
      <c r="W13">
        <v>0.53526300319999998</v>
      </c>
      <c r="X13">
        <v>0.54447632840000004</v>
      </c>
      <c r="Y13">
        <v>0.55527444609999999</v>
      </c>
      <c r="Z13">
        <v>0.56358721440000004</v>
      </c>
      <c r="AA13">
        <v>0.5714882349</v>
      </c>
      <c r="AB13">
        <v>0.57908913009999996</v>
      </c>
      <c r="AC13">
        <v>0.58776101790000002</v>
      </c>
      <c r="AD13">
        <v>0.5950433638</v>
      </c>
      <c r="AE13">
        <v>0.60207484229999997</v>
      </c>
      <c r="AF13">
        <v>0.60899300840000004</v>
      </c>
      <c r="AG13">
        <v>0.61553584849999998</v>
      </c>
      <c r="AH13">
        <v>0.62285329079999996</v>
      </c>
      <c r="AI13">
        <v>0.62929275659999995</v>
      </c>
      <c r="AJ13">
        <v>0.63550037260000003</v>
      </c>
      <c r="AK13">
        <v>0.64147412449999996</v>
      </c>
      <c r="AL13">
        <v>0.64734693050000003</v>
      </c>
      <c r="AM13">
        <v>0.65313809270000001</v>
      </c>
      <c r="AN13">
        <v>0.65733758440000001</v>
      </c>
      <c r="AO13">
        <v>0.66148141569999996</v>
      </c>
      <c r="AP13">
        <v>0.66552041939999995</v>
      </c>
      <c r="AQ13">
        <v>0.66938236640000004</v>
      </c>
      <c r="AR13">
        <v>0.67379876139999995</v>
      </c>
      <c r="AS13">
        <v>0.67701563529999997</v>
      </c>
      <c r="AT13">
        <v>0.68000327569999997</v>
      </c>
      <c r="AU13">
        <v>0.68287070380000003</v>
      </c>
      <c r="AV13">
        <v>0.6856742092</v>
      </c>
      <c r="AW13">
        <v>0.68866525099999998</v>
      </c>
    </row>
    <row r="14" spans="1:49" x14ac:dyDescent="0.25">
      <c r="B14" t="s">
        <v>265</v>
      </c>
      <c r="C14">
        <v>35.839918454870201</v>
      </c>
      <c r="D14">
        <v>36.415339938413297</v>
      </c>
      <c r="E14">
        <v>37.199218680000001</v>
      </c>
      <c r="F14">
        <v>38.167175030000003</v>
      </c>
      <c r="G14">
        <v>38.856612820000002</v>
      </c>
      <c r="H14">
        <v>35.870919379999997</v>
      </c>
      <c r="I14">
        <v>37.194178790000002</v>
      </c>
      <c r="J14">
        <v>38.449611320000002</v>
      </c>
      <c r="K14">
        <v>38.935500699999999</v>
      </c>
      <c r="L14">
        <v>38.815189510000003</v>
      </c>
      <c r="M14">
        <v>38.63368105</v>
      </c>
      <c r="N14">
        <v>37.84083519</v>
      </c>
      <c r="O14">
        <v>36.447665110000003</v>
      </c>
      <c r="P14">
        <v>36.618923479999999</v>
      </c>
      <c r="Q14">
        <v>37.343576040000002</v>
      </c>
      <c r="R14">
        <v>36.998343079999998</v>
      </c>
      <c r="S14">
        <v>36.50817507</v>
      </c>
      <c r="T14">
        <v>36.754998399999998</v>
      </c>
      <c r="U14">
        <v>37.08324279</v>
      </c>
      <c r="V14">
        <v>37.507886859999999</v>
      </c>
      <c r="W14">
        <v>38.059198109999997</v>
      </c>
      <c r="X14">
        <v>38.714299930000003</v>
      </c>
      <c r="Y14">
        <v>39.482086420000002</v>
      </c>
      <c r="Z14">
        <v>40.073155290000003</v>
      </c>
      <c r="AA14">
        <v>40.634947339999997</v>
      </c>
      <c r="AB14">
        <v>41.175399370000001</v>
      </c>
      <c r="AC14">
        <v>41.792002969999999</v>
      </c>
      <c r="AD14">
        <v>42.30980495</v>
      </c>
      <c r="AE14">
        <v>42.809769330000002</v>
      </c>
      <c r="AF14">
        <v>43.30167677</v>
      </c>
      <c r="AG14">
        <v>43.766897129999997</v>
      </c>
      <c r="AH14">
        <v>44.28719461</v>
      </c>
      <c r="AI14">
        <v>44.745064669999998</v>
      </c>
      <c r="AJ14">
        <v>45.186449349999997</v>
      </c>
      <c r="AK14">
        <v>45.611205409999997</v>
      </c>
      <c r="AL14">
        <v>46.028783840000003</v>
      </c>
      <c r="AM14">
        <v>46.440557099999999</v>
      </c>
      <c r="AN14">
        <v>46.739156639999997</v>
      </c>
      <c r="AO14">
        <v>47.033798519999998</v>
      </c>
      <c r="AP14">
        <v>47.320986759999997</v>
      </c>
      <c r="AQ14">
        <v>47.595585610000001</v>
      </c>
      <c r="AR14">
        <v>47.909607790000003</v>
      </c>
      <c r="AS14">
        <v>48.138339530000003</v>
      </c>
      <c r="AT14">
        <v>48.35077192</v>
      </c>
      <c r="AU14">
        <v>48.554656770000001</v>
      </c>
      <c r="AV14">
        <v>48.753996460000003</v>
      </c>
      <c r="AW14">
        <v>48.966670710000002</v>
      </c>
    </row>
    <row r="15" spans="1:49" x14ac:dyDescent="0.25">
      <c r="B15" t="s">
        <v>266</v>
      </c>
      <c r="C15">
        <v>36.006525643363197</v>
      </c>
      <c r="D15">
        <v>36.584622059208101</v>
      </c>
      <c r="E15">
        <v>37.372041430000003</v>
      </c>
      <c r="F15">
        <v>38.351590280000003</v>
      </c>
      <c r="G15">
        <v>37.981382429999996</v>
      </c>
      <c r="H15">
        <v>37.032988379999999</v>
      </c>
      <c r="I15">
        <v>38.469839219999997</v>
      </c>
      <c r="J15">
        <v>39.027398320000003</v>
      </c>
      <c r="K15">
        <v>38.220379749999999</v>
      </c>
      <c r="L15">
        <v>38.063829390000002</v>
      </c>
      <c r="M15">
        <v>38.77924144</v>
      </c>
      <c r="N15">
        <v>40.035660440000001</v>
      </c>
      <c r="O15">
        <v>40.911636219999998</v>
      </c>
      <c r="P15">
        <v>41.121830060000001</v>
      </c>
      <c r="Q15">
        <v>39.631093659999998</v>
      </c>
      <c r="R15">
        <v>38.759546829999998</v>
      </c>
      <c r="S15">
        <v>38.147357720000002</v>
      </c>
      <c r="T15">
        <v>37.862247269999997</v>
      </c>
      <c r="U15">
        <v>37.83080665</v>
      </c>
      <c r="V15">
        <v>37.930104319999998</v>
      </c>
      <c r="W15">
        <v>37.921886360000002</v>
      </c>
      <c r="X15">
        <v>38.096923740000001</v>
      </c>
      <c r="Y15">
        <v>38.342339899999999</v>
      </c>
      <c r="Z15">
        <v>38.739891800000002</v>
      </c>
      <c r="AA15">
        <v>39.006737739999998</v>
      </c>
      <c r="AB15">
        <v>39.229600849999997</v>
      </c>
      <c r="AC15">
        <v>39.449516119999998</v>
      </c>
      <c r="AD15">
        <v>39.737944220000003</v>
      </c>
      <c r="AE15">
        <v>39.975379109999999</v>
      </c>
      <c r="AF15">
        <v>40.23519383</v>
      </c>
      <c r="AG15">
        <v>40.463375880000001</v>
      </c>
      <c r="AH15">
        <v>40.65992026</v>
      </c>
      <c r="AI15">
        <v>40.774313980000002</v>
      </c>
      <c r="AJ15">
        <v>40.892033670000004</v>
      </c>
      <c r="AK15">
        <v>40.997289840000001</v>
      </c>
      <c r="AL15">
        <v>41.100541700000001</v>
      </c>
      <c r="AM15">
        <v>41.202861589999998</v>
      </c>
      <c r="AN15">
        <v>41.090171470000001</v>
      </c>
      <c r="AO15">
        <v>40.980529660000002</v>
      </c>
      <c r="AP15">
        <v>40.852948240000003</v>
      </c>
      <c r="AQ15">
        <v>40.723705340000002</v>
      </c>
      <c r="AR15">
        <v>40.56635825</v>
      </c>
      <c r="AS15">
        <v>40.443107140000002</v>
      </c>
      <c r="AT15">
        <v>40.328909549999999</v>
      </c>
      <c r="AU15">
        <v>40.206166570000001</v>
      </c>
      <c r="AV15">
        <v>40.076338890000002</v>
      </c>
      <c r="AW15">
        <v>39.953495109999999</v>
      </c>
    </row>
    <row r="16" spans="1:49" x14ac:dyDescent="0.25">
      <c r="B16" t="s">
        <v>267</v>
      </c>
      <c r="C16">
        <v>33.108335480742298</v>
      </c>
      <c r="D16">
        <v>33.639900516080203</v>
      </c>
      <c r="E16">
        <v>33.773630109999999</v>
      </c>
      <c r="F16">
        <v>33.607407100000003</v>
      </c>
      <c r="G16">
        <v>32.273942239999997</v>
      </c>
      <c r="H16">
        <v>30.51462106</v>
      </c>
      <c r="I16">
        <v>30.738693000000001</v>
      </c>
      <c r="J16">
        <v>30.24041682</v>
      </c>
      <c r="K16">
        <v>28.719256940000001</v>
      </c>
      <c r="L16">
        <v>27.73129492</v>
      </c>
      <c r="M16">
        <v>27.388097779999999</v>
      </c>
      <c r="N16">
        <v>27.411033509999999</v>
      </c>
      <c r="O16">
        <v>27.889285659999999</v>
      </c>
      <c r="P16">
        <v>27.910670889999999</v>
      </c>
      <c r="Q16">
        <v>26.781588580000001</v>
      </c>
      <c r="R16">
        <v>26.078133300000001</v>
      </c>
      <c r="S16">
        <v>25.553763230000001</v>
      </c>
      <c r="T16">
        <v>24.336834629999998</v>
      </c>
      <c r="U16">
        <v>23.267035440000001</v>
      </c>
      <c r="V16">
        <v>22.250305579999999</v>
      </c>
      <c r="W16">
        <v>22.245484820000001</v>
      </c>
      <c r="X16">
        <v>22.34816408</v>
      </c>
      <c r="Y16">
        <v>22.492128480000002</v>
      </c>
      <c r="Z16">
        <v>22.72533773</v>
      </c>
      <c r="AA16">
        <v>22.881873120000002</v>
      </c>
      <c r="AB16">
        <v>23.012607599999999</v>
      </c>
      <c r="AC16">
        <v>23.14161283</v>
      </c>
      <c r="AD16">
        <v>23.310808600000001</v>
      </c>
      <c r="AE16">
        <v>23.45009108</v>
      </c>
      <c r="AF16">
        <v>23.602501870000001</v>
      </c>
      <c r="AG16">
        <v>23.736356499999999</v>
      </c>
      <c r="AH16">
        <v>23.851652059999999</v>
      </c>
      <c r="AI16">
        <v>23.918756940000002</v>
      </c>
      <c r="AJ16">
        <v>23.98781288</v>
      </c>
      <c r="AK16">
        <v>24.04955756</v>
      </c>
      <c r="AL16">
        <v>24.110126470000001</v>
      </c>
      <c r="AM16">
        <v>24.170148690000001</v>
      </c>
      <c r="AN16">
        <v>24.10404316</v>
      </c>
      <c r="AO16">
        <v>24.03972581</v>
      </c>
      <c r="AP16">
        <v>23.964884850000001</v>
      </c>
      <c r="AQ16">
        <v>23.88906923</v>
      </c>
      <c r="AR16">
        <v>23.796767330000002</v>
      </c>
      <c r="AS16">
        <v>23.724466580000001</v>
      </c>
      <c r="AT16">
        <v>23.657476750000001</v>
      </c>
      <c r="AU16">
        <v>23.585474090000002</v>
      </c>
      <c r="AV16">
        <v>23.509315440000002</v>
      </c>
      <c r="AW16">
        <v>23.437253630000001</v>
      </c>
    </row>
    <row r="17" spans="2:49" x14ac:dyDescent="0.25">
      <c r="B17" t="s">
        <v>268</v>
      </c>
      <c r="C17">
        <v>1.54983431156195</v>
      </c>
      <c r="D17">
        <v>1.57471740274219</v>
      </c>
      <c r="E17">
        <v>1.5809774190000001</v>
      </c>
      <c r="F17">
        <v>2.5805979969999999</v>
      </c>
      <c r="G17">
        <v>3.4409461110000001</v>
      </c>
      <c r="H17">
        <v>4.1488229250000002</v>
      </c>
      <c r="I17">
        <v>5.0523490689999999</v>
      </c>
      <c r="J17">
        <v>5.7823782799999996</v>
      </c>
      <c r="K17">
        <v>6.194581157</v>
      </c>
      <c r="L17">
        <v>6.5646549250000001</v>
      </c>
      <c r="M17">
        <v>6.9254924249999998</v>
      </c>
      <c r="N17">
        <v>7.1876049460000004</v>
      </c>
      <c r="O17">
        <v>7.4292073529999998</v>
      </c>
      <c r="P17">
        <v>7.5519961919999998</v>
      </c>
      <c r="Q17">
        <v>7.3596288850000002</v>
      </c>
      <c r="R17">
        <v>7.2772520839999997</v>
      </c>
      <c r="S17">
        <v>7.2403882790000003</v>
      </c>
      <c r="T17">
        <v>7.3763362560000001</v>
      </c>
      <c r="U17">
        <v>7.5646540619999998</v>
      </c>
      <c r="V17">
        <v>7.7841789429999997</v>
      </c>
      <c r="W17">
        <v>7.7824924180000004</v>
      </c>
      <c r="X17">
        <v>7.8184143419999996</v>
      </c>
      <c r="Y17">
        <v>7.8687796990000001</v>
      </c>
      <c r="Z17">
        <v>7.9503670089999998</v>
      </c>
      <c r="AA17">
        <v>8.0051302779999904</v>
      </c>
      <c r="AB17">
        <v>8.0508672029999904</v>
      </c>
      <c r="AC17">
        <v>8.0959991599999999</v>
      </c>
      <c r="AD17">
        <v>8.1551916119999994</v>
      </c>
      <c r="AE17">
        <v>8.2039190219999902</v>
      </c>
      <c r="AF17">
        <v>8.2572393139999996</v>
      </c>
      <c r="AG17">
        <v>8.3040678149999998</v>
      </c>
      <c r="AH17">
        <v>8.344403496</v>
      </c>
      <c r="AI17">
        <v>8.3678798669999903</v>
      </c>
      <c r="AJ17">
        <v>8.3920388070000005</v>
      </c>
      <c r="AK17">
        <v>8.4136399310000005</v>
      </c>
      <c r="AL17">
        <v>8.4348297199999998</v>
      </c>
      <c r="AM17">
        <v>8.4558282469999995</v>
      </c>
      <c r="AN17">
        <v>8.432701497</v>
      </c>
      <c r="AO17">
        <v>8.4102003350000007</v>
      </c>
      <c r="AP17">
        <v>8.3840175279999904</v>
      </c>
      <c r="AQ17">
        <v>8.3574937439999903</v>
      </c>
      <c r="AR17">
        <v>8.3252022990000007</v>
      </c>
      <c r="AS17">
        <v>8.2999081760000006</v>
      </c>
      <c r="AT17">
        <v>8.2764720559999905</v>
      </c>
      <c r="AU17">
        <v>8.2512822159999999</v>
      </c>
      <c r="AV17">
        <v>8.2246384219999999</v>
      </c>
      <c r="AW17">
        <v>8.1994278929999904</v>
      </c>
    </row>
    <row r="18" spans="2:49" x14ac:dyDescent="0.25">
      <c r="B18" t="s">
        <v>269</v>
      </c>
      <c r="C18">
        <v>0.19372928894524399</v>
      </c>
      <c r="D18">
        <v>0.196839675342774</v>
      </c>
      <c r="E18">
        <v>0.4774907525</v>
      </c>
      <c r="F18">
        <v>0.48983847609999998</v>
      </c>
      <c r="G18">
        <v>0.48495402920000003</v>
      </c>
      <c r="H18">
        <v>0.47270174100000001</v>
      </c>
      <c r="I18">
        <v>0.49090254579999998</v>
      </c>
      <c r="J18">
        <v>0.49788417870000001</v>
      </c>
      <c r="K18">
        <v>0.4874660992</v>
      </c>
      <c r="L18">
        <v>0.48525725219999999</v>
      </c>
      <c r="M18">
        <v>0.49407675379999999</v>
      </c>
      <c r="N18">
        <v>0.50978684910000005</v>
      </c>
      <c r="O18">
        <v>0.58325849090000004</v>
      </c>
      <c r="P18">
        <v>0.64878032230000005</v>
      </c>
      <c r="Q18">
        <v>0.68541131030000002</v>
      </c>
      <c r="R18">
        <v>0.72906017199999995</v>
      </c>
      <c r="S18">
        <v>0.77523603399999996</v>
      </c>
      <c r="T18">
        <v>0.99380941550000002</v>
      </c>
      <c r="U18">
        <v>1.2225233390000001</v>
      </c>
      <c r="V18">
        <v>1.461440909</v>
      </c>
      <c r="W18">
        <v>1.4611242719999999</v>
      </c>
      <c r="X18">
        <v>1.467868435</v>
      </c>
      <c r="Y18">
        <v>1.4773242799999999</v>
      </c>
      <c r="Z18">
        <v>1.492641892</v>
      </c>
      <c r="AA18">
        <v>1.502923424</v>
      </c>
      <c r="AB18">
        <v>1.511510304</v>
      </c>
      <c r="AC18">
        <v>1.519983605</v>
      </c>
      <c r="AD18">
        <v>1.5310966930000001</v>
      </c>
      <c r="AE18">
        <v>1.5402450219999999</v>
      </c>
      <c r="AF18">
        <v>1.550255642</v>
      </c>
      <c r="AG18">
        <v>1.559047461</v>
      </c>
      <c r="AH18">
        <v>1.5666202840000001</v>
      </c>
      <c r="AI18">
        <v>1.5710278559999999</v>
      </c>
      <c r="AJ18">
        <v>1.575563577</v>
      </c>
      <c r="AK18">
        <v>1.5796190809999999</v>
      </c>
      <c r="AL18">
        <v>1.583597358</v>
      </c>
      <c r="AM18">
        <v>1.5875397280000001</v>
      </c>
      <c r="AN18">
        <v>1.583197795</v>
      </c>
      <c r="AO18">
        <v>1.578973314</v>
      </c>
      <c r="AP18">
        <v>1.574057622</v>
      </c>
      <c r="AQ18">
        <v>1.5690779130000001</v>
      </c>
      <c r="AR18">
        <v>1.5630153550000001</v>
      </c>
      <c r="AS18">
        <v>1.5582665090000001</v>
      </c>
      <c r="AT18">
        <v>1.553866494</v>
      </c>
      <c r="AU18">
        <v>1.5491372269999999</v>
      </c>
      <c r="AV18">
        <v>1.5441349870000001</v>
      </c>
      <c r="AW18">
        <v>1.5394018350000001</v>
      </c>
    </row>
    <row r="19" spans="2:49" x14ac:dyDescent="0.25">
      <c r="B19" t="s">
        <v>270</v>
      </c>
      <c r="C19">
        <v>0.57343869527792402</v>
      </c>
      <c r="D19">
        <v>0.58264543901461296</v>
      </c>
      <c r="E19">
        <v>0.58496164500000003</v>
      </c>
      <c r="F19">
        <v>0.58161821069999997</v>
      </c>
      <c r="G19">
        <v>0.55809527709999995</v>
      </c>
      <c r="H19">
        <v>0.52725129110000002</v>
      </c>
      <c r="I19">
        <v>0.53069917079999995</v>
      </c>
      <c r="J19">
        <v>0.52167992559999998</v>
      </c>
      <c r="K19">
        <v>0.49504296380000001</v>
      </c>
      <c r="L19">
        <v>0.48525725219999999</v>
      </c>
      <c r="M19">
        <v>0.49407675379999999</v>
      </c>
      <c r="N19">
        <v>0.50978684910000005</v>
      </c>
      <c r="O19">
        <v>0.72538242139999998</v>
      </c>
      <c r="P19">
        <v>0.93423191360000002</v>
      </c>
      <c r="Q19">
        <v>1.0976961629999999</v>
      </c>
      <c r="R19">
        <v>1.2662021910000001</v>
      </c>
      <c r="S19">
        <v>1.4354666190000001</v>
      </c>
      <c r="T19">
        <v>1.482568434</v>
      </c>
      <c r="U19">
        <v>1.5405007079999999</v>
      </c>
      <c r="V19">
        <v>1.605297768</v>
      </c>
      <c r="W19">
        <v>1.6049499629999999</v>
      </c>
      <c r="X19">
        <v>1.612357987</v>
      </c>
      <c r="Y19">
        <v>1.622744618</v>
      </c>
      <c r="Z19">
        <v>1.6395700179999999</v>
      </c>
      <c r="AA19">
        <v>1.650863612</v>
      </c>
      <c r="AB19">
        <v>1.6602957410000001</v>
      </c>
      <c r="AC19">
        <v>1.669603111</v>
      </c>
      <c r="AD19">
        <v>1.6818101160000001</v>
      </c>
      <c r="AE19">
        <v>1.69185896</v>
      </c>
      <c r="AF19">
        <v>1.7028549749999999</v>
      </c>
      <c r="AG19">
        <v>1.7125122150000001</v>
      </c>
      <c r="AH19">
        <v>1.720830469</v>
      </c>
      <c r="AI19">
        <v>1.7256719009999999</v>
      </c>
      <c r="AJ19">
        <v>1.730654095</v>
      </c>
      <c r="AK19">
        <v>1.7351088020000001</v>
      </c>
      <c r="AL19">
        <v>1.739478681</v>
      </c>
      <c r="AM19">
        <v>1.7438091170000001</v>
      </c>
      <c r="AN19">
        <v>1.7390397870000001</v>
      </c>
      <c r="AO19">
        <v>1.734399469</v>
      </c>
      <c r="AP19">
        <v>1.7289999009999999</v>
      </c>
      <c r="AQ19">
        <v>1.7235300149999999</v>
      </c>
      <c r="AR19">
        <v>1.7168706890000001</v>
      </c>
      <c r="AS19">
        <v>1.7116543909999999</v>
      </c>
      <c r="AT19">
        <v>1.706821261</v>
      </c>
      <c r="AU19">
        <v>1.7016264679999999</v>
      </c>
      <c r="AV19">
        <v>1.6961318329999999</v>
      </c>
      <c r="AW19">
        <v>1.690932774</v>
      </c>
    </row>
    <row r="20" spans="2:49" x14ac:dyDescent="0.25">
      <c r="B20" t="s">
        <v>271</v>
      </c>
      <c r="C20">
        <v>0.19372928894524399</v>
      </c>
      <c r="D20">
        <v>0.196839675342774</v>
      </c>
      <c r="E20">
        <v>0.4774907525</v>
      </c>
      <c r="F20">
        <v>0.48983847609999998</v>
      </c>
      <c r="G20">
        <v>0.48495402920000003</v>
      </c>
      <c r="H20">
        <v>0.47270174100000001</v>
      </c>
      <c r="I20">
        <v>0.49090254579999998</v>
      </c>
      <c r="J20">
        <v>0.49788417870000001</v>
      </c>
      <c r="K20">
        <v>0.4874660992</v>
      </c>
      <c r="L20">
        <v>0.48525725219999999</v>
      </c>
      <c r="M20">
        <v>0.49407675379999999</v>
      </c>
      <c r="N20">
        <v>0.50978684910000005</v>
      </c>
      <c r="O20">
        <v>0.55423241590000005</v>
      </c>
      <c r="P20">
        <v>0.59048233360000002</v>
      </c>
      <c r="Q20">
        <v>0.60121007130000004</v>
      </c>
      <c r="R20">
        <v>0.61935926190000001</v>
      </c>
      <c r="S20">
        <v>0.64039665540000001</v>
      </c>
      <c r="T20">
        <v>0.70223998460000003</v>
      </c>
      <c r="U20">
        <v>0.76982228669999997</v>
      </c>
      <c r="V20">
        <v>0.8418404867</v>
      </c>
      <c r="W20">
        <v>0.84165809300000005</v>
      </c>
      <c r="X20">
        <v>0.84554296380000005</v>
      </c>
      <c r="Y20">
        <v>0.85098985770000002</v>
      </c>
      <c r="Z20">
        <v>0.85981333179999997</v>
      </c>
      <c r="AA20">
        <v>0.86573584930000003</v>
      </c>
      <c r="AB20">
        <v>0.87068218939999997</v>
      </c>
      <c r="AC20">
        <v>0.87556310339999999</v>
      </c>
      <c r="AD20">
        <v>0.88196462669999998</v>
      </c>
      <c r="AE20">
        <v>0.88723438040000002</v>
      </c>
      <c r="AF20">
        <v>0.89300084359999998</v>
      </c>
      <c r="AG20">
        <v>0.89806523490000001</v>
      </c>
      <c r="AH20">
        <v>0.902427443</v>
      </c>
      <c r="AI20">
        <v>0.90496635700000005</v>
      </c>
      <c r="AJ20">
        <v>0.90757908899999995</v>
      </c>
      <c r="AK20">
        <v>0.90991519929999998</v>
      </c>
      <c r="AL20">
        <v>0.91220682470000003</v>
      </c>
      <c r="AM20">
        <v>0.91447776560000005</v>
      </c>
      <c r="AN20">
        <v>0.91197666249999998</v>
      </c>
      <c r="AO20">
        <v>0.90954321520000003</v>
      </c>
      <c r="AP20">
        <v>0.90671160669999995</v>
      </c>
      <c r="AQ20">
        <v>0.90384312229999997</v>
      </c>
      <c r="AR20">
        <v>0.9003508791</v>
      </c>
      <c r="AS20">
        <v>0.89761537970000005</v>
      </c>
      <c r="AT20">
        <v>0.89508081900000003</v>
      </c>
      <c r="AU20">
        <v>0.89235659749999996</v>
      </c>
      <c r="AV20">
        <v>0.88947513440000003</v>
      </c>
      <c r="AW20">
        <v>0.88674867550000003</v>
      </c>
    </row>
    <row r="21" spans="2:49" x14ac:dyDescent="0.25">
      <c r="B21" t="s">
        <v>272</v>
      </c>
      <c r="C21">
        <v>0.38745857789048899</v>
      </c>
      <c r="D21">
        <v>0.39367935068554899</v>
      </c>
      <c r="E21">
        <v>0.4774907525</v>
      </c>
      <c r="F21">
        <v>0.60229001459999998</v>
      </c>
      <c r="G21">
        <v>0.73849074790000002</v>
      </c>
      <c r="H21">
        <v>0.89688961690000002</v>
      </c>
      <c r="I21">
        <v>1.1662928880000001</v>
      </c>
      <c r="J21">
        <v>1.487154938</v>
      </c>
      <c r="K21">
        <v>1.8365664909999999</v>
      </c>
      <c r="L21">
        <v>2.3121077880000001</v>
      </c>
      <c r="M21">
        <v>2.9834209760000001</v>
      </c>
      <c r="N21">
        <v>3.9076614360000002</v>
      </c>
      <c r="O21">
        <v>3.730269877</v>
      </c>
      <c r="P21">
        <v>3.4856684179999999</v>
      </c>
      <c r="Q21">
        <v>3.1055586449999999</v>
      </c>
      <c r="R21">
        <v>2.7895398139999998</v>
      </c>
      <c r="S21">
        <v>2.5021068999999998</v>
      </c>
      <c r="T21">
        <v>2.97045855</v>
      </c>
      <c r="U21">
        <v>3.4662708109999998</v>
      </c>
      <c r="V21">
        <v>3.9870406319999998</v>
      </c>
      <c r="W21">
        <v>3.9861767970000002</v>
      </c>
      <c r="X21">
        <v>4.0045759329999999</v>
      </c>
      <c r="Y21">
        <v>4.0303729669999999</v>
      </c>
      <c r="Z21">
        <v>4.0721618209999999</v>
      </c>
      <c r="AA21">
        <v>4.1002114560000003</v>
      </c>
      <c r="AB21">
        <v>4.1236378159999996</v>
      </c>
      <c r="AC21">
        <v>4.1467543129999997</v>
      </c>
      <c r="AD21">
        <v>4.1770725669999997</v>
      </c>
      <c r="AE21">
        <v>4.202030647</v>
      </c>
      <c r="AF21">
        <v>4.2293411919999997</v>
      </c>
      <c r="AG21">
        <v>4.2533266550000004</v>
      </c>
      <c r="AH21">
        <v>4.2739865090000002</v>
      </c>
      <c r="AI21">
        <v>4.2860110589999998</v>
      </c>
      <c r="AJ21">
        <v>4.298385218</v>
      </c>
      <c r="AK21">
        <v>4.30944927</v>
      </c>
      <c r="AL21">
        <v>4.3203026370000002</v>
      </c>
      <c r="AM21">
        <v>4.3310580400000003</v>
      </c>
      <c r="AN21">
        <v>4.319212566</v>
      </c>
      <c r="AO21">
        <v>4.3076875159999997</v>
      </c>
      <c r="AP21">
        <v>4.2942767359999996</v>
      </c>
      <c r="AQ21">
        <v>4.2806913069999997</v>
      </c>
      <c r="AR21">
        <v>4.2641516949999998</v>
      </c>
      <c r="AS21">
        <v>4.2511960960000001</v>
      </c>
      <c r="AT21">
        <v>4.2391921630000002</v>
      </c>
      <c r="AU21">
        <v>4.2262899779999996</v>
      </c>
      <c r="AV21">
        <v>4.2126430810000004</v>
      </c>
      <c r="AW21">
        <v>4.1997302999999997</v>
      </c>
    </row>
    <row r="22" spans="2:49" x14ac:dyDescent="0.25">
      <c r="B22" t="s">
        <v>273</v>
      </c>
      <c r="C22">
        <v>5.5705789795526002</v>
      </c>
      <c r="D22">
        <v>5.6600164269241402</v>
      </c>
      <c r="E22">
        <v>5.7508898210000003</v>
      </c>
      <c r="F22">
        <v>5.8015808900000003</v>
      </c>
      <c r="G22">
        <v>4.8324865880000001</v>
      </c>
      <c r="H22">
        <v>4.2362817780000004</v>
      </c>
      <c r="I22">
        <v>4.2095741799999997</v>
      </c>
      <c r="J22">
        <v>4.0295060769999997</v>
      </c>
      <c r="K22">
        <v>3.8922582480000001</v>
      </c>
      <c r="L22">
        <v>4.1573082860000001</v>
      </c>
      <c r="M22">
        <v>4.2686746409999996</v>
      </c>
      <c r="N22">
        <v>4.3448537590000003</v>
      </c>
      <c r="O22">
        <v>3.42800729</v>
      </c>
      <c r="P22">
        <v>2.8862511359999998</v>
      </c>
      <c r="Q22">
        <v>2.5374132309999999</v>
      </c>
      <c r="R22">
        <v>2.3104779889999998</v>
      </c>
      <c r="S22">
        <v>2.1012811170000001</v>
      </c>
      <c r="T22">
        <v>2.0606107119999999</v>
      </c>
      <c r="U22">
        <v>2.0365315609999999</v>
      </c>
      <c r="V22">
        <v>2.0297752440000001</v>
      </c>
      <c r="W22">
        <v>1.9816224099999999</v>
      </c>
      <c r="X22">
        <v>1.9184824090000001</v>
      </c>
      <c r="Y22">
        <v>1.910409885</v>
      </c>
      <c r="Z22">
        <v>1.9164122100000001</v>
      </c>
      <c r="AA22">
        <v>1.9234897</v>
      </c>
      <c r="AB22">
        <v>1.929220216</v>
      </c>
      <c r="AC22">
        <v>1.93285788</v>
      </c>
      <c r="AD22">
        <v>1.957926799</v>
      </c>
      <c r="AE22">
        <v>1.979350859</v>
      </c>
      <c r="AF22">
        <v>2.001224476</v>
      </c>
      <c r="AG22">
        <v>2.0248217620000002</v>
      </c>
      <c r="AH22">
        <v>2.0467783970000002</v>
      </c>
      <c r="AI22">
        <v>2.0739914339999999</v>
      </c>
      <c r="AJ22">
        <v>2.0994829250000002</v>
      </c>
      <c r="AK22">
        <v>2.124510721</v>
      </c>
      <c r="AL22">
        <v>2.1497420580000002</v>
      </c>
      <c r="AM22">
        <v>2.1749625319999999</v>
      </c>
      <c r="AN22">
        <v>2.1756881890000002</v>
      </c>
      <c r="AO22">
        <v>2.1728091630000002</v>
      </c>
      <c r="AP22">
        <v>2.1667556399999999</v>
      </c>
      <c r="AQ22">
        <v>2.1589444279999999</v>
      </c>
      <c r="AR22">
        <v>2.1466497539999998</v>
      </c>
      <c r="AS22">
        <v>2.1506461109999999</v>
      </c>
      <c r="AT22">
        <v>2.1554705790000002</v>
      </c>
      <c r="AU22">
        <v>2.1597249710000002</v>
      </c>
      <c r="AV22">
        <v>2.1633333549999998</v>
      </c>
      <c r="AW22">
        <v>2.1674430089999999</v>
      </c>
    </row>
    <row r="23" spans="2:49" x14ac:dyDescent="0.25">
      <c r="B23" t="s">
        <v>274</v>
      </c>
      <c r="C23">
        <v>155.572754408756</v>
      </c>
      <c r="D23">
        <v>158.07052530222199</v>
      </c>
      <c r="E23">
        <v>160.98882449999999</v>
      </c>
      <c r="F23">
        <v>164.3560287</v>
      </c>
      <c r="G23">
        <v>160.15332989999999</v>
      </c>
      <c r="H23">
        <v>153.5555622</v>
      </c>
      <c r="I23">
        <v>155.3909658</v>
      </c>
      <c r="J23">
        <v>155.2753008</v>
      </c>
      <c r="K23">
        <v>152.76332669999999</v>
      </c>
      <c r="L23">
        <v>151.42770469999999</v>
      </c>
      <c r="M23">
        <v>152.194489</v>
      </c>
      <c r="N23">
        <v>153.55867090000001</v>
      </c>
      <c r="O23">
        <v>150.86783679999999</v>
      </c>
      <c r="P23">
        <v>148.84022160000001</v>
      </c>
      <c r="Q23">
        <v>144.99491889999999</v>
      </c>
      <c r="R23">
        <v>141.87297989999999</v>
      </c>
      <c r="S23">
        <v>139.0369886</v>
      </c>
      <c r="T23">
        <v>138.9117833</v>
      </c>
      <c r="U23">
        <v>138.98795530000001</v>
      </c>
      <c r="V23">
        <v>139.41030549999999</v>
      </c>
      <c r="W23">
        <v>139.4514964</v>
      </c>
      <c r="X23">
        <v>139.25056989999999</v>
      </c>
      <c r="Y23">
        <v>139.62347260000001</v>
      </c>
      <c r="Z23">
        <v>140.25654589999999</v>
      </c>
      <c r="AA23">
        <v>140.72953140000001</v>
      </c>
      <c r="AB23">
        <v>141.10926979999999</v>
      </c>
      <c r="AC23">
        <v>141.40495680000001</v>
      </c>
      <c r="AD23">
        <v>141.7579269</v>
      </c>
      <c r="AE23">
        <v>142.11185639999999</v>
      </c>
      <c r="AF23">
        <v>142.4890844</v>
      </c>
      <c r="AG23">
        <v>142.8081238</v>
      </c>
      <c r="AH23">
        <v>143.14780999999999</v>
      </c>
      <c r="AI23">
        <v>143.42754479999999</v>
      </c>
      <c r="AJ23">
        <v>143.71056709999999</v>
      </c>
      <c r="AK23">
        <v>143.95790980000001</v>
      </c>
      <c r="AL23">
        <v>144.2041213</v>
      </c>
      <c r="AM23">
        <v>144.45104979999999</v>
      </c>
      <c r="AN23">
        <v>144.3070712</v>
      </c>
      <c r="AO23">
        <v>144.14664379999999</v>
      </c>
      <c r="AP23">
        <v>143.93542880000001</v>
      </c>
      <c r="AQ23">
        <v>143.7030001</v>
      </c>
      <c r="AR23">
        <v>143.4177444</v>
      </c>
      <c r="AS23">
        <v>143.26818750000001</v>
      </c>
      <c r="AT23">
        <v>143.12568250000001</v>
      </c>
      <c r="AU23">
        <v>142.9653419</v>
      </c>
      <c r="AV23">
        <v>142.79622739999999</v>
      </c>
      <c r="AW23">
        <v>142.6717098</v>
      </c>
    </row>
    <row r="24" spans="2:49" x14ac:dyDescent="0.25">
      <c r="B24" t="s">
        <v>275</v>
      </c>
      <c r="C24">
        <v>2.7703288319169999</v>
      </c>
      <c r="D24">
        <v>2.8148073574016701</v>
      </c>
      <c r="E24">
        <v>2.86</v>
      </c>
      <c r="F24">
        <v>2.9750724609999999</v>
      </c>
      <c r="G24">
        <v>2.8543285279999999</v>
      </c>
      <c r="H24">
        <v>2.9876918520000002</v>
      </c>
      <c r="I24">
        <v>3.1262054720000001</v>
      </c>
      <c r="J24">
        <v>2.9775658639999998</v>
      </c>
      <c r="K24">
        <v>2.8826573280000001</v>
      </c>
      <c r="L24">
        <v>2.8169198309999999</v>
      </c>
      <c r="M24">
        <v>3.0149186220000002</v>
      </c>
      <c r="N24">
        <v>3.1870158489999998</v>
      </c>
      <c r="O24">
        <v>3.2741108090000002</v>
      </c>
      <c r="P24">
        <v>3.2947688159999999</v>
      </c>
      <c r="Q24">
        <v>3.0761674559999999</v>
      </c>
      <c r="R24">
        <v>3.0449855459999999</v>
      </c>
      <c r="S24">
        <v>3.0656449129999999</v>
      </c>
      <c r="T24">
        <v>3.1349565070000001</v>
      </c>
      <c r="U24">
        <v>3.2016592560000001</v>
      </c>
      <c r="V24">
        <v>3.2934322470000001</v>
      </c>
      <c r="W24">
        <v>3.3623483240000001</v>
      </c>
      <c r="X24">
        <v>3.4508080909999999</v>
      </c>
      <c r="Y24">
        <v>3.5178486910000002</v>
      </c>
      <c r="Z24">
        <v>3.5690412980000001</v>
      </c>
      <c r="AA24">
        <v>3.6088585559999999</v>
      </c>
      <c r="AB24">
        <v>3.6456066950000001</v>
      </c>
      <c r="AC24">
        <v>3.7004700490000002</v>
      </c>
      <c r="AD24">
        <v>3.7255844009999999</v>
      </c>
      <c r="AE24">
        <v>3.7583122150000001</v>
      </c>
      <c r="AF24">
        <v>3.7937551009999999</v>
      </c>
      <c r="AG24">
        <v>3.831354122</v>
      </c>
      <c r="AH24">
        <v>3.880651533</v>
      </c>
      <c r="AI24">
        <v>3.918894522</v>
      </c>
      <c r="AJ24">
        <v>3.9649581249999999</v>
      </c>
      <c r="AK24">
        <v>4.0102909520000001</v>
      </c>
      <c r="AL24">
        <v>4.0576267320000001</v>
      </c>
      <c r="AM24">
        <v>4.1073131350000001</v>
      </c>
      <c r="AN24">
        <v>4.1601912009999999</v>
      </c>
      <c r="AO24">
        <v>4.2157017830000001</v>
      </c>
      <c r="AP24">
        <v>4.2710317370000004</v>
      </c>
      <c r="AQ24">
        <v>4.3263656709999996</v>
      </c>
      <c r="AR24">
        <v>4.3896922890000001</v>
      </c>
      <c r="AS24">
        <v>4.436694599</v>
      </c>
      <c r="AT24">
        <v>4.484696477</v>
      </c>
      <c r="AU24">
        <v>4.5332969609999996</v>
      </c>
      <c r="AV24">
        <v>4.5833505130000001</v>
      </c>
      <c r="AW24">
        <v>4.6357336499999997</v>
      </c>
    </row>
    <row r="25" spans="2:49" x14ac:dyDescent="0.25">
      <c r="B25" t="s">
        <v>276</v>
      </c>
      <c r="C25">
        <v>46.663857241186399</v>
      </c>
      <c r="D25">
        <v>47.413060563046002</v>
      </c>
      <c r="E25">
        <v>48.17429259</v>
      </c>
      <c r="F25">
        <v>49.210596340000002</v>
      </c>
      <c r="G25">
        <v>46.577828400000001</v>
      </c>
      <c r="H25">
        <v>42.509675489999999</v>
      </c>
      <c r="I25">
        <v>42.858177990000002</v>
      </c>
      <c r="J25">
        <v>43.269053810000003</v>
      </c>
      <c r="K25">
        <v>41.15659634</v>
      </c>
      <c r="L25">
        <v>40.778093159999997</v>
      </c>
      <c r="M25">
        <v>41.329354819999999</v>
      </c>
      <c r="N25">
        <v>42.201592329999997</v>
      </c>
      <c r="O25">
        <v>39.934166159999997</v>
      </c>
      <c r="P25">
        <v>38.144572179999997</v>
      </c>
      <c r="Q25">
        <v>35.861878310000002</v>
      </c>
      <c r="R25">
        <v>34.205978600000002</v>
      </c>
      <c r="S25">
        <v>32.596466669999998</v>
      </c>
      <c r="T25">
        <v>32.647352929999997</v>
      </c>
      <c r="U25">
        <v>32.751384440000002</v>
      </c>
      <c r="V25">
        <v>33.143499249999998</v>
      </c>
      <c r="W25">
        <v>32.936340559999998</v>
      </c>
      <c r="X25">
        <v>32.557319100000001</v>
      </c>
      <c r="Y25">
        <v>32.522164060000001</v>
      </c>
      <c r="Z25">
        <v>32.690085289999999</v>
      </c>
      <c r="AA25">
        <v>32.838134359999998</v>
      </c>
      <c r="AB25">
        <v>32.968510270000003</v>
      </c>
      <c r="AC25">
        <v>33.11467287</v>
      </c>
      <c r="AD25">
        <v>33.410431170000003</v>
      </c>
      <c r="AE25">
        <v>33.667332709999997</v>
      </c>
      <c r="AF25">
        <v>33.94863084</v>
      </c>
      <c r="AG25">
        <v>34.242478730000002</v>
      </c>
      <c r="AH25">
        <v>34.54941839</v>
      </c>
      <c r="AI25">
        <v>34.910899780000001</v>
      </c>
      <c r="AJ25">
        <v>35.264619619999998</v>
      </c>
      <c r="AK25">
        <v>35.61042123</v>
      </c>
      <c r="AL25">
        <v>35.963327040000003</v>
      </c>
      <c r="AM25">
        <v>36.32241269</v>
      </c>
      <c r="AN25">
        <v>36.454494230000002</v>
      </c>
      <c r="AO25">
        <v>36.585423919999997</v>
      </c>
      <c r="AP25">
        <v>36.694589399999998</v>
      </c>
      <c r="AQ25">
        <v>36.797006690000003</v>
      </c>
      <c r="AR25">
        <v>36.872663269999997</v>
      </c>
      <c r="AS25">
        <v>37.093236660000002</v>
      </c>
      <c r="AT25">
        <v>37.318345919999999</v>
      </c>
      <c r="AU25">
        <v>37.538698220000001</v>
      </c>
      <c r="AV25">
        <v>37.759769650000003</v>
      </c>
      <c r="AW25">
        <v>38.009906960000002</v>
      </c>
    </row>
    <row r="26" spans="2:49" x14ac:dyDescent="0.25">
      <c r="B26" t="s">
        <v>277</v>
      </c>
      <c r="C26">
        <v>39.525714811669303</v>
      </c>
      <c r="D26">
        <v>40.160312947925298</v>
      </c>
      <c r="E26">
        <v>40.805099759999997</v>
      </c>
      <c r="F26">
        <v>40.69168913</v>
      </c>
      <c r="G26">
        <v>40.319005009999998</v>
      </c>
      <c r="H26">
        <v>40.240480900000001</v>
      </c>
      <c r="I26">
        <v>40.262663889999999</v>
      </c>
      <c r="J26">
        <v>40.057601179999999</v>
      </c>
      <c r="K26">
        <v>39.600919269999999</v>
      </c>
      <c r="L26">
        <v>39.229183759999998</v>
      </c>
      <c r="M26">
        <v>39.020033480000002</v>
      </c>
      <c r="N26">
        <v>39.025988550000001</v>
      </c>
      <c r="O26">
        <v>39.286587160000003</v>
      </c>
      <c r="P26">
        <v>39.34858337</v>
      </c>
      <c r="Q26">
        <v>39.001634379999999</v>
      </c>
      <c r="R26">
        <v>38.665931409999999</v>
      </c>
      <c r="S26">
        <v>38.30462696</v>
      </c>
      <c r="T26">
        <v>37.826846400000001</v>
      </c>
      <c r="U26">
        <v>37.68611619</v>
      </c>
      <c r="V26">
        <v>37.586656359999999</v>
      </c>
      <c r="W26">
        <v>37.625166530000001</v>
      </c>
      <c r="X26">
        <v>37.772570620000003</v>
      </c>
      <c r="Y26">
        <v>37.965459189999997</v>
      </c>
      <c r="Z26">
        <v>38.297503560000003</v>
      </c>
      <c r="AA26">
        <v>38.621844209999999</v>
      </c>
      <c r="AB26">
        <v>38.932586839999999</v>
      </c>
      <c r="AC26">
        <v>39.222924749999997</v>
      </c>
      <c r="AD26">
        <v>39.488312129999997</v>
      </c>
      <c r="AE26">
        <v>39.720133949999997</v>
      </c>
      <c r="AF26">
        <v>39.931906779999998</v>
      </c>
      <c r="AG26">
        <v>40.113557180000001</v>
      </c>
      <c r="AH26">
        <v>40.262595810000001</v>
      </c>
      <c r="AI26">
        <v>40.37369795</v>
      </c>
      <c r="AJ26">
        <v>40.467955760000002</v>
      </c>
      <c r="AK26">
        <v>40.54438476</v>
      </c>
      <c r="AL26">
        <v>40.60435683</v>
      </c>
      <c r="AM26">
        <v>40.647824999999997</v>
      </c>
      <c r="AN26">
        <v>40.665112659999998</v>
      </c>
      <c r="AO26">
        <v>40.660747460000003</v>
      </c>
      <c r="AP26">
        <v>40.629775649999999</v>
      </c>
      <c r="AQ26">
        <v>40.578887479999999</v>
      </c>
      <c r="AR26">
        <v>40.499348900000001</v>
      </c>
      <c r="AS26">
        <v>40.407803010000002</v>
      </c>
      <c r="AT26">
        <v>40.299636599999999</v>
      </c>
      <c r="AU26">
        <v>40.168745029999997</v>
      </c>
      <c r="AV26">
        <v>40.014752039999998</v>
      </c>
      <c r="AW26">
        <v>39.855940410000002</v>
      </c>
    </row>
    <row r="27" spans="2:49" x14ac:dyDescent="0.25">
      <c r="B27" t="s">
        <v>278</v>
      </c>
      <c r="C27">
        <v>21.072806770403201</v>
      </c>
      <c r="D27">
        <v>21.411137499294501</v>
      </c>
      <c r="E27">
        <v>21.754900240000001</v>
      </c>
      <c r="F27">
        <v>22.63283324</v>
      </c>
      <c r="G27">
        <v>22.854260719999999</v>
      </c>
      <c r="H27">
        <v>21.82841385</v>
      </c>
      <c r="I27">
        <v>22.633491070000002</v>
      </c>
      <c r="J27">
        <v>23.15573706</v>
      </c>
      <c r="K27">
        <v>23.318590579999999</v>
      </c>
      <c r="L27">
        <v>23.503301709999999</v>
      </c>
      <c r="M27">
        <v>23.938801479999999</v>
      </c>
      <c r="N27">
        <v>24.466071599999999</v>
      </c>
      <c r="O27">
        <v>24.00964901</v>
      </c>
      <c r="P27">
        <v>23.667000059999999</v>
      </c>
      <c r="Q27">
        <v>23.142981649999999</v>
      </c>
      <c r="R27">
        <v>22.38840978</v>
      </c>
      <c r="S27">
        <v>21.717461620000002</v>
      </c>
      <c r="T27">
        <v>21.657969739999999</v>
      </c>
      <c r="U27">
        <v>21.5786698</v>
      </c>
      <c r="V27">
        <v>21.48629506</v>
      </c>
      <c r="W27">
        <v>21.643557090000002</v>
      </c>
      <c r="X27">
        <v>21.831700720000001</v>
      </c>
      <c r="Y27">
        <v>22.118076859999999</v>
      </c>
      <c r="Z27">
        <v>22.26125506</v>
      </c>
      <c r="AA27">
        <v>22.329803309999999</v>
      </c>
      <c r="AB27">
        <v>22.36411472</v>
      </c>
      <c r="AC27">
        <v>22.366765879999999</v>
      </c>
      <c r="AD27">
        <v>22.345270070000002</v>
      </c>
      <c r="AE27">
        <v>22.301900629999999</v>
      </c>
      <c r="AF27">
        <v>22.24890663</v>
      </c>
      <c r="AG27">
        <v>22.16964291</v>
      </c>
      <c r="AH27">
        <v>22.077787610000001</v>
      </c>
      <c r="AI27">
        <v>21.967673489999999</v>
      </c>
      <c r="AJ27">
        <v>21.847671259999998</v>
      </c>
      <c r="AK27">
        <v>21.717978909999999</v>
      </c>
      <c r="AL27">
        <v>21.580748799999999</v>
      </c>
      <c r="AM27">
        <v>21.437655719999999</v>
      </c>
      <c r="AN27">
        <v>21.169368009999999</v>
      </c>
      <c r="AO27">
        <v>20.882334960000001</v>
      </c>
      <c r="AP27">
        <v>20.59459171</v>
      </c>
      <c r="AQ27">
        <v>20.308310880000001</v>
      </c>
      <c r="AR27">
        <v>20.026467350000001</v>
      </c>
      <c r="AS27">
        <v>19.75421381</v>
      </c>
      <c r="AT27">
        <v>19.484968370000001</v>
      </c>
      <c r="AU27">
        <v>19.218337030000001</v>
      </c>
      <c r="AV27">
        <v>18.955029549999999</v>
      </c>
      <c r="AW27">
        <v>18.694322620000001</v>
      </c>
    </row>
    <row r="28" spans="2:49" x14ac:dyDescent="0.25">
      <c r="B28" t="s">
        <v>279</v>
      </c>
      <c r="C28">
        <v>23.690458989791001</v>
      </c>
      <c r="D28">
        <v>24.070816971768199</v>
      </c>
      <c r="E28">
        <v>24.457281720000001</v>
      </c>
      <c r="F28">
        <v>25.36665254</v>
      </c>
      <c r="G28">
        <v>24.938089219999998</v>
      </c>
      <c r="H28">
        <v>25.086295010000001</v>
      </c>
      <c r="I28">
        <v>25.181695779999998</v>
      </c>
      <c r="J28">
        <v>25.046394830000001</v>
      </c>
      <c r="K28">
        <v>24.808934390000001</v>
      </c>
      <c r="L28">
        <v>24.583309830000001</v>
      </c>
      <c r="M28">
        <v>24.430500689999999</v>
      </c>
      <c r="N28">
        <v>24.218427030000001</v>
      </c>
      <c r="O28">
        <v>24.100507990000001</v>
      </c>
      <c r="P28">
        <v>23.85414686</v>
      </c>
      <c r="Q28">
        <v>23.573904429999999</v>
      </c>
      <c r="R28">
        <v>23.32166887</v>
      </c>
      <c r="S28">
        <v>23.319467070000002</v>
      </c>
      <c r="T28">
        <v>23.237888000000002</v>
      </c>
      <c r="U28">
        <v>23.045779469999999</v>
      </c>
      <c r="V28">
        <v>22.748270179999999</v>
      </c>
      <c r="W28">
        <v>22.498355539999999</v>
      </c>
      <c r="X28">
        <v>21.897102690000001</v>
      </c>
      <c r="Y28">
        <v>21.526170130000001</v>
      </c>
      <c r="Z28">
        <v>21.245155109999999</v>
      </c>
      <c r="AA28">
        <v>20.992362849999999</v>
      </c>
      <c r="AB28">
        <v>20.74400778</v>
      </c>
      <c r="AC28">
        <v>20.27109548</v>
      </c>
      <c r="AD28">
        <v>19.953609109999999</v>
      </c>
      <c r="AE28">
        <v>19.771654640000001</v>
      </c>
      <c r="AF28">
        <v>19.59270896</v>
      </c>
      <c r="AG28">
        <v>19.413569509999999</v>
      </c>
      <c r="AH28">
        <v>19.198952810000002</v>
      </c>
      <c r="AI28">
        <v>18.957297789999998</v>
      </c>
      <c r="AJ28">
        <v>18.75435281</v>
      </c>
      <c r="AK28">
        <v>18.566266980000002</v>
      </c>
      <c r="AL28">
        <v>18.386313569999999</v>
      </c>
      <c r="AM28">
        <v>18.212689000000001</v>
      </c>
      <c r="AN28">
        <v>18.027081760000002</v>
      </c>
      <c r="AO28">
        <v>17.828652120000001</v>
      </c>
      <c r="AP28">
        <v>17.625783129999999</v>
      </c>
      <c r="AQ28">
        <v>17.4216494</v>
      </c>
      <c r="AR28">
        <v>17.1233255</v>
      </c>
      <c r="AS28">
        <v>16.878245939999999</v>
      </c>
      <c r="AT28">
        <v>16.652932159999999</v>
      </c>
      <c r="AU28">
        <v>16.436806319999999</v>
      </c>
      <c r="AV28">
        <v>16.226121710000001</v>
      </c>
      <c r="AW28">
        <v>16.019637719999999</v>
      </c>
    </row>
    <row r="29" spans="2:49" x14ac:dyDescent="0.25">
      <c r="B29" t="s">
        <v>280</v>
      </c>
      <c r="C29">
        <v>22.212930412666701</v>
      </c>
      <c r="D29">
        <v>22.569566195417998</v>
      </c>
      <c r="E29">
        <v>22.93725019</v>
      </c>
      <c r="F29">
        <v>23.479184979999999</v>
      </c>
      <c r="G29">
        <v>22.609817889999999</v>
      </c>
      <c r="H29">
        <v>20.903005109999999</v>
      </c>
      <c r="I29">
        <v>21.328721130000002</v>
      </c>
      <c r="J29">
        <v>20.76894802</v>
      </c>
      <c r="K29">
        <v>20.99562882</v>
      </c>
      <c r="L29">
        <v>20.5168964</v>
      </c>
      <c r="M29">
        <v>20.46087992</v>
      </c>
      <c r="N29">
        <v>20.45957555</v>
      </c>
      <c r="O29">
        <v>20.262815679999999</v>
      </c>
      <c r="P29">
        <v>20.531150270000001</v>
      </c>
      <c r="Q29">
        <v>20.338352700000002</v>
      </c>
      <c r="R29">
        <v>20.246005619999998</v>
      </c>
      <c r="S29">
        <v>20.033321409999999</v>
      </c>
      <c r="T29">
        <v>20.40676976</v>
      </c>
      <c r="U29">
        <v>20.724346270000002</v>
      </c>
      <c r="V29">
        <v>21.152152350000001</v>
      </c>
      <c r="W29">
        <v>21.385728149999998</v>
      </c>
      <c r="X29">
        <v>21.741068479999999</v>
      </c>
      <c r="Y29">
        <v>21.97375362</v>
      </c>
      <c r="Z29">
        <v>22.193505550000001</v>
      </c>
      <c r="AA29">
        <v>22.338528149999998</v>
      </c>
      <c r="AB29">
        <v>22.45444346</v>
      </c>
      <c r="AC29">
        <v>22.729027800000001</v>
      </c>
      <c r="AD29">
        <v>22.834720000000001</v>
      </c>
      <c r="AE29">
        <v>22.892522209999999</v>
      </c>
      <c r="AF29">
        <v>22.973176070000001</v>
      </c>
      <c r="AG29">
        <v>23.037521330000001</v>
      </c>
      <c r="AH29">
        <v>23.17840386</v>
      </c>
      <c r="AI29">
        <v>23.299081229999999</v>
      </c>
      <c r="AJ29">
        <v>23.41100956</v>
      </c>
      <c r="AK29">
        <v>23.50856697</v>
      </c>
      <c r="AL29">
        <v>23.611748309999999</v>
      </c>
      <c r="AM29">
        <v>23.72315429</v>
      </c>
      <c r="AN29">
        <v>23.830823339999998</v>
      </c>
      <c r="AO29">
        <v>23.97378359</v>
      </c>
      <c r="AP29">
        <v>24.119657190000002</v>
      </c>
      <c r="AQ29">
        <v>24.270779999999998</v>
      </c>
      <c r="AR29">
        <v>24.506247049999999</v>
      </c>
      <c r="AS29">
        <v>24.697993490000002</v>
      </c>
      <c r="AT29">
        <v>24.885103000000001</v>
      </c>
      <c r="AU29">
        <v>25.069458350000001</v>
      </c>
      <c r="AV29">
        <v>25.257203910000001</v>
      </c>
      <c r="AW29">
        <v>25.456168430000002</v>
      </c>
    </row>
    <row r="30" spans="2:49" x14ac:dyDescent="0.25">
      <c r="B30" t="s">
        <v>281</v>
      </c>
      <c r="C30">
        <v>30998.430217312201</v>
      </c>
      <c r="D30">
        <v>31496.120041177499</v>
      </c>
      <c r="E30">
        <v>32001.800439999999</v>
      </c>
      <c r="F30">
        <v>32688.379000000001</v>
      </c>
      <c r="G30">
        <v>33314.794710000002</v>
      </c>
      <c r="H30">
        <v>34142.844949999999</v>
      </c>
      <c r="I30">
        <v>34863.837440000003</v>
      </c>
      <c r="J30">
        <v>35489.148800000003</v>
      </c>
      <c r="K30">
        <v>35731.31351</v>
      </c>
      <c r="L30">
        <v>35839.916219999999</v>
      </c>
      <c r="M30">
        <v>35948.063869999998</v>
      </c>
      <c r="N30">
        <v>35911.307350000003</v>
      </c>
      <c r="O30">
        <v>35978.501450000003</v>
      </c>
      <c r="P30">
        <v>36321.204380000003</v>
      </c>
      <c r="Q30">
        <v>36708.886160000002</v>
      </c>
      <c r="R30">
        <v>37113.743849999999</v>
      </c>
      <c r="S30">
        <v>37467.881659999999</v>
      </c>
      <c r="T30">
        <v>37680.910770000002</v>
      </c>
      <c r="U30">
        <v>37788.529199999997</v>
      </c>
      <c r="V30">
        <v>37735.726450000002</v>
      </c>
      <c r="W30">
        <v>37790.402520000003</v>
      </c>
      <c r="X30">
        <v>37095.837729999999</v>
      </c>
      <c r="Y30">
        <v>36964.367700000003</v>
      </c>
      <c r="Z30">
        <v>37045.55356</v>
      </c>
      <c r="AA30">
        <v>37210.498720000003</v>
      </c>
      <c r="AB30">
        <v>37407.62341</v>
      </c>
      <c r="AC30">
        <v>37072.685579999998</v>
      </c>
      <c r="AD30">
        <v>37128.545059999997</v>
      </c>
      <c r="AE30">
        <v>37240.762000000002</v>
      </c>
      <c r="AF30">
        <v>37380.544759999997</v>
      </c>
      <c r="AG30">
        <v>37535.179369999998</v>
      </c>
      <c r="AH30">
        <v>37296.982770000002</v>
      </c>
      <c r="AI30">
        <v>37309.108610000003</v>
      </c>
      <c r="AJ30">
        <v>37433.145640000002</v>
      </c>
      <c r="AK30">
        <v>37601.078509999999</v>
      </c>
      <c r="AL30">
        <v>37791.01599</v>
      </c>
      <c r="AM30">
        <v>37994.909630000002</v>
      </c>
      <c r="AN30">
        <v>38109.265240000001</v>
      </c>
      <c r="AO30">
        <v>38183.810219999999</v>
      </c>
      <c r="AP30">
        <v>38241.041749999997</v>
      </c>
      <c r="AQ30">
        <v>38288.622940000001</v>
      </c>
      <c r="AR30">
        <v>38032.982239999998</v>
      </c>
      <c r="AS30">
        <v>37906.835010000003</v>
      </c>
      <c r="AT30">
        <v>37833.656080000001</v>
      </c>
      <c r="AU30">
        <v>37779.119030000002</v>
      </c>
      <c r="AV30">
        <v>37730.136449999998</v>
      </c>
      <c r="AW30">
        <v>37681.692600000002</v>
      </c>
    </row>
    <row r="31" spans="2:49" x14ac:dyDescent="0.25">
      <c r="B31" t="s">
        <v>282</v>
      </c>
      <c r="C31">
        <v>17.998489648965599</v>
      </c>
      <c r="D31">
        <v>18.287461222056098</v>
      </c>
      <c r="E31">
        <v>18.581072330000001</v>
      </c>
      <c r="F31">
        <v>19.818445740000001</v>
      </c>
      <c r="G31">
        <v>49.759249779999998</v>
      </c>
      <c r="H31">
        <v>82.470063499999995</v>
      </c>
      <c r="I31">
        <v>117.1066033</v>
      </c>
      <c r="J31">
        <v>164.06519549999999</v>
      </c>
      <c r="K31">
        <v>207.18338539999999</v>
      </c>
      <c r="L31">
        <v>245.0945471</v>
      </c>
      <c r="M31">
        <v>280.57302900000002</v>
      </c>
      <c r="N31">
        <v>300.2759977</v>
      </c>
      <c r="O31">
        <v>315.97240310000001</v>
      </c>
      <c r="P31">
        <v>325.64348480000001</v>
      </c>
      <c r="Q31">
        <v>353.54158339999998</v>
      </c>
      <c r="R31">
        <v>384.78688319999998</v>
      </c>
      <c r="S31">
        <v>438.05368679999998</v>
      </c>
      <c r="T31">
        <v>481.46721650000001</v>
      </c>
      <c r="U31">
        <v>554.32449929999996</v>
      </c>
      <c r="V31">
        <v>634.93540399999995</v>
      </c>
      <c r="W31">
        <v>719.85416680000003</v>
      </c>
      <c r="X31">
        <v>765.46619190000001</v>
      </c>
      <c r="Y31">
        <v>833.3920895</v>
      </c>
      <c r="Z31">
        <v>908.40755939999997</v>
      </c>
      <c r="AA31">
        <v>985.04301740000005</v>
      </c>
      <c r="AB31">
        <v>1060.7225550000001</v>
      </c>
      <c r="AC31">
        <v>1105.764154</v>
      </c>
      <c r="AD31">
        <v>1166.362071</v>
      </c>
      <c r="AE31">
        <v>1226.398015</v>
      </c>
      <c r="AF31">
        <v>1284.7636090000001</v>
      </c>
      <c r="AG31">
        <v>1340.3642030000001</v>
      </c>
      <c r="AH31">
        <v>1373.551645</v>
      </c>
      <c r="AI31">
        <v>1416.3937559999999</v>
      </c>
      <c r="AJ31">
        <v>1462.0473609999999</v>
      </c>
      <c r="AK31">
        <v>1507.7899729999999</v>
      </c>
      <c r="AL31">
        <v>1552.6292579999999</v>
      </c>
      <c r="AM31">
        <v>1596.1642629999999</v>
      </c>
      <c r="AN31">
        <v>1634.483518</v>
      </c>
      <c r="AO31">
        <v>1670.1803930000001</v>
      </c>
      <c r="AP31">
        <v>1704.4047390000001</v>
      </c>
      <c r="AQ31">
        <v>1737.7402959999999</v>
      </c>
      <c r="AR31">
        <v>1754.2699990000001</v>
      </c>
      <c r="AS31">
        <v>1777.4749690000001</v>
      </c>
      <c r="AT31">
        <v>1803.601373</v>
      </c>
      <c r="AU31">
        <v>1831.068538</v>
      </c>
      <c r="AV31">
        <v>1859.1848520000001</v>
      </c>
      <c r="AW31">
        <v>1887.6569139999999</v>
      </c>
    </row>
    <row r="32" spans="2:49" x14ac:dyDescent="0.25">
      <c r="B32" t="s">
        <v>283</v>
      </c>
      <c r="C32">
        <v>1571.8931047778699</v>
      </c>
      <c r="D32">
        <v>1597.13035701831</v>
      </c>
      <c r="E32">
        <v>1622.772802</v>
      </c>
      <c r="F32">
        <v>1973.092384</v>
      </c>
      <c r="G32">
        <v>2310.6983140000002</v>
      </c>
      <c r="H32">
        <v>2679.9221889999999</v>
      </c>
      <c r="I32">
        <v>3016.034228</v>
      </c>
      <c r="J32">
        <v>3326.180073</v>
      </c>
      <c r="K32">
        <v>3553.1510929999999</v>
      </c>
      <c r="L32">
        <v>3744.918666</v>
      </c>
      <c r="M32">
        <v>3927.58977</v>
      </c>
      <c r="N32">
        <v>4076.1899840000001</v>
      </c>
      <c r="O32">
        <v>4234.5323719999997</v>
      </c>
      <c r="P32">
        <v>4416.094486</v>
      </c>
      <c r="Q32">
        <v>4603.8129730000001</v>
      </c>
      <c r="R32">
        <v>4787.8233339999997</v>
      </c>
      <c r="S32">
        <v>4968.4523120000003</v>
      </c>
      <c r="T32">
        <v>5106.4470300000003</v>
      </c>
      <c r="U32">
        <v>5242.1835080000001</v>
      </c>
      <c r="V32">
        <v>5346.3594819999998</v>
      </c>
      <c r="W32">
        <v>5456.4725719999997</v>
      </c>
      <c r="X32">
        <v>5416.1624810000003</v>
      </c>
      <c r="Y32">
        <v>5461.6476860000002</v>
      </c>
      <c r="Z32">
        <v>5527.9088689999999</v>
      </c>
      <c r="AA32">
        <v>5591.8798779999997</v>
      </c>
      <c r="AB32">
        <v>5644.7710120000002</v>
      </c>
      <c r="AC32">
        <v>5600.7774719999998</v>
      </c>
      <c r="AD32">
        <v>5601.7319710000002</v>
      </c>
      <c r="AE32">
        <v>5597.4426530000001</v>
      </c>
      <c r="AF32">
        <v>5584.7716529999998</v>
      </c>
      <c r="AG32">
        <v>5562.8578379999999</v>
      </c>
      <c r="AH32">
        <v>5482.6677030000001</v>
      </c>
      <c r="AI32">
        <v>5425.6764309999999</v>
      </c>
      <c r="AJ32">
        <v>5374.9628620000003</v>
      </c>
      <c r="AK32">
        <v>5323.3219319999998</v>
      </c>
      <c r="AL32">
        <v>5269.0282239999997</v>
      </c>
      <c r="AM32">
        <v>5211.9211830000004</v>
      </c>
      <c r="AN32">
        <v>5141.9774809999999</v>
      </c>
      <c r="AO32">
        <v>5065.226071</v>
      </c>
      <c r="AP32">
        <v>4984.5702760000004</v>
      </c>
      <c r="AQ32">
        <v>4901.3460240000004</v>
      </c>
      <c r="AR32">
        <v>4789.9494409999998</v>
      </c>
      <c r="AS32">
        <v>4689.5528350000004</v>
      </c>
      <c r="AT32">
        <v>4593.4933840000003</v>
      </c>
      <c r="AU32">
        <v>4499.0450680000004</v>
      </c>
      <c r="AV32">
        <v>4405.319332</v>
      </c>
      <c r="AW32">
        <v>4312.0941780000003</v>
      </c>
    </row>
    <row r="33" spans="2:49" x14ac:dyDescent="0.25">
      <c r="B33" t="s">
        <v>284</v>
      </c>
      <c r="C33">
        <v>3720.5673609549599</v>
      </c>
      <c r="D33">
        <v>3780.3022733867101</v>
      </c>
      <c r="E33">
        <v>3840.9962489999998</v>
      </c>
      <c r="F33">
        <v>4323.9343870000002</v>
      </c>
      <c r="G33">
        <v>4770.0348160000003</v>
      </c>
      <c r="H33">
        <v>5260.5671780000002</v>
      </c>
      <c r="I33">
        <v>5705.1976340000001</v>
      </c>
      <c r="J33">
        <v>6108.4804439999998</v>
      </c>
      <c r="K33">
        <v>6389.4356520000001</v>
      </c>
      <c r="L33">
        <v>6619.9729120000002</v>
      </c>
      <c r="M33">
        <v>6838.4698319999998</v>
      </c>
      <c r="N33">
        <v>7016.5736450000004</v>
      </c>
      <c r="O33">
        <v>7212.40967</v>
      </c>
      <c r="P33">
        <v>7457.812981</v>
      </c>
      <c r="Q33">
        <v>7705.1419589999996</v>
      </c>
      <c r="R33">
        <v>7946.8020919999999</v>
      </c>
      <c r="S33">
        <v>8169.0542699999996</v>
      </c>
      <c r="T33">
        <v>8336.5695450000003</v>
      </c>
      <c r="U33">
        <v>8476.5920160000005</v>
      </c>
      <c r="V33">
        <v>8560.2416200000007</v>
      </c>
      <c r="W33">
        <v>8652.1909890000006</v>
      </c>
      <c r="X33">
        <v>8531.8313839999901</v>
      </c>
      <c r="Y33">
        <v>8535.1051029999999</v>
      </c>
      <c r="Z33">
        <v>8568.737545</v>
      </c>
      <c r="AA33">
        <v>8599.4302079999998</v>
      </c>
      <c r="AB33">
        <v>8614.7920190000004</v>
      </c>
      <c r="AC33">
        <v>8497.1277680000003</v>
      </c>
      <c r="AD33">
        <v>8442.7789460000004</v>
      </c>
      <c r="AE33">
        <v>8382.2117429999998</v>
      </c>
      <c r="AF33">
        <v>8310.9919580000005</v>
      </c>
      <c r="AG33">
        <v>8228.4343399999998</v>
      </c>
      <c r="AH33">
        <v>8068.5007939999996</v>
      </c>
      <c r="AI33">
        <v>7940.9141630000004</v>
      </c>
      <c r="AJ33">
        <v>7822.8339960000003</v>
      </c>
      <c r="AK33">
        <v>7704.3308100000004</v>
      </c>
      <c r="AL33">
        <v>7583.2002130000001</v>
      </c>
      <c r="AM33">
        <v>7459.3764789999996</v>
      </c>
      <c r="AN33">
        <v>7319.2992759999997</v>
      </c>
      <c r="AO33">
        <v>7170.9816039999996</v>
      </c>
      <c r="AP33">
        <v>7018.350152</v>
      </c>
      <c r="AQ33">
        <v>6863.1576660000001</v>
      </c>
      <c r="AR33">
        <v>6673.5701239999999</v>
      </c>
      <c r="AS33">
        <v>6498.8905139999997</v>
      </c>
      <c r="AT33">
        <v>6330.6494750000002</v>
      </c>
      <c r="AU33">
        <v>6165.3871179999996</v>
      </c>
      <c r="AV33">
        <v>6002.0739780000004</v>
      </c>
      <c r="AW33">
        <v>5840.527333</v>
      </c>
    </row>
    <row r="34" spans="2:49" x14ac:dyDescent="0.25">
      <c r="B34" t="s">
        <v>285</v>
      </c>
      <c r="C34">
        <v>5208.7853750706299</v>
      </c>
      <c r="D34">
        <v>5292.4141090967596</v>
      </c>
      <c r="E34">
        <v>5377.3855290000001</v>
      </c>
      <c r="F34">
        <v>5766.1469630000001</v>
      </c>
      <c r="G34">
        <v>6121.9695789999996</v>
      </c>
      <c r="H34">
        <v>6524.1562270000004</v>
      </c>
      <c r="I34">
        <v>6885.411634</v>
      </c>
      <c r="J34">
        <v>7207.7794469999999</v>
      </c>
      <c r="K34">
        <v>7413.9072640000004</v>
      </c>
      <c r="L34">
        <v>7574.320984</v>
      </c>
      <c r="M34">
        <v>7726.2013150000002</v>
      </c>
      <c r="N34">
        <v>7833.5123450000001</v>
      </c>
      <c r="O34">
        <v>7962.1780070000004</v>
      </c>
      <c r="P34">
        <v>8149.760937</v>
      </c>
      <c r="Q34">
        <v>8334.7414079999999</v>
      </c>
      <c r="R34">
        <v>8518.5658120000007</v>
      </c>
      <c r="S34">
        <v>8673.4160200000006</v>
      </c>
      <c r="T34">
        <v>8793.3768959999998</v>
      </c>
      <c r="U34">
        <v>8874.1632919999902</v>
      </c>
      <c r="V34">
        <v>8896.5776420000002</v>
      </c>
      <c r="W34">
        <v>8928.1835530000008</v>
      </c>
      <c r="X34">
        <v>8762.7030159999995</v>
      </c>
      <c r="Y34">
        <v>8715.3332780000001</v>
      </c>
      <c r="Z34">
        <v>8698.0311789999996</v>
      </c>
      <c r="AA34">
        <v>8679.2471220000007</v>
      </c>
      <c r="AB34">
        <v>8647.3449039999996</v>
      </c>
      <c r="AC34">
        <v>8493.9358460000003</v>
      </c>
      <c r="AD34">
        <v>8400.5631570000005</v>
      </c>
      <c r="AE34">
        <v>8302.8226529999902</v>
      </c>
      <c r="AF34">
        <v>8196.5327120000002</v>
      </c>
      <c r="AG34">
        <v>8081.2559110000002</v>
      </c>
      <c r="AH34">
        <v>7896.8231930000002</v>
      </c>
      <c r="AI34">
        <v>7743.1230020000003</v>
      </c>
      <c r="AJ34">
        <v>7599.3024930000001</v>
      </c>
      <c r="AK34">
        <v>7456.1905580000002</v>
      </c>
      <c r="AL34">
        <v>7311.8117410000004</v>
      </c>
      <c r="AM34">
        <v>7166.1513880000002</v>
      </c>
      <c r="AN34">
        <v>7006.7612179999996</v>
      </c>
      <c r="AO34">
        <v>6840.870723</v>
      </c>
      <c r="AP34">
        <v>6672.0469720000001</v>
      </c>
      <c r="AQ34">
        <v>6501.8560969999999</v>
      </c>
      <c r="AR34">
        <v>6302.6213969999999</v>
      </c>
      <c r="AS34">
        <v>6117.4654419999997</v>
      </c>
      <c r="AT34">
        <v>5938.9320470000002</v>
      </c>
      <c r="AU34">
        <v>5763.9805759999999</v>
      </c>
      <c r="AV34">
        <v>5591.7470919999996</v>
      </c>
      <c r="AW34">
        <v>5422.1088989999998</v>
      </c>
    </row>
    <row r="35" spans="2:49" x14ac:dyDescent="0.25">
      <c r="B35" t="s">
        <v>286</v>
      </c>
      <c r="C35">
        <v>13521.9613593495</v>
      </c>
      <c r="D35">
        <v>13739.0608227762</v>
      </c>
      <c r="E35">
        <v>13959.64589</v>
      </c>
      <c r="F35">
        <v>13632.260259999999</v>
      </c>
      <c r="G35">
        <v>13307.156199999999</v>
      </c>
      <c r="H35">
        <v>13036.976849999999</v>
      </c>
      <c r="I35">
        <v>12769.915639999999</v>
      </c>
      <c r="J35">
        <v>12501.651980000001</v>
      </c>
      <c r="K35">
        <v>12186.463239999999</v>
      </c>
      <c r="L35">
        <v>11872.153770000001</v>
      </c>
      <c r="M35">
        <v>11574.52822</v>
      </c>
      <c r="N35">
        <v>11262.150519999999</v>
      </c>
      <c r="O35">
        <v>10984.59383</v>
      </c>
      <c r="P35">
        <v>10790.98415</v>
      </c>
      <c r="Q35">
        <v>10604.960510000001</v>
      </c>
      <c r="R35">
        <v>10426.50469</v>
      </c>
      <c r="S35">
        <v>10225.673559999999</v>
      </c>
      <c r="T35">
        <v>10034.310149999999</v>
      </c>
      <c r="U35">
        <v>9777.6200659999995</v>
      </c>
      <c r="V35">
        <v>9481.5399880000004</v>
      </c>
      <c r="W35">
        <v>9205.3556709999903</v>
      </c>
      <c r="X35">
        <v>8842.6685219999999</v>
      </c>
      <c r="Y35">
        <v>8555.9470569999994</v>
      </c>
      <c r="Z35">
        <v>8298.232403</v>
      </c>
      <c r="AA35">
        <v>8052.1476149999999</v>
      </c>
      <c r="AB35">
        <v>7811.1164019999997</v>
      </c>
      <c r="AC35">
        <v>7521.5239760000004</v>
      </c>
      <c r="AD35">
        <v>7272.7977549999996</v>
      </c>
      <c r="AE35">
        <v>7032.4174849999999</v>
      </c>
      <c r="AF35">
        <v>6797.7439960000002</v>
      </c>
      <c r="AG35">
        <v>6568.3674520000004</v>
      </c>
      <c r="AH35">
        <v>6315.2674779999998</v>
      </c>
      <c r="AI35">
        <v>6085.4191620000001</v>
      </c>
      <c r="AJ35">
        <v>5868.4722030000003</v>
      </c>
      <c r="AK35">
        <v>5659.5778769999997</v>
      </c>
      <c r="AL35">
        <v>5457.4997149999999</v>
      </c>
      <c r="AM35">
        <v>5261.9541740000004</v>
      </c>
      <c r="AN35">
        <v>5066.1740209999998</v>
      </c>
      <c r="AO35">
        <v>4873.3132770000002</v>
      </c>
      <c r="AP35">
        <v>4684.8515829999997</v>
      </c>
      <c r="AQ35">
        <v>4501.3158199999998</v>
      </c>
      <c r="AR35">
        <v>4310.6729539999997</v>
      </c>
      <c r="AS35">
        <v>4131.4212950000001</v>
      </c>
      <c r="AT35">
        <v>3960.1274069999999</v>
      </c>
      <c r="AU35">
        <v>3795.3025980000002</v>
      </c>
      <c r="AV35">
        <v>3636.4306379999998</v>
      </c>
      <c r="AW35">
        <v>3483.3140669999998</v>
      </c>
    </row>
    <row r="36" spans="2:49" x14ac:dyDescent="0.25">
      <c r="B36" t="s">
        <v>287</v>
      </c>
      <c r="C36">
        <v>4769.5635809194901</v>
      </c>
      <c r="D36">
        <v>4846.1404669702097</v>
      </c>
      <c r="E36">
        <v>4923.9468200000001</v>
      </c>
      <c r="F36">
        <v>4800.2922429999999</v>
      </c>
      <c r="G36">
        <v>4669.8796080000002</v>
      </c>
      <c r="H36">
        <v>4553.8165019999997</v>
      </c>
      <c r="I36">
        <v>4440.5542740000001</v>
      </c>
      <c r="J36">
        <v>4324.7631170000004</v>
      </c>
      <c r="K36">
        <v>4196.4028870000002</v>
      </c>
      <c r="L36">
        <v>4067.166252</v>
      </c>
      <c r="M36">
        <v>3944.0467960000001</v>
      </c>
      <c r="N36">
        <v>3815.391208</v>
      </c>
      <c r="O36">
        <v>3698.2925919999998</v>
      </c>
      <c r="P36">
        <v>3618.2609980000002</v>
      </c>
      <c r="Q36">
        <v>3538.6597630000001</v>
      </c>
      <c r="R36">
        <v>3459.6683870000002</v>
      </c>
      <c r="S36">
        <v>3366.2732099999998</v>
      </c>
      <c r="T36">
        <v>3252.203434</v>
      </c>
      <c r="U36">
        <v>3111.1319600000002</v>
      </c>
      <c r="V36">
        <v>2960.335595</v>
      </c>
      <c r="W36">
        <v>2817.2432370000001</v>
      </c>
      <c r="X36">
        <v>2669.5041489999999</v>
      </c>
      <c r="Y36">
        <v>2536.295756</v>
      </c>
      <c r="Z36">
        <v>2411.4884659999998</v>
      </c>
      <c r="AA36">
        <v>2292.653922</v>
      </c>
      <c r="AB36">
        <v>2178.871063</v>
      </c>
      <c r="AC36">
        <v>2064.9772560000001</v>
      </c>
      <c r="AD36">
        <v>1959.5568490000001</v>
      </c>
      <c r="AE36">
        <v>1859.205598</v>
      </c>
      <c r="AF36">
        <v>1763.4652410000001</v>
      </c>
      <c r="AG36">
        <v>1672.216175</v>
      </c>
      <c r="AH36">
        <v>1582.957302</v>
      </c>
      <c r="AI36">
        <v>1499.2725479999999</v>
      </c>
      <c r="AJ36">
        <v>1420.150112</v>
      </c>
      <c r="AK36">
        <v>1345.0137769999999</v>
      </c>
      <c r="AL36">
        <v>1273.631942</v>
      </c>
      <c r="AM36">
        <v>1205.8514620000001</v>
      </c>
      <c r="AN36">
        <v>1140.764815</v>
      </c>
      <c r="AO36">
        <v>1078.503064</v>
      </c>
      <c r="AP36">
        <v>1019.080638</v>
      </c>
      <c r="AQ36">
        <v>962.43918799999994</v>
      </c>
      <c r="AR36">
        <v>907.89628770000002</v>
      </c>
      <c r="AS36">
        <v>856.30316719999996</v>
      </c>
      <c r="AT36">
        <v>807.38306030000001</v>
      </c>
      <c r="AU36">
        <v>760.96708920000003</v>
      </c>
      <c r="AV36">
        <v>716.94154030000004</v>
      </c>
      <c r="AW36">
        <v>675.20886629999995</v>
      </c>
    </row>
    <row r="37" spans="2:49" x14ac:dyDescent="0.25">
      <c r="B37" t="s">
        <v>288</v>
      </c>
      <c r="C37">
        <v>2185.3248924602099</v>
      </c>
      <c r="D37">
        <v>2220.4109904720199</v>
      </c>
      <c r="E37">
        <v>2256.0604069999999</v>
      </c>
      <c r="F37">
        <v>2168.6364859999999</v>
      </c>
      <c r="G37">
        <v>2077.922783</v>
      </c>
      <c r="H37">
        <v>1992.4678389999999</v>
      </c>
      <c r="I37">
        <v>1910.1906630000001</v>
      </c>
      <c r="J37">
        <v>1827.3280279999999</v>
      </c>
      <c r="K37">
        <v>1744.6399550000001</v>
      </c>
      <c r="L37">
        <v>1661.8877540000001</v>
      </c>
      <c r="M37">
        <v>1583.3521490000001</v>
      </c>
      <c r="N37">
        <v>1511.212673</v>
      </c>
      <c r="O37">
        <v>1443.269888</v>
      </c>
      <c r="P37">
        <v>1392.16453</v>
      </c>
      <c r="Q37">
        <v>1340.216422</v>
      </c>
      <c r="R37">
        <v>1287.3668110000001</v>
      </c>
      <c r="S37">
        <v>1232.1530760000001</v>
      </c>
      <c r="T37">
        <v>1173.2288639999999</v>
      </c>
      <c r="U37">
        <v>1108.0494819999999</v>
      </c>
      <c r="V37">
        <v>1042.870101</v>
      </c>
      <c r="W37">
        <v>981.52480100000002</v>
      </c>
      <c r="X37">
        <v>923.788048</v>
      </c>
      <c r="Y37">
        <v>869.44757460000005</v>
      </c>
      <c r="Z37">
        <v>818.30359959999998</v>
      </c>
      <c r="AA37">
        <v>770.16809369999999</v>
      </c>
      <c r="AB37">
        <v>724.86408819999997</v>
      </c>
      <c r="AC37">
        <v>682.22502420000001</v>
      </c>
      <c r="AD37">
        <v>642.09414040000001</v>
      </c>
      <c r="AE37">
        <v>604.32389690000002</v>
      </c>
      <c r="AF37">
        <v>568.7754324</v>
      </c>
      <c r="AG37">
        <v>535.31805399999996</v>
      </c>
      <c r="AH37">
        <v>503.82875669999999</v>
      </c>
      <c r="AI37">
        <v>474.19177100000002</v>
      </c>
      <c r="AJ37">
        <v>446.29813739999997</v>
      </c>
      <c r="AK37">
        <v>420.04530579999999</v>
      </c>
      <c r="AL37">
        <v>395.33675840000001</v>
      </c>
      <c r="AM37">
        <v>372.08165500000001</v>
      </c>
      <c r="AN37">
        <v>350.06498900000003</v>
      </c>
      <c r="AO37">
        <v>329.22778729999999</v>
      </c>
      <c r="AP37">
        <v>309.51354850000001</v>
      </c>
      <c r="AQ37">
        <v>290.868154</v>
      </c>
      <c r="AR37">
        <v>273.23978099999999</v>
      </c>
      <c r="AS37">
        <v>256.57881880000002</v>
      </c>
      <c r="AT37">
        <v>240.83778699999999</v>
      </c>
      <c r="AU37">
        <v>225.97125689999999</v>
      </c>
      <c r="AV37">
        <v>211.9357751</v>
      </c>
      <c r="AW37">
        <v>198.68978920000001</v>
      </c>
    </row>
    <row r="38" spans="2:49" x14ac:dyDescent="0.25">
      <c r="B38" t="s">
        <v>289</v>
      </c>
      <c r="C38">
        <v>6.9573204344700098E-3</v>
      </c>
      <c r="D38">
        <v>7.06902246445449E-3</v>
      </c>
      <c r="E38">
        <v>7.1825179100000001E-3</v>
      </c>
      <c r="F38">
        <v>1.13980881E-2</v>
      </c>
      <c r="G38">
        <v>2.15464582E-2</v>
      </c>
      <c r="H38">
        <v>5.4762045099999997E-2</v>
      </c>
      <c r="I38">
        <v>0.1068282517</v>
      </c>
      <c r="J38">
        <v>0.1845452669</v>
      </c>
      <c r="K38">
        <v>0.27838463879999997</v>
      </c>
      <c r="L38">
        <v>0.40974294690000002</v>
      </c>
      <c r="M38">
        <v>0.61488939139999998</v>
      </c>
      <c r="N38">
        <v>0.88706267969999997</v>
      </c>
      <c r="O38">
        <v>1.2845170809999999</v>
      </c>
      <c r="P38">
        <v>1.4845090830000001</v>
      </c>
      <c r="Q38">
        <v>1.836740818</v>
      </c>
      <c r="R38">
        <v>2.4568316530000001</v>
      </c>
      <c r="S38">
        <v>3.4626674909999999</v>
      </c>
      <c r="T38">
        <v>4.9645845450000001</v>
      </c>
      <c r="U38">
        <v>8.8239134230000005</v>
      </c>
      <c r="V38">
        <v>15.003392740000001</v>
      </c>
      <c r="W38">
        <v>23.28333044</v>
      </c>
      <c r="X38">
        <v>30.547563530000001</v>
      </c>
      <c r="Y38">
        <v>42.267502270000001</v>
      </c>
      <c r="Z38">
        <v>58.024188899999999</v>
      </c>
      <c r="AA38">
        <v>77.792213590000003</v>
      </c>
      <c r="AB38">
        <v>101.6399681</v>
      </c>
      <c r="AC38">
        <v>123.03715579999999</v>
      </c>
      <c r="AD38">
        <v>152.63167619999999</v>
      </c>
      <c r="AE38">
        <v>187.04448020000001</v>
      </c>
      <c r="AF38">
        <v>225.96576899999999</v>
      </c>
      <c r="AG38">
        <v>269.30472479999997</v>
      </c>
      <c r="AH38">
        <v>307.43850420000001</v>
      </c>
      <c r="AI38">
        <v>354.63750490000001</v>
      </c>
      <c r="AJ38">
        <v>408.53008990000001</v>
      </c>
      <c r="AK38">
        <v>467.62183060000001</v>
      </c>
      <c r="AL38">
        <v>531.31699470000001</v>
      </c>
      <c r="AM38">
        <v>599.31707879999999</v>
      </c>
      <c r="AN38">
        <v>668.75602609999999</v>
      </c>
      <c r="AO38">
        <v>741.03876760000003</v>
      </c>
      <c r="AP38">
        <v>816.88231159999998</v>
      </c>
      <c r="AQ38">
        <v>896.50161939999998</v>
      </c>
      <c r="AR38">
        <v>964.39334169999995</v>
      </c>
      <c r="AS38">
        <v>1042.002569</v>
      </c>
      <c r="AT38">
        <v>1126.0744910000001</v>
      </c>
      <c r="AU38">
        <v>1214.9183169999999</v>
      </c>
      <c r="AV38">
        <v>1307.7540320000001</v>
      </c>
      <c r="AW38">
        <v>1404.2211769999999</v>
      </c>
    </row>
    <row r="39" spans="2:49" x14ac:dyDescent="0.25">
      <c r="B39" t="s">
        <v>290</v>
      </c>
      <c r="C39">
        <v>1.59483191497851E-2</v>
      </c>
      <c r="D39">
        <v>1.6204374572364899E-2</v>
      </c>
      <c r="E39">
        <v>1.6464540999999999E-2</v>
      </c>
      <c r="F39">
        <v>2.7897849999999998E-2</v>
      </c>
      <c r="G39">
        <v>5.0056665700000003E-2</v>
      </c>
      <c r="H39">
        <v>9.7183615099999995E-2</v>
      </c>
      <c r="I39">
        <v>0.16610405950000001</v>
      </c>
      <c r="J39">
        <v>0.26449523139999997</v>
      </c>
      <c r="K39">
        <v>0.38227313460000001</v>
      </c>
      <c r="L39">
        <v>0.54006876049999997</v>
      </c>
      <c r="M39">
        <v>0.76987713719999995</v>
      </c>
      <c r="N39">
        <v>1.0630029519999999</v>
      </c>
      <c r="O39">
        <v>1.4816074530000001</v>
      </c>
      <c r="P39">
        <v>1.8259814409999999</v>
      </c>
      <c r="Q39">
        <v>2.3418457890000002</v>
      </c>
      <c r="R39">
        <v>3.1211409890000001</v>
      </c>
      <c r="S39">
        <v>4.2474106689999997</v>
      </c>
      <c r="T39">
        <v>5.7814676800000004</v>
      </c>
      <c r="U39">
        <v>9.0048258939999997</v>
      </c>
      <c r="V39">
        <v>13.821606900000001</v>
      </c>
      <c r="W39">
        <v>20.210163919999999</v>
      </c>
      <c r="X39">
        <v>25.576050970000001</v>
      </c>
      <c r="Y39">
        <v>34.382141709999999</v>
      </c>
      <c r="Z39">
        <v>46.133924980000003</v>
      </c>
      <c r="AA39">
        <v>60.699953829999998</v>
      </c>
      <c r="AB39">
        <v>78.046823009999997</v>
      </c>
      <c r="AC39">
        <v>93.176884900000005</v>
      </c>
      <c r="AD39">
        <v>114.14823</v>
      </c>
      <c r="AE39">
        <v>138.2526469</v>
      </c>
      <c r="AF39">
        <v>165.19258139999999</v>
      </c>
      <c r="AG39">
        <v>194.816473</v>
      </c>
      <c r="AH39">
        <v>220.2281223</v>
      </c>
      <c r="AI39">
        <v>251.61118540000001</v>
      </c>
      <c r="AJ39">
        <v>287.09194789999998</v>
      </c>
      <c r="AK39">
        <v>325.51087139999998</v>
      </c>
      <c r="AL39">
        <v>366.3793781</v>
      </c>
      <c r="AM39">
        <v>409.42933909999999</v>
      </c>
      <c r="AN39">
        <v>452.50120679999998</v>
      </c>
      <c r="AO39">
        <v>496.50368099999997</v>
      </c>
      <c r="AP39">
        <v>541.84150820000002</v>
      </c>
      <c r="AQ39">
        <v>588.57565179999995</v>
      </c>
      <c r="AR39">
        <v>626.85460399999999</v>
      </c>
      <c r="AS39">
        <v>670.3179533</v>
      </c>
      <c r="AT39">
        <v>716.68122960000005</v>
      </c>
      <c r="AU39">
        <v>764.75374179999994</v>
      </c>
      <c r="AV39">
        <v>813.96038109999995</v>
      </c>
      <c r="AW39">
        <v>863.99230660000001</v>
      </c>
    </row>
    <row r="40" spans="2:49" x14ac:dyDescent="0.25">
      <c r="B40" t="s">
        <v>291</v>
      </c>
      <c r="C40">
        <v>6.5291776385026298E-2</v>
      </c>
      <c r="D40">
        <v>6.63400569741113E-2</v>
      </c>
      <c r="E40">
        <v>6.7405168000000001E-2</v>
      </c>
      <c r="F40">
        <v>0.11700391609999999</v>
      </c>
      <c r="G40">
        <v>0.20598179559999999</v>
      </c>
      <c r="H40">
        <v>0.3534867324</v>
      </c>
      <c r="I40">
        <v>0.55682051099999996</v>
      </c>
      <c r="J40">
        <v>0.83514358129999999</v>
      </c>
      <c r="K40">
        <v>1.165465142</v>
      </c>
      <c r="L40">
        <v>1.5882255249999999</v>
      </c>
      <c r="M40">
        <v>2.1556286920000001</v>
      </c>
      <c r="N40">
        <v>2.84304858</v>
      </c>
      <c r="O40">
        <v>3.7946889800000001</v>
      </c>
      <c r="P40">
        <v>5.0244359449999996</v>
      </c>
      <c r="Q40">
        <v>6.6791557600000004</v>
      </c>
      <c r="R40">
        <v>8.8676023500000003</v>
      </c>
      <c r="S40">
        <v>11.646945970000001</v>
      </c>
      <c r="T40">
        <v>14.97884681</v>
      </c>
      <c r="U40">
        <v>19.691254359999999</v>
      </c>
      <c r="V40">
        <v>25.549982839999998</v>
      </c>
      <c r="W40">
        <v>33.118010570000003</v>
      </c>
      <c r="X40">
        <v>38.664483099999998</v>
      </c>
      <c r="Y40">
        <v>48.339466719999997</v>
      </c>
      <c r="Z40">
        <v>60.999401779999999</v>
      </c>
      <c r="AA40">
        <v>76.148319599999894</v>
      </c>
      <c r="AB40">
        <v>93.507034309999995</v>
      </c>
      <c r="AC40">
        <v>107.3169202</v>
      </c>
      <c r="AD40">
        <v>126.6672535</v>
      </c>
      <c r="AE40">
        <v>148.11851799999999</v>
      </c>
      <c r="AF40">
        <v>171.20457590000001</v>
      </c>
      <c r="AG40">
        <v>195.58357240000001</v>
      </c>
      <c r="AH40">
        <v>214.7110351</v>
      </c>
      <c r="AI40">
        <v>238.2465938</v>
      </c>
      <c r="AJ40">
        <v>264.01077620000001</v>
      </c>
      <c r="AK40">
        <v>290.74626009999997</v>
      </c>
      <c r="AL40">
        <v>317.91253970000002</v>
      </c>
      <c r="AM40">
        <v>345.20315970000001</v>
      </c>
      <c r="AN40">
        <v>370.48491539999998</v>
      </c>
      <c r="AO40">
        <v>394.49617769999998</v>
      </c>
      <c r="AP40">
        <v>417.4901969</v>
      </c>
      <c r="AQ40">
        <v>439.4458631</v>
      </c>
      <c r="AR40">
        <v>454.0340951</v>
      </c>
      <c r="AS40">
        <v>470.2587292</v>
      </c>
      <c r="AT40">
        <v>486.3154045</v>
      </c>
      <c r="AU40">
        <v>501.32221520000002</v>
      </c>
      <c r="AV40">
        <v>514.87404519999996</v>
      </c>
      <c r="AW40">
        <v>526.74531209999998</v>
      </c>
    </row>
    <row r="41" spans="2:49" x14ac:dyDescent="0.25">
      <c r="B41" t="s">
        <v>292</v>
      </c>
      <c r="C41">
        <v>1.5338215665531501</v>
      </c>
      <c r="D41">
        <v>1.55844756793281</v>
      </c>
      <c r="E41">
        <v>1.5834689479999999</v>
      </c>
      <c r="F41">
        <v>2.7562351710000002</v>
      </c>
      <c r="G41">
        <v>4.8417696299999999</v>
      </c>
      <c r="H41">
        <v>8.1862599780000007</v>
      </c>
      <c r="I41">
        <v>12.75494469</v>
      </c>
      <c r="J41">
        <v>18.9664544</v>
      </c>
      <c r="K41">
        <v>26.32815694</v>
      </c>
      <c r="L41">
        <v>35.67760672</v>
      </c>
      <c r="M41">
        <v>48.044143169999998</v>
      </c>
      <c r="N41">
        <v>62.881333439999999</v>
      </c>
      <c r="O41">
        <v>83.297724840000001</v>
      </c>
      <c r="P41">
        <v>111.69429150000001</v>
      </c>
      <c r="Q41">
        <v>149.34603229999999</v>
      </c>
      <c r="R41">
        <v>198.1288941</v>
      </c>
      <c r="S41">
        <v>258.6992932</v>
      </c>
      <c r="T41">
        <v>329.5189992</v>
      </c>
      <c r="U41">
        <v>420.63968310000001</v>
      </c>
      <c r="V41">
        <v>528.48605220000002</v>
      </c>
      <c r="W41">
        <v>667.08386719999999</v>
      </c>
      <c r="X41">
        <v>764.89918469999998</v>
      </c>
      <c r="Y41">
        <v>939.0933483</v>
      </c>
      <c r="Z41">
        <v>1166.3804029999999</v>
      </c>
      <c r="AA41">
        <v>1436.515218</v>
      </c>
      <c r="AB41">
        <v>1743.829158</v>
      </c>
      <c r="AC41">
        <v>1983.766406</v>
      </c>
      <c r="AD41">
        <v>2321.5974540000002</v>
      </c>
      <c r="AE41">
        <v>2694.3570089999998</v>
      </c>
      <c r="AF41">
        <v>3093.8232549999998</v>
      </c>
      <c r="AG41">
        <v>3514.1074279999998</v>
      </c>
      <c r="AH41">
        <v>3840.8880979999999</v>
      </c>
      <c r="AI41">
        <v>4244.2988670000004</v>
      </c>
      <c r="AJ41">
        <v>4686.3450400000002</v>
      </c>
      <c r="AK41">
        <v>5145.7445639999996</v>
      </c>
      <c r="AL41">
        <v>5613.9519780000001</v>
      </c>
      <c r="AM41">
        <v>6086.5853619999998</v>
      </c>
      <c r="AN41">
        <v>6528.4623229999997</v>
      </c>
      <c r="AO41">
        <v>6953.7518909999999</v>
      </c>
      <c r="AP41">
        <v>7368.3366610000003</v>
      </c>
      <c r="AQ41">
        <v>7773.4259240000001</v>
      </c>
      <c r="AR41">
        <v>8059.021393</v>
      </c>
      <c r="AS41">
        <v>8383.6885650000004</v>
      </c>
      <c r="AT41">
        <v>8718.595045</v>
      </c>
      <c r="AU41">
        <v>9050.2925489999998</v>
      </c>
      <c r="AV41">
        <v>9373.3289750000004</v>
      </c>
      <c r="AW41">
        <v>9685.3749979999902</v>
      </c>
    </row>
    <row r="42" spans="2:49" x14ac:dyDescent="0.25">
      <c r="B42" t="s">
        <v>293</v>
      </c>
      <c r="C42">
        <v>0.60453762790594801</v>
      </c>
      <c r="D42">
        <v>0.61424367506521405</v>
      </c>
      <c r="E42">
        <v>0.62410555599999995</v>
      </c>
      <c r="F42">
        <v>1.08693368</v>
      </c>
      <c r="G42">
        <v>1.90855047</v>
      </c>
      <c r="H42">
        <v>3.216978476</v>
      </c>
      <c r="I42">
        <v>5.0007065610000003</v>
      </c>
      <c r="J42">
        <v>7.4220761739999999</v>
      </c>
      <c r="K42" s="98">
        <v>10.29087404</v>
      </c>
      <c r="L42" s="98">
        <v>13.927671180000001</v>
      </c>
      <c r="M42" s="98">
        <v>18.721023129999999</v>
      </c>
      <c r="N42" s="98">
        <v>24.457871770000001</v>
      </c>
      <c r="O42" s="98">
        <v>32.339474209999999</v>
      </c>
      <c r="P42">
        <v>43.493194510000002</v>
      </c>
      <c r="Q42">
        <v>58.235035539999998</v>
      </c>
      <c r="R42">
        <v>77.246277680000006</v>
      </c>
      <c r="S42">
        <v>100.7231982</v>
      </c>
      <c r="T42">
        <v>127.9956914</v>
      </c>
      <c r="U42">
        <v>162.04118199999999</v>
      </c>
      <c r="V42">
        <v>201.47105329999999</v>
      </c>
      <c r="W42">
        <v>251.96602379999999</v>
      </c>
      <c r="X42">
        <v>286.85189450000001</v>
      </c>
      <c r="Y42">
        <v>349.62596070000001</v>
      </c>
      <c r="Z42">
        <v>431.2946336</v>
      </c>
      <c r="AA42">
        <v>527.82223590000001</v>
      </c>
      <c r="AB42">
        <v>636.93841520000001</v>
      </c>
      <c r="AC42">
        <v>720.71304380000004</v>
      </c>
      <c r="AD42">
        <v>838.95385520000002</v>
      </c>
      <c r="AE42">
        <v>968.54665850000004</v>
      </c>
      <c r="AF42">
        <v>1106.420619</v>
      </c>
      <c r="AG42">
        <v>1250.32023</v>
      </c>
      <c r="AH42">
        <v>1360.059092</v>
      </c>
      <c r="AI42">
        <v>1495.512661</v>
      </c>
      <c r="AJ42">
        <v>1642.9476340000001</v>
      </c>
      <c r="AK42">
        <v>1794.7726250000001</v>
      </c>
      <c r="AL42">
        <v>1947.962957</v>
      </c>
      <c r="AM42">
        <v>2100.9868889999998</v>
      </c>
      <c r="AN42">
        <v>2241.5238180000001</v>
      </c>
      <c r="AO42">
        <v>2374.51746</v>
      </c>
      <c r="AP42">
        <v>2502.005768</v>
      </c>
      <c r="AQ42">
        <v>2624.443166</v>
      </c>
      <c r="AR42">
        <v>2706.0889569999999</v>
      </c>
      <c r="AS42">
        <v>2799.0100830000001</v>
      </c>
      <c r="AT42">
        <v>2893.6006520000001</v>
      </c>
      <c r="AU42">
        <v>2985.5088780000001</v>
      </c>
      <c r="AV42">
        <v>3073.0718010000001</v>
      </c>
      <c r="AW42">
        <v>3155.6550779999998</v>
      </c>
    </row>
    <row r="43" spans="2:49" x14ac:dyDescent="0.25">
      <c r="B43" t="s">
        <v>294</v>
      </c>
      <c r="C43">
        <v>8.2417488223721705E-3</v>
      </c>
      <c r="D43">
        <v>8.3740727655845504E-3</v>
      </c>
      <c r="E43">
        <v>8.5085212099999998E-3</v>
      </c>
      <c r="F43">
        <v>1.56538684E-2</v>
      </c>
      <c r="G43">
        <v>2.63351566E-2</v>
      </c>
      <c r="H43">
        <v>3.06842898E-2</v>
      </c>
      <c r="I43">
        <v>3.16484655E-2</v>
      </c>
      <c r="J43">
        <v>4.04374204E-2</v>
      </c>
      <c r="K43">
        <v>5.1015352899999998E-2</v>
      </c>
      <c r="L43">
        <v>6.4656426599999997E-2</v>
      </c>
      <c r="M43">
        <v>8.2927845799999997E-2</v>
      </c>
      <c r="N43">
        <v>0.10499578010000001</v>
      </c>
      <c r="O43">
        <v>0.1355946026</v>
      </c>
      <c r="P43">
        <v>0.21555792160000001</v>
      </c>
      <c r="Q43">
        <v>0.26335323849999998</v>
      </c>
      <c r="R43">
        <v>0.33586451589999999</v>
      </c>
      <c r="S43">
        <v>0.42643140000000002</v>
      </c>
      <c r="T43">
        <v>0.53271902270000004</v>
      </c>
      <c r="U43">
        <v>0.67008643229999998</v>
      </c>
      <c r="V43">
        <v>0.83330752990000001</v>
      </c>
      <c r="W43">
        <v>1.0437597279999999</v>
      </c>
      <c r="X43">
        <v>1.1922638430000001</v>
      </c>
      <c r="Y43">
        <v>1.4577373170000001</v>
      </c>
      <c r="Z43">
        <v>1.8048102260000001</v>
      </c>
      <c r="AA43">
        <v>2.21798311</v>
      </c>
      <c r="AB43">
        <v>2.6887249010000001</v>
      </c>
      <c r="AC43">
        <v>3.0569931060000002</v>
      </c>
      <c r="AD43">
        <v>3.575929318</v>
      </c>
      <c r="AE43">
        <v>4.149370244</v>
      </c>
      <c r="AF43">
        <v>4.7648428880000004</v>
      </c>
      <c r="AG43">
        <v>5.4134855149999996</v>
      </c>
      <c r="AH43">
        <v>5.9195037209999999</v>
      </c>
      <c r="AI43">
        <v>6.5445971319999998</v>
      </c>
      <c r="AJ43">
        <v>7.2307298089999996</v>
      </c>
      <c r="AK43">
        <v>7.9453646280000001</v>
      </c>
      <c r="AL43">
        <v>8.6754841690000006</v>
      </c>
      <c r="AM43">
        <v>9.4144527189999998</v>
      </c>
      <c r="AN43">
        <v>10.10836104</v>
      </c>
      <c r="AO43">
        <v>10.779181830000001</v>
      </c>
      <c r="AP43">
        <v>11.43616078</v>
      </c>
      <c r="AQ43">
        <v>12.08131156</v>
      </c>
      <c r="AR43">
        <v>12.54259396</v>
      </c>
      <c r="AS43">
        <v>13.06769794</v>
      </c>
      <c r="AT43">
        <v>13.61206498</v>
      </c>
      <c r="AU43">
        <v>14.15486164</v>
      </c>
      <c r="AV43">
        <v>14.68763319</v>
      </c>
      <c r="AW43">
        <v>15.206793319999999</v>
      </c>
    </row>
    <row r="44" spans="2:49" x14ac:dyDescent="0.25">
      <c r="B44" t="s">
        <v>295</v>
      </c>
      <c r="C44">
        <v>0.101255771246286</v>
      </c>
      <c r="D44">
        <v>0.10288146540575301</v>
      </c>
      <c r="E44">
        <v>0.1045332606</v>
      </c>
      <c r="F44">
        <v>0.1827084561</v>
      </c>
      <c r="G44">
        <v>0.31991767830000001</v>
      </c>
      <c r="H44">
        <v>0.52873769940000004</v>
      </c>
      <c r="I44">
        <v>0.80971449289999997</v>
      </c>
      <c r="J44">
        <v>1.187362247</v>
      </c>
      <c r="K44">
        <v>1.6338656739999999</v>
      </c>
      <c r="L44">
        <v>2.1933643549999999</v>
      </c>
      <c r="M44">
        <v>2.9142646929999998</v>
      </c>
      <c r="N44">
        <v>3.763661924</v>
      </c>
      <c r="O44">
        <v>4.9190757749999996</v>
      </c>
      <c r="P44">
        <v>6.7448382039999997</v>
      </c>
      <c r="Q44">
        <v>9.1093765839999996</v>
      </c>
      <c r="R44">
        <v>12.06922782</v>
      </c>
      <c r="S44">
        <v>15.59957827</v>
      </c>
      <c r="T44">
        <v>19.53532835</v>
      </c>
      <c r="U44">
        <v>23.593428509999999</v>
      </c>
      <c r="V44">
        <v>27.701226340000002</v>
      </c>
      <c r="W44">
        <v>32.872378390000002</v>
      </c>
      <c r="X44">
        <v>35.98250067</v>
      </c>
      <c r="Y44">
        <v>42.032997930000001</v>
      </c>
      <c r="Z44">
        <v>49.806576560000003</v>
      </c>
      <c r="AA44">
        <v>58.732935589999997</v>
      </c>
      <c r="AB44">
        <v>68.491241079999995</v>
      </c>
      <c r="AC44">
        <v>75.286674980000001</v>
      </c>
      <c r="AD44">
        <v>85.085776260000003</v>
      </c>
      <c r="AE44">
        <v>95.471273629999999</v>
      </c>
      <c r="AF44">
        <v>106.1285101</v>
      </c>
      <c r="AG44">
        <v>116.8194883</v>
      </c>
      <c r="AH44">
        <v>124.14154360000001</v>
      </c>
      <c r="AI44">
        <v>133.26636690000001</v>
      </c>
      <c r="AJ44">
        <v>142.9222608</v>
      </c>
      <c r="AK44">
        <v>152.46676389999999</v>
      </c>
      <c r="AL44">
        <v>161.67880640000001</v>
      </c>
      <c r="AM44">
        <v>170.4727441</v>
      </c>
      <c r="AN44">
        <v>177.90327060000001</v>
      </c>
      <c r="AO44">
        <v>184.4201405</v>
      </c>
      <c r="AP44">
        <v>190.23122950000001</v>
      </c>
      <c r="AQ44">
        <v>195.42615749999999</v>
      </c>
      <c r="AR44">
        <v>197.82727510000001</v>
      </c>
      <c r="AS44">
        <v>200.80237510000001</v>
      </c>
      <c r="AT44">
        <v>203.75265970000001</v>
      </c>
      <c r="AU44">
        <v>206.44622509999999</v>
      </c>
      <c r="AV44">
        <v>208.8263757</v>
      </c>
      <c r="AW44">
        <v>210.8968926</v>
      </c>
    </row>
    <row r="45" spans="2:49" x14ac:dyDescent="0.25">
      <c r="B45" t="s">
        <v>296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2:49" x14ac:dyDescent="0.25">
      <c r="B46" t="s">
        <v>297</v>
      </c>
      <c r="C46">
        <v>30996.0941631817</v>
      </c>
      <c r="D46">
        <v>31493.7464809423</v>
      </c>
      <c r="E46">
        <v>31999.388770000001</v>
      </c>
      <c r="F46">
        <v>32684.18117</v>
      </c>
      <c r="G46">
        <v>33307.420550000003</v>
      </c>
      <c r="H46">
        <v>34130.376850000001</v>
      </c>
      <c r="I46">
        <v>34844.410680000001</v>
      </c>
      <c r="J46">
        <v>35460.24828</v>
      </c>
      <c r="K46">
        <v>35691.183470000004</v>
      </c>
      <c r="L46">
        <v>35785.514880000002</v>
      </c>
      <c r="M46">
        <v>35874.761109999999</v>
      </c>
      <c r="N46">
        <v>35815.306380000002</v>
      </c>
      <c r="O46">
        <v>35851.248769999998</v>
      </c>
      <c r="P46">
        <v>36150.721570000002</v>
      </c>
      <c r="Q46">
        <v>36481.074619999999</v>
      </c>
      <c r="R46">
        <v>36811.51801</v>
      </c>
      <c r="S46">
        <v>37073.076130000001</v>
      </c>
      <c r="T46">
        <v>37177.603139999999</v>
      </c>
      <c r="U46">
        <v>37144.06482</v>
      </c>
      <c r="V46">
        <v>36922.859830000001</v>
      </c>
      <c r="W46">
        <v>36760.824990000001</v>
      </c>
      <c r="X46">
        <v>35912.123789999998</v>
      </c>
      <c r="Y46">
        <v>35507.168539999999</v>
      </c>
      <c r="Z46">
        <v>35231.109620000003</v>
      </c>
      <c r="AA46">
        <v>34970.569860000003</v>
      </c>
      <c r="AB46">
        <v>34682.482040000003</v>
      </c>
      <c r="AC46">
        <v>33966.3315</v>
      </c>
      <c r="AD46">
        <v>33485.884890000001</v>
      </c>
      <c r="AE46">
        <v>33004.822039999999</v>
      </c>
      <c r="AF46">
        <v>32507.044600000001</v>
      </c>
      <c r="AG46">
        <v>31988.813969999999</v>
      </c>
      <c r="AH46">
        <v>31223.596870000001</v>
      </c>
      <c r="AI46">
        <v>30584.990829999999</v>
      </c>
      <c r="AJ46">
        <v>29994.067159999999</v>
      </c>
      <c r="AK46" s="98">
        <v>29416.270229999998</v>
      </c>
      <c r="AL46" s="98">
        <v>28843.137849999999</v>
      </c>
      <c r="AM46" s="98">
        <v>28273.500599999999</v>
      </c>
      <c r="AN46" s="98">
        <v>27659.525320000001</v>
      </c>
      <c r="AO46" s="98">
        <v>27028.302919999998</v>
      </c>
      <c r="AP46" s="98">
        <v>26392.817910000002</v>
      </c>
      <c r="AQ46" s="98">
        <v>25758.723239999999</v>
      </c>
      <c r="AR46" s="98">
        <v>25012.219980000002</v>
      </c>
      <c r="AS46" s="98">
        <v>24327.687040000001</v>
      </c>
      <c r="AT46" s="98">
        <v>23675.024529999999</v>
      </c>
      <c r="AU46" s="98">
        <v>23041.722239999999</v>
      </c>
      <c r="AV46" s="98">
        <v>22423.63321</v>
      </c>
      <c r="AW46">
        <v>21819.600050000001</v>
      </c>
    </row>
    <row r="47" spans="2:49" x14ac:dyDescent="0.25">
      <c r="B47" t="s">
        <v>298</v>
      </c>
      <c r="C47">
        <v>2.3360541304970401</v>
      </c>
      <c r="D47" s="98">
        <v>2.3735602351802898</v>
      </c>
      <c r="E47" s="98">
        <v>2.411668513</v>
      </c>
      <c r="F47">
        <v>4.1978310299999997</v>
      </c>
      <c r="G47">
        <v>7.3741578539999999</v>
      </c>
      <c r="H47">
        <v>12.468092840000001</v>
      </c>
      <c r="I47">
        <v>19.426767030000001</v>
      </c>
      <c r="J47">
        <v>28.90051433</v>
      </c>
      <c r="K47">
        <v>40.13003492</v>
      </c>
      <c r="L47">
        <v>54.40133591</v>
      </c>
      <c r="M47">
        <v>73.302754059999998</v>
      </c>
      <c r="N47" s="98">
        <v>96.000977129999995</v>
      </c>
      <c r="O47" s="98">
        <v>127.2526829</v>
      </c>
      <c r="P47" s="98">
        <v>170.4828086</v>
      </c>
      <c r="Q47" s="98">
        <v>227.81154000000001</v>
      </c>
      <c r="R47" s="98">
        <v>302.22583909999997</v>
      </c>
      <c r="S47" s="98">
        <v>394.80552519999998</v>
      </c>
      <c r="T47" s="98">
        <v>503.307637</v>
      </c>
      <c r="U47" s="98">
        <v>644.46437379999998</v>
      </c>
      <c r="V47" s="98">
        <v>812.86662190000004</v>
      </c>
      <c r="W47" s="98">
        <v>1029.577534</v>
      </c>
      <c r="X47" s="98">
        <v>1183.713941</v>
      </c>
      <c r="Y47" s="98">
        <v>1457.199155</v>
      </c>
      <c r="Z47" s="98">
        <v>1814.443939</v>
      </c>
      <c r="AA47" s="98">
        <v>2239.92886</v>
      </c>
      <c r="AB47" s="98">
        <v>2725.141365</v>
      </c>
      <c r="AC47" s="98">
        <v>3106.3540779999998</v>
      </c>
      <c r="AD47" s="98">
        <v>3642.6601740000001</v>
      </c>
      <c r="AE47" s="98">
        <v>4235.9399560000002</v>
      </c>
      <c r="AF47" s="98">
        <v>4873.500153</v>
      </c>
      <c r="AG47">
        <v>5546.365401</v>
      </c>
      <c r="AH47">
        <v>6073.3858989999999</v>
      </c>
      <c r="AI47">
        <v>6724.117776</v>
      </c>
      <c r="AJ47">
        <v>7439.0784789999998</v>
      </c>
      <c r="AK47">
        <v>8184.8082789999999</v>
      </c>
      <c r="AL47">
        <v>8947.8781369999997</v>
      </c>
      <c r="AM47">
        <v>9721.4090259999903</v>
      </c>
      <c r="AN47">
        <v>10449.73992</v>
      </c>
      <c r="AO47">
        <v>11155.507299999999</v>
      </c>
      <c r="AP47">
        <v>11848.223840000001</v>
      </c>
      <c r="AQ47">
        <v>12529.89969</v>
      </c>
      <c r="AR47">
        <v>13020.76226</v>
      </c>
      <c r="AS47">
        <v>13579.14797</v>
      </c>
      <c r="AT47">
        <v>14158.63155</v>
      </c>
      <c r="AU47">
        <v>14737.396790000001</v>
      </c>
      <c r="AV47">
        <v>15306.50324</v>
      </c>
      <c r="AW47">
        <v>15862.092559999999</v>
      </c>
    </row>
    <row r="48" spans="2:49" x14ac:dyDescent="0.25">
      <c r="B48" t="s">
        <v>299</v>
      </c>
      <c r="C48">
        <v>2.1906436884240502E-2</v>
      </c>
      <c r="D48" s="98">
        <v>2.2258151814254699E-2</v>
      </c>
      <c r="E48" s="98">
        <v>2.2615513600000001E-2</v>
      </c>
      <c r="F48">
        <v>2.43638074E-2</v>
      </c>
      <c r="G48">
        <v>5.85282845E-2</v>
      </c>
      <c r="H48">
        <v>9.5853913400000004E-2</v>
      </c>
      <c r="I48" s="98">
        <v>0.13532209980000001</v>
      </c>
      <c r="J48" s="98">
        <v>0.18868567219999999</v>
      </c>
      <c r="K48" s="98">
        <v>0.23762721519999999</v>
      </c>
      <c r="L48" s="98">
        <v>0.28065069770000001</v>
      </c>
      <c r="M48" s="98">
        <v>0.32091666229999999</v>
      </c>
      <c r="N48" s="98">
        <v>0.34332551259999999</v>
      </c>
      <c r="O48" s="98">
        <v>0.36121752309999999</v>
      </c>
      <c r="P48" s="98">
        <v>0.37232539279999999</v>
      </c>
      <c r="Q48" s="98">
        <v>0.4040321509</v>
      </c>
      <c r="R48" s="98">
        <v>0.43951684089999998</v>
      </c>
      <c r="S48" s="98">
        <v>0.49987786109999999</v>
      </c>
      <c r="T48" s="98">
        <v>0.54906410029999997</v>
      </c>
      <c r="U48" s="98">
        <v>0.63151338840000004</v>
      </c>
      <c r="V48" s="98">
        <v>0.72269109340000004</v>
      </c>
      <c r="W48" s="98">
        <v>0.81874171790000005</v>
      </c>
      <c r="X48" s="98">
        <v>0.87023349409999995</v>
      </c>
      <c r="Y48" s="98">
        <v>0.94702109300000004</v>
      </c>
      <c r="Z48" s="98">
        <v>1.0318392080000001</v>
      </c>
      <c r="AA48" s="98">
        <v>1.1184852810000001</v>
      </c>
      <c r="AB48" s="98">
        <v>1.2040402830000001</v>
      </c>
      <c r="AC48" s="98">
        <v>1.2548839140000001</v>
      </c>
      <c r="AD48" s="98">
        <v>1.3233478910000001</v>
      </c>
      <c r="AE48" s="98">
        <v>1.3911717109999999</v>
      </c>
      <c r="AF48" s="98">
        <v>1.4571000030000001</v>
      </c>
      <c r="AG48" s="98">
        <v>1.5198951759999999</v>
      </c>
      <c r="AH48" s="98">
        <v>1.5573098830000001</v>
      </c>
      <c r="AI48" s="98">
        <v>1.6056555509999999</v>
      </c>
      <c r="AJ48" s="98">
        <v>1.657183901</v>
      </c>
      <c r="AK48" s="98">
        <v>1.708811882</v>
      </c>
      <c r="AL48">
        <v>1.75941664</v>
      </c>
      <c r="AM48">
        <v>1.8085450190000001</v>
      </c>
      <c r="AN48">
        <v>1.8517678500000001</v>
      </c>
      <c r="AO48">
        <v>1.8920211309999999</v>
      </c>
      <c r="AP48">
        <v>1.930606856</v>
      </c>
      <c r="AQ48">
        <v>1.9681858670000001</v>
      </c>
      <c r="AR48">
        <v>1.9867495909999999</v>
      </c>
      <c r="AS48">
        <v>2.0128659760000001</v>
      </c>
      <c r="AT48">
        <v>2.0422873109999999</v>
      </c>
      <c r="AU48">
        <v>2.0732250369999998</v>
      </c>
      <c r="AV48">
        <v>2.1048968879999999</v>
      </c>
      <c r="AW48">
        <v>2.136971162</v>
      </c>
    </row>
    <row r="49" spans="2:49" x14ac:dyDescent="0.25">
      <c r="B49" t="s">
        <v>300</v>
      </c>
      <c r="C49">
        <v>2298.5980133353301</v>
      </c>
      <c r="D49">
        <v>2335.5027479420201</v>
      </c>
      <c r="E49">
        <v>2373</v>
      </c>
      <c r="F49">
        <v>2446.6775899999998</v>
      </c>
      <c r="G49">
        <v>2424.2765530000001</v>
      </c>
      <c r="H49">
        <v>2660.3639440000002</v>
      </c>
      <c r="I49">
        <v>2598.8489709999999</v>
      </c>
      <c r="J49">
        <v>2542.822412</v>
      </c>
      <c r="K49">
        <v>2194.0678939999998</v>
      </c>
      <c r="L49">
        <v>2073.8249529999998</v>
      </c>
      <c r="M49">
        <v>2079.3430400000002</v>
      </c>
      <c r="N49">
        <v>1940.3869999999999</v>
      </c>
      <c r="O49">
        <v>2042.316</v>
      </c>
      <c r="P49">
        <v>2141.6280000000002</v>
      </c>
      <c r="Q49">
        <v>2203.7420000000002</v>
      </c>
      <c r="R49">
        <v>2240.3020000000001</v>
      </c>
      <c r="S49">
        <v>2209.8250010000002</v>
      </c>
      <c r="T49">
        <v>2086.423198</v>
      </c>
      <c r="U49">
        <v>2201.002356</v>
      </c>
      <c r="V49">
        <v>2170.0519159999999</v>
      </c>
      <c r="W49">
        <v>2274.424685</v>
      </c>
      <c r="X49">
        <v>1528.4000699999999</v>
      </c>
      <c r="Y49">
        <v>2050.6380669999999</v>
      </c>
      <c r="Z49">
        <v>2255.5604320000002</v>
      </c>
      <c r="AA49">
        <v>2344.0953639999998</v>
      </c>
      <c r="AB49">
        <v>2385.9775589999999</v>
      </c>
      <c r="AC49">
        <v>1865.5106020000001</v>
      </c>
      <c r="AD49">
        <v>2236.605697</v>
      </c>
      <c r="AE49">
        <v>2296.248998</v>
      </c>
      <c r="AF49">
        <v>2330.4158149999998</v>
      </c>
      <c r="AG49">
        <v>2353.4901920000002</v>
      </c>
      <c r="AH49">
        <v>1969.7551249999999</v>
      </c>
      <c r="AI49">
        <v>2206.0660029999999</v>
      </c>
      <c r="AJ49">
        <v>2318.6904810000001</v>
      </c>
      <c r="AK49">
        <v>2369.8826140000001</v>
      </c>
      <c r="AL49">
        <v>2401.765625</v>
      </c>
      <c r="AM49">
        <v>2426.894581</v>
      </c>
      <c r="AN49">
        <v>2362.5751169999999</v>
      </c>
      <c r="AO49">
        <v>2342.9536229999999</v>
      </c>
      <c r="AP49">
        <v>2343.6872279999998</v>
      </c>
      <c r="AQ49">
        <v>2351.2584059999999</v>
      </c>
      <c r="AR49">
        <v>2064.8819090000002</v>
      </c>
      <c r="AS49">
        <v>2192.937054</v>
      </c>
      <c r="AT49">
        <v>2252.3937649999998</v>
      </c>
      <c r="AU49">
        <v>2280.8738210000001</v>
      </c>
      <c r="AV49">
        <v>2297.5465530000001</v>
      </c>
      <c r="AW49">
        <v>2309.68968</v>
      </c>
    </row>
    <row r="50" spans="2:49" x14ac:dyDescent="0.25">
      <c r="B50" t="s">
        <v>301</v>
      </c>
      <c r="C50">
        <v>2297.4487143286601</v>
      </c>
      <c r="D50">
        <v>2334.33499656805</v>
      </c>
      <c r="E50">
        <v>2371.8135000000002</v>
      </c>
      <c r="F50">
        <v>2444.7587859999999</v>
      </c>
      <c r="G50">
        <v>2420.869346</v>
      </c>
      <c r="H50">
        <v>2654.8644300000001</v>
      </c>
      <c r="I50">
        <v>2591.2045509999998</v>
      </c>
      <c r="J50">
        <v>2532.2801920000002</v>
      </c>
      <c r="K50">
        <v>2181.2488450000001</v>
      </c>
      <c r="L50">
        <v>2057.3465000000001</v>
      </c>
      <c r="M50">
        <v>2057.4495489999999</v>
      </c>
      <c r="N50">
        <v>1913.657125</v>
      </c>
      <c r="O50">
        <v>2005.78424</v>
      </c>
      <c r="P50">
        <v>2092.0352400000002</v>
      </c>
      <c r="Q50">
        <v>2137.8891279999998</v>
      </c>
      <c r="R50">
        <v>2154.497124</v>
      </c>
      <c r="S50">
        <v>2102.1340230000001</v>
      </c>
      <c r="T50">
        <v>1958.1808100000001</v>
      </c>
      <c r="U50">
        <v>2031.884084</v>
      </c>
      <c r="V50">
        <v>1963.7399989999999</v>
      </c>
      <c r="W50">
        <v>2009.898089</v>
      </c>
      <c r="X50">
        <v>1313.700278</v>
      </c>
      <c r="Y50">
        <v>1707.522622</v>
      </c>
      <c r="Z50">
        <v>1812.5980509999999</v>
      </c>
      <c r="AA50">
        <v>1811.8784470000001</v>
      </c>
      <c r="AB50">
        <v>1769.004533</v>
      </c>
      <c r="AC50">
        <v>1323.9954560000001</v>
      </c>
      <c r="AD50">
        <v>1517.572891</v>
      </c>
      <c r="AE50">
        <v>1488.6950879999999</v>
      </c>
      <c r="AF50">
        <v>1443.682679</v>
      </c>
      <c r="AG50">
        <v>1393.9484649999999</v>
      </c>
      <c r="AH50">
        <v>1116.4778389999999</v>
      </c>
      <c r="AI50">
        <v>1198.076131</v>
      </c>
      <c r="AJ50">
        <v>1208.193438</v>
      </c>
      <c r="AK50">
        <v>1186.559962</v>
      </c>
      <c r="AL50">
        <v>1157.2364560000001</v>
      </c>
      <c r="AM50">
        <v>1127.01792</v>
      </c>
      <c r="AN50">
        <v>1059.012917</v>
      </c>
      <c r="AO50">
        <v>1015.177916</v>
      </c>
      <c r="AP50" s="98">
        <v>982.97624269999994</v>
      </c>
      <c r="AQ50" s="98">
        <v>955.8341246</v>
      </c>
      <c r="AR50" s="98">
        <v>814.63148120000005</v>
      </c>
      <c r="AS50" s="98">
        <v>840.60242359999995</v>
      </c>
      <c r="AT50" s="98">
        <v>839.83362939999995</v>
      </c>
      <c r="AU50">
        <v>828.1189779</v>
      </c>
      <c r="AV50">
        <v>813.07383700000003</v>
      </c>
      <c r="AW50">
        <v>797.44391370000005</v>
      </c>
    </row>
    <row r="51" spans="2:49" x14ac:dyDescent="0.25">
      <c r="B51" t="s">
        <v>302</v>
      </c>
      <c r="C51" s="98">
        <v>1.1492990066676601</v>
      </c>
      <c r="D51" s="98">
        <v>1.1677513739710099</v>
      </c>
      <c r="E51" s="98">
        <v>1.1865000000000001</v>
      </c>
      <c r="F51" s="98">
        <v>2.2593323920000001</v>
      </c>
      <c r="G51" s="98">
        <v>31.030818549999999</v>
      </c>
      <c r="H51" s="98">
        <v>35.447572460000004</v>
      </c>
      <c r="I51" s="98">
        <v>39.17239326</v>
      </c>
      <c r="J51" s="98">
        <v>53.399455439999997</v>
      </c>
      <c r="K51" s="98">
        <v>52.141775619999997</v>
      </c>
      <c r="L51" s="98">
        <v>49.306247890000002</v>
      </c>
      <c r="M51">
        <v>48.958682000000003</v>
      </c>
      <c r="N51">
        <v>35.134485320000003</v>
      </c>
      <c r="O51">
        <v>32.211585249999999</v>
      </c>
      <c r="P51">
        <v>25.469701820000001</v>
      </c>
      <c r="Q51">
        <v>44.180272860000002</v>
      </c>
      <c r="R51">
        <v>48.922379020000001</v>
      </c>
      <c r="S51">
        <v>72.506147720000001</v>
      </c>
      <c r="T51">
        <v>65.316213989999994</v>
      </c>
      <c r="U51">
        <v>99.605461509999998</v>
      </c>
      <c r="V51">
        <v>113.2182282</v>
      </c>
      <c r="W51">
        <v>122.2679043</v>
      </c>
      <c r="X51">
        <v>87.956387840000005</v>
      </c>
      <c r="Y51">
        <v>112.9533206</v>
      </c>
      <c r="Z51">
        <v>124.038534</v>
      </c>
      <c r="AA51">
        <v>130.0711968</v>
      </c>
      <c r="AB51">
        <v>133.62324419999999</v>
      </c>
      <c r="AC51">
        <v>107.4370436</v>
      </c>
      <c r="AD51">
        <v>125.64286749999999</v>
      </c>
      <c r="AE51">
        <v>128.6454775</v>
      </c>
      <c r="AF51">
        <v>130.50665409999999</v>
      </c>
      <c r="AG51">
        <v>131.17492300000001</v>
      </c>
      <c r="AH51">
        <v>112.0323958</v>
      </c>
      <c r="AI51">
        <v>123.6392664</v>
      </c>
      <c r="AJ51">
        <v>128.9708851</v>
      </c>
      <c r="AK51">
        <v>131.7453974</v>
      </c>
      <c r="AL51">
        <v>133.53281340000001</v>
      </c>
      <c r="AM51">
        <v>134.8661377</v>
      </c>
      <c r="AN51" s="98">
        <v>132.76684399999999</v>
      </c>
      <c r="AO51" s="98">
        <v>132.98756109999999</v>
      </c>
      <c r="AP51" s="98">
        <v>134.23514729999999</v>
      </c>
      <c r="AQ51" s="98">
        <v>136.01054210000001</v>
      </c>
      <c r="AR51" s="98">
        <v>121.84729590000001</v>
      </c>
      <c r="AS51" s="98">
        <v>130.17265330000001</v>
      </c>
      <c r="AT51">
        <v>135.1739479</v>
      </c>
      <c r="AU51">
        <v>138.80058349999999</v>
      </c>
      <c r="AV51">
        <v>141.8472787</v>
      </c>
      <c r="AW51">
        <v>144.67111560000001</v>
      </c>
    </row>
    <row r="52" spans="2:49" x14ac:dyDescent="0.25">
      <c r="B52" t="s">
        <v>303</v>
      </c>
      <c r="C52">
        <v>413.74764240035898</v>
      </c>
      <c r="D52">
        <v>420.39049462956399</v>
      </c>
      <c r="E52">
        <v>427.14</v>
      </c>
      <c r="F52">
        <v>439.57208650000001</v>
      </c>
      <c r="G52">
        <v>446.1260115</v>
      </c>
      <c r="H52">
        <v>496.31228160000001</v>
      </c>
      <c r="I52">
        <v>483.5077594</v>
      </c>
      <c r="J52">
        <v>476.02772820000001</v>
      </c>
      <c r="K52">
        <v>409.91092359999999</v>
      </c>
      <c r="L52">
        <v>387.19088379999999</v>
      </c>
      <c r="M52">
        <v>388.6416304</v>
      </c>
      <c r="N52">
        <v>364.61765150000002</v>
      </c>
      <c r="O52">
        <v>382.53283640000001</v>
      </c>
      <c r="P52">
        <v>393.2887331</v>
      </c>
      <c r="Q52">
        <v>408.52321089999998</v>
      </c>
      <c r="R52">
        <v>414.20101019999998</v>
      </c>
      <c r="S52">
        <v>420.0201442</v>
      </c>
      <c r="T52">
        <v>386.41733369999997</v>
      </c>
      <c r="U52">
        <v>419.42797940000003</v>
      </c>
      <c r="V52">
        <v>412.53971039999999</v>
      </c>
      <c r="W52">
        <v>424.60482409999997</v>
      </c>
      <c r="X52">
        <v>280.658884</v>
      </c>
      <c r="Y52">
        <v>364.08299749999998</v>
      </c>
      <c r="Z52">
        <v>387.53457639999999</v>
      </c>
      <c r="AA52">
        <v>389.14211929999999</v>
      </c>
      <c r="AB52">
        <v>381.82524480000001</v>
      </c>
      <c r="AC52">
        <v>288.05181370000003</v>
      </c>
      <c r="AD52">
        <v>330.41199710000001</v>
      </c>
      <c r="AE52">
        <v>325.22432700000002</v>
      </c>
      <c r="AF52">
        <v>316.59033269999998</v>
      </c>
      <c r="AG52">
        <v>306.60216489999999</v>
      </c>
      <c r="AH52">
        <v>247.03679629999999</v>
      </c>
      <c r="AI52">
        <v>265.51859259999998</v>
      </c>
      <c r="AJ52">
        <v>268.44386809999997</v>
      </c>
      <c r="AK52">
        <v>264.53335659999999</v>
      </c>
      <c r="AL52">
        <v>258.84287610000001</v>
      </c>
      <c r="AM52">
        <v>252.8357953</v>
      </c>
      <c r="AN52">
        <v>238.45400169999999</v>
      </c>
      <c r="AO52" s="98">
        <v>229.31867750000001</v>
      </c>
      <c r="AP52" s="98">
        <v>222.6511558</v>
      </c>
      <c r="AQ52" s="98">
        <v>217.05106520000001</v>
      </c>
      <c r="AR52" s="98">
        <v>185.65469100000001</v>
      </c>
      <c r="AS52" s="98">
        <v>191.6734822</v>
      </c>
      <c r="AT52">
        <v>191.6431766</v>
      </c>
      <c r="AU52">
        <v>189.10065839999999</v>
      </c>
      <c r="AV52">
        <v>185.7180577</v>
      </c>
      <c r="AW52">
        <v>182.10730359999999</v>
      </c>
    </row>
    <row r="53" spans="2:49" x14ac:dyDescent="0.25">
      <c r="B53" t="s">
        <v>304</v>
      </c>
      <c r="C53">
        <v>652.80183578723302</v>
      </c>
      <c r="D53">
        <v>663.28278041553403</v>
      </c>
      <c r="E53">
        <v>673.93200000000002</v>
      </c>
      <c r="F53">
        <v>694.1929318</v>
      </c>
      <c r="G53">
        <v>683.91682019999996</v>
      </c>
      <c r="H53">
        <v>752.88427669999999</v>
      </c>
      <c r="I53">
        <v>733.96165080000003</v>
      </c>
      <c r="J53">
        <v>717.06867950000003</v>
      </c>
      <c r="K53">
        <v>616.92163259999995</v>
      </c>
      <c r="L53">
        <v>581.95622130000004</v>
      </c>
      <c r="M53">
        <v>582.59543010000004</v>
      </c>
      <c r="N53">
        <v>554.21965409999996</v>
      </c>
      <c r="O53">
        <v>581.74757469999997</v>
      </c>
      <c r="P53">
        <v>606.02379440000004</v>
      </c>
      <c r="Q53">
        <v>620.21962780000001</v>
      </c>
      <c r="R53">
        <v>626.91723049999996</v>
      </c>
      <c r="S53">
        <v>619.59228240000004</v>
      </c>
      <c r="T53">
        <v>575.96798839999997</v>
      </c>
      <c r="U53">
        <v>603.16522350000002</v>
      </c>
      <c r="V53">
        <v>582.27266429999997</v>
      </c>
      <c r="W53">
        <v>595.49299389999999</v>
      </c>
      <c r="X53">
        <v>388.59280589999997</v>
      </c>
      <c r="Y53">
        <v>505.14615279999998</v>
      </c>
      <c r="Z53">
        <v>535.6974487</v>
      </c>
      <c r="AA53">
        <v>534.73604720000003</v>
      </c>
      <c r="AB53">
        <v>521.21064720000004</v>
      </c>
      <c r="AC53">
        <v>389.08822090000001</v>
      </c>
      <c r="AD53">
        <v>445.4822231</v>
      </c>
      <c r="AE53">
        <v>436.06685270000003</v>
      </c>
      <c r="AF53">
        <v>421.85149380000001</v>
      </c>
      <c r="AG53">
        <v>406.32426229999999</v>
      </c>
      <c r="AH53">
        <v>324.09200320000002</v>
      </c>
      <c r="AI53">
        <v>347.03106250000002</v>
      </c>
      <c r="AJ53">
        <v>349.03243049999998</v>
      </c>
      <c r="AK53">
        <v>341.66351959999997</v>
      </c>
      <c r="AL53">
        <v>332.06533330000002</v>
      </c>
      <c r="AM53">
        <v>322.2468667</v>
      </c>
      <c r="AN53">
        <v>301.30602119999998</v>
      </c>
      <c r="AO53" s="98">
        <v>287.35490320000002</v>
      </c>
      <c r="AP53" s="98">
        <v>276.76864469999998</v>
      </c>
      <c r="AQ53" s="98">
        <v>267.59969109999997</v>
      </c>
      <c r="AR53" s="98">
        <v>226.36140779999999</v>
      </c>
      <c r="AS53" s="98">
        <v>232.24539799999999</v>
      </c>
      <c r="AT53">
        <v>230.46390020000001</v>
      </c>
      <c r="AU53">
        <v>225.51847430000001</v>
      </c>
      <c r="AV53">
        <v>219.63015999999999</v>
      </c>
      <c r="AW53">
        <v>213.5829785</v>
      </c>
    </row>
    <row r="54" spans="2:49" x14ac:dyDescent="0.25">
      <c r="B54" t="s">
        <v>305</v>
      </c>
      <c r="C54">
        <v>643.60744373389196</v>
      </c>
      <c r="D54">
        <v>653.94076942376603</v>
      </c>
      <c r="E54">
        <v>664.44</v>
      </c>
      <c r="F54">
        <v>684.51763800000003</v>
      </c>
      <c r="G54">
        <v>672.96069829999999</v>
      </c>
      <c r="H54">
        <v>738.8949748</v>
      </c>
      <c r="I54">
        <v>720.0839995</v>
      </c>
      <c r="J54">
        <v>701.06545319999998</v>
      </c>
      <c r="K54">
        <v>602.55568659999994</v>
      </c>
      <c r="L54">
        <v>568.17861930000004</v>
      </c>
      <c r="M54">
        <v>568.46798520000004</v>
      </c>
      <c r="N54">
        <v>532.25210219999997</v>
      </c>
      <c r="O54">
        <v>559.50884080000003</v>
      </c>
      <c r="P54">
        <v>585.69183050000004</v>
      </c>
      <c r="Q54">
        <v>592.46851849999996</v>
      </c>
      <c r="R54">
        <v>600.56147420000002</v>
      </c>
      <c r="S54">
        <v>580.77849860000003</v>
      </c>
      <c r="T54">
        <v>553.63167659999999</v>
      </c>
      <c r="U54">
        <v>569.30733480000004</v>
      </c>
      <c r="V54">
        <v>544.42395499999998</v>
      </c>
      <c r="W54">
        <v>554.93400829999996</v>
      </c>
      <c r="X54">
        <v>359.7067303</v>
      </c>
      <c r="Y54">
        <v>468.08338049999998</v>
      </c>
      <c r="Z54">
        <v>495.36456459999999</v>
      </c>
      <c r="AA54">
        <v>492.86483600000003</v>
      </c>
      <c r="AB54">
        <v>478.64173030000001</v>
      </c>
      <c r="AC54">
        <v>355.25828899999999</v>
      </c>
      <c r="AD54">
        <v>406.27059589999999</v>
      </c>
      <c r="AE54">
        <v>396.41027050000002</v>
      </c>
      <c r="AF54">
        <v>382.11139179999998</v>
      </c>
      <c r="AG54">
        <v>366.87218139999999</v>
      </c>
      <c r="AH54">
        <v>290.93527760000001</v>
      </c>
      <c r="AI54">
        <v>310.81882030000003</v>
      </c>
      <c r="AJ54">
        <v>311.65731390000002</v>
      </c>
      <c r="AK54">
        <v>303.9058589</v>
      </c>
      <c r="AL54">
        <v>294.22062729999999</v>
      </c>
      <c r="AM54">
        <v>284.44622040000002</v>
      </c>
      <c r="AN54">
        <v>264.64245679999999</v>
      </c>
      <c r="AO54" s="98">
        <v>251.17862489999999</v>
      </c>
      <c r="AP54" s="98">
        <v>240.8092269</v>
      </c>
      <c r="AQ54" s="98">
        <v>231.73966490000001</v>
      </c>
      <c r="AR54" s="98">
        <v>194.8171849</v>
      </c>
      <c r="AS54" s="98">
        <v>199.15022759999999</v>
      </c>
      <c r="AT54">
        <v>196.7712339</v>
      </c>
      <c r="AU54">
        <v>191.649272</v>
      </c>
      <c r="AV54">
        <v>185.7777323</v>
      </c>
      <c r="AW54">
        <v>179.8460001</v>
      </c>
    </row>
    <row r="55" spans="2:49" x14ac:dyDescent="0.25">
      <c r="B55" t="s">
        <v>306</v>
      </c>
      <c r="C55">
        <v>413.74764240035898</v>
      </c>
      <c r="D55">
        <v>420.39049462956399</v>
      </c>
      <c r="E55">
        <v>427.14</v>
      </c>
      <c r="F55">
        <v>440.39489680000003</v>
      </c>
      <c r="G55">
        <v>424.67025519999999</v>
      </c>
      <c r="H55">
        <v>461.71424350000001</v>
      </c>
      <c r="I55">
        <v>449.97251349999999</v>
      </c>
      <c r="J55">
        <v>434.08169570000001</v>
      </c>
      <c r="K55">
        <v>372.40211820000002</v>
      </c>
      <c r="L55">
        <v>355.94600759999997</v>
      </c>
      <c r="M55">
        <v>355.34291159999998</v>
      </c>
      <c r="N55">
        <v>324.22135350000002</v>
      </c>
      <c r="O55">
        <v>341.86159120000002</v>
      </c>
      <c r="P55">
        <v>355.62000799999998</v>
      </c>
      <c r="Q55">
        <v>353.5255654</v>
      </c>
      <c r="R55">
        <v>351.79220700000002</v>
      </c>
      <c r="S55">
        <v>320.49410319999998</v>
      </c>
      <c r="T55">
        <v>319.92027100000001</v>
      </c>
      <c r="U55">
        <v>300.7715895</v>
      </c>
      <c r="V55">
        <v>279.0740437</v>
      </c>
      <c r="W55">
        <v>281.55332959999998</v>
      </c>
      <c r="X55">
        <v>178.80436109999999</v>
      </c>
      <c r="Y55">
        <v>233.4355066</v>
      </c>
      <c r="Z55">
        <v>245.5763498</v>
      </c>
      <c r="AA55">
        <v>242.0465293</v>
      </c>
      <c r="AB55">
        <v>232.62452930000001</v>
      </c>
      <c r="AC55">
        <v>169.88500930000001</v>
      </c>
      <c r="AD55">
        <v>193.71636570000001</v>
      </c>
      <c r="AE55">
        <v>187.43136229999999</v>
      </c>
      <c r="AF55">
        <v>178.9981281</v>
      </c>
      <c r="AG55">
        <v>170.49074970000001</v>
      </c>
      <c r="AH55">
        <v>133.27458189999999</v>
      </c>
      <c r="AI55">
        <v>141.63800689999999</v>
      </c>
      <c r="AJ55">
        <v>141.0188732</v>
      </c>
      <c r="AK55">
        <v>136.30992180000001</v>
      </c>
      <c r="AL55">
        <v>130.8381838</v>
      </c>
      <c r="AM55">
        <v>125.4838535</v>
      </c>
      <c r="AN55" s="98">
        <v>115.5780827</v>
      </c>
      <c r="AO55" s="98">
        <v>108.69723310000001</v>
      </c>
      <c r="AP55" s="98">
        <v>103.3534722</v>
      </c>
      <c r="AQ55" s="98">
        <v>98.684211669999996</v>
      </c>
      <c r="AR55" s="98">
        <v>82.164153740000003</v>
      </c>
      <c r="AS55" s="98">
        <v>83.594253170000002</v>
      </c>
      <c r="AT55">
        <v>82.167541040000003</v>
      </c>
      <c r="AU55">
        <v>79.62750011</v>
      </c>
      <c r="AV55">
        <v>76.861120650000004</v>
      </c>
      <c r="AW55">
        <v>74.160343639999894</v>
      </c>
    </row>
    <row r="56" spans="2:49" x14ac:dyDescent="0.25">
      <c r="B56" t="s">
        <v>307</v>
      </c>
      <c r="C56">
        <v>137.915880800119</v>
      </c>
      <c r="D56">
        <v>140.13016487652101</v>
      </c>
      <c r="E56">
        <v>142.38</v>
      </c>
      <c r="F56">
        <v>147.16249869999999</v>
      </c>
      <c r="G56">
        <v>133.60343839999999</v>
      </c>
      <c r="H56">
        <v>140.7802724</v>
      </c>
      <c r="I56">
        <v>137.1976794</v>
      </c>
      <c r="J56">
        <v>128.43932839999999</v>
      </c>
      <c r="K56">
        <v>109.50174079999999</v>
      </c>
      <c r="L56">
        <v>101.5655241</v>
      </c>
      <c r="M56">
        <v>100.5746879</v>
      </c>
      <c r="N56">
        <v>88.266986189999997</v>
      </c>
      <c r="O56">
        <v>92.747900479999998</v>
      </c>
      <c r="P56">
        <v>104.8830356</v>
      </c>
      <c r="Q56">
        <v>101.3118142</v>
      </c>
      <c r="R56">
        <v>97.94161278</v>
      </c>
      <c r="S56">
        <v>79.588241620000005</v>
      </c>
      <c r="T56">
        <v>54.243884540000003</v>
      </c>
      <c r="U56">
        <v>39.606495299999999</v>
      </c>
      <c r="V56">
        <v>32.211397349999999</v>
      </c>
      <c r="W56">
        <v>31.045029270000001</v>
      </c>
      <c r="X56">
        <v>17.98110286</v>
      </c>
      <c r="Y56">
        <v>23.82126298</v>
      </c>
      <c r="Z56">
        <v>24.386577920000001</v>
      </c>
      <c r="AA56">
        <v>23.017718299999999</v>
      </c>
      <c r="AB56">
        <v>21.079136630000001</v>
      </c>
      <c r="AC56">
        <v>14.27507932</v>
      </c>
      <c r="AD56">
        <v>16.048843250000001</v>
      </c>
      <c r="AE56">
        <v>14.91679856</v>
      </c>
      <c r="AF56">
        <v>13.624678319999999</v>
      </c>
      <c r="AG56">
        <v>12.484183160000001</v>
      </c>
      <c r="AH56">
        <v>9.1067843919999998</v>
      </c>
      <c r="AI56">
        <v>9.4303815719999999</v>
      </c>
      <c r="AJ56">
        <v>9.0700665780000005</v>
      </c>
      <c r="AK56">
        <v>8.4019076449999996</v>
      </c>
      <c r="AL56">
        <v>7.73662195</v>
      </c>
      <c r="AM56" s="98">
        <v>7.139046198</v>
      </c>
      <c r="AN56" s="98">
        <v>6.2655107230000002</v>
      </c>
      <c r="AO56" s="98">
        <v>5.6409166050000001</v>
      </c>
      <c r="AP56" s="98">
        <v>5.158595772</v>
      </c>
      <c r="AQ56" s="98">
        <v>4.7489496139999998</v>
      </c>
      <c r="AR56" s="98">
        <v>3.7867474880000001</v>
      </c>
      <c r="AS56">
        <v>3.7664092610000002</v>
      </c>
      <c r="AT56">
        <v>3.6138297289999999</v>
      </c>
      <c r="AU56">
        <v>3.4224893750000001</v>
      </c>
      <c r="AV56">
        <v>3.2394876799999999</v>
      </c>
      <c r="AW56">
        <v>3.0761722589999998</v>
      </c>
    </row>
    <row r="57" spans="2:49" x14ac:dyDescent="0.25">
      <c r="B57" t="s">
        <v>308</v>
      </c>
      <c r="C57">
        <v>34.478970200029899</v>
      </c>
      <c r="D57">
        <v>35.032541219130302</v>
      </c>
      <c r="E57">
        <v>35.594999999999999</v>
      </c>
      <c r="F57">
        <v>36.659401680000002</v>
      </c>
      <c r="G57">
        <v>28.56130361</v>
      </c>
      <c r="H57" s="98">
        <v>28.83080863</v>
      </c>
      <c r="I57">
        <v>27.308555500000001</v>
      </c>
      <c r="J57">
        <v>22.197851660000001</v>
      </c>
      <c r="K57">
        <v>17.81496812</v>
      </c>
      <c r="L57">
        <v>13.202996410000001</v>
      </c>
      <c r="M57">
        <v>12.86822156</v>
      </c>
      <c r="N57">
        <v>14.94489276</v>
      </c>
      <c r="O57">
        <v>15.17391155</v>
      </c>
      <c r="P57">
        <v>21.058136730000001</v>
      </c>
      <c r="Q57">
        <v>17.660118570000002</v>
      </c>
      <c r="R57">
        <v>14.161210069999999</v>
      </c>
      <c r="S57">
        <v>9.1546052109999998</v>
      </c>
      <c r="T57">
        <v>2.6834415040000001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s="98">
        <v>0</v>
      </c>
      <c r="AM57" s="98">
        <v>0</v>
      </c>
      <c r="AN57" s="98">
        <v>0</v>
      </c>
      <c r="AO57" s="98">
        <v>0</v>
      </c>
      <c r="AP57" s="98">
        <v>0</v>
      </c>
      <c r="AQ57" s="98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2:49" x14ac:dyDescent="0.25">
      <c r="B58" t="s">
        <v>309</v>
      </c>
      <c r="C58" s="98">
        <v>1.1492990066676601</v>
      </c>
      <c r="D58" s="98">
        <v>1.1677513739710099</v>
      </c>
      <c r="E58" s="98">
        <v>1.1865000000000001</v>
      </c>
      <c r="F58" s="98">
        <v>1.918804285</v>
      </c>
      <c r="G58" s="98">
        <v>3.4072075320000001</v>
      </c>
      <c r="H58" s="98">
        <v>5.4995136640000002</v>
      </c>
      <c r="I58">
        <v>7.6444193030000003</v>
      </c>
      <c r="J58">
        <v>10.54221948</v>
      </c>
      <c r="K58" s="98">
        <v>12.81904888</v>
      </c>
      <c r="L58" s="98">
        <v>16.478452910000001</v>
      </c>
      <c r="M58">
        <v>21.893491619999999</v>
      </c>
      <c r="N58">
        <v>26.729874540000001</v>
      </c>
      <c r="O58">
        <v>36.531759559999998</v>
      </c>
      <c r="P58">
        <v>49.592759770000001</v>
      </c>
      <c r="Q58">
        <v>65.852871870000001</v>
      </c>
      <c r="R58">
        <v>85.804876140000005</v>
      </c>
      <c r="S58">
        <v>107.690978</v>
      </c>
      <c r="T58">
        <v>128.2423881</v>
      </c>
      <c r="U58">
        <v>169.11827210000001</v>
      </c>
      <c r="V58">
        <v>206.31191720000001</v>
      </c>
      <c r="W58">
        <v>264.5265958</v>
      </c>
      <c r="X58">
        <v>214.6997925</v>
      </c>
      <c r="Y58">
        <v>343.11544570000001</v>
      </c>
      <c r="Z58">
        <v>442.96238110000002</v>
      </c>
      <c r="AA58">
        <v>532.21691740000006</v>
      </c>
      <c r="AB58">
        <v>616.97302649999995</v>
      </c>
      <c r="AC58">
        <v>541.51514650000001</v>
      </c>
      <c r="AD58">
        <v>719.03280559999996</v>
      </c>
      <c r="AE58">
        <v>807.55390969999996</v>
      </c>
      <c r="AF58">
        <v>886.73313570000005</v>
      </c>
      <c r="AG58">
        <v>959.54172759999994</v>
      </c>
      <c r="AH58">
        <v>853.27728560000003</v>
      </c>
      <c r="AI58">
        <v>1007.989872</v>
      </c>
      <c r="AJ58">
        <v>1110.4970430000001</v>
      </c>
      <c r="AK58">
        <v>1183.3226520000001</v>
      </c>
      <c r="AL58">
        <v>1244.5291689999999</v>
      </c>
      <c r="AM58">
        <v>1299.876661</v>
      </c>
      <c r="AN58">
        <v>1303.562199</v>
      </c>
      <c r="AO58">
        <v>1327.7757059999999</v>
      </c>
      <c r="AP58">
        <v>1360.7109849999999</v>
      </c>
      <c r="AQ58">
        <v>1395.4242819999999</v>
      </c>
      <c r="AR58">
        <v>1250.2504280000001</v>
      </c>
      <c r="AS58">
        <v>1352.3346309999999</v>
      </c>
      <c r="AT58">
        <v>1412.5601360000001</v>
      </c>
      <c r="AU58">
        <v>1452.7548429999999</v>
      </c>
      <c r="AV58">
        <v>1484.472716</v>
      </c>
      <c r="AW58">
        <v>1512.245766</v>
      </c>
    </row>
    <row r="59" spans="2:49" x14ac:dyDescent="0.25">
      <c r="B59" t="s">
        <v>310</v>
      </c>
      <c r="C59" s="98">
        <v>3.4228836395600501E-3</v>
      </c>
      <c r="D59" s="98">
        <v>3.4778391435562701E-3</v>
      </c>
      <c r="E59" s="98">
        <v>3.5336769799999999E-3</v>
      </c>
      <c r="F59" s="98">
        <v>4.6106087200000001E-3</v>
      </c>
      <c r="G59" s="98">
        <v>1.07752649E-2</v>
      </c>
      <c r="H59" s="98">
        <v>3.4400642100000003E-2</v>
      </c>
      <c r="I59" s="98">
        <v>5.5078119100000003E-2</v>
      </c>
      <c r="J59" s="98">
        <v>8.3592569000000005E-2</v>
      </c>
      <c r="K59" s="98">
        <v>0.1039893616</v>
      </c>
      <c r="L59" s="98">
        <v>0.14666946319999999</v>
      </c>
      <c r="M59">
        <v>0.22768230649999999</v>
      </c>
      <c r="N59">
        <v>0.30599220490000001</v>
      </c>
      <c r="O59">
        <v>0.44624284870000003</v>
      </c>
      <c r="P59">
        <v>0.26421785599999997</v>
      </c>
      <c r="Q59">
        <v>0.42645718869999999</v>
      </c>
      <c r="R59">
        <v>0.71192787680000003</v>
      </c>
      <c r="S59">
        <v>1.12867742</v>
      </c>
      <c r="T59">
        <v>1.675050428</v>
      </c>
      <c r="U59">
        <v>4.1351391309999999</v>
      </c>
      <c r="V59">
        <v>6.6985330459999997</v>
      </c>
      <c r="W59">
        <v>9.1624902200000005</v>
      </c>
      <c r="X59">
        <v>8.6338407569999998</v>
      </c>
      <c r="Y59">
        <v>13.516854240000001</v>
      </c>
      <c r="Z59">
        <v>18.243010300000002</v>
      </c>
      <c r="AA59">
        <v>23.181212259999999</v>
      </c>
      <c r="AB59">
        <v>28.423767120000001</v>
      </c>
      <c r="AC59">
        <v>27.3760093</v>
      </c>
      <c r="AD59">
        <v>36.832000180000001</v>
      </c>
      <c r="AE59">
        <v>43.391137880000002</v>
      </c>
      <c r="AF59">
        <v>49.923905230000003</v>
      </c>
      <c r="AG59">
        <v>56.631059909999998</v>
      </c>
      <c r="AH59">
        <v>53.975233840000001</v>
      </c>
      <c r="AI59">
        <v>65.283618509999997</v>
      </c>
      <c r="AJ59">
        <v>74.753614720000002</v>
      </c>
      <c r="AK59">
        <v>83.122922509999995</v>
      </c>
      <c r="AL59">
        <v>91.202330570000001</v>
      </c>
      <c r="AM59">
        <v>99.254024939999894</v>
      </c>
      <c r="AN59">
        <v>104.90149630000001</v>
      </c>
      <c r="AO59">
        <v>112.08964779999999</v>
      </c>
      <c r="AP59">
        <v>120.21712290000001</v>
      </c>
      <c r="AQ59">
        <v>128.82908560000001</v>
      </c>
      <c r="AR59">
        <v>122.2251538</v>
      </c>
      <c r="AS59">
        <v>136.41369950000001</v>
      </c>
      <c r="AT59">
        <v>147.99845959999999</v>
      </c>
      <c r="AU59">
        <v>158.3545972</v>
      </c>
      <c r="AV59">
        <v>168.29648030000001</v>
      </c>
      <c r="AW59">
        <v>178.20177169999999</v>
      </c>
    </row>
    <row r="60" spans="2:49" x14ac:dyDescent="0.25">
      <c r="B60" t="s">
        <v>311</v>
      </c>
      <c r="C60" s="98">
        <v>7.8463024968376607E-3</v>
      </c>
      <c r="D60" s="98">
        <v>7.9722774213828399E-3</v>
      </c>
      <c r="E60" s="98">
        <v>8.10027491E-3</v>
      </c>
      <c r="F60" s="98">
        <v>1.23388587E-2</v>
      </c>
      <c r="G60" s="98">
        <v>2.3693197400000001E-2</v>
      </c>
      <c r="H60" s="98">
        <v>4.9880066000000001E-2</v>
      </c>
      <c r="I60" s="98">
        <v>7.42655433E-2</v>
      </c>
      <c r="J60" s="98">
        <v>0.10752689510000001</v>
      </c>
      <c r="K60" s="98">
        <v>0.1323251409</v>
      </c>
      <c r="L60" s="98">
        <v>0.1788206483</v>
      </c>
      <c r="M60">
        <v>0.25951215859999999</v>
      </c>
      <c r="N60">
        <v>0.33546905700000001</v>
      </c>
      <c r="O60">
        <v>0.47706966360000003</v>
      </c>
      <c r="P60">
        <v>0.41845436060000002</v>
      </c>
      <c r="Q60">
        <v>0.60716342030000003</v>
      </c>
      <c r="R60">
        <v>0.89638748899999998</v>
      </c>
      <c r="S60">
        <v>1.2823267300000001</v>
      </c>
      <c r="T60">
        <v>1.7464275440000001</v>
      </c>
      <c r="U60">
        <v>3.544550863</v>
      </c>
      <c r="V60">
        <v>5.3464766509999997</v>
      </c>
      <c r="W60">
        <v>7.2015927169999996</v>
      </c>
      <c r="X60">
        <v>6.5547202169999998</v>
      </c>
      <c r="Y60">
        <v>10.31056433</v>
      </c>
      <c r="Z60">
        <v>13.77426219</v>
      </c>
      <c r="AA60">
        <v>17.279789149999999</v>
      </c>
      <c r="AB60">
        <v>20.9174547</v>
      </c>
      <c r="AC60">
        <v>19.721051469999999</v>
      </c>
      <c r="AD60">
        <v>26.452338340000001</v>
      </c>
      <c r="AE60">
        <v>30.819018610000001</v>
      </c>
      <c r="AF60">
        <v>35.072443159999999</v>
      </c>
      <c r="AG60">
        <v>39.34110227</v>
      </c>
      <c r="AH60">
        <v>36.871441849999997</v>
      </c>
      <c r="AI60">
        <v>44.337658490000003</v>
      </c>
      <c r="AJ60">
        <v>50.281420490000002</v>
      </c>
      <c r="AK60">
        <v>55.30668515</v>
      </c>
      <c r="AL60">
        <v>60.016204989999999</v>
      </c>
      <c r="AM60">
        <v>64.601689120000003</v>
      </c>
      <c r="AN60">
        <v>67.298455880000006</v>
      </c>
      <c r="AO60">
        <v>70.937069809999997</v>
      </c>
      <c r="AP60">
        <v>75.068586539999998</v>
      </c>
      <c r="AQ60">
        <v>79.375198280000006</v>
      </c>
      <c r="AR60">
        <v>73.950203880000004</v>
      </c>
      <c r="AS60">
        <v>81.686190940000003</v>
      </c>
      <c r="AT60">
        <v>87.487077130000003</v>
      </c>
      <c r="AU60">
        <v>92.312094279999997</v>
      </c>
      <c r="AV60">
        <v>96.706871730000003</v>
      </c>
      <c r="AW60">
        <v>100.9044493</v>
      </c>
    </row>
    <row r="61" spans="2:49" x14ac:dyDescent="0.25">
      <c r="B61" t="s">
        <v>312</v>
      </c>
      <c r="C61" s="98">
        <v>3.2122446463563603E-2</v>
      </c>
      <c r="D61" s="98">
        <v>3.2638182731835802E-2</v>
      </c>
      <c r="E61" s="98">
        <v>3.31621993E-2</v>
      </c>
      <c r="F61" s="98">
        <v>5.33060323E-2</v>
      </c>
      <c r="G61" s="98">
        <v>9.5413094899999995E-2</v>
      </c>
      <c r="H61" s="98">
        <v>0.1588339355</v>
      </c>
      <c r="I61" s="98">
        <v>0.22277554890000001</v>
      </c>
      <c r="J61" s="98">
        <v>0.30894819839999998</v>
      </c>
      <c r="K61" s="98">
        <v>0.37625445749999997</v>
      </c>
      <c r="L61" s="98">
        <v>0.48686096600000001</v>
      </c>
      <c r="M61">
        <v>0.65475557070000001</v>
      </c>
      <c r="N61">
        <v>0.80597946659999997</v>
      </c>
      <c r="O61">
        <v>1.108008071</v>
      </c>
      <c r="P61">
        <v>1.4194814140000001</v>
      </c>
      <c r="Q61">
        <v>1.9059416119999999</v>
      </c>
      <c r="R61">
        <v>2.5224043780000001</v>
      </c>
      <c r="S61">
        <v>3.2227237369999999</v>
      </c>
      <c r="T61">
        <v>3.9142481359999999</v>
      </c>
      <c r="U61">
        <v>5.5445657070000003</v>
      </c>
      <c r="V61">
        <v>7.0170375590000003</v>
      </c>
      <c r="W61">
        <v>9.0709678960000009</v>
      </c>
      <c r="X61">
        <v>7.4945908049999996</v>
      </c>
      <c r="Y61">
        <v>11.94936498</v>
      </c>
      <c r="Z61" s="98">
        <v>15.503433100000001</v>
      </c>
      <c r="AA61">
        <v>18.73711793</v>
      </c>
      <c r="AB61">
        <v>21.838027619999998</v>
      </c>
      <c r="AC61">
        <v>19.31029972</v>
      </c>
      <c r="AD61">
        <v>25.663093230000001</v>
      </c>
      <c r="AE61">
        <v>28.902279419999999</v>
      </c>
      <c r="AF61">
        <v>31.798911879999999</v>
      </c>
      <c r="AG61">
        <v>34.449853930000003</v>
      </c>
      <c r="AH61">
        <v>30.632378750000001</v>
      </c>
      <c r="AI61">
        <v>36.165619540000002</v>
      </c>
      <c r="AJ61">
        <v>39.778687929999997</v>
      </c>
      <c r="AK61">
        <v>42.26552959</v>
      </c>
      <c r="AL61">
        <v>44.269000749999996</v>
      </c>
      <c r="AM61">
        <v>45.991357669999999</v>
      </c>
      <c r="AN61">
        <v>45.707978199999999</v>
      </c>
      <c r="AO61">
        <v>46.063935790000002</v>
      </c>
      <c r="AP61">
        <v>46.616544810000001</v>
      </c>
      <c r="AQ61">
        <v>47.105678089999998</v>
      </c>
      <c r="AR61">
        <v>41.221314560000003</v>
      </c>
      <c r="AS61">
        <v>43.90963996</v>
      </c>
      <c r="AT61">
        <v>44.906904019999999</v>
      </c>
      <c r="AU61">
        <v>45.02628017</v>
      </c>
      <c r="AV61">
        <v>44.689855770000001</v>
      </c>
      <c r="AW61">
        <v>44.050894720000002</v>
      </c>
    </row>
    <row r="62" spans="2:49" x14ac:dyDescent="0.25">
      <c r="B62" t="s">
        <v>313</v>
      </c>
      <c r="C62" s="98">
        <v>0.75461419315223899</v>
      </c>
      <c r="D62" s="98">
        <v>0.76672976811017601</v>
      </c>
      <c r="E62" s="98">
        <v>0.77903986250000001</v>
      </c>
      <c r="F62" s="98">
        <v>1.2598570149999999</v>
      </c>
      <c r="G62" s="98">
        <v>2.2371273930000002</v>
      </c>
      <c r="H62" s="98">
        <v>3.6107876779999999</v>
      </c>
      <c r="I62">
        <v>5.0189290120000001</v>
      </c>
      <c r="J62">
        <v>6.9130316709999997</v>
      </c>
      <c r="K62" s="98">
        <v>8.4048575309999904</v>
      </c>
      <c r="L62" s="98">
        <v>10.797498409999999</v>
      </c>
      <c r="M62">
        <v>14.32880482</v>
      </c>
      <c r="N62">
        <v>17.47961815</v>
      </c>
      <c r="O62">
        <v>23.87486474</v>
      </c>
      <c r="P62">
        <v>32.561452860000003</v>
      </c>
      <c r="Q62">
        <v>43.236455380000002</v>
      </c>
      <c r="R62">
        <v>56.250163479999998</v>
      </c>
      <c r="S62">
        <v>70.476843720000005</v>
      </c>
      <c r="T62">
        <v>83.754670730000001</v>
      </c>
      <c r="U62">
        <v>109.42729490000001</v>
      </c>
      <c r="V62">
        <v>132.5898799</v>
      </c>
      <c r="W62">
        <v>169.6852298</v>
      </c>
      <c r="X62">
        <v>137.055545</v>
      </c>
      <c r="Y62">
        <v>219.1882334</v>
      </c>
      <c r="Z62">
        <v>282.52783959999999</v>
      </c>
      <c r="AA62">
        <v>338.74542739999998</v>
      </c>
      <c r="AB62">
        <v>391.81483539999999</v>
      </c>
      <c r="AC62">
        <v>342.51543299999997</v>
      </c>
      <c r="AD62">
        <v>454.5231895</v>
      </c>
      <c r="AE62">
        <v>509.32411109999998</v>
      </c>
      <c r="AF62">
        <v>557.95783540000002</v>
      </c>
      <c r="AG62">
        <v>602.27377569999999</v>
      </c>
      <c r="AH62">
        <v>533.49287179999999</v>
      </c>
      <c r="AI62">
        <v>629.34536330000003</v>
      </c>
      <c r="AJ62">
        <v>691.71081230000004</v>
      </c>
      <c r="AK62">
        <v>735.06687869999996</v>
      </c>
      <c r="AL62">
        <v>770.89827049999997</v>
      </c>
      <c r="AM62">
        <v>802.86585339999999</v>
      </c>
      <c r="AN62">
        <v>802.02994179999996</v>
      </c>
      <c r="AO62">
        <v>813.88851520000003</v>
      </c>
      <c r="AP62">
        <v>830.97709850000001</v>
      </c>
      <c r="AQ62">
        <v>848.96496609999997</v>
      </c>
      <c r="AR62">
        <v>756.71219199999996</v>
      </c>
      <c r="AS62">
        <v>816.07091560000003</v>
      </c>
      <c r="AT62">
        <v>849.24320130000001</v>
      </c>
      <c r="AU62">
        <v>869.88238330000001</v>
      </c>
      <c r="AV62">
        <v>885.16639840000005</v>
      </c>
      <c r="AW62">
        <v>897.87908330000005</v>
      </c>
    </row>
    <row r="63" spans="2:49" x14ac:dyDescent="0.25">
      <c r="B63" t="s">
        <v>314</v>
      </c>
      <c r="C63" s="98">
        <v>0.29742225840361802</v>
      </c>
      <c r="D63" s="98">
        <v>0.302197468966243</v>
      </c>
      <c r="E63" s="98">
        <v>0.30704934709999998</v>
      </c>
      <c r="F63" s="98">
        <v>0.49715392930000002</v>
      </c>
      <c r="G63" s="98">
        <v>0.88139814240000003</v>
      </c>
      <c r="H63" s="98">
        <v>1.413398283</v>
      </c>
      <c r="I63" s="98">
        <v>1.9606619000000001</v>
      </c>
      <c r="J63" s="98">
        <v>2.6964084740000001</v>
      </c>
      <c r="K63" s="98">
        <v>3.2770120519999999</v>
      </c>
      <c r="L63" s="98">
        <v>4.202795214</v>
      </c>
      <c r="M63">
        <v>5.5593738689999999</v>
      </c>
      <c r="N63">
        <v>6.7665049100000001</v>
      </c>
      <c r="O63">
        <v>9.2267853869999996</v>
      </c>
      <c r="P63">
        <v>12.77069401</v>
      </c>
      <c r="Q63">
        <v>16.916500760000002</v>
      </c>
      <c r="R63">
        <v>21.92299392</v>
      </c>
      <c r="S63">
        <v>27.33923441</v>
      </c>
      <c r="T63">
        <v>32.308653100000001</v>
      </c>
      <c r="U63">
        <v>41.156362389999998</v>
      </c>
      <c r="V63">
        <v>48.961705500000001</v>
      </c>
      <c r="W63">
        <v>62.346208930000003</v>
      </c>
      <c r="X63">
        <v>49.707401560000001</v>
      </c>
      <c r="Y63">
        <v>79.64770704</v>
      </c>
      <c r="Z63">
        <v>102.23490580000001</v>
      </c>
      <c r="AA63">
        <v>121.89787490000001</v>
      </c>
      <c r="AB63">
        <v>140.16454619999999</v>
      </c>
      <c r="AC63">
        <v>121.24159419999999</v>
      </c>
      <c r="AD63">
        <v>160.6356964</v>
      </c>
      <c r="AE63">
        <v>178.94302999999999</v>
      </c>
      <c r="AF63">
        <v>194.8472931</v>
      </c>
      <c r="AG63">
        <v>208.98317660000001</v>
      </c>
      <c r="AH63">
        <v>183.28711089999999</v>
      </c>
      <c r="AI63">
        <v>215.45704480000001</v>
      </c>
      <c r="AJ63">
        <v>235.40630659999999</v>
      </c>
      <c r="AK63">
        <v>248.46896899999999</v>
      </c>
      <c r="AL63">
        <v>258.76519239999999</v>
      </c>
      <c r="AM63">
        <v>267.60998890000002</v>
      </c>
      <c r="AN63">
        <v>264.85567959999997</v>
      </c>
      <c r="AO63">
        <v>266.4176784</v>
      </c>
      <c r="AP63">
        <v>269.67498269999999</v>
      </c>
      <c r="AQ63">
        <v>273.16063709999997</v>
      </c>
      <c r="AR63">
        <v>240.7029527</v>
      </c>
      <c r="AS63">
        <v>257.92654959999999</v>
      </c>
      <c r="AT63">
        <v>266.30897900000002</v>
      </c>
      <c r="AU63">
        <v>270.52555089999998</v>
      </c>
      <c r="AV63">
        <v>272.99825679999998</v>
      </c>
      <c r="AW63">
        <v>274.6502643</v>
      </c>
    </row>
    <row r="64" spans="2:49" x14ac:dyDescent="0.25">
      <c r="B64" t="s">
        <v>315</v>
      </c>
      <c r="C64" s="98">
        <v>4.0548006191711396E-3</v>
      </c>
      <c r="D64">
        <v>4.1199017546743504E-3</v>
      </c>
      <c r="E64">
        <v>4.1860481099999999E-3</v>
      </c>
      <c r="F64">
        <v>7.6133158799999998E-3</v>
      </c>
      <c r="G64">
        <v>1.15422509E-2</v>
      </c>
      <c r="H64" s="98">
        <v>5.79756677E-3</v>
      </c>
      <c r="I64">
        <v>2.65181165E-3</v>
      </c>
      <c r="J64">
        <v>1.05296205E-2</v>
      </c>
      <c r="K64">
        <v>1.28019907E-2</v>
      </c>
      <c r="L64">
        <v>1.6446918099999999E-2</v>
      </c>
      <c r="M64">
        <v>2.1827522700000001E-2</v>
      </c>
      <c r="N64">
        <v>2.6628965800000001E-2</v>
      </c>
      <c r="O64" s="98">
        <v>3.6373590400000003E-2</v>
      </c>
      <c r="P64">
        <v>8.6743049099999997E-2</v>
      </c>
      <c r="Q64" s="98">
        <v>5.8573212999999999E-2</v>
      </c>
      <c r="R64" s="98">
        <v>8.5678939400000001E-2</v>
      </c>
      <c r="S64" s="98">
        <v>0.1073601099</v>
      </c>
      <c r="T64">
        <v>0.1276091926</v>
      </c>
      <c r="U64">
        <v>0.16696291090000001</v>
      </c>
      <c r="V64">
        <v>0.20263794660000001</v>
      </c>
      <c r="W64">
        <v>0.25947028779999998</v>
      </c>
      <c r="X64">
        <v>0.2099017467</v>
      </c>
      <c r="Y64">
        <v>0.33560664130000001</v>
      </c>
      <c r="Z64">
        <v>0.4328221626</v>
      </c>
      <c r="AA64">
        <v>0.5193381909</v>
      </c>
      <c r="AB64">
        <v>0.60121138620000003</v>
      </c>
      <c r="AC64">
        <v>0.52642849319999996</v>
      </c>
      <c r="AD64">
        <v>0.69875933540000001</v>
      </c>
      <c r="AE64">
        <v>0.78378970940000003</v>
      </c>
      <c r="AF64">
        <v>0.85955324720000004</v>
      </c>
      <c r="AG64">
        <v>0.92892750280000003</v>
      </c>
      <c r="AH64">
        <v>0.82445853020000004</v>
      </c>
      <c r="AI64">
        <v>0.97329951240000001</v>
      </c>
      <c r="AJ64">
        <v>1.0711089789999999</v>
      </c>
      <c r="AK64">
        <v>1.1399718670000001</v>
      </c>
      <c r="AL64">
        <v>1.19749393</v>
      </c>
      <c r="AM64">
        <v>1.249291148</v>
      </c>
      <c r="AN64">
        <v>1.25097653</v>
      </c>
      <c r="AO64">
        <v>1.2725089460000001</v>
      </c>
      <c r="AP64">
        <v>1.302438942</v>
      </c>
      <c r="AQ64">
        <v>1.334076126</v>
      </c>
      <c r="AR64">
        <v>1.1934831050000001</v>
      </c>
      <c r="AS64">
        <v>1.289896291</v>
      </c>
      <c r="AT64">
        <v>1.346066303</v>
      </c>
      <c r="AU64">
        <v>1.3830475790000001</v>
      </c>
      <c r="AV64">
        <v>1.4119555070000001</v>
      </c>
      <c r="AW64">
        <v>1.4371372</v>
      </c>
    </row>
    <row r="65" spans="2:49" x14ac:dyDescent="0.25">
      <c r="B65" t="s">
        <v>316</v>
      </c>
      <c r="C65" s="98">
        <v>4.9816121892674002E-2</v>
      </c>
      <c r="D65" s="98">
        <v>5.0615935843142099E-2</v>
      </c>
      <c r="E65" s="98">
        <v>5.1428591099999997E-2</v>
      </c>
      <c r="F65" s="98">
        <v>8.3924524799999997E-2</v>
      </c>
      <c r="G65" s="98">
        <v>0.1472581872</v>
      </c>
      <c r="H65" s="98">
        <v>0.22641549350000001</v>
      </c>
      <c r="I65" s="98">
        <v>0.31005736699999997</v>
      </c>
      <c r="J65" s="98">
        <v>0.422182051</v>
      </c>
      <c r="K65" s="98">
        <v>0.51180835049999995</v>
      </c>
      <c r="L65" s="98">
        <v>0.64936129310000001</v>
      </c>
      <c r="M65" s="98">
        <v>0.84153537759999997</v>
      </c>
      <c r="N65" s="98">
        <v>1.0096817890000001</v>
      </c>
      <c r="O65" s="98">
        <v>1.3624152570000001</v>
      </c>
      <c r="P65" s="98">
        <v>2.0717162170000001</v>
      </c>
      <c r="Q65" s="98">
        <v>2.7017802899999999</v>
      </c>
      <c r="R65" s="98">
        <v>3.4153200620000002</v>
      </c>
      <c r="S65" s="98">
        <v>4.1338118430000002</v>
      </c>
      <c r="T65" s="98">
        <v>4.7157289909999998</v>
      </c>
      <c r="U65" s="98">
        <v>5.1433961799999999</v>
      </c>
      <c r="V65" s="98">
        <v>5.4956465699999999</v>
      </c>
      <c r="W65" s="98">
        <v>6.8006359500000002</v>
      </c>
      <c r="X65" s="98">
        <v>5.0437915950000001</v>
      </c>
      <c r="Y65" s="98">
        <v>8.1671149540000005</v>
      </c>
      <c r="Z65" s="98">
        <v>10.24610792</v>
      </c>
      <c r="AA65" s="98">
        <v>11.856157659999999</v>
      </c>
      <c r="AB65" s="98">
        <v>13.213184050000001</v>
      </c>
      <c r="AC65" s="98">
        <v>10.82433043</v>
      </c>
      <c r="AD65" s="98">
        <v>14.22772921</v>
      </c>
      <c r="AE65" s="98">
        <v>15.390543040000001</v>
      </c>
      <c r="AF65" s="98">
        <v>16.273193729999999</v>
      </c>
      <c r="AG65" s="98">
        <v>16.933831699999999</v>
      </c>
      <c r="AH65" s="98">
        <v>14.19379</v>
      </c>
      <c r="AI65" s="98">
        <v>16.427266960000001</v>
      </c>
      <c r="AJ65" s="98">
        <v>17.495091949999999</v>
      </c>
      <c r="AK65" s="98">
        <v>17.951694969999998</v>
      </c>
      <c r="AL65" s="98">
        <v>18.18067563</v>
      </c>
      <c r="AM65" s="98">
        <v>18.304455770000001</v>
      </c>
      <c r="AN65" s="98">
        <v>17.517671050000001</v>
      </c>
      <c r="AO65" s="98">
        <v>17.106350320000001</v>
      </c>
      <c r="AP65" s="98">
        <v>16.854211169999999</v>
      </c>
      <c r="AQ65" s="98">
        <v>16.654640629999999</v>
      </c>
      <c r="AR65" s="98">
        <v>14.24512715</v>
      </c>
      <c r="AS65" s="98">
        <v>15.03773876</v>
      </c>
      <c r="AT65" s="98">
        <v>15.269448690000001</v>
      </c>
      <c r="AU65" s="98">
        <v>15.27089007</v>
      </c>
      <c r="AV65" s="98">
        <v>15.20289747</v>
      </c>
      <c r="AW65">
        <v>15.122165430000001</v>
      </c>
    </row>
    <row r="66" spans="2:49" x14ac:dyDescent="0.25">
      <c r="B66" t="s">
        <v>317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2:49" x14ac:dyDescent="0.25">
      <c r="B67" t="s">
        <v>318</v>
      </c>
      <c r="C67">
        <v>5.2121797950038999</v>
      </c>
      <c r="D67">
        <v>5.29586302754001</v>
      </c>
      <c r="E67">
        <v>5.3808898210000002</v>
      </c>
      <c r="F67">
        <v>5.4346088119999996</v>
      </c>
      <c r="G67">
        <v>4.4695707469999997</v>
      </c>
      <c r="H67">
        <v>3.8779467649999999</v>
      </c>
      <c r="I67">
        <v>3.8538146050000002</v>
      </c>
      <c r="J67">
        <v>3.6766022729999999</v>
      </c>
      <c r="K67">
        <v>3.5439211679999998</v>
      </c>
      <c r="L67">
        <v>3.8152523490000001</v>
      </c>
      <c r="M67">
        <v>3.9328151839999999</v>
      </c>
      <c r="N67">
        <v>4.013633306</v>
      </c>
      <c r="O67">
        <v>3.0982863460000001</v>
      </c>
      <c r="P67">
        <v>2.556619719</v>
      </c>
      <c r="Q67">
        <v>2.2088064599999999</v>
      </c>
      <c r="R67">
        <v>1.986514967</v>
      </c>
      <c r="S67">
        <v>1.783196545</v>
      </c>
      <c r="T67">
        <v>1.7495211079999999</v>
      </c>
      <c r="U67">
        <v>1.732157578</v>
      </c>
      <c r="V67">
        <v>1.731715334</v>
      </c>
      <c r="W67">
        <v>1.6880326960000001</v>
      </c>
      <c r="X67">
        <v>1.6284517590000001</v>
      </c>
      <c r="Y67">
        <v>1.622572763</v>
      </c>
      <c r="Z67">
        <v>1.6297901809999999</v>
      </c>
      <c r="AA67">
        <v>1.637764126</v>
      </c>
      <c r="AB67">
        <v>1.6444340909999999</v>
      </c>
      <c r="AC67">
        <v>1.649216802</v>
      </c>
      <c r="AD67">
        <v>1.675686239</v>
      </c>
      <c r="AE67">
        <v>1.698780433</v>
      </c>
      <c r="AF67">
        <v>1.7225667819999999</v>
      </c>
      <c r="AG67">
        <v>1.748299152</v>
      </c>
      <c r="AH67">
        <v>1.7725914270000001</v>
      </c>
      <c r="AI67">
        <v>1.802324625</v>
      </c>
      <c r="AJ67">
        <v>1.8304918720000001</v>
      </c>
      <c r="AK67">
        <v>1.85829705</v>
      </c>
      <c r="AL67">
        <v>1.886381012</v>
      </c>
      <c r="AM67">
        <v>1.91451433</v>
      </c>
      <c r="AN67">
        <v>1.9182225909999999</v>
      </c>
      <c r="AO67">
        <v>1.918441981</v>
      </c>
      <c r="AP67">
        <v>1.9156070300000001</v>
      </c>
      <c r="AQ67">
        <v>1.911120307</v>
      </c>
      <c r="AR67">
        <v>1.902247625</v>
      </c>
      <c r="AS67">
        <v>1.9097508459999999</v>
      </c>
      <c r="AT67">
        <v>1.9181648</v>
      </c>
      <c r="AU67">
        <v>1.926088252</v>
      </c>
      <c r="AV67">
        <v>1.9334420160000001</v>
      </c>
      <c r="AW67">
        <v>1.9413259</v>
      </c>
    </row>
    <row r="68" spans="2:49" x14ac:dyDescent="0.25">
      <c r="B68" t="s">
        <v>319</v>
      </c>
      <c r="C68">
        <v>0.35839918454870201</v>
      </c>
      <c r="D68">
        <v>0.36415339938413299</v>
      </c>
      <c r="E68">
        <v>0.37</v>
      </c>
      <c r="F68">
        <v>0.36697207739999999</v>
      </c>
      <c r="G68">
        <v>0.36291584040000002</v>
      </c>
      <c r="H68">
        <v>0.3583350133</v>
      </c>
      <c r="I68">
        <v>0.3557595751</v>
      </c>
      <c r="J68">
        <v>0.35290380370000002</v>
      </c>
      <c r="K68">
        <v>0.34833708050000001</v>
      </c>
      <c r="L68">
        <v>0.34205593779999999</v>
      </c>
      <c r="M68">
        <v>0.33585945690000002</v>
      </c>
      <c r="N68" s="98">
        <v>0.3312204534</v>
      </c>
      <c r="O68" s="98">
        <v>0.32972094419999998</v>
      </c>
      <c r="P68" s="98">
        <v>0.32963141620000003</v>
      </c>
      <c r="Q68" s="98">
        <v>0.3286067708</v>
      </c>
      <c r="R68" s="98">
        <v>0.32396302300000002</v>
      </c>
      <c r="S68" s="98">
        <v>0.31808457200000001</v>
      </c>
      <c r="T68" s="98">
        <v>0.3110896044</v>
      </c>
      <c r="U68" s="98">
        <v>0.30437398329999998</v>
      </c>
      <c r="V68" s="98">
        <v>0.29805990989999998</v>
      </c>
      <c r="W68" s="98">
        <v>0.2935897146</v>
      </c>
      <c r="X68" s="98">
        <v>0.2900306506</v>
      </c>
      <c r="Y68" s="98">
        <v>0.287837122</v>
      </c>
      <c r="Z68" s="98">
        <v>0.28662202860000002</v>
      </c>
      <c r="AA68" s="98">
        <v>0.2857255742</v>
      </c>
      <c r="AB68" s="98">
        <v>0.28478612440000001</v>
      </c>
      <c r="AC68" s="98">
        <v>0.28364107799999999</v>
      </c>
      <c r="AD68">
        <v>0.28224056019999999</v>
      </c>
      <c r="AE68">
        <v>0.28057042539999999</v>
      </c>
      <c r="AF68">
        <v>0.27865769470000001</v>
      </c>
      <c r="AG68">
        <v>0.27652260950000002</v>
      </c>
      <c r="AH68">
        <v>0.27418697069999998</v>
      </c>
      <c r="AI68">
        <v>0.27166680910000002</v>
      </c>
      <c r="AJ68">
        <v>0.2689910533</v>
      </c>
      <c r="AK68">
        <v>0.26621367099999999</v>
      </c>
      <c r="AL68">
        <v>0.26336104630000001</v>
      </c>
      <c r="AM68">
        <v>0.26044820200000002</v>
      </c>
      <c r="AN68">
        <v>0.25746559819999998</v>
      </c>
      <c r="AO68" s="98">
        <v>0.25436718139999998</v>
      </c>
      <c r="AP68" s="98">
        <v>0.25114860909999998</v>
      </c>
      <c r="AQ68" s="98">
        <v>0.24782412070000001</v>
      </c>
      <c r="AR68" s="98">
        <v>0.244402129</v>
      </c>
      <c r="AS68" s="98">
        <v>0.2408952657</v>
      </c>
      <c r="AT68" s="98">
        <v>0.23730577920000001</v>
      </c>
      <c r="AU68" s="98">
        <v>0.23363671959999999</v>
      </c>
      <c r="AV68" s="98">
        <v>0.229891339</v>
      </c>
      <c r="AW68" s="98">
        <v>0.22611710879999999</v>
      </c>
    </row>
    <row r="69" spans="2:49" x14ac:dyDescent="0.25">
      <c r="B69" t="s">
        <v>320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2:49" x14ac:dyDescent="0.25">
      <c r="B70" t="s">
        <v>321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 spans="2:49" x14ac:dyDescent="0.25">
      <c r="B71" t="s">
        <v>322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Z71" s="98">
        <v>0</v>
      </c>
      <c r="AA71" s="98">
        <v>0</v>
      </c>
      <c r="AB71" s="98">
        <v>0</v>
      </c>
      <c r="AC71" s="98">
        <v>0</v>
      </c>
      <c r="AD71" s="98">
        <v>0</v>
      </c>
      <c r="AE71" s="98">
        <v>0</v>
      </c>
      <c r="AF71" s="98">
        <v>0</v>
      </c>
      <c r="AG71" s="98">
        <v>0</v>
      </c>
      <c r="AH71" s="98">
        <v>0</v>
      </c>
      <c r="AI71" s="98">
        <v>0</v>
      </c>
      <c r="AJ71" s="98">
        <v>0</v>
      </c>
      <c r="AK71" s="98">
        <v>0</v>
      </c>
      <c r="AL71" s="98">
        <v>0</v>
      </c>
      <c r="AM71" s="98">
        <v>0</v>
      </c>
      <c r="AN71" s="98">
        <v>0</v>
      </c>
      <c r="AO71" s="98">
        <v>0</v>
      </c>
      <c r="AP71" s="98">
        <v>0</v>
      </c>
      <c r="AQ71" s="98">
        <v>0</v>
      </c>
      <c r="AR71" s="98">
        <v>0</v>
      </c>
      <c r="AS71" s="98">
        <v>0</v>
      </c>
      <c r="AT71" s="98">
        <v>0</v>
      </c>
      <c r="AU71" s="98">
        <v>0</v>
      </c>
      <c r="AV71" s="98">
        <v>0</v>
      </c>
      <c r="AW71">
        <v>0</v>
      </c>
    </row>
    <row r="72" spans="2:49" x14ac:dyDescent="0.25">
      <c r="B72" t="s">
        <v>323</v>
      </c>
      <c r="C72">
        <v>2.1503951072922098</v>
      </c>
      <c r="D72">
        <v>2.1849203963048001</v>
      </c>
      <c r="E72">
        <v>2.2200000000000002</v>
      </c>
      <c r="F72">
        <v>2.3063009060000002</v>
      </c>
      <c r="G72">
        <v>2.1938337360000002</v>
      </c>
      <c r="H72">
        <v>2.3306206719999998</v>
      </c>
      <c r="I72">
        <v>2.4249145369999998</v>
      </c>
      <c r="J72">
        <v>2.2817090310000001</v>
      </c>
      <c r="K72">
        <v>2.1867380980000002</v>
      </c>
      <c r="L72">
        <v>2.138474736</v>
      </c>
      <c r="M72">
        <v>2.3029922759999999</v>
      </c>
      <c r="N72">
        <v>2.4746179150000001</v>
      </c>
      <c r="O72">
        <v>2.5746507460000001</v>
      </c>
      <c r="P72">
        <v>2.584599211</v>
      </c>
      <c r="Q72">
        <v>2.3877568560000002</v>
      </c>
      <c r="R72">
        <v>2.365942365</v>
      </c>
      <c r="S72">
        <v>2.3850467489999998</v>
      </c>
      <c r="T72">
        <v>2.4451994840000002</v>
      </c>
      <c r="U72">
        <v>2.502388346</v>
      </c>
      <c r="V72">
        <v>2.579013438</v>
      </c>
      <c r="W72">
        <v>2.6379384930000001</v>
      </c>
      <c r="X72">
        <v>2.7135144449999999</v>
      </c>
      <c r="Y72">
        <v>2.7645997609999999</v>
      </c>
      <c r="Z72">
        <v>2.8052067040000002</v>
      </c>
      <c r="AA72">
        <v>2.8384429400000002</v>
      </c>
      <c r="AB72">
        <v>2.869140399</v>
      </c>
      <c r="AC72">
        <v>2.9143599550000001</v>
      </c>
      <c r="AD72">
        <v>2.9359269069999998</v>
      </c>
      <c r="AE72">
        <v>2.9636013540000001</v>
      </c>
      <c r="AF72">
        <v>2.9929753200000002</v>
      </c>
      <c r="AG72">
        <v>3.0246595850000002</v>
      </c>
      <c r="AH72">
        <v>3.0652959019999999</v>
      </c>
      <c r="AI72">
        <v>3.0985495709999999</v>
      </c>
      <c r="AJ72">
        <v>3.1382391919999999</v>
      </c>
      <c r="AK72">
        <v>3.1773710300000002</v>
      </c>
      <c r="AL72">
        <v>3.21806035</v>
      </c>
      <c r="AM72">
        <v>3.2605337959999998</v>
      </c>
      <c r="AN72">
        <v>3.3045315099999999</v>
      </c>
      <c r="AO72">
        <v>3.3502697160000001</v>
      </c>
      <c r="AP72">
        <v>3.3958029559999998</v>
      </c>
      <c r="AQ72">
        <v>3.4414644729999999</v>
      </c>
      <c r="AR72">
        <v>3.4933943360000002</v>
      </c>
      <c r="AS72">
        <v>3.5307572089999999</v>
      </c>
      <c r="AT72">
        <v>3.5686469440000002</v>
      </c>
      <c r="AU72">
        <v>3.606954532</v>
      </c>
      <c r="AV72">
        <v>3.6463711829999998</v>
      </c>
      <c r="AW72">
        <v>3.6876562919999998</v>
      </c>
    </row>
    <row r="73" spans="2:49" x14ac:dyDescent="0.25">
      <c r="B73" t="s">
        <v>324</v>
      </c>
      <c r="C73">
        <v>17.283948650263198</v>
      </c>
      <c r="D73">
        <v>17.561448036494799</v>
      </c>
      <c r="E73">
        <v>17.843402770000001</v>
      </c>
      <c r="F73">
        <v>18.158882909999999</v>
      </c>
      <c r="G73">
        <v>16.95751984</v>
      </c>
      <c r="H73">
        <v>16.05125885</v>
      </c>
      <c r="I73">
        <v>15.293579129999999</v>
      </c>
      <c r="J73">
        <v>15.19517269</v>
      </c>
      <c r="K73">
        <v>13.95852446</v>
      </c>
      <c r="L73">
        <v>13.674934349999999</v>
      </c>
      <c r="M73">
        <v>13.99274335</v>
      </c>
      <c r="N73">
        <v>14.689396759999999</v>
      </c>
      <c r="O73">
        <v>13.838213100000001</v>
      </c>
      <c r="P73">
        <v>12.518056169999999</v>
      </c>
      <c r="Q73">
        <v>11.060432049999999</v>
      </c>
      <c r="R73">
        <v>10.0713708</v>
      </c>
      <c r="S73">
        <v>9.171032748</v>
      </c>
      <c r="T73">
        <v>9.0469095409999998</v>
      </c>
      <c r="U73">
        <v>8.9333319749999998</v>
      </c>
      <c r="V73">
        <v>8.8916746989999904</v>
      </c>
      <c r="W73">
        <v>8.6659127199999997</v>
      </c>
      <c r="X73">
        <v>8.4062456210000001</v>
      </c>
      <c r="Y73">
        <v>8.3964131490000007</v>
      </c>
      <c r="Z73">
        <v>8.4618248759999997</v>
      </c>
      <c r="AA73">
        <v>8.5407740870000008</v>
      </c>
      <c r="AB73">
        <v>8.6173238370000007</v>
      </c>
      <c r="AC73">
        <v>8.7110157640000008</v>
      </c>
      <c r="AD73">
        <v>8.8173596980000006</v>
      </c>
      <c r="AE73">
        <v>8.9176138060000003</v>
      </c>
      <c r="AF73">
        <v>9.0215587359999905</v>
      </c>
      <c r="AG73">
        <v>9.1338165819999997</v>
      </c>
      <c r="AH73">
        <v>9.2560177909999997</v>
      </c>
      <c r="AI73">
        <v>9.3876007690000005</v>
      </c>
      <c r="AJ73">
        <v>9.5180568650000001</v>
      </c>
      <c r="AK73">
        <v>9.6485827799999999</v>
      </c>
      <c r="AL73">
        <v>9.7808476029999998</v>
      </c>
      <c r="AM73">
        <v>9.9140362070000005</v>
      </c>
      <c r="AN73">
        <v>9.8943657530000007</v>
      </c>
      <c r="AO73">
        <v>9.8504877420000003</v>
      </c>
      <c r="AP73">
        <v>9.7926145479999995</v>
      </c>
      <c r="AQ73">
        <v>9.7307408439999996</v>
      </c>
      <c r="AR73">
        <v>9.6607402229999995</v>
      </c>
      <c r="AS73">
        <v>9.6611480630000006</v>
      </c>
      <c r="AT73">
        <v>9.6709521790000004</v>
      </c>
      <c r="AU73">
        <v>9.679413362</v>
      </c>
      <c r="AV73">
        <v>9.6868766730000004</v>
      </c>
      <c r="AW73">
        <v>9.7049421870000003</v>
      </c>
    </row>
    <row r="74" spans="2:49" x14ac:dyDescent="0.25">
      <c r="B74" t="s">
        <v>325</v>
      </c>
      <c r="C74">
        <v>9.6518912203120095</v>
      </c>
      <c r="D74">
        <v>9.8068554558467902</v>
      </c>
      <c r="E74">
        <v>9.9643076920000002</v>
      </c>
      <c r="F74">
        <v>9.5519717629999903</v>
      </c>
      <c r="G74">
        <v>8.8705273289999997</v>
      </c>
      <c r="H74">
        <v>9.1018653129999905</v>
      </c>
      <c r="I74">
        <v>8.5050213760000002</v>
      </c>
      <c r="J74">
        <v>7.926240978</v>
      </c>
      <c r="K74">
        <v>7.4829318850000002</v>
      </c>
      <c r="L74">
        <v>7.2920063009999998</v>
      </c>
      <c r="M74">
        <v>7.1534818969999998</v>
      </c>
      <c r="N74">
        <v>7.2440591620000001</v>
      </c>
      <c r="O74">
        <v>7.2568289840000002</v>
      </c>
      <c r="P74">
        <v>7.0082383740000003</v>
      </c>
      <c r="Q74">
        <v>6.6872583240000001</v>
      </c>
      <c r="R74">
        <v>6.611251169</v>
      </c>
      <c r="S74">
        <v>6.4323582889999997</v>
      </c>
      <c r="T74">
        <v>6.3713012989999998</v>
      </c>
      <c r="U74">
        <v>6.2902516220000004</v>
      </c>
      <c r="V74">
        <v>6.2203872479999998</v>
      </c>
      <c r="W74">
        <v>6.1815589480000002</v>
      </c>
      <c r="X74">
        <v>6.1706807619999999</v>
      </c>
      <c r="Y74">
        <v>6.091941243</v>
      </c>
      <c r="Z74">
        <v>6.099072627</v>
      </c>
      <c r="AA74">
        <v>6.1193486049999999</v>
      </c>
      <c r="AB74">
        <v>6.1347731049999998</v>
      </c>
      <c r="AC74">
        <v>6.1478966330000002</v>
      </c>
      <c r="AD74">
        <v>6.1581432620000003</v>
      </c>
      <c r="AE74">
        <v>6.1629357819999999</v>
      </c>
      <c r="AF74">
        <v>6.1579687659999998</v>
      </c>
      <c r="AG74">
        <v>6.1553480540000001</v>
      </c>
      <c r="AH74">
        <v>6.1438860960000001</v>
      </c>
      <c r="AI74">
        <v>6.1422793929999999</v>
      </c>
      <c r="AJ74">
        <v>6.1379604289999996</v>
      </c>
      <c r="AK74">
        <v>6.1316051580000002</v>
      </c>
      <c r="AL74">
        <v>6.1230917739999997</v>
      </c>
      <c r="AM74">
        <v>6.1124381720000001</v>
      </c>
      <c r="AN74">
        <v>6.0848514629999997</v>
      </c>
      <c r="AO74">
        <v>6.0521226669999999</v>
      </c>
      <c r="AP74">
        <v>6.0152142089999998</v>
      </c>
      <c r="AQ74">
        <v>5.9758644949999997</v>
      </c>
      <c r="AR74">
        <v>5.9310922699999997</v>
      </c>
      <c r="AS74">
        <v>5.8653964460000001</v>
      </c>
      <c r="AT74">
        <v>5.7964016660000004</v>
      </c>
      <c r="AU74">
        <v>5.7236400620000003</v>
      </c>
      <c r="AV74">
        <v>5.6468615499999997</v>
      </c>
      <c r="AW74">
        <v>5.5683809709999998</v>
      </c>
    </row>
    <row r="75" spans="2:49" x14ac:dyDescent="0.25">
      <c r="B75" t="s">
        <v>326</v>
      </c>
      <c r="C75">
        <v>4.6065844460580001</v>
      </c>
      <c r="D75">
        <v>4.68054464938142</v>
      </c>
      <c r="E75">
        <v>4.7556923080000004</v>
      </c>
      <c r="F75">
        <v>4.7696014839999998</v>
      </c>
      <c r="G75">
        <v>4.4870947660000002</v>
      </c>
      <c r="H75">
        <v>4.3313412610000004</v>
      </c>
      <c r="I75">
        <v>4.2412257750000002</v>
      </c>
      <c r="J75" s="42">
        <v>4.0293932159999999</v>
      </c>
      <c r="K75">
        <v>3.8092721260000002</v>
      </c>
      <c r="L75">
        <v>3.7189119389999998</v>
      </c>
      <c r="M75">
        <v>3.7118255859999998</v>
      </c>
      <c r="N75">
        <v>3.7835586760000002</v>
      </c>
      <c r="O75">
        <v>3.574852683</v>
      </c>
      <c r="P75">
        <v>3.3281154509999999</v>
      </c>
      <c r="Q75">
        <v>3.0964853630000002</v>
      </c>
      <c r="R75">
        <v>2.9153233900000002</v>
      </c>
      <c r="S75">
        <v>2.728713784</v>
      </c>
      <c r="T75">
        <v>2.7390210860000002</v>
      </c>
      <c r="U75">
        <v>2.755119192</v>
      </c>
      <c r="V75">
        <v>2.774179486</v>
      </c>
      <c r="W75">
        <v>2.6940294910000002</v>
      </c>
      <c r="X75">
        <v>2.609328659</v>
      </c>
      <c r="Y75">
        <v>2.5039066189999999</v>
      </c>
      <c r="Z75">
        <v>2.4248150800000001</v>
      </c>
      <c r="AA75">
        <v>2.3587439419999998</v>
      </c>
      <c r="AB75">
        <v>2.298892564</v>
      </c>
      <c r="AC75">
        <v>2.2450770179999999</v>
      </c>
      <c r="AD75">
        <v>2.1958442979999999</v>
      </c>
      <c r="AE75">
        <v>2.150651699</v>
      </c>
      <c r="AF75">
        <v>2.1075145179999999</v>
      </c>
      <c r="AG75">
        <v>2.0692257550000002</v>
      </c>
      <c r="AH75">
        <v>2.0331631319999999</v>
      </c>
      <c r="AI75">
        <v>2.0004487229999999</v>
      </c>
      <c r="AJ75">
        <v>1.969799318</v>
      </c>
      <c r="AK75">
        <v>1.9410487599999999</v>
      </c>
      <c r="AL75">
        <v>1.913774316</v>
      </c>
      <c r="AM75">
        <v>1.887655248</v>
      </c>
      <c r="AN75">
        <v>1.885188767</v>
      </c>
      <c r="AO75">
        <v>1.886442065</v>
      </c>
      <c r="AP75">
        <v>1.8879268819999999</v>
      </c>
      <c r="AQ75">
        <v>1.8892821980000001</v>
      </c>
      <c r="AR75">
        <v>1.88983813</v>
      </c>
      <c r="AS75">
        <v>1.8885035640000001</v>
      </c>
      <c r="AT75">
        <v>1.8867043610000001</v>
      </c>
      <c r="AU75">
        <v>1.8844695359999999</v>
      </c>
      <c r="AV75">
        <v>1.881655227</v>
      </c>
      <c r="AW75">
        <v>1.878383353</v>
      </c>
    </row>
    <row r="76" spans="2:49" x14ac:dyDescent="0.25">
      <c r="B76" t="s">
        <v>327</v>
      </c>
      <c r="C76">
        <v>23.690015269078899</v>
      </c>
      <c r="D76">
        <v>24.070366126976499</v>
      </c>
      <c r="E76">
        <v>24.45682364</v>
      </c>
      <c r="F76">
        <v>25.365829990000002</v>
      </c>
      <c r="G76">
        <v>24.936672040000001</v>
      </c>
      <c r="H76">
        <v>25.08390314</v>
      </c>
      <c r="I76">
        <v>25.177975870000001</v>
      </c>
      <c r="J76">
        <v>25.040908420000001</v>
      </c>
      <c r="K76">
        <v>24.801349380000001</v>
      </c>
      <c r="L76">
        <v>24.57304031</v>
      </c>
      <c r="M76">
        <v>24.41664566</v>
      </c>
      <c r="N76">
        <v>24.200254019999999</v>
      </c>
      <c r="O76">
        <v>24.07635733</v>
      </c>
      <c r="P76">
        <v>23.822143830000002</v>
      </c>
      <c r="Q76">
        <v>23.53168608</v>
      </c>
      <c r="R76">
        <v>23.266322469999999</v>
      </c>
      <c r="S76">
        <v>23.247082370000001</v>
      </c>
      <c r="T76">
        <v>23.145502539999999</v>
      </c>
      <c r="U76">
        <v>22.927344680000001</v>
      </c>
      <c r="V76">
        <v>22.59871176</v>
      </c>
      <c r="W76">
        <v>22.308701889999998</v>
      </c>
      <c r="X76">
        <v>21.67879885</v>
      </c>
      <c r="Y76">
        <v>21.257454360000001</v>
      </c>
      <c r="Z76">
        <v>20.910592220000002</v>
      </c>
      <c r="AA76">
        <v>20.579382639999999</v>
      </c>
      <c r="AB76">
        <v>20.24161234</v>
      </c>
      <c r="AC76">
        <v>19.69847012</v>
      </c>
      <c r="AD76">
        <v>19.282125310000001</v>
      </c>
      <c r="AE76">
        <v>18.986112720000001</v>
      </c>
      <c r="AF76">
        <v>18.68353274</v>
      </c>
      <c r="AG76">
        <v>18.372719759999999</v>
      </c>
      <c r="AH76">
        <v>18.04573268</v>
      </c>
      <c r="AI76">
        <v>17.67313965</v>
      </c>
      <c r="AJ76">
        <v>17.325491880000001</v>
      </c>
      <c r="AK76">
        <v>16.985190370000002</v>
      </c>
      <c r="AL76">
        <v>16.648015900000001</v>
      </c>
      <c r="AM76">
        <v>16.313451700000002</v>
      </c>
      <c r="AN76">
        <v>15.972030889999999</v>
      </c>
      <c r="AO76">
        <v>15.62036891</v>
      </c>
      <c r="AP76">
        <v>15.26504104</v>
      </c>
      <c r="AQ76">
        <v>14.908869429999999</v>
      </c>
      <c r="AR76">
        <v>14.495255970000001</v>
      </c>
      <c r="AS76">
        <v>14.11843086</v>
      </c>
      <c r="AT76">
        <v>13.755487779999999</v>
      </c>
      <c r="AU76">
        <v>13.4002552</v>
      </c>
      <c r="AV76">
        <v>13.05084407</v>
      </c>
      <c r="AW76">
        <v>12.706860219999999</v>
      </c>
    </row>
    <row r="77" spans="2:49" x14ac:dyDescent="0.25">
      <c r="B77" t="s">
        <v>328</v>
      </c>
      <c r="C77">
        <v>20.7498358478441</v>
      </c>
      <c r="D77">
        <v>21.0829811741058</v>
      </c>
      <c r="E77">
        <v>21.42644816</v>
      </c>
      <c r="F77">
        <v>21.883095440000002</v>
      </c>
      <c r="G77">
        <v>21.03720027</v>
      </c>
      <c r="H77">
        <v>19.516383430000001</v>
      </c>
      <c r="I77">
        <v>19.87464937</v>
      </c>
      <c r="J77">
        <v>19.295360670000001</v>
      </c>
      <c r="K77">
        <v>19.476372049999998</v>
      </c>
      <c r="L77">
        <v>18.994009859999998</v>
      </c>
      <c r="M77">
        <v>18.935203120000001</v>
      </c>
      <c r="N77">
        <v>18.945434980000002</v>
      </c>
      <c r="O77">
        <v>18.75962535</v>
      </c>
      <c r="P77">
        <v>18.952063849999998</v>
      </c>
      <c r="Q77">
        <v>18.719217319999998</v>
      </c>
      <c r="R77">
        <v>18.574401739999999</v>
      </c>
      <c r="S77">
        <v>18.315940810000001</v>
      </c>
      <c r="T77">
        <v>18.485993010000001</v>
      </c>
      <c r="U77">
        <v>18.62893858</v>
      </c>
      <c r="V77">
        <v>18.878572380000001</v>
      </c>
      <c r="W77">
        <v>19.00064772</v>
      </c>
      <c r="X77">
        <v>18.942295269999999</v>
      </c>
      <c r="Y77">
        <v>18.874321219999999</v>
      </c>
      <c r="Z77">
        <v>18.825575050000001</v>
      </c>
      <c r="AA77">
        <v>18.727664440000002</v>
      </c>
      <c r="AB77">
        <v>18.613307070000001</v>
      </c>
      <c r="AC77">
        <v>18.513760359999999</v>
      </c>
      <c r="AD77">
        <v>18.36285144</v>
      </c>
      <c r="AE77">
        <v>18.1664417</v>
      </c>
      <c r="AF77">
        <v>17.98743924</v>
      </c>
      <c r="AG77">
        <v>17.797259260000001</v>
      </c>
      <c r="AH77">
        <v>17.609821159999999</v>
      </c>
      <c r="AI77">
        <v>17.532156579999999</v>
      </c>
      <c r="AJ77">
        <v>17.443053519999999</v>
      </c>
      <c r="AK77">
        <v>17.34110574</v>
      </c>
      <c r="AL77">
        <v>17.241263750000002</v>
      </c>
      <c r="AM77">
        <v>17.144553500000001</v>
      </c>
      <c r="AN77">
        <v>17.161086520000001</v>
      </c>
      <c r="AO77">
        <v>17.199815399999999</v>
      </c>
      <c r="AP77">
        <v>17.238138530000001</v>
      </c>
      <c r="AQ77">
        <v>17.278543299999999</v>
      </c>
      <c r="AR77">
        <v>17.324807620000001</v>
      </c>
      <c r="AS77">
        <v>17.47185859</v>
      </c>
      <c r="AT77">
        <v>17.612337549999999</v>
      </c>
      <c r="AU77">
        <v>17.750060909999998</v>
      </c>
      <c r="AV77">
        <v>17.889949959999999</v>
      </c>
      <c r="AW77">
        <v>18.037877930000001</v>
      </c>
    </row>
    <row r="78" spans="2:49" x14ac:dyDescent="0.25">
      <c r="B78" t="s">
        <v>329</v>
      </c>
      <c r="C78">
        <v>0.28090746897060398</v>
      </c>
      <c r="D78">
        <v>0.28541752924702302</v>
      </c>
      <c r="E78">
        <v>0.28999999999999998</v>
      </c>
      <c r="F78">
        <v>0.30239438639999999</v>
      </c>
      <c r="G78">
        <v>0.3035397997</v>
      </c>
      <c r="H78">
        <v>0.29544342969999998</v>
      </c>
      <c r="I78">
        <v>0.31278507500000002</v>
      </c>
      <c r="J78">
        <v>0.31389288529999998</v>
      </c>
      <c r="K78">
        <v>0.3204489667</v>
      </c>
      <c r="L78">
        <v>0.31339886610000001</v>
      </c>
      <c r="M78">
        <v>0.325936222</v>
      </c>
      <c r="N78">
        <v>0.31870576340000001</v>
      </c>
      <c r="O78">
        <v>0.3057650428</v>
      </c>
      <c r="P78">
        <v>0.31171051039999997</v>
      </c>
      <c r="Q78">
        <v>0.31276920870000002</v>
      </c>
      <c r="R78">
        <v>0.31157705810000003</v>
      </c>
      <c r="S78">
        <v>0.31303898829999999</v>
      </c>
      <c r="T78">
        <v>0.31696095540000002</v>
      </c>
      <c r="U78">
        <v>0.32008009079999999</v>
      </c>
      <c r="V78">
        <v>0.32527553860000002</v>
      </c>
      <c r="W78">
        <v>0.3282380734</v>
      </c>
      <c r="X78">
        <v>0.33133275769999998</v>
      </c>
      <c r="Y78">
        <v>0.33871837119999998</v>
      </c>
      <c r="Z78">
        <v>0.34270530599999999</v>
      </c>
      <c r="AA78">
        <v>0.345414899</v>
      </c>
      <c r="AB78">
        <v>0.3481260236</v>
      </c>
      <c r="AC78">
        <v>0.35236923040000001</v>
      </c>
      <c r="AD78">
        <v>0.35383406670000001</v>
      </c>
      <c r="AE78">
        <v>0.35607807219999998</v>
      </c>
      <c r="AF78">
        <v>0.35866280579999998</v>
      </c>
      <c r="AG78">
        <v>0.36117613440000002</v>
      </c>
      <c r="AH78">
        <v>0.36516633500000001</v>
      </c>
      <c r="AI78">
        <v>0.3677428123</v>
      </c>
      <c r="AJ78">
        <v>0.37081189980000001</v>
      </c>
      <c r="AK78">
        <v>0.37377940269999999</v>
      </c>
      <c r="AL78">
        <v>0.37695032480000001</v>
      </c>
      <c r="AM78">
        <v>0.38039306080000002</v>
      </c>
      <c r="AN78">
        <v>0.384374781</v>
      </c>
      <c r="AO78">
        <v>0.38860755000000002</v>
      </c>
      <c r="AP78">
        <v>0.3928149501</v>
      </c>
      <c r="AQ78">
        <v>0.39681987489999998</v>
      </c>
      <c r="AR78">
        <v>0.40165624239999997</v>
      </c>
      <c r="AS78">
        <v>0.40586917300000003</v>
      </c>
      <c r="AT78">
        <v>0.41015712789999997</v>
      </c>
      <c r="AU78">
        <v>0.41448839500000001</v>
      </c>
      <c r="AV78">
        <v>0.41896800810000001</v>
      </c>
      <c r="AW78">
        <v>0.42365948949999999</v>
      </c>
    </row>
    <row r="79" spans="2:49" x14ac:dyDescent="0.25">
      <c r="B79" t="s">
        <v>330</v>
      </c>
      <c r="C79">
        <v>11.323476938849501</v>
      </c>
      <c r="D79">
        <v>11.5052790237851</v>
      </c>
      <c r="E79">
        <v>11.69</v>
      </c>
      <c r="F79">
        <v>11.9654545</v>
      </c>
      <c r="G79">
        <v>11.94186298</v>
      </c>
      <c r="H79">
        <v>10.422254280000001</v>
      </c>
      <c r="I79">
        <v>11.049617080000001</v>
      </c>
      <c r="J79">
        <v>11.50643704</v>
      </c>
      <c r="K79">
        <v>11.360399790000001</v>
      </c>
      <c r="L79">
        <v>11.20156725</v>
      </c>
      <c r="M79">
        <v>11.149139910000001</v>
      </c>
      <c r="N79">
        <v>10.953796049999999</v>
      </c>
      <c r="O79">
        <v>10.19913992</v>
      </c>
      <c r="P79">
        <v>9.9884775890000004</v>
      </c>
      <c r="Q79">
        <v>9.8323700800000005</v>
      </c>
      <c r="R79">
        <v>9.4645067689999998</v>
      </c>
      <c r="S79">
        <v>9.0460201490000003</v>
      </c>
      <c r="T79">
        <v>9.1479569220000005</v>
      </c>
      <c r="U79">
        <v>9.3025762870000008</v>
      </c>
      <c r="V79">
        <v>9.5544131399999994</v>
      </c>
      <c r="W79">
        <v>9.7118139259999996</v>
      </c>
      <c r="X79">
        <v>9.8126890719999995</v>
      </c>
      <c r="Y79">
        <v>9.8827406989999904</v>
      </c>
      <c r="Z79">
        <v>9.9501705860000005</v>
      </c>
      <c r="AA79">
        <v>10.01224201</v>
      </c>
      <c r="AB79">
        <v>10.07300613</v>
      </c>
      <c r="AC79">
        <v>10.12442849</v>
      </c>
      <c r="AD79">
        <v>10.231210409999999</v>
      </c>
      <c r="AE79">
        <v>10.32484842</v>
      </c>
      <c r="AF79">
        <v>10.422910180000001</v>
      </c>
      <c r="AG79">
        <v>10.522382869999999</v>
      </c>
      <c r="AH79">
        <v>10.62521542</v>
      </c>
      <c r="AI79">
        <v>10.76029043</v>
      </c>
      <c r="AJ79">
        <v>10.889098860000001</v>
      </c>
      <c r="AK79">
        <v>11.013314080000001</v>
      </c>
      <c r="AL79">
        <v>11.13944429</v>
      </c>
      <c r="AM79">
        <v>11.267654930000001</v>
      </c>
      <c r="AN79">
        <v>11.42586747</v>
      </c>
      <c r="AO79">
        <v>11.60879892</v>
      </c>
      <c r="AP79">
        <v>11.797286339999999</v>
      </c>
      <c r="AQ79">
        <v>11.98861424</v>
      </c>
      <c r="AR79">
        <v>12.178913919999999</v>
      </c>
      <c r="AS79">
        <v>12.36672377</v>
      </c>
      <c r="AT79">
        <v>12.54200908</v>
      </c>
      <c r="AU79">
        <v>12.71565399</v>
      </c>
      <c r="AV79">
        <v>12.892044289999999</v>
      </c>
      <c r="AW79">
        <v>13.077762399999999</v>
      </c>
    </row>
    <row r="80" spans="2:49" x14ac:dyDescent="0.25">
      <c r="B80" t="s">
        <v>331</v>
      </c>
      <c r="C80">
        <v>12.401465507675301</v>
      </c>
      <c r="D80">
        <v>12.6005750477687</v>
      </c>
      <c r="E80">
        <v>12.802881360000001</v>
      </c>
      <c r="F80">
        <v>12.95557632</v>
      </c>
      <c r="G80">
        <v>13.34832705</v>
      </c>
      <c r="H80">
        <v>13.034116389999999</v>
      </c>
      <c r="I80">
        <v>13.28773453</v>
      </c>
      <c r="J80">
        <v>13.643116750000001</v>
      </c>
      <c r="K80">
        <v>13.967392370000001</v>
      </c>
      <c r="L80">
        <v>14.012298619999999</v>
      </c>
      <c r="M80">
        <v>13.95225003</v>
      </c>
      <c r="N80">
        <v>13.732728890000001</v>
      </c>
      <c r="O80">
        <v>13.64036553</v>
      </c>
      <c r="P80">
        <v>13.879280899999999</v>
      </c>
      <c r="Q80">
        <v>14.321438949999999</v>
      </c>
      <c r="R80">
        <v>14.38788652</v>
      </c>
      <c r="S80">
        <v>14.45650828</v>
      </c>
      <c r="T80">
        <v>14.43390063</v>
      </c>
      <c r="U80">
        <v>14.518215980000001</v>
      </c>
      <c r="V80">
        <v>14.60775997</v>
      </c>
      <c r="W80">
        <v>14.735474740000001</v>
      </c>
      <c r="X80">
        <v>14.84573971</v>
      </c>
      <c r="Y80">
        <v>15.067425030000001</v>
      </c>
      <c r="Z80">
        <v>15.23899705</v>
      </c>
      <c r="AA80">
        <v>15.42643408</v>
      </c>
      <c r="AB80">
        <v>15.61302074</v>
      </c>
      <c r="AC80">
        <v>15.78694168</v>
      </c>
      <c r="AD80">
        <v>15.95211366</v>
      </c>
      <c r="AE80">
        <v>16.111208520000002</v>
      </c>
      <c r="AF80">
        <v>16.260800929999998</v>
      </c>
      <c r="AG80">
        <v>16.399464930000001</v>
      </c>
      <c r="AH80">
        <v>16.538389909999999</v>
      </c>
      <c r="AI80">
        <v>16.66761559</v>
      </c>
      <c r="AJ80">
        <v>16.78386274</v>
      </c>
      <c r="AK80">
        <v>16.892772570000002</v>
      </c>
      <c r="AL80">
        <v>16.994558690000002</v>
      </c>
      <c r="AM80">
        <v>17.088977509999999</v>
      </c>
      <c r="AN80">
        <v>17.185825860000001</v>
      </c>
      <c r="AO80">
        <v>17.270938940000001</v>
      </c>
      <c r="AP80">
        <v>17.345853640000001</v>
      </c>
      <c r="AQ80">
        <v>17.408556390000001</v>
      </c>
      <c r="AR80">
        <v>17.464142760000001</v>
      </c>
      <c r="AS80">
        <v>17.514712060000001</v>
      </c>
      <c r="AT80">
        <v>17.553016639999999</v>
      </c>
      <c r="AU80">
        <v>17.581678929999999</v>
      </c>
      <c r="AV80">
        <v>17.60087541</v>
      </c>
      <c r="AW80">
        <v>17.622054930000001</v>
      </c>
    </row>
    <row r="81" spans="2:49" x14ac:dyDescent="0.25">
      <c r="B81" t="s">
        <v>332</v>
      </c>
      <c r="C81">
        <v>10.826676236859401</v>
      </c>
      <c r="D81">
        <v>11.000502025829901</v>
      </c>
      <c r="E81">
        <v>11.17711864</v>
      </c>
      <c r="F81">
        <v>11.64719873</v>
      </c>
      <c r="G81">
        <v>11.98033742</v>
      </c>
      <c r="H81">
        <v>10.971581710000001</v>
      </c>
      <c r="I81">
        <v>11.32424136</v>
      </c>
      <c r="J81">
        <v>11.74098444</v>
      </c>
      <c r="K81">
        <v>12.012295180000001</v>
      </c>
      <c r="L81">
        <v>12.00414048</v>
      </c>
      <c r="M81">
        <v>11.91408118</v>
      </c>
      <c r="N81">
        <v>11.54863424</v>
      </c>
      <c r="O81">
        <v>11.01113541</v>
      </c>
      <c r="P81">
        <v>11.071415139999999</v>
      </c>
      <c r="Q81">
        <v>11.465582019999999</v>
      </c>
      <c r="R81">
        <v>11.36678251</v>
      </c>
      <c r="S81">
        <v>11.176970989999999</v>
      </c>
      <c r="T81">
        <v>11.177568219999999</v>
      </c>
      <c r="U81">
        <v>11.113064230000001</v>
      </c>
      <c r="V81">
        <v>11.025138460000001</v>
      </c>
      <c r="W81">
        <v>11.167334690000001</v>
      </c>
      <c r="X81">
        <v>11.29712074</v>
      </c>
      <c r="Y81">
        <v>11.557422839999999</v>
      </c>
      <c r="Z81">
        <v>11.71758563</v>
      </c>
      <c r="AA81">
        <v>11.85149099</v>
      </c>
      <c r="AB81">
        <v>11.96822083</v>
      </c>
      <c r="AC81">
        <v>12.059124669999999</v>
      </c>
      <c r="AD81">
        <v>12.12920738</v>
      </c>
      <c r="AE81">
        <v>12.18474846</v>
      </c>
      <c r="AF81">
        <v>12.22548108</v>
      </c>
      <c r="AG81">
        <v>12.247263390000001</v>
      </c>
      <c r="AH81">
        <v>12.26459131</v>
      </c>
      <c r="AI81">
        <v>12.272435209999999</v>
      </c>
      <c r="AJ81">
        <v>12.266347809999999</v>
      </c>
      <c r="AK81">
        <v>12.24998003</v>
      </c>
      <c r="AL81">
        <v>12.225515509999999</v>
      </c>
      <c r="AM81">
        <v>12.19446392</v>
      </c>
      <c r="AN81">
        <v>12.054186319999999</v>
      </c>
      <c r="AO81">
        <v>11.89218106</v>
      </c>
      <c r="AP81">
        <v>11.726795600000001</v>
      </c>
      <c r="AQ81">
        <v>11.55783658</v>
      </c>
      <c r="AR81">
        <v>11.39222464</v>
      </c>
      <c r="AS81">
        <v>11.236284080000001</v>
      </c>
      <c r="AT81">
        <v>11.07887049</v>
      </c>
      <c r="AU81">
        <v>10.92189183</v>
      </c>
      <c r="AV81">
        <v>10.76647992</v>
      </c>
      <c r="AW81">
        <v>10.61246176</v>
      </c>
    </row>
    <row r="82" spans="2:49" x14ac:dyDescent="0.25">
      <c r="B82" t="s">
        <v>333</v>
      </c>
      <c r="C82">
        <v>4.42659733299524E-4</v>
      </c>
      <c r="D82">
        <v>4.4976677849999601E-4</v>
      </c>
      <c r="E82">
        <v>4.5698792999999998E-4</v>
      </c>
      <c r="F82">
        <v>8.2126924000000003E-4</v>
      </c>
      <c r="G82">
        <v>1.4148647000000001E-3</v>
      </c>
      <c r="H82">
        <v>2.3884212399999999E-3</v>
      </c>
      <c r="I82">
        <v>3.71527698E-3</v>
      </c>
      <c r="J82">
        <v>5.4802574800000003E-3</v>
      </c>
      <c r="K82">
        <v>7.5774746699999998E-3</v>
      </c>
      <c r="L82">
        <v>1.02607679E-2</v>
      </c>
      <c r="M82">
        <v>1.3845119899999999E-2</v>
      </c>
      <c r="N82">
        <v>1.8162419700000001E-2</v>
      </c>
      <c r="O82">
        <v>2.4139502699999999E-2</v>
      </c>
      <c r="P82">
        <v>3.1991638500000003E-2</v>
      </c>
      <c r="Q82">
        <v>4.2206201899999997E-2</v>
      </c>
      <c r="R82">
        <v>5.5333401999999997E-2</v>
      </c>
      <c r="S82">
        <v>7.2370039900000002E-2</v>
      </c>
      <c r="T82">
        <v>9.2369437700000001E-2</v>
      </c>
      <c r="U82">
        <v>0.1184165115</v>
      </c>
      <c r="V82">
        <v>0.14953766330000001</v>
      </c>
      <c r="W82">
        <v>0.18963028169999999</v>
      </c>
      <c r="X82">
        <v>0.21827907939999999</v>
      </c>
      <c r="Y82">
        <v>0.26868894789999997</v>
      </c>
      <c r="Z82">
        <v>0.3345337853</v>
      </c>
      <c r="AA82">
        <v>0.4129487839</v>
      </c>
      <c r="AB82">
        <v>0.5023617158</v>
      </c>
      <c r="AC82">
        <v>0.57259030020000001</v>
      </c>
      <c r="AD82">
        <v>0.67144692130000005</v>
      </c>
      <c r="AE82">
        <v>0.78550299130000001</v>
      </c>
      <c r="AF82">
        <v>0.90913529360000001</v>
      </c>
      <c r="AG82">
        <v>1.040806868</v>
      </c>
      <c r="AH82">
        <v>1.1531757439999999</v>
      </c>
      <c r="AI82">
        <v>1.2841121790000001</v>
      </c>
      <c r="AJ82">
        <v>1.4288132920000001</v>
      </c>
      <c r="AK82">
        <v>1.581027269</v>
      </c>
      <c r="AL82">
        <v>1.738246642</v>
      </c>
      <c r="AM82">
        <v>1.899184609</v>
      </c>
      <c r="AN82">
        <v>2.054996622</v>
      </c>
      <c r="AO82">
        <v>2.2082274759999998</v>
      </c>
      <c r="AP82">
        <v>2.3606849040000002</v>
      </c>
      <c r="AQ82">
        <v>2.5127213460000002</v>
      </c>
      <c r="AR82">
        <v>2.6280100210000001</v>
      </c>
      <c r="AS82">
        <v>2.759754424</v>
      </c>
      <c r="AT82">
        <v>2.897382457</v>
      </c>
      <c r="AU82">
        <v>3.036487884</v>
      </c>
      <c r="AV82">
        <v>3.1752130570000001</v>
      </c>
      <c r="AW82">
        <v>3.3127115410000001</v>
      </c>
    </row>
    <row r="83" spans="2:49" x14ac:dyDescent="0.25">
      <c r="B83" t="s">
        <v>334</v>
      </c>
      <c r="C83">
        <v>1.1996237928359601</v>
      </c>
      <c r="D83">
        <v>1.2188841408592499</v>
      </c>
      <c r="E83">
        <v>1.2387616880000001</v>
      </c>
      <c r="F83">
        <v>1.2957298290000001</v>
      </c>
      <c r="G83">
        <v>1.2811306899999999</v>
      </c>
      <c r="H83">
        <v>1.145135147</v>
      </c>
      <c r="I83">
        <v>1.216085461</v>
      </c>
      <c r="J83">
        <v>1.2396999319999999</v>
      </c>
      <c r="K83">
        <v>1.2673869259999999</v>
      </c>
      <c r="L83">
        <v>1.2735235149999999</v>
      </c>
      <c r="M83">
        <v>1.278428586</v>
      </c>
      <c r="N83">
        <v>1.268807829</v>
      </c>
      <c r="O83">
        <v>1.26711971</v>
      </c>
      <c r="P83">
        <v>1.3360476999999999</v>
      </c>
      <c r="Q83">
        <v>1.3692095769999999</v>
      </c>
      <c r="R83">
        <v>1.4122568129999999</v>
      </c>
      <c r="S83">
        <v>1.4432666119999999</v>
      </c>
      <c r="T83">
        <v>1.5862422430000001</v>
      </c>
      <c r="U83">
        <v>1.7108896920000001</v>
      </c>
      <c r="V83">
        <v>1.845762093</v>
      </c>
      <c r="W83">
        <v>1.9267063929999999</v>
      </c>
      <c r="X83">
        <v>2.2091385739999998</v>
      </c>
      <c r="Y83">
        <v>2.3670905219999998</v>
      </c>
      <c r="Z83">
        <v>2.489162925</v>
      </c>
      <c r="AA83">
        <v>2.5864165780000001</v>
      </c>
      <c r="AB83">
        <v>2.6706639399999998</v>
      </c>
      <c r="AC83">
        <v>2.8965486039999999</v>
      </c>
      <c r="AD83">
        <v>2.9719925140000001</v>
      </c>
      <c r="AE83">
        <v>3.0473828580000002</v>
      </c>
      <c r="AF83">
        <v>3.1246864909999998</v>
      </c>
      <c r="AG83">
        <v>3.1958029300000002</v>
      </c>
      <c r="AH83">
        <v>3.340655886</v>
      </c>
      <c r="AI83">
        <v>3.392868446</v>
      </c>
      <c r="AJ83">
        <v>3.4475147389999998</v>
      </c>
      <c r="AK83">
        <v>3.500332056</v>
      </c>
      <c r="AL83">
        <v>3.5540683799999999</v>
      </c>
      <c r="AM83">
        <v>3.6098830679999998</v>
      </c>
      <c r="AN83">
        <v>3.6339055810000001</v>
      </c>
      <c r="AO83">
        <v>3.6650445729999999</v>
      </c>
      <c r="AP83">
        <v>3.6975513250000001</v>
      </c>
      <c r="AQ83">
        <v>3.7310371720000002</v>
      </c>
      <c r="AR83">
        <v>3.8446602049999998</v>
      </c>
      <c r="AS83">
        <v>3.854996034</v>
      </c>
      <c r="AT83">
        <v>3.8693361290000001</v>
      </c>
      <c r="AU83">
        <v>3.8844557270000002</v>
      </c>
      <c r="AV83">
        <v>3.9004157789999998</v>
      </c>
      <c r="AW83">
        <v>3.9180205890000002</v>
      </c>
    </row>
    <row r="84" spans="2:49" x14ac:dyDescent="0.25">
      <c r="B84" t="s">
        <v>335</v>
      </c>
      <c r="C84">
        <v>0.33902625565417799</v>
      </c>
      <c r="D84">
        <v>0.34446943184985501</v>
      </c>
      <c r="E84">
        <v>0.35</v>
      </c>
      <c r="F84">
        <v>0.36637716790000002</v>
      </c>
      <c r="G84">
        <v>0.35695499180000001</v>
      </c>
      <c r="H84">
        <v>0.36162775000000003</v>
      </c>
      <c r="I84">
        <v>0.38850586030000001</v>
      </c>
      <c r="J84">
        <v>0.3819639473</v>
      </c>
      <c r="K84">
        <v>0.37547026379999998</v>
      </c>
      <c r="L84">
        <v>0.36504622939999998</v>
      </c>
      <c r="M84">
        <v>0.38599012370000002</v>
      </c>
      <c r="N84">
        <v>0.39369217080000002</v>
      </c>
      <c r="O84">
        <v>0.39369502080000002</v>
      </c>
      <c r="P84">
        <v>0.39845909419999997</v>
      </c>
      <c r="Q84">
        <v>0.37564139099999999</v>
      </c>
      <c r="R84">
        <v>0.36746612249999999</v>
      </c>
      <c r="S84">
        <v>0.36755917649999997</v>
      </c>
      <c r="T84">
        <v>0.37279606770000001</v>
      </c>
      <c r="U84">
        <v>0.37919081999999998</v>
      </c>
      <c r="V84">
        <v>0.38914326980000002</v>
      </c>
      <c r="W84">
        <v>0.39617175789999998</v>
      </c>
      <c r="X84">
        <v>0.40596088800000002</v>
      </c>
      <c r="Y84">
        <v>0.4145305594</v>
      </c>
      <c r="Z84">
        <v>0.4211292874</v>
      </c>
      <c r="AA84">
        <v>0.42500071709999998</v>
      </c>
      <c r="AB84">
        <v>0.42834027289999999</v>
      </c>
      <c r="AC84">
        <v>0.4337408633</v>
      </c>
      <c r="AD84">
        <v>0.43582342699999999</v>
      </c>
      <c r="AE84">
        <v>0.43863278890000001</v>
      </c>
      <c r="AF84">
        <v>0.4421169761</v>
      </c>
      <c r="AG84">
        <v>0.4455184023</v>
      </c>
      <c r="AH84">
        <v>0.45018929569999999</v>
      </c>
      <c r="AI84">
        <v>0.4526021382</v>
      </c>
      <c r="AJ84">
        <v>0.45590703319999998</v>
      </c>
      <c r="AK84">
        <v>0.45914051979999998</v>
      </c>
      <c r="AL84">
        <v>0.46261605700000002</v>
      </c>
      <c r="AM84">
        <v>0.46638627900000001</v>
      </c>
      <c r="AN84">
        <v>0.47128490989999999</v>
      </c>
      <c r="AO84">
        <v>0.47682451739999998</v>
      </c>
      <c r="AP84">
        <v>0.48241383110000002</v>
      </c>
      <c r="AQ84">
        <v>0.4880813229</v>
      </c>
      <c r="AR84">
        <v>0.49464171019999997</v>
      </c>
      <c r="AS84">
        <v>0.50006821720000005</v>
      </c>
      <c r="AT84">
        <v>0.50589240479999997</v>
      </c>
      <c r="AU84">
        <v>0.51185403419999997</v>
      </c>
      <c r="AV84">
        <v>0.5180113221</v>
      </c>
      <c r="AW84">
        <v>0.52441786800000001</v>
      </c>
    </row>
    <row r="85" spans="2:49" x14ac:dyDescent="0.25">
      <c r="B85" t="s">
        <v>336</v>
      </c>
      <c r="C85">
        <v>12.8442518570697</v>
      </c>
      <c r="D85">
        <v>13.0504704752259</v>
      </c>
      <c r="E85">
        <v>13.26</v>
      </c>
      <c r="F85">
        <v>13.651650119999999</v>
      </c>
      <c r="G85">
        <v>13.208874829999999</v>
      </c>
      <c r="H85">
        <v>12.1582156</v>
      </c>
      <c r="I85">
        <v>12.66116718</v>
      </c>
      <c r="J85">
        <v>12.89084181</v>
      </c>
      <c r="K85">
        <v>12.293750920000001</v>
      </c>
      <c r="L85">
        <v>12.08633921</v>
      </c>
      <c r="M85">
        <v>12.25465638</v>
      </c>
      <c r="N85">
        <v>12.544766210000001</v>
      </c>
      <c r="O85">
        <v>12.798526799999999</v>
      </c>
      <c r="P85">
        <v>13.0814187</v>
      </c>
      <c r="Q85">
        <v>12.760269729999999</v>
      </c>
      <c r="R85">
        <v>12.68358607</v>
      </c>
      <c r="S85">
        <v>12.596217230000001</v>
      </c>
      <c r="T85">
        <v>12.70296536</v>
      </c>
      <c r="U85">
        <v>12.783318599999999</v>
      </c>
      <c r="V85">
        <v>12.965696080000001</v>
      </c>
      <c r="W85">
        <v>12.87058122</v>
      </c>
      <c r="X85">
        <v>12.709932650000001</v>
      </c>
      <c r="Y85">
        <v>12.620437450000001</v>
      </c>
      <c r="Z85">
        <v>12.648299639999999</v>
      </c>
      <c r="AA85">
        <v>12.647354139999999</v>
      </c>
      <c r="AB85">
        <v>12.63374621</v>
      </c>
      <c r="AC85">
        <v>12.630011809999999</v>
      </c>
      <c r="AD85">
        <v>12.68617482</v>
      </c>
      <c r="AE85" s="98">
        <v>12.72609005</v>
      </c>
      <c r="AF85" s="98">
        <v>12.781595149999999</v>
      </c>
      <c r="AG85">
        <v>12.83798013</v>
      </c>
      <c r="AH85">
        <v>12.89559375</v>
      </c>
      <c r="AI85">
        <v>12.960683960000001</v>
      </c>
      <c r="AJ85" s="98">
        <v>13.026972020000001</v>
      </c>
      <c r="AK85">
        <v>13.09022732</v>
      </c>
      <c r="AL85">
        <v>13.15665413</v>
      </c>
      <c r="AM85">
        <v>13.22620723</v>
      </c>
      <c r="AN85">
        <v>13.21603842</v>
      </c>
      <c r="AO85">
        <v>13.207695279999999</v>
      </c>
      <c r="AP85">
        <v>13.18908148</v>
      </c>
      <c r="AQ85">
        <v>13.166531300000001</v>
      </c>
      <c r="AR85">
        <v>13.1307615</v>
      </c>
      <c r="AS85">
        <v>13.155613990000001</v>
      </c>
      <c r="AT85">
        <v>13.18721987</v>
      </c>
      <c r="AU85">
        <v>13.217542610000001</v>
      </c>
      <c r="AV85">
        <v>13.24740667</v>
      </c>
      <c r="AW85">
        <v>13.28587647</v>
      </c>
    </row>
    <row r="86" spans="2:49" x14ac:dyDescent="0.25">
      <c r="B86" t="s">
        <v>337</v>
      </c>
      <c r="C86" s="98">
        <v>17.113958899133198</v>
      </c>
      <c r="D86">
        <v>17.388729044925601</v>
      </c>
      <c r="E86">
        <v>17.667910710000001</v>
      </c>
      <c r="F86">
        <v>17.817168970000001</v>
      </c>
      <c r="G86" s="98">
        <v>17.737234789999999</v>
      </c>
      <c r="H86">
        <v>17.746164180000001</v>
      </c>
      <c r="I86">
        <v>18.114148409999999</v>
      </c>
      <c r="J86">
        <v>18.135339649999999</v>
      </c>
      <c r="K86" s="98">
        <v>17.802257940000001</v>
      </c>
      <c r="L86" s="98">
        <v>17.5828229</v>
      </c>
      <c r="M86" s="98">
        <v>17.578442089999999</v>
      </c>
      <c r="N86">
        <v>17.71798004</v>
      </c>
      <c r="O86">
        <v>18.05967171</v>
      </c>
      <c r="P86">
        <v>18.13143268</v>
      </c>
      <c r="Q86">
        <v>17.664330339999999</v>
      </c>
      <c r="R86">
        <v>17.3428307</v>
      </c>
      <c r="S86">
        <v>17.097675819999999</v>
      </c>
      <c r="T86">
        <v>16.710554869999999</v>
      </c>
      <c r="U86">
        <v>16.573274600000001</v>
      </c>
      <c r="V86">
        <v>16.460449239999999</v>
      </c>
      <c r="W86">
        <v>16.414543120000001</v>
      </c>
      <c r="X86">
        <v>16.466119500000001</v>
      </c>
      <c r="Y86">
        <v>16.518255790000001</v>
      </c>
      <c r="Z86">
        <v>16.672811849999999</v>
      </c>
      <c r="AA86">
        <v>16.790335939999999</v>
      </c>
      <c r="AB86">
        <v>16.900006879999999</v>
      </c>
      <c r="AC86">
        <v>17.004445350000001</v>
      </c>
      <c r="AD86">
        <v>17.09581464</v>
      </c>
      <c r="AE86">
        <v>17.16541922</v>
      </c>
      <c r="AF86">
        <v>17.234479390000001</v>
      </c>
      <c r="AG86">
        <v>17.282221580000002</v>
      </c>
      <c r="AH86">
        <v>17.30613284</v>
      </c>
      <c r="AI86">
        <v>17.292136159999998</v>
      </c>
      <c r="AJ86">
        <v>17.277141530000002</v>
      </c>
      <c r="AK86">
        <v>17.25379337</v>
      </c>
      <c r="AL86">
        <v>17.22334532</v>
      </c>
      <c r="AM86">
        <v>17.185961110000001</v>
      </c>
      <c r="AN86">
        <v>17.136969730000001</v>
      </c>
      <c r="AO86">
        <v>17.083318670000001</v>
      </c>
      <c r="AP86">
        <v>17.01755919</v>
      </c>
      <c r="AQ86">
        <v>16.94664247</v>
      </c>
      <c r="AR86">
        <v>16.859711740000002</v>
      </c>
      <c r="AS86">
        <v>16.786799250000001</v>
      </c>
      <c r="AT86">
        <v>16.712912509999999</v>
      </c>
      <c r="AU86">
        <v>16.62978932</v>
      </c>
      <c r="AV86">
        <v>16.537123739999998</v>
      </c>
      <c r="AW86">
        <v>16.439387400000001</v>
      </c>
    </row>
    <row r="87" spans="2:49" x14ac:dyDescent="0.25">
      <c r="B87" t="s">
        <v>338</v>
      </c>
      <c r="C87" s="98">
        <v>5.6395460874857797</v>
      </c>
      <c r="D87" s="98">
        <v>5.7300908240832298</v>
      </c>
      <c r="E87" s="98">
        <v>5.8220892859999998</v>
      </c>
      <c r="F87">
        <v>6.2160330259999999</v>
      </c>
      <c r="G87">
        <v>6.3868285309999999</v>
      </c>
      <c r="H87">
        <v>6.5254908770000002</v>
      </c>
      <c r="I87">
        <v>7.0680239330000001</v>
      </c>
      <c r="J87">
        <v>7.3853594029999998</v>
      </c>
      <c r="K87">
        <v>7.4970232770000003</v>
      </c>
      <c r="L87">
        <v>7.7802492860000001</v>
      </c>
      <c r="M87">
        <v>8.3128947160000006</v>
      </c>
      <c r="N87">
        <v>9.1338786830000007</v>
      </c>
      <c r="O87">
        <v>9.4236609209999997</v>
      </c>
      <c r="P87">
        <v>9.2674694669999997</v>
      </c>
      <c r="Q87">
        <v>8.5809142709999904</v>
      </c>
      <c r="R87">
        <v>8.1063038810000005</v>
      </c>
      <c r="S87">
        <v>7.811776837</v>
      </c>
      <c r="T87">
        <v>7.7413804390000003</v>
      </c>
      <c r="U87">
        <v>7.7104863769999996</v>
      </c>
      <c r="V87">
        <v>7.6869771160000004</v>
      </c>
      <c r="W87">
        <v>7.7821929059999997</v>
      </c>
      <c r="X87">
        <v>7.9252513269999998</v>
      </c>
      <c r="Y87">
        <v>8.0567474010000009</v>
      </c>
      <c r="Z87">
        <v>8.1188543509999995</v>
      </c>
      <c r="AA87">
        <v>8.1195683750000001</v>
      </c>
      <c r="AB87">
        <v>8.0970013230000006</v>
      </c>
      <c r="AC87">
        <v>8.0625641950000002</v>
      </c>
      <c r="AD87">
        <v>8.0202183970000007</v>
      </c>
      <c r="AE87">
        <v>7.9665004709999998</v>
      </c>
      <c r="AF87">
        <v>7.9159110369999999</v>
      </c>
      <c r="AG87">
        <v>7.8531537570000003</v>
      </c>
      <c r="AH87">
        <v>7.7800331680000001</v>
      </c>
      <c r="AI87">
        <v>7.6947895600000003</v>
      </c>
      <c r="AJ87">
        <v>7.6115241280000001</v>
      </c>
      <c r="AK87">
        <v>7.5269501160000001</v>
      </c>
      <c r="AL87">
        <v>7.4414589769999999</v>
      </c>
      <c r="AM87">
        <v>7.3555365469999998</v>
      </c>
      <c r="AN87">
        <v>7.2299929169999997</v>
      </c>
      <c r="AO87">
        <v>7.1037118389999998</v>
      </c>
      <c r="AP87">
        <v>6.9798692200000003</v>
      </c>
      <c r="AQ87">
        <v>6.861192097</v>
      </c>
      <c r="AR87">
        <v>6.7444045810000004</v>
      </c>
      <c r="AS87">
        <v>6.6294261719999996</v>
      </c>
      <c r="AT87">
        <v>6.5193935160000001</v>
      </c>
      <c r="AU87" s="98">
        <v>6.4119756590000003</v>
      </c>
      <c r="AV87" s="98">
        <v>6.3068944079999998</v>
      </c>
      <c r="AW87">
        <v>6.2034775069999997</v>
      </c>
    </row>
    <row r="88" spans="2:49" x14ac:dyDescent="0.25">
      <c r="B88" t="s">
        <v>339</v>
      </c>
      <c r="C88" s="98">
        <v>1.0609788529198101E-6</v>
      </c>
      <c r="D88" s="98">
        <v>1.0780132115867701E-6</v>
      </c>
      <c r="E88" s="98">
        <v>1.0953210600000001E-6</v>
      </c>
      <c r="F88" s="98">
        <v>1.2863057E-6</v>
      </c>
      <c r="G88" s="98">
        <v>2.30996015E-6</v>
      </c>
      <c r="H88" s="98">
        <v>3.4500498100000001E-6</v>
      </c>
      <c r="I88" s="98">
        <v>4.6356936599999998E-6</v>
      </c>
      <c r="J88" s="98">
        <v>6.1512690900000002E-6</v>
      </c>
      <c r="K88" s="98">
        <v>7.5284575399999997E-6</v>
      </c>
      <c r="L88" s="98">
        <v>8.7499474900000008E-6</v>
      </c>
      <c r="M88" s="98">
        <v>9.9157675399999996E-6</v>
      </c>
      <c r="N88" s="98">
        <v>1.0589055E-5</v>
      </c>
      <c r="O88" s="98">
        <v>1.11549143E-5</v>
      </c>
      <c r="P88" s="98">
        <v>1.1388930400000001E-5</v>
      </c>
      <c r="Q88" s="98">
        <v>1.2147772400000001E-5</v>
      </c>
      <c r="R88" s="98">
        <v>1.29966897E-5</v>
      </c>
      <c r="S88" s="98">
        <v>1.46641562E-5</v>
      </c>
      <c r="T88" s="98">
        <v>1.6026779999999999E-5</v>
      </c>
      <c r="U88" s="98">
        <v>1.8276192099999999E-5</v>
      </c>
      <c r="V88" s="98">
        <v>2.0754252200000001E-5</v>
      </c>
      <c r="W88" s="98">
        <v>2.3369701500000002E-5</v>
      </c>
      <c r="X88" s="98">
        <v>2.4759713800000001E-5</v>
      </c>
      <c r="Y88" s="98">
        <v>2.68190667E-5</v>
      </c>
      <c r="Z88" s="98">
        <v>2.9098215500000001E-5</v>
      </c>
      <c r="AA88" s="98">
        <v>3.1425103600000003E-5</v>
      </c>
      <c r="AB88" s="98">
        <v>3.3719366599999998E-5</v>
      </c>
      <c r="AC88" s="98">
        <v>3.5060006999999999E-5</v>
      </c>
      <c r="AD88" s="98">
        <v>3.6886014699999998E-5</v>
      </c>
      <c r="AE88" s="98">
        <v>3.8926248600000001E-5</v>
      </c>
      <c r="AF88" s="98">
        <v>4.0934657299999997E-5</v>
      </c>
      <c r="AG88" s="98">
        <v>4.2876436899999998E-5</v>
      </c>
      <c r="AH88" s="98">
        <v>4.4387423900000002E-5</v>
      </c>
      <c r="AI88" s="98">
        <v>4.5962859700000002E-5</v>
      </c>
      <c r="AJ88" s="98">
        <v>4.76437548E-5</v>
      </c>
      <c r="AK88" s="98">
        <v>4.9343347899999999E-5</v>
      </c>
      <c r="AL88" s="98">
        <v>5.1029606600000003E-5</v>
      </c>
      <c r="AM88" s="98">
        <v>5.2689173800000003E-5</v>
      </c>
      <c r="AN88" s="98">
        <v>5.4246678100000002E-5</v>
      </c>
      <c r="AO88" s="98">
        <v>5.5732964600000001E-5</v>
      </c>
      <c r="AP88" s="98">
        <v>5.7184748399999999E-5</v>
      </c>
      <c r="AQ88" s="98">
        <v>5.8620655999999999E-5</v>
      </c>
      <c r="AR88" s="98">
        <v>5.9506279200000002E-5</v>
      </c>
      <c r="AS88" s="98">
        <v>6.0656104999999997E-5</v>
      </c>
      <c r="AT88" s="98">
        <v>6.1915308700000003E-5</v>
      </c>
      <c r="AU88" s="98">
        <v>6.3231748700000006E-5</v>
      </c>
      <c r="AV88" s="98">
        <v>6.4582596899999994E-5</v>
      </c>
      <c r="AW88" s="98">
        <v>6.5958211099999996E-5</v>
      </c>
    </row>
    <row r="89" spans="2:49" x14ac:dyDescent="0.25">
      <c r="B89" t="s">
        <v>340</v>
      </c>
      <c r="C89">
        <v>0.26347077198670499</v>
      </c>
      <c r="D89">
        <v>0.26770088045298701</v>
      </c>
      <c r="E89">
        <v>0.27204033830000002</v>
      </c>
      <c r="F89">
        <v>0.30035970940000001</v>
      </c>
      <c r="G89">
        <v>0.29148693320000002</v>
      </c>
      <c r="H89">
        <v>0.2414865259</v>
      </c>
      <c r="I89">
        <v>0.23798629339999999</v>
      </c>
      <c r="J89">
        <v>0.23388741809999999</v>
      </c>
      <c r="K89">
        <v>0.25186984289999997</v>
      </c>
      <c r="L89">
        <v>0.2493630195</v>
      </c>
      <c r="M89">
        <v>0.24724821920000001</v>
      </c>
      <c r="N89">
        <v>0.2453327407</v>
      </c>
      <c r="O89">
        <v>0.23607061509999999</v>
      </c>
      <c r="P89">
        <v>0.24303871969999999</v>
      </c>
      <c r="Q89">
        <v>0.2499257986</v>
      </c>
      <c r="R89">
        <v>0.25934706600000001</v>
      </c>
      <c r="S89">
        <v>0.27411399219999999</v>
      </c>
      <c r="T89">
        <v>0.33453451039999998</v>
      </c>
      <c r="U89">
        <v>0.38451799959999999</v>
      </c>
      <c r="V89">
        <v>0.42781787529999998</v>
      </c>
      <c r="W89">
        <v>0.4583740328</v>
      </c>
      <c r="X89">
        <v>0.58963463780000003</v>
      </c>
      <c r="Y89">
        <v>0.73234187409999996</v>
      </c>
      <c r="Z89">
        <v>0.87876757260000005</v>
      </c>
      <c r="AA89">
        <v>1.024447133</v>
      </c>
      <c r="AB89">
        <v>1.170472451</v>
      </c>
      <c r="AC89">
        <v>1.318718839</v>
      </c>
      <c r="AD89">
        <v>1.4998760470000001</v>
      </c>
      <c r="AE89">
        <v>1.678697653</v>
      </c>
      <c r="AF89">
        <v>1.86105034</v>
      </c>
      <c r="AG89">
        <v>2.0444591399999998</v>
      </c>
      <c r="AH89">
        <v>2.2279268160000001</v>
      </c>
      <c r="AI89">
        <v>2.374056205</v>
      </c>
      <c r="AJ89">
        <v>2.5204413049999999</v>
      </c>
      <c r="AK89">
        <v>2.6671291749999999</v>
      </c>
      <c r="AL89">
        <v>2.8164161810000001</v>
      </c>
      <c r="AM89">
        <v>2.9687177249999999</v>
      </c>
      <c r="AN89">
        <v>3.0358312399999998</v>
      </c>
      <c r="AO89">
        <v>3.1089236200000001</v>
      </c>
      <c r="AP89">
        <v>3.1839673309999998</v>
      </c>
      <c r="AQ89">
        <v>3.261199526</v>
      </c>
      <c r="AR89">
        <v>3.3367792180000002</v>
      </c>
      <c r="AS89">
        <v>3.371138857</v>
      </c>
      <c r="AT89">
        <v>3.4034293290000002</v>
      </c>
      <c r="AU89">
        <v>3.4349417170000001</v>
      </c>
      <c r="AV89">
        <v>3.466838165</v>
      </c>
      <c r="AW89">
        <v>3.500269909</v>
      </c>
    </row>
    <row r="90" spans="2:49" x14ac:dyDescent="0.25">
      <c r="B90" t="s">
        <v>341</v>
      </c>
      <c r="C90">
        <v>2318131524.4374599</v>
      </c>
      <c r="D90">
        <v>2355349875.8831902</v>
      </c>
      <c r="E90" s="98">
        <v>2393165780</v>
      </c>
      <c r="F90" s="98">
        <v>2417743066</v>
      </c>
      <c r="G90" s="98">
        <v>2442572755</v>
      </c>
      <c r="H90">
        <v>2467657440</v>
      </c>
      <c r="I90" s="98">
        <v>2492999739</v>
      </c>
      <c r="J90" s="98">
        <v>2518602297</v>
      </c>
      <c r="K90" s="98">
        <v>2544467789</v>
      </c>
      <c r="L90" s="98">
        <v>2570598913</v>
      </c>
      <c r="M90" s="98">
        <v>2596998398</v>
      </c>
      <c r="N90">
        <v>2623669000</v>
      </c>
      <c r="O90">
        <v>2653988446</v>
      </c>
      <c r="P90">
        <v>2684658267</v>
      </c>
      <c r="Q90">
        <v>2715682513</v>
      </c>
      <c r="R90">
        <v>2745467125</v>
      </c>
      <c r="S90">
        <v>2775151740</v>
      </c>
      <c r="T90">
        <v>2804229571</v>
      </c>
      <c r="U90">
        <v>2833057577</v>
      </c>
      <c r="V90">
        <v>2863783189</v>
      </c>
      <c r="W90">
        <v>2894524521</v>
      </c>
      <c r="X90" s="98">
        <v>2924411523</v>
      </c>
      <c r="Y90">
        <v>2953544095</v>
      </c>
      <c r="Z90">
        <v>2981851909</v>
      </c>
      <c r="AA90">
        <v>3009484025</v>
      </c>
      <c r="AB90">
        <v>3036284686</v>
      </c>
      <c r="AC90">
        <v>3062184172</v>
      </c>
      <c r="AD90">
        <v>3087964217</v>
      </c>
      <c r="AE90">
        <v>3113483048</v>
      </c>
      <c r="AF90">
        <v>3138686341</v>
      </c>
      <c r="AG90">
        <v>3163564425</v>
      </c>
      <c r="AH90">
        <v>3188384924</v>
      </c>
      <c r="AI90">
        <v>3212818008</v>
      </c>
      <c r="AJ90">
        <v>3236712515</v>
      </c>
      <c r="AK90">
        <v>3260337894</v>
      </c>
      <c r="AL90">
        <v>3283638812</v>
      </c>
      <c r="AM90">
        <v>3306510935</v>
      </c>
      <c r="AN90">
        <v>3328474335</v>
      </c>
      <c r="AO90">
        <v>3349315510</v>
      </c>
      <c r="AP90">
        <v>3369011741</v>
      </c>
      <c r="AQ90">
        <v>3387834688</v>
      </c>
      <c r="AR90">
        <v>3405571666</v>
      </c>
      <c r="AS90">
        <v>3422253727</v>
      </c>
      <c r="AT90">
        <v>3438013091</v>
      </c>
      <c r="AU90">
        <v>3452736286</v>
      </c>
      <c r="AV90">
        <v>3466409026</v>
      </c>
      <c r="AW90">
        <v>3479017918</v>
      </c>
    </row>
    <row r="91" spans="2:49" x14ac:dyDescent="0.25">
      <c r="B91" t="s">
        <v>342</v>
      </c>
      <c r="C91" s="98">
        <v>640398.31806251395</v>
      </c>
      <c r="D91">
        <v>650680.12020171306</v>
      </c>
      <c r="E91">
        <v>661127</v>
      </c>
      <c r="F91">
        <v>1878974.4110000001</v>
      </c>
      <c r="G91" s="98">
        <v>3573759.2969999998</v>
      </c>
      <c r="H91">
        <v>5375475.6299999999</v>
      </c>
      <c r="I91">
        <v>6943734.2829999998</v>
      </c>
      <c r="J91">
        <v>8544854.3560000006</v>
      </c>
      <c r="K91" s="98">
        <v>10332103.109999999</v>
      </c>
      <c r="L91" s="98">
        <v>12311179.130000001</v>
      </c>
      <c r="M91">
        <v>14470608.460000001</v>
      </c>
      <c r="N91" s="98">
        <v>16745721.539999999</v>
      </c>
      <c r="O91">
        <v>18850050.440000001</v>
      </c>
      <c r="P91">
        <v>21179099.57</v>
      </c>
      <c r="Q91">
        <v>23966719.210000001</v>
      </c>
      <c r="R91">
        <v>27918323.449999999</v>
      </c>
      <c r="S91">
        <v>32673424.5</v>
      </c>
      <c r="T91">
        <v>38356534.840000004</v>
      </c>
      <c r="U91">
        <v>44716538.149999999</v>
      </c>
      <c r="V91">
        <v>51557760.049999997</v>
      </c>
      <c r="W91">
        <v>57630399.710000001</v>
      </c>
      <c r="X91">
        <v>63215448.579999998</v>
      </c>
      <c r="Y91">
        <v>68056388.689999998</v>
      </c>
      <c r="Z91">
        <v>71961859.090000004</v>
      </c>
      <c r="AA91">
        <v>75817498.890000001</v>
      </c>
      <c r="AB91">
        <v>80010324.379999995</v>
      </c>
      <c r="AC91">
        <v>84710942.989999995</v>
      </c>
      <c r="AD91">
        <v>90064748.450000003</v>
      </c>
      <c r="AE91">
        <v>96134006.590000004</v>
      </c>
      <c r="AF91">
        <v>102926996</v>
      </c>
      <c r="AG91">
        <v>110475481.59999999</v>
      </c>
      <c r="AH91">
        <v>118833887.40000001</v>
      </c>
      <c r="AI91" s="98">
        <v>127980298.40000001</v>
      </c>
      <c r="AJ91">
        <v>137929121.59999999</v>
      </c>
      <c r="AK91">
        <v>148713851.80000001</v>
      </c>
      <c r="AL91" s="98">
        <v>160353849.09999999</v>
      </c>
      <c r="AM91">
        <v>172864050.69999999</v>
      </c>
      <c r="AN91">
        <v>186202301.69999999</v>
      </c>
      <c r="AO91">
        <v>200342157.19999999</v>
      </c>
      <c r="AP91">
        <v>215288320.59999999</v>
      </c>
      <c r="AQ91">
        <v>231096097.30000001</v>
      </c>
      <c r="AR91" s="98">
        <v>247749865.09999999</v>
      </c>
      <c r="AS91">
        <v>265222215.59999999</v>
      </c>
      <c r="AT91">
        <v>283506590.10000002</v>
      </c>
      <c r="AU91">
        <v>302587515.69999999</v>
      </c>
      <c r="AV91">
        <v>322470982.80000001</v>
      </c>
      <c r="AW91">
        <v>343153568.10000002</v>
      </c>
    </row>
    <row r="92" spans="2:49" x14ac:dyDescent="0.25">
      <c r="B92" t="s">
        <v>343</v>
      </c>
      <c r="C92" s="98">
        <v>41062689.603059798</v>
      </c>
      <c r="D92">
        <v>41721964.366740197</v>
      </c>
      <c r="E92">
        <v>42391824</v>
      </c>
      <c r="F92">
        <v>48345314.210000001</v>
      </c>
      <c r="G92" s="98">
        <v>55477704.18</v>
      </c>
      <c r="H92">
        <v>62965906.909999996</v>
      </c>
      <c r="I92">
        <v>69361971.329999998</v>
      </c>
      <c r="J92">
        <v>76017125.069999903</v>
      </c>
      <c r="K92" s="98">
        <v>83526414.790000007</v>
      </c>
      <c r="L92" s="98">
        <v>92237841.450000003</v>
      </c>
      <c r="M92">
        <v>101475564.59999999</v>
      </c>
      <c r="N92">
        <v>110646663.8</v>
      </c>
      <c r="O92">
        <v>118202579.5</v>
      </c>
      <c r="P92">
        <v>126224867.5</v>
      </c>
      <c r="Q92">
        <v>135452343.69999999</v>
      </c>
      <c r="R92">
        <v>149127205.30000001</v>
      </c>
      <c r="S92">
        <v>164515225.40000001</v>
      </c>
      <c r="T92">
        <v>182711001.80000001</v>
      </c>
      <c r="U92">
        <v>201214428.30000001</v>
      </c>
      <c r="V92">
        <v>220336820.19999999</v>
      </c>
      <c r="W92">
        <v>236206286.69999999</v>
      </c>
      <c r="X92">
        <v>250998896.09999999</v>
      </c>
      <c r="Y92">
        <v>263113874.5</v>
      </c>
      <c r="Z92">
        <v>272879115.60000002</v>
      </c>
      <c r="AA92">
        <v>282232911</v>
      </c>
      <c r="AB92">
        <v>292143915.80000001</v>
      </c>
      <c r="AC92">
        <v>302993796.69999999</v>
      </c>
      <c r="AD92">
        <v>314997126.5</v>
      </c>
      <c r="AE92">
        <v>328189701.39999998</v>
      </c>
      <c r="AF92">
        <v>342465071.60000002</v>
      </c>
      <c r="AG92">
        <v>357759527.39999998</v>
      </c>
      <c r="AH92">
        <v>374033202.19999999</v>
      </c>
      <c r="AI92">
        <v>391133713.30000001</v>
      </c>
      <c r="AJ92">
        <v>408963013.80000001</v>
      </c>
      <c r="AK92">
        <v>427435891.89999998</v>
      </c>
      <c r="AL92">
        <v>446472624.60000002</v>
      </c>
      <c r="AM92">
        <v>465996819.89999998</v>
      </c>
      <c r="AN92">
        <v>485873434.69999999</v>
      </c>
      <c r="AO92">
        <v>506012755.30000001</v>
      </c>
      <c r="AP92">
        <v>526330007.5</v>
      </c>
      <c r="AQ92">
        <v>546804858</v>
      </c>
      <c r="AR92">
        <v>567346789.39999998</v>
      </c>
      <c r="AS92">
        <v>587868056.89999998</v>
      </c>
      <c r="AT92">
        <v>608330085</v>
      </c>
      <c r="AU92">
        <v>628666371.39999998</v>
      </c>
      <c r="AV92">
        <v>648833461.20000005</v>
      </c>
      <c r="AW92">
        <v>668775957.89999998</v>
      </c>
    </row>
    <row r="93" spans="2:49" x14ac:dyDescent="0.25">
      <c r="B93" t="s">
        <v>344</v>
      </c>
      <c r="C93" s="98">
        <v>291506404.18067801</v>
      </c>
      <c r="D93" s="98">
        <v>296186633.79021603</v>
      </c>
      <c r="E93" s="98">
        <v>300942006</v>
      </c>
      <c r="F93" s="98">
        <v>329964974.30000001</v>
      </c>
      <c r="G93">
        <v>360070927.60000002</v>
      </c>
      <c r="H93">
        <v>390119483</v>
      </c>
      <c r="I93">
        <v>415240477.39999998</v>
      </c>
      <c r="J93">
        <v>440303294.89999998</v>
      </c>
      <c r="K93" s="98">
        <v>467955648.69999999</v>
      </c>
      <c r="L93" s="98">
        <v>498064051.39999998</v>
      </c>
      <c r="M93">
        <v>527212265.60000002</v>
      </c>
      <c r="N93">
        <v>552712425.39999998</v>
      </c>
      <c r="O93">
        <v>573256646.20000005</v>
      </c>
      <c r="P93">
        <v>590600545.20000005</v>
      </c>
      <c r="Q93">
        <v>609192625.60000002</v>
      </c>
      <c r="R93">
        <v>632883847.39999998</v>
      </c>
      <c r="S93">
        <v>657651191.70000005</v>
      </c>
      <c r="T93">
        <v>683083097.20000005</v>
      </c>
      <c r="U93">
        <v>706793866.39999998</v>
      </c>
      <c r="V93">
        <v>729704748.5</v>
      </c>
      <c r="W93">
        <v>748967452.20000005</v>
      </c>
      <c r="X93">
        <v>765912617.10000002</v>
      </c>
      <c r="Y93">
        <v>780016501.70000005</v>
      </c>
      <c r="Z93">
        <v>792226785.39999998</v>
      </c>
      <c r="AA93">
        <v>803378767.5</v>
      </c>
      <c r="AB93">
        <v>813854194.60000002</v>
      </c>
      <c r="AC93">
        <v>823831863.29999995</v>
      </c>
      <c r="AD93">
        <v>833668260.39999998</v>
      </c>
      <c r="AE93">
        <v>843295932.89999998</v>
      </c>
      <c r="AF93">
        <v>852644113.20000005</v>
      </c>
      <c r="AG93">
        <v>861666480.29999995</v>
      </c>
      <c r="AH93">
        <v>870412722.79999995</v>
      </c>
      <c r="AI93">
        <v>878727569.20000005</v>
      </c>
      <c r="AJ93">
        <v>886477160.70000005</v>
      </c>
      <c r="AK93">
        <v>893668001.10000002</v>
      </c>
      <c r="AL93">
        <v>900235731.39999998</v>
      </c>
      <c r="AM93">
        <v>906121802.79999995</v>
      </c>
      <c r="AN93">
        <v>911188459.60000002</v>
      </c>
      <c r="AO93">
        <v>915477039</v>
      </c>
      <c r="AP93">
        <v>919004430.39999998</v>
      </c>
      <c r="AQ93">
        <v>921845681.20000005</v>
      </c>
      <c r="AR93">
        <v>923916292.10000002</v>
      </c>
      <c r="AS93">
        <v>925239270.29999995</v>
      </c>
      <c r="AT93">
        <v>925905545.5</v>
      </c>
      <c r="AU93">
        <v>925886025.70000005</v>
      </c>
      <c r="AV93">
        <v>925172118.70000005</v>
      </c>
      <c r="AW93">
        <v>923754203</v>
      </c>
    </row>
    <row r="94" spans="2:49" x14ac:dyDescent="0.25">
      <c r="B94" t="s">
        <v>345</v>
      </c>
      <c r="C94" s="98">
        <v>640671991.67983496</v>
      </c>
      <c r="D94" s="98">
        <v>650958187.73748195</v>
      </c>
      <c r="E94" s="98">
        <v>661409532</v>
      </c>
      <c r="F94" s="98">
        <v>679027059.5</v>
      </c>
      <c r="G94" s="98">
        <v>696714100.29999995</v>
      </c>
      <c r="H94" s="98">
        <v>714672816.79999995</v>
      </c>
      <c r="I94" s="98">
        <v>730173435.89999998</v>
      </c>
      <c r="J94" s="98">
        <v>745783347.89999998</v>
      </c>
      <c r="K94" s="98">
        <v>763257447.29999995</v>
      </c>
      <c r="L94" s="98">
        <v>782069054.20000005</v>
      </c>
      <c r="M94" s="98">
        <v>799903538.89999998</v>
      </c>
      <c r="N94" s="98">
        <v>815040239.79999995</v>
      </c>
      <c r="O94" s="98">
        <v>828729368.5</v>
      </c>
      <c r="P94" s="98">
        <v>839629799.60000002</v>
      </c>
      <c r="Q94" s="98">
        <v>850799540.29999995</v>
      </c>
      <c r="R94" s="98">
        <v>861720601.70000005</v>
      </c>
      <c r="S94">
        <v>872384831.10000002</v>
      </c>
      <c r="T94">
        <v>880981250.29999995</v>
      </c>
      <c r="U94">
        <v>888416396.70000005</v>
      </c>
      <c r="V94">
        <v>895528966.79999995</v>
      </c>
      <c r="W94">
        <v>903615459.10000002</v>
      </c>
      <c r="X94">
        <v>911127334.10000002</v>
      </c>
      <c r="Y94">
        <v>919218035.89999998</v>
      </c>
      <c r="Z94">
        <v>928098053.5</v>
      </c>
      <c r="AA94" s="98">
        <v>936528744.5</v>
      </c>
      <c r="AB94" s="98">
        <v>943804056.10000002</v>
      </c>
      <c r="AC94" s="98">
        <v>949656330.89999998</v>
      </c>
      <c r="AD94" s="98">
        <v>954358653.79999995</v>
      </c>
      <c r="AE94" s="98">
        <v>957773934.70000005</v>
      </c>
      <c r="AF94" s="98">
        <v>959927241</v>
      </c>
      <c r="AG94" s="98">
        <v>960827052.10000002</v>
      </c>
      <c r="AH94" s="98">
        <v>960620471.89999998</v>
      </c>
      <c r="AI94" s="98">
        <v>959237574</v>
      </c>
      <c r="AJ94" s="98">
        <v>956635201.39999998</v>
      </c>
      <c r="AK94" s="98">
        <v>952972074</v>
      </c>
      <c r="AL94" s="98">
        <v>948240317.5</v>
      </c>
      <c r="AM94" s="98">
        <v>942415560.79999995</v>
      </c>
      <c r="AN94" s="98">
        <v>935360777.20000005</v>
      </c>
      <c r="AO94" s="98">
        <v>927101448.70000005</v>
      </c>
      <c r="AP94" s="98">
        <v>917711018</v>
      </c>
      <c r="AQ94" s="98">
        <v>907328421.5</v>
      </c>
      <c r="AR94" s="98">
        <v>895909237.70000005</v>
      </c>
      <c r="AS94" s="98">
        <v>883554977.10000002</v>
      </c>
      <c r="AT94" s="98">
        <v>870377127.39999998</v>
      </c>
      <c r="AU94" s="98">
        <v>856377343.29999995</v>
      </c>
      <c r="AV94" s="98">
        <v>841586101.89999998</v>
      </c>
      <c r="AW94">
        <v>827532599.5</v>
      </c>
    </row>
    <row r="95" spans="2:49" x14ac:dyDescent="0.25">
      <c r="B95" t="s">
        <v>346</v>
      </c>
      <c r="C95">
        <v>762047427.55376601</v>
      </c>
      <c r="D95">
        <v>774282345.494367</v>
      </c>
      <c r="E95">
        <v>786713699</v>
      </c>
      <c r="F95">
        <v>767699567.39999998</v>
      </c>
      <c r="G95" s="98">
        <v>747527873.20000005</v>
      </c>
      <c r="H95" s="98">
        <v>727494973</v>
      </c>
      <c r="I95" s="98">
        <v>712522370.20000005</v>
      </c>
      <c r="J95" s="98">
        <v>697740250.89999998</v>
      </c>
      <c r="K95" s="98">
        <v>680521892.60000002</v>
      </c>
      <c r="L95" s="98">
        <v>661043105.79999995</v>
      </c>
      <c r="M95" s="98">
        <v>642531837.60000002</v>
      </c>
      <c r="N95">
        <v>627533010.20000005</v>
      </c>
      <c r="O95">
        <v>618851169.29999995</v>
      </c>
      <c r="P95">
        <v>613133278.70000005</v>
      </c>
      <c r="Q95">
        <v>606013796.5</v>
      </c>
      <c r="R95">
        <v>592868486.5</v>
      </c>
      <c r="S95">
        <v>578088001.10000002</v>
      </c>
      <c r="T95">
        <v>561834886.89999998</v>
      </c>
      <c r="U95">
        <v>546572695.29999995</v>
      </c>
      <c r="V95">
        <v>532419949.80000001</v>
      </c>
      <c r="W95">
        <v>522029733.69999999</v>
      </c>
      <c r="X95">
        <v>513666777</v>
      </c>
      <c r="Y95">
        <v>508055743.19999999</v>
      </c>
      <c r="Z95">
        <v>504476446.5</v>
      </c>
      <c r="AA95">
        <v>501619198.19999999</v>
      </c>
      <c r="AB95">
        <v>498820070.60000002</v>
      </c>
      <c r="AC95">
        <v>495788138.10000002</v>
      </c>
      <c r="AD95">
        <v>492410212.69999999</v>
      </c>
      <c r="AE95">
        <v>488669906.89999998</v>
      </c>
      <c r="AF95">
        <v>484622066</v>
      </c>
      <c r="AG95" s="98">
        <v>480302113.39999998</v>
      </c>
      <c r="AH95" s="98">
        <v>475743877.80000001</v>
      </c>
      <c r="AI95">
        <v>470992841.10000002</v>
      </c>
      <c r="AJ95" s="98">
        <v>466110649.19999999</v>
      </c>
      <c r="AK95" s="98">
        <v>461180363</v>
      </c>
      <c r="AL95">
        <v>456242397.10000002</v>
      </c>
      <c r="AM95">
        <v>451317233.80000001</v>
      </c>
      <c r="AN95" s="98">
        <v>446391321.10000002</v>
      </c>
      <c r="AO95" s="98">
        <v>441382437.10000002</v>
      </c>
      <c r="AP95" s="98">
        <v>436273884.89999998</v>
      </c>
      <c r="AQ95" s="98">
        <v>431076278.19999999</v>
      </c>
      <c r="AR95" s="98">
        <v>425798246</v>
      </c>
      <c r="AS95">
        <v>420450865.19999999</v>
      </c>
      <c r="AT95">
        <v>415018862.89999998</v>
      </c>
      <c r="AU95">
        <v>409495831.69999999</v>
      </c>
      <c r="AV95">
        <v>403879133.5</v>
      </c>
      <c r="AW95">
        <v>398169198.60000002</v>
      </c>
    </row>
    <row r="96" spans="2:49" x14ac:dyDescent="0.25">
      <c r="B96" t="s">
        <v>347</v>
      </c>
      <c r="C96">
        <v>399231640.45290101</v>
      </c>
      <c r="D96">
        <v>405641433.57550502</v>
      </c>
      <c r="E96">
        <v>412154138</v>
      </c>
      <c r="F96">
        <v>399770950.30000001</v>
      </c>
      <c r="G96" s="98">
        <v>386963496.89999998</v>
      </c>
      <c r="H96" s="98">
        <v>374323009.60000002</v>
      </c>
      <c r="I96" s="98">
        <v>364686689.80000001</v>
      </c>
      <c r="J96" s="98">
        <v>355200166.80000001</v>
      </c>
      <c r="K96" s="98">
        <v>344310224.19999999</v>
      </c>
      <c r="L96" s="98">
        <v>332226906.69999999</v>
      </c>
      <c r="M96">
        <v>320914479.80000001</v>
      </c>
      <c r="N96">
        <v>311838186</v>
      </c>
      <c r="O96">
        <v>306397282.30000001</v>
      </c>
      <c r="P96">
        <v>302798126.39999998</v>
      </c>
      <c r="Q96">
        <v>298527730.39999998</v>
      </c>
      <c r="R96">
        <v>291233626.19999999</v>
      </c>
      <c r="S96">
        <v>283181391.89999998</v>
      </c>
      <c r="T96">
        <v>274583841.19999999</v>
      </c>
      <c r="U96">
        <v>266580822.69999999</v>
      </c>
      <c r="V96">
        <v>259249835.69999999</v>
      </c>
      <c r="W96">
        <v>253725539.5</v>
      </c>
      <c r="X96">
        <v>249243253.90000001</v>
      </c>
      <c r="Y96">
        <v>246074724.69999999</v>
      </c>
      <c r="Z96">
        <v>243839852.69999999</v>
      </c>
      <c r="AA96">
        <v>241987695.80000001</v>
      </c>
      <c r="AB96">
        <v>240231349.90000001</v>
      </c>
      <c r="AC96">
        <v>238435779.19999999</v>
      </c>
      <c r="AD96">
        <v>236545034.09999999</v>
      </c>
      <c r="AE96">
        <v>234545923.30000001</v>
      </c>
      <c r="AF96">
        <v>232452806.40000001</v>
      </c>
      <c r="AG96">
        <v>230272838.5</v>
      </c>
      <c r="AH96">
        <v>228014551.90000001</v>
      </c>
      <c r="AI96">
        <v>225689366.19999999</v>
      </c>
      <c r="AJ96">
        <v>223325031.19999999</v>
      </c>
      <c r="AK96">
        <v>220956569.90000001</v>
      </c>
      <c r="AL96">
        <v>218597994.59999999</v>
      </c>
      <c r="AM96">
        <v>216253504.59999999</v>
      </c>
      <c r="AN96">
        <v>213908482.09999999</v>
      </c>
      <c r="AO96">
        <v>211510411.59999999</v>
      </c>
      <c r="AP96">
        <v>209043758</v>
      </c>
      <c r="AQ96">
        <v>206510445.5</v>
      </c>
      <c r="AR96">
        <v>203914499.90000001</v>
      </c>
      <c r="AS96">
        <v>201256441.80000001</v>
      </c>
      <c r="AT96">
        <v>198521003.19999999</v>
      </c>
      <c r="AU96">
        <v>195704775.09999999</v>
      </c>
      <c r="AV96">
        <v>192808713.90000001</v>
      </c>
      <c r="AW96">
        <v>189835701.90000001</v>
      </c>
    </row>
    <row r="97" spans="2:49" x14ac:dyDescent="0.25">
      <c r="B97" t="s">
        <v>348</v>
      </c>
      <c r="C97">
        <v>182970972.649156</v>
      </c>
      <c r="D97" s="98">
        <v>185908630.79867601</v>
      </c>
      <c r="E97" s="98">
        <v>188893454</v>
      </c>
      <c r="F97" s="98">
        <v>191056225.80000001</v>
      </c>
      <c r="G97">
        <v>192244893.59999999</v>
      </c>
      <c r="H97">
        <v>192705774.80000001</v>
      </c>
      <c r="I97" s="98">
        <v>194071059.69999999</v>
      </c>
      <c r="J97" s="98">
        <v>195013257.30000001</v>
      </c>
      <c r="K97" s="98">
        <v>194564057.80000001</v>
      </c>
      <c r="L97" s="98">
        <v>192646774.30000001</v>
      </c>
      <c r="M97">
        <v>190490103.09999999</v>
      </c>
      <c r="N97">
        <v>189152753.19999999</v>
      </c>
      <c r="O97" s="98">
        <v>189701349.59999999</v>
      </c>
      <c r="P97">
        <v>191092550.19999999</v>
      </c>
      <c r="Q97">
        <v>191729756.90000001</v>
      </c>
      <c r="R97">
        <v>189715034.90000001</v>
      </c>
      <c r="S97">
        <v>186657673.90000001</v>
      </c>
      <c r="T97">
        <v>182678959</v>
      </c>
      <c r="U97">
        <v>178762829.40000001</v>
      </c>
      <c r="V97">
        <v>174985108.5</v>
      </c>
      <c r="W97">
        <v>172349650.19999999</v>
      </c>
      <c r="X97">
        <v>170247195.90000001</v>
      </c>
      <c r="Y97">
        <v>169008826.40000001</v>
      </c>
      <c r="Z97">
        <v>168369796.69999999</v>
      </c>
      <c r="AA97">
        <v>167919209.09999999</v>
      </c>
      <c r="AB97">
        <v>167420774.69999999</v>
      </c>
      <c r="AC97">
        <v>166767321.09999999</v>
      </c>
      <c r="AD97">
        <v>165920181.19999999</v>
      </c>
      <c r="AE97">
        <v>164873641.69999999</v>
      </c>
      <c r="AF97">
        <v>163648046.90000001</v>
      </c>
      <c r="AG97">
        <v>162260931.40000001</v>
      </c>
      <c r="AH97">
        <v>160726210.30000001</v>
      </c>
      <c r="AI97">
        <v>159056646</v>
      </c>
      <c r="AJ97">
        <v>157272337.19999999</v>
      </c>
      <c r="AK97">
        <v>155411141.90000001</v>
      </c>
      <c r="AL97">
        <v>153495898</v>
      </c>
      <c r="AM97">
        <v>151541961.90000001</v>
      </c>
      <c r="AN97">
        <v>149549558.69999999</v>
      </c>
      <c r="AO97">
        <v>147489261</v>
      </c>
      <c r="AP97">
        <v>145360321.19999999</v>
      </c>
      <c r="AQ97">
        <v>143172906</v>
      </c>
      <c r="AR97">
        <v>140936735.90000001</v>
      </c>
      <c r="AS97">
        <v>138661900.40000001</v>
      </c>
      <c r="AT97">
        <v>136353876.5</v>
      </c>
      <c r="AU97">
        <v>134018423</v>
      </c>
      <c r="AV97">
        <v>131658513.90000001</v>
      </c>
      <c r="AW97">
        <v>129276082.7</v>
      </c>
    </row>
    <row r="98" spans="2:49" x14ac:dyDescent="0.25">
      <c r="B98" s="60" t="s">
        <v>349</v>
      </c>
      <c r="C98">
        <v>651205.12405279896</v>
      </c>
      <c r="D98">
        <v>661660.432957732</v>
      </c>
      <c r="E98">
        <v>672283.60519999999</v>
      </c>
      <c r="F98">
        <v>690924.66559999995</v>
      </c>
      <c r="G98">
        <v>678581.71100000001</v>
      </c>
      <c r="H98">
        <v>619435.65870000003</v>
      </c>
      <c r="I98">
        <v>636180.69220000005</v>
      </c>
      <c r="J98">
        <v>653802.57869999995</v>
      </c>
      <c r="K98">
        <v>644454.95090000005</v>
      </c>
      <c r="L98">
        <v>636957.33299999998</v>
      </c>
      <c r="M98">
        <v>640329.71609999996</v>
      </c>
      <c r="N98">
        <v>649163.82010000001</v>
      </c>
      <c r="O98">
        <v>659683.12349999999</v>
      </c>
      <c r="P98">
        <v>687399.4203</v>
      </c>
      <c r="Q98">
        <v>700150.70160000003</v>
      </c>
      <c r="R98">
        <v>714944.25320000004</v>
      </c>
      <c r="S98">
        <v>711882.74239999999</v>
      </c>
      <c r="T98">
        <v>721555.17850000004</v>
      </c>
      <c r="U98">
        <v>728694.39749999996</v>
      </c>
      <c r="V98">
        <v>741795.46050000004</v>
      </c>
      <c r="W98">
        <v>738925.92669999995</v>
      </c>
      <c r="X98">
        <v>732845.52650000004</v>
      </c>
      <c r="Y98">
        <v>730823.8763</v>
      </c>
      <c r="Z98">
        <v>730226.39809999999</v>
      </c>
      <c r="AA98">
        <v>729308.86860000005</v>
      </c>
      <c r="AB98">
        <v>728734.00789999997</v>
      </c>
      <c r="AC98">
        <v>728000.61029999994</v>
      </c>
      <c r="AD98">
        <v>734067.18870000006</v>
      </c>
      <c r="AE98">
        <v>738379.85829999996</v>
      </c>
      <c r="AF98">
        <v>743362.71479999996</v>
      </c>
      <c r="AG98">
        <v>748207.56499999994</v>
      </c>
      <c r="AH98">
        <v>752935.1361</v>
      </c>
      <c r="AI98">
        <v>760686.33799999999</v>
      </c>
      <c r="AJ98">
        <v>768062.97080000001</v>
      </c>
      <c r="AK98">
        <v>775191.93359999999</v>
      </c>
      <c r="AL98">
        <v>782549.91040000005</v>
      </c>
      <c r="AM98">
        <v>790170.16619999998</v>
      </c>
      <c r="AN98">
        <v>797565.40969999996</v>
      </c>
      <c r="AO98">
        <v>806164.60829999996</v>
      </c>
      <c r="AP98">
        <v>815058.30480000004</v>
      </c>
      <c r="AQ98">
        <v>824347.93180000002</v>
      </c>
      <c r="AR98">
        <v>833170.82860000001</v>
      </c>
      <c r="AS98">
        <v>843404.1409</v>
      </c>
      <c r="AT98">
        <v>853207.4351</v>
      </c>
      <c r="AU98">
        <v>862849.40460000001</v>
      </c>
      <c r="AV98">
        <v>872579.33380000002</v>
      </c>
      <c r="AW98">
        <v>882779.29209999996</v>
      </c>
    </row>
    <row r="99" spans="2:49" x14ac:dyDescent="0.25">
      <c r="B99" t="s">
        <v>350</v>
      </c>
      <c r="C99">
        <v>11699515.674308199</v>
      </c>
      <c r="D99">
        <v>11887355.182774801</v>
      </c>
      <c r="E99">
        <v>12078210.52</v>
      </c>
      <c r="F99">
        <v>12394208.23</v>
      </c>
      <c r="G99">
        <v>12130936.02</v>
      </c>
      <c r="H99">
        <v>11018218.310000001</v>
      </c>
      <c r="I99">
        <v>11233802.220000001</v>
      </c>
      <c r="J99">
        <v>11656711.98</v>
      </c>
      <c r="K99">
        <v>11446952.24</v>
      </c>
      <c r="L99">
        <v>11263843.59</v>
      </c>
      <c r="M99">
        <v>11300821.92</v>
      </c>
      <c r="N99">
        <v>11409654.07</v>
      </c>
      <c r="O99">
        <v>11619492.98</v>
      </c>
      <c r="P99">
        <v>12136393.41</v>
      </c>
      <c r="Q99">
        <v>12362443.25</v>
      </c>
      <c r="R99">
        <v>12640256.91</v>
      </c>
      <c r="S99">
        <v>12352593.52</v>
      </c>
      <c r="T99">
        <v>12667602.92</v>
      </c>
      <c r="U99">
        <v>12740456.220000001</v>
      </c>
      <c r="V99">
        <v>13042193.6</v>
      </c>
      <c r="W99">
        <v>12992678.17</v>
      </c>
      <c r="X99">
        <v>12964773.27</v>
      </c>
      <c r="Y99">
        <v>12818430.41</v>
      </c>
      <c r="Z99">
        <v>12758639.01</v>
      </c>
      <c r="AA99">
        <v>12720259.57</v>
      </c>
      <c r="AB99">
        <v>12690629.199999999</v>
      </c>
      <c r="AC99">
        <v>12694701.5</v>
      </c>
      <c r="AD99">
        <v>12749930.050000001</v>
      </c>
      <c r="AE99" s="98">
        <v>12792777.01</v>
      </c>
      <c r="AF99" s="98">
        <v>12856314.300000001</v>
      </c>
      <c r="AG99">
        <v>12912449.16</v>
      </c>
      <c r="AH99">
        <v>13003797.84</v>
      </c>
      <c r="AI99">
        <v>13093065.68</v>
      </c>
      <c r="AJ99" s="98">
        <v>13171338.869999999</v>
      </c>
      <c r="AK99">
        <v>13262592.189999999</v>
      </c>
      <c r="AL99">
        <v>13357597.93</v>
      </c>
      <c r="AM99">
        <v>13453869.18</v>
      </c>
      <c r="AN99">
        <v>13524277.84</v>
      </c>
      <c r="AO99">
        <v>13614893.699999999</v>
      </c>
      <c r="AP99">
        <v>13705673.220000001</v>
      </c>
      <c r="AQ99">
        <v>13814761.039999999</v>
      </c>
      <c r="AR99">
        <v>13921416.859999999</v>
      </c>
      <c r="AS99">
        <v>14025684.109999999</v>
      </c>
      <c r="AT99">
        <v>14126854.550000001</v>
      </c>
      <c r="AU99">
        <v>14218922.9</v>
      </c>
      <c r="AV99">
        <v>14311869.630000001</v>
      </c>
      <c r="AW99">
        <v>14462778.66</v>
      </c>
    </row>
    <row r="100" spans="2:49" x14ac:dyDescent="0.25">
      <c r="B100" t="s">
        <v>351</v>
      </c>
      <c r="C100">
        <v>12350720.798361</v>
      </c>
      <c r="D100">
        <v>12549015.615732601</v>
      </c>
      <c r="E100">
        <v>12750494.119999999</v>
      </c>
      <c r="F100">
        <v>13085132.9</v>
      </c>
      <c r="G100" s="98">
        <v>12809517.73</v>
      </c>
      <c r="H100">
        <v>11637653.970000001</v>
      </c>
      <c r="I100">
        <v>11869982.91</v>
      </c>
      <c r="J100">
        <v>12310514.560000001</v>
      </c>
      <c r="K100" s="98">
        <v>12091407.189999999</v>
      </c>
      <c r="L100" s="98">
        <v>11900800.92</v>
      </c>
      <c r="M100" s="98">
        <v>11941151.640000001</v>
      </c>
      <c r="N100">
        <v>12058817.890000001</v>
      </c>
      <c r="O100">
        <v>12279176.1</v>
      </c>
      <c r="P100">
        <v>12823792.83</v>
      </c>
      <c r="Q100">
        <v>13062593.949999999</v>
      </c>
      <c r="R100">
        <v>13355201.16</v>
      </c>
      <c r="S100">
        <v>13064476.26</v>
      </c>
      <c r="T100">
        <v>13389158.09</v>
      </c>
      <c r="U100">
        <v>13469150.609999999</v>
      </c>
      <c r="V100">
        <v>13783989.060000001</v>
      </c>
      <c r="W100">
        <v>13731604.1</v>
      </c>
      <c r="X100">
        <v>13697618.800000001</v>
      </c>
      <c r="Y100">
        <v>13549254.289999999</v>
      </c>
      <c r="Z100">
        <v>13488865.41</v>
      </c>
      <c r="AA100">
        <v>13449568.439999999</v>
      </c>
      <c r="AB100">
        <v>13419363.210000001</v>
      </c>
      <c r="AC100">
        <v>13422702.109999999</v>
      </c>
      <c r="AD100">
        <v>13483997.24</v>
      </c>
      <c r="AE100">
        <v>13531156.869999999</v>
      </c>
      <c r="AF100">
        <v>13599677.01</v>
      </c>
      <c r="AG100">
        <v>13660656.720000001</v>
      </c>
      <c r="AH100">
        <v>13756732.98</v>
      </c>
      <c r="AI100">
        <v>13853752.02</v>
      </c>
      <c r="AJ100">
        <v>13939401.84</v>
      </c>
      <c r="AK100">
        <v>14037784.130000001</v>
      </c>
      <c r="AL100">
        <v>14140147.84</v>
      </c>
      <c r="AM100">
        <v>14244039.34</v>
      </c>
      <c r="AN100">
        <v>14321843.25</v>
      </c>
      <c r="AO100">
        <v>14421058.310000001</v>
      </c>
      <c r="AP100">
        <v>14520731.529999999</v>
      </c>
      <c r="AQ100">
        <v>14639108.970000001</v>
      </c>
      <c r="AR100">
        <v>14754587.689999999</v>
      </c>
      <c r="AS100">
        <v>14869088.25</v>
      </c>
      <c r="AT100">
        <v>14980061.99</v>
      </c>
      <c r="AU100">
        <v>15081772.300000001</v>
      </c>
      <c r="AV100">
        <v>15184448.970000001</v>
      </c>
      <c r="AW100">
        <v>15345557.949999999</v>
      </c>
    </row>
    <row r="101" spans="2:49" x14ac:dyDescent="0.25">
      <c r="B101" t="s">
        <v>352</v>
      </c>
      <c r="C101" s="98">
        <v>144913116.15770999</v>
      </c>
      <c r="D101" s="98">
        <v>147239743.11109701</v>
      </c>
      <c r="E101" s="98">
        <v>149603724.80000001</v>
      </c>
      <c r="F101">
        <v>149849048.90000001</v>
      </c>
      <c r="G101">
        <v>144557799.5</v>
      </c>
      <c r="H101">
        <v>144191908.30000001</v>
      </c>
      <c r="I101">
        <v>141808482.69999999</v>
      </c>
      <c r="J101">
        <v>138106699.80000001</v>
      </c>
      <c r="K101">
        <v>133899500.7</v>
      </c>
      <c r="L101">
        <v>130785530.2</v>
      </c>
      <c r="M101">
        <v>128487761.8</v>
      </c>
      <c r="N101">
        <v>126993668</v>
      </c>
      <c r="O101">
        <v>127019785</v>
      </c>
      <c r="P101">
        <v>125395342.40000001</v>
      </c>
      <c r="Q101">
        <v>122539934.90000001</v>
      </c>
      <c r="R101">
        <v>120742407.09999999</v>
      </c>
      <c r="S101">
        <v>119504026.09999999</v>
      </c>
      <c r="T101">
        <v>116999077.09999999</v>
      </c>
      <c r="U101">
        <v>114493949.3</v>
      </c>
      <c r="V101">
        <v>111728716.59999999</v>
      </c>
      <c r="W101">
        <v>110654783.40000001</v>
      </c>
      <c r="X101">
        <v>108780823.59999999</v>
      </c>
      <c r="Y101">
        <v>107337225.59999999</v>
      </c>
      <c r="Z101">
        <v>106528802.8</v>
      </c>
      <c r="AA101">
        <v>105755130.59999999</v>
      </c>
      <c r="AB101">
        <v>104935523.59999999</v>
      </c>
      <c r="AC101">
        <v>103479900.09999999</v>
      </c>
      <c r="AD101">
        <v>102379335.3</v>
      </c>
      <c r="AE101">
        <v>101593934.90000001</v>
      </c>
      <c r="AF101">
        <v>100757646.2</v>
      </c>
      <c r="AG101">
        <v>99872202.239999995</v>
      </c>
      <c r="AH101">
        <v>98876221.739999995</v>
      </c>
      <c r="AI101">
        <v>97717041.909999996</v>
      </c>
      <c r="AJ101">
        <v>96623165.950000003</v>
      </c>
      <c r="AK101">
        <v>95533011.329999998</v>
      </c>
      <c r="AL101">
        <v>94435338.730000004</v>
      </c>
      <c r="AM101">
        <v>93328921.549999997</v>
      </c>
      <c r="AN101">
        <v>92133664.549999997</v>
      </c>
      <c r="AO101">
        <v>90884839.109999999</v>
      </c>
      <c r="AP101">
        <v>89594502.010000005</v>
      </c>
      <c r="AQ101">
        <v>88286487.450000003</v>
      </c>
      <c r="AR101">
        <v>86765072.069999903</v>
      </c>
      <c r="AS101">
        <v>85311532.599999994</v>
      </c>
      <c r="AT101">
        <v>83888333.780000001</v>
      </c>
      <c r="AU101" s="98">
        <v>82463522.790000007</v>
      </c>
      <c r="AV101" s="98">
        <v>81030202.170000002</v>
      </c>
      <c r="AW101">
        <v>79600758.760000005</v>
      </c>
    </row>
    <row r="102" spans="2:49" x14ac:dyDescent="0.25">
      <c r="B102" t="s">
        <v>353</v>
      </c>
      <c r="C102" s="98">
        <v>1098851.8998263199</v>
      </c>
      <c r="D102" s="98">
        <v>1116494.32251175</v>
      </c>
      <c r="E102" s="98">
        <v>1134420</v>
      </c>
      <c r="F102" s="98">
        <v>1125136.389</v>
      </c>
      <c r="G102" s="98">
        <v>1112699.9669999999</v>
      </c>
      <c r="H102" s="98">
        <v>1098655.1510000001</v>
      </c>
      <c r="I102">
        <v>1090758.8570000001</v>
      </c>
      <c r="J102" s="98">
        <v>1082003.0619999999</v>
      </c>
      <c r="K102" s="98">
        <v>1068001.4890000001</v>
      </c>
      <c r="L102" s="98">
        <v>1048743.5049999999</v>
      </c>
      <c r="M102" s="98">
        <v>1029745.095</v>
      </c>
      <c r="N102" s="98">
        <v>1015521.91</v>
      </c>
      <c r="O102">
        <v>1010924.415</v>
      </c>
      <c r="P102">
        <v>1010649.922</v>
      </c>
      <c r="Q102">
        <v>1007508.3590000001</v>
      </c>
      <c r="R102">
        <v>993270.62849999999</v>
      </c>
      <c r="S102">
        <v>975247.2977</v>
      </c>
      <c r="T102">
        <v>953800.72699999996</v>
      </c>
      <c r="U102">
        <v>933210.63289999997</v>
      </c>
      <c r="V102">
        <v>913851.68389999995</v>
      </c>
      <c r="W102">
        <v>900146.0649</v>
      </c>
      <c r="X102">
        <v>889233.97479999997</v>
      </c>
      <c r="Y102">
        <v>882508.61609999998</v>
      </c>
      <c r="Z102">
        <v>878783.1398</v>
      </c>
      <c r="AA102">
        <v>876034.61040000001</v>
      </c>
      <c r="AB102">
        <v>873154.2574</v>
      </c>
      <c r="AC102">
        <v>869643.54509999999</v>
      </c>
      <c r="AD102">
        <v>865349.5577</v>
      </c>
      <c r="AE102">
        <v>860228.92420000001</v>
      </c>
      <c r="AF102">
        <v>854364.49199999997</v>
      </c>
      <c r="AG102">
        <v>847818.32090000005</v>
      </c>
      <c r="AH102">
        <v>840657.25199999998</v>
      </c>
      <c r="AI102">
        <v>832930.43669999996</v>
      </c>
      <c r="AJ102">
        <v>824726.56940000004</v>
      </c>
      <c r="AK102">
        <v>816211.11529999995</v>
      </c>
      <c r="AL102">
        <v>807464.96790000005</v>
      </c>
      <c r="AM102">
        <v>798534.18740000005</v>
      </c>
      <c r="AN102">
        <v>789389.52399999998</v>
      </c>
      <c r="AO102">
        <v>779889.77819999994</v>
      </c>
      <c r="AP102">
        <v>770021.63549999997</v>
      </c>
      <c r="AQ102">
        <v>759828.75410000002</v>
      </c>
      <c r="AR102">
        <v>749336.92740000004</v>
      </c>
      <c r="AS102">
        <v>738584.88459999999</v>
      </c>
      <c r="AT102">
        <v>727579.51890000002</v>
      </c>
      <c r="AU102">
        <v>716330.18240000005</v>
      </c>
      <c r="AV102">
        <v>704846.84530000004</v>
      </c>
      <c r="AW102">
        <v>693275.05570000003</v>
      </c>
    </row>
    <row r="103" spans="2:49" x14ac:dyDescent="0.25">
      <c r="B103" t="s">
        <v>354</v>
      </c>
      <c r="C103">
        <v>1098851.8998263199</v>
      </c>
      <c r="D103">
        <v>1116494.32251175</v>
      </c>
      <c r="E103">
        <v>1134420</v>
      </c>
      <c r="F103">
        <v>1125136.389</v>
      </c>
      <c r="G103">
        <v>1112699.9669999999</v>
      </c>
      <c r="H103">
        <v>1098655.1510000001</v>
      </c>
      <c r="I103">
        <v>1090758.8570000001</v>
      </c>
      <c r="J103">
        <v>1082003.0619999999</v>
      </c>
      <c r="K103">
        <v>1068001.4890000001</v>
      </c>
      <c r="L103">
        <v>1048743.5049999999</v>
      </c>
      <c r="M103">
        <v>1029745.095</v>
      </c>
      <c r="N103">
        <v>1015521.91</v>
      </c>
      <c r="O103">
        <v>1010924.415</v>
      </c>
      <c r="P103">
        <v>1010649.922</v>
      </c>
      <c r="Q103">
        <v>1007508.3590000001</v>
      </c>
      <c r="R103">
        <v>993270.62849999999</v>
      </c>
      <c r="S103">
        <v>975247.2977</v>
      </c>
      <c r="T103">
        <v>953800.72699999996</v>
      </c>
      <c r="U103">
        <v>933210.63289999997</v>
      </c>
      <c r="V103">
        <v>913851.68389999995</v>
      </c>
      <c r="W103">
        <v>900146.0649</v>
      </c>
      <c r="X103">
        <v>889233.97479999997</v>
      </c>
      <c r="Y103">
        <v>882508.61609999998</v>
      </c>
      <c r="Z103">
        <v>878783.1398</v>
      </c>
      <c r="AA103">
        <v>876034.61040000001</v>
      </c>
      <c r="AB103">
        <v>873154.2574</v>
      </c>
      <c r="AC103">
        <v>869643.54509999999</v>
      </c>
      <c r="AD103">
        <v>865349.5577</v>
      </c>
      <c r="AE103">
        <v>860228.92420000001</v>
      </c>
      <c r="AF103">
        <v>854364.49199999997</v>
      </c>
      <c r="AG103">
        <v>847818.32090000005</v>
      </c>
      <c r="AH103">
        <v>840657.25199999998</v>
      </c>
      <c r="AI103">
        <v>832930.43669999996</v>
      </c>
      <c r="AJ103">
        <v>824726.56940000004</v>
      </c>
      <c r="AK103">
        <v>816211.11529999995</v>
      </c>
      <c r="AL103">
        <v>807464.96790000005</v>
      </c>
      <c r="AM103">
        <v>798534.18740000005</v>
      </c>
      <c r="AN103">
        <v>789389.52399999998</v>
      </c>
      <c r="AO103">
        <v>779889.77819999994</v>
      </c>
      <c r="AP103">
        <v>770021.63549999997</v>
      </c>
      <c r="AQ103">
        <v>759828.75410000002</v>
      </c>
      <c r="AR103">
        <v>749336.92740000004</v>
      </c>
      <c r="AS103">
        <v>738584.88459999999</v>
      </c>
      <c r="AT103">
        <v>727579.51890000002</v>
      </c>
      <c r="AU103">
        <v>716330.18240000005</v>
      </c>
      <c r="AV103">
        <v>704846.84530000004</v>
      </c>
      <c r="AW103">
        <v>693275.05570000003</v>
      </c>
    </row>
    <row r="104" spans="2:49" x14ac:dyDescent="0.25">
      <c r="B104" t="s">
        <v>355</v>
      </c>
      <c r="C104" s="98">
        <v>105875266.531468</v>
      </c>
      <c r="D104">
        <v>107575128.18195701</v>
      </c>
      <c r="E104">
        <v>109302281.7</v>
      </c>
      <c r="F104">
        <v>110424264.7</v>
      </c>
      <c r="G104" s="98">
        <v>106473210.5</v>
      </c>
      <c r="H104">
        <v>107223513.7</v>
      </c>
      <c r="I104">
        <v>105212890.40000001</v>
      </c>
      <c r="J104">
        <v>102554129.2</v>
      </c>
      <c r="K104" s="98">
        <v>100017595.90000001</v>
      </c>
      <c r="L104" s="98">
        <v>98313550.5</v>
      </c>
      <c r="M104">
        <v>97003787.709999904</v>
      </c>
      <c r="N104" s="98">
        <v>96220587.140000001</v>
      </c>
      <c r="O104">
        <v>95808989.969999999</v>
      </c>
      <c r="P104">
        <v>94196670.519999996</v>
      </c>
      <c r="Q104">
        <v>92250329.560000002</v>
      </c>
      <c r="R104">
        <v>91125649.379999995</v>
      </c>
      <c r="S104">
        <v>90433569.209999904</v>
      </c>
      <c r="T104">
        <v>89696927.079999998</v>
      </c>
      <c r="U104">
        <v>88556785.590000004</v>
      </c>
      <c r="V104">
        <v>87128490.219999999</v>
      </c>
      <c r="W104">
        <v>86134317.099999994</v>
      </c>
      <c r="X104">
        <v>84197049.709999904</v>
      </c>
      <c r="Y104">
        <v>82685150.799999997</v>
      </c>
      <c r="Z104">
        <v>81658046.25</v>
      </c>
      <c r="AA104">
        <v>80718003.819999903</v>
      </c>
      <c r="AB104">
        <v>79743459.040000007</v>
      </c>
      <c r="AC104">
        <v>78141058.900000006</v>
      </c>
      <c r="AD104">
        <v>76913306.359999999</v>
      </c>
      <c r="AE104">
        <v>76032863.670000002</v>
      </c>
      <c r="AF104">
        <v>75103059.950000003</v>
      </c>
      <c r="AG104">
        <v>74155459.060000002</v>
      </c>
      <c r="AH104">
        <v>73132229.510000005</v>
      </c>
      <c r="AI104" s="98">
        <v>72000915.25</v>
      </c>
      <c r="AJ104">
        <v>70936817.769999996</v>
      </c>
      <c r="AK104">
        <v>69888773.829999998</v>
      </c>
      <c r="AL104" s="98">
        <v>68843659.25</v>
      </c>
      <c r="AM104">
        <v>67799965.780000001</v>
      </c>
      <c r="AN104">
        <v>66684349.079999998</v>
      </c>
      <c r="AO104">
        <v>65522224.329999998</v>
      </c>
      <c r="AP104">
        <v>64336380.219999999</v>
      </c>
      <c r="AQ104">
        <v>63140604.600000001</v>
      </c>
      <c r="AR104" s="98">
        <v>61754771.810000002</v>
      </c>
      <c r="AS104">
        <v>60416902.740000002</v>
      </c>
      <c r="AT104">
        <v>59111029.390000001</v>
      </c>
      <c r="AU104">
        <v>57817078.899999999</v>
      </c>
      <c r="AV104">
        <v>56528584.079999998</v>
      </c>
      <c r="AW104">
        <v>55251351.649999999</v>
      </c>
    </row>
    <row r="105" spans="2:49" x14ac:dyDescent="0.25">
      <c r="B105" t="s">
        <v>356</v>
      </c>
      <c r="C105" s="98">
        <v>105875266.531468</v>
      </c>
      <c r="D105">
        <v>107575128.18195701</v>
      </c>
      <c r="E105">
        <v>109302281.7</v>
      </c>
      <c r="F105">
        <v>110424264.7</v>
      </c>
      <c r="G105" s="98">
        <v>106473210.5</v>
      </c>
      <c r="H105">
        <v>107223513.7</v>
      </c>
      <c r="I105">
        <v>105212890.40000001</v>
      </c>
      <c r="J105">
        <v>102554129.2</v>
      </c>
      <c r="K105" s="98">
        <v>100017595.90000001</v>
      </c>
      <c r="L105" s="98">
        <v>98313550.5</v>
      </c>
      <c r="M105">
        <v>97003787.709999904</v>
      </c>
      <c r="N105">
        <v>96220587.140000001</v>
      </c>
      <c r="O105">
        <v>95808989.969999999</v>
      </c>
      <c r="P105">
        <v>94196670.519999996</v>
      </c>
      <c r="Q105">
        <v>92250329.560000002</v>
      </c>
      <c r="R105">
        <v>91125649.379999995</v>
      </c>
      <c r="S105">
        <v>90433569.209999904</v>
      </c>
      <c r="T105">
        <v>89696927.079999998</v>
      </c>
      <c r="U105">
        <v>88556785.590000004</v>
      </c>
      <c r="V105">
        <v>87128490.219999999</v>
      </c>
      <c r="W105">
        <v>86134317.099999994</v>
      </c>
      <c r="X105">
        <v>84197049.709999904</v>
      </c>
      <c r="Y105">
        <v>82685150.799999997</v>
      </c>
      <c r="Z105">
        <v>81658046.25</v>
      </c>
      <c r="AA105">
        <v>80718003.819999903</v>
      </c>
      <c r="AB105">
        <v>79743459.040000007</v>
      </c>
      <c r="AC105">
        <v>78141058.900000006</v>
      </c>
      <c r="AD105">
        <v>76913306.359999999</v>
      </c>
      <c r="AE105">
        <v>76032863.670000002</v>
      </c>
      <c r="AF105">
        <v>75103059.950000003</v>
      </c>
      <c r="AG105">
        <v>74155459.060000002</v>
      </c>
      <c r="AH105">
        <v>73132229.510000005</v>
      </c>
      <c r="AI105">
        <v>72000915.25</v>
      </c>
      <c r="AJ105">
        <v>70936817.769999996</v>
      </c>
      <c r="AK105">
        <v>69888773.829999998</v>
      </c>
      <c r="AL105">
        <v>68843659.25</v>
      </c>
      <c r="AM105">
        <v>67799965.780000001</v>
      </c>
      <c r="AN105">
        <v>66684349.079999998</v>
      </c>
      <c r="AO105">
        <v>65522224.329999998</v>
      </c>
      <c r="AP105">
        <v>64336380.219999999</v>
      </c>
      <c r="AQ105">
        <v>63140604.600000001</v>
      </c>
      <c r="AR105">
        <v>61754771.810000002</v>
      </c>
      <c r="AS105">
        <v>60416902.740000002</v>
      </c>
      <c r="AT105">
        <v>59111029.390000001</v>
      </c>
      <c r="AU105">
        <v>57817078.899999999</v>
      </c>
      <c r="AV105">
        <v>56528584.079999998</v>
      </c>
      <c r="AW105">
        <v>55251351.649999999</v>
      </c>
    </row>
    <row r="106" spans="2:49" x14ac:dyDescent="0.25">
      <c r="B106" t="s">
        <v>357</v>
      </c>
      <c r="C106">
        <v>37938997.726415001</v>
      </c>
      <c r="D106">
        <v>38548120.6066292</v>
      </c>
      <c r="E106">
        <v>39167023.149999999</v>
      </c>
      <c r="F106">
        <v>38299647.840000004</v>
      </c>
      <c r="G106">
        <v>36971889.119999997</v>
      </c>
      <c r="H106">
        <v>35869739.509999998</v>
      </c>
      <c r="I106">
        <v>35504833.469999999</v>
      </c>
      <c r="J106">
        <v>34470567.539999999</v>
      </c>
      <c r="K106" s="98">
        <v>32813903.399999999</v>
      </c>
      <c r="L106" s="98">
        <v>31423236.219999999</v>
      </c>
      <c r="M106">
        <v>30454228.969999999</v>
      </c>
      <c r="N106">
        <v>29757558.91</v>
      </c>
      <c r="O106">
        <v>30199870.600000001</v>
      </c>
      <c r="P106">
        <v>30188021.949999999</v>
      </c>
      <c r="Q106">
        <v>29282096.949999999</v>
      </c>
      <c r="R106">
        <v>28623487.100000001</v>
      </c>
      <c r="S106">
        <v>28095209.600000001</v>
      </c>
      <c r="T106">
        <v>26348349.280000001</v>
      </c>
      <c r="U106">
        <v>25003953.109999999</v>
      </c>
      <c r="V106">
        <v>23686374.690000001</v>
      </c>
      <c r="W106">
        <v>23620320.23</v>
      </c>
      <c r="X106">
        <v>23694539.879999999</v>
      </c>
      <c r="Y106">
        <v>23769566.199999999</v>
      </c>
      <c r="Z106">
        <v>23991973.379999999</v>
      </c>
      <c r="AA106">
        <v>24161092.170000002</v>
      </c>
      <c r="AB106">
        <v>24318910.329999998</v>
      </c>
      <c r="AC106">
        <v>24469197.699999999</v>
      </c>
      <c r="AD106">
        <v>24600679.390000001</v>
      </c>
      <c r="AE106">
        <v>24700842.300000001</v>
      </c>
      <c r="AF106">
        <v>24800221.760000002</v>
      </c>
      <c r="AG106">
        <v>24868924.859999999</v>
      </c>
      <c r="AH106">
        <v>24903334.98</v>
      </c>
      <c r="AI106">
        <v>24883196.23</v>
      </c>
      <c r="AJ106">
        <v>24861621.609999999</v>
      </c>
      <c r="AK106">
        <v>24828026.379999999</v>
      </c>
      <c r="AL106">
        <v>24784214.510000002</v>
      </c>
      <c r="AM106">
        <v>24730421.579999998</v>
      </c>
      <c r="AN106">
        <v>24659925.949999999</v>
      </c>
      <c r="AO106">
        <v>24582725</v>
      </c>
      <c r="AP106">
        <v>24488100.16</v>
      </c>
      <c r="AQ106">
        <v>24386054.100000001</v>
      </c>
      <c r="AR106">
        <v>24260963.329999998</v>
      </c>
      <c r="AS106">
        <v>24156044.98</v>
      </c>
      <c r="AT106">
        <v>24049724.870000001</v>
      </c>
      <c r="AU106">
        <v>23930113.710000001</v>
      </c>
      <c r="AV106">
        <v>23796771.25</v>
      </c>
      <c r="AW106">
        <v>23656132.059999999</v>
      </c>
    </row>
    <row r="107" spans="2:49" x14ac:dyDescent="0.25">
      <c r="B107" t="s">
        <v>358</v>
      </c>
      <c r="C107" s="98">
        <v>37938997.726415001</v>
      </c>
      <c r="D107" s="98">
        <v>38548120.6066292</v>
      </c>
      <c r="E107" s="98">
        <v>39167023.149999999</v>
      </c>
      <c r="F107" s="98">
        <v>38299647.840000004</v>
      </c>
      <c r="G107" s="98">
        <v>36971889.119999997</v>
      </c>
      <c r="H107">
        <v>35869739.509999998</v>
      </c>
      <c r="I107">
        <v>35504833.469999999</v>
      </c>
      <c r="J107">
        <v>34470567.539999999</v>
      </c>
      <c r="K107" s="98">
        <v>32813903.399999999</v>
      </c>
      <c r="L107" s="98">
        <v>31423236.219999999</v>
      </c>
      <c r="M107">
        <v>30454228.969999999</v>
      </c>
      <c r="N107">
        <v>29757558.91</v>
      </c>
      <c r="O107">
        <v>30199870.600000001</v>
      </c>
      <c r="P107">
        <v>30188021.949999999</v>
      </c>
      <c r="Q107">
        <v>29282096.949999999</v>
      </c>
      <c r="R107">
        <v>28623487.100000001</v>
      </c>
      <c r="S107">
        <v>28095209.600000001</v>
      </c>
      <c r="T107">
        <v>26348349.280000001</v>
      </c>
      <c r="U107">
        <v>25003953.109999999</v>
      </c>
      <c r="V107">
        <v>23686374.690000001</v>
      </c>
      <c r="W107">
        <v>23620320.23</v>
      </c>
      <c r="X107">
        <v>23694539.879999999</v>
      </c>
      <c r="Y107">
        <v>23769566.199999999</v>
      </c>
      <c r="Z107">
        <v>23991973.379999999</v>
      </c>
      <c r="AA107">
        <v>24161092.170000002</v>
      </c>
      <c r="AB107">
        <v>24318910.329999998</v>
      </c>
      <c r="AC107">
        <v>24469197.699999999</v>
      </c>
      <c r="AD107">
        <v>24600679.390000001</v>
      </c>
      <c r="AE107">
        <v>24700842.300000001</v>
      </c>
      <c r="AF107">
        <v>24800221.760000002</v>
      </c>
      <c r="AG107">
        <v>24868924.859999999</v>
      </c>
      <c r="AH107">
        <v>24903334.98</v>
      </c>
      <c r="AI107">
        <v>24883196.23</v>
      </c>
      <c r="AJ107">
        <v>24861621.609999999</v>
      </c>
      <c r="AK107">
        <v>24828026.379999999</v>
      </c>
      <c r="AL107">
        <v>24784214.510000002</v>
      </c>
      <c r="AM107">
        <v>24730421.579999998</v>
      </c>
      <c r="AN107">
        <v>24659925.949999999</v>
      </c>
      <c r="AO107">
        <v>24582725</v>
      </c>
      <c r="AP107">
        <v>24488100.16</v>
      </c>
      <c r="AQ107">
        <v>24386054.100000001</v>
      </c>
      <c r="AR107">
        <v>24260963.329999998</v>
      </c>
      <c r="AS107">
        <v>24156044.98</v>
      </c>
      <c r="AT107">
        <v>24049724.870000001</v>
      </c>
      <c r="AU107">
        <v>23930113.710000001</v>
      </c>
      <c r="AV107">
        <v>23796771.25</v>
      </c>
      <c r="AW107">
        <v>23656132.059999999</v>
      </c>
    </row>
    <row r="108" spans="2:49" x14ac:dyDescent="0.25">
      <c r="B108" t="s">
        <v>359</v>
      </c>
      <c r="C108">
        <v>7249974.6999914004</v>
      </c>
      <c r="D108">
        <v>7366375.3888705196</v>
      </c>
      <c r="E108">
        <v>7474097.0350000001</v>
      </c>
      <c r="F108">
        <v>7717913.5650000004</v>
      </c>
      <c r="G108" s="98">
        <v>7309419.1119999997</v>
      </c>
      <c r="H108">
        <v>7678260.2470000004</v>
      </c>
      <c r="I108">
        <v>7960126.8080000002</v>
      </c>
      <c r="J108">
        <v>7471449.8219999997</v>
      </c>
      <c r="K108" s="98">
        <v>7130236.227</v>
      </c>
      <c r="L108" s="98">
        <v>6923073.3830000004</v>
      </c>
      <c r="M108">
        <v>7394762.8439999996</v>
      </c>
      <c r="N108">
        <v>7860006.9230000004</v>
      </c>
      <c r="O108">
        <v>8143184.4249999998</v>
      </c>
      <c r="P108">
        <v>8171141.5109999999</v>
      </c>
      <c r="Q108">
        <v>7552539.9950000001</v>
      </c>
      <c r="R108">
        <v>7467013.9740000004</v>
      </c>
      <c r="S108">
        <v>7513346.7769999998</v>
      </c>
      <c r="T108">
        <v>7653087.2290000003</v>
      </c>
      <c r="U108">
        <v>7784407.6320000002</v>
      </c>
      <c r="V108">
        <v>7974991.6090000002</v>
      </c>
      <c r="W108">
        <v>8154581.1310000001</v>
      </c>
      <c r="X108">
        <v>8386009.0839999998</v>
      </c>
      <c r="Y108">
        <v>8545191.25699999</v>
      </c>
      <c r="Z108">
        <v>8671422.6329999994</v>
      </c>
      <c r="AA108">
        <v>8772587.9149999898</v>
      </c>
      <c r="AB108">
        <v>8865693.1329999994</v>
      </c>
      <c r="AC108">
        <v>9003521.2379999999</v>
      </c>
      <c r="AD108">
        <v>9068562.43899999</v>
      </c>
      <c r="AE108">
        <v>9152215.4419999998</v>
      </c>
      <c r="AF108">
        <v>9241712.8440000005</v>
      </c>
      <c r="AG108">
        <v>9337747.0059999898</v>
      </c>
      <c r="AH108">
        <v>9461348.8279999997</v>
      </c>
      <c r="AI108">
        <v>9560510.8110000007</v>
      </c>
      <c r="AJ108">
        <v>9679463.1559999995</v>
      </c>
      <c r="AK108">
        <v>9796708.6429999899</v>
      </c>
      <c r="AL108">
        <v>9918780.1980000008</v>
      </c>
      <c r="AM108">
        <v>10046404.609999999</v>
      </c>
      <c r="AN108">
        <v>10180007.32</v>
      </c>
      <c r="AO108">
        <v>10319524.77</v>
      </c>
      <c r="AP108">
        <v>10458521.93</v>
      </c>
      <c r="AQ108">
        <v>10597998.57</v>
      </c>
      <c r="AR108">
        <v>10756784.08</v>
      </c>
      <c r="AS108">
        <v>10872022.74</v>
      </c>
      <c r="AT108">
        <v>10989338.560000001</v>
      </c>
      <c r="AU108">
        <v>11108051.220000001</v>
      </c>
      <c r="AV108">
        <v>11230233.26</v>
      </c>
      <c r="AW108">
        <v>11358147.07</v>
      </c>
    </row>
    <row r="109" spans="2:49" x14ac:dyDescent="0.25">
      <c r="B109" t="s">
        <v>360</v>
      </c>
      <c r="C109">
        <v>11428306.3019633</v>
      </c>
      <c r="D109">
        <v>11611791.4562317</v>
      </c>
      <c r="E109">
        <v>11711312.449999999</v>
      </c>
      <c r="F109">
        <v>11906017.93</v>
      </c>
      <c r="G109" s="98">
        <v>11186742.49</v>
      </c>
      <c r="H109" s="98">
        <v>11355713.93</v>
      </c>
      <c r="I109" s="98">
        <v>11089934.93</v>
      </c>
      <c r="J109" s="98">
        <v>10704783.85</v>
      </c>
      <c r="K109" s="98">
        <v>9992594.8640000001</v>
      </c>
      <c r="L109" s="98">
        <v>9716585.4140000008</v>
      </c>
      <c r="M109">
        <v>9825547.7479999997</v>
      </c>
      <c r="N109">
        <v>9984195.3379999995</v>
      </c>
      <c r="O109">
        <v>9298561.38199999</v>
      </c>
      <c r="P109">
        <v>8554387.06399999</v>
      </c>
      <c r="Q109">
        <v>7650016.1509999996</v>
      </c>
      <c r="R109">
        <v>7071911.8080000002</v>
      </c>
      <c r="S109">
        <v>6771497.6890000002</v>
      </c>
      <c r="T109">
        <v>6627784.3880000003</v>
      </c>
      <c r="U109">
        <v>6555259.6090000002</v>
      </c>
      <c r="V109">
        <v>6519457.7829999998</v>
      </c>
      <c r="W109">
        <v>6571456.4170000004</v>
      </c>
      <c r="X109">
        <v>6626031.1950000003</v>
      </c>
      <c r="Y109">
        <v>6660589.2529999996</v>
      </c>
      <c r="Z109">
        <v>6731104.7680000002</v>
      </c>
      <c r="AA109">
        <v>6793674.3820000002</v>
      </c>
      <c r="AB109">
        <v>6850500.2790000001</v>
      </c>
      <c r="AC109">
        <v>6945312.7489999998</v>
      </c>
      <c r="AD109">
        <v>6986326.3509999998</v>
      </c>
      <c r="AE109">
        <v>7041427.5379999997</v>
      </c>
      <c r="AF109">
        <v>7096796.6189999999</v>
      </c>
      <c r="AG109">
        <v>7160180.5039999997</v>
      </c>
      <c r="AH109">
        <v>7246509.2630000003</v>
      </c>
      <c r="AI109">
        <v>7304725.977</v>
      </c>
      <c r="AJ109">
        <v>7375672.2230000002</v>
      </c>
      <c r="AK109">
        <v>7442412.5630000001</v>
      </c>
      <c r="AL109">
        <v>7509906.1849999996</v>
      </c>
      <c r="AM109">
        <v>7578817.148</v>
      </c>
      <c r="AN109">
        <v>7607593.7479999997</v>
      </c>
      <c r="AO109">
        <v>7623748.7120000003</v>
      </c>
      <c r="AP109">
        <v>7630830.4960000003</v>
      </c>
      <c r="AQ109">
        <v>7630304.4859999996</v>
      </c>
      <c r="AR109">
        <v>7635081.977</v>
      </c>
      <c r="AS109">
        <v>7645586.693</v>
      </c>
      <c r="AT109">
        <v>7664197.3799999999</v>
      </c>
      <c r="AU109">
        <v>7682697.1100000003</v>
      </c>
      <c r="AV109">
        <v>7700443.8289999999</v>
      </c>
      <c r="AW109">
        <v>7718222.1279999996</v>
      </c>
    </row>
    <row r="110" spans="2:49" x14ac:dyDescent="0.25">
      <c r="B110" t="s">
        <v>361</v>
      </c>
      <c r="C110">
        <v>1153294.1412084801</v>
      </c>
      <c r="D110" s="98">
        <v>1171810.6516891399</v>
      </c>
      <c r="E110" s="98">
        <v>1177708.3759999999</v>
      </c>
      <c r="F110" s="98">
        <v>1262969.4439999999</v>
      </c>
      <c r="G110">
        <v>1175587.9779999999</v>
      </c>
      <c r="H110">
        <v>1031148.137</v>
      </c>
      <c r="I110" s="98">
        <v>1119613.58</v>
      </c>
      <c r="J110" s="98">
        <v>1080124.5430000001</v>
      </c>
      <c r="K110" s="98">
        <v>1019796.983</v>
      </c>
      <c r="L110" s="98">
        <v>1010350.262</v>
      </c>
      <c r="M110">
        <v>1055223.1040000001</v>
      </c>
      <c r="N110">
        <v>1158037.284</v>
      </c>
      <c r="O110">
        <v>1083531.899</v>
      </c>
      <c r="P110">
        <v>989623.52410000004</v>
      </c>
      <c r="Q110">
        <v>850525.70090000005</v>
      </c>
      <c r="R110">
        <v>770902.37560000003</v>
      </c>
      <c r="S110">
        <v>672755.30039999995</v>
      </c>
      <c r="T110">
        <v>629596.05390000006</v>
      </c>
      <c r="U110">
        <v>615087.48419999995</v>
      </c>
      <c r="V110">
        <v>606439.08030000003</v>
      </c>
      <c r="W110">
        <v>613596.55960000004</v>
      </c>
      <c r="X110">
        <v>559151.48120000004</v>
      </c>
      <c r="Y110">
        <v>607343.04350000003</v>
      </c>
      <c r="Z110">
        <v>633531.66319999995</v>
      </c>
      <c r="AA110">
        <v>649862.90700000001</v>
      </c>
      <c r="AB110">
        <v>661687.35979999998</v>
      </c>
      <c r="AC110">
        <v>635261.46120000002</v>
      </c>
      <c r="AD110">
        <v>673677.74490000005</v>
      </c>
      <c r="AE110">
        <v>686117.37179999996</v>
      </c>
      <c r="AF110">
        <v>697878.94570000004</v>
      </c>
      <c r="AG110">
        <v>708973.70719999995</v>
      </c>
      <c r="AH110">
        <v>691857.05649999995</v>
      </c>
      <c r="AI110">
        <v>720111.69140000001</v>
      </c>
      <c r="AJ110">
        <v>737707.86</v>
      </c>
      <c r="AK110">
        <v>749853.82180000003</v>
      </c>
      <c r="AL110">
        <v>760466.17119999998</v>
      </c>
      <c r="AM110">
        <v>770309.60010000004</v>
      </c>
      <c r="AN110">
        <v>769568.5747</v>
      </c>
      <c r="AO110">
        <v>772095.79810000001</v>
      </c>
      <c r="AP110">
        <v>774966.39119999995</v>
      </c>
      <c r="AQ110">
        <v>777537.08570000005</v>
      </c>
      <c r="AR110">
        <v>761131.60190000001</v>
      </c>
      <c r="AS110">
        <v>774385.33860000002</v>
      </c>
      <c r="AT110">
        <v>782232.43810000003</v>
      </c>
      <c r="AU110">
        <v>787628.29260000004</v>
      </c>
      <c r="AV110">
        <v>791891.74840000004</v>
      </c>
      <c r="AW110">
        <v>795735.24950000003</v>
      </c>
    </row>
    <row r="111" spans="2:49" x14ac:dyDescent="0.25">
      <c r="B111" t="s">
        <v>362</v>
      </c>
      <c r="C111">
        <v>6211298.5004764497</v>
      </c>
      <c r="D111">
        <v>6311022.9070030199</v>
      </c>
      <c r="E111">
        <v>6388557.9900000002</v>
      </c>
      <c r="F111">
        <v>6427977.4000000004</v>
      </c>
      <c r="G111">
        <v>5804580.9069999997</v>
      </c>
      <c r="H111">
        <v>5203773.4910000004</v>
      </c>
      <c r="I111">
        <v>4748945.7149999999</v>
      </c>
      <c r="J111">
        <v>4993295.7019999996</v>
      </c>
      <c r="K111">
        <v>4458853.2539999997</v>
      </c>
      <c r="L111">
        <v>4255420.17</v>
      </c>
      <c r="M111">
        <v>4339819.9919999996</v>
      </c>
      <c r="N111">
        <v>4439236.2110000001</v>
      </c>
      <c r="O111">
        <v>4249378.3679999998</v>
      </c>
      <c r="P111">
        <v>3935690.145</v>
      </c>
      <c r="Q111">
        <v>3537948.0389999999</v>
      </c>
      <c r="R111">
        <v>3228457.9440000001</v>
      </c>
      <c r="S111" s="98">
        <v>2960224.1549999998</v>
      </c>
      <c r="T111" s="98">
        <v>2821822.3990000002</v>
      </c>
      <c r="U111" s="98">
        <v>2698426.9580000001</v>
      </c>
      <c r="V111" s="98">
        <v>2584276.21</v>
      </c>
      <c r="W111">
        <v>2462506.281</v>
      </c>
      <c r="X111">
        <v>2321374.4449999998</v>
      </c>
      <c r="Y111">
        <v>2311881.8659999999</v>
      </c>
      <c r="Z111">
        <v>2324746.5249999999</v>
      </c>
      <c r="AA111">
        <v>2339736.7560000001</v>
      </c>
      <c r="AB111">
        <v>2353659.4950000001</v>
      </c>
      <c r="AC111">
        <v>2365967.7749999999</v>
      </c>
      <c r="AD111">
        <v>2394118.7590000001</v>
      </c>
      <c r="AE111">
        <v>2415701.2940000002</v>
      </c>
      <c r="AF111">
        <v>2438134.6800000002</v>
      </c>
      <c r="AG111">
        <v>2462204.6260000002</v>
      </c>
      <c r="AH111">
        <v>2484154.466</v>
      </c>
      <c r="AI111">
        <v>2515267.5460000001</v>
      </c>
      <c r="AJ111">
        <v>2544811.83</v>
      </c>
      <c r="AK111">
        <v>2573152.5109999999</v>
      </c>
      <c r="AL111">
        <v>2601835.0589999999</v>
      </c>
      <c r="AM111">
        <v>2630984.148</v>
      </c>
      <c r="AN111">
        <v>2604894.8670000001</v>
      </c>
      <c r="AO111">
        <v>2570125.2340000002</v>
      </c>
      <c r="AP111">
        <v>2532022.5690000001</v>
      </c>
      <c r="AQ111">
        <v>2493012.52</v>
      </c>
      <c r="AR111">
        <v>2450400.682</v>
      </c>
      <c r="AS111">
        <v>2440235.8080000002</v>
      </c>
      <c r="AT111">
        <v>2433840.41</v>
      </c>
      <c r="AU111">
        <v>2427410.0559999999</v>
      </c>
      <c r="AV111">
        <v>2420685.9900000002</v>
      </c>
      <c r="AW111">
        <v>2414823.5499999998</v>
      </c>
    </row>
    <row r="112" spans="2:49" x14ac:dyDescent="0.25">
      <c r="B112" t="s">
        <v>363</v>
      </c>
      <c r="C112" s="98">
        <v>19068539.7330263</v>
      </c>
      <c r="D112">
        <v>19374691.306334</v>
      </c>
      <c r="E112">
        <v>19660403.949999999</v>
      </c>
      <c r="F112">
        <v>19869024.75</v>
      </c>
      <c r="G112" s="98">
        <v>18023162.050000001</v>
      </c>
      <c r="H112">
        <v>16075783.960000001</v>
      </c>
      <c r="I112">
        <v>15239743.609999999</v>
      </c>
      <c r="J112">
        <v>16316671.43</v>
      </c>
      <c r="K112">
        <v>14576865.5</v>
      </c>
      <c r="L112">
        <v>13959748.949999999</v>
      </c>
      <c r="M112">
        <v>14282627.470000001</v>
      </c>
      <c r="N112">
        <v>14561279.810000001</v>
      </c>
      <c r="O112">
        <v>14038045.109999999</v>
      </c>
      <c r="P112">
        <v>13092582.359999999</v>
      </c>
      <c r="Q112">
        <v>11806282.460000001</v>
      </c>
      <c r="R112">
        <v>10851791.949999999</v>
      </c>
      <c r="S112" s="98">
        <v>9784242.7689999994</v>
      </c>
      <c r="T112" s="98">
        <v>9599356.557</v>
      </c>
      <c r="U112" s="98">
        <v>9322015.1229999997</v>
      </c>
      <c r="V112" s="98">
        <v>9169568.3269999996</v>
      </c>
      <c r="W112">
        <v>8784650.9179999996</v>
      </c>
      <c r="X112">
        <v>8373414.8449999997</v>
      </c>
      <c r="Y112">
        <v>8259517.7709999997</v>
      </c>
      <c r="Z112">
        <v>8255057.6560000004</v>
      </c>
      <c r="AA112">
        <v>8282246.2070000004</v>
      </c>
      <c r="AB112">
        <v>8313238.6119999997</v>
      </c>
      <c r="AC112">
        <v>8367769.2560000001</v>
      </c>
      <c r="AD112">
        <v>8445429.4250000007</v>
      </c>
      <c r="AE112">
        <v>8512655.7850000001</v>
      </c>
      <c r="AF112">
        <v>8588033.8330000006</v>
      </c>
      <c r="AG112">
        <v>8666122.9560000002</v>
      </c>
      <c r="AH112">
        <v>8762850.0280000009</v>
      </c>
      <c r="AI112">
        <v>8857375.4710000008</v>
      </c>
      <c r="AJ112">
        <v>8942885.341</v>
      </c>
      <c r="AK112">
        <v>9035804.2939999998</v>
      </c>
      <c r="AL112">
        <v>9129768.3120000008</v>
      </c>
      <c r="AM112">
        <v>9223072.9969999995</v>
      </c>
      <c r="AN112">
        <v>9126010.9169999994</v>
      </c>
      <c r="AO112">
        <v>9000214.4120000005</v>
      </c>
      <c r="AP112">
        <v>8858247.5779999997</v>
      </c>
      <c r="AQ112">
        <v>8718320.2129999995</v>
      </c>
      <c r="AR112">
        <v>8567235.7970000003</v>
      </c>
      <c r="AS112">
        <v>8505728.8619999997</v>
      </c>
      <c r="AT112">
        <v>8457793.8629999999</v>
      </c>
      <c r="AU112">
        <v>8405522.3729999997</v>
      </c>
      <c r="AV112">
        <v>8351992.6009999998</v>
      </c>
      <c r="AW112">
        <v>8330849.4230000004</v>
      </c>
    </row>
    <row r="113" spans="2:49" x14ac:dyDescent="0.25">
      <c r="B113" t="s">
        <v>364</v>
      </c>
      <c r="C113">
        <v>14426006.8404216</v>
      </c>
      <c r="D113">
        <v>14657621.046468699</v>
      </c>
      <c r="E113">
        <v>14856800.300000001</v>
      </c>
      <c r="F113">
        <v>14847690.449999999</v>
      </c>
      <c r="G113">
        <v>13663495.949999999</v>
      </c>
      <c r="H113">
        <v>12750739.560000001</v>
      </c>
      <c r="I113">
        <v>11651290.529999999</v>
      </c>
      <c r="J113">
        <v>10554240.029999999</v>
      </c>
      <c r="K113">
        <v>9574118.8809999898</v>
      </c>
      <c r="L113">
        <v>9446161.5810000002</v>
      </c>
      <c r="M113">
        <v>9395071.3420000002</v>
      </c>
      <c r="N113">
        <v>9776627.5050000008</v>
      </c>
      <c r="O113">
        <v>9048288.8629999999</v>
      </c>
      <c r="P113">
        <v>8094508.4749999996</v>
      </c>
      <c r="Q113">
        <v>7214681.2759999996</v>
      </c>
      <c r="R113">
        <v>6470242.841</v>
      </c>
      <c r="S113">
        <v>5965458.3629999999</v>
      </c>
      <c r="T113">
        <v>5702473.4239999996</v>
      </c>
      <c r="U113" s="98">
        <v>5431166.6380000003</v>
      </c>
      <c r="V113">
        <v>5173199.699</v>
      </c>
      <c r="W113">
        <v>4936267.2180000003</v>
      </c>
      <c r="X113">
        <v>4677749.6730000004</v>
      </c>
      <c r="Y113">
        <v>4668283.3020000001</v>
      </c>
      <c r="Z113">
        <v>4726961.9029999999</v>
      </c>
      <c r="AA113">
        <v>4794296.87</v>
      </c>
      <c r="AB113">
        <v>4860089.0319999997</v>
      </c>
      <c r="AC113">
        <v>4937859.8449999997</v>
      </c>
      <c r="AD113">
        <v>4992690.8150000004</v>
      </c>
      <c r="AE113">
        <v>5046512.1449999996</v>
      </c>
      <c r="AF113">
        <v>5101876.2209999999</v>
      </c>
      <c r="AG113">
        <v>5162732.0140000004</v>
      </c>
      <c r="AH113">
        <v>5229474.1090000002</v>
      </c>
      <c r="AI113">
        <v>5295956.8899999997</v>
      </c>
      <c r="AJ113">
        <v>5364284.574</v>
      </c>
      <c r="AK113">
        <v>5431951.2549999999</v>
      </c>
      <c r="AL113">
        <v>5500842.6430000002</v>
      </c>
      <c r="AM113">
        <v>5570785.4919999996</v>
      </c>
      <c r="AN113">
        <v>5511381.2139999997</v>
      </c>
      <c r="AO113">
        <v>5429272.5789999999</v>
      </c>
      <c r="AP113">
        <v>5339013.5999999996</v>
      </c>
      <c r="AQ113">
        <v>5246629.2240000004</v>
      </c>
      <c r="AR113">
        <v>5153191.625</v>
      </c>
      <c r="AS113">
        <v>5123696.4210000001</v>
      </c>
      <c r="AT113">
        <v>5105895.5209999997</v>
      </c>
      <c r="AU113">
        <v>5089786.4579999996</v>
      </c>
      <c r="AV113">
        <v>5073857.8</v>
      </c>
      <c r="AW113">
        <v>5059267.9790000003</v>
      </c>
    </row>
    <row r="114" spans="2:49" x14ac:dyDescent="0.25">
      <c r="B114" t="s">
        <v>365</v>
      </c>
      <c r="C114">
        <v>9279692.21316991</v>
      </c>
      <c r="D114">
        <v>9428680.6732538398</v>
      </c>
      <c r="E114">
        <v>9499041.2960000001</v>
      </c>
      <c r="F114">
        <v>9456164.9240000006</v>
      </c>
      <c r="G114">
        <v>9046829.3289999999</v>
      </c>
      <c r="H114">
        <v>8504533.568</v>
      </c>
      <c r="I114">
        <v>8273617.2640000004</v>
      </c>
      <c r="J114">
        <v>8023204.9299999997</v>
      </c>
      <c r="K114">
        <v>7608670.477</v>
      </c>
      <c r="L114">
        <v>7540002.6569999997</v>
      </c>
      <c r="M114">
        <v>7500259.1449999996</v>
      </c>
      <c r="N114">
        <v>7754034.6349999998</v>
      </c>
      <c r="O114">
        <v>7571759.6619999995</v>
      </c>
      <c r="P114">
        <v>7289029.835</v>
      </c>
      <c r="Q114">
        <v>6912410.5049999999</v>
      </c>
      <c r="R114">
        <v>6770828.8909999998</v>
      </c>
      <c r="S114">
        <v>6508941.0829999996</v>
      </c>
      <c r="T114">
        <v>6332636.5939999996</v>
      </c>
      <c r="U114">
        <v>6163453.6349999998</v>
      </c>
      <c r="V114">
        <v>6023070.0690000001</v>
      </c>
      <c r="W114">
        <v>5838250.2220000001</v>
      </c>
      <c r="X114">
        <v>5626612.8720000004</v>
      </c>
      <c r="Y114">
        <v>5494149.307</v>
      </c>
      <c r="Z114">
        <v>5414542.4539999999</v>
      </c>
      <c r="AA114">
        <v>5331079.2570000002</v>
      </c>
      <c r="AB114">
        <v>5244919.2649999997</v>
      </c>
      <c r="AC114">
        <v>5165434.943</v>
      </c>
      <c r="AD114">
        <v>5194113.1880000001</v>
      </c>
      <c r="AE114">
        <v>5223112.8779999996</v>
      </c>
      <c r="AF114">
        <v>5259197.3810000001</v>
      </c>
      <c r="AG114">
        <v>5294644.9519999996</v>
      </c>
      <c r="AH114">
        <v>5335394.7300000004</v>
      </c>
      <c r="AI114">
        <v>5376359.0219999999</v>
      </c>
      <c r="AJ114">
        <v>5419788.2489999998</v>
      </c>
      <c r="AK114">
        <v>5464214.1050000004</v>
      </c>
      <c r="AL114">
        <v>5510822.2039999999</v>
      </c>
      <c r="AM114">
        <v>5558889.5559999999</v>
      </c>
      <c r="AN114">
        <v>5557363.0690000001</v>
      </c>
      <c r="AO114">
        <v>5549485.1349999998</v>
      </c>
      <c r="AP114">
        <v>5535266.2980000004</v>
      </c>
      <c r="AQ114">
        <v>5518534.1610000003</v>
      </c>
      <c r="AR114">
        <v>5497672.642</v>
      </c>
      <c r="AS114">
        <v>5503345.7680000002</v>
      </c>
      <c r="AT114">
        <v>5513515.0360000003</v>
      </c>
      <c r="AU114">
        <v>5523984.2879999997</v>
      </c>
      <c r="AV114">
        <v>5534596.7529999996</v>
      </c>
      <c r="AW114">
        <v>5545439.2860000003</v>
      </c>
    </row>
    <row r="115" spans="2:49" x14ac:dyDescent="0.25">
      <c r="B115" t="s">
        <v>366</v>
      </c>
      <c r="C115">
        <v>10783636.5742715</v>
      </c>
      <c r="D115">
        <v>10956771.347537501</v>
      </c>
      <c r="E115">
        <v>11095557.800000001</v>
      </c>
      <c r="F115">
        <v>11097738.58</v>
      </c>
      <c r="G115">
        <v>11034928.57</v>
      </c>
      <c r="H115">
        <v>10238435.77</v>
      </c>
      <c r="I115">
        <v>10578621.560000001</v>
      </c>
      <c r="J115">
        <v>10641479.210000001</v>
      </c>
      <c r="K115">
        <v>10391413.02</v>
      </c>
      <c r="L115">
        <v>10336221.779999999</v>
      </c>
      <c r="M115">
        <v>10324793.35</v>
      </c>
      <c r="N115">
        <v>10610480</v>
      </c>
      <c r="O115">
        <v>10676780.390000001</v>
      </c>
      <c r="P115">
        <v>10808424.85</v>
      </c>
      <c r="Q115">
        <v>10743550.800000001</v>
      </c>
      <c r="R115">
        <v>10944524.51</v>
      </c>
      <c r="S115">
        <v>10931504.699999999</v>
      </c>
      <c r="T115">
        <v>10805747.810000001</v>
      </c>
      <c r="U115">
        <v>10797893.75</v>
      </c>
      <c r="V115">
        <v>10828567.130000001</v>
      </c>
      <c r="W115">
        <v>11014584.93</v>
      </c>
      <c r="X115">
        <v>11172304.199999999</v>
      </c>
      <c r="Y115">
        <v>11301818.279999999</v>
      </c>
      <c r="Z115">
        <v>11445511.35</v>
      </c>
      <c r="AA115">
        <v>11571042.789999999</v>
      </c>
      <c r="AB115">
        <v>11686686.939999999</v>
      </c>
      <c r="AC115">
        <v>11796742.91</v>
      </c>
      <c r="AD115">
        <v>11898962.710000001</v>
      </c>
      <c r="AE115">
        <v>11997777.619999999</v>
      </c>
      <c r="AF115">
        <v>12111743.609999999</v>
      </c>
      <c r="AG115">
        <v>12217230</v>
      </c>
      <c r="AH115">
        <v>12328128.460000001</v>
      </c>
      <c r="AI115">
        <v>12447774.18</v>
      </c>
      <c r="AJ115">
        <v>12578643.109999999</v>
      </c>
      <c r="AK115">
        <v>12713284.23</v>
      </c>
      <c r="AL115">
        <v>12854746.939999999</v>
      </c>
      <c r="AM115">
        <v>13000928.119999999</v>
      </c>
      <c r="AN115">
        <v>13154492.300000001</v>
      </c>
      <c r="AO115">
        <v>13315812.25</v>
      </c>
      <c r="AP115">
        <v>13475843.9</v>
      </c>
      <c r="AQ115">
        <v>13637266.380000001</v>
      </c>
      <c r="AR115">
        <v>13798178.689999999</v>
      </c>
      <c r="AS115">
        <v>13958221.039999999</v>
      </c>
      <c r="AT115">
        <v>14120603.91</v>
      </c>
      <c r="AU115">
        <v>14285830.140000001</v>
      </c>
      <c r="AV115">
        <v>14454590.699999999</v>
      </c>
      <c r="AW115">
        <v>14624353.460000001</v>
      </c>
    </row>
    <row r="116" spans="2:49" x14ac:dyDescent="0.25">
      <c r="B116" t="s">
        <v>367</v>
      </c>
      <c r="C116">
        <v>584010.86634464201</v>
      </c>
      <c r="D116">
        <v>593387.34970747295</v>
      </c>
      <c r="E116">
        <v>598227.04830000002</v>
      </c>
      <c r="F116">
        <v>615515.4142</v>
      </c>
      <c r="G116">
        <v>581544.00470000005</v>
      </c>
      <c r="H116">
        <v>504117.5036</v>
      </c>
      <c r="I116">
        <v>526039.62459999998</v>
      </c>
      <c r="J116">
        <v>525479.25829999999</v>
      </c>
      <c r="K116">
        <v>483136.26789999998</v>
      </c>
      <c r="L116">
        <v>452152.35690000001</v>
      </c>
      <c r="M116">
        <v>443002.97960000002</v>
      </c>
      <c r="N116">
        <v>465512.50439999998</v>
      </c>
      <c r="O116">
        <v>443747.68969999999</v>
      </c>
      <c r="P116">
        <v>425014.64439999999</v>
      </c>
      <c r="Q116">
        <v>393083.55670000002</v>
      </c>
      <c r="R116">
        <v>364166.26280000003</v>
      </c>
      <c r="S116">
        <v>344120.59220000001</v>
      </c>
      <c r="T116">
        <v>337594.9056</v>
      </c>
      <c r="U116">
        <v>333429.05589999998</v>
      </c>
      <c r="V116">
        <v>332910.34179999999</v>
      </c>
      <c r="W116">
        <v>336121.8187</v>
      </c>
      <c r="X116">
        <v>336948.97070000001</v>
      </c>
      <c r="Y116">
        <v>341229.03139999998</v>
      </c>
      <c r="Z116">
        <v>347954.9</v>
      </c>
      <c r="AA116">
        <v>355093.22100000002</v>
      </c>
      <c r="AB116">
        <v>362931.37469999999</v>
      </c>
      <c r="AC116">
        <v>369832.7525</v>
      </c>
      <c r="AD116">
        <v>372612.06880000001</v>
      </c>
      <c r="AE116">
        <v>373759.26449999999</v>
      </c>
      <c r="AF116">
        <v>375256.58980000002</v>
      </c>
      <c r="AG116">
        <v>376879.63030000002</v>
      </c>
      <c r="AH116">
        <v>376763.85639999999</v>
      </c>
      <c r="AI116">
        <v>379841.15649999998</v>
      </c>
      <c r="AJ116">
        <v>382420.98050000001</v>
      </c>
      <c r="AK116">
        <v>384655.83480000001</v>
      </c>
      <c r="AL116">
        <v>386923.03350000002</v>
      </c>
      <c r="AM116">
        <v>389193.79340000002</v>
      </c>
      <c r="AN116">
        <v>389631.18369999999</v>
      </c>
      <c r="AO116">
        <v>390529.46679999999</v>
      </c>
      <c r="AP116">
        <v>391339.73070000001</v>
      </c>
      <c r="AQ116">
        <v>392178.42200000002</v>
      </c>
      <c r="AR116">
        <v>391297.70559999999</v>
      </c>
      <c r="AS116">
        <v>393195.3517</v>
      </c>
      <c r="AT116">
        <v>394854.47399999999</v>
      </c>
      <c r="AU116">
        <v>396328.75219999999</v>
      </c>
      <c r="AV116">
        <v>397750.17129999999</v>
      </c>
      <c r="AW116">
        <v>399461.30800000002</v>
      </c>
    </row>
    <row r="117" spans="2:49" x14ac:dyDescent="0.25">
      <c r="B117" t="s">
        <v>368</v>
      </c>
      <c r="C117">
        <v>22712835.5539211</v>
      </c>
      <c r="D117">
        <v>23077497.475414101</v>
      </c>
      <c r="E117">
        <v>23429230.77</v>
      </c>
      <c r="F117">
        <v>23507338.73</v>
      </c>
      <c r="G117">
        <v>19921842.850000001</v>
      </c>
      <c r="H117">
        <v>16592683.279999999</v>
      </c>
      <c r="I117">
        <v>17360187.5</v>
      </c>
      <c r="J117">
        <v>16949590.300000001</v>
      </c>
      <c r="K117">
        <v>16057588.98</v>
      </c>
      <c r="L117">
        <v>16769510.050000001</v>
      </c>
      <c r="M117">
        <v>17163205.760000002</v>
      </c>
      <c r="N117">
        <v>17520587.77</v>
      </c>
      <c r="O117">
        <v>14698693.16</v>
      </c>
      <c r="P117">
        <v>13318411.310000001</v>
      </c>
      <c r="Q117">
        <v>12151579.76</v>
      </c>
      <c r="R117">
        <v>11182450.529999999</v>
      </c>
      <c r="S117">
        <v>10410606.789999999</v>
      </c>
      <c r="T117">
        <v>10266207.970000001</v>
      </c>
      <c r="U117">
        <v>10187416.130000001</v>
      </c>
      <c r="V117">
        <v>10209249.83</v>
      </c>
      <c r="W117">
        <v>10026059.289999999</v>
      </c>
      <c r="X117">
        <v>9736779.0309999995</v>
      </c>
      <c r="Y117">
        <v>9682797.16599999</v>
      </c>
      <c r="Z117">
        <v>9685840.3809999898</v>
      </c>
      <c r="AA117">
        <v>9686634.9230000004</v>
      </c>
      <c r="AB117">
        <v>9678427.8959999997</v>
      </c>
      <c r="AC117">
        <v>9649952.1840000004</v>
      </c>
      <c r="AD117">
        <v>9768524.1870000008</v>
      </c>
      <c r="AE117">
        <v>9861638.8859999999</v>
      </c>
      <c r="AF117">
        <v>9958576.5219999999</v>
      </c>
      <c r="AG117">
        <v>10063557.01</v>
      </c>
      <c r="AH117">
        <v>10155475.109999999</v>
      </c>
      <c r="AI117">
        <v>10288795.279999999</v>
      </c>
      <c r="AJ117">
        <v>10411660.800000001</v>
      </c>
      <c r="AK117">
        <v>10531291.960000001</v>
      </c>
      <c r="AL117">
        <v>10651549.16</v>
      </c>
      <c r="AM117">
        <v>10771248.75</v>
      </c>
      <c r="AN117">
        <v>10791031.359999999</v>
      </c>
      <c r="AO117">
        <v>10802588.710000001</v>
      </c>
      <c r="AP117">
        <v>10801999.48</v>
      </c>
      <c r="AQ117">
        <v>10795001.27</v>
      </c>
      <c r="AR117">
        <v>10763216.85</v>
      </c>
      <c r="AS117">
        <v>10807258.939999999</v>
      </c>
      <c r="AT117">
        <v>10851051.960000001</v>
      </c>
      <c r="AU117">
        <v>10891432.880000001</v>
      </c>
      <c r="AV117">
        <v>10929095.51</v>
      </c>
      <c r="AW117">
        <v>10970370.34</v>
      </c>
    </row>
    <row r="118" spans="2:49" x14ac:dyDescent="0.25">
      <c r="B118" t="s">
        <v>369</v>
      </c>
      <c r="C118">
        <v>611949.61832884501</v>
      </c>
      <c r="D118">
        <v>621774.66739182698</v>
      </c>
      <c r="E118">
        <v>620905.01919999998</v>
      </c>
      <c r="F118">
        <v>610647.47409999999</v>
      </c>
      <c r="G118">
        <v>547076.83519999997</v>
      </c>
      <c r="H118">
        <v>460344.79499999998</v>
      </c>
      <c r="I118">
        <v>488243.24359999999</v>
      </c>
      <c r="J118">
        <v>468762.17849999998</v>
      </c>
      <c r="K118">
        <v>421670.6568</v>
      </c>
      <c r="L118">
        <v>400445.10009999998</v>
      </c>
      <c r="M118">
        <v>399065.82459999999</v>
      </c>
      <c r="N118">
        <v>398229.87109999999</v>
      </c>
      <c r="O118">
        <v>368002.94179999997</v>
      </c>
      <c r="P118">
        <v>354639.95319999999</v>
      </c>
      <c r="Q118">
        <v>314361.84100000001</v>
      </c>
      <c r="R118">
        <v>288354.90779999999</v>
      </c>
      <c r="S118">
        <v>272597.24949999998</v>
      </c>
      <c r="T118">
        <v>265126.29369999998</v>
      </c>
      <c r="U118">
        <v>255476.56520000001</v>
      </c>
      <c r="V118">
        <v>248650.52290000001</v>
      </c>
      <c r="W118">
        <v>247570.42619999999</v>
      </c>
      <c r="X118">
        <v>245184.65179999999</v>
      </c>
      <c r="Y118">
        <v>244398.6</v>
      </c>
      <c r="Z118">
        <v>247355.63560000001</v>
      </c>
      <c r="AA118">
        <v>249975.81090000001</v>
      </c>
      <c r="AB118">
        <v>252360.10269999999</v>
      </c>
      <c r="AC118">
        <v>254772.5092</v>
      </c>
      <c r="AD118">
        <v>257207.0318</v>
      </c>
      <c r="AE118">
        <v>259350.08249999999</v>
      </c>
      <c r="AF118">
        <v>261812.44870000001</v>
      </c>
      <c r="AG118">
        <v>264371.05869999999</v>
      </c>
      <c r="AH118">
        <v>266713.55739999999</v>
      </c>
      <c r="AI118">
        <v>269341.91739999998</v>
      </c>
      <c r="AJ118">
        <v>271873.59580000001</v>
      </c>
      <c r="AK118">
        <v>274422.07650000002</v>
      </c>
      <c r="AL118">
        <v>277022.97269999998</v>
      </c>
      <c r="AM118">
        <v>279623.73060000001</v>
      </c>
      <c r="AN118">
        <v>279864.61229999998</v>
      </c>
      <c r="AO118">
        <v>280094.94160000002</v>
      </c>
      <c r="AP118">
        <v>279956.08319999999</v>
      </c>
      <c r="AQ118">
        <v>279689.12</v>
      </c>
      <c r="AR118">
        <v>278857.08600000001</v>
      </c>
      <c r="AS118">
        <v>279784.8284</v>
      </c>
      <c r="AT118">
        <v>280846.90379999997</v>
      </c>
      <c r="AU118">
        <v>281894.65019999997</v>
      </c>
      <c r="AV118">
        <v>282924.01819999999</v>
      </c>
      <c r="AW118">
        <v>284046.33279999997</v>
      </c>
    </row>
    <row r="119" spans="2:49" x14ac:dyDescent="0.25">
      <c r="B119" t="s">
        <v>370</v>
      </c>
      <c r="C119">
        <v>18604230.451297902</v>
      </c>
      <c r="D119">
        <v>18902927.3889024</v>
      </c>
      <c r="E119">
        <v>19054542.649999999</v>
      </c>
      <c r="F119">
        <v>19377026.93</v>
      </c>
      <c r="G119">
        <v>18136291.870000001</v>
      </c>
      <c r="H119">
        <v>16717090.380000001</v>
      </c>
      <c r="I119">
        <v>16703501.93</v>
      </c>
      <c r="J119">
        <v>16186570.32</v>
      </c>
      <c r="K119">
        <v>15279803.470000001</v>
      </c>
      <c r="L119">
        <v>14961640.710000001</v>
      </c>
      <c r="M119">
        <v>15020060.99</v>
      </c>
      <c r="N119">
        <v>15387142.199999999</v>
      </c>
      <c r="O119">
        <v>14613789.66</v>
      </c>
      <c r="P119">
        <v>13783179.220000001</v>
      </c>
      <c r="Q119">
        <v>12726049.810000001</v>
      </c>
      <c r="R119">
        <v>12352071.460000001</v>
      </c>
      <c r="S119">
        <v>11885076.48</v>
      </c>
      <c r="T119">
        <v>11789535.140000001</v>
      </c>
      <c r="U119">
        <v>11634454.390000001</v>
      </c>
      <c r="V119">
        <v>11567469.859999999</v>
      </c>
      <c r="W119">
        <v>11614360.66</v>
      </c>
      <c r="X119">
        <v>11636742.369999999</v>
      </c>
      <c r="Y119">
        <v>11658657.66</v>
      </c>
      <c r="Z119">
        <v>11787649.619999999</v>
      </c>
      <c r="AA119">
        <v>11898810.119999999</v>
      </c>
      <c r="AB119">
        <v>11998740.1</v>
      </c>
      <c r="AC119">
        <v>12126117.960000001</v>
      </c>
      <c r="AD119">
        <v>12234777.199999999</v>
      </c>
      <c r="AE119">
        <v>12338449.789999999</v>
      </c>
      <c r="AF119">
        <v>12454384.439999999</v>
      </c>
      <c r="AG119">
        <v>12581143.33</v>
      </c>
      <c r="AH119">
        <v>12719822.449999999</v>
      </c>
      <c r="AI119">
        <v>12864291</v>
      </c>
      <c r="AJ119">
        <v>13011172.039999999</v>
      </c>
      <c r="AK119">
        <v>13156983</v>
      </c>
      <c r="AL119">
        <v>13307813.289999999</v>
      </c>
      <c r="AM119">
        <v>13462746.15</v>
      </c>
      <c r="AN119">
        <v>13538775.539999999</v>
      </c>
      <c r="AO119">
        <v>13620084.810000001</v>
      </c>
      <c r="AP119">
        <v>13689704.35</v>
      </c>
      <c r="AQ119">
        <v>13752884.279999999</v>
      </c>
      <c r="AR119">
        <v>13812111.76</v>
      </c>
      <c r="AS119">
        <v>13908928.310000001</v>
      </c>
      <c r="AT119">
        <v>14006721.41</v>
      </c>
      <c r="AU119">
        <v>14104405.939999999</v>
      </c>
      <c r="AV119">
        <v>14201682.33</v>
      </c>
      <c r="AW119">
        <v>14304122.119999999</v>
      </c>
    </row>
    <row r="120" spans="2:49" x14ac:dyDescent="0.25">
      <c r="B120" t="s">
        <v>371</v>
      </c>
      <c r="C120">
        <v>583438.22926562198</v>
      </c>
      <c r="D120">
        <v>592805.51875492395</v>
      </c>
      <c r="E120">
        <v>591976.45010000002</v>
      </c>
      <c r="F120">
        <v>616695.06880000001</v>
      </c>
      <c r="G120">
        <v>601677.58470000001</v>
      </c>
      <c r="H120">
        <v>522903.77439999999</v>
      </c>
      <c r="I120">
        <v>521185.6703</v>
      </c>
      <c r="J120">
        <v>529174.0956</v>
      </c>
      <c r="K120">
        <v>505800.51779999997</v>
      </c>
      <c r="L120">
        <v>489863.35560000001</v>
      </c>
      <c r="M120">
        <v>455879.78399999999</v>
      </c>
      <c r="N120">
        <v>417042.98759999999</v>
      </c>
      <c r="O120">
        <v>403567.11170000001</v>
      </c>
      <c r="P120">
        <v>404833.36259999999</v>
      </c>
      <c r="Q120">
        <v>392644.8198</v>
      </c>
      <c r="R120">
        <v>397749.69770000002</v>
      </c>
      <c r="S120">
        <v>384002.03100000002</v>
      </c>
      <c r="T120">
        <v>380998.1275</v>
      </c>
      <c r="U120">
        <v>368797.34049999999</v>
      </c>
      <c r="V120">
        <v>363300.23249999998</v>
      </c>
      <c r="W120">
        <v>361335.03340000001</v>
      </c>
      <c r="X120">
        <v>362154.77590000001</v>
      </c>
      <c r="Y120">
        <v>355662.5503</v>
      </c>
      <c r="Z120">
        <v>353827.12900000002</v>
      </c>
      <c r="AA120">
        <v>353032.6741</v>
      </c>
      <c r="AB120">
        <v>352850.31530000002</v>
      </c>
      <c r="AC120">
        <v>354448.08630000002</v>
      </c>
      <c r="AD120">
        <v>356876.92790000001</v>
      </c>
      <c r="AE120">
        <v>358995.27179999999</v>
      </c>
      <c r="AF120">
        <v>361838.64990000002</v>
      </c>
      <c r="AG120">
        <v>364337.02370000002</v>
      </c>
      <c r="AH120">
        <v>368099.83689999999</v>
      </c>
      <c r="AI120">
        <v>370282.22039999999</v>
      </c>
      <c r="AJ120">
        <v>372149.01569999999</v>
      </c>
      <c r="AK120">
        <v>374465.6422</v>
      </c>
      <c r="AL120">
        <v>376850.31479999999</v>
      </c>
      <c r="AM120">
        <v>379230.45490000001</v>
      </c>
      <c r="AN120">
        <v>380694.15700000001</v>
      </c>
      <c r="AO120">
        <v>382998.57520000002</v>
      </c>
      <c r="AP120">
        <v>385251.19799999997</v>
      </c>
      <c r="AQ120">
        <v>388126.33639999997</v>
      </c>
      <c r="AR120">
        <v>391116.48460000003</v>
      </c>
      <c r="AS120">
        <v>394001.33049999998</v>
      </c>
      <c r="AT120">
        <v>397059.59940000001</v>
      </c>
      <c r="AU120">
        <v>399840.86479999998</v>
      </c>
      <c r="AV120">
        <v>402652.26449999999</v>
      </c>
      <c r="AW120">
        <v>408835.33380000002</v>
      </c>
    </row>
    <row r="121" spans="2:49" x14ac:dyDescent="0.25">
      <c r="B121" t="s">
        <v>372</v>
      </c>
      <c r="C121">
        <v>640997.091904014</v>
      </c>
      <c r="D121">
        <v>651288.50755091803</v>
      </c>
      <c r="E121">
        <v>661276.25349999999</v>
      </c>
      <c r="F121">
        <v>684481.29110000003</v>
      </c>
      <c r="G121">
        <v>650208.95849999995</v>
      </c>
      <c r="H121">
        <v>652162.06460000004</v>
      </c>
      <c r="I121">
        <v>677883.97470000002</v>
      </c>
      <c r="J121">
        <v>657798.05379999999</v>
      </c>
      <c r="K121">
        <v>625307.05099999998</v>
      </c>
      <c r="L121">
        <v>633833.76820000005</v>
      </c>
      <c r="M121">
        <v>648935.03240000003</v>
      </c>
      <c r="N121">
        <v>687891.09829999995</v>
      </c>
      <c r="O121">
        <v>734911.31610000005</v>
      </c>
      <c r="P121">
        <v>751256.66899999999</v>
      </c>
      <c r="Q121">
        <v>694650.88280000002</v>
      </c>
      <c r="R121">
        <v>708687.14289999998</v>
      </c>
      <c r="S121">
        <v>733573.03509999998</v>
      </c>
      <c r="T121">
        <v>853206.2746</v>
      </c>
      <c r="U121">
        <v>959762.57429999998</v>
      </c>
      <c r="V121">
        <v>1078692.5260000001</v>
      </c>
      <c r="W121">
        <v>1162104.787</v>
      </c>
      <c r="X121">
        <v>1426863.4469999999</v>
      </c>
      <c r="Y121">
        <v>1525360.0079999999</v>
      </c>
      <c r="Z121">
        <v>1599732.3330000001</v>
      </c>
      <c r="AA121">
        <v>1654194.2860000001</v>
      </c>
      <c r="AB121">
        <v>1695326.5519999999</v>
      </c>
      <c r="AC121">
        <v>1876190.2720000001</v>
      </c>
      <c r="AD121">
        <v>1887220.5490000001</v>
      </c>
      <c r="AE121">
        <v>1902031.1740000001</v>
      </c>
      <c r="AF121">
        <v>1916594.524</v>
      </c>
      <c r="AG121">
        <v>1926648.0120000001</v>
      </c>
      <c r="AH121">
        <v>2008496.1259999999</v>
      </c>
      <c r="AI121">
        <v>2003949.179</v>
      </c>
      <c r="AJ121">
        <v>2003680.2649999999</v>
      </c>
      <c r="AK121">
        <v>2001902.662</v>
      </c>
      <c r="AL121">
        <v>1999594.3910000001</v>
      </c>
      <c r="AM121">
        <v>1997351.135</v>
      </c>
      <c r="AN121">
        <v>1995156.0249999999</v>
      </c>
      <c r="AO121">
        <v>1996602.8640000001</v>
      </c>
      <c r="AP121">
        <v>1998115.56</v>
      </c>
      <c r="AQ121">
        <v>2000465.6429999999</v>
      </c>
      <c r="AR121">
        <v>2084771.4920000001</v>
      </c>
      <c r="AS121">
        <v>2079296.1310000001</v>
      </c>
      <c r="AT121">
        <v>2079926.6980000001</v>
      </c>
      <c r="AU121">
        <v>2081932.0009999999</v>
      </c>
      <c r="AV121">
        <v>2084429.3589999999</v>
      </c>
      <c r="AW121">
        <v>2087720.4410000001</v>
      </c>
    </row>
    <row r="122" spans="2:49" x14ac:dyDescent="0.25">
      <c r="B122" t="s">
        <v>373</v>
      </c>
      <c r="C122">
        <v>2194958.1052306499</v>
      </c>
      <c r="D122">
        <v>2230198.86758945</v>
      </c>
      <c r="E122">
        <v>2253521.9539999999</v>
      </c>
      <c r="F122">
        <v>2242070.9019999998</v>
      </c>
      <c r="G122">
        <v>2233518.4890000001</v>
      </c>
      <c r="H122">
        <v>2229905.554</v>
      </c>
      <c r="I122">
        <v>2236841.2659999998</v>
      </c>
      <c r="J122">
        <v>2251167.2850000001</v>
      </c>
      <c r="K122">
        <v>2253272.6009999998</v>
      </c>
      <c r="L122">
        <v>2251637.4730000002</v>
      </c>
      <c r="M122">
        <v>2266363.44</v>
      </c>
      <c r="N122">
        <v>2245284.9530000002</v>
      </c>
      <c r="O122">
        <v>2273215.2259999998</v>
      </c>
      <c r="P122">
        <v>2295583.8590000002</v>
      </c>
      <c r="Q122">
        <v>2324579.6140000001</v>
      </c>
      <c r="R122">
        <v>2353871.2170000002</v>
      </c>
      <c r="S122">
        <v>2343005.798</v>
      </c>
      <c r="T122">
        <v>2315926.449</v>
      </c>
      <c r="U122">
        <v>2304260.2379999999</v>
      </c>
      <c r="V122">
        <v>2292871.6970000002</v>
      </c>
      <c r="W122">
        <v>2257042.88</v>
      </c>
      <c r="X122">
        <v>2159164.3569999998</v>
      </c>
      <c r="Y122">
        <v>2134448.0959999999</v>
      </c>
      <c r="Z122">
        <v>2121971.2820000001</v>
      </c>
      <c r="AA122">
        <v>2103846.915</v>
      </c>
      <c r="AB122">
        <v>2082194.1669999999</v>
      </c>
      <c r="AC122">
        <v>2035467.588</v>
      </c>
      <c r="AD122">
        <v>2028114.65</v>
      </c>
      <c r="AE122">
        <v>2003666.4069999999</v>
      </c>
      <c r="AF122">
        <v>1978730.5449999999</v>
      </c>
      <c r="AG122">
        <v>1953896.4850000001</v>
      </c>
      <c r="AH122">
        <v>1911466.148</v>
      </c>
      <c r="AI122">
        <v>1909767.9569999999</v>
      </c>
      <c r="AJ122">
        <v>1902307.169</v>
      </c>
      <c r="AK122">
        <v>1892019.629</v>
      </c>
      <c r="AL122">
        <v>1881175.1240000001</v>
      </c>
      <c r="AM122">
        <v>1870566.372</v>
      </c>
      <c r="AN122">
        <v>1871121.1610000001</v>
      </c>
      <c r="AO122">
        <v>1874574.868</v>
      </c>
      <c r="AP122">
        <v>1879451.0330000001</v>
      </c>
      <c r="AQ122">
        <v>1884961.817</v>
      </c>
      <c r="AR122">
        <v>1878989.828</v>
      </c>
      <c r="AS122">
        <v>1897451.135</v>
      </c>
      <c r="AT122">
        <v>1912849.1159999999</v>
      </c>
      <c r="AU122">
        <v>1926886.871</v>
      </c>
      <c r="AV122">
        <v>1940430.118</v>
      </c>
      <c r="AW122">
        <v>1954035.567</v>
      </c>
    </row>
    <row r="123" spans="2:49" x14ac:dyDescent="0.25">
      <c r="B123" t="s">
        <v>374</v>
      </c>
      <c r="C123">
        <v>48301536.741083004</v>
      </c>
      <c r="D123">
        <v>49077033.537035801</v>
      </c>
      <c r="E123">
        <v>49911744.310000002</v>
      </c>
      <c r="F123">
        <v>49590074.119999997</v>
      </c>
      <c r="G123">
        <v>48595836</v>
      </c>
      <c r="H123">
        <v>46837720.469999999</v>
      </c>
      <c r="I123">
        <v>46424605.030000001</v>
      </c>
      <c r="J123">
        <v>46099608.530000001</v>
      </c>
      <c r="K123">
        <v>45496862.200000003</v>
      </c>
      <c r="L123">
        <v>44625246.950000003</v>
      </c>
      <c r="M123">
        <v>44139616.829999998</v>
      </c>
      <c r="N123">
        <v>43595000.719999999</v>
      </c>
      <c r="O123">
        <v>43545768.200000003</v>
      </c>
      <c r="P123">
        <v>43715693.829999998</v>
      </c>
      <c r="Q123">
        <v>43102147</v>
      </c>
      <c r="R123">
        <v>42517002.200000003</v>
      </c>
      <c r="S123">
        <v>41801498.899999999</v>
      </c>
      <c r="T123">
        <v>42323690.649999999</v>
      </c>
      <c r="U123">
        <v>42600948.210000001</v>
      </c>
      <c r="V123">
        <v>43141219.850000001</v>
      </c>
      <c r="W123">
        <v>43525504</v>
      </c>
      <c r="X123">
        <v>43472898.82</v>
      </c>
      <c r="Y123">
        <v>43379623.520000003</v>
      </c>
      <c r="Z123">
        <v>43336512.270000003</v>
      </c>
      <c r="AA123">
        <v>43179980.289999999</v>
      </c>
      <c r="AB123">
        <v>42993141.490000002</v>
      </c>
      <c r="AC123">
        <v>42742497.159999996</v>
      </c>
      <c r="AD123">
        <v>42500122.18</v>
      </c>
      <c r="AE123">
        <v>42149759.460000001</v>
      </c>
      <c r="AF123">
        <v>41843043.619999997</v>
      </c>
      <c r="AG123">
        <v>41510384.159999996</v>
      </c>
      <c r="AH123">
        <v>41134057.799999997</v>
      </c>
      <c r="AI123">
        <v>41039575.200000003</v>
      </c>
      <c r="AJ123">
        <v>40911958.939999998</v>
      </c>
      <c r="AK123">
        <v>40754000.93</v>
      </c>
      <c r="AL123">
        <v>40602097.609999999</v>
      </c>
      <c r="AM123">
        <v>40458071.950000003</v>
      </c>
      <c r="AN123">
        <v>40563681.810000002</v>
      </c>
      <c r="AO123">
        <v>40741739.780000001</v>
      </c>
      <c r="AP123">
        <v>40929584.079999998</v>
      </c>
      <c r="AQ123">
        <v>41130405.130000003</v>
      </c>
      <c r="AR123">
        <v>41286951.060000002</v>
      </c>
      <c r="AS123">
        <v>41704315.289999999</v>
      </c>
      <c r="AT123">
        <v>42094165.189999998</v>
      </c>
      <c r="AU123">
        <v>42474697.780000001</v>
      </c>
      <c r="AV123">
        <v>42860896.189999998</v>
      </c>
      <c r="AW123">
        <v>43267514.469999999</v>
      </c>
    </row>
    <row r="124" spans="2:49" x14ac:dyDescent="0.25">
      <c r="B124" t="s">
        <v>375</v>
      </c>
      <c r="C124">
        <v>9397840.0105028208</v>
      </c>
      <c r="D124">
        <v>9548725.3716889191</v>
      </c>
      <c r="E124">
        <v>9702039.9629999995</v>
      </c>
      <c r="F124">
        <v>11055840.02</v>
      </c>
      <c r="G124">
        <v>9270265.9910000004</v>
      </c>
      <c r="H124">
        <v>6637702.7139999997</v>
      </c>
      <c r="I124">
        <v>7779416.625</v>
      </c>
      <c r="J124">
        <v>6020325.7910000002</v>
      </c>
      <c r="K124">
        <v>7036983.4400000004</v>
      </c>
      <c r="L124">
        <v>6301093.085</v>
      </c>
      <c r="M124">
        <v>6342695.3329999996</v>
      </c>
      <c r="N124">
        <v>6526696.8109999998</v>
      </c>
      <c r="O124">
        <v>5907270.9139999999</v>
      </c>
      <c r="P124">
        <v>6231832.3990000002</v>
      </c>
      <c r="Q124">
        <v>6081256.7640000004</v>
      </c>
      <c r="R124">
        <v>6137437.9210000001</v>
      </c>
      <c r="S124">
        <v>6104504.2580000004</v>
      </c>
      <c r="T124">
        <v>5963888.4079999998</v>
      </c>
      <c r="U124">
        <v>5940903.4950000001</v>
      </c>
      <c r="V124">
        <v>5922300.6699999999</v>
      </c>
      <c r="W124">
        <v>5865379.1909999996</v>
      </c>
      <c r="X124">
        <v>5762612.3799999999</v>
      </c>
      <c r="Y124">
        <v>5765766.358</v>
      </c>
      <c r="Z124">
        <v>5794335.2189999996</v>
      </c>
      <c r="AA124">
        <v>5820517.1140000001</v>
      </c>
      <c r="AB124">
        <v>5848691.8600000003</v>
      </c>
      <c r="AC124">
        <v>5874470.9780000001</v>
      </c>
      <c r="AD124">
        <v>5912290.7259999998</v>
      </c>
      <c r="AE124">
        <v>5943730.3729999997</v>
      </c>
      <c r="AF124">
        <v>5984822.142</v>
      </c>
      <c r="AG124">
        <v>6024425.2130000005</v>
      </c>
      <c r="AH124">
        <v>6061854.0489999996</v>
      </c>
      <c r="AI124">
        <v>6114540.4380000001</v>
      </c>
      <c r="AJ124">
        <v>6168628.8909999998</v>
      </c>
      <c r="AK124">
        <v>6221930.1629999997</v>
      </c>
      <c r="AL124">
        <v>6278568.5690000001</v>
      </c>
      <c r="AM124">
        <v>6338377.0180000002</v>
      </c>
      <c r="AN124">
        <v>6347406.7510000002</v>
      </c>
      <c r="AO124">
        <v>6347331.6519999998</v>
      </c>
      <c r="AP124">
        <v>6337550.6940000001</v>
      </c>
      <c r="AQ124">
        <v>6321352.9539999999</v>
      </c>
      <c r="AR124">
        <v>6294642.3870000001</v>
      </c>
      <c r="AS124">
        <v>6298567.8210000005</v>
      </c>
      <c r="AT124">
        <v>6306407.0630000001</v>
      </c>
      <c r="AU124">
        <v>6315234.1330000004</v>
      </c>
      <c r="AV124">
        <v>6325305.6610000003</v>
      </c>
      <c r="AW124">
        <v>6337005.2079999996</v>
      </c>
    </row>
    <row r="125" spans="2:49" x14ac:dyDescent="0.25">
      <c r="B125" t="s">
        <v>376</v>
      </c>
      <c r="C125">
        <v>2784044.1169573502</v>
      </c>
      <c r="D125">
        <v>2828742.8457796802</v>
      </c>
      <c r="E125">
        <v>2871411.469</v>
      </c>
      <c r="F125">
        <v>2978719.3330000001</v>
      </c>
      <c r="G125">
        <v>2955837.7140000002</v>
      </c>
      <c r="H125">
        <v>2428518.023</v>
      </c>
      <c r="I125">
        <v>2472715.3489999999</v>
      </c>
      <c r="J125">
        <v>2581834.3089999999</v>
      </c>
      <c r="K125">
        <v>2517041.0389999999</v>
      </c>
      <c r="L125">
        <v>2445892.7820000001</v>
      </c>
      <c r="M125">
        <v>2441899.9029999999</v>
      </c>
      <c r="N125">
        <v>2570998.301</v>
      </c>
      <c r="O125">
        <v>2565397.7510000002</v>
      </c>
      <c r="P125">
        <v>2558534.0380000002</v>
      </c>
      <c r="Q125">
        <v>2635902.6630000002</v>
      </c>
      <c r="R125">
        <v>2664979.0389999999</v>
      </c>
      <c r="S125">
        <v>2618807.142</v>
      </c>
      <c r="T125">
        <v>2569798.92</v>
      </c>
      <c r="U125">
        <v>2545684.2650000001</v>
      </c>
      <c r="V125">
        <v>2534361.4270000001</v>
      </c>
      <c r="W125">
        <v>2553991.0499999998</v>
      </c>
      <c r="X125">
        <v>2559235.7289999998</v>
      </c>
      <c r="Y125">
        <v>2580736.39</v>
      </c>
      <c r="Z125">
        <v>2599151.0869999998</v>
      </c>
      <c r="AA125">
        <v>2616295.5550000002</v>
      </c>
      <c r="AB125">
        <v>2631734.949</v>
      </c>
      <c r="AC125">
        <v>2644497.0720000002</v>
      </c>
      <c r="AD125">
        <v>2665828.6830000002</v>
      </c>
      <c r="AE125">
        <v>2680520.077</v>
      </c>
      <c r="AF125">
        <v>2697748.73</v>
      </c>
      <c r="AG125">
        <v>2716115.2510000002</v>
      </c>
      <c r="AH125">
        <v>2734103.6320000002</v>
      </c>
      <c r="AI125">
        <v>2764215.4410000001</v>
      </c>
      <c r="AJ125">
        <v>2794962.5189999999</v>
      </c>
      <c r="AK125">
        <v>2824609.5819999999</v>
      </c>
      <c r="AL125">
        <v>2855676.034</v>
      </c>
      <c r="AM125">
        <v>2888656.9849999999</v>
      </c>
      <c r="AN125">
        <v>2917757.273</v>
      </c>
      <c r="AO125">
        <v>2949311.28</v>
      </c>
      <c r="AP125">
        <v>2980875.24</v>
      </c>
      <c r="AQ125">
        <v>3013483.08</v>
      </c>
      <c r="AR125">
        <v>3044953.9210000001</v>
      </c>
      <c r="AS125">
        <v>3082534.5049999999</v>
      </c>
      <c r="AT125">
        <v>3118833.5720000002</v>
      </c>
      <c r="AU125">
        <v>3154416.52</v>
      </c>
      <c r="AV125">
        <v>3189869.2069999999</v>
      </c>
      <c r="AW125">
        <v>3227730.28</v>
      </c>
    </row>
    <row r="126" spans="2:49" x14ac:dyDescent="0.25">
      <c r="B126" t="s">
        <v>377</v>
      </c>
      <c r="C126">
        <v>20640520.667746101</v>
      </c>
      <c r="D126">
        <v>20971910.903432399</v>
      </c>
      <c r="E126">
        <v>21173004.75</v>
      </c>
      <c r="F126">
        <v>21597058.25</v>
      </c>
      <c r="G126">
        <v>20834265.68</v>
      </c>
      <c r="H126">
        <v>20059337.829999998</v>
      </c>
      <c r="I126">
        <v>20346238.84</v>
      </c>
      <c r="J126">
        <v>19966810.969999999</v>
      </c>
      <c r="K126">
        <v>19227285.539999999</v>
      </c>
      <c r="L126">
        <v>19018064.620000001</v>
      </c>
      <c r="M126">
        <v>19355855.809999999</v>
      </c>
      <c r="N126">
        <v>20194120.32</v>
      </c>
      <c r="O126">
        <v>19975969.719999999</v>
      </c>
      <c r="P126">
        <v>19177088.550000001</v>
      </c>
      <c r="Q126">
        <v>17810302.879999999</v>
      </c>
      <c r="R126">
        <v>16794694.32</v>
      </c>
      <c r="S126">
        <v>15967445.67</v>
      </c>
      <c r="T126">
        <v>15541843.550000001</v>
      </c>
      <c r="U126" s="98">
        <v>15168019</v>
      </c>
      <c r="V126">
        <v>14803275.65</v>
      </c>
      <c r="W126">
        <v>14721690.08</v>
      </c>
      <c r="X126">
        <v>14679066.390000001</v>
      </c>
      <c r="Y126">
        <v>14583770.25</v>
      </c>
      <c r="Z126">
        <v>14473726.109999999</v>
      </c>
      <c r="AA126">
        <v>14328638.91</v>
      </c>
      <c r="AB126">
        <v>14172654.98</v>
      </c>
      <c r="AC126">
        <v>14016985.65</v>
      </c>
      <c r="AD126">
        <v>13862751.890000001</v>
      </c>
      <c r="AE126">
        <v>13705255.279999999</v>
      </c>
      <c r="AF126">
        <v>13555140.43</v>
      </c>
      <c r="AG126">
        <v>13402720.6</v>
      </c>
      <c r="AH126">
        <v>13244253.02</v>
      </c>
      <c r="AI126">
        <v>13080204.16</v>
      </c>
      <c r="AJ126">
        <v>12922426.59</v>
      </c>
      <c r="AK126">
        <v>12767256.050000001</v>
      </c>
      <c r="AL126">
        <v>12614221.310000001</v>
      </c>
      <c r="AM126">
        <v>12463153.369999999</v>
      </c>
      <c r="AN126">
        <v>12321671.109999999</v>
      </c>
      <c r="AO126">
        <v>12187383.869999999</v>
      </c>
      <c r="AP126">
        <v>12056141.300000001</v>
      </c>
      <c r="AQ126">
        <v>11929979.65</v>
      </c>
      <c r="AR126">
        <v>11804080.93</v>
      </c>
      <c r="AS126">
        <v>11676151.82</v>
      </c>
      <c r="AT126">
        <v>11552372.41</v>
      </c>
      <c r="AU126">
        <v>11430380.25</v>
      </c>
      <c r="AV126">
        <v>11309571.52</v>
      </c>
      <c r="AW126">
        <v>11189517.699999999</v>
      </c>
    </row>
    <row r="127" spans="2:49" x14ac:dyDescent="0.25">
      <c r="B127" t="s">
        <v>378</v>
      </c>
      <c r="C127">
        <v>261855678.291933</v>
      </c>
      <c r="D127">
        <v>266059855.90652901</v>
      </c>
      <c r="E127">
        <v>269637351.89999998</v>
      </c>
      <c r="F127">
        <v>270970636.10000002</v>
      </c>
      <c r="G127">
        <v>254281410.80000001</v>
      </c>
      <c r="H127">
        <v>235221493.59999999</v>
      </c>
      <c r="I127">
        <v>233147319.80000001</v>
      </c>
      <c r="J127">
        <v>225921256.40000001</v>
      </c>
      <c r="K127">
        <v>215438945.30000001</v>
      </c>
      <c r="L127">
        <v>209407124.19999999</v>
      </c>
      <c r="M127">
        <v>208232883.40000001</v>
      </c>
      <c r="N127">
        <v>209362234.40000001</v>
      </c>
      <c r="O127">
        <v>200602827.09999999</v>
      </c>
      <c r="P127">
        <v>192910322.69999999</v>
      </c>
      <c r="Q127">
        <v>181782841.5</v>
      </c>
      <c r="R127">
        <v>174078634.09999999</v>
      </c>
      <c r="S127">
        <v>166565578.09999999</v>
      </c>
      <c r="T127">
        <v>165291032.30000001</v>
      </c>
      <c r="U127">
        <v>164207712.5</v>
      </c>
      <c r="V127">
        <v>164011150.19999999</v>
      </c>
      <c r="W127">
        <v>164002332.09999999</v>
      </c>
      <c r="X127">
        <v>163430489.5</v>
      </c>
      <c r="Y127">
        <v>163582072.09999999</v>
      </c>
      <c r="Z127">
        <v>164179785.19999999</v>
      </c>
      <c r="AA127">
        <v>164536689.09999999</v>
      </c>
      <c r="AB127">
        <v>164757986</v>
      </c>
      <c r="AC127">
        <v>165100517.09999999</v>
      </c>
      <c r="AD127">
        <v>165439904</v>
      </c>
      <c r="AE127">
        <v>165585820.5</v>
      </c>
      <c r="AF127">
        <v>165850404.40000001</v>
      </c>
      <c r="AG127">
        <v>166108707.40000001</v>
      </c>
      <c r="AH127">
        <v>166426434.09999999</v>
      </c>
      <c r="AI127">
        <v>167064380.5</v>
      </c>
      <c r="AJ127">
        <v>167694451</v>
      </c>
      <c r="AK127">
        <v>168281779.90000001</v>
      </c>
      <c r="AL127">
        <v>168902721.40000001</v>
      </c>
      <c r="AM127">
        <v>169555579.09999999</v>
      </c>
      <c r="AN127">
        <v>169764085.69999999</v>
      </c>
      <c r="AO127">
        <v>169985546.40000001</v>
      </c>
      <c r="AP127">
        <v>170137635.80000001</v>
      </c>
      <c r="AQ127">
        <v>170278468.90000001</v>
      </c>
      <c r="AR127">
        <v>170380743.90000001</v>
      </c>
      <c r="AS127">
        <v>171067566.5</v>
      </c>
      <c r="AT127">
        <v>171779055.09999999</v>
      </c>
      <c r="AU127">
        <v>172475865.09999999</v>
      </c>
      <c r="AV127">
        <v>173179462.69999999</v>
      </c>
      <c r="AW127">
        <v>173969509.19999999</v>
      </c>
    </row>
    <row r="128" spans="2:49" x14ac:dyDescent="0.25">
      <c r="B128" t="s">
        <v>379</v>
      </c>
      <c r="C128">
        <v>5733144.4507061103</v>
      </c>
      <c r="D128">
        <v>5825191.9393003099</v>
      </c>
      <c r="E128">
        <v>5839451.0650000004</v>
      </c>
      <c r="F128">
        <v>5843668.1969999997</v>
      </c>
      <c r="G128">
        <v>5651938.3590000002</v>
      </c>
      <c r="H128">
        <v>5785840.6789999995</v>
      </c>
      <c r="I128">
        <v>5827326.9119999995</v>
      </c>
      <c r="J128">
        <v>5707166.5470000003</v>
      </c>
      <c r="K128">
        <v>5534019.1720000003</v>
      </c>
      <c r="L128">
        <v>5515352.1639999999</v>
      </c>
      <c r="M128">
        <v>5598575.0800000001</v>
      </c>
      <c r="N128">
        <v>5843076.7340000002</v>
      </c>
      <c r="O128">
        <v>5854111.8590000002</v>
      </c>
      <c r="P128">
        <v>5605158.7319999998</v>
      </c>
      <c r="Q128">
        <v>5110880.2690000003</v>
      </c>
      <c r="R128">
        <v>4764802.7130000005</v>
      </c>
      <c r="S128">
        <v>4511345.9249999998</v>
      </c>
      <c r="T128">
        <v>4328940.7769999998</v>
      </c>
      <c r="U128">
        <v>4167551.8480000002</v>
      </c>
      <c r="V128">
        <v>4008177.7949999999</v>
      </c>
      <c r="W128">
        <v>3992996.426</v>
      </c>
      <c r="X128">
        <v>3993103.8229999999</v>
      </c>
      <c r="Y128">
        <v>3969931.7510000002</v>
      </c>
      <c r="Z128">
        <v>3939644.1120000002</v>
      </c>
      <c r="AA128">
        <v>3895462.7390000001</v>
      </c>
      <c r="AB128">
        <v>3847313.182</v>
      </c>
      <c r="AC128">
        <v>3799519.6639999999</v>
      </c>
      <c r="AD128">
        <v>3752353.952</v>
      </c>
      <c r="AE128">
        <v>3704075.4589999998</v>
      </c>
      <c r="AF128">
        <v>3658738.9950000001</v>
      </c>
      <c r="AG128">
        <v>3612539.3590000002</v>
      </c>
      <c r="AH128">
        <v>3564208.179</v>
      </c>
      <c r="AI128">
        <v>3514032.9169999999</v>
      </c>
      <c r="AJ128">
        <v>3466318.2489999998</v>
      </c>
      <c r="AK128">
        <v>3419622.6009999998</v>
      </c>
      <c r="AL128">
        <v>3373750.915</v>
      </c>
      <c r="AM128">
        <v>3328632.5210000002</v>
      </c>
      <c r="AN128">
        <v>3286262.36</v>
      </c>
      <c r="AO128">
        <v>3246371.287</v>
      </c>
      <c r="AP128">
        <v>3207535.3259999999</v>
      </c>
      <c r="AQ128">
        <v>3170517.8560000001</v>
      </c>
      <c r="AR128">
        <v>3133595.6850000001</v>
      </c>
      <c r="AS128">
        <v>3095806.5869999998</v>
      </c>
      <c r="AT128">
        <v>3059492.69</v>
      </c>
      <c r="AU128">
        <v>3023818.3229999999</v>
      </c>
      <c r="AV128">
        <v>2988581.3640000001</v>
      </c>
      <c r="AW128">
        <v>2953614.9679999999</v>
      </c>
    </row>
    <row r="129" spans="2:49" x14ac:dyDescent="0.25">
      <c r="B129" t="s">
        <v>380</v>
      </c>
      <c r="C129">
        <v>746221.21464997705</v>
      </c>
      <c r="D129">
        <v>758202.03762327298</v>
      </c>
      <c r="E129">
        <v>770375.21660000004</v>
      </c>
      <c r="F129">
        <v>786035.20810000005</v>
      </c>
      <c r="G129">
        <v>645075.67350000003</v>
      </c>
      <c r="H129">
        <v>572853.32909999997</v>
      </c>
      <c r="I129">
        <v>402497.598</v>
      </c>
      <c r="J129">
        <v>409661.68410000001</v>
      </c>
      <c r="K129">
        <v>379097.5269</v>
      </c>
      <c r="L129">
        <v>377161.47610000003</v>
      </c>
      <c r="M129">
        <v>382171.51419999998</v>
      </c>
      <c r="N129">
        <v>370529.25839999999</v>
      </c>
      <c r="O129">
        <v>310783.75770000002</v>
      </c>
      <c r="P129">
        <v>263305.70870000002</v>
      </c>
      <c r="Q129">
        <v>229157.4982</v>
      </c>
      <c r="R129">
        <v>203478.63269999999</v>
      </c>
      <c r="S129">
        <v>175012.11309999999</v>
      </c>
      <c r="T129">
        <v>165807.49789999999</v>
      </c>
      <c r="U129">
        <v>155391.55179999999</v>
      </c>
      <c r="V129">
        <v>147548.2867</v>
      </c>
      <c r="W129">
        <v>135487.87349999999</v>
      </c>
      <c r="X129">
        <v>123996.7086</v>
      </c>
      <c r="Y129">
        <v>121492.1866</v>
      </c>
      <c r="Z129">
        <v>121303.6419</v>
      </c>
      <c r="AA129">
        <v>121773.26730000001</v>
      </c>
      <c r="AB129">
        <v>122350.8746</v>
      </c>
      <c r="AC129">
        <v>123277.8224</v>
      </c>
      <c r="AD129">
        <v>124491.79859999999</v>
      </c>
      <c r="AE129">
        <v>125548.9979</v>
      </c>
      <c r="AF129">
        <v>126714.06269999999</v>
      </c>
      <c r="AG129">
        <v>127919.4595</v>
      </c>
      <c r="AH129">
        <v>129410.6283</v>
      </c>
      <c r="AI129">
        <v>130782.6593</v>
      </c>
      <c r="AJ129">
        <v>131973.22519999999</v>
      </c>
      <c r="AK129">
        <v>133256.4736</v>
      </c>
      <c r="AL129">
        <v>134549.12909999999</v>
      </c>
      <c r="AM129">
        <v>135830.32079999999</v>
      </c>
      <c r="AN129">
        <v>133196.98850000001</v>
      </c>
      <c r="AO129">
        <v>129996.54730000001</v>
      </c>
      <c r="AP129">
        <v>126623.0775</v>
      </c>
      <c r="AQ129">
        <v>123371.77069999999</v>
      </c>
      <c r="AR129">
        <v>120072.78939999999</v>
      </c>
      <c r="AS129">
        <v>118620.9893</v>
      </c>
      <c r="AT129">
        <v>117480.156</v>
      </c>
      <c r="AU129">
        <v>116318.0433</v>
      </c>
      <c r="AV129">
        <v>115162.4136</v>
      </c>
      <c r="AW129">
        <v>114470.466</v>
      </c>
    </row>
    <row r="130" spans="2:49" x14ac:dyDescent="0.25">
      <c r="B130" t="s">
        <v>381</v>
      </c>
      <c r="C130">
        <v>480333.66960581898</v>
      </c>
      <c r="D130">
        <v>488045.58203966799</v>
      </c>
      <c r="E130">
        <v>495881.31170000002</v>
      </c>
      <c r="F130">
        <v>501282.44640000002</v>
      </c>
      <c r="G130">
        <v>416846.18229999999</v>
      </c>
      <c r="H130">
        <v>385241.20679999999</v>
      </c>
      <c r="I130">
        <v>361447.93310000002</v>
      </c>
      <c r="J130">
        <v>324601.50959999999</v>
      </c>
      <c r="K130">
        <v>313325.13170000003</v>
      </c>
      <c r="L130">
        <v>337764.66200000001</v>
      </c>
      <c r="M130">
        <v>339622.88459999999</v>
      </c>
      <c r="N130">
        <v>340483.19520000002</v>
      </c>
      <c r="O130">
        <v>252962.35709999999</v>
      </c>
      <c r="P130">
        <v>192822.4816</v>
      </c>
      <c r="Q130">
        <v>162169.61009999999</v>
      </c>
      <c r="R130">
        <v>142606.6623</v>
      </c>
      <c r="S130">
        <v>125815.4032</v>
      </c>
      <c r="T130">
        <v>123046.96550000001</v>
      </c>
      <c r="U130">
        <v>121371.8903</v>
      </c>
      <c r="V130">
        <v>120371.3273</v>
      </c>
      <c r="W130">
        <v>118141.5791</v>
      </c>
      <c r="X130">
        <v>115039.5134</v>
      </c>
      <c r="Y130">
        <v>116175.3302</v>
      </c>
      <c r="Z130">
        <v>118458.03419999999</v>
      </c>
      <c r="AA130">
        <v>121037.2285</v>
      </c>
      <c r="AB130">
        <v>123637.6939</v>
      </c>
      <c r="AC130">
        <v>126571.916</v>
      </c>
      <c r="AD130">
        <v>129031.66280000001</v>
      </c>
      <c r="AE130">
        <v>131538.4418</v>
      </c>
      <c r="AF130">
        <v>134051.50390000001</v>
      </c>
      <c r="AG130">
        <v>136767.7433</v>
      </c>
      <c r="AH130">
        <v>139714.92259999999</v>
      </c>
      <c r="AI130">
        <v>142640.19010000001</v>
      </c>
      <c r="AJ130">
        <v>145587.54149999999</v>
      </c>
      <c r="AK130">
        <v>148529.46359999999</v>
      </c>
      <c r="AL130">
        <v>151515.82610000001</v>
      </c>
      <c r="AM130">
        <v>154539.89079999999</v>
      </c>
      <c r="AN130">
        <v>154892.0215</v>
      </c>
      <c r="AO130">
        <v>154634.96179999999</v>
      </c>
      <c r="AP130">
        <v>154024.3401</v>
      </c>
      <c r="AQ130">
        <v>153178.25640000001</v>
      </c>
      <c r="AR130">
        <v>152153.2402</v>
      </c>
      <c r="AS130">
        <v>152573.11550000001</v>
      </c>
      <c r="AT130">
        <v>153199.28330000001</v>
      </c>
      <c r="AU130">
        <v>153808.35759999999</v>
      </c>
      <c r="AV130">
        <v>154366.8205</v>
      </c>
      <c r="AW130">
        <v>154917.83360000001</v>
      </c>
    </row>
    <row r="131" spans="2:49" x14ac:dyDescent="0.25">
      <c r="B131" t="s">
        <v>382</v>
      </c>
      <c r="C131">
        <v>1469582.3108926199</v>
      </c>
      <c r="D131">
        <v>1493176.93024387</v>
      </c>
      <c r="E131">
        <v>1517150.3689999999</v>
      </c>
      <c r="F131">
        <v>1534995.331</v>
      </c>
      <c r="G131">
        <v>1321391.4339999999</v>
      </c>
      <c r="H131">
        <v>1268248.628</v>
      </c>
      <c r="I131">
        <v>1038351.648</v>
      </c>
      <c r="J131">
        <v>963225.76309999998</v>
      </c>
      <c r="K131">
        <v>962310.05440000002</v>
      </c>
      <c r="L131">
        <v>1031204.875</v>
      </c>
      <c r="M131">
        <v>1036757.444</v>
      </c>
      <c r="N131">
        <v>1043724.428</v>
      </c>
      <c r="O131">
        <v>790560.14199999999</v>
      </c>
      <c r="P131">
        <v>610948.08979999996</v>
      </c>
      <c r="Q131">
        <v>514821.16129999998</v>
      </c>
      <c r="R131">
        <v>462585.59539999999</v>
      </c>
      <c r="S131">
        <v>401747.89159999997</v>
      </c>
      <c r="T131">
        <v>385962.78159999999</v>
      </c>
      <c r="U131">
        <v>373422.56319999998</v>
      </c>
      <c r="V131">
        <v>362559.1923</v>
      </c>
      <c r="W131">
        <v>339407.25449999998</v>
      </c>
      <c r="X131">
        <v>315128.8602</v>
      </c>
      <c r="Y131">
        <v>307889.89429999999</v>
      </c>
      <c r="Z131">
        <v>304678.47859999997</v>
      </c>
      <c r="AA131">
        <v>302118.2194</v>
      </c>
      <c r="AB131">
        <v>299524.8836</v>
      </c>
      <c r="AC131">
        <v>297279.04960000003</v>
      </c>
      <c r="AD131">
        <v>301072.17420000001</v>
      </c>
      <c r="AE131">
        <v>304928.93520000001</v>
      </c>
      <c r="AF131">
        <v>309006.6214</v>
      </c>
      <c r="AG131">
        <v>313220.83130000002</v>
      </c>
      <c r="AH131">
        <v>317835.66649999999</v>
      </c>
      <c r="AI131">
        <v>322438.58740000002</v>
      </c>
      <c r="AJ131">
        <v>326994.8615</v>
      </c>
      <c r="AK131">
        <v>331556.11869999999</v>
      </c>
      <c r="AL131">
        <v>336213.71799999999</v>
      </c>
      <c r="AM131">
        <v>340924.49320000003</v>
      </c>
      <c r="AN131">
        <v>338366.2904</v>
      </c>
      <c r="AO131">
        <v>334352.68190000003</v>
      </c>
      <c r="AP131">
        <v>329700.3383</v>
      </c>
      <c r="AQ131">
        <v>324806.6128</v>
      </c>
      <c r="AR131">
        <v>319689.93569999997</v>
      </c>
      <c r="AS131">
        <v>318272.75750000001</v>
      </c>
      <c r="AT131">
        <v>317456.15409999999</v>
      </c>
      <c r="AU131">
        <v>316696.54639999999</v>
      </c>
      <c r="AV131">
        <v>315930.0001</v>
      </c>
      <c r="AW131">
        <v>315165.1789</v>
      </c>
    </row>
    <row r="132" spans="2:49" x14ac:dyDescent="0.25">
      <c r="B132" t="s">
        <v>383</v>
      </c>
      <c r="C132">
        <v>225722.47732836599</v>
      </c>
      <c r="D132">
        <v>229346.52471387701</v>
      </c>
      <c r="E132">
        <v>233028.7574</v>
      </c>
      <c r="F132">
        <v>236499.32029999999</v>
      </c>
      <c r="G132">
        <v>213778.63560000001</v>
      </c>
      <c r="H132">
        <v>203705.96599999999</v>
      </c>
      <c r="I132">
        <v>192675.22700000001</v>
      </c>
      <c r="J132">
        <v>186703.60569999999</v>
      </c>
      <c r="K132">
        <v>189087.01500000001</v>
      </c>
      <c r="L132">
        <v>202462.7309</v>
      </c>
      <c r="M132">
        <v>206538.10500000001</v>
      </c>
      <c r="N132">
        <v>211190.5037</v>
      </c>
      <c r="O132">
        <v>176056.4749</v>
      </c>
      <c r="P132">
        <v>152491.02309999999</v>
      </c>
      <c r="Q132">
        <v>139734.45619999999</v>
      </c>
      <c r="R132">
        <v>135703.7806</v>
      </c>
      <c r="S132">
        <v>127861.3838</v>
      </c>
      <c r="T132">
        <v>124787.30710000001</v>
      </c>
      <c r="U132">
        <v>123352.9531</v>
      </c>
      <c r="V132">
        <v>122014.5347</v>
      </c>
      <c r="W132">
        <v>119613.4881</v>
      </c>
      <c r="X132">
        <v>116257.9235</v>
      </c>
      <c r="Y132">
        <v>116986.2092</v>
      </c>
      <c r="Z132">
        <v>118653.314</v>
      </c>
      <c r="AA132">
        <v>120344.7956</v>
      </c>
      <c r="AB132">
        <v>121971.93309999999</v>
      </c>
      <c r="AC132">
        <v>123577.6532</v>
      </c>
      <c r="AD132">
        <v>125047.9108</v>
      </c>
      <c r="AE132">
        <v>126474.4186</v>
      </c>
      <c r="AF132">
        <v>128045.414</v>
      </c>
      <c r="AG132">
        <v>129567.02710000001</v>
      </c>
      <c r="AH132">
        <v>131129.18840000001</v>
      </c>
      <c r="AI132">
        <v>132701.24919999999</v>
      </c>
      <c r="AJ132">
        <v>134346.4614</v>
      </c>
      <c r="AK132">
        <v>136016.16450000001</v>
      </c>
      <c r="AL132">
        <v>137749.97210000001</v>
      </c>
      <c r="AM132">
        <v>139526.42790000001</v>
      </c>
      <c r="AN132">
        <v>139272.32629999999</v>
      </c>
      <c r="AO132">
        <v>138502.32670000001</v>
      </c>
      <c r="AP132">
        <v>137453.74309999999</v>
      </c>
      <c r="AQ132">
        <v>136240.89980000001</v>
      </c>
      <c r="AR132">
        <v>134846.3449</v>
      </c>
      <c r="AS132">
        <v>134711.98269999999</v>
      </c>
      <c r="AT132">
        <v>134808.05780000001</v>
      </c>
      <c r="AU132">
        <v>134923.76579999999</v>
      </c>
      <c r="AV132">
        <v>135025.47099999999</v>
      </c>
      <c r="AW132">
        <v>135083.2121</v>
      </c>
    </row>
    <row r="133" spans="2:49" x14ac:dyDescent="0.25">
      <c r="B133" t="s">
        <v>384</v>
      </c>
      <c r="C133">
        <v>20679763.666016001</v>
      </c>
      <c r="D133">
        <v>21011783.9607329</v>
      </c>
      <c r="E133">
        <v>21366406.469999999</v>
      </c>
      <c r="F133">
        <v>21492876.670000002</v>
      </c>
      <c r="G133">
        <v>18146592.399999999</v>
      </c>
      <c r="H133">
        <v>15165574.85</v>
      </c>
      <c r="I133">
        <v>15852174.26</v>
      </c>
      <c r="J133">
        <v>15477529.98</v>
      </c>
      <c r="K133">
        <v>14727850.210000001</v>
      </c>
      <c r="L133">
        <v>15476327.5</v>
      </c>
      <c r="M133">
        <v>15881018.640000001</v>
      </c>
      <c r="N133">
        <v>16230681.59</v>
      </c>
      <c r="O133">
        <v>13433333.970000001</v>
      </c>
      <c r="P133">
        <v>12010980.449999999</v>
      </c>
      <c r="Q133">
        <v>10881116.34</v>
      </c>
      <c r="R133">
        <v>9967797.7239999995</v>
      </c>
      <c r="S133">
        <v>9223642.9210000001</v>
      </c>
      <c r="T133">
        <v>9132102.1280000005</v>
      </c>
      <c r="U133">
        <v>9106672.3599999994</v>
      </c>
      <c r="V133">
        <v>9173798.6980000008</v>
      </c>
      <c r="W133">
        <v>9013379.3790000007</v>
      </c>
      <c r="X133">
        <v>8757395.4670000002</v>
      </c>
      <c r="Y133">
        <v>8714957.8599999994</v>
      </c>
      <c r="Z133">
        <v>8721383.12099999</v>
      </c>
      <c r="AA133">
        <v>8726946.375</v>
      </c>
      <c r="AB133">
        <v>8724716.6129999999</v>
      </c>
      <c r="AC133">
        <v>8704176.7379999999</v>
      </c>
      <c r="AD133">
        <v>8816408.3039999995</v>
      </c>
      <c r="AE133">
        <v>8905965.7899999898</v>
      </c>
      <c r="AF133">
        <v>8998574.2090000007</v>
      </c>
      <c r="AG133">
        <v>9098802.8239999898</v>
      </c>
      <c r="AH133">
        <v>9187569.7469999995</v>
      </c>
      <c r="AI133">
        <v>9314074.0350000001</v>
      </c>
      <c r="AJ133">
        <v>9430861.6150000002</v>
      </c>
      <c r="AK133">
        <v>9544683.1539999899</v>
      </c>
      <c r="AL133">
        <v>9659036.62099999</v>
      </c>
      <c r="AM133">
        <v>9772838.7809999995</v>
      </c>
      <c r="AN133">
        <v>9796162.6439999994</v>
      </c>
      <c r="AO133">
        <v>9811750.409</v>
      </c>
      <c r="AP133">
        <v>9816205.1600000001</v>
      </c>
      <c r="AQ133">
        <v>9814655.5199999996</v>
      </c>
      <c r="AR133">
        <v>9790632.2469999995</v>
      </c>
      <c r="AS133">
        <v>9834880.7640000004</v>
      </c>
      <c r="AT133">
        <v>9878542.057</v>
      </c>
      <c r="AU133">
        <v>9918984.4340000004</v>
      </c>
      <c r="AV133">
        <v>9956890.2919999994</v>
      </c>
      <c r="AW133">
        <v>9998070.0079999994</v>
      </c>
    </row>
    <row r="134" spans="2:49" x14ac:dyDescent="0.25">
      <c r="B134" t="s">
        <v>385</v>
      </c>
      <c r="C134">
        <v>2009388.6600685499</v>
      </c>
      <c r="D134">
        <v>2041650.04496113</v>
      </c>
      <c r="E134">
        <v>2074429.3970000001</v>
      </c>
      <c r="F134">
        <v>2146717.3280000002</v>
      </c>
      <c r="G134">
        <v>1714486.392</v>
      </c>
      <c r="H134">
        <v>1630279.652</v>
      </c>
      <c r="I134">
        <v>1633883.3959999999</v>
      </c>
      <c r="J134">
        <v>1505983.746</v>
      </c>
      <c r="K134">
        <v>1539355.28</v>
      </c>
      <c r="L134">
        <v>1763602.5549999999</v>
      </c>
      <c r="M134">
        <v>1840183.3189999999</v>
      </c>
      <c r="N134">
        <v>1852083.3370000001</v>
      </c>
      <c r="O134">
        <v>1208843.92</v>
      </c>
      <c r="P134">
        <v>842520.68709999998</v>
      </c>
      <c r="Q134">
        <v>680136.28819999995</v>
      </c>
      <c r="R134">
        <v>614790.86419999995</v>
      </c>
      <c r="S134">
        <v>532937.76639999996</v>
      </c>
      <c r="T134">
        <v>530868.55229999998</v>
      </c>
      <c r="U134">
        <v>534614.02859999996</v>
      </c>
      <c r="V134">
        <v>545415.51850000001</v>
      </c>
      <c r="W134">
        <v>550750.96120000002</v>
      </c>
      <c r="X134">
        <v>556143.19550000003</v>
      </c>
      <c r="Y134">
        <v>564186.70389999996</v>
      </c>
      <c r="Z134">
        <v>576845.96900000004</v>
      </c>
      <c r="AA134">
        <v>589720.79440000001</v>
      </c>
      <c r="AB134">
        <v>602543.87190000003</v>
      </c>
      <c r="AC134">
        <v>617194.59219999996</v>
      </c>
      <c r="AD134">
        <v>631789.80379999999</v>
      </c>
      <c r="AE134">
        <v>646781.31129999994</v>
      </c>
      <c r="AF134">
        <v>662386.42009999999</v>
      </c>
      <c r="AG134">
        <v>679358.32400000002</v>
      </c>
      <c r="AH134">
        <v>697557.86230000004</v>
      </c>
      <c r="AI134">
        <v>715739.66370000003</v>
      </c>
      <c r="AJ134">
        <v>733990.45209999999</v>
      </c>
      <c r="AK134">
        <v>752472.48479999998</v>
      </c>
      <c r="AL134">
        <v>771534.04909999995</v>
      </c>
      <c r="AM134">
        <v>791113.03040000005</v>
      </c>
      <c r="AN134">
        <v>808903.55920000002</v>
      </c>
      <c r="AO134">
        <v>827670.68350000004</v>
      </c>
      <c r="AP134">
        <v>846240.27760000003</v>
      </c>
      <c r="AQ134">
        <v>864846.74010000005</v>
      </c>
      <c r="AR134">
        <v>883687.01119999995</v>
      </c>
      <c r="AS134">
        <v>903787.30720000004</v>
      </c>
      <c r="AT134">
        <v>924068.87520000001</v>
      </c>
      <c r="AU134">
        <v>944665.07120000001</v>
      </c>
      <c r="AV134">
        <v>965537.27099999995</v>
      </c>
      <c r="AW134">
        <v>987118.38119999995</v>
      </c>
    </row>
    <row r="135" spans="2:49" x14ac:dyDescent="0.25">
      <c r="B135" t="s">
        <v>386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2:49" x14ac:dyDescent="0.25">
      <c r="B136" t="s">
        <v>387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 spans="2:49" x14ac:dyDescent="0.25">
      <c r="B137" t="s">
        <v>388</v>
      </c>
      <c r="C137">
        <v>20174774.421468802</v>
      </c>
      <c r="D137">
        <v>20498686.950521201</v>
      </c>
      <c r="E137">
        <v>20827800</v>
      </c>
      <c r="F137">
        <v>19672395</v>
      </c>
      <c r="G137">
        <v>18376174.460000001</v>
      </c>
      <c r="H137">
        <v>16044670.67</v>
      </c>
      <c r="I137">
        <v>14931313.01</v>
      </c>
      <c r="J137">
        <v>14041968.310000001</v>
      </c>
      <c r="K137">
        <v>13072711.779999999</v>
      </c>
      <c r="L137">
        <v>11982718.359999999</v>
      </c>
      <c r="M137">
        <v>10936986.9</v>
      </c>
      <c r="N137">
        <v>9845034.841</v>
      </c>
      <c r="O137">
        <v>8337646.2750000004</v>
      </c>
      <c r="P137">
        <v>7053309.074</v>
      </c>
      <c r="Q137">
        <v>5826112.0300000003</v>
      </c>
      <c r="R137">
        <v>4420756.4649999999</v>
      </c>
      <c r="S137">
        <v>2953224.3509999998</v>
      </c>
      <c r="T137">
        <v>2705297.3229999999</v>
      </c>
      <c r="U137">
        <v>2559714.0809999998</v>
      </c>
      <c r="V137">
        <v>2428127.2919999999</v>
      </c>
      <c r="W137">
        <v>2498335.6579999998</v>
      </c>
      <c r="X137">
        <v>2594825.5729999999</v>
      </c>
      <c r="Y137">
        <v>2651279.9879999999</v>
      </c>
      <c r="Z137">
        <v>2698163.03</v>
      </c>
      <c r="AA137">
        <v>2743485.162</v>
      </c>
      <c r="AB137">
        <v>2784117.7740000002</v>
      </c>
      <c r="AC137">
        <v>2825476.4049999998</v>
      </c>
      <c r="AD137">
        <v>2847749.5839999998</v>
      </c>
      <c r="AE137">
        <v>2866685.82</v>
      </c>
      <c r="AF137">
        <v>2884762.2459999998</v>
      </c>
      <c r="AG137">
        <v>2901602.1710000001</v>
      </c>
      <c r="AH137">
        <v>2919669.3930000002</v>
      </c>
      <c r="AI137">
        <v>2937317.3509999998</v>
      </c>
      <c r="AJ137">
        <v>2954070.6359999999</v>
      </c>
      <c r="AK137">
        <v>2969948.0389999999</v>
      </c>
      <c r="AL137">
        <v>2985469.6430000002</v>
      </c>
      <c r="AM137">
        <v>3000582.5720000002</v>
      </c>
      <c r="AN137">
        <v>3013238.091</v>
      </c>
      <c r="AO137">
        <v>3025009.497</v>
      </c>
      <c r="AP137">
        <v>3035971.1639999999</v>
      </c>
      <c r="AQ137">
        <v>3045887.943</v>
      </c>
      <c r="AR137">
        <v>3055539.2439999999</v>
      </c>
      <c r="AS137">
        <v>3068330.0219999999</v>
      </c>
      <c r="AT137">
        <v>3080652.5260000001</v>
      </c>
      <c r="AU137">
        <v>3092255.483</v>
      </c>
      <c r="AV137">
        <v>3103274.2680000002</v>
      </c>
      <c r="AW137">
        <v>3115063.6039999998</v>
      </c>
    </row>
    <row r="138" spans="2:49" x14ac:dyDescent="0.25">
      <c r="B138" t="s">
        <v>389</v>
      </c>
      <c r="C138">
        <v>16278956.881142</v>
      </c>
      <c r="D138">
        <v>16540320.799446501</v>
      </c>
      <c r="E138">
        <v>16805881</v>
      </c>
      <c r="F138">
        <v>16818660.079999998</v>
      </c>
      <c r="G138">
        <v>15833787.800000001</v>
      </c>
      <c r="H138">
        <v>15170932.25</v>
      </c>
      <c r="I138">
        <v>14753663.66</v>
      </c>
      <c r="J138">
        <v>12882187.890000001</v>
      </c>
      <c r="K138">
        <v>11194176.15</v>
      </c>
      <c r="L138">
        <v>9821197.7699999996</v>
      </c>
      <c r="M138">
        <v>8793818.8699999899</v>
      </c>
      <c r="N138">
        <v>7952245.6320000002</v>
      </c>
      <c r="O138">
        <v>7233240.4720000001</v>
      </c>
      <c r="P138">
        <v>6477554.108</v>
      </c>
      <c r="Q138">
        <v>5678408.5449999999</v>
      </c>
      <c r="R138">
        <v>5007442.9879999999</v>
      </c>
      <c r="S138">
        <v>4375562.7379999999</v>
      </c>
      <c r="T138">
        <v>5170113.7620000001</v>
      </c>
      <c r="U138">
        <v>5945247.6799999997</v>
      </c>
      <c r="V138">
        <v>6722782.5839999998</v>
      </c>
      <c r="W138">
        <v>6673535.9819999998</v>
      </c>
      <c r="X138">
        <v>6568484.5310000004</v>
      </c>
      <c r="Y138">
        <v>6499867.2640000004</v>
      </c>
      <c r="Z138">
        <v>6460627.335</v>
      </c>
      <c r="AA138">
        <v>6421259.3269999996</v>
      </c>
      <c r="AB138">
        <v>6379006.8020000001</v>
      </c>
      <c r="AC138">
        <v>6319914.1339999996</v>
      </c>
      <c r="AD138">
        <v>6267999.8679999998</v>
      </c>
      <c r="AE138">
        <v>6224055.6979999999</v>
      </c>
      <c r="AF138">
        <v>6181036.8890000004</v>
      </c>
      <c r="AG138">
        <v>6137845.2350000003</v>
      </c>
      <c r="AH138">
        <v>6094528.5599999996</v>
      </c>
      <c r="AI138">
        <v>6059826.1310000001</v>
      </c>
      <c r="AJ138">
        <v>6027095.585</v>
      </c>
      <c r="AK138">
        <v>5993700.3990000002</v>
      </c>
      <c r="AL138">
        <v>5961156.892</v>
      </c>
      <c r="AM138">
        <v>5929423.5899999999</v>
      </c>
      <c r="AN138">
        <v>5893541.233</v>
      </c>
      <c r="AO138">
        <v>5856363.5750000002</v>
      </c>
      <c r="AP138">
        <v>5816774.3310000002</v>
      </c>
      <c r="AQ138">
        <v>5776620.165</v>
      </c>
      <c r="AR138">
        <v>5729990.6529999999</v>
      </c>
      <c r="AS138">
        <v>5701877.0429999996</v>
      </c>
      <c r="AT138">
        <v>5675225.3229999999</v>
      </c>
      <c r="AU138">
        <v>5648554.8679999998</v>
      </c>
      <c r="AV138">
        <v>5622264.4879999999</v>
      </c>
      <c r="AW138">
        <v>5598554.71</v>
      </c>
    </row>
    <row r="139" spans="2:49" x14ac:dyDescent="0.25">
      <c r="B139" t="s">
        <v>390</v>
      </c>
      <c r="C139">
        <v>6501803.9853722304</v>
      </c>
      <c r="D139">
        <v>6606192.55142547</v>
      </c>
      <c r="E139">
        <v>6714977.4309999999</v>
      </c>
      <c r="F139">
        <v>6947380.5130000003</v>
      </c>
      <c r="G139">
        <v>6581461.7359999996</v>
      </c>
      <c r="H139">
        <v>6963118.3650000002</v>
      </c>
      <c r="I139">
        <v>7215096.6679999996</v>
      </c>
      <c r="J139">
        <v>6761133.5120000001</v>
      </c>
      <c r="K139">
        <v>6453117.2410000004</v>
      </c>
      <c r="L139">
        <v>6284785.2350000003</v>
      </c>
      <c r="M139">
        <v>6740503.409</v>
      </c>
      <c r="N139">
        <v>7213093.0959999999</v>
      </c>
      <c r="O139">
        <v>7499071.9570000004</v>
      </c>
      <c r="P139">
        <v>7522069.5829999996</v>
      </c>
      <c r="Q139">
        <v>6943304.8360000001</v>
      </c>
      <c r="R139">
        <v>6873642.9170000004</v>
      </c>
      <c r="S139">
        <v>6922426.4680000003</v>
      </c>
      <c r="T139">
        <v>7077991.3339999998</v>
      </c>
      <c r="U139">
        <v>7224695.7759999996</v>
      </c>
      <c r="V139">
        <v>7427127.6799999997</v>
      </c>
      <c r="W139">
        <v>7596821.9890000001</v>
      </c>
      <c r="X139">
        <v>7814468.0999999996</v>
      </c>
      <c r="Y139">
        <v>7961585.2719999999</v>
      </c>
      <c r="Z139">
        <v>8078526.4840000002</v>
      </c>
      <c r="AA139">
        <v>8174241.2879999997</v>
      </c>
      <c r="AB139">
        <v>8262644.8389999997</v>
      </c>
      <c r="AC139">
        <v>8392869.6030000001</v>
      </c>
      <c r="AD139">
        <v>8454978.8210000005</v>
      </c>
      <c r="AE139">
        <v>8534676.602</v>
      </c>
      <c r="AF139">
        <v>8619268.7139999997</v>
      </c>
      <c r="AG139">
        <v>8710514.1030000001</v>
      </c>
      <c r="AH139">
        <v>8827539.9059999995</v>
      </c>
      <c r="AI139">
        <v>8923304.9149999898</v>
      </c>
      <c r="AJ139">
        <v>9037604.3910000008</v>
      </c>
      <c r="AK139">
        <v>9150297.5419999994</v>
      </c>
      <c r="AL139">
        <v>9267475.9849999994</v>
      </c>
      <c r="AM139">
        <v>9389792.409</v>
      </c>
      <c r="AN139">
        <v>9516498.4739999995</v>
      </c>
      <c r="AO139">
        <v>9648216.8629999999</v>
      </c>
      <c r="AP139">
        <v>9779344.9820000008</v>
      </c>
      <c r="AQ139">
        <v>9910842.5209999997</v>
      </c>
      <c r="AR139">
        <v>10060391.85</v>
      </c>
      <c r="AS139">
        <v>10167990.68</v>
      </c>
      <c r="AT139">
        <v>10277106.779999999</v>
      </c>
      <c r="AU139">
        <v>10387426.23</v>
      </c>
      <c r="AV139">
        <v>10500939.6</v>
      </c>
      <c r="AW139">
        <v>10619833.810000001</v>
      </c>
    </row>
    <row r="140" spans="2:49" x14ac:dyDescent="0.25">
      <c r="B140" t="s">
        <v>391</v>
      </c>
      <c r="C140">
        <v>6377150.6112568304</v>
      </c>
      <c r="D140">
        <v>6479537.8270683698</v>
      </c>
      <c r="E140">
        <v>6586237.0690000001</v>
      </c>
      <c r="F140">
        <v>6751677.1270000003</v>
      </c>
      <c r="G140">
        <v>6352474.2249999996</v>
      </c>
      <c r="H140">
        <v>6651454.9230000004</v>
      </c>
      <c r="I140">
        <v>6464892.5590000004</v>
      </c>
      <c r="J140">
        <v>6193373.7570000002</v>
      </c>
      <c r="K140">
        <v>5785176.4359999998</v>
      </c>
      <c r="L140">
        <v>5700391.699</v>
      </c>
      <c r="M140">
        <v>5831891.477</v>
      </c>
      <c r="N140">
        <v>6055333.8080000002</v>
      </c>
      <c r="O140">
        <v>5416786.7709999997</v>
      </c>
      <c r="P140">
        <v>4693524.0549999997</v>
      </c>
      <c r="Q140">
        <v>3979015.34</v>
      </c>
      <c r="R140">
        <v>3534712.6970000002</v>
      </c>
      <c r="S140">
        <v>3254369.0660000001</v>
      </c>
      <c r="T140">
        <v>3238250.3539999998</v>
      </c>
      <c r="U140">
        <v>3274788.2370000002</v>
      </c>
      <c r="V140">
        <v>3335505.7239999999</v>
      </c>
      <c r="W140">
        <v>3373059.0589999999</v>
      </c>
      <c r="X140">
        <v>3410487.3110000002</v>
      </c>
      <c r="Y140">
        <v>3450059.736</v>
      </c>
      <c r="Z140">
        <v>3500408.11</v>
      </c>
      <c r="AA140">
        <v>3551550.395</v>
      </c>
      <c r="AB140">
        <v>3600475.6639999999</v>
      </c>
      <c r="AC140">
        <v>3670206.4530000002</v>
      </c>
      <c r="AD140">
        <v>3711210.3280000002</v>
      </c>
      <c r="AE140">
        <v>3760541.0070000002</v>
      </c>
      <c r="AF140">
        <v>3808019.0460000001</v>
      </c>
      <c r="AG140">
        <v>3861902.798</v>
      </c>
      <c r="AH140">
        <v>3928788.713</v>
      </c>
      <c r="AI140">
        <v>3983450.0469999998</v>
      </c>
      <c r="AJ140">
        <v>4044684.8990000002</v>
      </c>
      <c r="AK140">
        <v>4103525.9730000002</v>
      </c>
      <c r="AL140">
        <v>4162571.517</v>
      </c>
      <c r="AM140">
        <v>4222057.4139999999</v>
      </c>
      <c r="AN140">
        <v>4252363.4539999999</v>
      </c>
      <c r="AO140">
        <v>4272322.0140000004</v>
      </c>
      <c r="AP140">
        <v>4285552.7110000001</v>
      </c>
      <c r="AQ140">
        <v>4292997.8329999996</v>
      </c>
      <c r="AR140">
        <v>4302145.9749999996</v>
      </c>
      <c r="AS140">
        <v>4314745.0549999997</v>
      </c>
      <c r="AT140">
        <v>4331176.1629999997</v>
      </c>
      <c r="AU140">
        <v>4346986.3480000002</v>
      </c>
      <c r="AV140">
        <v>4361772.4620000003</v>
      </c>
      <c r="AW140">
        <v>4376151.7759999996</v>
      </c>
    </row>
    <row r="141" spans="2:49" x14ac:dyDescent="0.25">
      <c r="B141" t="s">
        <v>392</v>
      </c>
      <c r="C141">
        <v>415184.68418409303</v>
      </c>
      <c r="D141">
        <v>421850.60858395998</v>
      </c>
      <c r="E141">
        <v>428797.26770000003</v>
      </c>
      <c r="F141">
        <v>465444.88900000002</v>
      </c>
      <c r="G141">
        <v>434128.04139999999</v>
      </c>
      <c r="H141">
        <v>398506.39970000001</v>
      </c>
      <c r="I141">
        <v>433597.0773</v>
      </c>
      <c r="J141">
        <v>414130.91979999997</v>
      </c>
      <c r="K141">
        <v>391262.79739999998</v>
      </c>
      <c r="L141">
        <v>395342.83010000002</v>
      </c>
      <c r="M141">
        <v>424522.14750000002</v>
      </c>
      <c r="N141">
        <v>488463.5465</v>
      </c>
      <c r="O141">
        <v>436699.75809999998</v>
      </c>
      <c r="P141">
        <v>368565.66859999998</v>
      </c>
      <c r="Q141">
        <v>295908.14270000003</v>
      </c>
      <c r="R141">
        <v>253389.85329999999</v>
      </c>
      <c r="S141">
        <v>208629.26930000001</v>
      </c>
      <c r="T141">
        <v>200066.23550000001</v>
      </c>
      <c r="U141">
        <v>202455.94390000001</v>
      </c>
      <c r="V141">
        <v>207656.14079999999</v>
      </c>
      <c r="W141">
        <v>212917.60079999999</v>
      </c>
      <c r="X141">
        <v>196386.7415</v>
      </c>
      <c r="Y141">
        <v>216421.31640000001</v>
      </c>
      <c r="Z141">
        <v>227112.4363</v>
      </c>
      <c r="AA141">
        <v>234731.27119999999</v>
      </c>
      <c r="AB141">
        <v>240882.57579999999</v>
      </c>
      <c r="AC141">
        <v>232850.06849999999</v>
      </c>
      <c r="AD141">
        <v>249342.848</v>
      </c>
      <c r="AE141">
        <v>255942.5912</v>
      </c>
      <c r="AF141">
        <v>262194.44650000002</v>
      </c>
      <c r="AG141">
        <v>268467.27870000002</v>
      </c>
      <c r="AH141">
        <v>263891.6911</v>
      </c>
      <c r="AI141">
        <v>277465.11580000003</v>
      </c>
      <c r="AJ141">
        <v>286795.89840000001</v>
      </c>
      <c r="AK141">
        <v>294053.08149999997</v>
      </c>
      <c r="AL141">
        <v>300745.2023</v>
      </c>
      <c r="AM141">
        <v>307138.22090000001</v>
      </c>
      <c r="AN141">
        <v>309744.79200000002</v>
      </c>
      <c r="AO141">
        <v>313718.80379999999</v>
      </c>
      <c r="AP141">
        <v>317883.85989999998</v>
      </c>
      <c r="AQ141">
        <v>321964.41769999999</v>
      </c>
      <c r="AR141">
        <v>318117.32069999998</v>
      </c>
      <c r="AS141">
        <v>325896.32439999998</v>
      </c>
      <c r="AT141">
        <v>331144.57</v>
      </c>
      <c r="AU141">
        <v>335326.53659999999</v>
      </c>
      <c r="AV141">
        <v>339024.95819999999</v>
      </c>
      <c r="AW141">
        <v>342564.64159999997</v>
      </c>
    </row>
    <row r="142" spans="2:49" x14ac:dyDescent="0.25">
      <c r="B142" t="s">
        <v>393</v>
      </c>
      <c r="C142">
        <v>4757556.1935294</v>
      </c>
      <c r="D142">
        <v>4833940.2970916703</v>
      </c>
      <c r="E142">
        <v>4913541.3090000004</v>
      </c>
      <c r="F142">
        <v>4965570.4950000001</v>
      </c>
      <c r="G142">
        <v>4487357.551</v>
      </c>
      <c r="H142">
        <v>4088189.6320000002</v>
      </c>
      <c r="I142">
        <v>3617704.702</v>
      </c>
      <c r="J142">
        <v>3773390.3909999998</v>
      </c>
      <c r="K142">
        <v>3373715.6639999999</v>
      </c>
      <c r="L142">
        <v>3242445.0210000002</v>
      </c>
      <c r="M142">
        <v>3328730.2940000002</v>
      </c>
      <c r="N142">
        <v>3442923.28</v>
      </c>
      <c r="O142">
        <v>3207031.3139999998</v>
      </c>
      <c r="P142">
        <v>2854363.125</v>
      </c>
      <c r="Q142">
        <v>2472474.6490000002</v>
      </c>
      <c r="R142">
        <v>2178798.4920000001</v>
      </c>
      <c r="S142">
        <v>1927270.456</v>
      </c>
      <c r="T142">
        <v>1830347.5</v>
      </c>
      <c r="U142">
        <v>1744787.8289999999</v>
      </c>
      <c r="V142">
        <v>1663026.094</v>
      </c>
      <c r="W142">
        <v>1547567.7779999999</v>
      </c>
      <c r="X142">
        <v>1419360.3540000001</v>
      </c>
      <c r="Y142">
        <v>1411318.7</v>
      </c>
      <c r="Z142">
        <v>1420498.4210000001</v>
      </c>
      <c r="AA142">
        <v>1433686.415</v>
      </c>
      <c r="AB142">
        <v>1446672.037</v>
      </c>
      <c r="AC142">
        <v>1458834.919</v>
      </c>
      <c r="AD142">
        <v>1480195.135</v>
      </c>
      <c r="AE142">
        <v>1497458.423</v>
      </c>
      <c r="AF142">
        <v>1514709.202</v>
      </c>
      <c r="AG142">
        <v>1533531.1229999999</v>
      </c>
      <c r="AH142">
        <v>1551073.7690000001</v>
      </c>
      <c r="AI142">
        <v>1574916.7919999999</v>
      </c>
      <c r="AJ142">
        <v>1597401</v>
      </c>
      <c r="AK142">
        <v>1619002.071</v>
      </c>
      <c r="AL142">
        <v>1640724.0349999999</v>
      </c>
      <c r="AM142">
        <v>1662638.824</v>
      </c>
      <c r="AN142">
        <v>1634905.328</v>
      </c>
      <c r="AO142">
        <v>1598356.32</v>
      </c>
      <c r="AP142">
        <v>1559051.5349999999</v>
      </c>
      <c r="AQ142">
        <v>1519098.287</v>
      </c>
      <c r="AR142">
        <v>1477094.2990000001</v>
      </c>
      <c r="AS142">
        <v>1461945.8060000001</v>
      </c>
      <c r="AT142">
        <v>1450311.5589999999</v>
      </c>
      <c r="AU142">
        <v>1438881.5819999999</v>
      </c>
      <c r="AV142">
        <v>1427313.544</v>
      </c>
      <c r="AW142">
        <v>1416291.88</v>
      </c>
    </row>
    <row r="143" spans="2:49" x14ac:dyDescent="0.25">
      <c r="B143" t="s">
        <v>394</v>
      </c>
      <c r="C143">
        <v>16503281.675133999</v>
      </c>
      <c r="D143">
        <v>16768247.200565999</v>
      </c>
      <c r="E143">
        <v>17044371.719999999</v>
      </c>
      <c r="F143">
        <v>17250401.800000001</v>
      </c>
      <c r="G143">
        <v>15713851.42</v>
      </c>
      <c r="H143">
        <v>14113572.1</v>
      </c>
      <c r="I143">
        <v>13404238.130000001</v>
      </c>
      <c r="J143">
        <v>14333404.08</v>
      </c>
      <c r="K143">
        <v>12798095.189999999</v>
      </c>
      <c r="L143">
        <v>12279767.07</v>
      </c>
      <c r="M143">
        <v>12604772.359999999</v>
      </c>
      <c r="N143">
        <v>12934130.43</v>
      </c>
      <c r="O143">
        <v>12386064.59</v>
      </c>
      <c r="P143">
        <v>11393745.949999999</v>
      </c>
      <c r="Q143">
        <v>10125314.880000001</v>
      </c>
      <c r="R143">
        <v>9185020.3460000008</v>
      </c>
      <c r="S143">
        <v>8169518.3269999996</v>
      </c>
      <c r="T143">
        <v>8027309.693</v>
      </c>
      <c r="U143">
        <v>7812729.8820000002</v>
      </c>
      <c r="V143">
        <v>7698657.9040000001</v>
      </c>
      <c r="W143">
        <v>7332008.7570000002</v>
      </c>
      <c r="X143">
        <v>6936543.0559999999</v>
      </c>
      <c r="Y143">
        <v>6843838.6030000001</v>
      </c>
      <c r="Z143">
        <v>6844872.074</v>
      </c>
      <c r="AA143">
        <v>6876846.0760000004</v>
      </c>
      <c r="AB143">
        <v>6912580.1940000001</v>
      </c>
      <c r="AC143">
        <v>6968156.727</v>
      </c>
      <c r="AD143">
        <v>7042032.5180000002</v>
      </c>
      <c r="AE143">
        <v>7107207.7630000003</v>
      </c>
      <c r="AF143">
        <v>7178011.4280000003</v>
      </c>
      <c r="AG143">
        <v>7252175.2000000002</v>
      </c>
      <c r="AH143">
        <v>7342073.5899999999</v>
      </c>
      <c r="AI143">
        <v>7431499.5690000001</v>
      </c>
      <c r="AJ143">
        <v>7512719.835</v>
      </c>
      <c r="AK143">
        <v>7599935.9170000004</v>
      </c>
      <c r="AL143">
        <v>7687823.2869999995</v>
      </c>
      <c r="AM143">
        <v>7774909.9199999999</v>
      </c>
      <c r="AN143">
        <v>7679769.3799999999</v>
      </c>
      <c r="AO143">
        <v>7554709.7659999998</v>
      </c>
      <c r="AP143">
        <v>7414229.3830000004</v>
      </c>
      <c r="AQ143">
        <v>7274459.6880000001</v>
      </c>
      <c r="AR143">
        <v>7124718.9859999996</v>
      </c>
      <c r="AS143">
        <v>7060295.4179999996</v>
      </c>
      <c r="AT143">
        <v>7008837.4359999998</v>
      </c>
      <c r="AU143">
        <v>6953955.9689999996</v>
      </c>
      <c r="AV143">
        <v>6897926.9299999997</v>
      </c>
      <c r="AW143">
        <v>6868565.4840000002</v>
      </c>
    </row>
    <row r="144" spans="2:49" x14ac:dyDescent="0.25">
      <c r="B144" t="s">
        <v>395</v>
      </c>
      <c r="C144">
        <v>11632594.838881901</v>
      </c>
      <c r="D144">
        <v>11819359.911689499</v>
      </c>
      <c r="E144">
        <v>12013990.58</v>
      </c>
      <c r="F144">
        <v>12039137.76</v>
      </c>
      <c r="G144">
        <v>11121229.300000001</v>
      </c>
      <c r="H144">
        <v>10500091.85</v>
      </c>
      <c r="I144">
        <v>9347290.6600000001</v>
      </c>
      <c r="J144">
        <v>8415957.182</v>
      </c>
      <c r="K144">
        <v>7626763.7879999997</v>
      </c>
      <c r="L144">
        <v>7539805.801</v>
      </c>
      <c r="M144">
        <v>7530769.9890000001</v>
      </c>
      <c r="N144">
        <v>7907300.659</v>
      </c>
      <c r="O144">
        <v>7219207.7580000004</v>
      </c>
      <c r="P144">
        <v>6293557.0329999998</v>
      </c>
      <c r="Q144">
        <v>5460650.7860000003</v>
      </c>
      <c r="R144">
        <v>4765499.3150000004</v>
      </c>
      <c r="S144">
        <v>4271815.2450000001</v>
      </c>
      <c r="T144">
        <v>4060344.591</v>
      </c>
      <c r="U144">
        <v>3843957.9139999999</v>
      </c>
      <c r="V144">
        <v>3632903.0989999999</v>
      </c>
      <c r="W144">
        <v>3386043.6189999999</v>
      </c>
      <c r="X144">
        <v>3121430.5269999998</v>
      </c>
      <c r="Y144">
        <v>3107572.8810000001</v>
      </c>
      <c r="Z144">
        <v>3148061.014</v>
      </c>
      <c r="AA144">
        <v>3199865.1310000001</v>
      </c>
      <c r="AB144">
        <v>3251635.8130000001</v>
      </c>
      <c r="AC144">
        <v>3311918.9569999999</v>
      </c>
      <c r="AD144">
        <v>3355327.7829999998</v>
      </c>
      <c r="AE144">
        <v>3397966.0419999999</v>
      </c>
      <c r="AF144">
        <v>3440610.7910000002</v>
      </c>
      <c r="AG144">
        <v>3488006.4989999998</v>
      </c>
      <c r="AH144">
        <v>3539448.7239999999</v>
      </c>
      <c r="AI144">
        <v>3591637</v>
      </c>
      <c r="AJ144">
        <v>3644325.2319999998</v>
      </c>
      <c r="AK144">
        <v>3696287.1609999998</v>
      </c>
      <c r="AL144">
        <v>3748889.4419999998</v>
      </c>
      <c r="AM144">
        <v>3802010.2149999999</v>
      </c>
      <c r="AN144">
        <v>3734386.983</v>
      </c>
      <c r="AO144">
        <v>3644079.7510000002</v>
      </c>
      <c r="AP144">
        <v>3546871.179</v>
      </c>
      <c r="AQ144">
        <v>3448130.679</v>
      </c>
      <c r="AR144">
        <v>3349009.8990000002</v>
      </c>
      <c r="AS144">
        <v>3308230.8909999998</v>
      </c>
      <c r="AT144">
        <v>3277994.9789999998</v>
      </c>
      <c r="AU144">
        <v>3249394.8319999999</v>
      </c>
      <c r="AV144">
        <v>3221007.6230000001</v>
      </c>
      <c r="AW144">
        <v>3193554.7850000001</v>
      </c>
    </row>
    <row r="145" spans="2:49" x14ac:dyDescent="0.25">
      <c r="B145" t="s">
        <v>396</v>
      </c>
      <c r="C145">
        <v>3166830.51938263</v>
      </c>
      <c r="D145">
        <v>3217675.0077116699</v>
      </c>
      <c r="E145">
        <v>3270660.8059999999</v>
      </c>
      <c r="F145">
        <v>3289231.8149999999</v>
      </c>
      <c r="G145">
        <v>3224348.477</v>
      </c>
      <c r="H145">
        <v>3128104.4</v>
      </c>
      <c r="I145">
        <v>3080732.3369999998</v>
      </c>
      <c r="J145">
        <v>2993273.8089999999</v>
      </c>
      <c r="K145">
        <v>2839094.3709999998</v>
      </c>
      <c r="L145">
        <v>2830550.7310000001</v>
      </c>
      <c r="M145">
        <v>2860036.0649999999</v>
      </c>
      <c r="N145">
        <v>3053538.5750000002</v>
      </c>
      <c r="O145">
        <v>3002893.2209999999</v>
      </c>
      <c r="P145">
        <v>2829195.66</v>
      </c>
      <c r="Q145">
        <v>2608831.5890000002</v>
      </c>
      <c r="R145">
        <v>2504225.8149999999</v>
      </c>
      <c r="S145">
        <v>2362606.676</v>
      </c>
      <c r="T145">
        <v>2340821.5649999999</v>
      </c>
      <c r="U145">
        <v>2325929.8119999999</v>
      </c>
      <c r="V145">
        <v>2322041.284</v>
      </c>
      <c r="W145">
        <v>2240444.014</v>
      </c>
      <c r="X145">
        <v>2146121.7039999999</v>
      </c>
      <c r="Y145">
        <v>2097887.6469999999</v>
      </c>
      <c r="Z145">
        <v>2069376.4450000001</v>
      </c>
      <c r="AA145">
        <v>2040940.726</v>
      </c>
      <c r="AB145">
        <v>2011569.0859999999</v>
      </c>
      <c r="AC145">
        <v>1984793.328</v>
      </c>
      <c r="AD145">
        <v>1999642.4210000001</v>
      </c>
      <c r="AE145">
        <v>2014814.5090000001</v>
      </c>
      <c r="AF145">
        <v>2032316.3319999999</v>
      </c>
      <c r="AG145">
        <v>2050067.344</v>
      </c>
      <c r="AH145">
        <v>2069945.7990000001</v>
      </c>
      <c r="AI145">
        <v>2091212.165</v>
      </c>
      <c r="AJ145">
        <v>2113431.6850000001</v>
      </c>
      <c r="AK145">
        <v>2136015.9539999999</v>
      </c>
      <c r="AL145">
        <v>2159393.673</v>
      </c>
      <c r="AM145">
        <v>2183263.125</v>
      </c>
      <c r="AN145">
        <v>2180279.3960000002</v>
      </c>
      <c r="AO145">
        <v>2172600.156</v>
      </c>
      <c r="AP145">
        <v>2161580.608</v>
      </c>
      <c r="AQ145">
        <v>2149016.9339999999</v>
      </c>
      <c r="AR145">
        <v>2134397.8679999998</v>
      </c>
      <c r="AS145">
        <v>2132773.7540000002</v>
      </c>
      <c r="AT145">
        <v>2133211.6009999998</v>
      </c>
      <c r="AU145">
        <v>2133728.5630000001</v>
      </c>
      <c r="AV145">
        <v>2134195.4810000001</v>
      </c>
      <c r="AW145">
        <v>2134666.38</v>
      </c>
    </row>
    <row r="146" spans="2:49" x14ac:dyDescent="0.25">
      <c r="B146" t="s">
        <v>397</v>
      </c>
      <c r="C146">
        <v>6723975.7599636996</v>
      </c>
      <c r="D146">
        <v>6831931.3657214995</v>
      </c>
      <c r="E146">
        <v>6955657.5080000004</v>
      </c>
      <c r="F146">
        <v>7014961.1550000003</v>
      </c>
      <c r="G146">
        <v>7037360.4500000002</v>
      </c>
      <c r="H146">
        <v>6618042.466</v>
      </c>
      <c r="I146">
        <v>6884145.6900000004</v>
      </c>
      <c r="J146">
        <v>6951020.4929999998</v>
      </c>
      <c r="K146">
        <v>6823413.1720000003</v>
      </c>
      <c r="L146">
        <v>6837237.2609999999</v>
      </c>
      <c r="M146">
        <v>6889619.2949999999</v>
      </c>
      <c r="N146">
        <v>7180850.335</v>
      </c>
      <c r="O146">
        <v>7193084.165</v>
      </c>
      <c r="P146">
        <v>7198797.1699999999</v>
      </c>
      <c r="Q146">
        <v>7070230.426</v>
      </c>
      <c r="R146">
        <v>7128328.7470000004</v>
      </c>
      <c r="S146">
        <v>7059883.4139999999</v>
      </c>
      <c r="T146">
        <v>7072557.9610000001</v>
      </c>
      <c r="U146">
        <v>7177078.8679999998</v>
      </c>
      <c r="V146">
        <v>7316093.8779999996</v>
      </c>
      <c r="W146">
        <v>7456024.074</v>
      </c>
      <c r="X146">
        <v>7576887.8459999999</v>
      </c>
      <c r="Y146">
        <v>7677288.9649999999</v>
      </c>
      <c r="Z146">
        <v>7781897.2539999997</v>
      </c>
      <c r="AA146">
        <v>7876362.3559999997</v>
      </c>
      <c r="AB146">
        <v>7964398.7300000004</v>
      </c>
      <c r="AC146">
        <v>8048941.6919999998</v>
      </c>
      <c r="AD146">
        <v>8127880.3470000001</v>
      </c>
      <c r="AE146">
        <v>8204862.3140000002</v>
      </c>
      <c r="AF146">
        <v>8291242.2110000001</v>
      </c>
      <c r="AG146">
        <v>8372918.1310000001</v>
      </c>
      <c r="AH146">
        <v>8458573.5429999996</v>
      </c>
      <c r="AI146">
        <v>8553879.5350000001</v>
      </c>
      <c r="AJ146">
        <v>8657260.9780000001</v>
      </c>
      <c r="AK146">
        <v>8763388.6899999995</v>
      </c>
      <c r="AL146">
        <v>8874188.5329999998</v>
      </c>
      <c r="AM146">
        <v>8988121.7489999998</v>
      </c>
      <c r="AN146">
        <v>9105662.4340000004</v>
      </c>
      <c r="AO146">
        <v>9227433.3579999898</v>
      </c>
      <c r="AP146">
        <v>9348075.0219999999</v>
      </c>
      <c r="AQ146">
        <v>9469592.8870000001</v>
      </c>
      <c r="AR146">
        <v>9590731.8200000003</v>
      </c>
      <c r="AS146">
        <v>9709223.3530000001</v>
      </c>
      <c r="AT146">
        <v>9828556.0380000006</v>
      </c>
      <c r="AU146">
        <v>9949682.9230000004</v>
      </c>
      <c r="AV146">
        <v>10073156.859999999</v>
      </c>
      <c r="AW146">
        <v>10197320.76</v>
      </c>
    </row>
    <row r="147" spans="2:49" x14ac:dyDescent="0.25">
      <c r="B147" t="s">
        <v>398</v>
      </c>
      <c r="C147">
        <v>312332.22295347298</v>
      </c>
      <c r="D147">
        <v>317346.817819711</v>
      </c>
      <c r="E147">
        <v>322572.6018</v>
      </c>
      <c r="F147">
        <v>335409.9339</v>
      </c>
      <c r="G147">
        <v>321882.0148</v>
      </c>
      <c r="H147">
        <v>281536.60920000001</v>
      </c>
      <c r="I147">
        <v>296106.95929999999</v>
      </c>
      <c r="J147">
        <v>299157.97600000002</v>
      </c>
      <c r="K147">
        <v>279463.37390000001</v>
      </c>
      <c r="L147">
        <v>264921.42479999998</v>
      </c>
      <c r="M147">
        <v>261306.23190000001</v>
      </c>
      <c r="N147">
        <v>275833.97869999998</v>
      </c>
      <c r="O147">
        <v>254526.81630000001</v>
      </c>
      <c r="P147">
        <v>236111.27470000001</v>
      </c>
      <c r="Q147">
        <v>214313.79949999999</v>
      </c>
      <c r="R147">
        <v>194798.96479999999</v>
      </c>
      <c r="S147">
        <v>180244.04449999999</v>
      </c>
      <c r="T147">
        <v>180254.63080000001</v>
      </c>
      <c r="U147">
        <v>182158.1655</v>
      </c>
      <c r="V147">
        <v>186398.19330000001</v>
      </c>
      <c r="W147">
        <v>189187.0289</v>
      </c>
      <c r="X147">
        <v>190585.96710000001</v>
      </c>
      <c r="Y147">
        <v>193896.0576</v>
      </c>
      <c r="Z147">
        <v>198126.75570000001</v>
      </c>
      <c r="AA147">
        <v>202790.35250000001</v>
      </c>
      <c r="AB147">
        <v>207930.68840000001</v>
      </c>
      <c r="AC147">
        <v>212547.61120000001</v>
      </c>
      <c r="AD147">
        <v>214808.46460000001</v>
      </c>
      <c r="AE147">
        <v>216155.77489999999</v>
      </c>
      <c r="AF147">
        <v>217625.38860000001</v>
      </c>
      <c r="AG147">
        <v>219210.8161</v>
      </c>
      <c r="AH147">
        <v>219832.9767</v>
      </c>
      <c r="AI147">
        <v>222420.4123</v>
      </c>
      <c r="AJ147">
        <v>224677.03899999999</v>
      </c>
      <c r="AK147">
        <v>226720.23629999999</v>
      </c>
      <c r="AL147">
        <v>228771.46979999999</v>
      </c>
      <c r="AM147">
        <v>230812.2616</v>
      </c>
      <c r="AN147">
        <v>232000.97690000001</v>
      </c>
      <c r="AO147">
        <v>233483.15760000001</v>
      </c>
      <c r="AP147">
        <v>234929.77230000001</v>
      </c>
      <c r="AQ147">
        <v>236384.28150000001</v>
      </c>
      <c r="AR147">
        <v>236830.70850000001</v>
      </c>
      <c r="AS147">
        <v>238713.48120000001</v>
      </c>
      <c r="AT147">
        <v>240368.3597</v>
      </c>
      <c r="AU147">
        <v>241894.41159999999</v>
      </c>
      <c r="AV147">
        <v>243383.98860000001</v>
      </c>
      <c r="AW147">
        <v>245054.8786</v>
      </c>
    </row>
    <row r="148" spans="2:49" x14ac:dyDescent="0.25">
      <c r="B148" t="s">
        <v>399</v>
      </c>
      <c r="C148">
        <v>7845653.0561234802</v>
      </c>
      <c r="D148">
        <v>7971617.5536879301</v>
      </c>
      <c r="E148">
        <v>8102887.0319999997</v>
      </c>
      <c r="F148">
        <v>8304441.2630000003</v>
      </c>
      <c r="G148">
        <v>7926557.8360000001</v>
      </c>
      <c r="H148">
        <v>7560574.9110000003</v>
      </c>
      <c r="I148">
        <v>7579856.6679999996</v>
      </c>
      <c r="J148">
        <v>7325479.125</v>
      </c>
      <c r="K148">
        <v>6859139.6569999997</v>
      </c>
      <c r="L148">
        <v>6694048.2470000004</v>
      </c>
      <c r="M148">
        <v>6850049.716</v>
      </c>
      <c r="N148">
        <v>7318547.9989999998</v>
      </c>
      <c r="O148">
        <v>7026165.7379999999</v>
      </c>
      <c r="P148">
        <v>6413526.9029999999</v>
      </c>
      <c r="Q148">
        <v>5700937.5729999999</v>
      </c>
      <c r="R148">
        <v>5333328.0810000002</v>
      </c>
      <c r="S148">
        <v>4949289.2649999997</v>
      </c>
      <c r="T148">
        <v>5013141.9040000001</v>
      </c>
      <c r="U148">
        <v>5087030.3169999998</v>
      </c>
      <c r="V148">
        <v>5215056.1090000002</v>
      </c>
      <c r="W148">
        <v>5302119.3130000001</v>
      </c>
      <c r="X148">
        <v>5389036.8260000004</v>
      </c>
      <c r="Y148">
        <v>5440957.6050000004</v>
      </c>
      <c r="Z148">
        <v>5521194.7589999996</v>
      </c>
      <c r="AA148">
        <v>5598159.892</v>
      </c>
      <c r="AB148">
        <v>5670324.2520000003</v>
      </c>
      <c r="AC148">
        <v>5756144.3210000005</v>
      </c>
      <c r="AD148">
        <v>5833641.9730000002</v>
      </c>
      <c r="AE148">
        <v>5909772.1849999996</v>
      </c>
      <c r="AF148">
        <v>5988893.273</v>
      </c>
      <c r="AG148">
        <v>6076164.852</v>
      </c>
      <c r="AH148">
        <v>6169820.5939999996</v>
      </c>
      <c r="AI148">
        <v>6272783.176</v>
      </c>
      <c r="AJ148">
        <v>6376940.2960000001</v>
      </c>
      <c r="AK148">
        <v>6480664.3039999995</v>
      </c>
      <c r="AL148">
        <v>6586642.0319999997</v>
      </c>
      <c r="AM148">
        <v>6694179.6109999996</v>
      </c>
      <c r="AN148">
        <v>6774281.7510000002</v>
      </c>
      <c r="AO148">
        <v>6858612.415</v>
      </c>
      <c r="AP148">
        <v>6937822.7309999997</v>
      </c>
      <c r="AQ148">
        <v>7014055.9979999997</v>
      </c>
      <c r="AR148">
        <v>7088752.8660000004</v>
      </c>
      <c r="AS148">
        <v>7167269.5080000004</v>
      </c>
      <c r="AT148">
        <v>7242465.2369999997</v>
      </c>
      <c r="AU148">
        <v>7316756.8229999999</v>
      </c>
      <c r="AV148">
        <v>7390414.8820000002</v>
      </c>
      <c r="AW148">
        <v>7466713.8650000002</v>
      </c>
    </row>
    <row r="149" spans="2:49" x14ac:dyDescent="0.25">
      <c r="B149" t="s">
        <v>400</v>
      </c>
      <c r="C149">
        <v>3.3990718667427999</v>
      </c>
      <c r="D149">
        <v>3.4536450650243098</v>
      </c>
      <c r="E149">
        <v>3.5105166080000001</v>
      </c>
      <c r="F149">
        <v>3.727630027</v>
      </c>
      <c r="G149">
        <v>3.6468882370000002</v>
      </c>
      <c r="H149">
        <v>3.4131511520000002</v>
      </c>
      <c r="I149">
        <v>3.3837493649999999</v>
      </c>
      <c r="J149">
        <v>3.3733499400000002</v>
      </c>
      <c r="K149">
        <v>3.2279549969999999</v>
      </c>
      <c r="L149">
        <v>3.2299660110000001</v>
      </c>
      <c r="M149">
        <v>3.2432206670000001</v>
      </c>
      <c r="N149">
        <v>3.3372510759999998</v>
      </c>
      <c r="O149">
        <v>3.5302472479999998</v>
      </c>
      <c r="P149">
        <v>3.6623028529999999</v>
      </c>
      <c r="Q149">
        <v>3.645602217</v>
      </c>
      <c r="R149">
        <v>3.7531947240000001</v>
      </c>
      <c r="S149">
        <v>3.6544867170000002</v>
      </c>
      <c r="T149">
        <v>3.778218549</v>
      </c>
      <c r="U149">
        <v>3.8064271139999999</v>
      </c>
      <c r="V149">
        <v>3.9094257200000002</v>
      </c>
      <c r="W149">
        <v>3.8952404330000001</v>
      </c>
      <c r="X149">
        <v>3.9147608549999999</v>
      </c>
      <c r="Y149">
        <v>3.8522320959999998</v>
      </c>
      <c r="Z149">
        <v>3.822005136</v>
      </c>
      <c r="AA149">
        <v>3.8113971059999998</v>
      </c>
      <c r="AB149">
        <v>3.8066031819999999</v>
      </c>
      <c r="AC149">
        <v>3.8208530289999998</v>
      </c>
      <c r="AD149">
        <v>3.8434303490000001</v>
      </c>
      <c r="AE149">
        <v>3.862706405</v>
      </c>
      <c r="AF149">
        <v>3.8871589489999998</v>
      </c>
      <c r="AG149">
        <v>3.9107306909999999</v>
      </c>
      <c r="AH149">
        <v>3.9482099590000002</v>
      </c>
      <c r="AI149">
        <v>3.9800811079999998</v>
      </c>
      <c r="AJ149">
        <v>4.0091679290000002</v>
      </c>
      <c r="AK149">
        <v>4.0434457510000001</v>
      </c>
      <c r="AL149">
        <v>4.0786101180000003</v>
      </c>
      <c r="AM149">
        <v>4.1136523350000003</v>
      </c>
      <c r="AN149">
        <v>4.1295665550000002</v>
      </c>
      <c r="AO149">
        <v>4.1519353140000002</v>
      </c>
      <c r="AP149">
        <v>4.173253066</v>
      </c>
      <c r="AQ149">
        <v>4.2011553509999997</v>
      </c>
      <c r="AR149">
        <v>4.2303133209999997</v>
      </c>
      <c r="AS149">
        <v>4.2491152449999996</v>
      </c>
      <c r="AT149">
        <v>4.2668244260000003</v>
      </c>
      <c r="AU149">
        <v>4.2808752620000003</v>
      </c>
      <c r="AV149">
        <v>4.2950863789999998</v>
      </c>
      <c r="AW149">
        <v>4.3462701770000001</v>
      </c>
    </row>
    <row r="150" spans="2:49" x14ac:dyDescent="0.25">
      <c r="B150" t="s">
        <v>401</v>
      </c>
      <c r="C150">
        <v>600391.80946004798</v>
      </c>
      <c r="D150">
        <v>610031.29416316305</v>
      </c>
      <c r="E150">
        <v>620076.74470000004</v>
      </c>
      <c r="F150">
        <v>642594.19889999996</v>
      </c>
      <c r="G150">
        <v>610541.86010000005</v>
      </c>
      <c r="H150">
        <v>615017.03659999999</v>
      </c>
      <c r="I150">
        <v>639108.87789999996</v>
      </c>
      <c r="J150">
        <v>619584.07830000005</v>
      </c>
      <c r="K150">
        <v>589031.32400000002</v>
      </c>
      <c r="L150">
        <v>598167.02399999998</v>
      </c>
      <c r="M150">
        <v>613177.22369999997</v>
      </c>
      <c r="N150">
        <v>651655.11410000001</v>
      </c>
      <c r="O150">
        <v>696363.85389999999</v>
      </c>
      <c r="P150">
        <v>710478.67509999999</v>
      </c>
      <c r="Q150">
        <v>655043.25060000003</v>
      </c>
      <c r="R150">
        <v>668767.51780000003</v>
      </c>
      <c r="S150">
        <v>692740.91859999998</v>
      </c>
      <c r="T150">
        <v>808225.68209999998</v>
      </c>
      <c r="U150">
        <v>911780.4301</v>
      </c>
      <c r="V150">
        <v>1027599.738</v>
      </c>
      <c r="W150">
        <v>1107530.2620000001</v>
      </c>
      <c r="X150">
        <v>1360454.9779999999</v>
      </c>
      <c r="Y150">
        <v>1454326.551</v>
      </c>
      <c r="Z150">
        <v>1525319.2790000001</v>
      </c>
      <c r="AA150">
        <v>1577645.1470000001</v>
      </c>
      <c r="AB150">
        <v>1617300.595</v>
      </c>
      <c r="AC150">
        <v>1790408.03</v>
      </c>
      <c r="AD150">
        <v>1801283.057</v>
      </c>
      <c r="AE150">
        <v>1815852.4850000001</v>
      </c>
      <c r="AF150">
        <v>1830099.7279999999</v>
      </c>
      <c r="AG150">
        <v>1840121.8970000001</v>
      </c>
      <c r="AH150">
        <v>1918779.3640000001</v>
      </c>
      <c r="AI150">
        <v>1914985.8689999999</v>
      </c>
      <c r="AJ150">
        <v>1915274.574</v>
      </c>
      <c r="AK150">
        <v>1914107.419</v>
      </c>
      <c r="AL150">
        <v>1912413.17</v>
      </c>
      <c r="AM150">
        <v>1910756.1340000001</v>
      </c>
      <c r="AN150">
        <v>1909042.284</v>
      </c>
      <c r="AO150">
        <v>1910745.818</v>
      </c>
      <c r="AP150">
        <v>1912492.0060000001</v>
      </c>
      <c r="AQ150">
        <v>1915021.4310000001</v>
      </c>
      <c r="AR150">
        <v>1996032.0009999999</v>
      </c>
      <c r="AS150">
        <v>1990949.405</v>
      </c>
      <c r="AT150">
        <v>1991683.5179999999</v>
      </c>
      <c r="AU150">
        <v>1993723.75</v>
      </c>
      <c r="AV150">
        <v>1996225.693</v>
      </c>
      <c r="AW150">
        <v>1999488.2039999999</v>
      </c>
    </row>
    <row r="151" spans="2:49" x14ac:dyDescent="0.25">
      <c r="B151" t="s">
        <v>402</v>
      </c>
      <c r="C151">
        <v>2139866.37253871</v>
      </c>
      <c r="D151">
        <v>2174222.6193092102</v>
      </c>
      <c r="E151">
        <v>2197623.6850000001</v>
      </c>
      <c r="F151">
        <v>2183234.656</v>
      </c>
      <c r="G151">
        <v>2173457.906</v>
      </c>
      <c r="H151">
        <v>2169536.085</v>
      </c>
      <c r="I151">
        <v>2173608.0860000001</v>
      </c>
      <c r="J151">
        <v>2185845.6860000002</v>
      </c>
      <c r="K151">
        <v>2186561.9190000002</v>
      </c>
      <c r="L151">
        <v>2183200.4509999999</v>
      </c>
      <c r="M151">
        <v>2196114.7420000001</v>
      </c>
      <c r="N151">
        <v>2174130.645</v>
      </c>
      <c r="O151">
        <v>2202601.611</v>
      </c>
      <c r="P151">
        <v>2222241.8459999999</v>
      </c>
      <c r="Q151">
        <v>2249243.4610000001</v>
      </c>
      <c r="R151">
        <v>2271655.0290000001</v>
      </c>
      <c r="S151">
        <v>2245692.5040000002</v>
      </c>
      <c r="T151">
        <v>2208344.3960000002</v>
      </c>
      <c r="U151">
        <v>2189812.2850000001</v>
      </c>
      <c r="V151">
        <v>2174797.017</v>
      </c>
      <c r="W151">
        <v>2133707.1239999998</v>
      </c>
      <c r="X151">
        <v>2013422.4010000001</v>
      </c>
      <c r="Y151">
        <v>1968445.115</v>
      </c>
      <c r="Z151">
        <v>1934499.4609999999</v>
      </c>
      <c r="AA151">
        <v>1895068.034</v>
      </c>
      <c r="AB151">
        <v>1852207.9539999999</v>
      </c>
      <c r="AC151">
        <v>1787111.675</v>
      </c>
      <c r="AD151">
        <v>1754486.15</v>
      </c>
      <c r="AE151">
        <v>1706618.2390000001</v>
      </c>
      <c r="AF151">
        <v>1658096.898</v>
      </c>
      <c r="AG151">
        <v>1609415.801</v>
      </c>
      <c r="AH151">
        <v>1546241.091</v>
      </c>
      <c r="AI151">
        <v>1524621.183</v>
      </c>
      <c r="AJ151">
        <v>1498037.811</v>
      </c>
      <c r="AK151">
        <v>1468947.389</v>
      </c>
      <c r="AL151">
        <v>1439171.726</v>
      </c>
      <c r="AM151">
        <v>1409318.3019999999</v>
      </c>
      <c r="AN151">
        <v>1399348.0009999999</v>
      </c>
      <c r="AO151">
        <v>1391441.0759999999</v>
      </c>
      <c r="AP151">
        <v>1384459.8149999999</v>
      </c>
      <c r="AQ151">
        <v>1377802.628</v>
      </c>
      <c r="AR151">
        <v>1362669.226</v>
      </c>
      <c r="AS151">
        <v>1376057.6189999999</v>
      </c>
      <c r="AT151">
        <v>1387224.446</v>
      </c>
      <c r="AU151">
        <v>1397404.8189999999</v>
      </c>
      <c r="AV151">
        <v>1407226.567</v>
      </c>
      <c r="AW151">
        <v>1417093.426</v>
      </c>
    </row>
    <row r="152" spans="2:49" x14ac:dyDescent="0.25">
      <c r="B152" t="s">
        <v>403</v>
      </c>
      <c r="C152">
        <v>48247577.676067904</v>
      </c>
      <c r="D152">
        <v>49022208.141778298</v>
      </c>
      <c r="E152">
        <v>49856906.039999999</v>
      </c>
      <c r="F152">
        <v>49527389.170000002</v>
      </c>
      <c r="G152">
        <v>48526818.810000002</v>
      </c>
      <c r="H152">
        <v>46763641.960000001</v>
      </c>
      <c r="I152">
        <v>46343564.469999999</v>
      </c>
      <c r="J152">
        <v>46012669.640000001</v>
      </c>
      <c r="K152">
        <v>45405144.880000003</v>
      </c>
      <c r="L152">
        <v>44529463.479999997</v>
      </c>
      <c r="M152">
        <v>44041401.82</v>
      </c>
      <c r="N152">
        <v>43496703.640000001</v>
      </c>
      <c r="O152">
        <v>43437810.140000001</v>
      </c>
      <c r="P152">
        <v>43596230.07</v>
      </c>
      <c r="Q152">
        <v>42970501.039999999</v>
      </c>
      <c r="R152">
        <v>42371135.770000003</v>
      </c>
      <c r="S152">
        <v>41639121.780000001</v>
      </c>
      <c r="T152">
        <v>42084591.969999999</v>
      </c>
      <c r="U152">
        <v>42307132.439999998</v>
      </c>
      <c r="V152">
        <v>42807642.289999999</v>
      </c>
      <c r="W152">
        <v>43149269.350000001</v>
      </c>
      <c r="X152">
        <v>42937186.520000003</v>
      </c>
      <c r="Y152">
        <v>42666276.490000002</v>
      </c>
      <c r="Z152">
        <v>42442005.350000001</v>
      </c>
      <c r="AA152">
        <v>42104151.990000002</v>
      </c>
      <c r="AB152">
        <v>41734795.659999996</v>
      </c>
      <c r="AC152">
        <v>41301911.270000003</v>
      </c>
      <c r="AD152">
        <v>40830367.560000002</v>
      </c>
      <c r="AE152">
        <v>40252187.539999999</v>
      </c>
      <c r="AF152">
        <v>39713052.770000003</v>
      </c>
      <c r="AG152">
        <v>39146447.840000004</v>
      </c>
      <c r="AH152">
        <v>38536128.509999998</v>
      </c>
      <c r="AI152">
        <v>38255537.689999998</v>
      </c>
      <c r="AJ152">
        <v>37940822.439999998</v>
      </c>
      <c r="AK152">
        <v>37594929.509999998</v>
      </c>
      <c r="AL152">
        <v>37251598.18</v>
      </c>
      <c r="AM152">
        <v>36912294.829999998</v>
      </c>
      <c r="AN152">
        <v>36931564.460000001</v>
      </c>
      <c r="AO152">
        <v>37015540.770000003</v>
      </c>
      <c r="AP152">
        <v>37106978.020000003</v>
      </c>
      <c r="AQ152">
        <v>37208685.329999998</v>
      </c>
      <c r="AR152">
        <v>37268885.170000002</v>
      </c>
      <c r="AS152">
        <v>37641593.090000004</v>
      </c>
      <c r="AT152">
        <v>37989388.310000002</v>
      </c>
      <c r="AU152">
        <v>38328699.619999997</v>
      </c>
      <c r="AV152">
        <v>38673048.850000001</v>
      </c>
      <c r="AW152">
        <v>39035745.399999999</v>
      </c>
    </row>
    <row r="153" spans="2:49" x14ac:dyDescent="0.25">
      <c r="B153" t="s">
        <v>404</v>
      </c>
      <c r="C153">
        <v>9181601.5739378203</v>
      </c>
      <c r="D153">
        <v>9329015.1570805702</v>
      </c>
      <c r="E153">
        <v>9482637.0470000003</v>
      </c>
      <c r="F153">
        <v>10810450.75</v>
      </c>
      <c r="G153">
        <v>9065144.6830000002</v>
      </c>
      <c r="H153">
        <v>6500990.659</v>
      </c>
      <c r="I153">
        <v>7642383.0080000004</v>
      </c>
      <c r="J153">
        <v>5915223.6409999998</v>
      </c>
      <c r="K153">
        <v>6913867.6210000003</v>
      </c>
      <c r="L153">
        <v>6193940.142</v>
      </c>
      <c r="M153">
        <v>6251429.2510000002</v>
      </c>
      <c r="N153">
        <v>6449419.4270000001</v>
      </c>
      <c r="O153">
        <v>5847928.5290000001</v>
      </c>
      <c r="P153">
        <v>6174608.5070000002</v>
      </c>
      <c r="Q153">
        <v>6029170.1840000004</v>
      </c>
      <c r="R153">
        <v>6086386.8830000004</v>
      </c>
      <c r="S153">
        <v>6054745.9500000002</v>
      </c>
      <c r="T153">
        <v>5917382.0999999996</v>
      </c>
      <c r="U153">
        <v>5896690.6600000001</v>
      </c>
      <c r="V153">
        <v>5880387.9100000001</v>
      </c>
      <c r="W153">
        <v>5825149.4680000003</v>
      </c>
      <c r="X153">
        <v>5724604.0729999999</v>
      </c>
      <c r="Y153">
        <v>5728106.034</v>
      </c>
      <c r="Z153">
        <v>5756498.5899999999</v>
      </c>
      <c r="AA153">
        <v>5782478.5719999997</v>
      </c>
      <c r="AB153">
        <v>5810422.415</v>
      </c>
      <c r="AC153">
        <v>5835979.2510000002</v>
      </c>
      <c r="AD153">
        <v>5873522.2479999997</v>
      </c>
      <c r="AE153">
        <v>5904730.9740000004</v>
      </c>
      <c r="AF153">
        <v>5945522.2170000002</v>
      </c>
      <c r="AG153">
        <v>5984842.0089999996</v>
      </c>
      <c r="AH153">
        <v>6022000.665</v>
      </c>
      <c r="AI153">
        <v>6074387.1100000003</v>
      </c>
      <c r="AJ153">
        <v>6128180.7300000004</v>
      </c>
      <c r="AK153">
        <v>6181197.1880000001</v>
      </c>
      <c r="AL153">
        <v>6237531.1299999999</v>
      </c>
      <c r="AM153">
        <v>6297015.2910000002</v>
      </c>
      <c r="AN153">
        <v>6306505.3770000003</v>
      </c>
      <c r="AO153">
        <v>6307043.5099999998</v>
      </c>
      <c r="AP153">
        <v>6297957.7860000003</v>
      </c>
      <c r="AQ153">
        <v>6282496.0460000001</v>
      </c>
      <c r="AR153">
        <v>6256579.8830000004</v>
      </c>
      <c r="AS153">
        <v>6260807.7989999996</v>
      </c>
      <c r="AT153">
        <v>6268864.926</v>
      </c>
      <c r="AU153">
        <v>6277893.29</v>
      </c>
      <c r="AV153">
        <v>6288156.983</v>
      </c>
      <c r="AW153">
        <v>6300039.5269999998</v>
      </c>
    </row>
    <row r="154" spans="2:49" x14ac:dyDescent="0.25">
      <c r="B154" t="s">
        <v>405</v>
      </c>
      <c r="C154">
        <v>2568505.4482754301</v>
      </c>
      <c r="D154">
        <v>2609743.6340541099</v>
      </c>
      <c r="E154">
        <v>2652718.5619999999</v>
      </c>
      <c r="F154">
        <v>2755826.0989999999</v>
      </c>
      <c r="G154">
        <v>2735259.0320000001</v>
      </c>
      <c r="H154">
        <v>2259268.1090000002</v>
      </c>
      <c r="I154">
        <v>2336416.105</v>
      </c>
      <c r="J154">
        <v>2442463.9900000002</v>
      </c>
      <c r="K154">
        <v>2380641.2609999999</v>
      </c>
      <c r="L154">
        <v>2316918.4330000002</v>
      </c>
      <c r="M154">
        <v>2318297.818</v>
      </c>
      <c r="N154">
        <v>2450833.0099999998</v>
      </c>
      <c r="O154">
        <v>2455631.3089999999</v>
      </c>
      <c r="P154">
        <v>2453442.5630000001</v>
      </c>
      <c r="Q154">
        <v>2529236.0499999998</v>
      </c>
      <c r="R154">
        <v>2565248.0240000002</v>
      </c>
      <c r="S154">
        <v>2528398.3280000002</v>
      </c>
      <c r="T154">
        <v>2491895.057</v>
      </c>
      <c r="U154">
        <v>2478567.8319999999</v>
      </c>
      <c r="V154">
        <v>2476706.3930000002</v>
      </c>
      <c r="W154">
        <v>2503033.7179999999</v>
      </c>
      <c r="X154">
        <v>2514976.639</v>
      </c>
      <c r="Y154">
        <v>2537736.5320000001</v>
      </c>
      <c r="Z154">
        <v>2556187.2119999998</v>
      </c>
      <c r="AA154">
        <v>2573199.943</v>
      </c>
      <c r="AB154">
        <v>2588486.9559999998</v>
      </c>
      <c r="AC154">
        <v>2601125.4640000002</v>
      </c>
      <c r="AD154">
        <v>2622284.219</v>
      </c>
      <c r="AE154">
        <v>2636926.7609999999</v>
      </c>
      <c r="AF154">
        <v>2654047.2059999998</v>
      </c>
      <c r="AG154">
        <v>2672304.713</v>
      </c>
      <c r="AH154">
        <v>2690192.2480000001</v>
      </c>
      <c r="AI154">
        <v>2720149.014</v>
      </c>
      <c r="AJ154">
        <v>2750763.3820000002</v>
      </c>
      <c r="AK154">
        <v>2780304.858</v>
      </c>
      <c r="AL154">
        <v>2811243.9240000001</v>
      </c>
      <c r="AM154">
        <v>2844064.219</v>
      </c>
      <c r="AN154">
        <v>2874600.9720000001</v>
      </c>
      <c r="AO154">
        <v>2907822.6230000001</v>
      </c>
      <c r="AP154">
        <v>2941070.392</v>
      </c>
      <c r="AQ154">
        <v>2975311.5589999999</v>
      </c>
      <c r="AR154">
        <v>3008384.2349999999</v>
      </c>
      <c r="AS154">
        <v>3046624.8289999999</v>
      </c>
      <c r="AT154">
        <v>3083427.443</v>
      </c>
      <c r="AU154">
        <v>3119487.426</v>
      </c>
      <c r="AV154">
        <v>3155407.9139999999</v>
      </c>
      <c r="AW154">
        <v>3193707.2680000002</v>
      </c>
    </row>
    <row r="155" spans="2:49" x14ac:dyDescent="0.25">
      <c r="B155" t="s">
        <v>406</v>
      </c>
      <c r="C155">
        <v>12693844.6626458</v>
      </c>
      <c r="D155">
        <v>12897648.444645001</v>
      </c>
      <c r="E155">
        <v>13110035.4</v>
      </c>
      <c r="F155">
        <v>13137332.890000001</v>
      </c>
      <c r="G155">
        <v>12331305.32</v>
      </c>
      <c r="H155">
        <v>11801796.76</v>
      </c>
      <c r="I155">
        <v>11546311.76</v>
      </c>
      <c r="J155">
        <v>10950866.26</v>
      </c>
      <c r="K155">
        <v>10319074.01</v>
      </c>
      <c r="L155">
        <v>10038987.550000001</v>
      </c>
      <c r="M155">
        <v>9995166.7019999996</v>
      </c>
      <c r="N155">
        <v>10163227.15</v>
      </c>
      <c r="O155">
        <v>9609884.8959999997</v>
      </c>
      <c r="P155">
        <v>8953288.4230000004</v>
      </c>
      <c r="Q155">
        <v>8332973.9900000002</v>
      </c>
      <c r="R155">
        <v>7846697.5580000002</v>
      </c>
      <c r="S155">
        <v>7344891.1040000003</v>
      </c>
      <c r="T155">
        <v>7350925.8459999999</v>
      </c>
      <c r="U155">
        <v>7372271.9809999997</v>
      </c>
      <c r="V155">
        <v>7401539.6119999997</v>
      </c>
      <c r="W155">
        <v>7195079.9610000001</v>
      </c>
      <c r="X155">
        <v>6976679.375</v>
      </c>
      <c r="Y155">
        <v>6704549.8909999998</v>
      </c>
      <c r="Z155">
        <v>6499356.9790000003</v>
      </c>
      <c r="AA155">
        <v>6327182.6509999996</v>
      </c>
      <c r="AB155">
        <v>6170769.3229999999</v>
      </c>
      <c r="AC155">
        <v>6029780.6519999998</v>
      </c>
      <c r="AD155">
        <v>5900544.5480000004</v>
      </c>
      <c r="AE155">
        <v>5781670.6770000001</v>
      </c>
      <c r="AF155">
        <v>5668078.3949999996</v>
      </c>
      <c r="AG155">
        <v>5567016.0700000003</v>
      </c>
      <c r="AH155">
        <v>5471668.432</v>
      </c>
      <c r="AI155">
        <v>5384983.6670000004</v>
      </c>
      <c r="AJ155">
        <v>5303673.4510000004</v>
      </c>
      <c r="AK155">
        <v>5227300.53</v>
      </c>
      <c r="AL155">
        <v>5154768.0870000003</v>
      </c>
      <c r="AM155">
        <v>5085244.3480000002</v>
      </c>
      <c r="AN155">
        <v>5077383.8310000002</v>
      </c>
      <c r="AO155">
        <v>5079199.8210000005</v>
      </c>
      <c r="AP155">
        <v>5081582.5609999998</v>
      </c>
      <c r="AQ155">
        <v>5083601.99</v>
      </c>
      <c r="AR155">
        <v>5083495.6320000002</v>
      </c>
      <c r="AS155">
        <v>5078415.2340000002</v>
      </c>
      <c r="AT155">
        <v>5072107.1050000004</v>
      </c>
      <c r="AU155">
        <v>5064638.9220000003</v>
      </c>
      <c r="AV155">
        <v>5055637.5020000003</v>
      </c>
      <c r="AW155">
        <v>5045419.193</v>
      </c>
    </row>
    <row r="156" spans="2:49" x14ac:dyDescent="0.25">
      <c r="B156" t="s">
        <v>407</v>
      </c>
      <c r="C156">
        <v>1234344.16589374</v>
      </c>
      <c r="D156">
        <v>1254161.9607370901</v>
      </c>
      <c r="E156">
        <v>1274814.3799999999</v>
      </c>
      <c r="F156">
        <v>1230365.7490000001</v>
      </c>
      <c r="G156">
        <v>1129898.24</v>
      </c>
      <c r="H156">
        <v>1138808.395</v>
      </c>
      <c r="I156">
        <v>1073041.828</v>
      </c>
      <c r="J156">
        <v>988984.58250000002</v>
      </c>
      <c r="K156">
        <v>922180.56189999997</v>
      </c>
      <c r="L156">
        <v>890560.71880000003</v>
      </c>
      <c r="M156">
        <v>868774.64890000003</v>
      </c>
      <c r="N156">
        <v>865207.09920000006</v>
      </c>
      <c r="O156">
        <v>802431.23990000004</v>
      </c>
      <c r="P156">
        <v>732668.25910000002</v>
      </c>
      <c r="Q156">
        <v>671226.64240000001</v>
      </c>
      <c r="R156">
        <v>623031.99470000004</v>
      </c>
      <c r="S156">
        <v>575004.19220000005</v>
      </c>
      <c r="T156">
        <v>577575.54599999997</v>
      </c>
      <c r="U156">
        <v>582088.10959999997</v>
      </c>
      <c r="V156">
        <v>587633.66769999999</v>
      </c>
      <c r="W156">
        <v>563274.73010000004</v>
      </c>
      <c r="X156">
        <v>537751.07479999994</v>
      </c>
      <c r="Y156">
        <v>506282.70179999998</v>
      </c>
      <c r="Z156">
        <v>483705.1985</v>
      </c>
      <c r="AA156">
        <v>465605.69219999999</v>
      </c>
      <c r="AB156">
        <v>449657.05469999998</v>
      </c>
      <c r="AC156">
        <v>435665.94640000002</v>
      </c>
      <c r="AD156">
        <v>423120.04550000001</v>
      </c>
      <c r="AE156">
        <v>411846.7855</v>
      </c>
      <c r="AF156">
        <v>401211.19620000001</v>
      </c>
      <c r="AG156">
        <v>392008.28159999999</v>
      </c>
      <c r="AH156">
        <v>383501.59230000002</v>
      </c>
      <c r="AI156">
        <v>375974.32500000001</v>
      </c>
      <c r="AJ156">
        <v>369019.3787</v>
      </c>
      <c r="AK156">
        <v>362595.49910000002</v>
      </c>
      <c r="AL156">
        <v>356582.10129999998</v>
      </c>
      <c r="AM156">
        <v>350887.28879999998</v>
      </c>
      <c r="AN156">
        <v>351644.75140000001</v>
      </c>
      <c r="AO156">
        <v>353438.05060000002</v>
      </c>
      <c r="AP156">
        <v>355331.33659999998</v>
      </c>
      <c r="AQ156">
        <v>357214.989</v>
      </c>
      <c r="AR156">
        <v>358922.3395</v>
      </c>
      <c r="AS156">
        <v>360159.41210000002</v>
      </c>
      <c r="AT156">
        <v>361286.13530000002</v>
      </c>
      <c r="AU156">
        <v>362318.3959</v>
      </c>
      <c r="AV156">
        <v>363215.07780000003</v>
      </c>
      <c r="AW156">
        <v>364010.93640000001</v>
      </c>
    </row>
    <row r="157" spans="2:49" x14ac:dyDescent="0.25">
      <c r="B157" t="s">
        <v>408</v>
      </c>
      <c r="C157">
        <v>16278955.912495499</v>
      </c>
      <c r="D157">
        <v>16540319.8152481</v>
      </c>
      <c r="E157">
        <v>16805880</v>
      </c>
      <c r="F157">
        <v>16818659.100000001</v>
      </c>
      <c r="G157">
        <v>15833786.880000001</v>
      </c>
      <c r="H157">
        <v>15170931.380000001</v>
      </c>
      <c r="I157">
        <v>14753662.82</v>
      </c>
      <c r="J157">
        <v>12882187.1</v>
      </c>
      <c r="K157">
        <v>11194175.4</v>
      </c>
      <c r="L157">
        <v>9821197.0549999997</v>
      </c>
      <c r="M157">
        <v>8793818.1799999997</v>
      </c>
      <c r="N157">
        <v>7952244.9570000004</v>
      </c>
      <c r="O157">
        <v>7233239.8080000002</v>
      </c>
      <c r="P157">
        <v>6477553.4610000001</v>
      </c>
      <c r="Q157">
        <v>5678407.9189999998</v>
      </c>
      <c r="R157">
        <v>5007442.3770000003</v>
      </c>
      <c r="S157">
        <v>4375562.1509999996</v>
      </c>
      <c r="T157">
        <v>5170113.2039999999</v>
      </c>
      <c r="U157">
        <v>5945247.1490000002</v>
      </c>
      <c r="V157">
        <v>6722782.0800000001</v>
      </c>
      <c r="W157">
        <v>6673535.4819999998</v>
      </c>
      <c r="X157">
        <v>6568484.0360000003</v>
      </c>
      <c r="Y157">
        <v>6499866.773</v>
      </c>
      <c r="Z157">
        <v>6460626.8490000004</v>
      </c>
      <c r="AA157">
        <v>6421258.8449999997</v>
      </c>
      <c r="AB157">
        <v>6379006.3250000002</v>
      </c>
      <c r="AC157">
        <v>6319913.6619999995</v>
      </c>
      <c r="AD157">
        <v>6267999.4000000004</v>
      </c>
      <c r="AE157">
        <v>6224055.2350000003</v>
      </c>
      <c r="AF157">
        <v>6181036.4299999997</v>
      </c>
      <c r="AG157">
        <v>6137844.7800000003</v>
      </c>
      <c r="AH157">
        <v>6094528.1100000003</v>
      </c>
      <c r="AI157">
        <v>6059825.6849999996</v>
      </c>
      <c r="AJ157">
        <v>6027095.1440000003</v>
      </c>
      <c r="AK157">
        <v>5993699.9620000003</v>
      </c>
      <c r="AL157">
        <v>5961156.46</v>
      </c>
      <c r="AM157">
        <v>5929423.1610000003</v>
      </c>
      <c r="AN157">
        <v>5893540.8090000004</v>
      </c>
      <c r="AO157">
        <v>5856363.1540000001</v>
      </c>
      <c r="AP157">
        <v>5816773.9139999999</v>
      </c>
      <c r="AQ157">
        <v>5776619.7520000003</v>
      </c>
      <c r="AR157">
        <v>5729990.2439999999</v>
      </c>
      <c r="AS157">
        <v>5701876.6380000003</v>
      </c>
      <c r="AT157">
        <v>5675224.9220000003</v>
      </c>
      <c r="AU157">
        <v>5648554.4699999997</v>
      </c>
      <c r="AV157">
        <v>5622264.0939999996</v>
      </c>
      <c r="AW157">
        <v>5598554.3200000003</v>
      </c>
    </row>
    <row r="158" spans="2:49" x14ac:dyDescent="0.25">
      <c r="B158" t="s">
        <v>409</v>
      </c>
      <c r="C158">
        <v>4315668.6239754204</v>
      </c>
      <c r="D158">
        <v>4384958.0796759203</v>
      </c>
      <c r="E158">
        <v>4455360</v>
      </c>
      <c r="F158">
        <v>4300457.1330000004</v>
      </c>
      <c r="G158">
        <v>4116240.61</v>
      </c>
      <c r="H158">
        <v>3683633.5669999998</v>
      </c>
      <c r="I158">
        <v>3513538.1140000001</v>
      </c>
      <c r="J158">
        <v>3386617.8489999999</v>
      </c>
      <c r="K158">
        <v>3231363.0610000002</v>
      </c>
      <c r="L158">
        <v>3035627.469</v>
      </c>
      <c r="M158">
        <v>2839591.9019999998</v>
      </c>
      <c r="N158">
        <v>2619590.86</v>
      </c>
      <c r="O158">
        <v>2296548.3489999999</v>
      </c>
      <c r="P158">
        <v>2035338.956</v>
      </c>
      <c r="Q158">
        <v>1796492.9280000001</v>
      </c>
      <c r="R158">
        <v>1509906.594</v>
      </c>
      <c r="S158">
        <v>1206841.7709999999</v>
      </c>
      <c r="T158">
        <v>1499426.4310000001</v>
      </c>
      <c r="U158">
        <v>1855933.828</v>
      </c>
      <c r="V158">
        <v>2224230.9700000002</v>
      </c>
      <c r="W158">
        <v>2343655.148</v>
      </c>
      <c r="X158">
        <v>2437737.4589999998</v>
      </c>
      <c r="Y158">
        <v>2488809.1639999999</v>
      </c>
      <c r="Z158">
        <v>2530459.054</v>
      </c>
      <c r="AA158">
        <v>2570747.3909999998</v>
      </c>
      <c r="AB158">
        <v>2606793.585</v>
      </c>
      <c r="AC158">
        <v>2643667.62</v>
      </c>
      <c r="AD158">
        <v>2662831.3220000002</v>
      </c>
      <c r="AE158">
        <v>2679021.2110000001</v>
      </c>
      <c r="AF158">
        <v>2694542.32</v>
      </c>
      <c r="AG158">
        <v>2709031.3220000002</v>
      </c>
      <c r="AH158">
        <v>2724777.341</v>
      </c>
      <c r="AI158">
        <v>2740232.3560000001</v>
      </c>
      <c r="AJ158">
        <v>2754943.8769999999</v>
      </c>
      <c r="AK158">
        <v>2768921.5240000002</v>
      </c>
      <c r="AL158">
        <v>2782642.807</v>
      </c>
      <c r="AM158">
        <v>2796051.4849999999</v>
      </c>
      <c r="AN158">
        <v>2807232.594</v>
      </c>
      <c r="AO158">
        <v>2817646.9920000001</v>
      </c>
      <c r="AP158">
        <v>2827358.872</v>
      </c>
      <c r="AQ158">
        <v>2836144.6260000002</v>
      </c>
      <c r="AR158">
        <v>2844725.7420000001</v>
      </c>
      <c r="AS158">
        <v>2856267.7850000001</v>
      </c>
      <c r="AT158">
        <v>2867407.9649999999</v>
      </c>
      <c r="AU158">
        <v>2877909.2719999999</v>
      </c>
      <c r="AV158">
        <v>2887894.8849999998</v>
      </c>
      <c r="AW158">
        <v>2898622.8229999999</v>
      </c>
    </row>
    <row r="159" spans="2:49" x14ac:dyDescent="0.25">
      <c r="B159" t="s">
        <v>410</v>
      </c>
      <c r="C159">
        <v>4315668.6239754204</v>
      </c>
      <c r="D159">
        <v>4384958.0796759203</v>
      </c>
      <c r="E159">
        <v>4455360</v>
      </c>
      <c r="F159">
        <v>4300457.1330000004</v>
      </c>
      <c r="G159">
        <v>4116240.61</v>
      </c>
      <c r="H159">
        <v>3683633.5669999998</v>
      </c>
      <c r="I159">
        <v>3513538.1140000001</v>
      </c>
      <c r="J159">
        <v>3386617.8489999999</v>
      </c>
      <c r="K159">
        <v>3231363.0610000002</v>
      </c>
      <c r="L159">
        <v>3035627.469</v>
      </c>
      <c r="M159">
        <v>2839591.9019999998</v>
      </c>
      <c r="N159">
        <v>2619590.86</v>
      </c>
      <c r="O159">
        <v>2296548.3489999999</v>
      </c>
      <c r="P159">
        <v>2035338.956</v>
      </c>
      <c r="Q159">
        <v>1796492.9280000001</v>
      </c>
      <c r="R159">
        <v>1509906.594</v>
      </c>
      <c r="S159">
        <v>1206841.7709999999</v>
      </c>
      <c r="T159">
        <v>1499426.4310000001</v>
      </c>
      <c r="U159">
        <v>1855933.828</v>
      </c>
      <c r="V159">
        <v>2224230.9700000002</v>
      </c>
      <c r="W159">
        <v>2343655.148</v>
      </c>
      <c r="X159">
        <v>2437737.4589999998</v>
      </c>
      <c r="Y159">
        <v>2488809.1639999999</v>
      </c>
      <c r="Z159">
        <v>2530459.054</v>
      </c>
      <c r="AA159">
        <v>2570747.3909999998</v>
      </c>
      <c r="AB159">
        <v>2606793.585</v>
      </c>
      <c r="AC159">
        <v>2643667.62</v>
      </c>
      <c r="AD159">
        <v>2662831.3220000002</v>
      </c>
      <c r="AE159">
        <v>2679021.2110000001</v>
      </c>
      <c r="AF159">
        <v>2694542.32</v>
      </c>
      <c r="AG159">
        <v>2709031.3220000002</v>
      </c>
      <c r="AH159">
        <v>2724777.341</v>
      </c>
      <c r="AI159">
        <v>2740232.3560000001</v>
      </c>
      <c r="AJ159">
        <v>2754943.8769999999</v>
      </c>
      <c r="AK159">
        <v>2768921.5240000002</v>
      </c>
      <c r="AL159">
        <v>2782642.807</v>
      </c>
      <c r="AM159">
        <v>2796051.4849999999</v>
      </c>
      <c r="AN159">
        <v>2807232.594</v>
      </c>
      <c r="AO159">
        <v>2817646.9920000001</v>
      </c>
      <c r="AP159">
        <v>2827358.872</v>
      </c>
      <c r="AQ159">
        <v>2836144.6260000002</v>
      </c>
      <c r="AR159">
        <v>2844725.7420000001</v>
      </c>
      <c r="AS159">
        <v>2856267.7850000001</v>
      </c>
      <c r="AT159">
        <v>2867407.9649999999</v>
      </c>
      <c r="AU159">
        <v>2877909.2719999999</v>
      </c>
      <c r="AV159">
        <v>2887894.8849999998</v>
      </c>
      <c r="AW159">
        <v>2898622.8229999999</v>
      </c>
    </row>
    <row r="160" spans="2:49" x14ac:dyDescent="0.25">
      <c r="B160" t="s">
        <v>411</v>
      </c>
      <c r="C160">
        <v>8232235.5397947598</v>
      </c>
      <c r="D160">
        <v>8364406.7441781899</v>
      </c>
      <c r="E160">
        <v>8498700</v>
      </c>
      <c r="F160">
        <v>8398047.6270000003</v>
      </c>
      <c r="G160">
        <v>8272617.9270000001</v>
      </c>
      <c r="H160">
        <v>7622943.5279999999</v>
      </c>
      <c r="I160">
        <v>7486950.5240000002</v>
      </c>
      <c r="J160">
        <v>7430693.2319999998</v>
      </c>
      <c r="K160">
        <v>7300285.1119999997</v>
      </c>
      <c r="L160">
        <v>7059854.8039999995</v>
      </c>
      <c r="M160">
        <v>6796830.4160000002</v>
      </c>
      <c r="N160">
        <v>6453335.7390000001</v>
      </c>
      <c r="O160">
        <v>6769600.415</v>
      </c>
      <c r="P160">
        <v>7348746.9910000004</v>
      </c>
      <c r="Q160">
        <v>8087489.9210000001</v>
      </c>
      <c r="R160">
        <v>8691083.4969999995</v>
      </c>
      <c r="S160">
        <v>9235475.6809999999</v>
      </c>
      <c r="T160">
        <v>8519134.0390000008</v>
      </c>
      <c r="U160">
        <v>7744292.5729999999</v>
      </c>
      <c r="V160">
        <v>7004294.5070000002</v>
      </c>
      <c r="W160">
        <v>7197145.5590000004</v>
      </c>
      <c r="X160">
        <v>7465276.8540000003</v>
      </c>
      <c r="Y160">
        <v>7618582.2589999996</v>
      </c>
      <c r="Z160">
        <v>7744962.0329999998</v>
      </c>
      <c r="AA160">
        <v>7867436.4780000001</v>
      </c>
      <c r="AB160">
        <v>7977008.6359999999</v>
      </c>
      <c r="AC160">
        <v>8089171.2319999998</v>
      </c>
      <c r="AD160">
        <v>8147197.6229999997</v>
      </c>
      <c r="AE160">
        <v>8196179.1679999996</v>
      </c>
      <c r="AF160">
        <v>8243164.1160000004</v>
      </c>
      <c r="AG160">
        <v>8287036.6979999999</v>
      </c>
      <c r="AH160">
        <v>8334795.2970000003</v>
      </c>
      <c r="AI160">
        <v>8381700.4819999998</v>
      </c>
      <c r="AJ160">
        <v>8426364.8739999998</v>
      </c>
      <c r="AK160">
        <v>8468814.9780000001</v>
      </c>
      <c r="AL160">
        <v>8510508.5510000009</v>
      </c>
      <c r="AM160">
        <v>8551271.0250000004</v>
      </c>
      <c r="AN160">
        <v>8585243.6270000003</v>
      </c>
      <c r="AO160">
        <v>8616892.2400000002</v>
      </c>
      <c r="AP160">
        <v>8646411.318</v>
      </c>
      <c r="AQ160">
        <v>8673115.3379999995</v>
      </c>
      <c r="AR160">
        <v>8699209.1050000004</v>
      </c>
      <c r="AS160">
        <v>8734371.3239999898</v>
      </c>
      <c r="AT160">
        <v>8768317.0840000007</v>
      </c>
      <c r="AU160">
        <v>8800320.4820000008</v>
      </c>
      <c r="AV160">
        <v>8830757.1640000008</v>
      </c>
      <c r="AW160">
        <v>8863472.9800000004</v>
      </c>
    </row>
    <row r="161" spans="2:49" x14ac:dyDescent="0.25">
      <c r="B161" t="s">
        <v>412</v>
      </c>
      <c r="C161">
        <v>20174774.421468802</v>
      </c>
      <c r="D161">
        <v>20498686.950521201</v>
      </c>
      <c r="E161">
        <v>20827800</v>
      </c>
      <c r="F161">
        <v>19672395</v>
      </c>
      <c r="G161">
        <v>18376174.460000001</v>
      </c>
      <c r="H161">
        <v>16044670.67</v>
      </c>
      <c r="I161">
        <v>14931313.01</v>
      </c>
      <c r="J161">
        <v>14041968.310000001</v>
      </c>
      <c r="K161">
        <v>13072711.779999999</v>
      </c>
      <c r="L161">
        <v>11982718.359999999</v>
      </c>
      <c r="M161">
        <v>10936986.9</v>
      </c>
      <c r="N161">
        <v>9845034.841</v>
      </c>
      <c r="O161">
        <v>8337646.2750000004</v>
      </c>
      <c r="P161">
        <v>7053309.074</v>
      </c>
      <c r="Q161">
        <v>5826112.0300000003</v>
      </c>
      <c r="R161">
        <v>4420756.4649999999</v>
      </c>
      <c r="S161">
        <v>2953224.3509999998</v>
      </c>
      <c r="T161">
        <v>2705297.3229999999</v>
      </c>
      <c r="U161">
        <v>2559714.0809999998</v>
      </c>
      <c r="V161">
        <v>2428127.2919999999</v>
      </c>
      <c r="W161">
        <v>2498335.6579999998</v>
      </c>
      <c r="X161">
        <v>2594825.5729999999</v>
      </c>
      <c r="Y161">
        <v>2651279.9879999999</v>
      </c>
      <c r="Z161">
        <v>2698163.03</v>
      </c>
      <c r="AA161">
        <v>2743485.162</v>
      </c>
      <c r="AB161">
        <v>2784117.7740000002</v>
      </c>
      <c r="AC161">
        <v>2825476.4049999998</v>
      </c>
      <c r="AD161">
        <v>2847749.5839999998</v>
      </c>
      <c r="AE161">
        <v>2866685.82</v>
      </c>
      <c r="AF161">
        <v>2884762.2459999998</v>
      </c>
      <c r="AG161">
        <v>2901602.1710000001</v>
      </c>
      <c r="AH161">
        <v>2919669.3930000002</v>
      </c>
      <c r="AI161">
        <v>2937317.3509999998</v>
      </c>
      <c r="AJ161">
        <v>2954070.6359999999</v>
      </c>
      <c r="AK161">
        <v>2969948.0389999999</v>
      </c>
      <c r="AL161">
        <v>2985469.6430000002</v>
      </c>
      <c r="AM161">
        <v>3000582.5720000002</v>
      </c>
      <c r="AN161">
        <v>3013238.091</v>
      </c>
      <c r="AO161">
        <v>3025009.497</v>
      </c>
      <c r="AP161">
        <v>3035971.1639999999</v>
      </c>
      <c r="AQ161">
        <v>3045887.943</v>
      </c>
      <c r="AR161">
        <v>3055539.2439999999</v>
      </c>
      <c r="AS161">
        <v>3068330.0219999999</v>
      </c>
      <c r="AT161">
        <v>3080652.5260000001</v>
      </c>
      <c r="AU161">
        <v>3092255.483</v>
      </c>
      <c r="AV161">
        <v>3103274.2680000002</v>
      </c>
      <c r="AW161">
        <v>3115063.6039999998</v>
      </c>
    </row>
    <row r="162" spans="2:49" x14ac:dyDescent="0.25">
      <c r="B162" t="s">
        <v>413</v>
      </c>
      <c r="C162">
        <v>463787.91773491597</v>
      </c>
      <c r="D162">
        <v>471234.182770602</v>
      </c>
      <c r="E162">
        <v>478800</v>
      </c>
      <c r="F162">
        <v>476443.49949999998</v>
      </c>
      <c r="G162">
        <v>457539.3137</v>
      </c>
      <c r="H162">
        <v>432597.87339999998</v>
      </c>
      <c r="I162">
        <v>435774.48320000002</v>
      </c>
      <c r="J162">
        <v>450251.94839999999</v>
      </c>
      <c r="K162">
        <v>449089.03950000001</v>
      </c>
      <c r="L162">
        <v>455429.16110000003</v>
      </c>
      <c r="M162">
        <v>472393.57709999999</v>
      </c>
      <c r="N162">
        <v>496545.38949999999</v>
      </c>
      <c r="O162">
        <v>471815.93079999997</v>
      </c>
      <c r="P162">
        <v>438759.2084</v>
      </c>
      <c r="Q162">
        <v>388943.28159999999</v>
      </c>
      <c r="R162">
        <v>347502.81180000002</v>
      </c>
      <c r="S162">
        <v>309918.85450000002</v>
      </c>
      <c r="T162">
        <v>287798.82809999998</v>
      </c>
      <c r="U162">
        <v>268110.3518</v>
      </c>
      <c r="V162">
        <v>249664.50030000001</v>
      </c>
      <c r="W162">
        <v>249610.40779999999</v>
      </c>
      <c r="X162">
        <v>250762.54329999999</v>
      </c>
      <c r="Y162">
        <v>252377.9278</v>
      </c>
      <c r="Z162">
        <v>254994.7041</v>
      </c>
      <c r="AA162">
        <v>256751.14420000001</v>
      </c>
      <c r="AB162">
        <v>258218.07949999999</v>
      </c>
      <c r="AC162">
        <v>259665.61139999999</v>
      </c>
      <c r="AD162">
        <v>261564.11009999999</v>
      </c>
      <c r="AE162">
        <v>263126.96019999997</v>
      </c>
      <c r="AF162">
        <v>264837.11920000002</v>
      </c>
      <c r="AG162">
        <v>266339.065</v>
      </c>
      <c r="AH162">
        <v>267632.76429999998</v>
      </c>
      <c r="AI162">
        <v>268385.72960000002</v>
      </c>
      <c r="AJ162">
        <v>269160.58720000001</v>
      </c>
      <c r="AK162">
        <v>269853.40700000001</v>
      </c>
      <c r="AL162">
        <v>270533.03399999999</v>
      </c>
      <c r="AM162">
        <v>271206.52659999998</v>
      </c>
      <c r="AN162">
        <v>270464.77480000001</v>
      </c>
      <c r="AO162">
        <v>269743.08779999998</v>
      </c>
      <c r="AP162">
        <v>268903.31809999997</v>
      </c>
      <c r="AQ162">
        <v>268052.61210000003</v>
      </c>
      <c r="AR162">
        <v>267016.91810000001</v>
      </c>
      <c r="AS162">
        <v>266205.65149999998</v>
      </c>
      <c r="AT162">
        <v>265453.97720000002</v>
      </c>
      <c r="AU162">
        <v>264646.05530000001</v>
      </c>
      <c r="AV162">
        <v>263791.50020000001</v>
      </c>
      <c r="AW162">
        <v>262982.91470000002</v>
      </c>
    </row>
    <row r="163" spans="2:49" x14ac:dyDescent="0.25">
      <c r="B163" t="s">
        <v>414</v>
      </c>
      <c r="C163">
        <v>748170.71461916296</v>
      </c>
      <c r="D163">
        <v>760182.83744504896</v>
      </c>
      <c r="E163">
        <v>759119.60400000005</v>
      </c>
      <c r="F163">
        <v>770533.05240000004</v>
      </c>
      <c r="G163">
        <v>727957.37589999998</v>
      </c>
      <c r="H163">
        <v>715141.88230000006</v>
      </c>
      <c r="I163">
        <v>745030.13970000006</v>
      </c>
      <c r="J163">
        <v>710316.30949999997</v>
      </c>
      <c r="K163">
        <v>677118.98510000005</v>
      </c>
      <c r="L163">
        <v>638288.14760000003</v>
      </c>
      <c r="M163">
        <v>654259.43519999995</v>
      </c>
      <c r="N163">
        <v>646913.82640000002</v>
      </c>
      <c r="O163">
        <v>644112.46750000003</v>
      </c>
      <c r="P163">
        <v>649071.92830000003</v>
      </c>
      <c r="Q163">
        <v>609235.15910000005</v>
      </c>
      <c r="R163">
        <v>593371.05689999997</v>
      </c>
      <c r="S163">
        <v>590920.30889999995</v>
      </c>
      <c r="T163">
        <v>575095.89560000005</v>
      </c>
      <c r="U163">
        <v>559711.85580000002</v>
      </c>
      <c r="V163">
        <v>547863.92969999998</v>
      </c>
      <c r="W163">
        <v>557759.14150000003</v>
      </c>
      <c r="X163">
        <v>571540.9841</v>
      </c>
      <c r="Y163">
        <v>583605.98490000004</v>
      </c>
      <c r="Z163">
        <v>592896.1496</v>
      </c>
      <c r="AA163">
        <v>598346.62719999999</v>
      </c>
      <c r="AB163">
        <v>603048.29440000001</v>
      </c>
      <c r="AC163">
        <v>610651.63459999999</v>
      </c>
      <c r="AD163">
        <v>613583.61789999995</v>
      </c>
      <c r="AE163">
        <v>617538.83990000002</v>
      </c>
      <c r="AF163">
        <v>622444.12959999999</v>
      </c>
      <c r="AG163">
        <v>627232.90249999997</v>
      </c>
      <c r="AH163">
        <v>633808.92279999994</v>
      </c>
      <c r="AI163">
        <v>637205.89619999996</v>
      </c>
      <c r="AJ163">
        <v>641858.76549999998</v>
      </c>
      <c r="AK163">
        <v>646411.10089999996</v>
      </c>
      <c r="AL163">
        <v>651304.21250000002</v>
      </c>
      <c r="AM163">
        <v>656612.20270000002</v>
      </c>
      <c r="AN163">
        <v>663508.84820000001</v>
      </c>
      <c r="AO163">
        <v>671307.90670000005</v>
      </c>
      <c r="AP163">
        <v>679176.94519999996</v>
      </c>
      <c r="AQ163">
        <v>687156.04850000003</v>
      </c>
      <c r="AR163">
        <v>696392.23430000001</v>
      </c>
      <c r="AS163">
        <v>704032.06180000002</v>
      </c>
      <c r="AT163">
        <v>712231.77260000003</v>
      </c>
      <c r="AU163">
        <v>720624.9841</v>
      </c>
      <c r="AV163">
        <v>729293.65740000003</v>
      </c>
      <c r="AW163">
        <v>738313.25439999998</v>
      </c>
    </row>
    <row r="164" spans="2:49" x14ac:dyDescent="0.25">
      <c r="B164" s="242" t="s">
        <v>415</v>
      </c>
      <c r="C164">
        <v>5051155.6907064496</v>
      </c>
      <c r="D164">
        <v>5132253.62916335</v>
      </c>
      <c r="E164">
        <v>5125075.3779999996</v>
      </c>
      <c r="F164">
        <v>5154340.7989999996</v>
      </c>
      <c r="G164">
        <v>4834268.2659999998</v>
      </c>
      <c r="H164">
        <v>4704259.0109999999</v>
      </c>
      <c r="I164">
        <v>4625042.375</v>
      </c>
      <c r="J164">
        <v>4511410.0920000002</v>
      </c>
      <c r="K164">
        <v>4207418.4280000003</v>
      </c>
      <c r="L164">
        <v>4016193.7140000002</v>
      </c>
      <c r="M164">
        <v>3993656.2710000002</v>
      </c>
      <c r="N164">
        <v>3928861.53</v>
      </c>
      <c r="O164">
        <v>3881774.611</v>
      </c>
      <c r="P164">
        <v>3860863.0090000001</v>
      </c>
      <c r="Q164">
        <v>3671000.8110000002</v>
      </c>
      <c r="R164">
        <v>3537199.111</v>
      </c>
      <c r="S164">
        <v>3517128.6230000001</v>
      </c>
      <c r="T164">
        <v>3389534.034</v>
      </c>
      <c r="U164">
        <v>3280471.372</v>
      </c>
      <c r="V164">
        <v>3183952.0589999999</v>
      </c>
      <c r="W164">
        <v>3198397.3590000002</v>
      </c>
      <c r="X164">
        <v>3215543.8840000001</v>
      </c>
      <c r="Y164">
        <v>3210529.517</v>
      </c>
      <c r="Z164">
        <v>3230696.6579999998</v>
      </c>
      <c r="AA164">
        <v>3242123.9870000002</v>
      </c>
      <c r="AB164">
        <v>3250024.6159999999</v>
      </c>
      <c r="AC164">
        <v>3275106.2949999999</v>
      </c>
      <c r="AD164">
        <v>3275116.023</v>
      </c>
      <c r="AE164">
        <v>3280886.531</v>
      </c>
      <c r="AF164">
        <v>3288777.5729999999</v>
      </c>
      <c r="AG164">
        <v>3298277.7059999998</v>
      </c>
      <c r="AH164">
        <v>3317720.5490000001</v>
      </c>
      <c r="AI164">
        <v>3321275.93</v>
      </c>
      <c r="AJ164">
        <v>3330987.324</v>
      </c>
      <c r="AK164">
        <v>3338886.59</v>
      </c>
      <c r="AL164">
        <v>3347334.6680000001</v>
      </c>
      <c r="AM164">
        <v>3356759.7340000002</v>
      </c>
      <c r="AN164">
        <v>3355230.2940000002</v>
      </c>
      <c r="AO164">
        <v>3351426.6979999999</v>
      </c>
      <c r="AP164">
        <v>3345277.7859999998</v>
      </c>
      <c r="AQ164">
        <v>3337306.6529999999</v>
      </c>
      <c r="AR164">
        <v>3332936.003</v>
      </c>
      <c r="AS164">
        <v>3330841.639</v>
      </c>
      <c r="AT164">
        <v>3333021.2170000002</v>
      </c>
      <c r="AU164">
        <v>3335710.7620000001</v>
      </c>
      <c r="AV164">
        <v>3338671.3679999998</v>
      </c>
      <c r="AW164">
        <v>3342070.352</v>
      </c>
    </row>
    <row r="165" spans="2:49" x14ac:dyDescent="0.25">
      <c r="B165" s="242" t="s">
        <v>416</v>
      </c>
      <c r="C165">
        <v>738109.45702439197</v>
      </c>
      <c r="D165">
        <v>749960.04310518701</v>
      </c>
      <c r="E165">
        <v>748911.1078</v>
      </c>
      <c r="F165">
        <v>797524.55460000003</v>
      </c>
      <c r="G165">
        <v>741459.93709999998</v>
      </c>
      <c r="H165">
        <v>632641.73699999996</v>
      </c>
      <c r="I165">
        <v>686016.5024</v>
      </c>
      <c r="J165">
        <v>665993.62329999998</v>
      </c>
      <c r="K165">
        <v>628534.18519999995</v>
      </c>
      <c r="L165">
        <v>615007.43209999998</v>
      </c>
      <c r="M165">
        <v>630700.95689999999</v>
      </c>
      <c r="N165">
        <v>669573.73759999999</v>
      </c>
      <c r="O165">
        <v>646832.14080000005</v>
      </c>
      <c r="P165">
        <v>621057.85549999995</v>
      </c>
      <c r="Q165">
        <v>554617.55810000002</v>
      </c>
      <c r="R165">
        <v>517512.52230000001</v>
      </c>
      <c r="S165">
        <v>464126.03110000002</v>
      </c>
      <c r="T165">
        <v>429529.81839999999</v>
      </c>
      <c r="U165">
        <v>412631.54029999999</v>
      </c>
      <c r="V165">
        <v>398782.93939999997</v>
      </c>
      <c r="W165">
        <v>400678.95880000002</v>
      </c>
      <c r="X165">
        <v>362764.73969999998</v>
      </c>
      <c r="Y165">
        <v>390921.72710000002</v>
      </c>
      <c r="Z165">
        <v>406419.2268</v>
      </c>
      <c r="AA165">
        <v>415131.63579999999</v>
      </c>
      <c r="AB165">
        <v>420804.78409999999</v>
      </c>
      <c r="AC165">
        <v>402411.39270000003</v>
      </c>
      <c r="AD165">
        <v>424334.89689999999</v>
      </c>
      <c r="AE165">
        <v>430174.78049999999</v>
      </c>
      <c r="AF165">
        <v>435684.49920000002</v>
      </c>
      <c r="AG165">
        <v>440506.42849999998</v>
      </c>
      <c r="AH165">
        <v>427965.36540000001</v>
      </c>
      <c r="AI165">
        <v>442646.57559999998</v>
      </c>
      <c r="AJ165">
        <v>450911.96159999998</v>
      </c>
      <c r="AK165">
        <v>455800.7402</v>
      </c>
      <c r="AL165">
        <v>459720.96889999998</v>
      </c>
      <c r="AM165">
        <v>463171.37920000002</v>
      </c>
      <c r="AN165">
        <v>459823.78269999998</v>
      </c>
      <c r="AO165">
        <v>458376.99420000002</v>
      </c>
      <c r="AP165">
        <v>457082.53129999997</v>
      </c>
      <c r="AQ165">
        <v>455572.66800000001</v>
      </c>
      <c r="AR165">
        <v>443014.28120000003</v>
      </c>
      <c r="AS165">
        <v>448489.01419999998</v>
      </c>
      <c r="AT165">
        <v>451087.86810000002</v>
      </c>
      <c r="AU165">
        <v>452301.75599999999</v>
      </c>
      <c r="AV165">
        <v>452866.79019999999</v>
      </c>
      <c r="AW165">
        <v>453170.6078</v>
      </c>
    </row>
    <row r="166" spans="2:49" x14ac:dyDescent="0.25">
      <c r="B166" s="242" t="s">
        <v>417</v>
      </c>
      <c r="C166">
        <v>1453742.3069470399</v>
      </c>
      <c r="D166">
        <v>1477082.6099113501</v>
      </c>
      <c r="E166">
        <v>1475016.6810000001</v>
      </c>
      <c r="F166">
        <v>1462406.906</v>
      </c>
      <c r="G166">
        <v>1317223.3570000001</v>
      </c>
      <c r="H166">
        <v>1115583.8589999999</v>
      </c>
      <c r="I166">
        <v>1131241.013</v>
      </c>
      <c r="J166">
        <v>1219905.311</v>
      </c>
      <c r="K166">
        <v>1085137.5900000001</v>
      </c>
      <c r="L166">
        <v>1012975.149</v>
      </c>
      <c r="M166">
        <v>1011089.698</v>
      </c>
      <c r="N166">
        <v>996312.93090000004</v>
      </c>
      <c r="O166">
        <v>1042347.0550000001</v>
      </c>
      <c r="P166">
        <v>1081327.02</v>
      </c>
      <c r="Q166">
        <v>1065473.3899999999</v>
      </c>
      <c r="R166">
        <v>1049659.452</v>
      </c>
      <c r="S166">
        <v>1032953.699</v>
      </c>
      <c r="T166">
        <v>991474.89890000003</v>
      </c>
      <c r="U166">
        <v>953639.12899999996</v>
      </c>
      <c r="V166">
        <v>921250.11629999999</v>
      </c>
      <c r="W166">
        <v>914938.50309999997</v>
      </c>
      <c r="X166">
        <v>902014.09120000002</v>
      </c>
      <c r="Y166">
        <v>900563.16520000005</v>
      </c>
      <c r="Z166">
        <v>904248.10419999994</v>
      </c>
      <c r="AA166">
        <v>906050.34129999997</v>
      </c>
      <c r="AB166">
        <v>906987.45750000002</v>
      </c>
      <c r="AC166">
        <v>907132.85580000002</v>
      </c>
      <c r="AD166">
        <v>913923.62410000002</v>
      </c>
      <c r="AE166">
        <v>918242.87080000003</v>
      </c>
      <c r="AF166">
        <v>923425.47730000003</v>
      </c>
      <c r="AG166">
        <v>928673.50349999999</v>
      </c>
      <c r="AH166">
        <v>933080.69620000001</v>
      </c>
      <c r="AI166">
        <v>940350.75360000005</v>
      </c>
      <c r="AJ166">
        <v>947410.82960000006</v>
      </c>
      <c r="AK166">
        <v>954150.43969999999</v>
      </c>
      <c r="AL166">
        <v>961111.02430000005</v>
      </c>
      <c r="AM166">
        <v>968345.32449999999</v>
      </c>
      <c r="AN166">
        <v>969989.5392</v>
      </c>
      <c r="AO166">
        <v>971768.91370000003</v>
      </c>
      <c r="AP166">
        <v>972971.03339999996</v>
      </c>
      <c r="AQ166">
        <v>973914.23239999998</v>
      </c>
      <c r="AR166">
        <v>973306.38269999996</v>
      </c>
      <c r="AS166">
        <v>978290.00199999998</v>
      </c>
      <c r="AT166">
        <v>983528.85069999995</v>
      </c>
      <c r="AU166">
        <v>988528.47380000004</v>
      </c>
      <c r="AV166">
        <v>993372.44620000001</v>
      </c>
      <c r="AW166">
        <v>998531.67</v>
      </c>
    </row>
    <row r="167" spans="2:49" x14ac:dyDescent="0.25">
      <c r="B167" s="242" t="s">
        <v>418</v>
      </c>
      <c r="C167">
        <v>1819036.8432423901</v>
      </c>
      <c r="D167">
        <v>1848242.0681447799</v>
      </c>
      <c r="E167">
        <v>1845657.0149999999</v>
      </c>
      <c r="F167">
        <v>1832587.736</v>
      </c>
      <c r="G167">
        <v>1664234.9569999999</v>
      </c>
      <c r="H167">
        <v>1389358.5279999999</v>
      </c>
      <c r="I167">
        <v>1433007.8840000001</v>
      </c>
      <c r="J167">
        <v>1573605.6580000001</v>
      </c>
      <c r="K167">
        <v>1399672.7790000001</v>
      </c>
      <c r="L167">
        <v>1302820.405</v>
      </c>
      <c r="M167">
        <v>1295683.5970000001</v>
      </c>
      <c r="N167">
        <v>1256620.1200000001</v>
      </c>
      <c r="O167">
        <v>1341196.7620000001</v>
      </c>
      <c r="P167">
        <v>1435530.703</v>
      </c>
      <c r="Q167">
        <v>1451810.088</v>
      </c>
      <c r="R167">
        <v>1463292.973</v>
      </c>
      <c r="S167">
        <v>1439712.3289999999</v>
      </c>
      <c r="T167">
        <v>1406239.3659999999</v>
      </c>
      <c r="U167">
        <v>1353893.689</v>
      </c>
      <c r="V167">
        <v>1323362.1359999999</v>
      </c>
      <c r="W167">
        <v>1317154.2879999999</v>
      </c>
      <c r="X167">
        <v>1312875.08</v>
      </c>
      <c r="Y167">
        <v>1294186.9820000001</v>
      </c>
      <c r="Z167">
        <v>1288881.94</v>
      </c>
      <c r="AA167">
        <v>1283626.8629999999</v>
      </c>
      <c r="AB167">
        <v>1278307.544</v>
      </c>
      <c r="AC167">
        <v>1276334.706</v>
      </c>
      <c r="AD167">
        <v>1278905.108</v>
      </c>
      <c r="AE167">
        <v>1279899.024</v>
      </c>
      <c r="AF167">
        <v>1283308.3430000001</v>
      </c>
      <c r="AG167">
        <v>1286028.297</v>
      </c>
      <c r="AH167">
        <v>1291365.81</v>
      </c>
      <c r="AI167">
        <v>1295093.2420000001</v>
      </c>
      <c r="AJ167">
        <v>1298192.281</v>
      </c>
      <c r="AK167">
        <v>1302611.9029999999</v>
      </c>
      <c r="AL167">
        <v>1307395.8959999999</v>
      </c>
      <c r="AM167">
        <v>1312332.7560000001</v>
      </c>
      <c r="AN167">
        <v>1313044.5490000001</v>
      </c>
      <c r="AO167">
        <v>1315508.0989999999</v>
      </c>
      <c r="AP167">
        <v>1317395.1170000001</v>
      </c>
      <c r="AQ167">
        <v>1320488.7549999999</v>
      </c>
      <c r="AR167">
        <v>1322444.0209999999</v>
      </c>
      <c r="AS167">
        <v>1326812.4539999999</v>
      </c>
      <c r="AT167">
        <v>1331476.2709999999</v>
      </c>
      <c r="AU167">
        <v>1335248.361</v>
      </c>
      <c r="AV167">
        <v>1338903.2579999999</v>
      </c>
      <c r="AW167">
        <v>1347813.473</v>
      </c>
    </row>
    <row r="168" spans="2:49" x14ac:dyDescent="0.25">
      <c r="B168" s="242" t="s">
        <v>419</v>
      </c>
      <c r="C168">
        <v>2313078.33193391</v>
      </c>
      <c r="D168">
        <v>2350215.5527395001</v>
      </c>
      <c r="E168">
        <v>2346928.412</v>
      </c>
      <c r="F168">
        <v>2307270.2379999999</v>
      </c>
      <c r="G168">
        <v>2125420.4679999999</v>
      </c>
      <c r="H168">
        <v>1865406.5009999999</v>
      </c>
      <c r="I168">
        <v>1942551.9350000001</v>
      </c>
      <c r="J168">
        <v>1813681.341</v>
      </c>
      <c r="K168">
        <v>1634029.9609999999</v>
      </c>
      <c r="L168">
        <v>1568591.118</v>
      </c>
      <c r="M168">
        <v>1524678.4680000001</v>
      </c>
      <c r="N168">
        <v>1528843.6510000001</v>
      </c>
      <c r="O168">
        <v>1576118.747</v>
      </c>
      <c r="P168">
        <v>1608128.96</v>
      </c>
      <c r="Q168">
        <v>1591860.88</v>
      </c>
      <c r="R168">
        <v>1562136.8640000001</v>
      </c>
      <c r="S168">
        <v>1567827.7150000001</v>
      </c>
      <c r="T168">
        <v>1519081.868</v>
      </c>
      <c r="U168">
        <v>1465836.8330000001</v>
      </c>
      <c r="V168">
        <v>1419925.273</v>
      </c>
      <c r="W168">
        <v>1432082.0209999999</v>
      </c>
      <c r="X168">
        <v>1441279.632</v>
      </c>
      <c r="Y168">
        <v>1444535.09</v>
      </c>
      <c r="Z168">
        <v>1460442.855</v>
      </c>
      <c r="AA168">
        <v>1473394.51</v>
      </c>
      <c r="AB168">
        <v>1484815.5249999999</v>
      </c>
      <c r="AC168">
        <v>1499368.9720000001</v>
      </c>
      <c r="AD168">
        <v>1508331.37</v>
      </c>
      <c r="AE168">
        <v>1517007.6610000001</v>
      </c>
      <c r="AF168">
        <v>1527213.926</v>
      </c>
      <c r="AG168">
        <v>1537957.7720000001</v>
      </c>
      <c r="AH168">
        <v>1550310.4620000001</v>
      </c>
      <c r="AI168">
        <v>1561679.699</v>
      </c>
      <c r="AJ168">
        <v>1574371.801</v>
      </c>
      <c r="AK168">
        <v>1587134.63</v>
      </c>
      <c r="AL168">
        <v>1600437.375</v>
      </c>
      <c r="AM168">
        <v>1614235.3870000001</v>
      </c>
      <c r="AN168">
        <v>1622102.209</v>
      </c>
      <c r="AO168">
        <v>1630557.8659999999</v>
      </c>
      <c r="AP168">
        <v>1638118.081</v>
      </c>
      <c r="AQ168">
        <v>1645320.2890000001</v>
      </c>
      <c r="AR168">
        <v>1652028.486</v>
      </c>
      <c r="AS168">
        <v>1662892.415</v>
      </c>
      <c r="AT168">
        <v>1674701.2579999999</v>
      </c>
      <c r="AU168">
        <v>1686583.2679999999</v>
      </c>
      <c r="AV168">
        <v>1698483.3570000001</v>
      </c>
      <c r="AW168">
        <v>1710795.36</v>
      </c>
    </row>
    <row r="169" spans="2:49" x14ac:dyDescent="0.25">
      <c r="B169" s="242" t="s">
        <v>420</v>
      </c>
      <c r="C169">
        <v>4643279.3828946501</v>
      </c>
      <c r="D169">
        <v>4717828.7352982899</v>
      </c>
      <c r="E169">
        <v>4711230.1210000003</v>
      </c>
      <c r="F169">
        <v>4631937.7779999999</v>
      </c>
      <c r="G169">
        <v>4501089.4189999998</v>
      </c>
      <c r="H169">
        <v>4108180.5389999999</v>
      </c>
      <c r="I169">
        <v>4154533.2790000001</v>
      </c>
      <c r="J169">
        <v>4066705.358</v>
      </c>
      <c r="K169">
        <v>3807266.0520000001</v>
      </c>
      <c r="L169">
        <v>3678247.05</v>
      </c>
      <c r="M169">
        <v>3603465.6359999999</v>
      </c>
      <c r="N169">
        <v>3656771.6310000001</v>
      </c>
      <c r="O169">
        <v>3778306.2990000001</v>
      </c>
      <c r="P169">
        <v>3848886.085</v>
      </c>
      <c r="Q169">
        <v>3788757.7540000002</v>
      </c>
      <c r="R169">
        <v>3804017.48</v>
      </c>
      <c r="S169">
        <v>3744586.5159999998</v>
      </c>
      <c r="T169">
        <v>3605852.2480000001</v>
      </c>
      <c r="U169">
        <v>3464101.26</v>
      </c>
      <c r="V169">
        <v>3338469.594</v>
      </c>
      <c r="W169">
        <v>3258398.9539999999</v>
      </c>
      <c r="X169">
        <v>3165362.3080000002</v>
      </c>
      <c r="Y169">
        <v>3088371.7659999998</v>
      </c>
      <c r="Z169">
        <v>3040487.531</v>
      </c>
      <c r="AA169">
        <v>2988020.3110000002</v>
      </c>
      <c r="AB169">
        <v>2933825.2960000001</v>
      </c>
      <c r="AC169">
        <v>2883362.5649999999</v>
      </c>
      <c r="AD169">
        <v>2893398.5929999999</v>
      </c>
      <c r="AE169">
        <v>2903369.4330000002</v>
      </c>
      <c r="AF169">
        <v>2917874.4270000001</v>
      </c>
      <c r="AG169">
        <v>2931356.7769999998</v>
      </c>
      <c r="AH169">
        <v>2947613.2650000001</v>
      </c>
      <c r="AI169">
        <v>2962708.27</v>
      </c>
      <c r="AJ169">
        <v>2979361.702</v>
      </c>
      <c r="AK169">
        <v>2996642.0320000001</v>
      </c>
      <c r="AL169">
        <v>3015214.8130000001</v>
      </c>
      <c r="AM169">
        <v>3034701.9369999999</v>
      </c>
      <c r="AN169">
        <v>3038717.3820000002</v>
      </c>
      <c r="AO169">
        <v>3042532.2969999998</v>
      </c>
      <c r="AP169">
        <v>3043985.352</v>
      </c>
      <c r="AQ169">
        <v>3044710.6140000001</v>
      </c>
      <c r="AR169">
        <v>3043584.838</v>
      </c>
      <c r="AS169">
        <v>3052299.2570000002</v>
      </c>
      <c r="AT169">
        <v>3062847.281</v>
      </c>
      <c r="AU169">
        <v>3073559.179</v>
      </c>
      <c r="AV169">
        <v>3084471.2719999999</v>
      </c>
      <c r="AW169">
        <v>3095607.7280000001</v>
      </c>
    </row>
    <row r="170" spans="2:49" x14ac:dyDescent="0.25">
      <c r="B170" s="242" t="s">
        <v>421</v>
      </c>
      <c r="C170">
        <v>3833938.33697946</v>
      </c>
      <c r="D170">
        <v>3895493.45710216</v>
      </c>
      <c r="E170">
        <v>3906871.531</v>
      </c>
      <c r="F170">
        <v>3846278.108</v>
      </c>
      <c r="G170">
        <v>3783789.4840000002</v>
      </c>
      <c r="H170">
        <v>3416687.341</v>
      </c>
      <c r="I170">
        <v>3501800.6439999999</v>
      </c>
      <c r="J170">
        <v>3503755.108</v>
      </c>
      <c r="K170">
        <v>3378912.8339999998</v>
      </c>
      <c r="L170">
        <v>3296521.7910000002</v>
      </c>
      <c r="M170">
        <v>3228635.946</v>
      </c>
      <c r="N170">
        <v>3218439.165</v>
      </c>
      <c r="O170">
        <v>3307639.7549999999</v>
      </c>
      <c r="P170">
        <v>3457136.6609999998</v>
      </c>
      <c r="Q170">
        <v>3533585.9160000002</v>
      </c>
      <c r="R170">
        <v>3680491.98</v>
      </c>
      <c r="S170">
        <v>3743759.9040000001</v>
      </c>
      <c r="T170">
        <v>3608402.5449999999</v>
      </c>
      <c r="U170">
        <v>3497461.9279999998</v>
      </c>
      <c r="V170">
        <v>3390458.716</v>
      </c>
      <c r="W170">
        <v>3438947.3659999999</v>
      </c>
      <c r="X170">
        <v>3479158.4309999999</v>
      </c>
      <c r="Y170">
        <v>3507543.105</v>
      </c>
      <c r="Z170">
        <v>3544960.7829999998</v>
      </c>
      <c r="AA170">
        <v>3574335.642</v>
      </c>
      <c r="AB170">
        <v>3600316.28</v>
      </c>
      <c r="AC170">
        <v>3624223.5649999999</v>
      </c>
      <c r="AD170">
        <v>3646034.452</v>
      </c>
      <c r="AE170">
        <v>3666440.8840000001</v>
      </c>
      <c r="AF170">
        <v>3692455.9819999998</v>
      </c>
      <c r="AG170">
        <v>3714744.8450000002</v>
      </c>
      <c r="AH170">
        <v>3738425.7289999998</v>
      </c>
      <c r="AI170">
        <v>3761193.3990000002</v>
      </c>
      <c r="AJ170">
        <v>3787035.6669999999</v>
      </c>
      <c r="AK170">
        <v>3813879.3769999999</v>
      </c>
      <c r="AL170">
        <v>3842808.4350000001</v>
      </c>
      <c r="AM170">
        <v>3873279.9449999998</v>
      </c>
      <c r="AN170">
        <v>3909557.54</v>
      </c>
      <c r="AO170">
        <v>3949876.57</v>
      </c>
      <c r="AP170">
        <v>3990315.1320000002</v>
      </c>
      <c r="AQ170">
        <v>4031432.5929999999</v>
      </c>
      <c r="AR170">
        <v>4072600.5260000001</v>
      </c>
      <c r="AS170">
        <v>4114285.7</v>
      </c>
      <c r="AT170">
        <v>4157239.8110000002</v>
      </c>
      <c r="AU170">
        <v>4201223.4560000002</v>
      </c>
      <c r="AV170">
        <v>4246408.3629999999</v>
      </c>
      <c r="AW170">
        <v>4291949.483</v>
      </c>
    </row>
    <row r="171" spans="2:49" x14ac:dyDescent="0.25">
      <c r="B171" s="242" t="s">
        <v>422</v>
      </c>
      <c r="C171">
        <v>271678.64339116903</v>
      </c>
      <c r="D171">
        <v>276040.53188776103</v>
      </c>
      <c r="E171">
        <v>275654.44650000002</v>
      </c>
      <c r="F171">
        <v>280105.4803</v>
      </c>
      <c r="G171">
        <v>259661.99</v>
      </c>
      <c r="H171">
        <v>222580.89439999999</v>
      </c>
      <c r="I171">
        <v>229932.66529999999</v>
      </c>
      <c r="J171">
        <v>226321.28229999999</v>
      </c>
      <c r="K171">
        <v>203672.8939</v>
      </c>
      <c r="L171">
        <v>187230.93220000001</v>
      </c>
      <c r="M171">
        <v>181696.74770000001</v>
      </c>
      <c r="N171">
        <v>189678.5257</v>
      </c>
      <c r="O171">
        <v>189220.87330000001</v>
      </c>
      <c r="P171">
        <v>188903.36970000001</v>
      </c>
      <c r="Q171">
        <v>178769.75719999999</v>
      </c>
      <c r="R171">
        <v>169367.29800000001</v>
      </c>
      <c r="S171">
        <v>163876.5477</v>
      </c>
      <c r="T171">
        <v>157340.27480000001</v>
      </c>
      <c r="U171">
        <v>151270.8904</v>
      </c>
      <c r="V171">
        <v>146512.14850000001</v>
      </c>
      <c r="W171">
        <v>146934.7898</v>
      </c>
      <c r="X171">
        <v>146363.00349999999</v>
      </c>
      <c r="Y171">
        <v>147332.97380000001</v>
      </c>
      <c r="Z171">
        <v>149828.14430000001</v>
      </c>
      <c r="AA171">
        <v>152302.86859999999</v>
      </c>
      <c r="AB171">
        <v>155000.6862</v>
      </c>
      <c r="AC171">
        <v>157285.14129999999</v>
      </c>
      <c r="AD171">
        <v>157803.6042</v>
      </c>
      <c r="AE171">
        <v>157603.48970000001</v>
      </c>
      <c r="AF171">
        <v>157631.20120000001</v>
      </c>
      <c r="AG171">
        <v>157668.81419999999</v>
      </c>
      <c r="AH171">
        <v>156930.87969999999</v>
      </c>
      <c r="AI171">
        <v>157420.74419999999</v>
      </c>
      <c r="AJ171">
        <v>157743.94149999999</v>
      </c>
      <c r="AK171">
        <v>157935.59849999999</v>
      </c>
      <c r="AL171">
        <v>158151.5638</v>
      </c>
      <c r="AM171">
        <v>158381.53169999999</v>
      </c>
      <c r="AN171">
        <v>157630.20680000001</v>
      </c>
      <c r="AO171">
        <v>157046.30919999999</v>
      </c>
      <c r="AP171">
        <v>156409.9584</v>
      </c>
      <c r="AQ171">
        <v>155794.14060000001</v>
      </c>
      <c r="AR171">
        <v>154466.99710000001</v>
      </c>
      <c r="AS171">
        <v>154481.87040000001</v>
      </c>
      <c r="AT171">
        <v>154486.11429999999</v>
      </c>
      <c r="AU171">
        <v>154434.3406</v>
      </c>
      <c r="AV171">
        <v>154366.1827</v>
      </c>
      <c r="AW171">
        <v>154406.42939999999</v>
      </c>
    </row>
    <row r="172" spans="2:49" x14ac:dyDescent="0.25">
      <c r="B172" s="242" t="s">
        <v>423</v>
      </c>
      <c r="C172">
        <v>2033071.8879050901</v>
      </c>
      <c r="D172">
        <v>2065713.51468114</v>
      </c>
      <c r="E172">
        <v>2062824.294</v>
      </c>
      <c r="F172">
        <v>2014462.0549999999</v>
      </c>
      <c r="G172">
        <v>1775250.442</v>
      </c>
      <c r="H172">
        <v>1427108.425</v>
      </c>
      <c r="I172">
        <v>1508013.243</v>
      </c>
      <c r="J172">
        <v>1472060.3119999999</v>
      </c>
      <c r="K172">
        <v>1329738.763</v>
      </c>
      <c r="L172">
        <v>1293182.547</v>
      </c>
      <c r="M172">
        <v>1282187.118</v>
      </c>
      <c r="N172">
        <v>1289906.175</v>
      </c>
      <c r="O172">
        <v>1265359.182</v>
      </c>
      <c r="P172">
        <v>1307430.8540000001</v>
      </c>
      <c r="Q172">
        <v>1270463.4129999999</v>
      </c>
      <c r="R172">
        <v>1214652.807</v>
      </c>
      <c r="S172">
        <v>1186963.8729999999</v>
      </c>
      <c r="T172">
        <v>1134105.8400000001</v>
      </c>
      <c r="U172">
        <v>1080743.77</v>
      </c>
      <c r="V172">
        <v>1035451.137</v>
      </c>
      <c r="W172">
        <v>1012679.916</v>
      </c>
      <c r="X172">
        <v>979383.56420000002</v>
      </c>
      <c r="Y172">
        <v>967839.30619999999</v>
      </c>
      <c r="Z172">
        <v>964457.25989999995</v>
      </c>
      <c r="AA172">
        <v>959688.54700000002</v>
      </c>
      <c r="AB172">
        <v>953711.28339999996</v>
      </c>
      <c r="AC172">
        <v>945775.44530000002</v>
      </c>
      <c r="AD172">
        <v>952115.88269999996</v>
      </c>
      <c r="AE172">
        <v>955673.09589999996</v>
      </c>
      <c r="AF172">
        <v>960002.31279999996</v>
      </c>
      <c r="AG172">
        <v>964754.18449999997</v>
      </c>
      <c r="AH172">
        <v>967905.36399999994</v>
      </c>
      <c r="AI172">
        <v>974721.24049999996</v>
      </c>
      <c r="AJ172">
        <v>980799.18850000005</v>
      </c>
      <c r="AK172">
        <v>986608.80279999995</v>
      </c>
      <c r="AL172">
        <v>992512.53949999996</v>
      </c>
      <c r="AM172">
        <v>998409.96580000001</v>
      </c>
      <c r="AN172">
        <v>994868.71719999996</v>
      </c>
      <c r="AO172">
        <v>990838.30009999999</v>
      </c>
      <c r="AP172">
        <v>985794.31960000005</v>
      </c>
      <c r="AQ172">
        <v>980345.75230000005</v>
      </c>
      <c r="AR172">
        <v>972584.59990000003</v>
      </c>
      <c r="AS172">
        <v>972378.17200000002</v>
      </c>
      <c r="AT172">
        <v>972509.90209999995</v>
      </c>
      <c r="AU172">
        <v>972448.44880000001</v>
      </c>
      <c r="AV172">
        <v>972205.21380000003</v>
      </c>
      <c r="AW172">
        <v>972300.3358</v>
      </c>
    </row>
    <row r="173" spans="2:49" x14ac:dyDescent="0.25">
      <c r="B173" s="242" t="s">
        <v>424</v>
      </c>
      <c r="C173">
        <v>611949.61832884501</v>
      </c>
      <c r="D173">
        <v>621774.66739182698</v>
      </c>
      <c r="E173">
        <v>620905.01919999998</v>
      </c>
      <c r="F173">
        <v>610647.47409999999</v>
      </c>
      <c r="G173">
        <v>547076.83519999997</v>
      </c>
      <c r="H173">
        <v>460344.79499999998</v>
      </c>
      <c r="I173">
        <v>488243.24359999999</v>
      </c>
      <c r="J173">
        <v>468762.17849999998</v>
      </c>
      <c r="K173">
        <v>421670.6568</v>
      </c>
      <c r="L173">
        <v>400445.10009999998</v>
      </c>
      <c r="M173">
        <v>399065.82459999999</v>
      </c>
      <c r="N173">
        <v>398229.87109999999</v>
      </c>
      <c r="O173">
        <v>368002.94179999997</v>
      </c>
      <c r="P173">
        <v>354639.95319999999</v>
      </c>
      <c r="Q173">
        <v>314361.84100000001</v>
      </c>
      <c r="R173">
        <v>288354.90779999999</v>
      </c>
      <c r="S173">
        <v>272597.24949999998</v>
      </c>
      <c r="T173">
        <v>265126.29369999998</v>
      </c>
      <c r="U173">
        <v>255476.56520000001</v>
      </c>
      <c r="V173">
        <v>248650.52290000001</v>
      </c>
      <c r="W173">
        <v>247570.42619999999</v>
      </c>
      <c r="X173">
        <v>245184.65179999999</v>
      </c>
      <c r="Y173">
        <v>244398.6</v>
      </c>
      <c r="Z173">
        <v>247355.63560000001</v>
      </c>
      <c r="AA173">
        <v>249975.81090000001</v>
      </c>
      <c r="AB173">
        <v>252360.10269999999</v>
      </c>
      <c r="AC173">
        <v>254772.5092</v>
      </c>
      <c r="AD173">
        <v>257207.0318</v>
      </c>
      <c r="AE173">
        <v>259350.08249999999</v>
      </c>
      <c r="AF173">
        <v>261812.44870000001</v>
      </c>
      <c r="AG173">
        <v>264371.05869999999</v>
      </c>
      <c r="AH173">
        <v>266713.55739999999</v>
      </c>
      <c r="AI173">
        <v>269341.91739999998</v>
      </c>
      <c r="AJ173">
        <v>271873.59580000001</v>
      </c>
      <c r="AK173">
        <v>274422.07650000002</v>
      </c>
      <c r="AL173">
        <v>277022.97269999998</v>
      </c>
      <c r="AM173">
        <v>279623.73060000001</v>
      </c>
      <c r="AN173">
        <v>279864.61229999998</v>
      </c>
      <c r="AO173">
        <v>280094.94160000002</v>
      </c>
      <c r="AP173">
        <v>279956.08319999999</v>
      </c>
      <c r="AQ173">
        <v>279689.12</v>
      </c>
      <c r="AR173">
        <v>278857.08600000001</v>
      </c>
      <c r="AS173">
        <v>279784.8284</v>
      </c>
      <c r="AT173">
        <v>280846.90379999997</v>
      </c>
      <c r="AU173">
        <v>281894.65019999997</v>
      </c>
      <c r="AV173">
        <v>282924.01819999999</v>
      </c>
      <c r="AW173">
        <v>284046.33279999997</v>
      </c>
    </row>
    <row r="174" spans="2:49" x14ac:dyDescent="0.25">
      <c r="B174" s="242" t="s">
        <v>425</v>
      </c>
      <c r="C174">
        <v>8749188.7351059392</v>
      </c>
      <c r="D174">
        <v>8889659.7902533505</v>
      </c>
      <c r="E174">
        <v>8877226.2239999995</v>
      </c>
      <c r="F174">
        <v>8925868.3389999997</v>
      </c>
      <c r="G174">
        <v>8495247.6410000008</v>
      </c>
      <c r="H174">
        <v>7526235.8219999997</v>
      </c>
      <c r="I174">
        <v>7489761.8689999999</v>
      </c>
      <c r="J174">
        <v>7355107.4469999997</v>
      </c>
      <c r="K174">
        <v>6881308.5319999997</v>
      </c>
      <c r="L174">
        <v>6503989.9119999995</v>
      </c>
      <c r="M174">
        <v>6329827.9560000002</v>
      </c>
      <c r="N174">
        <v>6216510.8679999998</v>
      </c>
      <c r="O174">
        <v>6378780.0010000002</v>
      </c>
      <c r="P174">
        <v>6527131.6260000002</v>
      </c>
      <c r="Q174">
        <v>6344975.9500000002</v>
      </c>
      <c r="R174">
        <v>6403952.5159999998</v>
      </c>
      <c r="S174">
        <v>6402849.4450000003</v>
      </c>
      <c r="T174">
        <v>6245524.6830000002</v>
      </c>
      <c r="U174">
        <v>6012810.0470000003</v>
      </c>
      <c r="V174">
        <v>5806998.2290000003</v>
      </c>
      <c r="W174">
        <v>5761490.3870000001</v>
      </c>
      <c r="X174">
        <v>5691562.3470000001</v>
      </c>
      <c r="Y174">
        <v>5653513.3550000004</v>
      </c>
      <c r="Z174">
        <v>5689608.8880000003</v>
      </c>
      <c r="AA174">
        <v>5710929.4330000002</v>
      </c>
      <c r="AB174">
        <v>5725871.9740000004</v>
      </c>
      <c r="AC174">
        <v>5752779.0499999998</v>
      </c>
      <c r="AD174">
        <v>5769345.426</v>
      </c>
      <c r="AE174">
        <v>5781896.2949999999</v>
      </c>
      <c r="AF174">
        <v>5803104.7460000003</v>
      </c>
      <c r="AG174">
        <v>5825620.1569999997</v>
      </c>
      <c r="AH174">
        <v>5852443.9979999997</v>
      </c>
      <c r="AI174">
        <v>5875768.1569999997</v>
      </c>
      <c r="AJ174">
        <v>5900241.2920000004</v>
      </c>
      <c r="AK174">
        <v>5923846.2149999999</v>
      </c>
      <c r="AL174">
        <v>5949637.2120000003</v>
      </c>
      <c r="AM174">
        <v>5977453.5089999996</v>
      </c>
      <c r="AN174">
        <v>5955590.2340000002</v>
      </c>
      <c r="AO174">
        <v>5933801.7110000001</v>
      </c>
      <c r="AP174">
        <v>5905641.341</v>
      </c>
      <c r="AQ174">
        <v>5873981.5470000003</v>
      </c>
      <c r="AR174">
        <v>5839671.8859999999</v>
      </c>
      <c r="AS174">
        <v>5837871.4910000004</v>
      </c>
      <c r="AT174">
        <v>5840187.2949999999</v>
      </c>
      <c r="AU174">
        <v>5842984.0480000004</v>
      </c>
      <c r="AV174">
        <v>5845730.176</v>
      </c>
      <c r="AW174">
        <v>5850289.8689999999</v>
      </c>
    </row>
    <row r="175" spans="2:49" x14ac:dyDescent="0.25">
      <c r="B175" s="242" t="s">
        <v>426</v>
      </c>
      <c r="C175">
        <v>583434.83019375498</v>
      </c>
      <c r="D175">
        <v>592802.06510985899</v>
      </c>
      <c r="E175">
        <v>591972.93960000004</v>
      </c>
      <c r="F175">
        <v>616691.34109999996</v>
      </c>
      <c r="G175">
        <v>601673.93779999996</v>
      </c>
      <c r="H175">
        <v>522900.36119999998</v>
      </c>
      <c r="I175">
        <v>521182.28649999999</v>
      </c>
      <c r="J175">
        <v>529170.72219999996</v>
      </c>
      <c r="K175">
        <v>505797.28980000003</v>
      </c>
      <c r="L175">
        <v>489860.12560000003</v>
      </c>
      <c r="M175">
        <v>455876.54080000002</v>
      </c>
      <c r="N175">
        <v>417039.65029999998</v>
      </c>
      <c r="O175">
        <v>403563.58140000002</v>
      </c>
      <c r="P175">
        <v>404829.70030000003</v>
      </c>
      <c r="Q175">
        <v>392641.17420000001</v>
      </c>
      <c r="R175">
        <v>397745.94449999998</v>
      </c>
      <c r="S175">
        <v>383998.37650000001</v>
      </c>
      <c r="T175">
        <v>380994.3492</v>
      </c>
      <c r="U175">
        <v>368793.53399999999</v>
      </c>
      <c r="V175">
        <v>363296.32299999997</v>
      </c>
      <c r="W175">
        <v>361331.13819999999</v>
      </c>
      <c r="X175">
        <v>362150.86119999998</v>
      </c>
      <c r="Y175">
        <v>355658.69809999998</v>
      </c>
      <c r="Z175">
        <v>353823.30699999997</v>
      </c>
      <c r="AA175">
        <v>353028.8627</v>
      </c>
      <c r="AB175">
        <v>352846.50870000001</v>
      </c>
      <c r="AC175">
        <v>354444.26549999998</v>
      </c>
      <c r="AD175">
        <v>356873.0845</v>
      </c>
      <c r="AE175">
        <v>358991.40909999999</v>
      </c>
      <c r="AF175">
        <v>361834.76280000003</v>
      </c>
      <c r="AG175">
        <v>364333.11300000001</v>
      </c>
      <c r="AH175">
        <v>368095.88870000001</v>
      </c>
      <c r="AI175">
        <v>370278.24040000001</v>
      </c>
      <c r="AJ175">
        <v>372145.00660000002</v>
      </c>
      <c r="AK175">
        <v>374461.59879999998</v>
      </c>
      <c r="AL175">
        <v>376846.23619999998</v>
      </c>
      <c r="AM175">
        <v>379226.34120000002</v>
      </c>
      <c r="AN175">
        <v>380690.02740000002</v>
      </c>
      <c r="AO175">
        <v>382994.42330000002</v>
      </c>
      <c r="AP175">
        <v>385247.02480000001</v>
      </c>
      <c r="AQ175">
        <v>388122.13520000002</v>
      </c>
      <c r="AR175">
        <v>391112.25429999997</v>
      </c>
      <c r="AS175">
        <v>393997.08140000002</v>
      </c>
      <c r="AT175">
        <v>397055.33250000002</v>
      </c>
      <c r="AU175">
        <v>399836.58390000003</v>
      </c>
      <c r="AV175">
        <v>402647.9694</v>
      </c>
      <c r="AW175">
        <v>408830.98749999999</v>
      </c>
    </row>
    <row r="176" spans="2:49" x14ac:dyDescent="0.25">
      <c r="B176" s="242" t="s">
        <v>427</v>
      </c>
      <c r="C176">
        <v>40605.282443966003</v>
      </c>
      <c r="D176">
        <v>41257.2133877546</v>
      </c>
      <c r="E176">
        <v>41199.50879</v>
      </c>
      <c r="F176">
        <v>41887.092199999999</v>
      </c>
      <c r="G176">
        <v>39667.098429999998</v>
      </c>
      <c r="H176">
        <v>37145.02792</v>
      </c>
      <c r="I176">
        <v>38775.096850000002</v>
      </c>
      <c r="J176">
        <v>38213.975539999999</v>
      </c>
      <c r="K176">
        <v>36275.727059999997</v>
      </c>
      <c r="L176">
        <v>35666.74422</v>
      </c>
      <c r="M176">
        <v>35757.808709999998</v>
      </c>
      <c r="N176">
        <v>36235.984120000001</v>
      </c>
      <c r="O176">
        <v>38547.462140000003</v>
      </c>
      <c r="P176">
        <v>40777.993909999997</v>
      </c>
      <c r="Q176">
        <v>39607.632239999999</v>
      </c>
      <c r="R176">
        <v>39919.625099999997</v>
      </c>
      <c r="S176">
        <v>40832.116529999999</v>
      </c>
      <c r="T176">
        <v>44980.592530000002</v>
      </c>
      <c r="U176">
        <v>47982.144209999999</v>
      </c>
      <c r="V176">
        <v>51092.788630000003</v>
      </c>
      <c r="W176">
        <v>54574.524530000002</v>
      </c>
      <c r="X176">
        <v>66408.469299999997</v>
      </c>
      <c r="Y176">
        <v>71033.456649999905</v>
      </c>
      <c r="Z176">
        <v>74413.053969999906</v>
      </c>
      <c r="AA176">
        <v>76549.139120000007</v>
      </c>
      <c r="AB176">
        <v>78025.9571</v>
      </c>
      <c r="AC176">
        <v>85782.24192</v>
      </c>
      <c r="AD176">
        <v>85937.491420000006</v>
      </c>
      <c r="AE176">
        <v>86178.688639999906</v>
      </c>
      <c r="AF176">
        <v>86494.796690000003</v>
      </c>
      <c r="AG176">
        <v>86526.114719999998</v>
      </c>
      <c r="AH176">
        <v>89716.761249999996</v>
      </c>
      <c r="AI176">
        <v>88963.310219999999</v>
      </c>
      <c r="AJ176">
        <v>88405.691040000005</v>
      </c>
      <c r="AK176">
        <v>87795.242859999998</v>
      </c>
      <c r="AL176">
        <v>87181.220629999996</v>
      </c>
      <c r="AM176">
        <v>86595.000459999996</v>
      </c>
      <c r="AN176">
        <v>86113.741649999996</v>
      </c>
      <c r="AO176">
        <v>85857.045700000002</v>
      </c>
      <c r="AP176">
        <v>85623.554109999997</v>
      </c>
      <c r="AQ176">
        <v>85444.212499999994</v>
      </c>
      <c r="AR176">
        <v>88739.49093</v>
      </c>
      <c r="AS176">
        <v>88346.725579999998</v>
      </c>
      <c r="AT176">
        <v>88243.180309999996</v>
      </c>
      <c r="AU176">
        <v>88208.251170000003</v>
      </c>
      <c r="AV176">
        <v>88203.666949999999</v>
      </c>
      <c r="AW176">
        <v>88232.236390000005</v>
      </c>
    </row>
    <row r="177" spans="2:49" x14ac:dyDescent="0.25">
      <c r="B177" s="242" t="s">
        <v>428</v>
      </c>
      <c r="C177">
        <v>55091.732691944802</v>
      </c>
      <c r="D177">
        <v>55976.248280239903</v>
      </c>
      <c r="E177">
        <v>55898.269090000002</v>
      </c>
      <c r="F177">
        <v>58836.246070000001</v>
      </c>
      <c r="G177">
        <v>60060.58296</v>
      </c>
      <c r="H177">
        <v>60369.469120000002</v>
      </c>
      <c r="I177">
        <v>63233.180910000003</v>
      </c>
      <c r="J177">
        <v>65321.598619999997</v>
      </c>
      <c r="K177">
        <v>66710.68217</v>
      </c>
      <c r="L177">
        <v>68437.022150000004</v>
      </c>
      <c r="M177">
        <v>70248.698130000004</v>
      </c>
      <c r="N177">
        <v>71154.307969999994</v>
      </c>
      <c r="O177">
        <v>70613.614430000001</v>
      </c>
      <c r="P177">
        <v>73342.013380000004</v>
      </c>
      <c r="Q177">
        <v>75336.153640000004</v>
      </c>
      <c r="R177">
        <v>82216.187290000002</v>
      </c>
      <c r="S177">
        <v>97313.293860000005</v>
      </c>
      <c r="T177">
        <v>107582.053</v>
      </c>
      <c r="U177">
        <v>114447.9526</v>
      </c>
      <c r="V177">
        <v>118074.68</v>
      </c>
      <c r="W177">
        <v>123335.75569999999</v>
      </c>
      <c r="X177">
        <v>145741.95559999999</v>
      </c>
      <c r="Y177">
        <v>166002.9811</v>
      </c>
      <c r="Z177">
        <v>187471.8211</v>
      </c>
      <c r="AA177">
        <v>208778.88080000001</v>
      </c>
      <c r="AB177">
        <v>229986.2127</v>
      </c>
      <c r="AC177">
        <v>248355.91310000001</v>
      </c>
      <c r="AD177">
        <v>273628.49969999999</v>
      </c>
      <c r="AE177">
        <v>297048.16769999999</v>
      </c>
      <c r="AF177">
        <v>320633.6471</v>
      </c>
      <c r="AG177">
        <v>344480.68320000003</v>
      </c>
      <c r="AH177">
        <v>365225.05709999998</v>
      </c>
      <c r="AI177">
        <v>385146.77370000002</v>
      </c>
      <c r="AJ177">
        <v>404269.35840000003</v>
      </c>
      <c r="AK177">
        <v>423072.24</v>
      </c>
      <c r="AL177">
        <v>442003.39880000002</v>
      </c>
      <c r="AM177">
        <v>461248.07049999997</v>
      </c>
      <c r="AN177">
        <v>471773.15990000003</v>
      </c>
      <c r="AO177">
        <v>483133.79229999997</v>
      </c>
      <c r="AP177">
        <v>494991.21860000002</v>
      </c>
      <c r="AQ177">
        <v>507159.18939999997</v>
      </c>
      <c r="AR177">
        <v>516320.60239999997</v>
      </c>
      <c r="AS177">
        <v>521393.51610000001</v>
      </c>
      <c r="AT177">
        <v>525624.66980000003</v>
      </c>
      <c r="AU177">
        <v>529482.05220000003</v>
      </c>
      <c r="AV177">
        <v>533203.5503</v>
      </c>
      <c r="AW177">
        <v>536942.14099999995</v>
      </c>
    </row>
    <row r="178" spans="2:49" x14ac:dyDescent="0.25">
      <c r="B178" s="242" t="s">
        <v>429</v>
      </c>
      <c r="C178">
        <v>53959.065015136701</v>
      </c>
      <c r="D178">
        <v>54825.395257508797</v>
      </c>
      <c r="E178">
        <v>54838.267209999998</v>
      </c>
      <c r="F178">
        <v>62684.951099999998</v>
      </c>
      <c r="G178">
        <v>69017.196790000002</v>
      </c>
      <c r="H178">
        <v>74078.502670000002</v>
      </c>
      <c r="I178">
        <v>81040.552100000001</v>
      </c>
      <c r="J178">
        <v>86938.891359999994</v>
      </c>
      <c r="K178">
        <v>91717.325459999905</v>
      </c>
      <c r="L178">
        <v>95783.470260000002</v>
      </c>
      <c r="M178">
        <v>98215.01341</v>
      </c>
      <c r="N178">
        <v>98297.076430000001</v>
      </c>
      <c r="O178">
        <v>107958.05989999999</v>
      </c>
      <c r="P178">
        <v>119463.7595</v>
      </c>
      <c r="Q178">
        <v>131645.95449999999</v>
      </c>
      <c r="R178">
        <v>145866.43429999999</v>
      </c>
      <c r="S178">
        <v>162377.1182</v>
      </c>
      <c r="T178">
        <v>239098.67800000001</v>
      </c>
      <c r="U178">
        <v>293815.77600000001</v>
      </c>
      <c r="V178">
        <v>333577.56270000001</v>
      </c>
      <c r="W178">
        <v>376234.65</v>
      </c>
      <c r="X178">
        <v>535712.29960000003</v>
      </c>
      <c r="Y178">
        <v>713347.02899999998</v>
      </c>
      <c r="Z178">
        <v>894506.91689999995</v>
      </c>
      <c r="AA178">
        <v>1075828.3030000001</v>
      </c>
      <c r="AB178">
        <v>1258345.8319999999</v>
      </c>
      <c r="AC178">
        <v>1440585.895</v>
      </c>
      <c r="AD178">
        <v>1669754.6189999999</v>
      </c>
      <c r="AE178">
        <v>1897571.922</v>
      </c>
      <c r="AF178">
        <v>2129990.8489999999</v>
      </c>
      <c r="AG178">
        <v>2363936.324</v>
      </c>
      <c r="AH178">
        <v>2597929.2880000002</v>
      </c>
      <c r="AI178">
        <v>2784037.517</v>
      </c>
      <c r="AJ178">
        <v>2971136.497</v>
      </c>
      <c r="AK178">
        <v>3159071.4130000002</v>
      </c>
      <c r="AL178">
        <v>3350499.43</v>
      </c>
      <c r="AM178">
        <v>3545777.1209999998</v>
      </c>
      <c r="AN178">
        <v>3632117.3480000002</v>
      </c>
      <c r="AO178">
        <v>3726199.0049999999</v>
      </c>
      <c r="AP178">
        <v>3822606.0559999999</v>
      </c>
      <c r="AQ178">
        <v>3921719.8029999998</v>
      </c>
      <c r="AR178">
        <v>4018065.8859999999</v>
      </c>
      <c r="AS178">
        <v>4062722.2059999998</v>
      </c>
      <c r="AT178">
        <v>4104776.8820000002</v>
      </c>
      <c r="AU178">
        <v>4145998.1669999999</v>
      </c>
      <c r="AV178">
        <v>4187847.3369999998</v>
      </c>
      <c r="AW178">
        <v>4231769.0719999997</v>
      </c>
    </row>
    <row r="179" spans="2:49" x14ac:dyDescent="0.25">
      <c r="B179" s="242" t="s">
        <v>430</v>
      </c>
      <c r="C179">
        <v>216238.436565001</v>
      </c>
      <c r="D179">
        <v>219710.21460835601</v>
      </c>
      <c r="E179">
        <v>219402.91579999999</v>
      </c>
      <c r="F179">
        <v>245389.26939999999</v>
      </c>
      <c r="G179">
        <v>205121.30799999999</v>
      </c>
      <c r="H179">
        <v>136712.0552</v>
      </c>
      <c r="I179">
        <v>137033.61679999999</v>
      </c>
      <c r="J179">
        <v>105102.14939999999</v>
      </c>
      <c r="K179">
        <v>123115.8199</v>
      </c>
      <c r="L179">
        <v>107152.9431</v>
      </c>
      <c r="M179">
        <v>91266.081789999997</v>
      </c>
      <c r="N179">
        <v>77277.383749999906</v>
      </c>
      <c r="O179">
        <v>59342.385060000001</v>
      </c>
      <c r="P179">
        <v>57223.89213</v>
      </c>
      <c r="Q179">
        <v>52086.580410000002</v>
      </c>
      <c r="R179">
        <v>51051.037680000001</v>
      </c>
      <c r="S179">
        <v>49758.307710000001</v>
      </c>
      <c r="T179">
        <v>46506.308400000002</v>
      </c>
      <c r="U179">
        <v>44212.83511</v>
      </c>
      <c r="V179">
        <v>41912.760009999998</v>
      </c>
      <c r="W179">
        <v>40229.722329999997</v>
      </c>
      <c r="X179">
        <v>38008.306790000002</v>
      </c>
      <c r="Y179">
        <v>37660.324130000001</v>
      </c>
      <c r="Z179">
        <v>37836.629159999997</v>
      </c>
      <c r="AA179">
        <v>38038.541290000001</v>
      </c>
      <c r="AB179">
        <v>38269.444329999998</v>
      </c>
      <c r="AC179">
        <v>38491.726349999997</v>
      </c>
      <c r="AD179">
        <v>38768.477429999999</v>
      </c>
      <c r="AE179">
        <v>38999.398390000002</v>
      </c>
      <c r="AF179">
        <v>39299.925109999996</v>
      </c>
      <c r="AG179">
        <v>39583.204389999999</v>
      </c>
      <c r="AH179">
        <v>39853.383719999998</v>
      </c>
      <c r="AI179">
        <v>40153.328560000002</v>
      </c>
      <c r="AJ179">
        <v>40448.160790000002</v>
      </c>
      <c r="AK179">
        <v>40732.975339999997</v>
      </c>
      <c r="AL179">
        <v>41037.439019999998</v>
      </c>
      <c r="AM179">
        <v>41361.726190000001</v>
      </c>
      <c r="AN179">
        <v>40901.374490000002</v>
      </c>
      <c r="AO179">
        <v>40288.142540000001</v>
      </c>
      <c r="AP179">
        <v>39592.908479999998</v>
      </c>
      <c r="AQ179">
        <v>38856.908620000002</v>
      </c>
      <c r="AR179">
        <v>38062.504659999999</v>
      </c>
      <c r="AS179">
        <v>37760.02175</v>
      </c>
      <c r="AT179">
        <v>37542.1371</v>
      </c>
      <c r="AU179">
        <v>37340.843050000003</v>
      </c>
      <c r="AV179">
        <v>37148.677750000003</v>
      </c>
      <c r="AW179">
        <v>36965.680569999997</v>
      </c>
    </row>
    <row r="180" spans="2:49" x14ac:dyDescent="0.25">
      <c r="B180" s="242" t="s">
        <v>431</v>
      </c>
      <c r="C180">
        <v>215538.66868192199</v>
      </c>
      <c r="D180">
        <v>218999.21172556799</v>
      </c>
      <c r="E180">
        <v>218692.9074</v>
      </c>
      <c r="F180">
        <v>222893.23420000001</v>
      </c>
      <c r="G180">
        <v>220578.68179999999</v>
      </c>
      <c r="H180">
        <v>169249.91339999999</v>
      </c>
      <c r="I180">
        <v>136299.24419999999</v>
      </c>
      <c r="J180">
        <v>139370.3187</v>
      </c>
      <c r="K180">
        <v>136399.7775</v>
      </c>
      <c r="L180">
        <v>128974.34940000001</v>
      </c>
      <c r="M180">
        <v>123602.0852</v>
      </c>
      <c r="N180">
        <v>120165.2914</v>
      </c>
      <c r="O180">
        <v>109766.4427</v>
      </c>
      <c r="P180">
        <v>105091.47530000001</v>
      </c>
      <c r="Q180">
        <v>106666.61350000001</v>
      </c>
      <c r="R180">
        <v>99731.014989999996</v>
      </c>
      <c r="S180">
        <v>90408.814020000005</v>
      </c>
      <c r="T180">
        <v>77903.862699999998</v>
      </c>
      <c r="U180">
        <v>67116.433130000005</v>
      </c>
      <c r="V180">
        <v>57655.03413</v>
      </c>
      <c r="W180">
        <v>50957.332670000003</v>
      </c>
      <c r="X180">
        <v>44259.09</v>
      </c>
      <c r="Y180">
        <v>42999.858379999998</v>
      </c>
      <c r="Z180">
        <v>42963.875160000003</v>
      </c>
      <c r="AA180">
        <v>43095.61217</v>
      </c>
      <c r="AB180">
        <v>43247.992160000002</v>
      </c>
      <c r="AC180">
        <v>43371.608030000003</v>
      </c>
      <c r="AD180">
        <v>43544.463839999997</v>
      </c>
      <c r="AE180">
        <v>43593.315730000002</v>
      </c>
      <c r="AF180">
        <v>43701.524019999997</v>
      </c>
      <c r="AG180">
        <v>43810.537490000002</v>
      </c>
      <c r="AH180">
        <v>43911.3842</v>
      </c>
      <c r="AI180">
        <v>44066.426639999998</v>
      </c>
      <c r="AJ180">
        <v>44199.13783</v>
      </c>
      <c r="AK180">
        <v>44304.724690000003</v>
      </c>
      <c r="AL180">
        <v>44432.10972</v>
      </c>
      <c r="AM180">
        <v>44592.766450000003</v>
      </c>
      <c r="AN180">
        <v>43156.300799999997</v>
      </c>
      <c r="AO180">
        <v>41488.657039999998</v>
      </c>
      <c r="AP180">
        <v>39804.848539999999</v>
      </c>
      <c r="AQ180">
        <v>38171.52115</v>
      </c>
      <c r="AR180">
        <v>36569.68576</v>
      </c>
      <c r="AS180">
        <v>35909.675759999998</v>
      </c>
      <c r="AT180">
        <v>35406.128579999997</v>
      </c>
      <c r="AU180">
        <v>34929.093710000001</v>
      </c>
      <c r="AV180">
        <v>34461.29335</v>
      </c>
      <c r="AW180">
        <v>34023.011689999999</v>
      </c>
    </row>
    <row r="181" spans="2:49" x14ac:dyDescent="0.25">
      <c r="B181" s="242" t="s">
        <v>432</v>
      </c>
      <c r="C181">
        <v>7946676.0051002903</v>
      </c>
      <c r="D181">
        <v>8074262.4587873695</v>
      </c>
      <c r="E181">
        <v>8062969.352</v>
      </c>
      <c r="F181">
        <v>8459725.3530000001</v>
      </c>
      <c r="G181">
        <v>8502960.3570000008</v>
      </c>
      <c r="H181">
        <v>8257541.0760000004</v>
      </c>
      <c r="I181">
        <v>8799927.0800000001</v>
      </c>
      <c r="J181">
        <v>9015944.7050000001</v>
      </c>
      <c r="K181">
        <v>8908211.5319999997</v>
      </c>
      <c r="L181">
        <v>8979077.0659999996</v>
      </c>
      <c r="M181">
        <v>9360689.1099999994</v>
      </c>
      <c r="N181">
        <v>10030893.17</v>
      </c>
      <c r="O181">
        <v>10366084.83</v>
      </c>
      <c r="P181">
        <v>10223800.119999999</v>
      </c>
      <c r="Q181">
        <v>9477328.8910000008</v>
      </c>
      <c r="R181">
        <v>8947996.7640000004</v>
      </c>
      <c r="S181">
        <v>8622554.5659999996</v>
      </c>
      <c r="T181">
        <v>8190917.7010000004</v>
      </c>
      <c r="U181">
        <v>7795747.0190000003</v>
      </c>
      <c r="V181">
        <v>7401736.0360000003</v>
      </c>
      <c r="W181">
        <v>7526610.1169999996</v>
      </c>
      <c r="X181">
        <v>7702387.0159999998</v>
      </c>
      <c r="Y181">
        <v>7879220.3609999996</v>
      </c>
      <c r="Z181">
        <v>7974369.1339999996</v>
      </c>
      <c r="AA181">
        <v>8001456.2570000002</v>
      </c>
      <c r="AB181">
        <v>8001885.6540000001</v>
      </c>
      <c r="AC181">
        <v>7987204.9950000001</v>
      </c>
      <c r="AD181">
        <v>7962207.341</v>
      </c>
      <c r="AE181">
        <v>7923584.6069999998</v>
      </c>
      <c r="AF181">
        <v>7887062.0319999997</v>
      </c>
      <c r="AG181">
        <v>7835704.5329999998</v>
      </c>
      <c r="AH181">
        <v>7772584.591</v>
      </c>
      <c r="AI181">
        <v>7695220.4939999999</v>
      </c>
      <c r="AJ181">
        <v>7618753.142</v>
      </c>
      <c r="AK181">
        <v>7539955.5240000002</v>
      </c>
      <c r="AL181">
        <v>7459453.227</v>
      </c>
      <c r="AM181">
        <v>7377909.0209999997</v>
      </c>
      <c r="AN181">
        <v>7244287.2779999999</v>
      </c>
      <c r="AO181">
        <v>7108184.051</v>
      </c>
      <c r="AP181">
        <v>6974558.7379999999</v>
      </c>
      <c r="AQ181">
        <v>6846377.6579999998</v>
      </c>
      <c r="AR181">
        <v>6720585.2999999998</v>
      </c>
      <c r="AS181">
        <v>6597736.5820000004</v>
      </c>
      <c r="AT181">
        <v>6480265.3030000003</v>
      </c>
      <c r="AU181">
        <v>6365741.3320000004</v>
      </c>
      <c r="AV181">
        <v>6253934.0180000002</v>
      </c>
      <c r="AW181">
        <v>6144098.5099999998</v>
      </c>
    </row>
    <row r="182" spans="2:49" x14ac:dyDescent="0.25">
      <c r="B182" s="242" t="s">
        <v>433</v>
      </c>
      <c r="C182">
        <v>4498800.2848123703</v>
      </c>
      <c r="D182">
        <v>4571029.97856321</v>
      </c>
      <c r="E182">
        <v>4564636.6849999996</v>
      </c>
      <c r="F182">
        <v>4613302.4479999999</v>
      </c>
      <c r="G182">
        <v>4522040.1179999998</v>
      </c>
      <c r="H182">
        <v>4647032.284</v>
      </c>
      <c r="I182">
        <v>4754285.0839999998</v>
      </c>
      <c r="J182">
        <v>4718181.9649999999</v>
      </c>
      <c r="K182">
        <v>4611838.6100000003</v>
      </c>
      <c r="L182">
        <v>4624791.4450000003</v>
      </c>
      <c r="M182">
        <v>4729800.4309999999</v>
      </c>
      <c r="N182">
        <v>4977869.6349999998</v>
      </c>
      <c r="O182">
        <v>5051680.6189999999</v>
      </c>
      <c r="P182">
        <v>4872490.4730000002</v>
      </c>
      <c r="Q182">
        <v>4439653.6270000003</v>
      </c>
      <c r="R182">
        <v>4141770.719</v>
      </c>
      <c r="S182">
        <v>3936341.733</v>
      </c>
      <c r="T182">
        <v>3751365.2310000001</v>
      </c>
      <c r="U182">
        <v>3585463.7379999999</v>
      </c>
      <c r="V182">
        <v>3420544.1269999999</v>
      </c>
      <c r="W182">
        <v>3429721.696</v>
      </c>
      <c r="X182">
        <v>3455352.7480000001</v>
      </c>
      <c r="Y182">
        <v>3463649.0490000001</v>
      </c>
      <c r="Z182">
        <v>3455938.9139999999</v>
      </c>
      <c r="AA182">
        <v>3429857.0469999998</v>
      </c>
      <c r="AB182">
        <v>3397656.128</v>
      </c>
      <c r="AC182">
        <v>3363853.7179999999</v>
      </c>
      <c r="AD182">
        <v>3329233.906</v>
      </c>
      <c r="AE182">
        <v>3292228.6740000001</v>
      </c>
      <c r="AF182">
        <v>3257527.7990000001</v>
      </c>
      <c r="AG182">
        <v>3220531.0780000002</v>
      </c>
      <c r="AH182">
        <v>3180706.5869999998</v>
      </c>
      <c r="AI182">
        <v>3138058.5920000002</v>
      </c>
      <c r="AJ182">
        <v>3097298.8709999998</v>
      </c>
      <c r="AK182">
        <v>3057027.102</v>
      </c>
      <c r="AL182">
        <v>3017168.8130000001</v>
      </c>
      <c r="AM182">
        <v>2977745.233</v>
      </c>
      <c r="AN182">
        <v>2934617.6090000002</v>
      </c>
      <c r="AO182">
        <v>2892933.2370000002</v>
      </c>
      <c r="AP182">
        <v>2852203.9890000001</v>
      </c>
      <c r="AQ182">
        <v>2813302.8670000001</v>
      </c>
      <c r="AR182">
        <v>2774673.3450000002</v>
      </c>
      <c r="AS182">
        <v>2735647.1749999998</v>
      </c>
      <c r="AT182">
        <v>2698206.5550000002</v>
      </c>
      <c r="AU182">
        <v>2661499.9270000001</v>
      </c>
      <c r="AV182">
        <v>2625366.287</v>
      </c>
      <c r="AW182">
        <v>2589604.031</v>
      </c>
    </row>
    <row r="183" spans="2:49" x14ac:dyDescent="0.25">
      <c r="B183" t="s">
        <v>434</v>
      </c>
      <c r="C183">
        <v>0.96864644472622397</v>
      </c>
      <c r="D183">
        <v>0.984198376713873</v>
      </c>
      <c r="E183">
        <v>1</v>
      </c>
      <c r="F183">
        <v>0.97945179459999998</v>
      </c>
      <c r="G183">
        <v>0.92159689769999997</v>
      </c>
      <c r="H183">
        <v>0.87118882099999995</v>
      </c>
      <c r="I183">
        <v>0.83955369130000002</v>
      </c>
      <c r="J183">
        <v>0.79663548200000001</v>
      </c>
      <c r="K183">
        <v>0.75115929960000005</v>
      </c>
      <c r="L183">
        <v>0.7158951254</v>
      </c>
      <c r="M183">
        <v>0.69060787980000005</v>
      </c>
      <c r="N183">
        <v>0.67405031140000005</v>
      </c>
      <c r="O183">
        <v>0.66356130020000004</v>
      </c>
      <c r="P183">
        <v>0.64750983409999996</v>
      </c>
      <c r="Q183">
        <v>0.62540615499999996</v>
      </c>
      <c r="R183">
        <v>0.611313522</v>
      </c>
      <c r="S183">
        <v>0.58704513950000003</v>
      </c>
      <c r="T183">
        <v>0.55841214689999996</v>
      </c>
      <c r="U183">
        <v>0.53110160569999998</v>
      </c>
      <c r="V183">
        <v>0.50423830430000005</v>
      </c>
      <c r="W183">
        <v>0.50001449170000001</v>
      </c>
      <c r="X183">
        <v>0.49414909810000002</v>
      </c>
      <c r="Y183">
        <v>0.49026566430000001</v>
      </c>
      <c r="Z183">
        <v>0.48591935400000003</v>
      </c>
      <c r="AA183">
        <v>0.48167073290000001</v>
      </c>
      <c r="AB183">
        <v>0.47730933669999998</v>
      </c>
      <c r="AC183">
        <v>0.47214346820000003</v>
      </c>
      <c r="AD183">
        <v>0.46753761719999998</v>
      </c>
      <c r="AE183">
        <v>0.46330317409999999</v>
      </c>
      <c r="AF183">
        <v>0.45903135439999998</v>
      </c>
      <c r="AG183">
        <v>0.45465431550000002</v>
      </c>
      <c r="AH183">
        <v>0.45016437269999998</v>
      </c>
      <c r="AI183">
        <v>0.44586331839999999</v>
      </c>
      <c r="AJ183">
        <v>0.44153514840000002</v>
      </c>
      <c r="AK183">
        <v>0.43720426309999999</v>
      </c>
      <c r="AL183">
        <v>0.43286965240000003</v>
      </c>
      <c r="AM183">
        <v>0.4285427202</v>
      </c>
      <c r="AN183">
        <v>0.42462472039999999</v>
      </c>
      <c r="AO183">
        <v>0.42081239860000003</v>
      </c>
      <c r="AP183">
        <v>0.41697999029999999</v>
      </c>
      <c r="AQ183">
        <v>0.41323350819999999</v>
      </c>
      <c r="AR183">
        <v>0.40923203380000001</v>
      </c>
      <c r="AS183">
        <v>0.40530497119999997</v>
      </c>
      <c r="AT183">
        <v>0.40140376690000001</v>
      </c>
      <c r="AU183">
        <v>0.39747126669999999</v>
      </c>
      <c r="AV183">
        <v>0.39355138820000002</v>
      </c>
      <c r="AW183">
        <v>0.3898648844</v>
      </c>
    </row>
    <row r="184" spans="2:49" x14ac:dyDescent="0.25">
      <c r="B184" t="s">
        <v>435</v>
      </c>
      <c r="C184">
        <v>8232235.5397947598</v>
      </c>
      <c r="D184">
        <v>8364406.7441781899</v>
      </c>
      <c r="E184">
        <v>8498700</v>
      </c>
      <c r="F184">
        <v>8398047.6270000003</v>
      </c>
      <c r="G184">
        <v>8272617.9270000001</v>
      </c>
      <c r="H184">
        <v>7622943.5279999999</v>
      </c>
      <c r="I184">
        <v>7486950.5240000002</v>
      </c>
      <c r="J184">
        <v>7430693.2319999998</v>
      </c>
      <c r="K184">
        <v>7300285.1119999997</v>
      </c>
      <c r="L184">
        <v>7059854.8039999995</v>
      </c>
      <c r="M184">
        <v>6796830.4160000002</v>
      </c>
      <c r="N184">
        <v>6453335.7390000001</v>
      </c>
      <c r="O184">
        <v>6769600.415</v>
      </c>
      <c r="P184">
        <v>7348746.9910000004</v>
      </c>
      <c r="Q184">
        <v>8087489.9210000001</v>
      </c>
      <c r="R184">
        <v>8691083.4969999995</v>
      </c>
      <c r="S184">
        <v>9235475.6809999999</v>
      </c>
      <c r="T184">
        <v>8519134.0390000008</v>
      </c>
      <c r="U184">
        <v>7744292.5729999999</v>
      </c>
      <c r="V184">
        <v>7004294.5070000002</v>
      </c>
      <c r="W184">
        <v>7197145.5590000004</v>
      </c>
      <c r="X184">
        <v>7465276.8540000003</v>
      </c>
      <c r="Y184">
        <v>7618582.2589999996</v>
      </c>
      <c r="Z184">
        <v>7744962.0329999998</v>
      </c>
      <c r="AA184">
        <v>7867436.4780000001</v>
      </c>
      <c r="AB184">
        <v>7977008.6359999999</v>
      </c>
      <c r="AC184">
        <v>8089171.2319999998</v>
      </c>
      <c r="AD184">
        <v>8147197.6229999997</v>
      </c>
      <c r="AE184">
        <v>8196179.1679999996</v>
      </c>
      <c r="AF184">
        <v>8243164.1160000004</v>
      </c>
      <c r="AG184">
        <v>8287036.6979999999</v>
      </c>
      <c r="AH184">
        <v>8334795.2970000003</v>
      </c>
      <c r="AI184">
        <v>8381700.4819999998</v>
      </c>
      <c r="AJ184">
        <v>8426364.8739999998</v>
      </c>
      <c r="AK184">
        <v>8468814.9780000001</v>
      </c>
      <c r="AL184">
        <v>8510508.5510000009</v>
      </c>
      <c r="AM184">
        <v>8551271.0250000004</v>
      </c>
      <c r="AN184">
        <v>8585243.6270000003</v>
      </c>
      <c r="AO184">
        <v>8616892.2400000002</v>
      </c>
      <c r="AP184">
        <v>8646411.318</v>
      </c>
      <c r="AQ184">
        <v>8673115.3379999995</v>
      </c>
      <c r="AR184">
        <v>8699209.1050000004</v>
      </c>
      <c r="AS184">
        <v>8734371.3239999898</v>
      </c>
      <c r="AT184">
        <v>8768317.0840000007</v>
      </c>
      <c r="AU184">
        <v>8800320.4820000008</v>
      </c>
      <c r="AV184">
        <v>8830757.1640000008</v>
      </c>
      <c r="AW184">
        <v>8863472.9800000004</v>
      </c>
    </row>
    <row r="185" spans="2:49" x14ac:dyDescent="0.25">
      <c r="B185" t="s">
        <v>436</v>
      </c>
      <c r="C185">
        <v>463787.91773491597</v>
      </c>
      <c r="D185">
        <v>471234.182770602</v>
      </c>
      <c r="E185">
        <v>478800</v>
      </c>
      <c r="F185">
        <v>476443.49949999998</v>
      </c>
      <c r="G185">
        <v>457539.3137</v>
      </c>
      <c r="H185">
        <v>432597.87339999998</v>
      </c>
      <c r="I185">
        <v>435774.48320000002</v>
      </c>
      <c r="J185">
        <v>450251.94839999999</v>
      </c>
      <c r="K185">
        <v>449089.03950000001</v>
      </c>
      <c r="L185">
        <v>455429.16110000003</v>
      </c>
      <c r="M185">
        <v>472393.57709999999</v>
      </c>
      <c r="N185">
        <v>496545.38949999999</v>
      </c>
      <c r="O185">
        <v>471815.93079999997</v>
      </c>
      <c r="P185">
        <v>438759.2084</v>
      </c>
      <c r="Q185">
        <v>388943.28159999999</v>
      </c>
      <c r="R185">
        <v>347502.81180000002</v>
      </c>
      <c r="S185">
        <v>309918.85450000002</v>
      </c>
      <c r="T185">
        <v>287798.82809999998</v>
      </c>
      <c r="U185">
        <v>268110.3518</v>
      </c>
      <c r="V185">
        <v>249664.50030000001</v>
      </c>
      <c r="W185">
        <v>249610.40779999999</v>
      </c>
      <c r="X185">
        <v>250762.54329999999</v>
      </c>
      <c r="Y185">
        <v>252377.9278</v>
      </c>
      <c r="Z185">
        <v>254994.7041</v>
      </c>
      <c r="AA185">
        <v>256751.14420000001</v>
      </c>
      <c r="AB185">
        <v>258218.07949999999</v>
      </c>
      <c r="AC185">
        <v>259665.61139999999</v>
      </c>
      <c r="AD185">
        <v>261564.11009999999</v>
      </c>
      <c r="AE185">
        <v>263126.96019999997</v>
      </c>
      <c r="AF185">
        <v>264837.11920000002</v>
      </c>
      <c r="AG185">
        <v>266339.065</v>
      </c>
      <c r="AH185">
        <v>267632.76429999998</v>
      </c>
      <c r="AI185">
        <v>268385.72960000002</v>
      </c>
      <c r="AJ185">
        <v>269160.58720000001</v>
      </c>
      <c r="AK185">
        <v>269853.40700000001</v>
      </c>
      <c r="AL185">
        <v>270533.03399999999</v>
      </c>
      <c r="AM185">
        <v>271206.52659999998</v>
      </c>
      <c r="AN185">
        <v>270464.77480000001</v>
      </c>
      <c r="AO185">
        <v>269743.08779999998</v>
      </c>
      <c r="AP185">
        <v>268903.31809999997</v>
      </c>
      <c r="AQ185">
        <v>268052.61210000003</v>
      </c>
      <c r="AR185">
        <v>267016.91810000001</v>
      </c>
      <c r="AS185">
        <v>266205.65149999998</v>
      </c>
      <c r="AT185">
        <v>265453.97720000002</v>
      </c>
      <c r="AU185">
        <v>264646.05530000001</v>
      </c>
      <c r="AV185">
        <v>263791.50020000001</v>
      </c>
      <c r="AW185">
        <v>262982.91470000002</v>
      </c>
    </row>
    <row r="186" spans="2:49" x14ac:dyDescent="0.25">
      <c r="B186" t="s">
        <v>437</v>
      </c>
      <c r="C186">
        <v>247860837.32111701</v>
      </c>
      <c r="D186">
        <v>251840323.237167</v>
      </c>
      <c r="E186">
        <v>255208528.69999999</v>
      </c>
      <c r="F186">
        <v>256526115.90000001</v>
      </c>
      <c r="G186">
        <v>240245751.59999999</v>
      </c>
      <c r="H186">
        <v>222775473</v>
      </c>
      <c r="I186">
        <v>220046280.19999999</v>
      </c>
      <c r="J186">
        <v>212652802.19999999</v>
      </c>
      <c r="K186">
        <v>202606678.30000001</v>
      </c>
      <c r="L186">
        <v>196652558.90000001</v>
      </c>
      <c r="M186">
        <v>195486028.19999999</v>
      </c>
      <c r="N186">
        <v>196374994.30000001</v>
      </c>
      <c r="O186">
        <v>187747061.69999999</v>
      </c>
      <c r="P186">
        <v>179827353.09999999</v>
      </c>
      <c r="Q186">
        <v>168782599.09999999</v>
      </c>
      <c r="R186">
        <v>161072041.19999999</v>
      </c>
      <c r="S186">
        <v>153676380.80000001</v>
      </c>
      <c r="T186">
        <v>152514153.09999999</v>
      </c>
      <c r="U186">
        <v>151434130.40000001</v>
      </c>
      <c r="V186">
        <v>151172430.5</v>
      </c>
      <c r="W186">
        <v>151024214.90000001</v>
      </c>
      <c r="X186">
        <v>150372389.30000001</v>
      </c>
      <c r="Y186">
        <v>150434262.90000001</v>
      </c>
      <c r="Z186">
        <v>150920690.80000001</v>
      </c>
      <c r="AA186">
        <v>151184118</v>
      </c>
      <c r="AB186">
        <v>151322782.09999999</v>
      </c>
      <c r="AC186">
        <v>151595621.90000001</v>
      </c>
      <c r="AD186">
        <v>151820365.69999999</v>
      </c>
      <c r="AE186">
        <v>151863388</v>
      </c>
      <c r="AF186">
        <v>152010573.5</v>
      </c>
      <c r="AG186">
        <v>152157625.69999999</v>
      </c>
      <c r="AH186">
        <v>152362687.09999999</v>
      </c>
      <c r="AI186">
        <v>152865262.5</v>
      </c>
      <c r="AJ186">
        <v>153354071.59999999</v>
      </c>
      <c r="AK186">
        <v>153798147.69999999</v>
      </c>
      <c r="AL186">
        <v>154269791.09999999</v>
      </c>
      <c r="AM186">
        <v>154769381.19999999</v>
      </c>
      <c r="AN186">
        <v>154826285.19999999</v>
      </c>
      <c r="AO186">
        <v>154884767</v>
      </c>
      <c r="AP186">
        <v>154875254.59999999</v>
      </c>
      <c r="AQ186">
        <v>154853165.30000001</v>
      </c>
      <c r="AR186">
        <v>154797990.80000001</v>
      </c>
      <c r="AS186">
        <v>155316114.09999999</v>
      </c>
      <c r="AT186">
        <v>155859745.5</v>
      </c>
      <c r="AU186">
        <v>156387157.80000001</v>
      </c>
      <c r="AV186">
        <v>156918306.40000001</v>
      </c>
      <c r="AW186">
        <v>157532711.90000001</v>
      </c>
    </row>
    <row r="187" spans="2:49" x14ac:dyDescent="0.25">
      <c r="B187" t="s">
        <v>438</v>
      </c>
      <c r="C187">
        <v>41023493.601484403</v>
      </c>
      <c r="D187">
        <v>41682139.060681202</v>
      </c>
      <c r="E187">
        <v>42351359.289999999</v>
      </c>
      <c r="F187">
        <v>41410830.25</v>
      </c>
      <c r="G187">
        <v>36254457.450000003</v>
      </c>
      <c r="H187">
        <v>31556457.73</v>
      </c>
      <c r="I187">
        <v>30346571.43</v>
      </c>
      <c r="J187">
        <v>28748377.399999999</v>
      </c>
      <c r="K187">
        <v>27248396.449999999</v>
      </c>
      <c r="L187">
        <v>27243727.760000002</v>
      </c>
      <c r="M187">
        <v>26668247.640000001</v>
      </c>
      <c r="N187">
        <v>25899568.059999999</v>
      </c>
      <c r="O187">
        <v>20730791.66</v>
      </c>
      <c r="P187">
        <v>17279787.949999999</v>
      </c>
      <c r="Q187">
        <v>14661337.869999999</v>
      </c>
      <c r="R187">
        <v>12366816.33</v>
      </c>
      <c r="S187">
        <v>10086010.529999999</v>
      </c>
      <c r="T187">
        <v>9703381.7530000005</v>
      </c>
      <c r="U187">
        <v>9488344.3920000009</v>
      </c>
      <c r="V187">
        <v>9354988.6290000007</v>
      </c>
      <c r="W187">
        <v>9250466.4399999995</v>
      </c>
      <c r="X187">
        <v>9108632.6070000008</v>
      </c>
      <c r="Y187">
        <v>9141571.0419999994</v>
      </c>
      <c r="Z187">
        <v>9217323.7550000008</v>
      </c>
      <c r="AA187">
        <v>9294541.66599999</v>
      </c>
      <c r="AB187">
        <v>9361854.1390000004</v>
      </c>
      <c r="AC187">
        <v>9422343.6140000001</v>
      </c>
      <c r="AD187">
        <v>9550494.5390000008</v>
      </c>
      <c r="AE187">
        <v>9661807.5529999901</v>
      </c>
      <c r="AF187">
        <v>9775029.3729999997</v>
      </c>
      <c r="AG187">
        <v>9894798.77999999</v>
      </c>
      <c r="AH187">
        <v>10010035.1</v>
      </c>
      <c r="AI187">
        <v>10146615.85</v>
      </c>
      <c r="AJ187">
        <v>10276038.119999999</v>
      </c>
      <c r="AK187">
        <v>10403136.24</v>
      </c>
      <c r="AL187">
        <v>10530993.689999999</v>
      </c>
      <c r="AM187">
        <v>10658639.890000001</v>
      </c>
      <c r="AN187">
        <v>10686128.449999999</v>
      </c>
      <c r="AO187">
        <v>10698777.42</v>
      </c>
      <c r="AP187">
        <v>10698399.289999999</v>
      </c>
      <c r="AQ187">
        <v>10690369.17</v>
      </c>
      <c r="AR187">
        <v>10664529.74</v>
      </c>
      <c r="AS187">
        <v>10707333.4</v>
      </c>
      <c r="AT187">
        <v>10753311.73</v>
      </c>
      <c r="AU187">
        <v>10796608.49</v>
      </c>
      <c r="AV187">
        <v>10837042.33</v>
      </c>
      <c r="AW187">
        <v>10880367.199999999</v>
      </c>
    </row>
    <row r="188" spans="2:49" x14ac:dyDescent="0.25">
      <c r="B188" t="s">
        <v>439</v>
      </c>
      <c r="C188">
        <v>156021257.172526</v>
      </c>
      <c r="D188">
        <v>158526228.92293701</v>
      </c>
      <c r="E188">
        <v>161143122.5</v>
      </c>
      <c r="F188">
        <v>163054561.59999999</v>
      </c>
      <c r="G188">
        <v>153976169.5</v>
      </c>
      <c r="H188">
        <v>145022558</v>
      </c>
      <c r="I188">
        <v>142741284.59999999</v>
      </c>
      <c r="J188">
        <v>137171734.30000001</v>
      </c>
      <c r="K188">
        <v>130787102</v>
      </c>
      <c r="L188">
        <v>126082251.7</v>
      </c>
      <c r="M188">
        <v>125612878.59999999</v>
      </c>
      <c r="N188">
        <v>126853214.59999999</v>
      </c>
      <c r="O188">
        <v>122387466.2</v>
      </c>
      <c r="P188">
        <v>117309754.40000001</v>
      </c>
      <c r="Q188">
        <v>110017983.59999999</v>
      </c>
      <c r="R188">
        <v>105083717.3</v>
      </c>
      <c r="S188">
        <v>100203687.40000001</v>
      </c>
      <c r="T188">
        <v>101374088.5</v>
      </c>
      <c r="U188">
        <v>102555823.09999999</v>
      </c>
      <c r="V188">
        <v>104336984.5</v>
      </c>
      <c r="W188">
        <v>104047437.59999999</v>
      </c>
      <c r="X188">
        <v>103094347.09999999</v>
      </c>
      <c r="Y188">
        <v>102696251.09999999</v>
      </c>
      <c r="Z188">
        <v>102635825.90000001</v>
      </c>
      <c r="AA188">
        <v>102487581.5</v>
      </c>
      <c r="AB188">
        <v>102288537.2</v>
      </c>
      <c r="AC188">
        <v>102224702.7</v>
      </c>
      <c r="AD188">
        <v>101983939.7</v>
      </c>
      <c r="AE188">
        <v>101628823.90000001</v>
      </c>
      <c r="AF188">
        <v>101345537.3</v>
      </c>
      <c r="AG188">
        <v>101073412.09999999</v>
      </c>
      <c r="AH188">
        <v>100871141.59999999</v>
      </c>
      <c r="AI188">
        <v>101008723.09999999</v>
      </c>
      <c r="AJ188">
        <v>101135828.2</v>
      </c>
      <c r="AK188">
        <v>101228607.3</v>
      </c>
      <c r="AL188">
        <v>101341790</v>
      </c>
      <c r="AM188">
        <v>101475614.8</v>
      </c>
      <c r="AN188">
        <v>101561481.3</v>
      </c>
      <c r="AO188">
        <v>101655217.09999999</v>
      </c>
      <c r="AP188">
        <v>101704443</v>
      </c>
      <c r="AQ188">
        <v>101746648.2</v>
      </c>
      <c r="AR188">
        <v>101791393.59999999</v>
      </c>
      <c r="AS188">
        <v>102303234.3</v>
      </c>
      <c r="AT188">
        <v>102824447.59999999</v>
      </c>
      <c r="AU188">
        <v>103333149</v>
      </c>
      <c r="AV188">
        <v>103846603</v>
      </c>
      <c r="AW188">
        <v>104421126.5</v>
      </c>
    </row>
    <row r="189" spans="2:49" x14ac:dyDescent="0.25">
      <c r="B189" t="s">
        <v>440</v>
      </c>
      <c r="C189">
        <v>50816086.547106199</v>
      </c>
      <c r="D189">
        <v>51631955.253548898</v>
      </c>
      <c r="E189">
        <v>51714046.939999998</v>
      </c>
      <c r="F189">
        <v>52060724.020000003</v>
      </c>
      <c r="G189">
        <v>50015124.659999996</v>
      </c>
      <c r="H189">
        <v>46196457.329999998</v>
      </c>
      <c r="I189">
        <v>46958424.130000003</v>
      </c>
      <c r="J189">
        <v>46732690.469999999</v>
      </c>
      <c r="K189">
        <v>44571179.890000001</v>
      </c>
      <c r="L189">
        <v>43326579.409999996</v>
      </c>
      <c r="M189">
        <v>43204901.960000001</v>
      </c>
      <c r="N189">
        <v>43622211.710000001</v>
      </c>
      <c r="O189">
        <v>44628803.909999996</v>
      </c>
      <c r="P189">
        <v>45237810.729999997</v>
      </c>
      <c r="Q189">
        <v>44103277.609999999</v>
      </c>
      <c r="R189">
        <v>43621507.630000003</v>
      </c>
      <c r="S189">
        <v>43386682.890000001</v>
      </c>
      <c r="T189">
        <v>41436682.829999998</v>
      </c>
      <c r="U189">
        <v>39389962.899999999</v>
      </c>
      <c r="V189">
        <v>37480457.439999998</v>
      </c>
      <c r="W189">
        <v>37726310.859999999</v>
      </c>
      <c r="X189">
        <v>38169409.590000004</v>
      </c>
      <c r="Y189">
        <v>38596440.759999998</v>
      </c>
      <c r="Z189">
        <v>39067541.159999996</v>
      </c>
      <c r="AA189">
        <v>39401994.810000002</v>
      </c>
      <c r="AB189">
        <v>39672390.780000001</v>
      </c>
      <c r="AC189">
        <v>39948575.560000002</v>
      </c>
      <c r="AD189">
        <v>40285931.460000001</v>
      </c>
      <c r="AE189">
        <v>40572756.579999998</v>
      </c>
      <c r="AF189">
        <v>40890006.859999999</v>
      </c>
      <c r="AG189">
        <v>41189414.880000003</v>
      </c>
      <c r="AH189">
        <v>41481510.390000001</v>
      </c>
      <c r="AI189">
        <v>41709923.57</v>
      </c>
      <c r="AJ189">
        <v>41942205.219999999</v>
      </c>
      <c r="AK189">
        <v>42166404.200000003</v>
      </c>
      <c r="AL189">
        <v>42397007.380000003</v>
      </c>
      <c r="AM189">
        <v>42635126.490000002</v>
      </c>
      <c r="AN189">
        <v>42578675.479999997</v>
      </c>
      <c r="AO189">
        <v>42530772.5</v>
      </c>
      <c r="AP189">
        <v>42472412.380000003</v>
      </c>
      <c r="AQ189">
        <v>42416147.869999997</v>
      </c>
      <c r="AR189">
        <v>42342067.479999997</v>
      </c>
      <c r="AS189">
        <v>42305546.460000001</v>
      </c>
      <c r="AT189">
        <v>42281986.25</v>
      </c>
      <c r="AU189">
        <v>42257400.289999999</v>
      </c>
      <c r="AV189">
        <v>42234661.020000003</v>
      </c>
      <c r="AW189">
        <v>42231218.25</v>
      </c>
    </row>
    <row r="190" spans="2:49" x14ac:dyDescent="0.25">
      <c r="B190" t="s">
        <v>441</v>
      </c>
      <c r="C190">
        <v>392773953.478827</v>
      </c>
      <c r="D190">
        <v>399080066.34826499</v>
      </c>
      <c r="E190">
        <v>404812253.5</v>
      </c>
      <c r="F190">
        <v>406375164.80000001</v>
      </c>
      <c r="G190">
        <v>384803551.10000002</v>
      </c>
      <c r="H190">
        <v>366967381.39999998</v>
      </c>
      <c r="I190">
        <v>361854762.89999998</v>
      </c>
      <c r="J190">
        <v>350759502</v>
      </c>
      <c r="K190">
        <v>336506179.10000002</v>
      </c>
      <c r="L190">
        <v>327438089.10000002</v>
      </c>
      <c r="M190">
        <v>323973790</v>
      </c>
      <c r="N190">
        <v>323368662.30000001</v>
      </c>
      <c r="O190">
        <v>314766846.69999999</v>
      </c>
      <c r="P190">
        <v>305222695.5</v>
      </c>
      <c r="Q190">
        <v>291322534</v>
      </c>
      <c r="R190">
        <v>281814448.30000001</v>
      </c>
      <c r="S190">
        <v>273180406.89999998</v>
      </c>
      <c r="T190">
        <v>269513230.10000002</v>
      </c>
      <c r="U190">
        <v>265928079.69999999</v>
      </c>
      <c r="V190">
        <v>262901147.09999999</v>
      </c>
      <c r="W190">
        <v>261678998.19999999</v>
      </c>
      <c r="X190">
        <v>259153212.90000001</v>
      </c>
      <c r="Y190">
        <v>257771488.59999999</v>
      </c>
      <c r="Z190">
        <v>257449493.59999999</v>
      </c>
      <c r="AA190">
        <v>256939248.59999999</v>
      </c>
      <c r="AB190">
        <v>256258305.69999999</v>
      </c>
      <c r="AC190">
        <v>255075522</v>
      </c>
      <c r="AD190">
        <v>254199701</v>
      </c>
      <c r="AE190">
        <v>253457322.90000001</v>
      </c>
      <c r="AF190">
        <v>252768219.69999999</v>
      </c>
      <c r="AG190">
        <v>252029828</v>
      </c>
      <c r="AH190">
        <v>251238908.80000001</v>
      </c>
      <c r="AI190">
        <v>250582304.40000001</v>
      </c>
      <c r="AJ190">
        <v>249977237.5</v>
      </c>
      <c r="AK190">
        <v>249331159.09999999</v>
      </c>
      <c r="AL190">
        <v>248705129.80000001</v>
      </c>
      <c r="AM190">
        <v>248098302.80000001</v>
      </c>
      <c r="AN190">
        <v>246959949.80000001</v>
      </c>
      <c r="AO190">
        <v>245769606.09999999</v>
      </c>
      <c r="AP190">
        <v>244469756.69999999</v>
      </c>
      <c r="AQ190">
        <v>243139652.69999999</v>
      </c>
      <c r="AR190">
        <v>241563062.90000001</v>
      </c>
      <c r="AS190">
        <v>240627646.69999999</v>
      </c>
      <c r="AT190">
        <v>239748079.30000001</v>
      </c>
      <c r="AU190">
        <v>238850680.59999999</v>
      </c>
      <c r="AV190">
        <v>237948508.59999999</v>
      </c>
      <c r="AW190">
        <v>237133470.69999999</v>
      </c>
    </row>
    <row r="191" spans="2:49" x14ac:dyDescent="0.25">
      <c r="B191" t="s">
        <v>442</v>
      </c>
      <c r="C191">
        <v>42122345.501310699</v>
      </c>
      <c r="D191">
        <v>42798633.383193001</v>
      </c>
      <c r="E191">
        <v>43485779.289999999</v>
      </c>
      <c r="F191">
        <v>42535966.640000001</v>
      </c>
      <c r="G191">
        <v>37367157.420000002</v>
      </c>
      <c r="H191">
        <v>32655112.879999999</v>
      </c>
      <c r="I191">
        <v>31437330.289999999</v>
      </c>
      <c r="J191">
        <v>29830380.469999999</v>
      </c>
      <c r="K191">
        <v>28316397.940000001</v>
      </c>
      <c r="L191">
        <v>28292471.260000002</v>
      </c>
      <c r="M191">
        <v>27697992.73</v>
      </c>
      <c r="N191">
        <v>26915089.969999999</v>
      </c>
      <c r="O191">
        <v>21741716.07</v>
      </c>
      <c r="P191">
        <v>18290437.870000001</v>
      </c>
      <c r="Q191">
        <v>15668846.23</v>
      </c>
      <c r="R191">
        <v>13360086.960000001</v>
      </c>
      <c r="S191">
        <v>11061257.83</v>
      </c>
      <c r="T191">
        <v>10657182.48</v>
      </c>
      <c r="U191">
        <v>10421555.029999999</v>
      </c>
      <c r="V191">
        <v>10268840.310000001</v>
      </c>
      <c r="W191">
        <v>10150612.51</v>
      </c>
      <c r="X191">
        <v>9997866.5820000004</v>
      </c>
      <c r="Y191">
        <v>10024079.66</v>
      </c>
      <c r="Z191">
        <v>10096106.890000001</v>
      </c>
      <c r="AA191">
        <v>10170576.279999999</v>
      </c>
      <c r="AB191">
        <v>10235008.4</v>
      </c>
      <c r="AC191">
        <v>10291987.16</v>
      </c>
      <c r="AD191">
        <v>10415844.1</v>
      </c>
      <c r="AE191">
        <v>10522036.48</v>
      </c>
      <c r="AF191">
        <v>10629393.859999999</v>
      </c>
      <c r="AG191">
        <v>10742617.1</v>
      </c>
      <c r="AH191">
        <v>10850692.35</v>
      </c>
      <c r="AI191">
        <v>10979546.289999999</v>
      </c>
      <c r="AJ191">
        <v>11100764.689999999</v>
      </c>
      <c r="AK191">
        <v>11219347.35</v>
      </c>
      <c r="AL191">
        <v>11338458.66</v>
      </c>
      <c r="AM191">
        <v>11457174.08</v>
      </c>
      <c r="AN191">
        <v>11475517.98</v>
      </c>
      <c r="AO191">
        <v>11478667.199999999</v>
      </c>
      <c r="AP191">
        <v>11468420.92</v>
      </c>
      <c r="AQ191">
        <v>11450197.93</v>
      </c>
      <c r="AR191">
        <v>11413866.67</v>
      </c>
      <c r="AS191">
        <v>11445918.289999999</v>
      </c>
      <c r="AT191">
        <v>11480891.24</v>
      </c>
      <c r="AU191">
        <v>11512938.67</v>
      </c>
      <c r="AV191">
        <v>11541889.18</v>
      </c>
      <c r="AW191">
        <v>11573642.26</v>
      </c>
    </row>
    <row r="192" spans="2:49" x14ac:dyDescent="0.25">
      <c r="B192" t="s">
        <v>443</v>
      </c>
      <c r="C192">
        <v>261896523.70399499</v>
      </c>
      <c r="D192">
        <v>266101357.10489401</v>
      </c>
      <c r="E192">
        <v>270445404.10000002</v>
      </c>
      <c r="F192">
        <v>273478826.30000001</v>
      </c>
      <c r="G192">
        <v>260449379.90000001</v>
      </c>
      <c r="H192">
        <v>252246071.59999999</v>
      </c>
      <c r="I192">
        <v>247954175</v>
      </c>
      <c r="J192">
        <v>239725863.59999999</v>
      </c>
      <c r="K192">
        <v>230804697.90000001</v>
      </c>
      <c r="L192">
        <v>224395802.19999999</v>
      </c>
      <c r="M192">
        <v>222616666.30000001</v>
      </c>
      <c r="N192">
        <v>223073801.69999999</v>
      </c>
      <c r="O192">
        <v>218196456.09999999</v>
      </c>
      <c r="P192">
        <v>211506424.90000001</v>
      </c>
      <c r="Q192">
        <v>202268313.19999999</v>
      </c>
      <c r="R192">
        <v>196209366.59999999</v>
      </c>
      <c r="S192">
        <v>190637256.59999999</v>
      </c>
      <c r="T192">
        <v>191071015.59999999</v>
      </c>
      <c r="U192">
        <v>191112608.69999999</v>
      </c>
      <c r="V192">
        <v>191465474.69999999</v>
      </c>
      <c r="W192">
        <v>190181754.69999999</v>
      </c>
      <c r="X192">
        <v>187291396.80000001</v>
      </c>
      <c r="Y192">
        <v>185381401.90000001</v>
      </c>
      <c r="Z192">
        <v>184293872.19999999</v>
      </c>
      <c r="AA192">
        <v>183205585.40000001</v>
      </c>
      <c r="AB192">
        <v>182031996.19999999</v>
      </c>
      <c r="AC192">
        <v>180365761.59999999</v>
      </c>
      <c r="AD192">
        <v>178897246</v>
      </c>
      <c r="AE192">
        <v>177661687.59999999</v>
      </c>
      <c r="AF192">
        <v>176448597.19999999</v>
      </c>
      <c r="AG192">
        <v>175228871.09999999</v>
      </c>
      <c r="AH192">
        <v>174003371.09999999</v>
      </c>
      <c r="AI192">
        <v>173009638.40000001</v>
      </c>
      <c r="AJ192">
        <v>172072646</v>
      </c>
      <c r="AK192">
        <v>171117381.09999999</v>
      </c>
      <c r="AL192">
        <v>170185449.30000001</v>
      </c>
      <c r="AM192">
        <v>169275580.59999999</v>
      </c>
      <c r="AN192">
        <v>168245830.40000001</v>
      </c>
      <c r="AO192">
        <v>167177441.40000001</v>
      </c>
      <c r="AP192">
        <v>166040823.19999999</v>
      </c>
      <c r="AQ192">
        <v>164887252.80000001</v>
      </c>
      <c r="AR192">
        <v>163546165.40000001</v>
      </c>
      <c r="AS192">
        <v>162720137</v>
      </c>
      <c r="AT192">
        <v>161935476.90000001</v>
      </c>
      <c r="AU192">
        <v>161150227.90000001</v>
      </c>
      <c r="AV192">
        <v>160375187.09999999</v>
      </c>
      <c r="AW192">
        <v>159672478.09999999</v>
      </c>
    </row>
    <row r="193" spans="2:49" x14ac:dyDescent="0.25">
      <c r="B193" t="s">
        <v>444</v>
      </c>
      <c r="C193">
        <v>88755084.273521304</v>
      </c>
      <c r="D193">
        <v>90180075.860178098</v>
      </c>
      <c r="E193">
        <v>90881070.090000004</v>
      </c>
      <c r="F193">
        <v>90360371.870000005</v>
      </c>
      <c r="G193">
        <v>86987013.780000001</v>
      </c>
      <c r="H193">
        <v>82066196.840000004</v>
      </c>
      <c r="I193">
        <v>82463257.590000004</v>
      </c>
      <c r="J193">
        <v>81203258.010000005</v>
      </c>
      <c r="K193">
        <v>77385083.290000007</v>
      </c>
      <c r="L193">
        <v>74749815.629999995</v>
      </c>
      <c r="M193">
        <v>73659130.930000007</v>
      </c>
      <c r="N193">
        <v>73379770.620000005</v>
      </c>
      <c r="O193">
        <v>74828674.510000005</v>
      </c>
      <c r="P193">
        <v>75425832.680000007</v>
      </c>
      <c r="Q193">
        <v>73385374.560000002</v>
      </c>
      <c r="R193">
        <v>72244994.730000004</v>
      </c>
      <c r="S193">
        <v>71481892.480000004</v>
      </c>
      <c r="T193">
        <v>67785032.109999999</v>
      </c>
      <c r="U193">
        <v>64393916.020000003</v>
      </c>
      <c r="V193">
        <v>61166832.130000003</v>
      </c>
      <c r="W193">
        <v>61346631.090000004</v>
      </c>
      <c r="X193">
        <v>61863949.469999999</v>
      </c>
      <c r="Y193">
        <v>62366006.960000001</v>
      </c>
      <c r="Z193">
        <v>63059514.539999999</v>
      </c>
      <c r="AA193">
        <v>63563086.979999997</v>
      </c>
      <c r="AB193">
        <v>63991301.109999999</v>
      </c>
      <c r="AC193">
        <v>64417773.259999998</v>
      </c>
      <c r="AD193">
        <v>64886610.850000001</v>
      </c>
      <c r="AE193">
        <v>65273598.880000003</v>
      </c>
      <c r="AF193">
        <v>65690228.609999999</v>
      </c>
      <c r="AG193">
        <v>66058339.740000002</v>
      </c>
      <c r="AH193">
        <v>66384845.369999997</v>
      </c>
      <c r="AI193">
        <v>66593119.810000002</v>
      </c>
      <c r="AJ193">
        <v>66803826.829999998</v>
      </c>
      <c r="AK193">
        <v>66994430.579999998</v>
      </c>
      <c r="AL193">
        <v>67181221.890000001</v>
      </c>
      <c r="AM193">
        <v>67365548.069999903</v>
      </c>
      <c r="AN193">
        <v>67238601.420000002</v>
      </c>
      <c r="AO193">
        <v>67113497.5</v>
      </c>
      <c r="AP193">
        <v>66960512.539999999</v>
      </c>
      <c r="AQ193">
        <v>66802201.969999999</v>
      </c>
      <c r="AR193">
        <v>66603030.810000002</v>
      </c>
      <c r="AS193">
        <v>66461591.439999998</v>
      </c>
      <c r="AT193">
        <v>66331711.109999999</v>
      </c>
      <c r="AU193">
        <v>66187513.990000002</v>
      </c>
      <c r="AV193">
        <v>66031432.270000003</v>
      </c>
      <c r="AW193">
        <v>65887350.310000002</v>
      </c>
    </row>
    <row r="194" spans="2:49" x14ac:dyDescent="0.25">
      <c r="B194" t="s">
        <v>445</v>
      </c>
      <c r="C194">
        <v>419119515.24800497</v>
      </c>
      <c r="D194">
        <v>425848614.63336003</v>
      </c>
      <c r="E194">
        <v>431991570.80000001</v>
      </c>
      <c r="F194">
        <v>433904817.89999998</v>
      </c>
      <c r="G194">
        <v>411648728.10000002</v>
      </c>
      <c r="H194">
        <v>391051055.89999998</v>
      </c>
      <c r="I194">
        <v>386825785.39999998</v>
      </c>
      <c r="J194">
        <v>376338470.80000001</v>
      </c>
      <c r="K194">
        <v>361429853.19999999</v>
      </c>
      <c r="L194">
        <v>352093455.30000001</v>
      </c>
      <c r="M194">
        <v>348661796.80000001</v>
      </c>
      <c r="N194">
        <v>348414720.30000001</v>
      </c>
      <c r="O194">
        <v>339901788.19999999</v>
      </c>
      <c r="P194">
        <v>331129457.89999998</v>
      </c>
      <c r="Q194">
        <v>317385370.30000001</v>
      </c>
      <c r="R194">
        <v>308176242.30000001</v>
      </c>
      <c r="S194">
        <v>299134080.5</v>
      </c>
      <c r="T194">
        <v>295679267.5</v>
      </c>
      <c r="U194">
        <v>292170812.39999998</v>
      </c>
      <c r="V194">
        <v>289523855.80000001</v>
      </c>
      <c r="W194">
        <v>288388719.60000002</v>
      </c>
      <c r="X194">
        <v>285908931.89999998</v>
      </c>
      <c r="Y194">
        <v>284468552</v>
      </c>
      <c r="Z194">
        <v>284197453.39999998</v>
      </c>
      <c r="AA194">
        <v>283741388.19999999</v>
      </c>
      <c r="AB194">
        <v>283112872.80000001</v>
      </c>
      <c r="AC194">
        <v>282003119.30000001</v>
      </c>
      <c r="AD194">
        <v>281303236.5</v>
      </c>
      <c r="AE194">
        <v>280710912.19999999</v>
      </c>
      <c r="AF194">
        <v>280207727.69999999</v>
      </c>
      <c r="AG194">
        <v>279641566.39999998</v>
      </c>
      <c r="AH194">
        <v>279059388.80000001</v>
      </c>
      <c r="AI194">
        <v>278635174.39999998</v>
      </c>
      <c r="AJ194">
        <v>278257018.69999999</v>
      </c>
      <c r="AK194">
        <v>277852575.39999998</v>
      </c>
      <c r="AL194">
        <v>277478207.89999998</v>
      </c>
      <c r="AM194">
        <v>277128540</v>
      </c>
      <c r="AN194">
        <v>276219593.5</v>
      </c>
      <c r="AO194">
        <v>275291443.80000001</v>
      </c>
      <c r="AP194">
        <v>274252869.39999998</v>
      </c>
      <c r="AQ194">
        <v>273204065.30000001</v>
      </c>
      <c r="AR194">
        <v>271900403.69999999</v>
      </c>
      <c r="AS194">
        <v>271248187.39999998</v>
      </c>
      <c r="AT194">
        <v>270647450.80000001</v>
      </c>
      <c r="AU194">
        <v>270021160.19999999</v>
      </c>
      <c r="AV194">
        <v>269394113.80000001</v>
      </c>
      <c r="AW194">
        <v>268915826</v>
      </c>
    </row>
    <row r="195" spans="2:49" x14ac:dyDescent="0.25">
      <c r="B195" t="s">
        <v>446</v>
      </c>
      <c r="C195">
        <v>255.88316116441601</v>
      </c>
      <c r="D195">
        <v>259.991448084664</v>
      </c>
      <c r="E195">
        <v>264.96578670000002</v>
      </c>
      <c r="F195">
        <v>273.23259159999998</v>
      </c>
      <c r="G195">
        <v>273.2177547</v>
      </c>
      <c r="H195">
        <v>262.40160309999999</v>
      </c>
      <c r="I195">
        <v>270.39929899999998</v>
      </c>
      <c r="J195">
        <v>271.19508869999999</v>
      </c>
      <c r="K195">
        <v>267.89971830000002</v>
      </c>
      <c r="L195">
        <v>264.6203246</v>
      </c>
      <c r="M195">
        <v>263.59376129999998</v>
      </c>
      <c r="N195">
        <v>261.97935369999999</v>
      </c>
      <c r="O195">
        <v>252.91567989999999</v>
      </c>
      <c r="P195">
        <v>248.01312920000001</v>
      </c>
      <c r="Q195">
        <v>242.35974400000001</v>
      </c>
      <c r="R195">
        <v>235.10561720000001</v>
      </c>
      <c r="S195">
        <v>227.8387099</v>
      </c>
      <c r="T195">
        <v>225.85558399999999</v>
      </c>
      <c r="U195">
        <v>224.24500259999999</v>
      </c>
      <c r="V195">
        <v>223.18035169999999</v>
      </c>
      <c r="W195">
        <v>229.38733730000001</v>
      </c>
      <c r="X195">
        <v>235.54678659999999</v>
      </c>
      <c r="Y195">
        <v>238.0755259</v>
      </c>
      <c r="Z195">
        <v>240.5224403</v>
      </c>
      <c r="AA195">
        <v>242.74841129999999</v>
      </c>
      <c r="AB195">
        <v>244.47799359999999</v>
      </c>
      <c r="AC195">
        <v>246.27080169999999</v>
      </c>
      <c r="AD195">
        <v>246.48139370000001</v>
      </c>
      <c r="AE195">
        <v>246.65869230000001</v>
      </c>
      <c r="AF195">
        <v>246.84385119999999</v>
      </c>
      <c r="AG195">
        <v>246.9265666</v>
      </c>
      <c r="AH195">
        <v>247.13939819999999</v>
      </c>
      <c r="AI195">
        <v>247.30433679999999</v>
      </c>
      <c r="AJ195">
        <v>247.44024580000001</v>
      </c>
      <c r="AK195">
        <v>247.50683280000001</v>
      </c>
      <c r="AL195">
        <v>247.5726483</v>
      </c>
      <c r="AM195">
        <v>247.6277968</v>
      </c>
      <c r="AN195">
        <v>247.33502379999999</v>
      </c>
      <c r="AO195">
        <v>247.017574</v>
      </c>
      <c r="AP195">
        <v>246.63342919999999</v>
      </c>
      <c r="AQ195">
        <v>246.20272030000001</v>
      </c>
      <c r="AR195">
        <v>245.79560480000001</v>
      </c>
      <c r="AS195">
        <v>245.89319420000001</v>
      </c>
      <c r="AT195">
        <v>245.9658445</v>
      </c>
      <c r="AU195">
        <v>246.00342130000001</v>
      </c>
      <c r="AV195">
        <v>246.0231254</v>
      </c>
      <c r="AW195">
        <v>246.1149408</v>
      </c>
    </row>
    <row r="196" spans="2:49" x14ac:dyDescent="0.25">
      <c r="B196" t="s">
        <v>447</v>
      </c>
      <c r="C196">
        <v>5.5705789795526002</v>
      </c>
      <c r="D196">
        <v>5.6600164269241402</v>
      </c>
      <c r="E196">
        <v>5.7508898210000003</v>
      </c>
      <c r="F196">
        <v>5.8015808900000003</v>
      </c>
      <c r="G196">
        <v>4.8324865880000001</v>
      </c>
      <c r="H196">
        <v>4.2362817780000004</v>
      </c>
      <c r="I196">
        <v>4.2095741799999997</v>
      </c>
      <c r="J196">
        <v>4.0295060769999997</v>
      </c>
      <c r="K196">
        <v>3.8922582480000001</v>
      </c>
      <c r="L196">
        <v>4.1573082860000001</v>
      </c>
      <c r="M196">
        <v>4.2686746409999996</v>
      </c>
      <c r="N196">
        <v>4.3448537590000003</v>
      </c>
      <c r="O196">
        <v>3.42800729</v>
      </c>
      <c r="P196">
        <v>2.8862511359999998</v>
      </c>
      <c r="Q196">
        <v>2.5374132309999999</v>
      </c>
      <c r="R196">
        <v>2.3104779889999998</v>
      </c>
      <c r="S196">
        <v>2.1012811170000001</v>
      </c>
      <c r="T196">
        <v>2.0606107119999999</v>
      </c>
      <c r="U196">
        <v>2.0365315609999999</v>
      </c>
      <c r="V196">
        <v>2.0297752440000001</v>
      </c>
      <c r="W196">
        <v>1.9816224099999999</v>
      </c>
      <c r="X196">
        <v>1.9184824090000001</v>
      </c>
      <c r="Y196">
        <v>1.910409885</v>
      </c>
      <c r="Z196">
        <v>1.9164122100000001</v>
      </c>
      <c r="AA196">
        <v>1.9234897</v>
      </c>
      <c r="AB196">
        <v>1.929220216</v>
      </c>
      <c r="AC196">
        <v>1.93285788</v>
      </c>
      <c r="AD196">
        <v>1.957926799</v>
      </c>
      <c r="AE196">
        <v>1.979350859</v>
      </c>
      <c r="AF196">
        <v>2.001224476</v>
      </c>
      <c r="AG196">
        <v>2.0248217620000002</v>
      </c>
      <c r="AH196">
        <v>2.0467783970000002</v>
      </c>
      <c r="AI196">
        <v>2.0739914339999999</v>
      </c>
      <c r="AJ196">
        <v>2.0994829250000002</v>
      </c>
      <c r="AK196">
        <v>2.124510721</v>
      </c>
      <c r="AL196">
        <v>2.1497420580000002</v>
      </c>
      <c r="AM196">
        <v>2.1749625319999999</v>
      </c>
      <c r="AN196">
        <v>2.1756881890000002</v>
      </c>
      <c r="AO196">
        <v>2.1728091630000002</v>
      </c>
      <c r="AP196">
        <v>2.1667556399999999</v>
      </c>
      <c r="AQ196">
        <v>2.1589444279999999</v>
      </c>
      <c r="AR196">
        <v>2.1466497539999998</v>
      </c>
      <c r="AS196">
        <v>2.1506461109999999</v>
      </c>
      <c r="AT196">
        <v>2.1554705790000002</v>
      </c>
      <c r="AU196">
        <v>2.1597249710000002</v>
      </c>
      <c r="AV196">
        <v>2.1633333549999998</v>
      </c>
      <c r="AW196">
        <v>2.1674430089999999</v>
      </c>
    </row>
    <row r="197" spans="2:49" x14ac:dyDescent="0.25">
      <c r="B197" t="s">
        <v>448</v>
      </c>
      <c r="C197">
        <v>5.5705789795526002</v>
      </c>
      <c r="D197">
        <v>5.6600164269241402</v>
      </c>
      <c r="E197">
        <v>5.7508898210000003</v>
      </c>
      <c r="F197">
        <v>5.8015808900000003</v>
      </c>
      <c r="G197">
        <v>4.8324865880000001</v>
      </c>
      <c r="H197">
        <v>4.2362817780000004</v>
      </c>
      <c r="I197">
        <v>4.2095741799999997</v>
      </c>
      <c r="J197">
        <v>4.0295060769999997</v>
      </c>
      <c r="K197">
        <v>3.8922582480000001</v>
      </c>
      <c r="L197">
        <v>4.1573082860000001</v>
      </c>
      <c r="M197">
        <v>4.2686746409999996</v>
      </c>
      <c r="N197">
        <v>4.3448537590000003</v>
      </c>
      <c r="O197">
        <v>3.42800729</v>
      </c>
      <c r="P197">
        <v>2.8862511359999998</v>
      </c>
      <c r="Q197">
        <v>2.5374132309999999</v>
      </c>
      <c r="R197">
        <v>2.3104779889999998</v>
      </c>
      <c r="S197">
        <v>2.1012811170000001</v>
      </c>
      <c r="T197">
        <v>2.0606107119999999</v>
      </c>
      <c r="U197">
        <v>2.0365315609999999</v>
      </c>
      <c r="V197">
        <v>2.0297752440000001</v>
      </c>
      <c r="W197">
        <v>1.9816224099999999</v>
      </c>
      <c r="X197">
        <v>1.9184824090000001</v>
      </c>
      <c r="Y197">
        <v>1.910409885</v>
      </c>
      <c r="Z197">
        <v>1.9164122100000001</v>
      </c>
      <c r="AA197">
        <v>1.9234897</v>
      </c>
      <c r="AB197">
        <v>1.929220216</v>
      </c>
      <c r="AC197">
        <v>1.93285788</v>
      </c>
      <c r="AD197">
        <v>1.957926799</v>
      </c>
      <c r="AE197">
        <v>1.979350859</v>
      </c>
      <c r="AF197">
        <v>2.001224476</v>
      </c>
      <c r="AG197">
        <v>2.0248217620000002</v>
      </c>
      <c r="AH197">
        <v>2.0467783970000002</v>
      </c>
      <c r="AI197">
        <v>2.0739914339999999</v>
      </c>
      <c r="AJ197">
        <v>2.0994829250000002</v>
      </c>
      <c r="AK197">
        <v>2.124510721</v>
      </c>
      <c r="AL197">
        <v>2.1497420580000002</v>
      </c>
      <c r="AM197">
        <v>2.1749625319999999</v>
      </c>
      <c r="AN197">
        <v>2.1756881890000002</v>
      </c>
      <c r="AO197">
        <v>2.1728091630000002</v>
      </c>
      <c r="AP197">
        <v>2.1667556399999999</v>
      </c>
      <c r="AQ197">
        <v>2.1589444279999999</v>
      </c>
      <c r="AR197">
        <v>2.1466497539999998</v>
      </c>
      <c r="AS197">
        <v>2.1506461109999999</v>
      </c>
      <c r="AT197">
        <v>2.1554705790000002</v>
      </c>
      <c r="AU197">
        <v>2.1597249710000002</v>
      </c>
      <c r="AV197">
        <v>2.1633333549999998</v>
      </c>
      <c r="AW197">
        <v>2.1674430089999999</v>
      </c>
    </row>
    <row r="198" spans="2:49" x14ac:dyDescent="0.25">
      <c r="B198" t="s">
        <v>449</v>
      </c>
      <c r="C198">
        <v>82.165927612137295</v>
      </c>
      <c r="D198">
        <v>83.485128157272499</v>
      </c>
      <c r="E198">
        <v>84.84007794</v>
      </c>
      <c r="F198">
        <v>85.867466149999998</v>
      </c>
      <c r="G198">
        <v>81.756606779999998</v>
      </c>
      <c r="H198">
        <v>79.223561090000004</v>
      </c>
      <c r="I198">
        <v>77.920056349999996</v>
      </c>
      <c r="J198">
        <v>75.37975059</v>
      </c>
      <c r="K198">
        <v>72.612368680000003</v>
      </c>
      <c r="L198">
        <v>70.65645662</v>
      </c>
      <c r="M198">
        <v>70.198699390000002</v>
      </c>
      <c r="N198">
        <v>70.466411660000006</v>
      </c>
      <c r="O198">
        <v>69.008235330000005</v>
      </c>
      <c r="P198">
        <v>66.955603920000001</v>
      </c>
      <c r="Q198">
        <v>64.067131219999894</v>
      </c>
      <c r="R198">
        <v>62.218772610000002</v>
      </c>
      <c r="S198">
        <v>60.52714847</v>
      </c>
      <c r="T198">
        <v>60.553252530000002</v>
      </c>
      <c r="U198">
        <v>60.436870050000003</v>
      </c>
      <c r="V198">
        <v>60.423066290000001</v>
      </c>
      <c r="W198">
        <v>59.980447380000001</v>
      </c>
      <c r="X198">
        <v>59.036265290000003</v>
      </c>
      <c r="Y198">
        <v>58.419546590000003</v>
      </c>
      <c r="Z198">
        <v>58.066865730000004</v>
      </c>
      <c r="AA198">
        <v>57.713033709999998</v>
      </c>
      <c r="AB198">
        <v>57.333276230000003</v>
      </c>
      <c r="AC198">
        <v>56.802162789999997</v>
      </c>
      <c r="AD198">
        <v>56.335567439999998</v>
      </c>
      <c r="AE198">
        <v>55.940605779999999</v>
      </c>
      <c r="AF198">
        <v>55.55396107</v>
      </c>
      <c r="AG198">
        <v>55.165762860000001</v>
      </c>
      <c r="AH198">
        <v>54.776440999999998</v>
      </c>
      <c r="AI198">
        <v>54.46454232</v>
      </c>
      <c r="AJ198">
        <v>54.170366530000003</v>
      </c>
      <c r="AK198">
        <v>53.870217089999997</v>
      </c>
      <c r="AL198">
        <v>53.577722379999997</v>
      </c>
      <c r="AM198">
        <v>53.292509629999998</v>
      </c>
      <c r="AN198">
        <v>52.970005980000003</v>
      </c>
      <c r="AO198">
        <v>52.635860399999999</v>
      </c>
      <c r="AP198">
        <v>52.280039960000003</v>
      </c>
      <c r="AQ198">
        <v>51.919142110000003</v>
      </c>
      <c r="AR198">
        <v>51.500045100000001</v>
      </c>
      <c r="AS198">
        <v>51.247365449999997</v>
      </c>
      <c r="AT198">
        <v>51.007824970000001</v>
      </c>
      <c r="AU198">
        <v>50.7681161</v>
      </c>
      <c r="AV198">
        <v>50.531823289999998</v>
      </c>
      <c r="AW198">
        <v>50.318724420000002</v>
      </c>
    </row>
    <row r="199" spans="2:49" x14ac:dyDescent="0.25">
      <c r="B199" t="s">
        <v>450</v>
      </c>
      <c r="C199">
        <v>0.67805251130835598</v>
      </c>
      <c r="D199">
        <v>0.68893886369971102</v>
      </c>
      <c r="E199">
        <v>0.66742790890000003</v>
      </c>
      <c r="F199">
        <v>1.012728563</v>
      </c>
      <c r="G199">
        <v>1.28706706</v>
      </c>
      <c r="H199">
        <v>1.5617058720000001</v>
      </c>
      <c r="I199">
        <v>1.847019881</v>
      </c>
      <c r="J199">
        <v>2.099669977</v>
      </c>
      <c r="K199">
        <v>2.3272333330000001</v>
      </c>
      <c r="L199">
        <v>2.5638568199999998</v>
      </c>
      <c r="M199">
        <v>2.8471982119999999</v>
      </c>
      <c r="N199">
        <v>3.1615055600000002</v>
      </c>
      <c r="O199">
        <v>3.1557834979999999</v>
      </c>
      <c r="P199">
        <v>3.1234328229999999</v>
      </c>
      <c r="Q199">
        <v>3.0513355519999998</v>
      </c>
      <c r="R199">
        <v>3.0282026100000001</v>
      </c>
      <c r="S199">
        <v>3.013380277</v>
      </c>
      <c r="T199">
        <v>3.1698940210000002</v>
      </c>
      <c r="U199">
        <v>3.312996461</v>
      </c>
      <c r="V199">
        <v>3.4559291440000002</v>
      </c>
      <c r="W199">
        <v>3.4306133230000002</v>
      </c>
      <c r="X199">
        <v>3.3766103300000001</v>
      </c>
      <c r="Y199">
        <v>3.3413367780000001</v>
      </c>
      <c r="Z199">
        <v>3.3211650110000002</v>
      </c>
      <c r="AA199">
        <v>3.3009274020000001</v>
      </c>
      <c r="AB199">
        <v>3.2792069719999999</v>
      </c>
      <c r="AC199">
        <v>3.2488296590000001</v>
      </c>
      <c r="AD199">
        <v>3.2221424920000001</v>
      </c>
      <c r="AE199">
        <v>3.1995524510000002</v>
      </c>
      <c r="AF199">
        <v>3.1774381030000001</v>
      </c>
      <c r="AG199">
        <v>3.1552349020000001</v>
      </c>
      <c r="AH199">
        <v>3.1329674330000001</v>
      </c>
      <c r="AI199">
        <v>3.1151282230000001</v>
      </c>
      <c r="AJ199">
        <v>3.0983026840000001</v>
      </c>
      <c r="AK199">
        <v>3.0811354780000002</v>
      </c>
      <c r="AL199">
        <v>3.0644060890000002</v>
      </c>
      <c r="AM199">
        <v>3.0480931949999999</v>
      </c>
      <c r="AN199">
        <v>3.0296474290000002</v>
      </c>
      <c r="AO199">
        <v>3.0105357970000002</v>
      </c>
      <c r="AP199">
        <v>2.990184459</v>
      </c>
      <c r="AQ199">
        <v>2.9695427159999999</v>
      </c>
      <c r="AR199">
        <v>2.9455722419999999</v>
      </c>
      <c r="AS199">
        <v>2.9311200949999998</v>
      </c>
      <c r="AT199">
        <v>2.9174194510000002</v>
      </c>
      <c r="AU199">
        <v>2.903709176</v>
      </c>
      <c r="AV199">
        <v>2.8901942840000001</v>
      </c>
      <c r="AW199">
        <v>2.8780059819999999</v>
      </c>
    </row>
    <row r="200" spans="2:49" x14ac:dyDescent="0.25">
      <c r="B200" t="s">
        <v>451</v>
      </c>
      <c r="C200">
        <v>82.165927612137295</v>
      </c>
      <c r="D200">
        <v>83.485128157272499</v>
      </c>
      <c r="E200">
        <v>84.84007794</v>
      </c>
      <c r="F200">
        <v>85.867466149999998</v>
      </c>
      <c r="G200">
        <v>81.756606779999998</v>
      </c>
      <c r="H200">
        <v>79.223561090000004</v>
      </c>
      <c r="I200">
        <v>77.920056349999996</v>
      </c>
      <c r="J200">
        <v>75.37975059</v>
      </c>
      <c r="K200">
        <v>72.612368680000003</v>
      </c>
      <c r="L200">
        <v>70.65645662</v>
      </c>
      <c r="M200">
        <v>70.198699390000002</v>
      </c>
      <c r="N200">
        <v>70.466411660000006</v>
      </c>
      <c r="O200">
        <v>69.008235330000005</v>
      </c>
      <c r="P200">
        <v>66.955603920000001</v>
      </c>
      <c r="Q200">
        <v>64.067131219999894</v>
      </c>
      <c r="R200">
        <v>62.218772610000002</v>
      </c>
      <c r="S200">
        <v>60.52714847</v>
      </c>
      <c r="T200">
        <v>60.553252530000002</v>
      </c>
      <c r="U200">
        <v>60.436870050000003</v>
      </c>
      <c r="V200">
        <v>60.423066290000001</v>
      </c>
      <c r="W200">
        <v>59.980447380000001</v>
      </c>
      <c r="X200">
        <v>59.036265290000003</v>
      </c>
      <c r="Y200">
        <v>58.419546590000003</v>
      </c>
      <c r="Z200">
        <v>58.066865730000004</v>
      </c>
      <c r="AA200">
        <v>57.713033709999998</v>
      </c>
      <c r="AB200">
        <v>57.333276230000003</v>
      </c>
      <c r="AC200">
        <v>56.802162789999997</v>
      </c>
      <c r="AD200">
        <v>56.335567439999998</v>
      </c>
      <c r="AE200">
        <v>55.940605779999999</v>
      </c>
      <c r="AF200">
        <v>55.55396107</v>
      </c>
      <c r="AG200">
        <v>55.165762860000001</v>
      </c>
      <c r="AH200">
        <v>54.776440999999998</v>
      </c>
      <c r="AI200">
        <v>54.46454232</v>
      </c>
      <c r="AJ200">
        <v>54.170366530000003</v>
      </c>
      <c r="AK200">
        <v>53.870217089999997</v>
      </c>
      <c r="AL200">
        <v>53.577722379999997</v>
      </c>
      <c r="AM200">
        <v>53.292509629999998</v>
      </c>
      <c r="AN200">
        <v>52.970005980000003</v>
      </c>
      <c r="AO200">
        <v>52.635860399999999</v>
      </c>
      <c r="AP200">
        <v>52.280039960000003</v>
      </c>
      <c r="AQ200">
        <v>51.919142110000003</v>
      </c>
      <c r="AR200">
        <v>51.500045100000001</v>
      </c>
      <c r="AS200">
        <v>51.247365449999997</v>
      </c>
      <c r="AT200">
        <v>51.007824970000001</v>
      </c>
      <c r="AU200">
        <v>50.7681161</v>
      </c>
      <c r="AV200">
        <v>50.531823289999998</v>
      </c>
      <c r="AW200">
        <v>50.318724420000002</v>
      </c>
    </row>
    <row r="201" spans="2:49" x14ac:dyDescent="0.25">
      <c r="B201" t="s">
        <v>452</v>
      </c>
      <c r="C201">
        <v>0.67805251130835598</v>
      </c>
      <c r="D201">
        <v>0.68893886369971102</v>
      </c>
      <c r="E201">
        <v>0.66742790890000003</v>
      </c>
      <c r="F201">
        <v>1.012728563</v>
      </c>
      <c r="G201">
        <v>1.28706706</v>
      </c>
      <c r="H201">
        <v>1.5617058720000001</v>
      </c>
      <c r="I201">
        <v>1.847019881</v>
      </c>
      <c r="J201">
        <v>2.099669977</v>
      </c>
      <c r="K201">
        <v>2.3272333330000001</v>
      </c>
      <c r="L201">
        <v>2.5638568199999998</v>
      </c>
      <c r="M201">
        <v>2.8471982119999999</v>
      </c>
      <c r="N201">
        <v>3.1615055600000002</v>
      </c>
      <c r="O201">
        <v>3.1557834979999999</v>
      </c>
      <c r="P201">
        <v>3.1234328229999999</v>
      </c>
      <c r="Q201">
        <v>3.0513355519999998</v>
      </c>
      <c r="R201">
        <v>3.0282026100000001</v>
      </c>
      <c r="S201">
        <v>3.013380277</v>
      </c>
      <c r="T201">
        <v>3.1698940210000002</v>
      </c>
      <c r="U201">
        <v>3.312996461</v>
      </c>
      <c r="V201">
        <v>3.4559291440000002</v>
      </c>
      <c r="W201">
        <v>3.4306133230000002</v>
      </c>
      <c r="X201">
        <v>3.3766103300000001</v>
      </c>
      <c r="Y201">
        <v>3.3413367780000001</v>
      </c>
      <c r="Z201">
        <v>3.3211650110000002</v>
      </c>
      <c r="AA201">
        <v>3.3009274020000001</v>
      </c>
      <c r="AB201">
        <v>3.2792069719999999</v>
      </c>
      <c r="AC201">
        <v>3.2488296590000001</v>
      </c>
      <c r="AD201">
        <v>3.2221424920000001</v>
      </c>
      <c r="AE201">
        <v>3.1995524510000002</v>
      </c>
      <c r="AF201">
        <v>3.1774381030000001</v>
      </c>
      <c r="AG201">
        <v>3.1552349020000001</v>
      </c>
      <c r="AH201">
        <v>3.1329674330000001</v>
      </c>
      <c r="AI201">
        <v>3.1151282230000001</v>
      </c>
      <c r="AJ201">
        <v>3.0983026840000001</v>
      </c>
      <c r="AK201">
        <v>3.0811354780000002</v>
      </c>
      <c r="AL201">
        <v>3.0644060890000002</v>
      </c>
      <c r="AM201">
        <v>3.0480931949999999</v>
      </c>
      <c r="AN201">
        <v>3.0296474290000002</v>
      </c>
      <c r="AO201">
        <v>3.0105357970000002</v>
      </c>
      <c r="AP201">
        <v>2.990184459</v>
      </c>
      <c r="AQ201">
        <v>2.9695427159999999</v>
      </c>
      <c r="AR201">
        <v>2.9455722419999999</v>
      </c>
      <c r="AS201">
        <v>2.9311200949999998</v>
      </c>
      <c r="AT201">
        <v>2.9174194510000002</v>
      </c>
      <c r="AU201">
        <v>2.903709176</v>
      </c>
      <c r="AV201">
        <v>2.8901942840000001</v>
      </c>
      <c r="AW201">
        <v>2.8780059819999999</v>
      </c>
    </row>
    <row r="202" spans="2:49" x14ac:dyDescent="0.25">
      <c r="B202" t="s">
        <v>453</v>
      </c>
      <c r="C202">
        <v>114.221490567207</v>
      </c>
      <c r="D202">
        <v>116.055353544252</v>
      </c>
      <c r="E202">
        <v>118.4720543</v>
      </c>
      <c r="F202">
        <v>123.7764739</v>
      </c>
      <c r="G202">
        <v>128.4778666</v>
      </c>
      <c r="H202">
        <v>122.46467250000001</v>
      </c>
      <c r="I202">
        <v>129.2057921</v>
      </c>
      <c r="J202">
        <v>131.29348289999999</v>
      </c>
      <c r="K202">
        <v>131.1576139</v>
      </c>
      <c r="L202">
        <v>129.3418686</v>
      </c>
      <c r="M202">
        <v>127.4633855</v>
      </c>
      <c r="N202">
        <v>123.9363709</v>
      </c>
      <c r="O202">
        <v>116.7247259</v>
      </c>
      <c r="P202">
        <v>113.9230293</v>
      </c>
      <c r="Q202">
        <v>112.53771639999999</v>
      </c>
      <c r="R202">
        <v>108.1948385</v>
      </c>
      <c r="S202">
        <v>103.46436180000001</v>
      </c>
      <c r="T202">
        <v>101.4106618</v>
      </c>
      <c r="U202">
        <v>99.570109340000002</v>
      </c>
      <c r="V202">
        <v>97.972637719999994</v>
      </c>
      <c r="W202">
        <v>103.5300185</v>
      </c>
      <c r="X202">
        <v>109.3443248</v>
      </c>
      <c r="Y202">
        <v>111.7707604</v>
      </c>
      <c r="Z202">
        <v>113.75974530000001</v>
      </c>
      <c r="AA202">
        <v>115.67625769999999</v>
      </c>
      <c r="AB202">
        <v>117.2436525</v>
      </c>
      <c r="AC202">
        <v>118.9995546</v>
      </c>
      <c r="AD202">
        <v>119.3176318</v>
      </c>
      <c r="AE202">
        <v>119.5915535</v>
      </c>
      <c r="AF202">
        <v>119.8455309</v>
      </c>
      <c r="AG202">
        <v>120.0414428</v>
      </c>
      <c r="AH202">
        <v>120.3736938</v>
      </c>
      <c r="AI202">
        <v>120.6635124</v>
      </c>
      <c r="AJ202">
        <v>120.9125227</v>
      </c>
      <c r="AK202">
        <v>121.1203701</v>
      </c>
      <c r="AL202">
        <v>121.32241550000001</v>
      </c>
      <c r="AM202">
        <v>121.51009070000001</v>
      </c>
      <c r="AN202">
        <v>121.64394679999999</v>
      </c>
      <c r="AO202">
        <v>121.768006</v>
      </c>
      <c r="AP202">
        <v>121.8736143</v>
      </c>
      <c r="AQ202">
        <v>121.9480586</v>
      </c>
      <c r="AR202">
        <v>122.1200923</v>
      </c>
      <c r="AS202">
        <v>122.5214565</v>
      </c>
      <c r="AT202">
        <v>122.8824729</v>
      </c>
      <c r="AU202">
        <v>123.2223305</v>
      </c>
      <c r="AV202">
        <v>123.5509369</v>
      </c>
      <c r="AW202">
        <v>123.91255200000001</v>
      </c>
    </row>
    <row r="203" spans="2:49" x14ac:dyDescent="0.25">
      <c r="B203" t="s">
        <v>454</v>
      </c>
      <c r="C203">
        <v>1.2736350545564401</v>
      </c>
      <c r="D203">
        <v>1.2940836773262701</v>
      </c>
      <c r="E203">
        <v>1.321031276</v>
      </c>
      <c r="F203">
        <v>1.305717317</v>
      </c>
      <c r="G203">
        <v>1.282218214</v>
      </c>
      <c r="H203">
        <v>1.156314313</v>
      </c>
      <c r="I203">
        <v>1.154217268</v>
      </c>
      <c r="J203">
        <v>1.0852763080000001</v>
      </c>
      <c r="K203">
        <v>1.0033692249999999</v>
      </c>
      <c r="L203">
        <v>0.91595645329999997</v>
      </c>
      <c r="M203">
        <v>0.83580366959999997</v>
      </c>
      <c r="N203">
        <v>0.75271214379999996</v>
      </c>
      <c r="O203">
        <v>0.65039897209999997</v>
      </c>
      <c r="P203">
        <v>0.57370511550000003</v>
      </c>
      <c r="Q203">
        <v>0.5019780694</v>
      </c>
      <c r="R203">
        <v>0.41556582460000002</v>
      </c>
      <c r="S203">
        <v>0.32808931889999998</v>
      </c>
      <c r="T203">
        <v>0.43317480390000002</v>
      </c>
      <c r="U203">
        <v>0.54108923779999996</v>
      </c>
      <c r="V203">
        <v>0.65272665129999996</v>
      </c>
      <c r="W203">
        <v>0.68975179060000003</v>
      </c>
      <c r="X203">
        <v>0.72848865370000004</v>
      </c>
      <c r="Y203">
        <v>0.74465438340000001</v>
      </c>
      <c r="Z203">
        <v>0.75790566950000005</v>
      </c>
      <c r="AA203">
        <v>0.77067411959999998</v>
      </c>
      <c r="AB203">
        <v>0.78111663070000004</v>
      </c>
      <c r="AC203">
        <v>0.79281504059999997</v>
      </c>
      <c r="AD203">
        <v>0.79493417840000002</v>
      </c>
      <c r="AE203">
        <v>0.79675913679999999</v>
      </c>
      <c r="AF203">
        <v>0.79845121939999997</v>
      </c>
      <c r="AG203">
        <v>0.79975645049999999</v>
      </c>
      <c r="AH203">
        <v>0.80197001859999995</v>
      </c>
      <c r="AI203">
        <v>0.80390088729999998</v>
      </c>
      <c r="AJ203">
        <v>0.80555987760000003</v>
      </c>
      <c r="AK203">
        <v>0.80694462710000003</v>
      </c>
      <c r="AL203">
        <v>0.80829072130000001</v>
      </c>
      <c r="AM203">
        <v>0.80954107610000003</v>
      </c>
      <c r="AN203">
        <v>0.81043287060000002</v>
      </c>
      <c r="AO203">
        <v>0.81125939489999999</v>
      </c>
      <c r="AP203">
        <v>0.81196299319999998</v>
      </c>
      <c r="AQ203">
        <v>0.812458966</v>
      </c>
      <c r="AR203">
        <v>0.81360511199999996</v>
      </c>
      <c r="AS203">
        <v>0.81627913510000005</v>
      </c>
      <c r="AT203">
        <v>0.81868434779999999</v>
      </c>
      <c r="AU203">
        <v>0.82094859350000005</v>
      </c>
      <c r="AV203">
        <v>0.82313788030000001</v>
      </c>
      <c r="AW203">
        <v>0.82554708160000001</v>
      </c>
    </row>
    <row r="204" spans="2:49" x14ac:dyDescent="0.25">
      <c r="B204" t="s">
        <v>455</v>
      </c>
      <c r="C204">
        <v>3.4574974609126801</v>
      </c>
      <c r="D204">
        <v>3.51300870100687</v>
      </c>
      <c r="E204">
        <v>3.5861625080000001</v>
      </c>
      <c r="F204">
        <v>3.7266675560000002</v>
      </c>
      <c r="G204">
        <v>3.8477228349999999</v>
      </c>
      <c r="H204">
        <v>3.6484212110000001</v>
      </c>
      <c r="I204">
        <v>3.82932184</v>
      </c>
      <c r="J204">
        <v>3.9653308269999998</v>
      </c>
      <c r="K204">
        <v>4.0428751869999999</v>
      </c>
      <c r="L204">
        <v>4.0746349759999996</v>
      </c>
      <c r="M204">
        <v>4.1088120400000001</v>
      </c>
      <c r="N204">
        <v>4.0924520199999996</v>
      </c>
      <c r="O204">
        <v>4.3060612440000003</v>
      </c>
      <c r="P204">
        <v>4.6769792959999998</v>
      </c>
      <c r="Q204">
        <v>5.1256665249999998</v>
      </c>
      <c r="R204">
        <v>5.4541374820000001</v>
      </c>
      <c r="S204">
        <v>5.7625902069999997</v>
      </c>
      <c r="T204">
        <v>5.4711711699999999</v>
      </c>
      <c r="U204">
        <v>5.1912498820000001</v>
      </c>
      <c r="V204">
        <v>4.9232193669999997</v>
      </c>
      <c r="W204">
        <v>5.2024831020000004</v>
      </c>
      <c r="X204">
        <v>5.494657589</v>
      </c>
      <c r="Y204">
        <v>5.6165883140000004</v>
      </c>
      <c r="Z204">
        <v>5.7165367199999997</v>
      </c>
      <c r="AA204">
        <v>5.8128433140000002</v>
      </c>
      <c r="AB204">
        <v>5.8916064119999998</v>
      </c>
      <c r="AC204">
        <v>5.9798421810000004</v>
      </c>
      <c r="AD204">
        <v>5.9958258710000001</v>
      </c>
      <c r="AE204">
        <v>6.0095906990000003</v>
      </c>
      <c r="AF204">
        <v>6.0223533070000004</v>
      </c>
      <c r="AG204">
        <v>6.0321980689999997</v>
      </c>
      <c r="AH204">
        <v>6.0488940040000001</v>
      </c>
      <c r="AI204">
        <v>6.0634576649999996</v>
      </c>
      <c r="AJ204">
        <v>6.0759706720000004</v>
      </c>
      <c r="AK204">
        <v>6.0864152059999999</v>
      </c>
      <c r="AL204">
        <v>6.0965681810000003</v>
      </c>
      <c r="AM204">
        <v>6.1059990370000001</v>
      </c>
      <c r="AN204">
        <v>6.1127254349999998</v>
      </c>
      <c r="AO204">
        <v>6.1189595309999998</v>
      </c>
      <c r="AP204">
        <v>6.1242664519999996</v>
      </c>
      <c r="AQ204">
        <v>6.1280073489999998</v>
      </c>
      <c r="AR204">
        <v>6.1366522059999999</v>
      </c>
      <c r="AS204">
        <v>6.1568211420000001</v>
      </c>
      <c r="AT204">
        <v>6.1749625640000003</v>
      </c>
      <c r="AU204">
        <v>6.1920407370000001</v>
      </c>
      <c r="AV204">
        <v>6.2085535280000004</v>
      </c>
      <c r="AW204">
        <v>6.2267250340000002</v>
      </c>
    </row>
    <row r="205" spans="2:49" x14ac:dyDescent="0.25">
      <c r="B205" t="s">
        <v>456</v>
      </c>
      <c r="C205">
        <v>5.0750954082325404</v>
      </c>
      <c r="D205">
        <v>5.1565777065978304</v>
      </c>
      <c r="E205">
        <v>5.2639566870000003</v>
      </c>
      <c r="F205">
        <v>5.0567066860000001</v>
      </c>
      <c r="G205">
        <v>4.8261401839999998</v>
      </c>
      <c r="H205">
        <v>4.2299310060000002</v>
      </c>
      <c r="I205">
        <v>4.1035935769999998</v>
      </c>
      <c r="J205">
        <v>4.0052172029999999</v>
      </c>
      <c r="K205">
        <v>3.8490389029999998</v>
      </c>
      <c r="L205">
        <v>3.656585143</v>
      </c>
      <c r="M205">
        <v>3.4756695</v>
      </c>
      <c r="N205">
        <v>3.2632691469999999</v>
      </c>
      <c r="O205">
        <v>2.7172725889999998</v>
      </c>
      <c r="P205">
        <v>2.2810378999999998</v>
      </c>
      <c r="Q205">
        <v>1.860764809</v>
      </c>
      <c r="R205">
        <v>1.3833052320000001</v>
      </c>
      <c r="S205">
        <v>0.90422958679999998</v>
      </c>
      <c r="T205">
        <v>0.85863076569999996</v>
      </c>
      <c r="U205">
        <v>0.81476638140000002</v>
      </c>
      <c r="V205">
        <v>0.7726991808</v>
      </c>
      <c r="W205">
        <v>0.81652961850000005</v>
      </c>
      <c r="X205">
        <v>0.86238639839999998</v>
      </c>
      <c r="Y205">
        <v>0.88152342319999999</v>
      </c>
      <c r="Z205">
        <v>0.89721032349999996</v>
      </c>
      <c r="AA205">
        <v>0.91232564149999995</v>
      </c>
      <c r="AB205">
        <v>0.9246875081</v>
      </c>
      <c r="AC205">
        <v>0.93853611029999995</v>
      </c>
      <c r="AD205">
        <v>0.94104475009999999</v>
      </c>
      <c r="AE205">
        <v>0.94320513969999997</v>
      </c>
      <c r="AF205">
        <v>0.94520823060000003</v>
      </c>
      <c r="AG205">
        <v>0.94675336590000003</v>
      </c>
      <c r="AH205">
        <v>0.94937379249999998</v>
      </c>
      <c r="AI205">
        <v>0.95165955889999998</v>
      </c>
      <c r="AJ205">
        <v>0.95362347510000001</v>
      </c>
      <c r="AK205">
        <v>0.95526274450000004</v>
      </c>
      <c r="AL205">
        <v>0.95685625370000005</v>
      </c>
      <c r="AM205">
        <v>0.95833642630000004</v>
      </c>
      <c r="AN205">
        <v>0.95939213440000004</v>
      </c>
      <c r="AO205">
        <v>0.96037057569999995</v>
      </c>
      <c r="AP205">
        <v>0.96120349679999995</v>
      </c>
      <c r="AQ205">
        <v>0.96179063040000001</v>
      </c>
      <c r="AR205">
        <v>0.96314744050000001</v>
      </c>
      <c r="AS205">
        <v>0.9663129547</v>
      </c>
      <c r="AT205">
        <v>0.96916025049999999</v>
      </c>
      <c r="AU205">
        <v>0.97184066930000002</v>
      </c>
      <c r="AV205">
        <v>0.97443235159999997</v>
      </c>
      <c r="AW205">
        <v>0.97728436919999995</v>
      </c>
    </row>
    <row r="206" spans="2:49" x14ac:dyDescent="0.25">
      <c r="B206" t="s">
        <v>457</v>
      </c>
      <c r="C206">
        <v>0.35516190417563898</v>
      </c>
      <c r="D206">
        <v>0.36086414342755202</v>
      </c>
      <c r="E206">
        <v>0.36837866679999998</v>
      </c>
      <c r="F206">
        <v>0.78080376679999997</v>
      </c>
      <c r="G206">
        <v>1.170857354</v>
      </c>
      <c r="H206">
        <v>1.411658198</v>
      </c>
      <c r="I206">
        <v>1.7500024830000001</v>
      </c>
      <c r="J206">
        <v>2.0658160099999998</v>
      </c>
      <c r="K206">
        <v>2.3077534470000001</v>
      </c>
      <c r="L206">
        <v>2.4624630750000001</v>
      </c>
      <c r="M206">
        <v>2.5424155100000001</v>
      </c>
      <c r="N206">
        <v>2.4987876390000001</v>
      </c>
      <c r="O206">
        <v>2.6577270710000001</v>
      </c>
      <c r="P206">
        <v>2.9149415940000001</v>
      </c>
      <c r="Q206">
        <v>3.2232104619999999</v>
      </c>
      <c r="R206">
        <v>3.458163104</v>
      </c>
      <c r="S206">
        <v>3.6819429349999999</v>
      </c>
      <c r="T206">
        <v>3.834726598</v>
      </c>
      <c r="U206">
        <v>3.9939679890000002</v>
      </c>
      <c r="V206">
        <v>4.162361347</v>
      </c>
      <c r="W206">
        <v>4.3984663209999999</v>
      </c>
      <c r="X206">
        <v>4.6454867560000004</v>
      </c>
      <c r="Y206">
        <v>4.7485737200000004</v>
      </c>
      <c r="Z206">
        <v>4.8330756179999996</v>
      </c>
      <c r="AA206">
        <v>4.9144985280000002</v>
      </c>
      <c r="AB206">
        <v>4.9810891970000002</v>
      </c>
      <c r="AC206">
        <v>5.0556885859999996</v>
      </c>
      <c r="AD206">
        <v>5.0692020790000001</v>
      </c>
      <c r="AE206">
        <v>5.0808396250000003</v>
      </c>
      <c r="AF206">
        <v>5.0916298370000002</v>
      </c>
      <c r="AG206">
        <v>5.0999531429999996</v>
      </c>
      <c r="AH206">
        <v>5.1140688069999998</v>
      </c>
      <c r="AI206">
        <v>5.1263817310000004</v>
      </c>
      <c r="AJ206">
        <v>5.1369609169999997</v>
      </c>
      <c r="AK206">
        <v>5.1457913030000002</v>
      </c>
      <c r="AL206">
        <v>5.1543751880000004</v>
      </c>
      <c r="AM206">
        <v>5.1623485540000003</v>
      </c>
      <c r="AN206">
        <v>5.168035422</v>
      </c>
      <c r="AO206">
        <v>5.1733060709999998</v>
      </c>
      <c r="AP206">
        <v>5.177792835</v>
      </c>
      <c r="AQ206">
        <v>5.1809555950000004</v>
      </c>
      <c r="AR206">
        <v>5.1882644339999997</v>
      </c>
      <c r="AS206">
        <v>5.2053163659999999</v>
      </c>
      <c r="AT206">
        <v>5.2206541260000003</v>
      </c>
      <c r="AU206">
        <v>5.2350929549999998</v>
      </c>
      <c r="AV206">
        <v>5.2490537799999997</v>
      </c>
      <c r="AW206">
        <v>5.2644169749999996</v>
      </c>
    </row>
    <row r="207" spans="2:49" x14ac:dyDescent="0.25">
      <c r="B207" t="s">
        <v>458</v>
      </c>
      <c r="C207">
        <v>7.99114284395189E-2</v>
      </c>
      <c r="D207">
        <v>8.1194432271199296E-2</v>
      </c>
      <c r="E207">
        <v>8.2885200000000006E-2</v>
      </c>
      <c r="F207">
        <v>0.1125832751</v>
      </c>
      <c r="G207">
        <v>0.15189998139999999</v>
      </c>
      <c r="H207">
        <v>0.1881720318</v>
      </c>
      <c r="I207">
        <v>0.25796727219999999</v>
      </c>
      <c r="J207">
        <v>0.35367205330000001</v>
      </c>
      <c r="K207">
        <v>0.47639257680000002</v>
      </c>
      <c r="L207">
        <v>0.63318363950000001</v>
      </c>
      <c r="M207">
        <v>0.84073713729999999</v>
      </c>
      <c r="N207">
        <v>1.101228527</v>
      </c>
      <c r="O207">
        <v>1.17127395</v>
      </c>
      <c r="P207">
        <v>1.2846297090000001</v>
      </c>
      <c r="Q207">
        <v>1.4204853799999999</v>
      </c>
      <c r="R207">
        <v>1.5240302139999999</v>
      </c>
      <c r="S207">
        <v>1.622651133</v>
      </c>
      <c r="T207">
        <v>1.6667567029999999</v>
      </c>
      <c r="U207">
        <v>1.713829171</v>
      </c>
      <c r="V207">
        <v>1.7648883719999999</v>
      </c>
      <c r="W207">
        <v>1.8649995559999999</v>
      </c>
      <c r="X207">
        <v>1.9697390189999999</v>
      </c>
      <c r="Y207">
        <v>2.0134490600000001</v>
      </c>
      <c r="Z207">
        <v>2.0492788219999998</v>
      </c>
      <c r="AA207">
        <v>2.083803058</v>
      </c>
      <c r="AB207">
        <v>2.1120382559999999</v>
      </c>
      <c r="AC207">
        <v>2.1436692420000001</v>
      </c>
      <c r="AD207">
        <v>2.1493991170000002</v>
      </c>
      <c r="AE207">
        <v>2.1543335680000002</v>
      </c>
      <c r="AF207">
        <v>2.1589087400000002</v>
      </c>
      <c r="AG207">
        <v>2.162437916</v>
      </c>
      <c r="AH207">
        <v>2.1684231180000002</v>
      </c>
      <c r="AI207">
        <v>2.173643937</v>
      </c>
      <c r="AJ207">
        <v>2.1781296320000001</v>
      </c>
      <c r="AK207">
        <v>2.1818738149999999</v>
      </c>
      <c r="AL207">
        <v>2.18551348</v>
      </c>
      <c r="AM207">
        <v>2.1888942770000002</v>
      </c>
      <c r="AN207">
        <v>2.1913055739999998</v>
      </c>
      <c r="AO207">
        <v>2.1935403889999998</v>
      </c>
      <c r="AP207">
        <v>2.1954428269999999</v>
      </c>
      <c r="AQ207">
        <v>2.1967838739999999</v>
      </c>
      <c r="AR207">
        <v>2.1998829039999999</v>
      </c>
      <c r="AS207">
        <v>2.207113117</v>
      </c>
      <c r="AT207">
        <v>2.2136165000000001</v>
      </c>
      <c r="AU207">
        <v>2.2197387279999998</v>
      </c>
      <c r="AV207">
        <v>2.2256582759999999</v>
      </c>
      <c r="AW207">
        <v>2.2321724440000001</v>
      </c>
    </row>
    <row r="208" spans="2:49" x14ac:dyDescent="0.25">
      <c r="B208" t="s">
        <v>459</v>
      </c>
      <c r="C208">
        <v>4.4799793836545803</v>
      </c>
      <c r="D208">
        <v>4.5519069017495504</v>
      </c>
      <c r="E208">
        <v>4.6466944039999998</v>
      </c>
      <c r="F208">
        <v>4.593597183</v>
      </c>
      <c r="G208">
        <v>4.5112032329999998</v>
      </c>
      <c r="H208">
        <v>4.0680848300000001</v>
      </c>
      <c r="I208">
        <v>4.0601799410000003</v>
      </c>
      <c r="J208">
        <v>3.9715410850000001</v>
      </c>
      <c r="K208">
        <v>3.824114716</v>
      </c>
      <c r="L208">
        <v>3.6395417170000002</v>
      </c>
      <c r="M208">
        <v>3.465708335</v>
      </c>
      <c r="N208">
        <v>3.2599771780000002</v>
      </c>
      <c r="O208">
        <v>3.4719637369999998</v>
      </c>
      <c r="P208">
        <v>3.8130451920000001</v>
      </c>
      <c r="Q208">
        <v>4.2218789149999996</v>
      </c>
      <c r="R208">
        <v>4.5356060920000001</v>
      </c>
      <c r="S208">
        <v>4.8354556579999999</v>
      </c>
      <c r="T208">
        <v>5.015557641</v>
      </c>
      <c r="U208">
        <v>5.2044949689999997</v>
      </c>
      <c r="V208">
        <v>5.4056572320000003</v>
      </c>
      <c r="W208">
        <v>5.712286679</v>
      </c>
      <c r="X208">
        <v>6.033092033</v>
      </c>
      <c r="Y208">
        <v>6.1669710359999996</v>
      </c>
      <c r="Z208">
        <v>6.2767136219999999</v>
      </c>
      <c r="AA208">
        <v>6.3824575269999997</v>
      </c>
      <c r="AB208">
        <v>6.4689388049999996</v>
      </c>
      <c r="AC208">
        <v>6.5658210060000002</v>
      </c>
      <c r="AD208">
        <v>6.5833709750000002</v>
      </c>
      <c r="AE208">
        <v>6.5984846519999998</v>
      </c>
      <c r="AF208">
        <v>6.6124978969999999</v>
      </c>
      <c r="AG208">
        <v>6.6233073710000001</v>
      </c>
      <c r="AH208">
        <v>6.6416393789999999</v>
      </c>
      <c r="AI208">
        <v>6.6576301679999998</v>
      </c>
      <c r="AJ208">
        <v>6.6713693540000003</v>
      </c>
      <c r="AK208">
        <v>6.6828373729999999</v>
      </c>
      <c r="AL208">
        <v>6.6939852609999999</v>
      </c>
      <c r="AM208">
        <v>6.7043402690000002</v>
      </c>
      <c r="AN208">
        <v>6.7117258030000002</v>
      </c>
      <c r="AO208">
        <v>6.7185707929999996</v>
      </c>
      <c r="AP208">
        <v>6.7243977519999998</v>
      </c>
      <c r="AQ208">
        <v>6.7285052270000003</v>
      </c>
      <c r="AR208">
        <v>6.737997214</v>
      </c>
      <c r="AS208">
        <v>6.7601425519999996</v>
      </c>
      <c r="AT208">
        <v>6.7800616949999997</v>
      </c>
      <c r="AU208">
        <v>6.7988133980000001</v>
      </c>
      <c r="AV208">
        <v>6.8169443159999998</v>
      </c>
      <c r="AW208">
        <v>6.8368964920000002</v>
      </c>
    </row>
    <row r="209" spans="2:49" x14ac:dyDescent="0.25">
      <c r="B209" t="s">
        <v>460</v>
      </c>
      <c r="C209">
        <v>1.4169855567767899</v>
      </c>
      <c r="D209">
        <v>1.4397357182278101</v>
      </c>
      <c r="E209">
        <v>1.46971633</v>
      </c>
      <c r="F209">
        <v>1.7278561859999999</v>
      </c>
      <c r="G209">
        <v>2.0179872620000001</v>
      </c>
      <c r="H209">
        <v>2.1641642619999999</v>
      </c>
      <c r="I209">
        <v>2.5687351039999999</v>
      </c>
      <c r="J209">
        <v>2.8595821369999999</v>
      </c>
      <c r="K209">
        <v>3.1283303990000002</v>
      </c>
      <c r="L209">
        <v>3.3774767040000002</v>
      </c>
      <c r="M209">
        <v>3.6431686910000001</v>
      </c>
      <c r="N209">
        <v>3.8767476109999999</v>
      </c>
      <c r="O209">
        <v>3.531079332</v>
      </c>
      <c r="P209">
        <v>3.3223432079999999</v>
      </c>
      <c r="Q209">
        <v>3.1519448250000002</v>
      </c>
      <c r="R209">
        <v>2.8971572160000001</v>
      </c>
      <c r="S209">
        <v>2.6342868890000002</v>
      </c>
      <c r="T209">
        <v>2.7555140260000002</v>
      </c>
      <c r="U209">
        <v>2.882150609</v>
      </c>
      <c r="V209">
        <v>3.0162084010000001</v>
      </c>
      <c r="W209">
        <v>3.1872992180000002</v>
      </c>
      <c r="X209">
        <v>3.3662998019999999</v>
      </c>
      <c r="Y209">
        <v>3.4410006119999998</v>
      </c>
      <c r="Z209">
        <v>3.5022339640000002</v>
      </c>
      <c r="AA209">
        <v>3.5612361610000001</v>
      </c>
      <c r="AB209">
        <v>3.6094903409999999</v>
      </c>
      <c r="AC209">
        <v>3.663547951</v>
      </c>
      <c r="AD209">
        <v>3.6733403519999999</v>
      </c>
      <c r="AE209">
        <v>3.681773368</v>
      </c>
      <c r="AF209">
        <v>3.6895923750000001</v>
      </c>
      <c r="AG209">
        <v>3.6956237650000001</v>
      </c>
      <c r="AH209">
        <v>3.7058525219999998</v>
      </c>
      <c r="AI209">
        <v>3.7147749440000002</v>
      </c>
      <c r="AJ209">
        <v>3.722441033</v>
      </c>
      <c r="AK209">
        <v>3.728839872</v>
      </c>
      <c r="AL209">
        <v>3.735060088</v>
      </c>
      <c r="AM209">
        <v>3.7408378980000001</v>
      </c>
      <c r="AN209">
        <v>3.7449588239999998</v>
      </c>
      <c r="AO209">
        <v>3.7487781400000002</v>
      </c>
      <c r="AP209">
        <v>3.7520294230000002</v>
      </c>
      <c r="AQ209">
        <v>3.7543212819999998</v>
      </c>
      <c r="AR209">
        <v>3.7596175500000002</v>
      </c>
      <c r="AS209">
        <v>3.771974041</v>
      </c>
      <c r="AT209">
        <v>3.7830883759999998</v>
      </c>
      <c r="AU209">
        <v>3.793551312</v>
      </c>
      <c r="AV209">
        <v>3.8036678670000001</v>
      </c>
      <c r="AW209">
        <v>3.8148006329999999</v>
      </c>
    </row>
    <row r="210" spans="2:49" x14ac:dyDescent="0.25">
      <c r="B210" t="s">
        <v>461</v>
      </c>
      <c r="C210">
        <v>114.221490567207</v>
      </c>
      <c r="D210">
        <v>116.055353544252</v>
      </c>
      <c r="E210">
        <v>118.4720543</v>
      </c>
      <c r="F210">
        <v>123.7764739</v>
      </c>
      <c r="G210">
        <v>128.4778666</v>
      </c>
      <c r="H210">
        <v>122.46467250000001</v>
      </c>
      <c r="I210">
        <v>129.2057921</v>
      </c>
      <c r="J210">
        <v>131.29348289999999</v>
      </c>
      <c r="K210">
        <v>131.1576139</v>
      </c>
      <c r="L210">
        <v>129.3418686</v>
      </c>
      <c r="M210">
        <v>127.4633855</v>
      </c>
      <c r="N210">
        <v>123.9363709</v>
      </c>
      <c r="O210">
        <v>116.7247259</v>
      </c>
      <c r="P210">
        <v>113.9230293</v>
      </c>
      <c r="Q210">
        <v>112.53771639999999</v>
      </c>
      <c r="R210">
        <v>108.1948385</v>
      </c>
      <c r="S210">
        <v>103.46436180000001</v>
      </c>
      <c r="T210">
        <v>101.4106618</v>
      </c>
      <c r="U210">
        <v>99.570109340000002</v>
      </c>
      <c r="V210">
        <v>97.972637719999994</v>
      </c>
      <c r="W210">
        <v>103.5300185</v>
      </c>
      <c r="X210">
        <v>109.3443248</v>
      </c>
      <c r="Y210">
        <v>111.7707604</v>
      </c>
      <c r="Z210">
        <v>113.75974530000001</v>
      </c>
      <c r="AA210">
        <v>115.67625769999999</v>
      </c>
      <c r="AB210">
        <v>117.2436525</v>
      </c>
      <c r="AC210">
        <v>118.9995546</v>
      </c>
      <c r="AD210">
        <v>119.3176318</v>
      </c>
      <c r="AE210">
        <v>119.5915535</v>
      </c>
      <c r="AF210">
        <v>119.8455309</v>
      </c>
      <c r="AG210">
        <v>120.0414428</v>
      </c>
      <c r="AH210">
        <v>120.3736938</v>
      </c>
      <c r="AI210">
        <v>120.6635124</v>
      </c>
      <c r="AJ210">
        <v>120.9125227</v>
      </c>
      <c r="AK210">
        <v>121.1203701</v>
      </c>
      <c r="AL210">
        <v>121.32241550000001</v>
      </c>
      <c r="AM210">
        <v>121.51009070000001</v>
      </c>
      <c r="AN210">
        <v>121.64394679999999</v>
      </c>
      <c r="AO210">
        <v>121.768006</v>
      </c>
      <c r="AP210">
        <v>121.8736143</v>
      </c>
      <c r="AQ210">
        <v>121.9480586</v>
      </c>
      <c r="AR210">
        <v>122.1200923</v>
      </c>
      <c r="AS210">
        <v>122.5214565</v>
      </c>
      <c r="AT210">
        <v>122.8824729</v>
      </c>
      <c r="AU210">
        <v>123.2223305</v>
      </c>
      <c r="AV210">
        <v>123.5509369</v>
      </c>
      <c r="AW210">
        <v>123.91255200000001</v>
      </c>
    </row>
    <row r="211" spans="2:49" x14ac:dyDescent="0.25">
      <c r="B211" t="s">
        <v>462</v>
      </c>
      <c r="C211">
        <v>1.2736350545564401</v>
      </c>
      <c r="D211">
        <v>1.2940836773262701</v>
      </c>
      <c r="E211">
        <v>1.321031276</v>
      </c>
      <c r="F211">
        <v>1.305717317</v>
      </c>
      <c r="G211">
        <v>1.282218214</v>
      </c>
      <c r="H211">
        <v>1.156314313</v>
      </c>
      <c r="I211">
        <v>1.154217268</v>
      </c>
      <c r="J211">
        <v>1.0852763080000001</v>
      </c>
      <c r="K211">
        <v>1.0033692249999999</v>
      </c>
      <c r="L211">
        <v>0.91595645329999997</v>
      </c>
      <c r="M211">
        <v>0.83580366959999997</v>
      </c>
      <c r="N211">
        <v>0.75271214379999996</v>
      </c>
      <c r="O211">
        <v>0.65039897209999997</v>
      </c>
      <c r="P211">
        <v>0.57370511550000003</v>
      </c>
      <c r="Q211">
        <v>0.5019780694</v>
      </c>
      <c r="R211">
        <v>0.41556582460000002</v>
      </c>
      <c r="S211">
        <v>0.32808931889999998</v>
      </c>
      <c r="T211">
        <v>0.43317480390000002</v>
      </c>
      <c r="U211">
        <v>0.54108923779999996</v>
      </c>
      <c r="V211">
        <v>0.65272665129999996</v>
      </c>
      <c r="W211">
        <v>0.68975179060000003</v>
      </c>
      <c r="X211">
        <v>0.72848865370000004</v>
      </c>
      <c r="Y211">
        <v>0.74465438340000001</v>
      </c>
      <c r="Z211">
        <v>0.75790566950000005</v>
      </c>
      <c r="AA211">
        <v>0.77067411959999998</v>
      </c>
      <c r="AB211">
        <v>0.78111663070000004</v>
      </c>
      <c r="AC211">
        <v>0.79281504059999997</v>
      </c>
      <c r="AD211">
        <v>0.79493417840000002</v>
      </c>
      <c r="AE211">
        <v>0.79675913679999999</v>
      </c>
      <c r="AF211">
        <v>0.79845121939999997</v>
      </c>
      <c r="AG211">
        <v>0.79975645049999999</v>
      </c>
      <c r="AH211">
        <v>0.80197001859999995</v>
      </c>
      <c r="AI211">
        <v>0.80390088729999998</v>
      </c>
      <c r="AJ211">
        <v>0.80555987760000003</v>
      </c>
      <c r="AK211">
        <v>0.80694462710000003</v>
      </c>
      <c r="AL211">
        <v>0.80829072130000001</v>
      </c>
      <c r="AM211">
        <v>0.80954107610000003</v>
      </c>
      <c r="AN211">
        <v>0.81043287060000002</v>
      </c>
      <c r="AO211">
        <v>0.81125939489999999</v>
      </c>
      <c r="AP211">
        <v>0.81196299319999998</v>
      </c>
      <c r="AQ211">
        <v>0.812458966</v>
      </c>
      <c r="AR211">
        <v>0.81360511199999996</v>
      </c>
      <c r="AS211">
        <v>0.81627913510000005</v>
      </c>
      <c r="AT211">
        <v>0.81868434779999999</v>
      </c>
      <c r="AU211">
        <v>0.82094859350000005</v>
      </c>
      <c r="AV211">
        <v>0.82313788030000001</v>
      </c>
      <c r="AW211">
        <v>0.82554708160000001</v>
      </c>
    </row>
    <row r="212" spans="2:49" x14ac:dyDescent="0.25">
      <c r="B212" t="s">
        <v>463</v>
      </c>
      <c r="C212">
        <v>3.4574974609126801</v>
      </c>
      <c r="D212">
        <v>3.51300870100687</v>
      </c>
      <c r="E212">
        <v>3.5861625080000001</v>
      </c>
      <c r="F212">
        <v>3.7266675560000002</v>
      </c>
      <c r="G212">
        <v>3.8477228349999999</v>
      </c>
      <c r="H212">
        <v>3.6484212110000001</v>
      </c>
      <c r="I212">
        <v>3.82932184</v>
      </c>
      <c r="J212">
        <v>3.9653308269999998</v>
      </c>
      <c r="K212">
        <v>4.0428751869999999</v>
      </c>
      <c r="L212">
        <v>4.0746349759999996</v>
      </c>
      <c r="M212">
        <v>4.1088120400000001</v>
      </c>
      <c r="N212">
        <v>4.0924520199999996</v>
      </c>
      <c r="O212">
        <v>4.3060612440000003</v>
      </c>
      <c r="P212">
        <v>4.6769792959999998</v>
      </c>
      <c r="Q212">
        <v>5.1256665249999998</v>
      </c>
      <c r="R212">
        <v>5.4541374820000001</v>
      </c>
      <c r="S212">
        <v>5.7625902069999997</v>
      </c>
      <c r="T212">
        <v>5.4711711699999999</v>
      </c>
      <c r="U212">
        <v>5.1912498820000001</v>
      </c>
      <c r="V212">
        <v>4.9232193669999997</v>
      </c>
      <c r="W212">
        <v>5.2024831020000004</v>
      </c>
      <c r="X212">
        <v>5.494657589</v>
      </c>
      <c r="Y212">
        <v>5.6165883140000004</v>
      </c>
      <c r="Z212">
        <v>5.7165367199999997</v>
      </c>
      <c r="AA212">
        <v>5.8128433140000002</v>
      </c>
      <c r="AB212">
        <v>5.8916064119999998</v>
      </c>
      <c r="AC212">
        <v>5.9798421810000004</v>
      </c>
      <c r="AD212">
        <v>5.9958258710000001</v>
      </c>
      <c r="AE212">
        <v>6.0095906990000003</v>
      </c>
      <c r="AF212">
        <v>6.0223533070000004</v>
      </c>
      <c r="AG212">
        <v>6.0321980689999997</v>
      </c>
      <c r="AH212">
        <v>6.0488940040000001</v>
      </c>
      <c r="AI212">
        <v>6.0634576649999996</v>
      </c>
      <c r="AJ212">
        <v>6.0759706720000004</v>
      </c>
      <c r="AK212">
        <v>6.0864152059999999</v>
      </c>
      <c r="AL212">
        <v>6.0965681810000003</v>
      </c>
      <c r="AM212">
        <v>6.1059990370000001</v>
      </c>
      <c r="AN212">
        <v>6.1127254349999998</v>
      </c>
      <c r="AO212">
        <v>6.1189595309999998</v>
      </c>
      <c r="AP212">
        <v>6.1242664519999996</v>
      </c>
      <c r="AQ212">
        <v>6.1280073489999998</v>
      </c>
      <c r="AR212">
        <v>6.1366522059999999</v>
      </c>
      <c r="AS212">
        <v>6.1568211420000001</v>
      </c>
      <c r="AT212">
        <v>6.1749625640000003</v>
      </c>
      <c r="AU212">
        <v>6.1920407370000001</v>
      </c>
      <c r="AV212">
        <v>6.2085535280000004</v>
      </c>
      <c r="AW212">
        <v>6.2267250340000002</v>
      </c>
    </row>
    <row r="213" spans="2:49" x14ac:dyDescent="0.25">
      <c r="B213" t="s">
        <v>464</v>
      </c>
      <c r="C213">
        <v>5.0750954082325404</v>
      </c>
      <c r="D213">
        <v>5.1565777065978304</v>
      </c>
      <c r="E213">
        <v>5.2639566870000003</v>
      </c>
      <c r="F213">
        <v>5.0567066860000001</v>
      </c>
      <c r="G213">
        <v>4.8261401839999998</v>
      </c>
      <c r="H213">
        <v>4.2299310060000002</v>
      </c>
      <c r="I213">
        <v>4.1035935769999998</v>
      </c>
      <c r="J213">
        <v>4.0052172029999999</v>
      </c>
      <c r="K213">
        <v>3.8490389029999998</v>
      </c>
      <c r="L213">
        <v>3.656585143</v>
      </c>
      <c r="M213">
        <v>3.4756695</v>
      </c>
      <c r="N213">
        <v>3.2632691469999999</v>
      </c>
      <c r="O213">
        <v>2.7172725889999998</v>
      </c>
      <c r="P213">
        <v>2.2810378999999998</v>
      </c>
      <c r="Q213">
        <v>1.860764809</v>
      </c>
      <c r="R213">
        <v>1.3833052320000001</v>
      </c>
      <c r="S213">
        <v>0.90422958679999998</v>
      </c>
      <c r="T213">
        <v>0.85863076569999996</v>
      </c>
      <c r="U213">
        <v>0.81476638140000002</v>
      </c>
      <c r="V213">
        <v>0.7726991808</v>
      </c>
      <c r="W213">
        <v>0.81652961850000005</v>
      </c>
      <c r="X213">
        <v>0.86238639839999998</v>
      </c>
      <c r="Y213">
        <v>0.88152342319999999</v>
      </c>
      <c r="Z213">
        <v>0.89721032349999996</v>
      </c>
      <c r="AA213">
        <v>0.91232564149999995</v>
      </c>
      <c r="AB213">
        <v>0.9246875081</v>
      </c>
      <c r="AC213">
        <v>0.93853611029999995</v>
      </c>
      <c r="AD213">
        <v>0.94104475009999999</v>
      </c>
      <c r="AE213">
        <v>0.94320513969999997</v>
      </c>
      <c r="AF213">
        <v>0.94520823060000003</v>
      </c>
      <c r="AG213">
        <v>0.94675336590000003</v>
      </c>
      <c r="AH213">
        <v>0.94937379249999998</v>
      </c>
      <c r="AI213">
        <v>0.95165955889999998</v>
      </c>
      <c r="AJ213">
        <v>0.95362347510000001</v>
      </c>
      <c r="AK213">
        <v>0.95526274450000004</v>
      </c>
      <c r="AL213">
        <v>0.95685625370000005</v>
      </c>
      <c r="AM213">
        <v>0.95833642630000004</v>
      </c>
      <c r="AN213">
        <v>0.95939213440000004</v>
      </c>
      <c r="AO213">
        <v>0.96037057569999995</v>
      </c>
      <c r="AP213">
        <v>0.96120349679999995</v>
      </c>
      <c r="AQ213">
        <v>0.96179063040000001</v>
      </c>
      <c r="AR213">
        <v>0.96314744050000001</v>
      </c>
      <c r="AS213">
        <v>0.9663129547</v>
      </c>
      <c r="AT213">
        <v>0.96916025049999999</v>
      </c>
      <c r="AU213">
        <v>0.97184066930000002</v>
      </c>
      <c r="AV213">
        <v>0.97443235159999997</v>
      </c>
      <c r="AW213">
        <v>0.97728436919999995</v>
      </c>
    </row>
    <row r="214" spans="2:49" x14ac:dyDescent="0.25">
      <c r="B214" t="s">
        <v>465</v>
      </c>
      <c r="C214">
        <v>0.35516190417563898</v>
      </c>
      <c r="D214">
        <v>0.36086414342755202</v>
      </c>
      <c r="E214">
        <v>0.36837866679999998</v>
      </c>
      <c r="F214">
        <v>0.78080376679999997</v>
      </c>
      <c r="G214">
        <v>1.170857354</v>
      </c>
      <c r="H214">
        <v>1.411658198</v>
      </c>
      <c r="I214">
        <v>1.7500024830000001</v>
      </c>
      <c r="J214">
        <v>2.0658160099999998</v>
      </c>
      <c r="K214">
        <v>2.3077534470000001</v>
      </c>
      <c r="L214">
        <v>2.4624630750000001</v>
      </c>
      <c r="M214">
        <v>2.5424155100000001</v>
      </c>
      <c r="N214">
        <v>2.4987876390000001</v>
      </c>
      <c r="O214">
        <v>2.6577270710000001</v>
      </c>
      <c r="P214">
        <v>2.9149415940000001</v>
      </c>
      <c r="Q214">
        <v>3.2232104619999999</v>
      </c>
      <c r="R214">
        <v>3.458163104</v>
      </c>
      <c r="S214">
        <v>3.6819429349999999</v>
      </c>
      <c r="T214">
        <v>3.834726598</v>
      </c>
      <c r="U214">
        <v>3.9939679890000002</v>
      </c>
      <c r="V214">
        <v>4.162361347</v>
      </c>
      <c r="W214">
        <v>4.3984663209999999</v>
      </c>
      <c r="X214">
        <v>4.6454867560000004</v>
      </c>
      <c r="Y214">
        <v>4.7485737200000004</v>
      </c>
      <c r="Z214">
        <v>4.8330756179999996</v>
      </c>
      <c r="AA214">
        <v>4.9144985280000002</v>
      </c>
      <c r="AB214">
        <v>4.9810891970000002</v>
      </c>
      <c r="AC214">
        <v>5.0556885859999996</v>
      </c>
      <c r="AD214">
        <v>5.0692020790000001</v>
      </c>
      <c r="AE214">
        <v>5.0808396250000003</v>
      </c>
      <c r="AF214">
        <v>5.0916298370000002</v>
      </c>
      <c r="AG214">
        <v>5.0999531429999996</v>
      </c>
      <c r="AH214">
        <v>5.1140688069999998</v>
      </c>
      <c r="AI214">
        <v>5.1263817310000004</v>
      </c>
      <c r="AJ214">
        <v>5.1369609169999997</v>
      </c>
      <c r="AK214">
        <v>5.1457913030000002</v>
      </c>
      <c r="AL214">
        <v>5.1543751880000004</v>
      </c>
      <c r="AM214">
        <v>5.1623485540000003</v>
      </c>
      <c r="AN214">
        <v>5.168035422</v>
      </c>
      <c r="AO214">
        <v>5.1733060709999998</v>
      </c>
      <c r="AP214">
        <v>5.177792835</v>
      </c>
      <c r="AQ214">
        <v>5.1809555950000004</v>
      </c>
      <c r="AR214">
        <v>5.1882644339999997</v>
      </c>
      <c r="AS214">
        <v>5.2053163659999999</v>
      </c>
      <c r="AT214">
        <v>5.2206541260000003</v>
      </c>
      <c r="AU214">
        <v>5.2350929549999998</v>
      </c>
      <c r="AV214">
        <v>5.2490537799999997</v>
      </c>
      <c r="AW214">
        <v>5.2644169749999996</v>
      </c>
    </row>
    <row r="215" spans="2:49" x14ac:dyDescent="0.25">
      <c r="B215" t="s">
        <v>466</v>
      </c>
      <c r="C215">
        <v>7.99114284395189E-2</v>
      </c>
      <c r="D215">
        <v>8.1194432271199296E-2</v>
      </c>
      <c r="E215">
        <v>8.2885200000000006E-2</v>
      </c>
      <c r="F215">
        <v>0.1125832751</v>
      </c>
      <c r="G215">
        <v>0.15189998139999999</v>
      </c>
      <c r="H215">
        <v>0.1881720318</v>
      </c>
      <c r="I215">
        <v>0.25796727219999999</v>
      </c>
      <c r="J215">
        <v>0.35367205330000001</v>
      </c>
      <c r="K215">
        <v>0.47639257680000002</v>
      </c>
      <c r="L215">
        <v>0.63318363950000001</v>
      </c>
      <c r="M215">
        <v>0.84073713729999999</v>
      </c>
      <c r="N215">
        <v>1.101228527</v>
      </c>
      <c r="O215">
        <v>1.17127395</v>
      </c>
      <c r="P215">
        <v>1.2846297090000001</v>
      </c>
      <c r="Q215">
        <v>1.4204853799999999</v>
      </c>
      <c r="R215">
        <v>1.5240302139999999</v>
      </c>
      <c r="S215">
        <v>1.622651133</v>
      </c>
      <c r="T215">
        <v>1.6667567029999999</v>
      </c>
      <c r="U215">
        <v>1.713829171</v>
      </c>
      <c r="V215">
        <v>1.7648883719999999</v>
      </c>
      <c r="W215">
        <v>1.8649995559999999</v>
      </c>
      <c r="X215">
        <v>1.9697390189999999</v>
      </c>
      <c r="Y215">
        <v>2.0134490600000001</v>
      </c>
      <c r="Z215">
        <v>2.0492788219999998</v>
      </c>
      <c r="AA215">
        <v>2.083803058</v>
      </c>
      <c r="AB215">
        <v>2.1120382559999999</v>
      </c>
      <c r="AC215">
        <v>2.1436692420000001</v>
      </c>
      <c r="AD215">
        <v>2.1493991170000002</v>
      </c>
      <c r="AE215">
        <v>2.1543335680000002</v>
      </c>
      <c r="AF215">
        <v>2.1589087400000002</v>
      </c>
      <c r="AG215">
        <v>2.162437916</v>
      </c>
      <c r="AH215">
        <v>2.1684231180000002</v>
      </c>
      <c r="AI215">
        <v>2.173643937</v>
      </c>
      <c r="AJ215">
        <v>2.1781296320000001</v>
      </c>
      <c r="AK215">
        <v>2.1818738149999999</v>
      </c>
      <c r="AL215">
        <v>2.18551348</v>
      </c>
      <c r="AM215">
        <v>2.1888942770000002</v>
      </c>
      <c r="AN215">
        <v>2.1913055739999998</v>
      </c>
      <c r="AO215">
        <v>2.1935403889999998</v>
      </c>
      <c r="AP215">
        <v>2.1954428269999999</v>
      </c>
      <c r="AQ215">
        <v>2.1967838739999999</v>
      </c>
      <c r="AR215">
        <v>2.1998829039999999</v>
      </c>
      <c r="AS215">
        <v>2.207113117</v>
      </c>
      <c r="AT215">
        <v>2.2136165000000001</v>
      </c>
      <c r="AU215">
        <v>2.2197387279999998</v>
      </c>
      <c r="AV215">
        <v>2.2256582759999999</v>
      </c>
      <c r="AW215">
        <v>2.2321724440000001</v>
      </c>
    </row>
    <row r="216" spans="2:49" x14ac:dyDescent="0.25">
      <c r="B216" t="s">
        <v>467</v>
      </c>
      <c r="C216">
        <v>4.4799793836545803</v>
      </c>
      <c r="D216">
        <v>4.5519069017495504</v>
      </c>
      <c r="E216">
        <v>4.6466944039999998</v>
      </c>
      <c r="F216">
        <v>4.593597183</v>
      </c>
      <c r="G216">
        <v>4.5112032329999998</v>
      </c>
      <c r="H216">
        <v>4.0680848300000001</v>
      </c>
      <c r="I216">
        <v>4.0601799410000003</v>
      </c>
      <c r="J216">
        <v>3.9715410850000001</v>
      </c>
      <c r="K216">
        <v>3.824114716</v>
      </c>
      <c r="L216">
        <v>3.6395417170000002</v>
      </c>
      <c r="M216">
        <v>3.465708335</v>
      </c>
      <c r="N216">
        <v>3.2599771780000002</v>
      </c>
      <c r="O216">
        <v>3.4719637369999998</v>
      </c>
      <c r="P216">
        <v>3.8130451920000001</v>
      </c>
      <c r="Q216">
        <v>4.2218789149999996</v>
      </c>
      <c r="R216">
        <v>4.5356060920000001</v>
      </c>
      <c r="S216">
        <v>4.8354556579999999</v>
      </c>
      <c r="T216">
        <v>5.015557641</v>
      </c>
      <c r="U216">
        <v>5.2044949689999997</v>
      </c>
      <c r="V216">
        <v>5.4056572320000003</v>
      </c>
      <c r="W216">
        <v>5.712286679</v>
      </c>
      <c r="X216">
        <v>6.033092033</v>
      </c>
      <c r="Y216">
        <v>6.1669710359999996</v>
      </c>
      <c r="Z216">
        <v>6.2767136219999999</v>
      </c>
      <c r="AA216">
        <v>6.3824575269999997</v>
      </c>
      <c r="AB216">
        <v>6.4689388049999996</v>
      </c>
      <c r="AC216">
        <v>6.5658210060000002</v>
      </c>
      <c r="AD216">
        <v>6.5833709750000002</v>
      </c>
      <c r="AE216">
        <v>6.5984846519999998</v>
      </c>
      <c r="AF216">
        <v>6.6124978969999999</v>
      </c>
      <c r="AG216">
        <v>6.6233073710000001</v>
      </c>
      <c r="AH216">
        <v>6.6416393789999999</v>
      </c>
      <c r="AI216">
        <v>6.6576301679999998</v>
      </c>
      <c r="AJ216">
        <v>6.6713693540000003</v>
      </c>
      <c r="AK216">
        <v>6.6828373729999999</v>
      </c>
      <c r="AL216">
        <v>6.6939852609999999</v>
      </c>
      <c r="AM216">
        <v>6.7043402690000002</v>
      </c>
      <c r="AN216">
        <v>6.7117258030000002</v>
      </c>
      <c r="AO216">
        <v>6.7185707929999996</v>
      </c>
      <c r="AP216">
        <v>6.7243977519999998</v>
      </c>
      <c r="AQ216">
        <v>6.7285052270000003</v>
      </c>
      <c r="AR216">
        <v>6.737997214</v>
      </c>
      <c r="AS216">
        <v>6.7601425519999996</v>
      </c>
      <c r="AT216">
        <v>6.7800616949999997</v>
      </c>
      <c r="AU216">
        <v>6.7988133980000001</v>
      </c>
      <c r="AV216">
        <v>6.8169443159999998</v>
      </c>
      <c r="AW216">
        <v>6.8368964920000002</v>
      </c>
    </row>
    <row r="217" spans="2:49" x14ac:dyDescent="0.25">
      <c r="B217" t="s">
        <v>468</v>
      </c>
      <c r="C217">
        <v>1.4169855567767899</v>
      </c>
      <c r="D217">
        <v>1.4397357182278101</v>
      </c>
      <c r="E217">
        <v>1.46971633</v>
      </c>
      <c r="F217">
        <v>1.7278561859999999</v>
      </c>
      <c r="G217">
        <v>2.0179872620000001</v>
      </c>
      <c r="H217">
        <v>2.1641642619999999</v>
      </c>
      <c r="I217">
        <v>2.5687351039999999</v>
      </c>
      <c r="J217">
        <v>2.8595821369999999</v>
      </c>
      <c r="K217">
        <v>3.1283303990000002</v>
      </c>
      <c r="L217">
        <v>3.3774767040000002</v>
      </c>
      <c r="M217">
        <v>3.6431686910000001</v>
      </c>
      <c r="N217">
        <v>3.8767476109999999</v>
      </c>
      <c r="O217">
        <v>3.531079332</v>
      </c>
      <c r="P217">
        <v>3.3223432079999999</v>
      </c>
      <c r="Q217">
        <v>3.1519448250000002</v>
      </c>
      <c r="R217">
        <v>2.8971572160000001</v>
      </c>
      <c r="S217">
        <v>2.6342868890000002</v>
      </c>
      <c r="T217">
        <v>2.7555140260000002</v>
      </c>
      <c r="U217">
        <v>2.882150609</v>
      </c>
      <c r="V217">
        <v>3.0162084010000001</v>
      </c>
      <c r="W217">
        <v>3.1872992180000002</v>
      </c>
      <c r="X217">
        <v>3.3662998019999999</v>
      </c>
      <c r="Y217">
        <v>3.4410006119999998</v>
      </c>
      <c r="Z217">
        <v>3.5022339640000002</v>
      </c>
      <c r="AA217">
        <v>3.5612361610000001</v>
      </c>
      <c r="AB217">
        <v>3.6094903409999999</v>
      </c>
      <c r="AC217">
        <v>3.663547951</v>
      </c>
      <c r="AD217">
        <v>3.6733403519999999</v>
      </c>
      <c r="AE217">
        <v>3.681773368</v>
      </c>
      <c r="AF217">
        <v>3.6895923750000001</v>
      </c>
      <c r="AG217">
        <v>3.6956237650000001</v>
      </c>
      <c r="AH217">
        <v>3.7058525219999998</v>
      </c>
      <c r="AI217">
        <v>3.7147749440000002</v>
      </c>
      <c r="AJ217">
        <v>3.722441033</v>
      </c>
      <c r="AK217">
        <v>3.728839872</v>
      </c>
      <c r="AL217">
        <v>3.735060088</v>
      </c>
      <c r="AM217">
        <v>3.7408378980000001</v>
      </c>
      <c r="AN217">
        <v>3.7449588239999998</v>
      </c>
      <c r="AO217">
        <v>3.7487781400000002</v>
      </c>
      <c r="AP217">
        <v>3.7520294230000002</v>
      </c>
      <c r="AQ217">
        <v>3.7543212819999998</v>
      </c>
      <c r="AR217">
        <v>3.7596175500000002</v>
      </c>
      <c r="AS217">
        <v>3.771974041</v>
      </c>
      <c r="AT217">
        <v>3.7830883759999998</v>
      </c>
      <c r="AU217">
        <v>3.793551312</v>
      </c>
      <c r="AV217">
        <v>3.8036678670000001</v>
      </c>
      <c r="AW217">
        <v>3.8148006329999999</v>
      </c>
    </row>
    <row r="218" spans="2:49" x14ac:dyDescent="0.25">
      <c r="B218" t="s">
        <v>469</v>
      </c>
      <c r="C218">
        <v>34.067295461021303</v>
      </c>
      <c r="D218">
        <v>34.614256909026899</v>
      </c>
      <c r="E218">
        <v>34.751859889999999</v>
      </c>
      <c r="F218">
        <v>34.580822349999998</v>
      </c>
      <c r="G218">
        <v>33.2087346</v>
      </c>
      <c r="H218">
        <v>31.398455899999998</v>
      </c>
      <c r="I218">
        <v>31.62901793</v>
      </c>
      <c r="J218">
        <v>31.160320460000001</v>
      </c>
      <c r="K218">
        <v>29.636784649999999</v>
      </c>
      <c r="L218">
        <v>28.66177605</v>
      </c>
      <c r="M218">
        <v>28.35323868</v>
      </c>
      <c r="N218">
        <v>28.425518650000001</v>
      </c>
      <c r="O218">
        <v>28.853246380000002</v>
      </c>
      <c r="P218">
        <v>28.807093869999999</v>
      </c>
      <c r="Q218">
        <v>27.57623332</v>
      </c>
      <c r="R218">
        <v>26.788111579999999</v>
      </c>
      <c r="S218">
        <v>26.186954230000001</v>
      </c>
      <c r="T218">
        <v>24.924832510000002</v>
      </c>
      <c r="U218">
        <v>23.814808060000001</v>
      </c>
      <c r="V218">
        <v>22.760391729999998</v>
      </c>
      <c r="W218">
        <v>22.755460450000001</v>
      </c>
      <c r="X218">
        <v>22.860493630000001</v>
      </c>
      <c r="Y218">
        <v>23.007758389999999</v>
      </c>
      <c r="Z218">
        <v>23.246313950000001</v>
      </c>
      <c r="AA218">
        <v>23.406437889999999</v>
      </c>
      <c r="AB218">
        <v>23.54016945</v>
      </c>
      <c r="AC218">
        <v>23.672132120000001</v>
      </c>
      <c r="AD218">
        <v>23.84520668</v>
      </c>
      <c r="AE218">
        <v>23.987682199999998</v>
      </c>
      <c r="AF218">
        <v>24.143586989999999</v>
      </c>
      <c r="AG218">
        <v>24.280510230000001</v>
      </c>
      <c r="AH218">
        <v>24.39844892</v>
      </c>
      <c r="AI218">
        <v>24.467092180000002</v>
      </c>
      <c r="AJ218">
        <v>24.537731220000001</v>
      </c>
      <c r="AK218">
        <v>24.600891390000001</v>
      </c>
      <c r="AL218">
        <v>24.662848839999999</v>
      </c>
      <c r="AM218">
        <v>24.72424706</v>
      </c>
      <c r="AN218">
        <v>24.656626070000002</v>
      </c>
      <c r="AO218">
        <v>24.59083425</v>
      </c>
      <c r="AP218">
        <v>24.514277570000001</v>
      </c>
      <c r="AQ218">
        <v>24.43672389</v>
      </c>
      <c r="AR218">
        <v>24.342305970000002</v>
      </c>
      <c r="AS218">
        <v>24.268347739999999</v>
      </c>
      <c r="AT218">
        <v>24.199822170000001</v>
      </c>
      <c r="AU218">
        <v>24.126168849999999</v>
      </c>
      <c r="AV218">
        <v>24.048264270000001</v>
      </c>
      <c r="AW218">
        <v>23.97455046</v>
      </c>
    </row>
    <row r="219" spans="2:49" x14ac:dyDescent="0.25">
      <c r="B219" t="s">
        <v>470</v>
      </c>
      <c r="C219">
        <v>1.54983431156195</v>
      </c>
      <c r="D219">
        <v>1.57471740274219</v>
      </c>
      <c r="E219">
        <v>1.5809774190000001</v>
      </c>
      <c r="F219">
        <v>2.5805979969999999</v>
      </c>
      <c r="G219">
        <v>3.4409461110000001</v>
      </c>
      <c r="H219">
        <v>4.1488229250000002</v>
      </c>
      <c r="I219">
        <v>5.0523490689999999</v>
      </c>
      <c r="J219">
        <v>5.7823782799999996</v>
      </c>
      <c r="K219">
        <v>6.194581157</v>
      </c>
      <c r="L219">
        <v>6.5646549250000001</v>
      </c>
      <c r="M219">
        <v>6.9254924249999998</v>
      </c>
      <c r="N219">
        <v>7.1876049460000004</v>
      </c>
      <c r="O219">
        <v>7.4292073529999998</v>
      </c>
      <c r="P219">
        <v>7.5519961919999998</v>
      </c>
      <c r="Q219">
        <v>7.3596288850000002</v>
      </c>
      <c r="R219">
        <v>7.2772520839999997</v>
      </c>
      <c r="S219">
        <v>7.2403882790000003</v>
      </c>
      <c r="T219">
        <v>7.3763362560000001</v>
      </c>
      <c r="U219">
        <v>7.5646540619999998</v>
      </c>
      <c r="V219">
        <v>7.7841789429999997</v>
      </c>
      <c r="W219">
        <v>7.7824924180000004</v>
      </c>
      <c r="X219">
        <v>7.8184143419999996</v>
      </c>
      <c r="Y219">
        <v>7.8687796990000001</v>
      </c>
      <c r="Z219">
        <v>7.9503670089999998</v>
      </c>
      <c r="AA219">
        <v>8.0051302779999904</v>
      </c>
      <c r="AB219">
        <v>8.0508672029999904</v>
      </c>
      <c r="AC219">
        <v>8.0959991599999999</v>
      </c>
      <c r="AD219">
        <v>8.1551916119999994</v>
      </c>
      <c r="AE219">
        <v>8.2039190219999902</v>
      </c>
      <c r="AF219">
        <v>8.2572393139999996</v>
      </c>
      <c r="AG219">
        <v>8.3040678149999998</v>
      </c>
      <c r="AH219">
        <v>8.344403496</v>
      </c>
      <c r="AI219">
        <v>8.3678798669999903</v>
      </c>
      <c r="AJ219">
        <v>8.3920388070000005</v>
      </c>
      <c r="AK219">
        <v>8.4136399310000005</v>
      </c>
      <c r="AL219">
        <v>8.4348297199999998</v>
      </c>
      <c r="AM219">
        <v>8.4558282469999995</v>
      </c>
      <c r="AN219">
        <v>8.432701497</v>
      </c>
      <c r="AO219">
        <v>8.4102003350000007</v>
      </c>
      <c r="AP219">
        <v>8.3840175279999904</v>
      </c>
      <c r="AQ219">
        <v>8.3574937439999903</v>
      </c>
      <c r="AR219">
        <v>8.3252022990000007</v>
      </c>
      <c r="AS219">
        <v>8.2999081760000006</v>
      </c>
      <c r="AT219">
        <v>8.2764720559999905</v>
      </c>
      <c r="AU219">
        <v>8.2512822159999999</v>
      </c>
      <c r="AV219">
        <v>8.2246384219999999</v>
      </c>
      <c r="AW219">
        <v>8.1994278929999904</v>
      </c>
    </row>
    <row r="220" spans="2:49" x14ac:dyDescent="0.25">
      <c r="B220" t="s">
        <v>471</v>
      </c>
      <c r="C220">
        <v>0.19372928894524399</v>
      </c>
      <c r="D220">
        <v>0.196839675342774</v>
      </c>
      <c r="E220">
        <v>0.4774907525</v>
      </c>
      <c r="F220">
        <v>0.48983847609999998</v>
      </c>
      <c r="G220">
        <v>0.48495402920000003</v>
      </c>
      <c r="H220">
        <v>0.47270174100000001</v>
      </c>
      <c r="I220">
        <v>0.49090254579999998</v>
      </c>
      <c r="J220">
        <v>0.49788417870000001</v>
      </c>
      <c r="K220">
        <v>0.4874660992</v>
      </c>
      <c r="L220">
        <v>0.48525725219999999</v>
      </c>
      <c r="M220">
        <v>0.49407675379999999</v>
      </c>
      <c r="N220">
        <v>0.50978684910000005</v>
      </c>
      <c r="O220">
        <v>0.58325849090000004</v>
      </c>
      <c r="P220">
        <v>0.64878032230000005</v>
      </c>
      <c r="Q220">
        <v>0.68541131030000002</v>
      </c>
      <c r="R220">
        <v>0.72906017199999995</v>
      </c>
      <c r="S220">
        <v>0.77523603399999996</v>
      </c>
      <c r="T220">
        <v>0.99380941550000002</v>
      </c>
      <c r="U220">
        <v>1.2225233390000001</v>
      </c>
      <c r="V220">
        <v>1.461440909</v>
      </c>
      <c r="W220">
        <v>1.4611242719999999</v>
      </c>
      <c r="X220">
        <v>1.467868435</v>
      </c>
      <c r="Y220">
        <v>1.4773242799999999</v>
      </c>
      <c r="Z220">
        <v>1.492641892</v>
      </c>
      <c r="AA220">
        <v>1.502923424</v>
      </c>
      <c r="AB220">
        <v>1.511510304</v>
      </c>
      <c r="AC220">
        <v>1.519983605</v>
      </c>
      <c r="AD220">
        <v>1.5310966930000001</v>
      </c>
      <c r="AE220">
        <v>1.5402450219999999</v>
      </c>
      <c r="AF220">
        <v>1.550255642</v>
      </c>
      <c r="AG220">
        <v>1.559047461</v>
      </c>
      <c r="AH220">
        <v>1.5666202840000001</v>
      </c>
      <c r="AI220">
        <v>1.5710278559999999</v>
      </c>
      <c r="AJ220">
        <v>1.575563577</v>
      </c>
      <c r="AK220">
        <v>1.5796190809999999</v>
      </c>
      <c r="AL220">
        <v>1.583597358</v>
      </c>
      <c r="AM220">
        <v>1.5875397280000001</v>
      </c>
      <c r="AN220">
        <v>1.583197795</v>
      </c>
      <c r="AO220">
        <v>1.578973314</v>
      </c>
      <c r="AP220">
        <v>1.574057622</v>
      </c>
      <c r="AQ220">
        <v>1.5690779130000001</v>
      </c>
      <c r="AR220">
        <v>1.5630153550000001</v>
      </c>
      <c r="AS220">
        <v>1.5582665090000001</v>
      </c>
      <c r="AT220">
        <v>1.553866494</v>
      </c>
      <c r="AU220">
        <v>1.5491372269999999</v>
      </c>
      <c r="AV220">
        <v>1.5441349870000001</v>
      </c>
      <c r="AW220">
        <v>1.5394018350000001</v>
      </c>
    </row>
    <row r="221" spans="2:49" x14ac:dyDescent="0.25">
      <c r="B221" t="s">
        <v>472</v>
      </c>
      <c r="C221">
        <v>0.71679836909740502</v>
      </c>
      <c r="D221">
        <v>0.72830679876826598</v>
      </c>
      <c r="E221">
        <v>0.73120205630000001</v>
      </c>
      <c r="F221">
        <v>0.72702276330000004</v>
      </c>
      <c r="G221">
        <v>0.69761909639999997</v>
      </c>
      <c r="H221">
        <v>0.65906411389999997</v>
      </c>
      <c r="I221">
        <v>0.6633739635</v>
      </c>
      <c r="J221">
        <v>0.66062155720000004</v>
      </c>
      <c r="K221">
        <v>0.63550514950000003</v>
      </c>
      <c r="L221">
        <v>0.63193925289999997</v>
      </c>
      <c r="M221">
        <v>0.65318308879999998</v>
      </c>
      <c r="N221">
        <v>0.68467884720000005</v>
      </c>
      <c r="O221">
        <v>0.94293645780000002</v>
      </c>
      <c r="P221">
        <v>1.1741088479999999</v>
      </c>
      <c r="Q221">
        <v>1.332176426</v>
      </c>
      <c r="R221">
        <v>1.4820374039999999</v>
      </c>
      <c r="S221">
        <v>1.618210406</v>
      </c>
      <c r="T221">
        <v>1.6579565080000001</v>
      </c>
      <c r="U221">
        <v>1.7088683730000001</v>
      </c>
      <c r="V221">
        <v>1.7662899999999999</v>
      </c>
      <c r="W221">
        <v>1.765907315</v>
      </c>
      <c r="X221">
        <v>1.774058275</v>
      </c>
      <c r="Y221">
        <v>1.7854865609999999</v>
      </c>
      <c r="Z221">
        <v>1.8039993489999999</v>
      </c>
      <c r="AA221">
        <v>1.8164255549999999</v>
      </c>
      <c r="AB221">
        <v>1.826803615</v>
      </c>
      <c r="AC221">
        <v>1.8370444029999999</v>
      </c>
      <c r="AD221">
        <v>1.8504756250000001</v>
      </c>
      <c r="AE221">
        <v>1.8615322480000001</v>
      </c>
      <c r="AF221">
        <v>1.873631032</v>
      </c>
      <c r="AG221">
        <v>1.884256779</v>
      </c>
      <c r="AH221">
        <v>1.8934092549999999</v>
      </c>
      <c r="AI221">
        <v>1.8987362240000001</v>
      </c>
      <c r="AJ221">
        <v>1.904218073</v>
      </c>
      <c r="AK221">
        <v>1.909119534</v>
      </c>
      <c r="AL221">
        <v>1.9139276599999999</v>
      </c>
      <c r="AM221">
        <v>1.9186923870000001</v>
      </c>
      <c r="AN221">
        <v>1.91344475</v>
      </c>
      <c r="AO221">
        <v>1.9083390629999999</v>
      </c>
      <c r="AP221">
        <v>1.902397983</v>
      </c>
      <c r="AQ221">
        <v>1.896379533</v>
      </c>
      <c r="AR221">
        <v>1.8890523560000001</v>
      </c>
      <c r="AS221">
        <v>1.883312925</v>
      </c>
      <c r="AT221">
        <v>1.8779950889999999</v>
      </c>
      <c r="AU221">
        <v>1.8722793209999999</v>
      </c>
      <c r="AV221">
        <v>1.8662336390000001</v>
      </c>
      <c r="AW221">
        <v>1.8605131770000001</v>
      </c>
    </row>
    <row r="222" spans="2:49" x14ac:dyDescent="0.25">
      <c r="B222" t="s">
        <v>473</v>
      </c>
      <c r="C222">
        <v>0.19372928894524399</v>
      </c>
      <c r="D222">
        <v>0.196839675342774</v>
      </c>
      <c r="E222">
        <v>0.4774907525</v>
      </c>
      <c r="F222">
        <v>0.48983847609999998</v>
      </c>
      <c r="G222">
        <v>0.48495402920000003</v>
      </c>
      <c r="H222">
        <v>0.47270174100000001</v>
      </c>
      <c r="I222">
        <v>0.49090254579999998</v>
      </c>
      <c r="J222">
        <v>0.49788417870000001</v>
      </c>
      <c r="K222">
        <v>0.4874660992</v>
      </c>
      <c r="L222">
        <v>0.48525725219999999</v>
      </c>
      <c r="M222">
        <v>0.49407675379999999</v>
      </c>
      <c r="N222">
        <v>0.50978684910000005</v>
      </c>
      <c r="O222">
        <v>0.55423241590000005</v>
      </c>
      <c r="P222">
        <v>0.59048233360000002</v>
      </c>
      <c r="Q222">
        <v>0.60121007130000004</v>
      </c>
      <c r="R222">
        <v>0.61935926190000001</v>
      </c>
      <c r="S222">
        <v>0.64039665540000001</v>
      </c>
      <c r="T222">
        <v>0.70223998460000003</v>
      </c>
      <c r="U222">
        <v>0.76982228669999997</v>
      </c>
      <c r="V222">
        <v>0.8418404867</v>
      </c>
      <c r="W222">
        <v>0.84165809300000005</v>
      </c>
      <c r="X222">
        <v>0.84554296380000005</v>
      </c>
      <c r="Y222">
        <v>0.85098985770000002</v>
      </c>
      <c r="Z222">
        <v>0.85981333179999997</v>
      </c>
      <c r="AA222">
        <v>0.86573584930000003</v>
      </c>
      <c r="AB222">
        <v>0.87068218939999997</v>
      </c>
      <c r="AC222">
        <v>0.87556310339999999</v>
      </c>
      <c r="AD222">
        <v>0.88196462669999998</v>
      </c>
      <c r="AE222">
        <v>0.88723438040000002</v>
      </c>
      <c r="AF222">
        <v>0.89300084359999998</v>
      </c>
      <c r="AG222">
        <v>0.89806523490000001</v>
      </c>
      <c r="AH222">
        <v>0.902427443</v>
      </c>
      <c r="AI222">
        <v>0.90496635700000005</v>
      </c>
      <c r="AJ222">
        <v>0.90757908899999995</v>
      </c>
      <c r="AK222">
        <v>0.90991519929999998</v>
      </c>
      <c r="AL222">
        <v>0.91220682470000003</v>
      </c>
      <c r="AM222">
        <v>0.91447776560000005</v>
      </c>
      <c r="AN222">
        <v>0.91197666249999998</v>
      </c>
      <c r="AO222">
        <v>0.90954321520000003</v>
      </c>
      <c r="AP222">
        <v>0.90671160669999995</v>
      </c>
      <c r="AQ222">
        <v>0.90384312229999997</v>
      </c>
      <c r="AR222">
        <v>0.9003508791</v>
      </c>
      <c r="AS222">
        <v>0.89761537970000005</v>
      </c>
      <c r="AT222">
        <v>0.89508081900000003</v>
      </c>
      <c r="AU222">
        <v>0.89235659749999996</v>
      </c>
      <c r="AV222">
        <v>0.88947513440000003</v>
      </c>
      <c r="AW222">
        <v>0.88674867550000003</v>
      </c>
    </row>
    <row r="223" spans="2:49" x14ac:dyDescent="0.25">
      <c r="B223" t="s">
        <v>474</v>
      </c>
      <c r="C223">
        <v>0.38745857789048899</v>
      </c>
      <c r="D223">
        <v>0.39367935068554899</v>
      </c>
      <c r="E223">
        <v>0.4774907525</v>
      </c>
      <c r="F223">
        <v>0.60229001459999998</v>
      </c>
      <c r="G223">
        <v>0.73849074790000002</v>
      </c>
      <c r="H223">
        <v>0.89688961690000002</v>
      </c>
      <c r="I223">
        <v>1.1662928880000001</v>
      </c>
      <c r="J223">
        <v>1.487154938</v>
      </c>
      <c r="K223">
        <v>1.8365664909999999</v>
      </c>
      <c r="L223">
        <v>2.3121077880000001</v>
      </c>
      <c r="M223">
        <v>2.9834209760000001</v>
      </c>
      <c r="N223">
        <v>3.9076614360000002</v>
      </c>
      <c r="O223">
        <v>3.730269877</v>
      </c>
      <c r="P223">
        <v>3.4856684179999999</v>
      </c>
      <c r="Q223">
        <v>3.1055586449999999</v>
      </c>
      <c r="R223">
        <v>2.7895398139999998</v>
      </c>
      <c r="S223">
        <v>2.5021068999999998</v>
      </c>
      <c r="T223">
        <v>2.97045855</v>
      </c>
      <c r="U223">
        <v>3.4662708109999998</v>
      </c>
      <c r="V223">
        <v>3.9870406319999998</v>
      </c>
      <c r="W223">
        <v>3.9861767970000002</v>
      </c>
      <c r="X223">
        <v>4.0045759329999999</v>
      </c>
      <c r="Y223">
        <v>4.0303729669999999</v>
      </c>
      <c r="Z223">
        <v>4.0721618209999999</v>
      </c>
      <c r="AA223">
        <v>4.1002114560000003</v>
      </c>
      <c r="AB223">
        <v>4.1236378159999996</v>
      </c>
      <c r="AC223">
        <v>4.1467543129999997</v>
      </c>
      <c r="AD223">
        <v>4.1770725669999997</v>
      </c>
      <c r="AE223">
        <v>4.202030647</v>
      </c>
      <c r="AF223">
        <v>4.2293411919999997</v>
      </c>
      <c r="AG223">
        <v>4.2533266550000004</v>
      </c>
      <c r="AH223">
        <v>4.2739865090000002</v>
      </c>
      <c r="AI223">
        <v>4.2860110589999998</v>
      </c>
      <c r="AJ223">
        <v>4.298385218</v>
      </c>
      <c r="AK223">
        <v>4.30944927</v>
      </c>
      <c r="AL223">
        <v>4.3203026370000002</v>
      </c>
      <c r="AM223">
        <v>4.3310580400000003</v>
      </c>
      <c r="AN223">
        <v>4.319212566</v>
      </c>
      <c r="AO223">
        <v>4.3076875159999997</v>
      </c>
      <c r="AP223">
        <v>4.2942767359999996</v>
      </c>
      <c r="AQ223">
        <v>4.2806913069999997</v>
      </c>
      <c r="AR223">
        <v>4.2641516949999998</v>
      </c>
      <c r="AS223">
        <v>4.2511960960000001</v>
      </c>
      <c r="AT223">
        <v>4.2391921630000002</v>
      </c>
      <c r="AU223">
        <v>4.2262899779999996</v>
      </c>
      <c r="AV223">
        <v>4.2126430810000004</v>
      </c>
      <c r="AW223">
        <v>4.1997302999999997</v>
      </c>
    </row>
    <row r="224" spans="2:49" x14ac:dyDescent="0.25">
      <c r="B224" t="s">
        <v>475</v>
      </c>
      <c r="C224">
        <v>34.067295461021303</v>
      </c>
      <c r="D224">
        <v>34.614256909026899</v>
      </c>
      <c r="E224">
        <v>34.751859889999999</v>
      </c>
      <c r="F224">
        <v>34.580822349999998</v>
      </c>
      <c r="G224">
        <v>33.2087346</v>
      </c>
      <c r="H224">
        <v>31.398455899999998</v>
      </c>
      <c r="I224">
        <v>31.62901793</v>
      </c>
      <c r="J224">
        <v>31.160320460000001</v>
      </c>
      <c r="K224">
        <v>29.636784649999999</v>
      </c>
      <c r="L224">
        <v>28.66177605</v>
      </c>
      <c r="M224">
        <v>28.35323868</v>
      </c>
      <c r="N224">
        <v>28.425518650000001</v>
      </c>
      <c r="O224">
        <v>28.853246380000002</v>
      </c>
      <c r="P224">
        <v>28.807093869999999</v>
      </c>
      <c r="Q224">
        <v>27.57623332</v>
      </c>
      <c r="R224">
        <v>26.788111579999999</v>
      </c>
      <c r="S224">
        <v>26.186954230000001</v>
      </c>
      <c r="T224">
        <v>24.924832510000002</v>
      </c>
      <c r="U224">
        <v>23.814808060000001</v>
      </c>
      <c r="V224">
        <v>22.760391729999998</v>
      </c>
      <c r="W224">
        <v>22.755460450000001</v>
      </c>
      <c r="X224">
        <v>22.860493630000001</v>
      </c>
      <c r="Y224">
        <v>23.007758389999999</v>
      </c>
      <c r="Z224">
        <v>23.246313950000001</v>
      </c>
      <c r="AA224">
        <v>23.406437889999999</v>
      </c>
      <c r="AB224">
        <v>23.54016945</v>
      </c>
      <c r="AC224">
        <v>23.672132120000001</v>
      </c>
      <c r="AD224">
        <v>23.84520668</v>
      </c>
      <c r="AE224">
        <v>23.987682199999998</v>
      </c>
      <c r="AF224">
        <v>24.143586989999999</v>
      </c>
      <c r="AG224">
        <v>24.280510230000001</v>
      </c>
      <c r="AH224">
        <v>24.39844892</v>
      </c>
      <c r="AI224">
        <v>24.467092180000002</v>
      </c>
      <c r="AJ224">
        <v>24.537731220000001</v>
      </c>
      <c r="AK224">
        <v>24.600891390000001</v>
      </c>
      <c r="AL224">
        <v>24.662848839999999</v>
      </c>
      <c r="AM224">
        <v>24.72424706</v>
      </c>
      <c r="AN224">
        <v>24.656626070000002</v>
      </c>
      <c r="AO224">
        <v>24.59083425</v>
      </c>
      <c r="AP224">
        <v>24.514277570000001</v>
      </c>
      <c r="AQ224">
        <v>24.43672389</v>
      </c>
      <c r="AR224">
        <v>24.342305970000002</v>
      </c>
      <c r="AS224">
        <v>24.268347739999999</v>
      </c>
      <c r="AT224">
        <v>24.199822170000001</v>
      </c>
      <c r="AU224">
        <v>24.126168849999999</v>
      </c>
      <c r="AV224">
        <v>24.048264270000001</v>
      </c>
      <c r="AW224">
        <v>23.97455046</v>
      </c>
    </row>
    <row r="225" spans="2:49" x14ac:dyDescent="0.25">
      <c r="B225" t="s">
        <v>476</v>
      </c>
      <c r="C225">
        <v>1.54983431156195</v>
      </c>
      <c r="D225">
        <v>1.57471740274219</v>
      </c>
      <c r="E225">
        <v>1.5809774190000001</v>
      </c>
      <c r="F225">
        <v>2.5805979969999999</v>
      </c>
      <c r="G225">
        <v>3.4409461110000001</v>
      </c>
      <c r="H225">
        <v>4.1488229250000002</v>
      </c>
      <c r="I225">
        <v>5.0523490689999999</v>
      </c>
      <c r="J225">
        <v>5.7823782799999996</v>
      </c>
      <c r="K225">
        <v>6.194581157</v>
      </c>
      <c r="L225">
        <v>6.5646549250000001</v>
      </c>
      <c r="M225">
        <v>6.9254924249999998</v>
      </c>
      <c r="N225">
        <v>7.1876049460000004</v>
      </c>
      <c r="O225">
        <v>7.4292073529999998</v>
      </c>
      <c r="P225">
        <v>7.5519961919999998</v>
      </c>
      <c r="Q225">
        <v>7.3596288850000002</v>
      </c>
      <c r="R225">
        <v>7.2772520839999997</v>
      </c>
      <c r="S225">
        <v>7.2403882790000003</v>
      </c>
      <c r="T225">
        <v>7.3763362560000001</v>
      </c>
      <c r="U225">
        <v>7.5646540619999998</v>
      </c>
      <c r="V225">
        <v>7.7841789429999997</v>
      </c>
      <c r="W225">
        <v>7.7824924180000004</v>
      </c>
      <c r="X225">
        <v>7.8184143419999996</v>
      </c>
      <c r="Y225">
        <v>7.8687796990000001</v>
      </c>
      <c r="Z225">
        <v>7.9503670089999998</v>
      </c>
      <c r="AA225">
        <v>8.0051302779999904</v>
      </c>
      <c r="AB225">
        <v>8.0508672029999904</v>
      </c>
      <c r="AC225">
        <v>8.0959991599999999</v>
      </c>
      <c r="AD225">
        <v>8.1551916119999994</v>
      </c>
      <c r="AE225">
        <v>8.2039190219999902</v>
      </c>
      <c r="AF225">
        <v>8.2572393139999996</v>
      </c>
      <c r="AG225">
        <v>8.3040678149999998</v>
      </c>
      <c r="AH225">
        <v>8.344403496</v>
      </c>
      <c r="AI225">
        <v>8.3678798669999903</v>
      </c>
      <c r="AJ225">
        <v>8.3920388070000005</v>
      </c>
      <c r="AK225">
        <v>8.4136399310000005</v>
      </c>
      <c r="AL225">
        <v>8.4348297199999998</v>
      </c>
      <c r="AM225">
        <v>8.4558282469999995</v>
      </c>
      <c r="AN225">
        <v>8.432701497</v>
      </c>
      <c r="AO225">
        <v>8.4102003350000007</v>
      </c>
      <c r="AP225">
        <v>8.3840175279999904</v>
      </c>
      <c r="AQ225">
        <v>8.3574937439999903</v>
      </c>
      <c r="AR225">
        <v>8.3252022990000007</v>
      </c>
      <c r="AS225">
        <v>8.2999081760000006</v>
      </c>
      <c r="AT225">
        <v>8.2764720559999905</v>
      </c>
      <c r="AU225">
        <v>8.2512822159999999</v>
      </c>
      <c r="AV225">
        <v>8.2246384219999999</v>
      </c>
      <c r="AW225">
        <v>8.1994278929999904</v>
      </c>
    </row>
    <row r="226" spans="2:49" x14ac:dyDescent="0.25">
      <c r="B226" t="s">
        <v>477</v>
      </c>
      <c r="C226">
        <v>0.19372928894524399</v>
      </c>
      <c r="D226">
        <v>0.196839675342774</v>
      </c>
      <c r="E226">
        <v>0.4774907525</v>
      </c>
      <c r="F226">
        <v>0.48983847609999998</v>
      </c>
      <c r="G226">
        <v>0.48495402920000003</v>
      </c>
      <c r="H226">
        <v>0.47270174100000001</v>
      </c>
      <c r="I226">
        <v>0.49090254579999998</v>
      </c>
      <c r="J226">
        <v>0.49788417870000001</v>
      </c>
      <c r="K226">
        <v>0.4874660992</v>
      </c>
      <c r="L226">
        <v>0.48525725219999999</v>
      </c>
      <c r="M226">
        <v>0.49407675379999999</v>
      </c>
      <c r="N226">
        <v>0.50978684910000005</v>
      </c>
      <c r="O226">
        <v>0.58325849090000004</v>
      </c>
      <c r="P226">
        <v>0.64878032230000005</v>
      </c>
      <c r="Q226">
        <v>0.68541131030000002</v>
      </c>
      <c r="R226">
        <v>0.72906017199999995</v>
      </c>
      <c r="S226">
        <v>0.77523603399999996</v>
      </c>
      <c r="T226">
        <v>0.99380941550000002</v>
      </c>
      <c r="U226">
        <v>1.2225233390000001</v>
      </c>
      <c r="V226">
        <v>1.461440909</v>
      </c>
      <c r="W226">
        <v>1.4611242719999999</v>
      </c>
      <c r="X226">
        <v>1.467868435</v>
      </c>
      <c r="Y226">
        <v>1.4773242799999999</v>
      </c>
      <c r="Z226">
        <v>1.492641892</v>
      </c>
      <c r="AA226">
        <v>1.502923424</v>
      </c>
      <c r="AB226">
        <v>1.511510304</v>
      </c>
      <c r="AC226">
        <v>1.519983605</v>
      </c>
      <c r="AD226">
        <v>1.5310966930000001</v>
      </c>
      <c r="AE226">
        <v>1.5402450219999999</v>
      </c>
      <c r="AF226">
        <v>1.550255642</v>
      </c>
      <c r="AG226">
        <v>1.559047461</v>
      </c>
      <c r="AH226">
        <v>1.5666202840000001</v>
      </c>
      <c r="AI226">
        <v>1.5710278559999999</v>
      </c>
      <c r="AJ226">
        <v>1.575563577</v>
      </c>
      <c r="AK226">
        <v>1.5796190809999999</v>
      </c>
      <c r="AL226">
        <v>1.583597358</v>
      </c>
      <c r="AM226">
        <v>1.5875397280000001</v>
      </c>
      <c r="AN226">
        <v>1.583197795</v>
      </c>
      <c r="AO226">
        <v>1.578973314</v>
      </c>
      <c r="AP226">
        <v>1.574057622</v>
      </c>
      <c r="AQ226">
        <v>1.5690779130000001</v>
      </c>
      <c r="AR226">
        <v>1.5630153550000001</v>
      </c>
      <c r="AS226">
        <v>1.5582665090000001</v>
      </c>
      <c r="AT226">
        <v>1.553866494</v>
      </c>
      <c r="AU226">
        <v>1.5491372269999999</v>
      </c>
      <c r="AV226">
        <v>1.5441349870000001</v>
      </c>
      <c r="AW226">
        <v>1.5394018350000001</v>
      </c>
    </row>
    <row r="227" spans="2:49" x14ac:dyDescent="0.25">
      <c r="B227" t="s">
        <v>478</v>
      </c>
      <c r="C227">
        <v>0.71679836909740502</v>
      </c>
      <c r="D227">
        <v>0.72830679876826598</v>
      </c>
      <c r="E227">
        <v>0.73120205630000001</v>
      </c>
      <c r="F227">
        <v>0.72702276330000004</v>
      </c>
      <c r="G227">
        <v>0.69761909639999997</v>
      </c>
      <c r="H227">
        <v>0.65906411389999997</v>
      </c>
      <c r="I227">
        <v>0.6633739635</v>
      </c>
      <c r="J227">
        <v>0.66062155720000004</v>
      </c>
      <c r="K227">
        <v>0.63550514950000003</v>
      </c>
      <c r="L227">
        <v>0.63193925289999997</v>
      </c>
      <c r="M227">
        <v>0.65318308879999998</v>
      </c>
      <c r="N227">
        <v>0.68467884720000005</v>
      </c>
      <c r="O227">
        <v>0.94293645780000002</v>
      </c>
      <c r="P227">
        <v>1.1741088479999999</v>
      </c>
      <c r="Q227">
        <v>1.332176426</v>
      </c>
      <c r="R227">
        <v>1.4820374039999999</v>
      </c>
      <c r="S227">
        <v>1.618210406</v>
      </c>
      <c r="T227">
        <v>1.6579565080000001</v>
      </c>
      <c r="U227">
        <v>1.7088683730000001</v>
      </c>
      <c r="V227">
        <v>1.7662899999999999</v>
      </c>
      <c r="W227">
        <v>1.765907315</v>
      </c>
      <c r="X227">
        <v>1.774058275</v>
      </c>
      <c r="Y227">
        <v>1.7854865609999999</v>
      </c>
      <c r="Z227">
        <v>1.8039993489999999</v>
      </c>
      <c r="AA227">
        <v>1.8164255549999999</v>
      </c>
      <c r="AB227">
        <v>1.826803615</v>
      </c>
      <c r="AC227">
        <v>1.8370444029999999</v>
      </c>
      <c r="AD227">
        <v>1.8504756250000001</v>
      </c>
      <c r="AE227">
        <v>1.8615322480000001</v>
      </c>
      <c r="AF227">
        <v>1.873631032</v>
      </c>
      <c r="AG227">
        <v>1.884256779</v>
      </c>
      <c r="AH227">
        <v>1.8934092549999999</v>
      </c>
      <c r="AI227">
        <v>1.8987362240000001</v>
      </c>
      <c r="AJ227">
        <v>1.904218073</v>
      </c>
      <c r="AK227">
        <v>1.909119534</v>
      </c>
      <c r="AL227">
        <v>1.9139276599999999</v>
      </c>
      <c r="AM227">
        <v>1.9186923870000001</v>
      </c>
      <c r="AN227">
        <v>1.91344475</v>
      </c>
      <c r="AO227">
        <v>1.9083390629999999</v>
      </c>
      <c r="AP227">
        <v>1.902397983</v>
      </c>
      <c r="AQ227">
        <v>1.896379533</v>
      </c>
      <c r="AR227">
        <v>1.8890523560000001</v>
      </c>
      <c r="AS227">
        <v>1.883312925</v>
      </c>
      <c r="AT227">
        <v>1.8779950889999999</v>
      </c>
      <c r="AU227">
        <v>1.8722793209999999</v>
      </c>
      <c r="AV227">
        <v>1.8662336390000001</v>
      </c>
      <c r="AW227">
        <v>1.8605131770000001</v>
      </c>
    </row>
    <row r="228" spans="2:49" x14ac:dyDescent="0.25">
      <c r="B228" t="s">
        <v>479</v>
      </c>
      <c r="C228">
        <v>0.19372928894524399</v>
      </c>
      <c r="D228">
        <v>0.196839675342774</v>
      </c>
      <c r="E228">
        <v>0.4774907525</v>
      </c>
      <c r="F228">
        <v>0.48983847609999998</v>
      </c>
      <c r="G228">
        <v>0.48495402920000003</v>
      </c>
      <c r="H228">
        <v>0.47270174100000001</v>
      </c>
      <c r="I228">
        <v>0.49090254579999998</v>
      </c>
      <c r="J228">
        <v>0.49788417870000001</v>
      </c>
      <c r="K228">
        <v>0.4874660992</v>
      </c>
      <c r="L228">
        <v>0.48525725219999999</v>
      </c>
      <c r="M228">
        <v>0.49407675379999999</v>
      </c>
      <c r="N228">
        <v>0.50978684910000005</v>
      </c>
      <c r="O228">
        <v>0.55423241590000005</v>
      </c>
      <c r="P228">
        <v>0.59048233360000002</v>
      </c>
      <c r="Q228">
        <v>0.60121007130000004</v>
      </c>
      <c r="R228">
        <v>0.61935926190000001</v>
      </c>
      <c r="S228">
        <v>0.64039665540000001</v>
      </c>
      <c r="T228">
        <v>0.70223998460000003</v>
      </c>
      <c r="U228">
        <v>0.76982228669999997</v>
      </c>
      <c r="V228">
        <v>0.8418404867</v>
      </c>
      <c r="W228">
        <v>0.84165809300000005</v>
      </c>
      <c r="X228">
        <v>0.84554296380000005</v>
      </c>
      <c r="Y228">
        <v>0.85098985770000002</v>
      </c>
      <c r="Z228">
        <v>0.85981333179999997</v>
      </c>
      <c r="AA228">
        <v>0.86573584930000003</v>
      </c>
      <c r="AB228">
        <v>0.87068218939999997</v>
      </c>
      <c r="AC228">
        <v>0.87556310339999999</v>
      </c>
      <c r="AD228">
        <v>0.88196462669999998</v>
      </c>
      <c r="AE228">
        <v>0.88723438040000002</v>
      </c>
      <c r="AF228">
        <v>0.89300084359999998</v>
      </c>
      <c r="AG228">
        <v>0.89806523490000001</v>
      </c>
      <c r="AH228">
        <v>0.902427443</v>
      </c>
      <c r="AI228">
        <v>0.90496635700000005</v>
      </c>
      <c r="AJ228">
        <v>0.90757908899999995</v>
      </c>
      <c r="AK228">
        <v>0.90991519929999998</v>
      </c>
      <c r="AL228">
        <v>0.91220682470000003</v>
      </c>
      <c r="AM228">
        <v>0.91447776560000005</v>
      </c>
      <c r="AN228">
        <v>0.91197666249999998</v>
      </c>
      <c r="AO228">
        <v>0.90954321520000003</v>
      </c>
      <c r="AP228">
        <v>0.90671160669999995</v>
      </c>
      <c r="AQ228">
        <v>0.90384312229999997</v>
      </c>
      <c r="AR228">
        <v>0.9003508791</v>
      </c>
      <c r="AS228">
        <v>0.89761537970000005</v>
      </c>
      <c r="AT228">
        <v>0.89508081900000003</v>
      </c>
      <c r="AU228">
        <v>0.89235659749999996</v>
      </c>
      <c r="AV228">
        <v>0.88947513440000003</v>
      </c>
      <c r="AW228">
        <v>0.88674867550000003</v>
      </c>
    </row>
    <row r="229" spans="2:49" x14ac:dyDescent="0.25">
      <c r="B229" t="s">
        <v>480</v>
      </c>
      <c r="C229">
        <v>0.38745857789048899</v>
      </c>
      <c r="D229">
        <v>0.39367935068554899</v>
      </c>
      <c r="E229">
        <v>0.4774907525</v>
      </c>
      <c r="F229">
        <v>0.60229001459999998</v>
      </c>
      <c r="G229">
        <v>0.73849074790000002</v>
      </c>
      <c r="H229">
        <v>0.89688961690000002</v>
      </c>
      <c r="I229">
        <v>1.1662928880000001</v>
      </c>
      <c r="J229">
        <v>1.487154938</v>
      </c>
      <c r="K229">
        <v>1.8365664909999999</v>
      </c>
      <c r="L229">
        <v>2.3121077880000001</v>
      </c>
      <c r="M229">
        <v>2.9834209760000001</v>
      </c>
      <c r="N229">
        <v>3.9076614360000002</v>
      </c>
      <c r="O229">
        <v>3.730269877</v>
      </c>
      <c r="P229">
        <v>3.4856684179999999</v>
      </c>
      <c r="Q229">
        <v>3.1055586449999999</v>
      </c>
      <c r="R229">
        <v>2.7895398139999998</v>
      </c>
      <c r="S229">
        <v>2.5021068999999998</v>
      </c>
      <c r="T229">
        <v>2.97045855</v>
      </c>
      <c r="U229">
        <v>3.4662708109999998</v>
      </c>
      <c r="V229">
        <v>3.9870406319999998</v>
      </c>
      <c r="W229">
        <v>3.9861767970000002</v>
      </c>
      <c r="X229">
        <v>4.0045759329999999</v>
      </c>
      <c r="Y229">
        <v>4.0303729669999999</v>
      </c>
      <c r="Z229">
        <v>4.0721618209999999</v>
      </c>
      <c r="AA229">
        <v>4.1002114560000003</v>
      </c>
      <c r="AB229">
        <v>4.1236378159999996</v>
      </c>
      <c r="AC229">
        <v>4.1467543129999997</v>
      </c>
      <c r="AD229">
        <v>4.1770725669999997</v>
      </c>
      <c r="AE229">
        <v>4.202030647</v>
      </c>
      <c r="AF229">
        <v>4.2293411919999997</v>
      </c>
      <c r="AG229">
        <v>4.2533266550000004</v>
      </c>
      <c r="AH229">
        <v>4.2739865090000002</v>
      </c>
      <c r="AI229">
        <v>4.2860110589999998</v>
      </c>
      <c r="AJ229">
        <v>4.298385218</v>
      </c>
      <c r="AK229">
        <v>4.30944927</v>
      </c>
      <c r="AL229">
        <v>4.3203026370000002</v>
      </c>
      <c r="AM229">
        <v>4.3310580400000003</v>
      </c>
      <c r="AN229">
        <v>4.319212566</v>
      </c>
      <c r="AO229">
        <v>4.3076875159999997</v>
      </c>
      <c r="AP229">
        <v>4.2942767359999996</v>
      </c>
      <c r="AQ229">
        <v>4.2806913069999997</v>
      </c>
      <c r="AR229">
        <v>4.2641516949999998</v>
      </c>
      <c r="AS229">
        <v>4.2511960960000001</v>
      </c>
      <c r="AT229">
        <v>4.2391921630000002</v>
      </c>
      <c r="AU229">
        <v>4.2262899779999996</v>
      </c>
      <c r="AV229">
        <v>4.2126430810000004</v>
      </c>
      <c r="AW229">
        <v>4.1997302999999997</v>
      </c>
    </row>
    <row r="230" spans="2:49" x14ac:dyDescent="0.25">
      <c r="B230" t="s">
        <v>481</v>
      </c>
      <c r="C230">
        <v>1.1905732046364299</v>
      </c>
      <c r="D230">
        <v>1.2096882425386799</v>
      </c>
      <c r="E230">
        <v>1.233428059</v>
      </c>
      <c r="F230">
        <v>1.2399927639999999</v>
      </c>
      <c r="G230">
        <v>1.1449719330000001</v>
      </c>
      <c r="H230">
        <v>0.92852914379999996</v>
      </c>
      <c r="I230">
        <v>1.0164429100000001</v>
      </c>
      <c r="J230">
        <v>1.0403243</v>
      </c>
      <c r="K230">
        <v>0.98383513749999996</v>
      </c>
      <c r="L230">
        <v>0.98187860090000001</v>
      </c>
      <c r="M230">
        <v>0.9887577931</v>
      </c>
      <c r="N230">
        <v>0.99853977270000005</v>
      </c>
      <c r="O230">
        <v>0.9448488102</v>
      </c>
      <c r="P230">
        <v>0.96164739089999995</v>
      </c>
      <c r="Q230">
        <v>0.94297737930000003</v>
      </c>
      <c r="R230">
        <v>0.89522584829999996</v>
      </c>
      <c r="S230">
        <v>0.86355782449999996</v>
      </c>
      <c r="T230">
        <v>0.86612270049999995</v>
      </c>
      <c r="U230">
        <v>0.87154875909999996</v>
      </c>
      <c r="V230">
        <v>0.88621155510000005</v>
      </c>
      <c r="W230">
        <v>0.88116243819999995</v>
      </c>
      <c r="X230">
        <v>0.86753865829999999</v>
      </c>
      <c r="Y230">
        <v>0.86284928270000005</v>
      </c>
      <c r="Z230">
        <v>0.86054045850000005</v>
      </c>
      <c r="AA230">
        <v>0.85772104419999995</v>
      </c>
      <c r="AB230">
        <v>0.85425237610000004</v>
      </c>
      <c r="AC230">
        <v>0.8488026407</v>
      </c>
      <c r="AD230">
        <v>0.85627417490000002</v>
      </c>
      <c r="AE230">
        <v>0.86152904029999999</v>
      </c>
      <c r="AF230">
        <v>0.86712777600000002</v>
      </c>
      <c r="AG230">
        <v>0.87310989999999999</v>
      </c>
      <c r="AH230">
        <v>0.87821307719999997</v>
      </c>
      <c r="AI230">
        <v>0.88726947160000003</v>
      </c>
      <c r="AJ230">
        <v>0.89544666719999999</v>
      </c>
      <c r="AK230">
        <v>0.90333141490000002</v>
      </c>
      <c r="AL230">
        <v>0.91126881709999996</v>
      </c>
      <c r="AM230">
        <v>0.91917890570000005</v>
      </c>
      <c r="AN230">
        <v>0.92447586690000005</v>
      </c>
      <c r="AO230">
        <v>0.93078492130000001</v>
      </c>
      <c r="AP230">
        <v>0.9369547037</v>
      </c>
      <c r="AQ230">
        <v>0.94315464270000005</v>
      </c>
      <c r="AR230">
        <v>0.9480227672</v>
      </c>
      <c r="AS230">
        <v>0.95596088319999994</v>
      </c>
      <c r="AT230">
        <v>0.96322384599999999</v>
      </c>
      <c r="AU230">
        <v>0.97026080280000004</v>
      </c>
      <c r="AV230">
        <v>0.97728605059999996</v>
      </c>
      <c r="AW230">
        <v>0.98488036999999995</v>
      </c>
    </row>
    <row r="231" spans="2:49" x14ac:dyDescent="0.25">
      <c r="B231" t="s">
        <v>482</v>
      </c>
      <c r="C231">
        <v>1.7112081308179601</v>
      </c>
      <c r="D231">
        <v>1.7386821308642</v>
      </c>
      <c r="E231">
        <v>1.7701033129999999</v>
      </c>
      <c r="F231">
        <v>1.7927007399999999</v>
      </c>
      <c r="G231">
        <v>1.8100206750000001</v>
      </c>
      <c r="H231">
        <v>1.702783983</v>
      </c>
      <c r="I231">
        <v>1.779586997</v>
      </c>
      <c r="J231">
        <v>1.808929749</v>
      </c>
      <c r="K231">
        <v>1.7879381219999999</v>
      </c>
      <c r="L231">
        <v>1.7988206920000001</v>
      </c>
      <c r="M231">
        <v>1.8165621000000001</v>
      </c>
      <c r="N231">
        <v>1.893003596</v>
      </c>
      <c r="O231">
        <v>1.8933443480000001</v>
      </c>
      <c r="P231">
        <v>1.8990851049999999</v>
      </c>
      <c r="Q231">
        <v>1.87331677</v>
      </c>
      <c r="R231">
        <v>1.892252963</v>
      </c>
      <c r="S231">
        <v>1.876856834</v>
      </c>
      <c r="T231">
        <v>1.8852028270000001</v>
      </c>
      <c r="U231">
        <v>1.917555119</v>
      </c>
      <c r="V231">
        <v>1.958985634</v>
      </c>
      <c r="W231">
        <v>1.995794364</v>
      </c>
      <c r="X231">
        <v>2.0270508860000001</v>
      </c>
      <c r="Y231">
        <v>2.0535336499999999</v>
      </c>
      <c r="Z231">
        <v>2.0810708729999998</v>
      </c>
      <c r="AA231">
        <v>2.1060141579999998</v>
      </c>
      <c r="AB231">
        <v>2.1293370290000002</v>
      </c>
      <c r="AC231">
        <v>2.1516828449999998</v>
      </c>
      <c r="AD231">
        <v>2.1724954940000001</v>
      </c>
      <c r="AE231">
        <v>2.192812301</v>
      </c>
      <c r="AF231">
        <v>2.2156337060000002</v>
      </c>
      <c r="AG231">
        <v>2.23713637</v>
      </c>
      <c r="AH231">
        <v>2.2598031860000001</v>
      </c>
      <c r="AI231">
        <v>2.2850262209999999</v>
      </c>
      <c r="AJ231">
        <v>2.312350328</v>
      </c>
      <c r="AK231">
        <v>2.3403904729999998</v>
      </c>
      <c r="AL231">
        <v>2.3696745899999998</v>
      </c>
      <c r="AM231">
        <v>2.3998005990000002</v>
      </c>
      <c r="AN231">
        <v>2.4309402640000002</v>
      </c>
      <c r="AO231">
        <v>2.4631862020000002</v>
      </c>
      <c r="AP231">
        <v>2.4951249120000001</v>
      </c>
      <c r="AQ231">
        <v>2.5272420900000001</v>
      </c>
      <c r="AR231">
        <v>2.5592932230000001</v>
      </c>
      <c r="AS231">
        <v>2.5908294110000001</v>
      </c>
      <c r="AT231">
        <v>2.6225686229999998</v>
      </c>
      <c r="AU231">
        <v>2.654779343</v>
      </c>
      <c r="AV231">
        <v>2.687620135</v>
      </c>
      <c r="AW231">
        <v>2.720646774</v>
      </c>
    </row>
    <row r="232" spans="2:49" x14ac:dyDescent="0.25">
      <c r="B232" t="s">
        <v>483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2:49" x14ac:dyDescent="0.25">
      <c r="B233" t="s">
        <v>484</v>
      </c>
      <c r="C233">
        <v>1.5692072404564801</v>
      </c>
      <c r="D233">
        <v>1.5944013702764701</v>
      </c>
      <c r="E233">
        <v>1.6271514730000001</v>
      </c>
      <c r="F233">
        <v>1.6520480900000001</v>
      </c>
      <c r="G233">
        <v>1.676439971</v>
      </c>
      <c r="H233">
        <v>1.56045732</v>
      </c>
      <c r="I233">
        <v>1.6493759400000001</v>
      </c>
      <c r="J233">
        <v>1.7022751739999999</v>
      </c>
      <c r="K233">
        <v>1.693329927</v>
      </c>
      <c r="L233">
        <v>1.70387541</v>
      </c>
      <c r="M233">
        <v>1.721097836</v>
      </c>
      <c r="N233">
        <v>1.768943605</v>
      </c>
      <c r="O233">
        <v>1.8254410409999999</v>
      </c>
      <c r="P233">
        <v>1.9165789630000001</v>
      </c>
      <c r="Q233">
        <v>1.968287946</v>
      </c>
      <c r="R233">
        <v>2.0593339890000002</v>
      </c>
      <c r="S233">
        <v>2.1040699049999998</v>
      </c>
      <c r="T233">
        <v>2.113479001</v>
      </c>
      <c r="U233">
        <v>2.140849174</v>
      </c>
      <c r="V233">
        <v>2.1758016090000001</v>
      </c>
      <c r="W233">
        <v>2.2068400100000001</v>
      </c>
      <c r="X233">
        <v>2.232513752</v>
      </c>
      <c r="Y233">
        <v>2.2506829160000001</v>
      </c>
      <c r="Z233">
        <v>2.2746402369999998</v>
      </c>
      <c r="AA233">
        <v>2.293451154</v>
      </c>
      <c r="AB233">
        <v>2.310096036</v>
      </c>
      <c r="AC233">
        <v>2.325405731</v>
      </c>
      <c r="AD233">
        <v>2.339366461</v>
      </c>
      <c r="AE233">
        <v>2.3524294669999999</v>
      </c>
      <c r="AF233">
        <v>2.369090447</v>
      </c>
      <c r="AG233">
        <v>2.3833537530000002</v>
      </c>
      <c r="AH233">
        <v>2.3985220410000001</v>
      </c>
      <c r="AI233">
        <v>2.4131021210000001</v>
      </c>
      <c r="AJ233">
        <v>2.429648679</v>
      </c>
      <c r="AK233">
        <v>2.446836083</v>
      </c>
      <c r="AL233">
        <v>2.465361277</v>
      </c>
      <c r="AM233">
        <v>2.4848769449999999</v>
      </c>
      <c r="AN233">
        <v>2.5081233869999999</v>
      </c>
      <c r="AO233">
        <v>2.5339601589999998</v>
      </c>
      <c r="AP233">
        <v>2.5598731340000001</v>
      </c>
      <c r="AQ233">
        <v>2.5862156449999998</v>
      </c>
      <c r="AR233">
        <v>2.6125945920000002</v>
      </c>
      <c r="AS233">
        <v>2.6393266419999999</v>
      </c>
      <c r="AT233">
        <v>2.6668703919999999</v>
      </c>
      <c r="AU233">
        <v>2.6950738300000001</v>
      </c>
      <c r="AV233">
        <v>2.724048335</v>
      </c>
      <c r="AW233">
        <v>2.7532515769999999</v>
      </c>
    </row>
    <row r="234" spans="2:49" x14ac:dyDescent="0.25">
      <c r="B234" t="s">
        <v>485</v>
      </c>
      <c r="C234">
        <v>0.99151022292981705</v>
      </c>
      <c r="D234">
        <v>0.99151022292981705</v>
      </c>
      <c r="E234">
        <v>0.99190376039999995</v>
      </c>
      <c r="F234">
        <v>0.98791902549999999</v>
      </c>
      <c r="G234">
        <v>0.98397034409999995</v>
      </c>
      <c r="H234">
        <v>0.98000841370000003</v>
      </c>
      <c r="I234">
        <v>0.97610488350000002</v>
      </c>
      <c r="J234">
        <v>0.9722183982</v>
      </c>
      <c r="K234">
        <v>0.96833830809999999</v>
      </c>
      <c r="L234">
        <v>0.96448469619999999</v>
      </c>
      <c r="M234">
        <v>0.9606357016</v>
      </c>
      <c r="N234">
        <v>0.95682791860000005</v>
      </c>
      <c r="O234">
        <v>0.95615376269999997</v>
      </c>
      <c r="P234">
        <v>0.95545100169999997</v>
      </c>
      <c r="Q234">
        <v>0.95469848810000002</v>
      </c>
      <c r="R234">
        <v>0.95390643659999996</v>
      </c>
      <c r="S234">
        <v>0.95303117670000004</v>
      </c>
      <c r="T234">
        <v>0.9505624292</v>
      </c>
      <c r="U234">
        <v>0.94819794989999995</v>
      </c>
      <c r="V234">
        <v>0.9459178922</v>
      </c>
      <c r="W234">
        <v>0.94596147419999999</v>
      </c>
      <c r="X234">
        <v>0.94601562110000004</v>
      </c>
      <c r="Y234">
        <v>0.9460571566</v>
      </c>
      <c r="Z234">
        <v>0.94609212239999996</v>
      </c>
      <c r="AA234">
        <v>0.94612522560000001</v>
      </c>
      <c r="AB234">
        <v>0.94615811490000001</v>
      </c>
      <c r="AC234">
        <v>0.94619562909999999</v>
      </c>
      <c r="AD234">
        <v>0.94623018560000005</v>
      </c>
      <c r="AE234">
        <v>0.94626228840000004</v>
      </c>
      <c r="AF234">
        <v>0.94629678120000005</v>
      </c>
      <c r="AG234">
        <v>0.94633056599999998</v>
      </c>
      <c r="AH234">
        <v>0.94636589770000001</v>
      </c>
      <c r="AI234">
        <v>0.94640104859999996</v>
      </c>
      <c r="AJ234">
        <v>0.94643780310000003</v>
      </c>
      <c r="AK234">
        <v>0.94647581469999997</v>
      </c>
      <c r="AL234">
        <v>0.94651504279999998</v>
      </c>
      <c r="AM234">
        <v>0.94655512490000004</v>
      </c>
      <c r="AN234">
        <v>0.94659814060000003</v>
      </c>
      <c r="AO234">
        <v>0.94664317399999998</v>
      </c>
      <c r="AP234">
        <v>0.94668939630000004</v>
      </c>
      <c r="AQ234">
        <v>0.94673657710000003</v>
      </c>
      <c r="AR234">
        <v>0.94678704709999995</v>
      </c>
      <c r="AS234">
        <v>0.94682960930000004</v>
      </c>
      <c r="AT234">
        <v>0.94687206700000004</v>
      </c>
      <c r="AU234">
        <v>0.94691532270000001</v>
      </c>
      <c r="AV234">
        <v>0.94695935399999998</v>
      </c>
      <c r="AW234">
        <v>0.94700268200000004</v>
      </c>
    </row>
    <row r="235" spans="2:49" x14ac:dyDescent="0.25">
      <c r="B235" t="s">
        <v>486</v>
      </c>
      <c r="C235">
        <v>8.4897770701825997E-3</v>
      </c>
      <c r="D235">
        <v>8.4897770701825997E-3</v>
      </c>
      <c r="E235">
        <v>8.0962396400000008E-3</v>
      </c>
      <c r="F235">
        <v>1.2080974499999999E-2</v>
      </c>
      <c r="G235">
        <v>1.6029655899999998E-2</v>
      </c>
      <c r="H235">
        <v>1.9991586299999999E-2</v>
      </c>
      <c r="I235">
        <v>2.3895116500000001E-2</v>
      </c>
      <c r="J235">
        <v>2.77816018E-2</v>
      </c>
      <c r="K235">
        <v>3.1661691899999997E-2</v>
      </c>
      <c r="L235">
        <v>3.5515303800000002E-2</v>
      </c>
      <c r="M235">
        <v>3.9364298399999997E-2</v>
      </c>
      <c r="N235">
        <v>4.3172081399999999E-2</v>
      </c>
      <c r="O235">
        <v>4.38462373E-2</v>
      </c>
      <c r="P235">
        <v>4.4548998300000003E-2</v>
      </c>
      <c r="Q235">
        <v>4.5301511900000001E-2</v>
      </c>
      <c r="R235">
        <v>4.6093563400000002E-2</v>
      </c>
      <c r="S235">
        <v>4.6968823299999997E-2</v>
      </c>
      <c r="T235">
        <v>4.9437570799999997E-2</v>
      </c>
      <c r="U235">
        <v>5.1802050099999997E-2</v>
      </c>
      <c r="V235">
        <v>5.4082107800000001E-2</v>
      </c>
      <c r="W235">
        <v>5.4038525800000001E-2</v>
      </c>
      <c r="X235">
        <v>5.3984378899999998E-2</v>
      </c>
      <c r="Y235">
        <v>5.3942843400000003E-2</v>
      </c>
      <c r="Z235">
        <v>5.3907877600000001E-2</v>
      </c>
      <c r="AA235">
        <v>5.3874774399999999E-2</v>
      </c>
      <c r="AB235">
        <v>5.38418851E-2</v>
      </c>
      <c r="AC235">
        <v>5.3804370900000002E-2</v>
      </c>
      <c r="AD235">
        <v>5.3769814399999998E-2</v>
      </c>
      <c r="AE235">
        <v>5.3737711600000002E-2</v>
      </c>
      <c r="AF235">
        <v>5.3703218800000001E-2</v>
      </c>
      <c r="AG235">
        <v>5.3669434000000002E-2</v>
      </c>
      <c r="AH235">
        <v>5.36341023E-2</v>
      </c>
      <c r="AI235">
        <v>5.3598951399999997E-2</v>
      </c>
      <c r="AJ235">
        <v>5.3562196899999998E-2</v>
      </c>
      <c r="AK235">
        <v>5.3524185299999999E-2</v>
      </c>
      <c r="AL235">
        <v>5.3484957200000002E-2</v>
      </c>
      <c r="AM235">
        <v>5.3444875099999997E-2</v>
      </c>
      <c r="AN235">
        <v>5.3401859400000001E-2</v>
      </c>
      <c r="AO235">
        <v>5.3356826000000003E-2</v>
      </c>
      <c r="AP235">
        <v>5.33106037E-2</v>
      </c>
      <c r="AQ235">
        <v>5.3263422900000003E-2</v>
      </c>
      <c r="AR235">
        <v>5.3212952899999999E-2</v>
      </c>
      <c r="AS235">
        <v>5.31703907E-2</v>
      </c>
      <c r="AT235">
        <v>5.3127933000000002E-2</v>
      </c>
      <c r="AU235">
        <v>5.3084677300000001E-2</v>
      </c>
      <c r="AV235">
        <v>5.3040645999999997E-2</v>
      </c>
      <c r="AW235">
        <v>5.2997318000000002E-2</v>
      </c>
    </row>
    <row r="236" spans="2:49" x14ac:dyDescent="0.25">
      <c r="B236" t="s">
        <v>487</v>
      </c>
      <c r="C236">
        <v>0.79896379760487002</v>
      </c>
      <c r="D236">
        <v>0.79896379760486902</v>
      </c>
      <c r="E236">
        <v>0.79896379760000003</v>
      </c>
      <c r="F236">
        <v>0.79638418170000003</v>
      </c>
      <c r="G236">
        <v>0.79381289450000003</v>
      </c>
      <c r="H236">
        <v>0.79124990930000005</v>
      </c>
      <c r="I236">
        <v>0.78869519919999997</v>
      </c>
      <c r="J236">
        <v>0.78614873750000003</v>
      </c>
      <c r="K236">
        <v>0.7836104975</v>
      </c>
      <c r="L236">
        <v>0.78108045280000005</v>
      </c>
      <c r="M236">
        <v>0.77855857679999996</v>
      </c>
      <c r="N236">
        <v>0.7760448432</v>
      </c>
      <c r="O236">
        <v>0.76081534390000005</v>
      </c>
      <c r="P236">
        <v>0.74503571680000003</v>
      </c>
      <c r="Q236">
        <v>0.72867560580000001</v>
      </c>
      <c r="R236">
        <v>0.71170237920000001</v>
      </c>
      <c r="S236">
        <v>0.69408091299999997</v>
      </c>
      <c r="T236">
        <v>0.68549363870000002</v>
      </c>
      <c r="U236">
        <v>0.67684743709999995</v>
      </c>
      <c r="V236">
        <v>0.66814169960000003</v>
      </c>
      <c r="W236">
        <v>0.66814169960000003</v>
      </c>
      <c r="X236">
        <v>0.66814169960000003</v>
      </c>
      <c r="Y236">
        <v>0.66814169960000003</v>
      </c>
      <c r="Z236">
        <v>0.66814169960000003</v>
      </c>
      <c r="AA236">
        <v>0.66814169960000003</v>
      </c>
      <c r="AB236">
        <v>0.66814169960000003</v>
      </c>
      <c r="AC236">
        <v>0.66814169960000003</v>
      </c>
      <c r="AD236">
        <v>0.66814169960000003</v>
      </c>
      <c r="AE236">
        <v>0.66814169960000003</v>
      </c>
      <c r="AF236">
        <v>0.66814169960000003</v>
      </c>
      <c r="AG236">
        <v>0.66814169960000003</v>
      </c>
      <c r="AH236">
        <v>0.66814169960000003</v>
      </c>
      <c r="AI236">
        <v>0.66814169960000003</v>
      </c>
      <c r="AJ236">
        <v>0.66814169960000003</v>
      </c>
      <c r="AK236">
        <v>0.66814169960000003</v>
      </c>
      <c r="AL236">
        <v>0.66814169960000003</v>
      </c>
      <c r="AM236">
        <v>0.66814169960000003</v>
      </c>
      <c r="AN236">
        <v>0.66814169960000003</v>
      </c>
      <c r="AO236">
        <v>0.66814169960000003</v>
      </c>
      <c r="AP236">
        <v>0.66814169960000003</v>
      </c>
      <c r="AQ236">
        <v>0.66814169960000003</v>
      </c>
      <c r="AR236">
        <v>0.66814169960000003</v>
      </c>
      <c r="AS236">
        <v>0.66814169960000003</v>
      </c>
      <c r="AT236">
        <v>0.66814169960000003</v>
      </c>
      <c r="AU236">
        <v>0.66814169960000003</v>
      </c>
      <c r="AV236">
        <v>0.66814169960000003</v>
      </c>
      <c r="AW236">
        <v>0.66814169960000003</v>
      </c>
    </row>
    <row r="237" spans="2:49" x14ac:dyDescent="0.25">
      <c r="B237" t="s">
        <v>488</v>
      </c>
      <c r="C237">
        <v>1.02537481030392E-2</v>
      </c>
      <c r="D237">
        <v>1.02537481030392E-2</v>
      </c>
      <c r="E237">
        <v>1.02537481E-2</v>
      </c>
      <c r="F237">
        <v>9.6835705400000003E-3</v>
      </c>
      <c r="G237">
        <v>9.1450986900000007E-3</v>
      </c>
      <c r="H237">
        <v>8.6365695100000008E-3</v>
      </c>
      <c r="I237">
        <v>8.1563179799999906E-3</v>
      </c>
      <c r="J237">
        <v>7.7027716699999997E-3</v>
      </c>
      <c r="K237">
        <v>7.2744456000000002E-3</v>
      </c>
      <c r="L237">
        <v>6.8699373499999999E-3</v>
      </c>
      <c r="M237">
        <v>6.4879224899999999E-3</v>
      </c>
      <c r="N237">
        <v>6.1271502300000004E-3</v>
      </c>
      <c r="O237">
        <v>5.5291148799999999E-3</v>
      </c>
      <c r="P237">
        <v>4.9094769899999998E-3</v>
      </c>
      <c r="Q237">
        <v>4.2670445299999998E-3</v>
      </c>
      <c r="R237">
        <v>3.6005361100000001E-3</v>
      </c>
      <c r="S237">
        <v>2.9085724800000001E-3</v>
      </c>
      <c r="T237">
        <v>3.81905458E-3</v>
      </c>
      <c r="U237">
        <v>4.7357845600000002E-3</v>
      </c>
      <c r="V237">
        <v>5.6588269500000002E-3</v>
      </c>
      <c r="W237">
        <v>5.6588269500000002E-3</v>
      </c>
      <c r="X237">
        <v>5.6588269500000002E-3</v>
      </c>
      <c r="Y237">
        <v>5.6588269500000002E-3</v>
      </c>
      <c r="Z237">
        <v>5.6588269500000002E-3</v>
      </c>
      <c r="AA237">
        <v>5.6588269500000002E-3</v>
      </c>
      <c r="AB237">
        <v>5.6588269500000002E-3</v>
      </c>
      <c r="AC237">
        <v>5.6588269500000002E-3</v>
      </c>
      <c r="AD237">
        <v>5.6588269500000002E-3</v>
      </c>
      <c r="AE237">
        <v>5.6588269500000002E-3</v>
      </c>
      <c r="AF237">
        <v>5.6588269500000002E-3</v>
      </c>
      <c r="AG237">
        <v>5.6588269500000002E-3</v>
      </c>
      <c r="AH237">
        <v>5.6588269500000002E-3</v>
      </c>
      <c r="AI237">
        <v>5.6588269500000002E-3</v>
      </c>
      <c r="AJ237">
        <v>5.6588269500000002E-3</v>
      </c>
      <c r="AK237">
        <v>5.6588269500000002E-3</v>
      </c>
      <c r="AL237">
        <v>5.6588269500000002E-3</v>
      </c>
      <c r="AM237">
        <v>5.6588269500000002E-3</v>
      </c>
      <c r="AN237">
        <v>5.6588269500000002E-3</v>
      </c>
      <c r="AO237">
        <v>5.6588269500000002E-3</v>
      </c>
      <c r="AP237">
        <v>5.6588269500000002E-3</v>
      </c>
      <c r="AQ237">
        <v>5.6588269500000002E-3</v>
      </c>
      <c r="AR237">
        <v>5.6588269500000002E-3</v>
      </c>
      <c r="AS237">
        <v>5.6588269500000002E-3</v>
      </c>
      <c r="AT237">
        <v>5.6588269500000002E-3</v>
      </c>
      <c r="AU237">
        <v>5.6588269500000002E-3</v>
      </c>
      <c r="AV237">
        <v>5.6588269500000002E-3</v>
      </c>
      <c r="AW237">
        <v>5.6588269500000002E-3</v>
      </c>
    </row>
    <row r="238" spans="2:49" x14ac:dyDescent="0.25">
      <c r="B238" t="s">
        <v>489</v>
      </c>
      <c r="C238">
        <v>4.0949078402655603E-2</v>
      </c>
      <c r="D238">
        <v>4.0949078402655603E-2</v>
      </c>
      <c r="E238">
        <v>4.0949078399999998E-2</v>
      </c>
      <c r="F238">
        <v>4.08762326E-2</v>
      </c>
      <c r="G238">
        <v>4.0803516300000002E-2</v>
      </c>
      <c r="H238">
        <v>4.0730929399999997E-2</v>
      </c>
      <c r="I238">
        <v>4.0658471699999997E-2</v>
      </c>
      <c r="J238">
        <v>4.0586142800000002E-2</v>
      </c>
      <c r="K238">
        <v>4.0513942599999998E-2</v>
      </c>
      <c r="L238">
        <v>4.0441870900000003E-2</v>
      </c>
      <c r="M238">
        <v>4.0369927299999997E-2</v>
      </c>
      <c r="N238">
        <v>4.0298111800000001E-2</v>
      </c>
      <c r="O238">
        <v>4.42463061E-2</v>
      </c>
      <c r="P238">
        <v>4.8337119099999999E-2</v>
      </c>
      <c r="Q238">
        <v>5.25784205E-2</v>
      </c>
      <c r="R238">
        <v>5.6978670000000002E-2</v>
      </c>
      <c r="S238">
        <v>6.1546973300000002E-2</v>
      </c>
      <c r="T238">
        <v>5.8760594999999999E-2</v>
      </c>
      <c r="U238">
        <v>5.5955096199999999E-2</v>
      </c>
      <c r="V238">
        <v>5.3130279199999998E-2</v>
      </c>
      <c r="W238">
        <v>5.3130279199999998E-2</v>
      </c>
      <c r="X238">
        <v>5.3130279199999998E-2</v>
      </c>
      <c r="Y238">
        <v>5.3130279199999998E-2</v>
      </c>
      <c r="Z238">
        <v>5.3130279199999998E-2</v>
      </c>
      <c r="AA238">
        <v>5.3130279199999998E-2</v>
      </c>
      <c r="AB238">
        <v>5.3130279199999998E-2</v>
      </c>
      <c r="AC238">
        <v>5.3130279199999998E-2</v>
      </c>
      <c r="AD238">
        <v>5.3130279199999998E-2</v>
      </c>
      <c r="AE238">
        <v>5.3130279199999998E-2</v>
      </c>
      <c r="AF238">
        <v>5.3130279199999998E-2</v>
      </c>
      <c r="AG238">
        <v>5.3130279199999998E-2</v>
      </c>
      <c r="AH238">
        <v>5.3130279199999998E-2</v>
      </c>
      <c r="AI238">
        <v>5.3130279199999998E-2</v>
      </c>
      <c r="AJ238">
        <v>5.3130279199999998E-2</v>
      </c>
      <c r="AK238">
        <v>5.3130279199999998E-2</v>
      </c>
      <c r="AL238">
        <v>5.3130279199999998E-2</v>
      </c>
      <c r="AM238">
        <v>5.3130279199999998E-2</v>
      </c>
      <c r="AN238">
        <v>5.3130279199999998E-2</v>
      </c>
      <c r="AO238">
        <v>5.3130279199999998E-2</v>
      </c>
      <c r="AP238">
        <v>5.3130279199999998E-2</v>
      </c>
      <c r="AQ238">
        <v>5.3130279199999998E-2</v>
      </c>
      <c r="AR238">
        <v>5.3130279199999998E-2</v>
      </c>
      <c r="AS238">
        <v>5.3130279199999998E-2</v>
      </c>
      <c r="AT238">
        <v>5.3130279199999998E-2</v>
      </c>
      <c r="AU238">
        <v>5.3130279199999998E-2</v>
      </c>
      <c r="AV238">
        <v>5.3130279199999998E-2</v>
      </c>
      <c r="AW238">
        <v>5.3130279199999998E-2</v>
      </c>
    </row>
    <row r="239" spans="2:49" x14ac:dyDescent="0.25">
      <c r="B239" t="s">
        <v>490</v>
      </c>
      <c r="C239">
        <v>4.0858446639591303E-2</v>
      </c>
      <c r="D239">
        <v>4.0858446639591303E-2</v>
      </c>
      <c r="E239">
        <v>4.0858446600000001E-2</v>
      </c>
      <c r="F239">
        <v>3.7501973199999997E-2</v>
      </c>
      <c r="G239">
        <v>3.44212302E-2</v>
      </c>
      <c r="H239">
        <v>3.1593566500000003E-2</v>
      </c>
      <c r="I239">
        <v>2.89981921E-2</v>
      </c>
      <c r="J239">
        <v>2.6616024700000001E-2</v>
      </c>
      <c r="K239">
        <v>2.4429549500000002E-2</v>
      </c>
      <c r="L239">
        <v>2.2422690700000001E-2</v>
      </c>
      <c r="M239">
        <v>2.0580693000000001E-2</v>
      </c>
      <c r="N239">
        <v>1.88900132E-2</v>
      </c>
      <c r="O239">
        <v>1.6445307100000001E-2</v>
      </c>
      <c r="P239">
        <v>1.3912292099999999E-2</v>
      </c>
      <c r="Q239">
        <v>1.12860953E-2</v>
      </c>
      <c r="R239">
        <v>8.5614784100000001E-3</v>
      </c>
      <c r="S239">
        <v>5.7328033000000004E-3</v>
      </c>
      <c r="T239">
        <v>5.47000478E-3</v>
      </c>
      <c r="U239">
        <v>5.2054029000000003E-3</v>
      </c>
      <c r="V239">
        <v>4.9389790200000004E-3</v>
      </c>
      <c r="W239">
        <v>4.9389790200000004E-3</v>
      </c>
      <c r="X239">
        <v>4.9389790200000004E-3</v>
      </c>
      <c r="Y239">
        <v>4.9389790200000004E-3</v>
      </c>
      <c r="Z239">
        <v>4.9389790200000004E-3</v>
      </c>
      <c r="AA239">
        <v>4.9389790200000004E-3</v>
      </c>
      <c r="AB239">
        <v>4.9389790200000004E-3</v>
      </c>
      <c r="AC239">
        <v>4.9389790200000004E-3</v>
      </c>
      <c r="AD239">
        <v>4.9389790200000004E-3</v>
      </c>
      <c r="AE239">
        <v>4.9389790200000004E-3</v>
      </c>
      <c r="AF239">
        <v>4.9389790200000004E-3</v>
      </c>
      <c r="AG239">
        <v>4.9389790200000004E-3</v>
      </c>
      <c r="AH239">
        <v>4.9389790200000004E-3</v>
      </c>
      <c r="AI239">
        <v>4.9389790200000004E-3</v>
      </c>
      <c r="AJ239">
        <v>4.9389790200000004E-3</v>
      </c>
      <c r="AK239">
        <v>4.9389790200000004E-3</v>
      </c>
      <c r="AL239">
        <v>4.9389790200000004E-3</v>
      </c>
      <c r="AM239">
        <v>4.9389790200000004E-3</v>
      </c>
      <c r="AN239">
        <v>4.9389790200000004E-3</v>
      </c>
      <c r="AO239">
        <v>4.9389790200000004E-3</v>
      </c>
      <c r="AP239">
        <v>4.9389790200000004E-3</v>
      </c>
      <c r="AQ239">
        <v>4.9389790200000004E-3</v>
      </c>
      <c r="AR239">
        <v>4.9389790200000004E-3</v>
      </c>
      <c r="AS239">
        <v>4.9389790200000004E-3</v>
      </c>
      <c r="AT239">
        <v>4.9389790200000004E-3</v>
      </c>
      <c r="AU239">
        <v>4.9389790200000004E-3</v>
      </c>
      <c r="AV239">
        <v>4.9389790200000004E-3</v>
      </c>
      <c r="AW239">
        <v>4.9389790200000004E-3</v>
      </c>
    </row>
    <row r="240" spans="2:49" x14ac:dyDescent="0.25">
      <c r="B240" t="s">
        <v>491</v>
      </c>
      <c r="C240">
        <v>8.2546962733871607E-3</v>
      </c>
      <c r="D240">
        <v>8.2546962733871607E-3</v>
      </c>
      <c r="E240">
        <v>8.2546962700000004E-3</v>
      </c>
      <c r="F240">
        <v>1.7081659799999999E-2</v>
      </c>
      <c r="G240">
        <v>2.5176000800000001E-2</v>
      </c>
      <c r="H240">
        <v>3.2493267499999999E-2</v>
      </c>
      <c r="I240">
        <v>3.8964704699999998E-2</v>
      </c>
      <c r="J240">
        <v>4.44904359E-2</v>
      </c>
      <c r="K240">
        <v>4.8930383399999999E-2</v>
      </c>
      <c r="L240">
        <v>5.2092196299999997E-2</v>
      </c>
      <c r="M240">
        <v>5.37152194E-2</v>
      </c>
      <c r="N240">
        <v>5.3449221200000001E-2</v>
      </c>
      <c r="O240">
        <v>5.9116927600000001E-2</v>
      </c>
      <c r="P240">
        <v>6.4989365699999996E-2</v>
      </c>
      <c r="Q240">
        <v>7.1077832800000004E-2</v>
      </c>
      <c r="R240">
        <v>7.7394472699999994E-2</v>
      </c>
      <c r="S240">
        <v>8.39523571E-2</v>
      </c>
      <c r="T240">
        <v>8.81391225E-2</v>
      </c>
      <c r="U240">
        <v>9.2354618099999994E-2</v>
      </c>
      <c r="V240">
        <v>9.6599140799999997E-2</v>
      </c>
      <c r="W240">
        <v>9.6599140799999997E-2</v>
      </c>
      <c r="X240">
        <v>9.6599140799999997E-2</v>
      </c>
      <c r="Y240">
        <v>9.6599140799999997E-2</v>
      </c>
      <c r="Z240">
        <v>9.6599140799999997E-2</v>
      </c>
      <c r="AA240">
        <v>9.6599140799999997E-2</v>
      </c>
      <c r="AB240">
        <v>9.6599140799999997E-2</v>
      </c>
      <c r="AC240">
        <v>9.6599140799999997E-2</v>
      </c>
      <c r="AD240">
        <v>9.6599140799999997E-2</v>
      </c>
      <c r="AE240">
        <v>9.6599140799999997E-2</v>
      </c>
      <c r="AF240">
        <v>9.6599140799999997E-2</v>
      </c>
      <c r="AG240">
        <v>9.6599140799999997E-2</v>
      </c>
      <c r="AH240">
        <v>9.6599140799999997E-2</v>
      </c>
      <c r="AI240">
        <v>9.6599140799999997E-2</v>
      </c>
      <c r="AJ240">
        <v>9.6599140799999997E-2</v>
      </c>
      <c r="AK240">
        <v>9.6599140799999997E-2</v>
      </c>
      <c r="AL240">
        <v>9.6599140799999997E-2</v>
      </c>
      <c r="AM240">
        <v>9.6599140799999997E-2</v>
      </c>
      <c r="AN240">
        <v>9.6599140799999997E-2</v>
      </c>
      <c r="AO240">
        <v>9.6599140799999997E-2</v>
      </c>
      <c r="AP240">
        <v>9.6599140799999997E-2</v>
      </c>
      <c r="AQ240">
        <v>9.6599140799999997E-2</v>
      </c>
      <c r="AR240">
        <v>9.6599140799999997E-2</v>
      </c>
      <c r="AS240">
        <v>9.6599140799999997E-2</v>
      </c>
      <c r="AT240">
        <v>9.6599140799999997E-2</v>
      </c>
      <c r="AU240">
        <v>9.6599140799999997E-2</v>
      </c>
      <c r="AV240">
        <v>9.6599140799999997E-2</v>
      </c>
      <c r="AW240">
        <v>9.6599140799999997E-2</v>
      </c>
    </row>
    <row r="241" spans="2:49" x14ac:dyDescent="0.25">
      <c r="B241" t="s">
        <v>492</v>
      </c>
      <c r="C241">
        <v>1.85730666151211E-3</v>
      </c>
      <c r="D241">
        <v>1.85730666151211E-3</v>
      </c>
      <c r="E241">
        <v>1.8573066599999999E-3</v>
      </c>
      <c r="F241">
        <v>2.4629865800000002E-3</v>
      </c>
      <c r="G241">
        <v>3.26618272E-3</v>
      </c>
      <c r="H241">
        <v>4.3313063900000002E-3</v>
      </c>
      <c r="I241">
        <v>5.7437738999999996E-3</v>
      </c>
      <c r="J241">
        <v>7.6168563700000002E-3</v>
      </c>
      <c r="K241">
        <v>1.0100763299999999E-2</v>
      </c>
      <c r="L241">
        <v>1.3394688700000001E-2</v>
      </c>
      <c r="M241">
        <v>1.7762784899999998E-2</v>
      </c>
      <c r="N241">
        <v>2.35553459E-2</v>
      </c>
      <c r="O241">
        <v>2.60531331E-2</v>
      </c>
      <c r="P241">
        <v>2.8641146700000002E-2</v>
      </c>
      <c r="Q241">
        <v>3.1324365399999998E-2</v>
      </c>
      <c r="R241">
        <v>3.4108141000000002E-2</v>
      </c>
      <c r="S241">
        <v>3.6998234300000002E-2</v>
      </c>
      <c r="T241">
        <v>3.8309503799999998E-2</v>
      </c>
      <c r="U241">
        <v>3.9629771500000001E-2</v>
      </c>
      <c r="V241">
        <v>4.0959130199999999E-2</v>
      </c>
      <c r="W241">
        <v>4.0959130199999999E-2</v>
      </c>
      <c r="X241">
        <v>4.0959130199999999E-2</v>
      </c>
      <c r="Y241">
        <v>4.0959130199999999E-2</v>
      </c>
      <c r="Z241">
        <v>4.0959130199999999E-2</v>
      </c>
      <c r="AA241">
        <v>4.0959130199999999E-2</v>
      </c>
      <c r="AB241">
        <v>4.0959130199999999E-2</v>
      </c>
      <c r="AC241">
        <v>4.0959130199999999E-2</v>
      </c>
      <c r="AD241">
        <v>4.0959130199999999E-2</v>
      </c>
      <c r="AE241">
        <v>4.0959130199999999E-2</v>
      </c>
      <c r="AF241">
        <v>4.0959130199999999E-2</v>
      </c>
      <c r="AG241">
        <v>4.0959130199999999E-2</v>
      </c>
      <c r="AH241">
        <v>4.0959130199999999E-2</v>
      </c>
      <c r="AI241">
        <v>4.0959130199999999E-2</v>
      </c>
      <c r="AJ241">
        <v>4.0959130199999999E-2</v>
      </c>
      <c r="AK241">
        <v>4.0959130199999999E-2</v>
      </c>
      <c r="AL241">
        <v>4.0959130199999999E-2</v>
      </c>
      <c r="AM241">
        <v>4.0959130199999999E-2</v>
      </c>
      <c r="AN241">
        <v>4.0959130199999999E-2</v>
      </c>
      <c r="AO241">
        <v>4.0959130199999999E-2</v>
      </c>
      <c r="AP241">
        <v>4.0959130199999999E-2</v>
      </c>
      <c r="AQ241">
        <v>4.0959130199999999E-2</v>
      </c>
      <c r="AR241">
        <v>4.0959130199999999E-2</v>
      </c>
      <c r="AS241">
        <v>4.0959130199999999E-2</v>
      </c>
      <c r="AT241">
        <v>4.0959130199999999E-2</v>
      </c>
      <c r="AU241">
        <v>4.0959130199999999E-2</v>
      </c>
      <c r="AV241">
        <v>4.0959130199999999E-2</v>
      </c>
      <c r="AW241">
        <v>4.0959130199999999E-2</v>
      </c>
    </row>
    <row r="242" spans="2:49" x14ac:dyDescent="0.25">
      <c r="B242" t="s">
        <v>493</v>
      </c>
      <c r="C242">
        <v>9.2848272947954696E-2</v>
      </c>
      <c r="D242">
        <v>9.2848272947954599E-2</v>
      </c>
      <c r="E242">
        <v>9.2848272900000001E-2</v>
      </c>
      <c r="F242">
        <v>8.9289128999999995E-2</v>
      </c>
      <c r="G242">
        <v>8.5866417400000006E-2</v>
      </c>
      <c r="H242">
        <v>8.2574908299999999E-2</v>
      </c>
      <c r="I242">
        <v>7.9409572299999995E-2</v>
      </c>
      <c r="J242">
        <v>7.6365572699999995E-2</v>
      </c>
      <c r="K242">
        <v>7.34382586E-2</v>
      </c>
      <c r="L242">
        <v>7.0623156899999998E-2</v>
      </c>
      <c r="M242">
        <v>6.7915966199999997E-2</v>
      </c>
      <c r="N242">
        <v>6.5312549999999997E-2</v>
      </c>
      <c r="O242">
        <v>7.2238232799999996E-2</v>
      </c>
      <c r="P242">
        <v>7.9414088699999996E-2</v>
      </c>
      <c r="Q242">
        <v>8.6853922200000003E-2</v>
      </c>
      <c r="R242">
        <v>9.4572572800000004E-2</v>
      </c>
      <c r="S242">
        <v>0.10258601320000001</v>
      </c>
      <c r="T242">
        <v>0.10719493450000001</v>
      </c>
      <c r="U242">
        <v>0.11183548290000001</v>
      </c>
      <c r="V242">
        <v>0.1165079852</v>
      </c>
      <c r="W242">
        <v>0.1165079852</v>
      </c>
      <c r="X242">
        <v>0.1165079852</v>
      </c>
      <c r="Y242">
        <v>0.1165079852</v>
      </c>
      <c r="Z242">
        <v>0.1165079852</v>
      </c>
      <c r="AA242">
        <v>0.1165079852</v>
      </c>
      <c r="AB242">
        <v>0.1165079852</v>
      </c>
      <c r="AC242">
        <v>0.1165079852</v>
      </c>
      <c r="AD242">
        <v>0.1165079852</v>
      </c>
      <c r="AE242">
        <v>0.1165079852</v>
      </c>
      <c r="AF242">
        <v>0.1165079852</v>
      </c>
      <c r="AG242">
        <v>0.1165079852</v>
      </c>
      <c r="AH242">
        <v>0.1165079852</v>
      </c>
      <c r="AI242">
        <v>0.1165079852</v>
      </c>
      <c r="AJ242">
        <v>0.1165079852</v>
      </c>
      <c r="AK242">
        <v>0.1165079852</v>
      </c>
      <c r="AL242">
        <v>0.1165079852</v>
      </c>
      <c r="AM242">
        <v>0.1165079852</v>
      </c>
      <c r="AN242">
        <v>0.1165079852</v>
      </c>
      <c r="AO242">
        <v>0.1165079852</v>
      </c>
      <c r="AP242">
        <v>0.1165079852</v>
      </c>
      <c r="AQ242">
        <v>0.1165079852</v>
      </c>
      <c r="AR242">
        <v>0.1165079852</v>
      </c>
      <c r="AS242">
        <v>0.1165079852</v>
      </c>
      <c r="AT242">
        <v>0.1165079852</v>
      </c>
      <c r="AU242">
        <v>0.1165079852</v>
      </c>
      <c r="AV242">
        <v>0.1165079852</v>
      </c>
      <c r="AW242">
        <v>0.1165079852</v>
      </c>
    </row>
    <row r="243" spans="2:49" x14ac:dyDescent="0.25">
      <c r="B243" t="s">
        <v>494</v>
      </c>
      <c r="C243">
        <v>6.0146533669896496E-3</v>
      </c>
      <c r="D243">
        <v>6.0146533669896496E-3</v>
      </c>
      <c r="E243">
        <v>6.0146533700000003E-3</v>
      </c>
      <c r="F243">
        <v>6.72026663E-3</v>
      </c>
      <c r="G243">
        <v>7.50865942E-3</v>
      </c>
      <c r="H243">
        <v>8.38954305E-3</v>
      </c>
      <c r="I243">
        <v>9.3737681600000004E-3</v>
      </c>
      <c r="J243">
        <v>1.04734583E-2</v>
      </c>
      <c r="K243">
        <v>1.17021594E-2</v>
      </c>
      <c r="L243">
        <v>1.30750064E-2</v>
      </c>
      <c r="M243">
        <v>1.4608909999999999E-2</v>
      </c>
      <c r="N243">
        <v>1.63227645E-2</v>
      </c>
      <c r="O243">
        <v>1.55556345E-2</v>
      </c>
      <c r="P243">
        <v>1.4760793899999999E-2</v>
      </c>
      <c r="Q243">
        <v>1.3936713599999999E-2</v>
      </c>
      <c r="R243">
        <v>1.30817498E-2</v>
      </c>
      <c r="S243">
        <v>1.21941333E-2</v>
      </c>
      <c r="T243">
        <v>1.28131462E-2</v>
      </c>
      <c r="U243">
        <v>1.34364068E-2</v>
      </c>
      <c r="V243">
        <v>1.4063958999999999E-2</v>
      </c>
      <c r="W243">
        <v>1.4063958999999999E-2</v>
      </c>
      <c r="X243">
        <v>1.4063958999999999E-2</v>
      </c>
      <c r="Y243">
        <v>1.4063958999999999E-2</v>
      </c>
      <c r="Z243">
        <v>1.4063958999999999E-2</v>
      </c>
      <c r="AA243">
        <v>1.4063958999999999E-2</v>
      </c>
      <c r="AB243">
        <v>1.4063958999999999E-2</v>
      </c>
      <c r="AC243">
        <v>1.4063958999999999E-2</v>
      </c>
      <c r="AD243">
        <v>1.4063958999999999E-2</v>
      </c>
      <c r="AE243">
        <v>1.4063958999999999E-2</v>
      </c>
      <c r="AF243">
        <v>1.4063958999999999E-2</v>
      </c>
      <c r="AG243">
        <v>1.4063958999999999E-2</v>
      </c>
      <c r="AH243">
        <v>1.4063958999999999E-2</v>
      </c>
      <c r="AI243">
        <v>1.4063958999999999E-2</v>
      </c>
      <c r="AJ243">
        <v>1.4063958999999999E-2</v>
      </c>
      <c r="AK243">
        <v>1.4063958999999999E-2</v>
      </c>
      <c r="AL243">
        <v>1.4063958999999999E-2</v>
      </c>
      <c r="AM243">
        <v>1.4063958999999999E-2</v>
      </c>
      <c r="AN243">
        <v>1.4063958999999999E-2</v>
      </c>
      <c r="AO243">
        <v>1.4063958999999999E-2</v>
      </c>
      <c r="AP243">
        <v>1.4063958999999999E-2</v>
      </c>
      <c r="AQ243">
        <v>1.4063958999999999E-2</v>
      </c>
      <c r="AR243">
        <v>1.4063958999999999E-2</v>
      </c>
      <c r="AS243">
        <v>1.4063958999999999E-2</v>
      </c>
      <c r="AT243">
        <v>1.4063958999999999E-2</v>
      </c>
      <c r="AU243">
        <v>1.4063958999999999E-2</v>
      </c>
      <c r="AV243">
        <v>1.4063958999999999E-2</v>
      </c>
      <c r="AW243">
        <v>1.4063958999999999E-2</v>
      </c>
    </row>
    <row r="244" spans="2:49" x14ac:dyDescent="0.25">
      <c r="B244" t="s">
        <v>495</v>
      </c>
      <c r="C244">
        <v>0.92287069498865704</v>
      </c>
      <c r="D244">
        <v>0.92287069498865704</v>
      </c>
      <c r="E244">
        <v>0.90773113360000002</v>
      </c>
      <c r="F244">
        <v>0.88140620780000001</v>
      </c>
      <c r="G244">
        <v>0.85608286460000005</v>
      </c>
      <c r="H244">
        <v>0.83110170139999995</v>
      </c>
      <c r="I244">
        <v>0.8072956764</v>
      </c>
      <c r="J244">
        <v>0.78426093929999996</v>
      </c>
      <c r="K244">
        <v>0.76195841259999997</v>
      </c>
      <c r="L244">
        <v>0.7401777517</v>
      </c>
      <c r="M244">
        <v>0.71873954969999998</v>
      </c>
      <c r="N244">
        <v>0.69800869499999996</v>
      </c>
      <c r="O244">
        <v>0.69529150350000002</v>
      </c>
      <c r="P244">
        <v>0.69303792870000003</v>
      </c>
      <c r="Q244">
        <v>0.69111307479999995</v>
      </c>
      <c r="R244">
        <v>0.68932481069999996</v>
      </c>
      <c r="S244">
        <v>0.68712676210000001</v>
      </c>
      <c r="T244">
        <v>0.66165936430000005</v>
      </c>
      <c r="U244">
        <v>0.63564753809999996</v>
      </c>
      <c r="V244">
        <v>0.60904015570000003</v>
      </c>
      <c r="W244">
        <v>0.60934714450000005</v>
      </c>
      <c r="X244">
        <v>0.60949716539999998</v>
      </c>
      <c r="Y244">
        <v>0.60953360150000002</v>
      </c>
      <c r="Z244">
        <v>0.60953951500000003</v>
      </c>
      <c r="AA244">
        <v>0.60956922830000004</v>
      </c>
      <c r="AB244">
        <v>0.60960251350000005</v>
      </c>
      <c r="AC244">
        <v>0.60962456499999995</v>
      </c>
      <c r="AD244">
        <v>0.60959635130000001</v>
      </c>
      <c r="AE244">
        <v>0.60958791430000003</v>
      </c>
      <c r="AF244">
        <v>0.60960048389999999</v>
      </c>
      <c r="AG244">
        <v>0.60960802560000005</v>
      </c>
      <c r="AH244">
        <v>0.60964058840000002</v>
      </c>
      <c r="AI244">
        <v>0.60971137980000001</v>
      </c>
      <c r="AJ244">
        <v>0.60979768400000001</v>
      </c>
      <c r="AK244">
        <v>0.60989588530000005</v>
      </c>
      <c r="AL244">
        <v>0.61000658630000004</v>
      </c>
      <c r="AM244">
        <v>0.61012601089999996</v>
      </c>
      <c r="AN244">
        <v>0.61039466419999999</v>
      </c>
      <c r="AO244">
        <v>0.61068591360000002</v>
      </c>
      <c r="AP244">
        <v>0.61098903829999995</v>
      </c>
      <c r="AQ244">
        <v>0.61129838800000003</v>
      </c>
      <c r="AR244">
        <v>0.6116258081</v>
      </c>
      <c r="AS244">
        <v>0.61193834499999999</v>
      </c>
      <c r="AT244">
        <v>0.61225420689999999</v>
      </c>
      <c r="AU244">
        <v>0.61258247239999997</v>
      </c>
      <c r="AV244">
        <v>0.61292351469999995</v>
      </c>
      <c r="AW244">
        <v>0.61326388080000005</v>
      </c>
    </row>
    <row r="245" spans="2:49" x14ac:dyDescent="0.25">
      <c r="B245" t="s">
        <v>496</v>
      </c>
      <c r="C245">
        <v>4.1245617653124303E-2</v>
      </c>
      <c r="D245">
        <v>4.1245617653124303E-2</v>
      </c>
      <c r="E245">
        <v>4.05387215E-2</v>
      </c>
      <c r="F245">
        <v>6.4509082199999998E-2</v>
      </c>
      <c r="G245">
        <v>8.6765886299999997E-2</v>
      </c>
      <c r="H245">
        <v>0.1075007129</v>
      </c>
      <c r="I245">
        <v>0.12593339749999999</v>
      </c>
      <c r="J245">
        <v>0.1419696694</v>
      </c>
      <c r="K245">
        <v>0.15519933399999999</v>
      </c>
      <c r="L245">
        <v>0.16507502660000001</v>
      </c>
      <c r="M245">
        <v>0.17099838049999999</v>
      </c>
      <c r="N245">
        <v>0.17193333390000001</v>
      </c>
      <c r="O245">
        <v>0.17383517609999999</v>
      </c>
      <c r="P245">
        <v>0.17547108180000001</v>
      </c>
      <c r="Q245">
        <v>0.1769167858</v>
      </c>
      <c r="R245">
        <v>0.17828151919999999</v>
      </c>
      <c r="S245">
        <v>0.17987904299999999</v>
      </c>
      <c r="T245">
        <v>0.18452038130000001</v>
      </c>
      <c r="U245">
        <v>0.18925045530000001</v>
      </c>
      <c r="V245">
        <v>0.19409059000000001</v>
      </c>
      <c r="W245">
        <v>0.1939381865</v>
      </c>
      <c r="X245">
        <v>0.19386370920000001</v>
      </c>
      <c r="Y245">
        <v>0.19384562059999999</v>
      </c>
      <c r="Z245">
        <v>0.19384268490000001</v>
      </c>
      <c r="AA245">
        <v>0.19382793379999999</v>
      </c>
      <c r="AB245">
        <v>0.1938114095</v>
      </c>
      <c r="AC245">
        <v>0.19380046209999999</v>
      </c>
      <c r="AD245">
        <v>0.19381446869999999</v>
      </c>
      <c r="AE245">
        <v>0.19381865719999999</v>
      </c>
      <c r="AF245">
        <v>0.1938124171</v>
      </c>
      <c r="AG245">
        <v>0.19380867299999999</v>
      </c>
      <c r="AH245">
        <v>0.19379250740000001</v>
      </c>
      <c r="AI245">
        <v>0.1937573632</v>
      </c>
      <c r="AJ245">
        <v>0.19371451780000001</v>
      </c>
      <c r="AK245">
        <v>0.1936657661</v>
      </c>
      <c r="AL245">
        <v>0.19361080899999999</v>
      </c>
      <c r="AM245">
        <v>0.19355152110000001</v>
      </c>
      <c r="AN245">
        <v>0.1934181492</v>
      </c>
      <c r="AO245">
        <v>0.19327355939999999</v>
      </c>
      <c r="AP245">
        <v>0.1931230743</v>
      </c>
      <c r="AQ245">
        <v>0.1929694988</v>
      </c>
      <c r="AR245">
        <v>0.19280695219999999</v>
      </c>
      <c r="AS245">
        <v>0.19265179439999999</v>
      </c>
      <c r="AT245">
        <v>0.19249498600000001</v>
      </c>
      <c r="AU245">
        <v>0.1923320197</v>
      </c>
      <c r="AV245">
        <v>0.1921627105</v>
      </c>
      <c r="AW245">
        <v>0.191993737</v>
      </c>
    </row>
    <row r="246" spans="2:49" x14ac:dyDescent="0.25">
      <c r="B246" t="s">
        <v>497</v>
      </c>
      <c r="C246">
        <v>5.1557022066405396E-3</v>
      </c>
      <c r="D246">
        <v>5.1557022066405396E-3</v>
      </c>
      <c r="E246">
        <v>1.2243606000000001E-2</v>
      </c>
      <c r="F246">
        <v>1.22448481E-2</v>
      </c>
      <c r="G246">
        <v>1.22284583E-2</v>
      </c>
      <c r="H246">
        <v>1.22482389E-2</v>
      </c>
      <c r="I246">
        <v>1.2236095400000001E-2</v>
      </c>
      <c r="J246">
        <v>1.22241142E-2</v>
      </c>
      <c r="K246">
        <v>1.22129991E-2</v>
      </c>
      <c r="L246">
        <v>1.22022947E-2</v>
      </c>
      <c r="M246">
        <v>1.21993238E-2</v>
      </c>
      <c r="N246">
        <v>1.21945145E-2</v>
      </c>
      <c r="O246">
        <v>1.3647599E-2</v>
      </c>
      <c r="P246">
        <v>1.50744495E-2</v>
      </c>
      <c r="Q246">
        <v>1.64764783E-2</v>
      </c>
      <c r="R246">
        <v>1.7860856500000001E-2</v>
      </c>
      <c r="S246">
        <v>1.9259839500000001E-2</v>
      </c>
      <c r="T246">
        <v>2.48603217E-2</v>
      </c>
      <c r="U246">
        <v>3.0584756000000001E-2</v>
      </c>
      <c r="V246">
        <v>3.6439543599999999E-2</v>
      </c>
      <c r="W246">
        <v>3.6410930600000002E-2</v>
      </c>
      <c r="X246">
        <v>3.6396947899999997E-2</v>
      </c>
      <c r="Y246">
        <v>3.63935518E-2</v>
      </c>
      <c r="Z246">
        <v>3.6393000699999997E-2</v>
      </c>
      <c r="AA246">
        <v>3.6390231199999998E-2</v>
      </c>
      <c r="AB246">
        <v>3.6387128900000003E-2</v>
      </c>
      <c r="AC246">
        <v>3.6385073599999998E-2</v>
      </c>
      <c r="AD246">
        <v>3.6387703200000003E-2</v>
      </c>
      <c r="AE246">
        <v>3.6388489599999997E-2</v>
      </c>
      <c r="AF246">
        <v>3.6387318100000003E-2</v>
      </c>
      <c r="AG246">
        <v>3.6386615099999998E-2</v>
      </c>
      <c r="AH246">
        <v>3.63835801E-2</v>
      </c>
      <c r="AI246">
        <v>3.6376982000000002E-2</v>
      </c>
      <c r="AJ246">
        <v>3.6368937900000002E-2</v>
      </c>
      <c r="AK246">
        <v>3.63597851E-2</v>
      </c>
      <c r="AL246">
        <v>3.6349467099999998E-2</v>
      </c>
      <c r="AM246">
        <v>3.63383361E-2</v>
      </c>
      <c r="AN246">
        <v>3.6313296199999998E-2</v>
      </c>
      <c r="AO246">
        <v>3.6286150199999999E-2</v>
      </c>
      <c r="AP246">
        <v>3.6257897400000003E-2</v>
      </c>
      <c r="AQ246">
        <v>3.6229064300000002E-2</v>
      </c>
      <c r="AR246">
        <v>3.6198546999999998E-2</v>
      </c>
      <c r="AS246">
        <v>3.6169416900000001E-2</v>
      </c>
      <c r="AT246">
        <v>3.6139976900000002E-2</v>
      </c>
      <c r="AU246">
        <v>3.61093808E-2</v>
      </c>
      <c r="AV246">
        <v>3.6077593800000002E-2</v>
      </c>
      <c r="AW246">
        <v>3.6045869899999999E-2</v>
      </c>
    </row>
    <row r="247" spans="2:49" x14ac:dyDescent="0.25">
      <c r="B247" t="s">
        <v>498</v>
      </c>
      <c r="C247">
        <v>1.5260878531656001E-2</v>
      </c>
      <c r="D247">
        <v>1.5260878531656001E-2</v>
      </c>
      <c r="E247">
        <v>1.49993269E-2</v>
      </c>
      <c r="F247">
        <v>1.45391328E-2</v>
      </c>
      <c r="G247">
        <v>1.40727666E-2</v>
      </c>
      <c r="H247">
        <v>1.3661679600000001E-2</v>
      </c>
      <c r="I247">
        <v>1.32280547E-2</v>
      </c>
      <c r="J247">
        <v>1.28083503E-2</v>
      </c>
      <c r="K247">
        <v>1.2402830199999999E-2</v>
      </c>
      <c r="L247">
        <v>1.22022947E-2</v>
      </c>
      <c r="M247">
        <v>1.21993238E-2</v>
      </c>
      <c r="N247">
        <v>1.21945145E-2</v>
      </c>
      <c r="O247">
        <v>1.6973140599999999E-2</v>
      </c>
      <c r="P247">
        <v>2.17069342E-2</v>
      </c>
      <c r="Q247">
        <v>2.63873193E-2</v>
      </c>
      <c r="R247">
        <v>3.1020012499999999E-2</v>
      </c>
      <c r="S247">
        <v>3.5662501999999999E-2</v>
      </c>
      <c r="T247">
        <v>3.7086716700000001E-2</v>
      </c>
      <c r="U247">
        <v>3.8539827200000001E-2</v>
      </c>
      <c r="V247">
        <v>4.0026468199999998E-2</v>
      </c>
      <c r="W247">
        <v>3.9995038699999999E-2</v>
      </c>
      <c r="X247">
        <v>3.9979679499999997E-2</v>
      </c>
      <c r="Y247">
        <v>3.9975949199999999E-2</v>
      </c>
      <c r="Z247">
        <v>3.99753438E-2</v>
      </c>
      <c r="AA247">
        <v>3.9972301699999997E-2</v>
      </c>
      <c r="AB247">
        <v>3.9968893999999998E-2</v>
      </c>
      <c r="AC247">
        <v>3.9966636399999998E-2</v>
      </c>
      <c r="AD247">
        <v>3.9969524899999997E-2</v>
      </c>
      <c r="AE247">
        <v>3.9970388699999998E-2</v>
      </c>
      <c r="AF247">
        <v>3.9969101799999997E-2</v>
      </c>
      <c r="AG247">
        <v>3.9968329699999999E-2</v>
      </c>
      <c r="AH247">
        <v>3.9964995900000001E-2</v>
      </c>
      <c r="AI247">
        <v>3.9957748299999998E-2</v>
      </c>
      <c r="AJ247">
        <v>3.9948912400000001E-2</v>
      </c>
      <c r="AK247">
        <v>3.9938858600000002E-2</v>
      </c>
      <c r="AL247">
        <v>3.9927524999999998E-2</v>
      </c>
      <c r="AM247">
        <v>3.9915298299999999E-2</v>
      </c>
      <c r="AN247">
        <v>3.9887793599999999E-2</v>
      </c>
      <c r="AO247">
        <v>3.9857975499999997E-2</v>
      </c>
      <c r="AP247">
        <v>3.9826941599999999E-2</v>
      </c>
      <c r="AQ247">
        <v>3.9795270399999999E-2</v>
      </c>
      <c r="AR247">
        <v>3.97617491E-2</v>
      </c>
      <c r="AS247">
        <v>3.9729751600000002E-2</v>
      </c>
      <c r="AT247">
        <v>3.9697413600000002E-2</v>
      </c>
      <c r="AU247">
        <v>3.96638058E-2</v>
      </c>
      <c r="AV247">
        <v>3.9628889899999999E-2</v>
      </c>
      <c r="AW247">
        <v>3.9594043199999998E-2</v>
      </c>
    </row>
    <row r="248" spans="2:49" x14ac:dyDescent="0.25">
      <c r="B248" t="s">
        <v>499</v>
      </c>
      <c r="C248">
        <v>5.1557022066405396E-3</v>
      </c>
      <c r="D248">
        <v>5.1557022066405396E-3</v>
      </c>
      <c r="E248">
        <v>1.2243606000000001E-2</v>
      </c>
      <c r="F248">
        <v>1.22448481E-2</v>
      </c>
      <c r="G248">
        <v>1.22284583E-2</v>
      </c>
      <c r="H248">
        <v>1.22482389E-2</v>
      </c>
      <c r="I248">
        <v>1.2236095400000001E-2</v>
      </c>
      <c r="J248">
        <v>1.22241142E-2</v>
      </c>
      <c r="K248">
        <v>1.22129991E-2</v>
      </c>
      <c r="L248">
        <v>1.22022947E-2</v>
      </c>
      <c r="M248">
        <v>1.21993238E-2</v>
      </c>
      <c r="N248">
        <v>1.21945145E-2</v>
      </c>
      <c r="O248">
        <v>1.29684211E-2</v>
      </c>
      <c r="P248">
        <v>1.37198922E-2</v>
      </c>
      <c r="Q248">
        <v>1.4452380000000001E-2</v>
      </c>
      <c r="R248">
        <v>1.5173352399999999E-2</v>
      </c>
      <c r="S248">
        <v>1.59099116E-2</v>
      </c>
      <c r="T248">
        <v>1.7566659799999999E-2</v>
      </c>
      <c r="U248">
        <v>1.9259204299999999E-2</v>
      </c>
      <c r="V248">
        <v>2.0990436899999999E-2</v>
      </c>
      <c r="W248">
        <v>2.09739548E-2</v>
      </c>
      <c r="X248">
        <v>2.09659003E-2</v>
      </c>
      <c r="Y248">
        <v>2.0963944000000002E-2</v>
      </c>
      <c r="Z248">
        <v>2.0963626499999999E-2</v>
      </c>
      <c r="AA248">
        <v>2.0962031200000002E-2</v>
      </c>
      <c r="AB248">
        <v>2.0960244199999999E-2</v>
      </c>
      <c r="AC248">
        <v>2.0959060200000001E-2</v>
      </c>
      <c r="AD248">
        <v>2.0960574999999999E-2</v>
      </c>
      <c r="AE248">
        <v>2.0961028E-2</v>
      </c>
      <c r="AF248">
        <v>2.0960353099999999E-2</v>
      </c>
      <c r="AG248">
        <v>2.0959948199999998E-2</v>
      </c>
      <c r="AH248">
        <v>2.0958199899999998E-2</v>
      </c>
      <c r="AI248">
        <v>2.0954399200000001E-2</v>
      </c>
      <c r="AJ248">
        <v>2.09497656E-2</v>
      </c>
      <c r="AK248">
        <v>2.0944493200000001E-2</v>
      </c>
      <c r="AL248">
        <v>2.09385497E-2</v>
      </c>
      <c r="AM248">
        <v>2.0932137900000002E-2</v>
      </c>
      <c r="AN248">
        <v>2.0917714E-2</v>
      </c>
      <c r="AO248">
        <v>2.0902077000000002E-2</v>
      </c>
      <c r="AP248">
        <v>2.0885802299999999E-2</v>
      </c>
      <c r="AQ248">
        <v>2.0869193500000001E-2</v>
      </c>
      <c r="AR248">
        <v>2.0851614500000001E-2</v>
      </c>
      <c r="AS248">
        <v>2.08348345E-2</v>
      </c>
      <c r="AT248">
        <v>2.08178761E-2</v>
      </c>
      <c r="AU248">
        <v>2.0800251700000001E-2</v>
      </c>
      <c r="AV248">
        <v>2.0781941299999999E-2</v>
      </c>
      <c r="AW248">
        <v>2.0763667199999999E-2</v>
      </c>
    </row>
    <row r="249" spans="2:49" x14ac:dyDescent="0.25">
      <c r="B249" t="s">
        <v>500</v>
      </c>
      <c r="C249">
        <v>1.0311404413280999E-2</v>
      </c>
      <c r="D249">
        <v>1.0311404413280999E-2</v>
      </c>
      <c r="E249">
        <v>1.2243606000000001E-2</v>
      </c>
      <c r="F249">
        <v>1.5055880900000001E-2</v>
      </c>
      <c r="G249">
        <v>1.86215658E-2</v>
      </c>
      <c r="H249">
        <v>2.3239428400000001E-2</v>
      </c>
      <c r="I249">
        <v>2.9070680599999999E-2</v>
      </c>
      <c r="J249">
        <v>3.6512812700000001E-2</v>
      </c>
      <c r="K249">
        <v>4.6013425099999998E-2</v>
      </c>
      <c r="L249">
        <v>5.8140337700000003E-2</v>
      </c>
      <c r="M249">
        <v>7.3664098400000003E-2</v>
      </c>
      <c r="N249">
        <v>9.3474427600000007E-2</v>
      </c>
      <c r="O249">
        <v>8.7284159700000002E-2</v>
      </c>
      <c r="P249">
        <v>8.0989713500000005E-2</v>
      </c>
      <c r="Q249">
        <v>7.4653961800000002E-2</v>
      </c>
      <c r="R249">
        <v>6.8339448799999994E-2</v>
      </c>
      <c r="S249">
        <v>6.2161941800000002E-2</v>
      </c>
      <c r="T249">
        <v>7.4306556199999999E-2</v>
      </c>
      <c r="U249">
        <v>8.6718219200000002E-2</v>
      </c>
      <c r="V249">
        <v>9.9412805600000001E-2</v>
      </c>
      <c r="W249">
        <v>9.9334744899999994E-2</v>
      </c>
      <c r="X249">
        <v>9.9296597799999997E-2</v>
      </c>
      <c r="Y249">
        <v>9.9287332800000003E-2</v>
      </c>
      <c r="Z249">
        <v>9.9285829199999995E-2</v>
      </c>
      <c r="AA249">
        <v>9.9278273700000003E-2</v>
      </c>
      <c r="AB249">
        <v>9.926981E-2</v>
      </c>
      <c r="AC249">
        <v>9.9264202800000007E-2</v>
      </c>
      <c r="AD249">
        <v>9.92713769E-2</v>
      </c>
      <c r="AE249">
        <v>9.9273522200000006E-2</v>
      </c>
      <c r="AF249">
        <v>9.92703261E-2</v>
      </c>
      <c r="AG249">
        <v>9.9268408399999994E-2</v>
      </c>
      <c r="AH249">
        <v>9.92601283E-2</v>
      </c>
      <c r="AI249">
        <v>9.9242127599999896E-2</v>
      </c>
      <c r="AJ249">
        <v>9.9220182300000001E-2</v>
      </c>
      <c r="AK249">
        <v>9.9195211699999994E-2</v>
      </c>
      <c r="AL249">
        <v>9.9167062799999997E-2</v>
      </c>
      <c r="AM249">
        <v>9.9136695699999999E-2</v>
      </c>
      <c r="AN249">
        <v>9.9068382799999896E-2</v>
      </c>
      <c r="AO249">
        <v>9.8994324300000006E-2</v>
      </c>
      <c r="AP249">
        <v>9.8917246099999995E-2</v>
      </c>
      <c r="AQ249">
        <v>9.8838585000000007E-2</v>
      </c>
      <c r="AR249">
        <v>9.8755329000000003E-2</v>
      </c>
      <c r="AS249">
        <v>9.8675857500000005E-2</v>
      </c>
      <c r="AT249">
        <v>9.8595540499999995E-2</v>
      </c>
      <c r="AU249">
        <v>9.8512069499999896E-2</v>
      </c>
      <c r="AV249">
        <v>9.8425349699999998E-2</v>
      </c>
      <c r="AW249">
        <v>9.83388018E-2</v>
      </c>
    </row>
    <row r="250" spans="2:49" x14ac:dyDescent="0.25">
      <c r="B250" t="s">
        <v>501</v>
      </c>
      <c r="C250">
        <v>0.99132434052165697</v>
      </c>
      <c r="D250">
        <v>0.99132434052165697</v>
      </c>
      <c r="E250">
        <v>0.99172610110000003</v>
      </c>
      <c r="F250">
        <v>0.98765502360000001</v>
      </c>
      <c r="G250">
        <v>0.98360065809999997</v>
      </c>
      <c r="H250">
        <v>0.97956293589999999</v>
      </c>
      <c r="I250">
        <v>0.97554178869999997</v>
      </c>
      <c r="J250">
        <v>0.97153714849999995</v>
      </c>
      <c r="K250">
        <v>0.96754894749999998</v>
      </c>
      <c r="L250">
        <v>0.96357711820000003</v>
      </c>
      <c r="M250">
        <v>0.95962159349999998</v>
      </c>
      <c r="N250">
        <v>0.95568230639999996</v>
      </c>
      <c r="O250">
        <v>0.95496918220000004</v>
      </c>
      <c r="P250">
        <v>0.95421073860000005</v>
      </c>
      <c r="Q250">
        <v>0.95340251369999995</v>
      </c>
      <c r="R250">
        <v>0.95253944010000002</v>
      </c>
      <c r="S250">
        <v>0.95161573820000001</v>
      </c>
      <c r="T250">
        <v>0.94906485620000003</v>
      </c>
      <c r="U250">
        <v>0.94659676530000003</v>
      </c>
      <c r="V250">
        <v>0.94420749940000004</v>
      </c>
      <c r="W250">
        <v>0.94420749940000004</v>
      </c>
      <c r="X250">
        <v>0.94420749940000004</v>
      </c>
      <c r="Y250">
        <v>0.94420749940000004</v>
      </c>
      <c r="Z250">
        <v>0.94420749940000004</v>
      </c>
      <c r="AA250">
        <v>0.94420749940000004</v>
      </c>
      <c r="AB250">
        <v>0.94420749940000004</v>
      </c>
      <c r="AC250">
        <v>0.94420749940000004</v>
      </c>
      <c r="AD250">
        <v>0.94420749940000004</v>
      </c>
      <c r="AE250">
        <v>0.94420749940000004</v>
      </c>
      <c r="AF250">
        <v>0.94420749940000004</v>
      </c>
      <c r="AG250">
        <v>0.94420749940000004</v>
      </c>
      <c r="AH250">
        <v>0.94420749940000004</v>
      </c>
      <c r="AI250">
        <v>0.94420749940000004</v>
      </c>
      <c r="AJ250">
        <v>0.94420749940000004</v>
      </c>
      <c r="AK250">
        <v>0.94420749940000004</v>
      </c>
      <c r="AL250">
        <v>0.94420749940000004</v>
      </c>
      <c r="AM250">
        <v>0.94420749940000004</v>
      </c>
      <c r="AN250">
        <v>0.94420749940000004</v>
      </c>
      <c r="AO250">
        <v>0.94420749940000004</v>
      </c>
      <c r="AP250">
        <v>0.94420749940000004</v>
      </c>
      <c r="AQ250">
        <v>0.94420749940000004</v>
      </c>
      <c r="AR250">
        <v>0.94420749940000004</v>
      </c>
      <c r="AS250">
        <v>0.94420749940000004</v>
      </c>
      <c r="AT250">
        <v>0.94420749940000004</v>
      </c>
      <c r="AU250">
        <v>0.94420749940000004</v>
      </c>
      <c r="AV250">
        <v>0.94420749940000004</v>
      </c>
      <c r="AW250">
        <v>0.94420749940000004</v>
      </c>
    </row>
    <row r="251" spans="2:49" x14ac:dyDescent="0.25">
      <c r="B251" s="23" t="s">
        <v>536</v>
      </c>
      <c r="C251">
        <v>0.91950930808135101</v>
      </c>
      <c r="D251">
        <v>0.91950930808135101</v>
      </c>
      <c r="E251">
        <v>0.90371381429999997</v>
      </c>
      <c r="F251">
        <v>0.87629761530000005</v>
      </c>
      <c r="G251">
        <v>0.84973058300000004</v>
      </c>
      <c r="H251">
        <v>0.82398484159999996</v>
      </c>
      <c r="I251">
        <v>0.79903357080000004</v>
      </c>
      <c r="J251">
        <v>0.77485095400000004</v>
      </c>
      <c r="K251">
        <v>0.75141212950000003</v>
      </c>
      <c r="L251">
        <v>0.72854716310000001</v>
      </c>
      <c r="M251">
        <v>0.70625666620000005</v>
      </c>
      <c r="N251">
        <v>0.68466545089999997</v>
      </c>
      <c r="O251">
        <v>0.6816956797</v>
      </c>
      <c r="P251">
        <v>0.67873124429999998</v>
      </c>
      <c r="Q251">
        <v>0.67577213020000004</v>
      </c>
      <c r="R251">
        <v>0.67281832320000001</v>
      </c>
      <c r="S251">
        <v>0.66986980900000004</v>
      </c>
      <c r="T251">
        <v>0.64277311530000003</v>
      </c>
      <c r="U251">
        <v>0.61502879539999999</v>
      </c>
      <c r="V251">
        <v>0.58661335059999997</v>
      </c>
      <c r="W251">
        <v>0.58661335059999997</v>
      </c>
      <c r="X251">
        <v>0.58661335059999997</v>
      </c>
      <c r="Y251">
        <v>0.58661335059999997</v>
      </c>
      <c r="Z251">
        <v>0.58661335059999997</v>
      </c>
      <c r="AA251">
        <v>0.58661335059999997</v>
      </c>
      <c r="AB251">
        <v>0.58661335059999997</v>
      </c>
      <c r="AC251">
        <v>0.58661335059999997</v>
      </c>
      <c r="AD251">
        <v>0.58661335059999997</v>
      </c>
      <c r="AE251">
        <v>0.58661335059999997</v>
      </c>
      <c r="AF251">
        <v>0.58661335059999997</v>
      </c>
      <c r="AG251">
        <v>0.58661335059999997</v>
      </c>
      <c r="AH251">
        <v>0.58661335059999997</v>
      </c>
      <c r="AI251">
        <v>0.58661335059999997</v>
      </c>
      <c r="AJ251">
        <v>0.58661335059999997</v>
      </c>
      <c r="AK251">
        <v>0.58661335059999997</v>
      </c>
      <c r="AL251">
        <v>0.58661335059999997</v>
      </c>
      <c r="AM251">
        <v>0.58661335059999997</v>
      </c>
      <c r="AN251">
        <v>0.58661335059999997</v>
      </c>
      <c r="AO251">
        <v>0.58661335059999997</v>
      </c>
      <c r="AP251">
        <v>0.58661335059999997</v>
      </c>
      <c r="AQ251">
        <v>0.58661335059999997</v>
      </c>
      <c r="AR251">
        <v>0.58661335059999997</v>
      </c>
      <c r="AS251">
        <v>0.58661335059999997</v>
      </c>
      <c r="AT251">
        <v>0.58661335059999997</v>
      </c>
      <c r="AU251">
        <v>0.58661335059999997</v>
      </c>
      <c r="AV251">
        <v>0.58661335059999997</v>
      </c>
      <c r="AW251">
        <v>0.58661335059999997</v>
      </c>
    </row>
    <row r="252" spans="2:49" x14ac:dyDescent="0.25">
      <c r="B252" t="s">
        <v>356</v>
      </c>
      <c r="C252">
        <v>105875266.531468</v>
      </c>
      <c r="D252">
        <v>107575128.18195701</v>
      </c>
      <c r="E252">
        <v>109302281.7</v>
      </c>
      <c r="F252">
        <v>110424264.7</v>
      </c>
      <c r="G252">
        <v>106473210.5</v>
      </c>
      <c r="H252">
        <v>107223513.7</v>
      </c>
      <c r="I252">
        <v>105212890.40000001</v>
      </c>
      <c r="J252">
        <v>102554129.2</v>
      </c>
      <c r="K252">
        <v>100017595.90000001</v>
      </c>
      <c r="L252">
        <v>98313550.5</v>
      </c>
      <c r="M252">
        <v>97003787.709999904</v>
      </c>
      <c r="N252">
        <v>96220587.140000001</v>
      </c>
      <c r="O252">
        <v>95808989.969999999</v>
      </c>
      <c r="P252">
        <v>94196670.519999996</v>
      </c>
      <c r="Q252">
        <v>92250329.560000002</v>
      </c>
      <c r="R252">
        <v>91125649.379999995</v>
      </c>
      <c r="S252">
        <v>90433569.209999904</v>
      </c>
      <c r="T252">
        <v>89696927.079999998</v>
      </c>
      <c r="U252">
        <v>88556785.590000004</v>
      </c>
      <c r="V252">
        <v>87128490.219999999</v>
      </c>
      <c r="W252">
        <v>86134317.099999994</v>
      </c>
      <c r="X252">
        <v>84197049.709999904</v>
      </c>
      <c r="Y252">
        <v>82685150.799999997</v>
      </c>
      <c r="Z252">
        <v>81658046.25</v>
      </c>
      <c r="AA252">
        <v>80718003.819999903</v>
      </c>
      <c r="AB252">
        <v>79743459.040000007</v>
      </c>
      <c r="AC252">
        <v>78141058.900000006</v>
      </c>
      <c r="AD252">
        <v>76913306.359999999</v>
      </c>
      <c r="AE252">
        <v>76032863.670000002</v>
      </c>
      <c r="AF252">
        <v>75103059.950000003</v>
      </c>
      <c r="AG252">
        <v>74155459.060000002</v>
      </c>
      <c r="AH252">
        <v>73132229.510000005</v>
      </c>
      <c r="AI252">
        <v>72000915.25</v>
      </c>
      <c r="AJ252">
        <v>70936817.769999996</v>
      </c>
      <c r="AK252">
        <v>69888773.829999998</v>
      </c>
      <c r="AL252">
        <v>68843659.25</v>
      </c>
      <c r="AM252">
        <v>67799965.780000001</v>
      </c>
      <c r="AN252">
        <v>66684349.079999998</v>
      </c>
      <c r="AO252">
        <v>65522224.329999998</v>
      </c>
      <c r="AP252">
        <v>64336380.219999999</v>
      </c>
      <c r="AQ252">
        <v>63140604.600000001</v>
      </c>
      <c r="AR252">
        <v>61754771.810000002</v>
      </c>
      <c r="AS252">
        <v>60416902.740000002</v>
      </c>
      <c r="AT252">
        <v>59111029.390000001</v>
      </c>
      <c r="AU252">
        <v>57817078.899999999</v>
      </c>
      <c r="AV252">
        <v>56528584.079999998</v>
      </c>
      <c r="AW252">
        <v>55251351.649999999</v>
      </c>
    </row>
    <row r="253" spans="2:49" x14ac:dyDescent="0.25">
      <c r="B253" t="s">
        <v>358</v>
      </c>
      <c r="C253">
        <v>37938997.726415001</v>
      </c>
      <c r="D253">
        <v>38548120.6066292</v>
      </c>
      <c r="E253">
        <v>39167023.149999999</v>
      </c>
      <c r="F253">
        <v>38299647.840000004</v>
      </c>
      <c r="G253">
        <v>36971889.119999997</v>
      </c>
      <c r="H253">
        <v>35869739.509999998</v>
      </c>
      <c r="I253">
        <v>35504833.469999999</v>
      </c>
      <c r="J253">
        <v>34470567.539999999</v>
      </c>
      <c r="K253">
        <v>32813903.399999999</v>
      </c>
      <c r="L253">
        <v>31423236.219999999</v>
      </c>
      <c r="M253">
        <v>30454228.969999999</v>
      </c>
      <c r="N253">
        <v>29757558.91</v>
      </c>
      <c r="O253">
        <v>30199870.600000001</v>
      </c>
      <c r="P253">
        <v>30188021.949999999</v>
      </c>
      <c r="Q253">
        <v>29282096.949999999</v>
      </c>
      <c r="R253">
        <v>28623487.100000001</v>
      </c>
      <c r="S253">
        <v>28095209.600000001</v>
      </c>
      <c r="T253">
        <v>26348349.280000001</v>
      </c>
      <c r="U253">
        <v>25003953.109999999</v>
      </c>
      <c r="V253">
        <v>23686374.690000001</v>
      </c>
      <c r="W253">
        <v>23620320.23</v>
      </c>
      <c r="X253">
        <v>23694539.879999999</v>
      </c>
      <c r="Y253">
        <v>23769566.199999999</v>
      </c>
      <c r="Z253">
        <v>23991973.379999999</v>
      </c>
      <c r="AA253">
        <v>24161092.170000002</v>
      </c>
      <c r="AB253">
        <v>24318910.329999998</v>
      </c>
      <c r="AC253">
        <v>24469197.699999999</v>
      </c>
      <c r="AD253">
        <v>24600679.390000001</v>
      </c>
      <c r="AE253">
        <v>24700842.300000001</v>
      </c>
      <c r="AF253">
        <v>24800221.760000002</v>
      </c>
      <c r="AG253">
        <v>24868924.859999999</v>
      </c>
      <c r="AH253">
        <v>24903334.98</v>
      </c>
      <c r="AI253">
        <v>24883196.23</v>
      </c>
      <c r="AJ253">
        <v>24861621.609999999</v>
      </c>
      <c r="AK253">
        <v>24828026.379999999</v>
      </c>
      <c r="AL253">
        <v>24784214.510000002</v>
      </c>
      <c r="AM253">
        <v>24730421.579999998</v>
      </c>
      <c r="AN253">
        <v>24659925.949999999</v>
      </c>
      <c r="AO253">
        <v>24582725</v>
      </c>
      <c r="AP253">
        <v>24488100.16</v>
      </c>
      <c r="AQ253">
        <v>24386054.100000001</v>
      </c>
      <c r="AR253">
        <v>24260963.329999998</v>
      </c>
      <c r="AS253">
        <v>24156044.98</v>
      </c>
      <c r="AT253">
        <v>24049724.870000001</v>
      </c>
      <c r="AU253">
        <v>23930113.710000001</v>
      </c>
      <c r="AV253">
        <v>23796771.25</v>
      </c>
      <c r="AW253">
        <v>23656132.059999999</v>
      </c>
    </row>
    <row r="254" spans="2:49" x14ac:dyDescent="0.25">
      <c r="B254" t="s">
        <v>531</v>
      </c>
      <c r="C254">
        <v>30618095.036040202</v>
      </c>
      <c r="D254">
        <v>31109678.455547299</v>
      </c>
      <c r="E254">
        <v>31621964.859999999</v>
      </c>
      <c r="F254">
        <v>30188969.27</v>
      </c>
      <c r="G254">
        <v>27920180.859999999</v>
      </c>
      <c r="H254">
        <v>28530719.699999999</v>
      </c>
      <c r="I254">
        <v>26550412.050000001</v>
      </c>
      <c r="J254">
        <v>24642040.190000001</v>
      </c>
      <c r="K254">
        <v>23168329.18</v>
      </c>
      <c r="L254">
        <v>22484513.34</v>
      </c>
      <c r="M254">
        <v>21966834.23</v>
      </c>
      <c r="N254">
        <v>22153661.34</v>
      </c>
      <c r="O254">
        <v>22176153.73</v>
      </c>
      <c r="P254">
        <v>21399476.210000001</v>
      </c>
      <c r="Q254">
        <v>20402076.469999999</v>
      </c>
      <c r="R254">
        <v>20151927.960000001</v>
      </c>
      <c r="S254">
        <v>19587626.82</v>
      </c>
      <c r="T254">
        <v>19349690.079999998</v>
      </c>
      <c r="U254">
        <v>19053861.879999999</v>
      </c>
      <c r="V254">
        <v>18794676.120000001</v>
      </c>
      <c r="W254">
        <v>18677357.82</v>
      </c>
      <c r="X254">
        <v>18644489.77</v>
      </c>
      <c r="Y254">
        <v>18406581.140000001</v>
      </c>
      <c r="Z254">
        <v>18428128.359999999</v>
      </c>
      <c r="AA254">
        <v>18489391.5</v>
      </c>
      <c r="AB254">
        <v>18535996.07</v>
      </c>
      <c r="AC254">
        <v>18575648.34</v>
      </c>
      <c r="AD254">
        <v>18606608.16</v>
      </c>
      <c r="AE254">
        <v>18621088.59</v>
      </c>
      <c r="AF254">
        <v>18606080.93</v>
      </c>
      <c r="AG254">
        <v>18598162.539999999</v>
      </c>
      <c r="AH254">
        <v>18563530.649999999</v>
      </c>
      <c r="AI254">
        <v>18558676.050000001</v>
      </c>
      <c r="AJ254">
        <v>18545626.460000001</v>
      </c>
      <c r="AK254">
        <v>18526424.23</v>
      </c>
      <c r="AL254">
        <v>18500701.350000001</v>
      </c>
      <c r="AM254">
        <v>18468511.879999999</v>
      </c>
      <c r="AN254">
        <v>18385159.629999999</v>
      </c>
      <c r="AO254">
        <v>18286270.75</v>
      </c>
      <c r="AP254">
        <v>18174753.170000002</v>
      </c>
      <c r="AQ254">
        <v>18055859.43</v>
      </c>
      <c r="AR254">
        <v>17920581.77</v>
      </c>
      <c r="AS254">
        <v>17722084.199999999</v>
      </c>
      <c r="AT254">
        <v>17513618.949999999</v>
      </c>
      <c r="AU254">
        <v>17293772.390000001</v>
      </c>
      <c r="AV254">
        <v>17061788.870000001</v>
      </c>
      <c r="AW254">
        <v>16824662.629999999</v>
      </c>
    </row>
    <row r="255" spans="2:49" x14ac:dyDescent="0.25">
      <c r="B255" t="s">
        <v>532</v>
      </c>
      <c r="C255">
        <v>37673048.147063904</v>
      </c>
      <c r="D255">
        <v>38277901.120757699</v>
      </c>
      <c r="E255">
        <v>38224363.549999997</v>
      </c>
      <c r="F255">
        <v>37377863.57</v>
      </c>
      <c r="G255">
        <v>36082058.850000001</v>
      </c>
      <c r="H255">
        <v>35006433.25</v>
      </c>
      <c r="I255">
        <v>34650307.57</v>
      </c>
      <c r="J255">
        <v>33640931.43</v>
      </c>
      <c r="K255">
        <v>32024137.120000001</v>
      </c>
      <c r="L255">
        <v>30666938.289999999</v>
      </c>
      <c r="M255">
        <v>29721251.23</v>
      </c>
      <c r="N255">
        <v>29041347.780000001</v>
      </c>
      <c r="O255">
        <v>29473013.23</v>
      </c>
      <c r="P255">
        <v>29461449.449999999</v>
      </c>
      <c r="Q255">
        <v>28577326.760000002</v>
      </c>
      <c r="R255">
        <v>27934566.809999999</v>
      </c>
      <c r="S255">
        <v>27419001.109999999</v>
      </c>
      <c r="T255">
        <v>25714182.420000002</v>
      </c>
      <c r="U255">
        <v>24402140.43</v>
      </c>
      <c r="V255">
        <v>23116270.75</v>
      </c>
      <c r="W255">
        <v>23051802.390000001</v>
      </c>
      <c r="X255">
        <v>23124233.800000001</v>
      </c>
      <c r="Y255">
        <v>23197451.530000001</v>
      </c>
      <c r="Z255">
        <v>23414502.690000001</v>
      </c>
      <c r="AA255">
        <v>23579547.93</v>
      </c>
      <c r="AB255">
        <v>23733564.559999999</v>
      </c>
      <c r="AC255">
        <v>23880232.98</v>
      </c>
      <c r="AD255">
        <v>24008547.66</v>
      </c>
      <c r="AE255">
        <v>24106297.02</v>
      </c>
      <c r="AF255">
        <v>24203281.829999998</v>
      </c>
      <c r="AG255">
        <v>24270328.68</v>
      </c>
      <c r="AH255">
        <v>24303908.510000002</v>
      </c>
      <c r="AI255">
        <v>24284252.239999998</v>
      </c>
      <c r="AJ255">
        <v>24263194.510000002</v>
      </c>
      <c r="AK255">
        <v>24230405.460000001</v>
      </c>
      <c r="AL255">
        <v>24187645.66</v>
      </c>
      <c r="AM255">
        <v>24135145.07</v>
      </c>
      <c r="AN255">
        <v>24066343.91</v>
      </c>
      <c r="AO255">
        <v>23990998.920000002</v>
      </c>
      <c r="AP255">
        <v>23898649.43</v>
      </c>
      <c r="AQ255">
        <v>23799057.359999999</v>
      </c>
      <c r="AR255">
        <v>23676975.989999998</v>
      </c>
      <c r="AS255">
        <v>23574581.16</v>
      </c>
      <c r="AT255">
        <v>23470818.149999999</v>
      </c>
      <c r="AU255">
        <v>23354083.899999999</v>
      </c>
      <c r="AV255">
        <v>23223948.780000001</v>
      </c>
      <c r="AW255">
        <v>23086692.510000002</v>
      </c>
    </row>
    <row r="256" spans="2:49" x14ac:dyDescent="0.25">
      <c r="B256" t="s">
        <v>533</v>
      </c>
      <c r="C256">
        <v>75150364.0434165</v>
      </c>
      <c r="D256">
        <v>76356927.446207598</v>
      </c>
      <c r="E256">
        <v>77614305.140000001</v>
      </c>
      <c r="F256">
        <v>80168606.120000005</v>
      </c>
      <c r="G256">
        <v>78488726.510000005</v>
      </c>
      <c r="H256">
        <v>78628037.760000005</v>
      </c>
      <c r="I256">
        <v>78598936.370000005</v>
      </c>
      <c r="J256">
        <v>77850152.849999994</v>
      </c>
      <c r="K256">
        <v>76788862.370000005</v>
      </c>
      <c r="L256">
        <v>75769661.989999995</v>
      </c>
      <c r="M256">
        <v>74978369.319999903</v>
      </c>
      <c r="N256">
        <v>74008814.650000006</v>
      </c>
      <c r="O256">
        <v>73574973.680000007</v>
      </c>
      <c r="P256">
        <v>72740305.480000004</v>
      </c>
      <c r="Q256">
        <v>71792539.719999999</v>
      </c>
      <c r="R256">
        <v>70918687.299999997</v>
      </c>
      <c r="S256">
        <v>70791326.230000004</v>
      </c>
      <c r="T256">
        <v>70293065.730000004</v>
      </c>
      <c r="U256">
        <v>69449441.010000005</v>
      </c>
      <c r="V256">
        <v>68281193.989999995</v>
      </c>
      <c r="W256">
        <v>67404939.599999994</v>
      </c>
      <c r="X256">
        <v>65501710.25</v>
      </c>
      <c r="Y256">
        <v>64228633.060000002</v>
      </c>
      <c r="Z256">
        <v>63180601.590000004</v>
      </c>
      <c r="AA256">
        <v>62179863.75</v>
      </c>
      <c r="AB256">
        <v>61159302.960000001</v>
      </c>
      <c r="AC256">
        <v>59518218.299999997</v>
      </c>
      <c r="AD256">
        <v>58260247.420000002</v>
      </c>
      <c r="AE256">
        <v>57365856.039999999</v>
      </c>
      <c r="AF256">
        <v>56451621.520000003</v>
      </c>
      <c r="AG256">
        <v>55512511.310000002</v>
      </c>
      <c r="AH256">
        <v>54524531.619999997</v>
      </c>
      <c r="AI256">
        <v>53398755.189999998</v>
      </c>
      <c r="AJ256">
        <v>52348349.960000001</v>
      </c>
      <c r="AK256">
        <v>51320141.189999998</v>
      </c>
      <c r="AL256">
        <v>50301380.68</v>
      </c>
      <c r="AM256">
        <v>49290507.009999998</v>
      </c>
      <c r="AN256">
        <v>48258916.32</v>
      </c>
      <c r="AO256">
        <v>47196382.299999997</v>
      </c>
      <c r="AP256">
        <v>46122771.939999998</v>
      </c>
      <c r="AQ256">
        <v>45046612.229999997</v>
      </c>
      <c r="AR256">
        <v>43796894.07</v>
      </c>
      <c r="AS256">
        <v>42658330.549999997</v>
      </c>
      <c r="AT256">
        <v>41561711.109999999</v>
      </c>
      <c r="AU256">
        <v>40488388.649999999</v>
      </c>
      <c r="AV256">
        <v>39432655.520000003</v>
      </c>
      <c r="AW256">
        <v>38393320.689999998</v>
      </c>
    </row>
    <row r="257" spans="2:49" x14ac:dyDescent="0.25">
      <c r="B257" t="s">
        <v>534</v>
      </c>
      <c r="C257" s="98">
        <v>2.3355383546637598</v>
      </c>
      <c r="D257" s="98">
        <v>2.37303617839917</v>
      </c>
      <c r="E257" s="98">
        <v>2.3697171199999998</v>
      </c>
      <c r="F257" s="98">
        <v>2.6984847670000001</v>
      </c>
      <c r="G257" s="98">
        <v>4.699048028</v>
      </c>
      <c r="H257" s="98">
        <v>6.8056362530000003</v>
      </c>
      <c r="I257" s="98">
        <v>8.8675552189999998</v>
      </c>
      <c r="J257" s="98">
        <v>11.410562240000001</v>
      </c>
      <c r="K257" s="98">
        <v>13.5427965</v>
      </c>
      <c r="L257" s="98">
        <v>15.261150110000001</v>
      </c>
      <c r="M257" s="98">
        <v>16.765366159999999</v>
      </c>
      <c r="N257" s="98">
        <v>17.356404560000001</v>
      </c>
      <c r="O257" s="98">
        <v>18.204590939999999</v>
      </c>
      <c r="P257" s="98">
        <v>18.505674760000002</v>
      </c>
      <c r="Q257" s="98">
        <v>19.652647699999999</v>
      </c>
      <c r="R257" s="98">
        <v>20.934119920000001</v>
      </c>
      <c r="S257" s="98">
        <v>23.516442730000001</v>
      </c>
      <c r="T257" s="98">
        <v>24.661990410000001</v>
      </c>
      <c r="U257" s="98">
        <v>26.909480210000002</v>
      </c>
      <c r="V257" s="98">
        <v>29.146283010000001</v>
      </c>
      <c r="W257" s="98">
        <v>32.819295539999999</v>
      </c>
      <c r="X257" s="98">
        <v>34.771362519999997</v>
      </c>
      <c r="Y257" s="98">
        <v>37.663419699999999</v>
      </c>
      <c r="Z257" s="98">
        <v>40.864147600000003</v>
      </c>
      <c r="AA257" s="98">
        <v>44.131918409999997</v>
      </c>
      <c r="AB257" s="98">
        <v>47.353872129999999</v>
      </c>
      <c r="AC257" s="98">
        <v>49.236603649999999</v>
      </c>
      <c r="AD257" s="98">
        <v>51.800961860000001</v>
      </c>
      <c r="AE257" s="98">
        <v>54.666169189999998</v>
      </c>
      <c r="AF257" s="98">
        <v>57.486682639999998</v>
      </c>
      <c r="AG257" s="98">
        <v>60.21362534</v>
      </c>
      <c r="AH257" s="98">
        <v>62.33558361</v>
      </c>
      <c r="AI257" s="98">
        <v>64.548050559999893</v>
      </c>
      <c r="AJ257" s="98">
        <v>66.908619520000002</v>
      </c>
      <c r="AK257" s="98">
        <v>69.295447150000001</v>
      </c>
      <c r="AL257" s="98">
        <v>71.663548509999998</v>
      </c>
      <c r="AM257" s="98">
        <v>73.994165679999995</v>
      </c>
      <c r="AN257" s="98">
        <v>76.181450499999997</v>
      </c>
      <c r="AO257" s="98">
        <v>78.268720459999997</v>
      </c>
      <c r="AP257" s="98">
        <v>80.307536479999996</v>
      </c>
      <c r="AQ257" s="98">
        <v>82.324056679999998</v>
      </c>
      <c r="AR257" s="98">
        <v>83.567783660000003</v>
      </c>
      <c r="AS257" s="98">
        <v>85.182544219999997</v>
      </c>
      <c r="AT257" s="98">
        <v>86.950909969999998</v>
      </c>
      <c r="AU257" s="98">
        <v>88.799655580000007</v>
      </c>
      <c r="AV257" s="98">
        <v>90.696722410000007</v>
      </c>
      <c r="AW257" s="98">
        <v>92.628569549999995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M56"/>
  <sheetViews>
    <sheetView zoomScale="90" zoomScaleNormal="90" workbookViewId="0">
      <selection activeCell="U5" sqref="U5"/>
    </sheetView>
  </sheetViews>
  <sheetFormatPr baseColWidth="10" defaultRowHeight="15" x14ac:dyDescent="0.25"/>
  <cols>
    <col min="2" max="2" width="14.42578125" customWidth="1"/>
    <col min="3" max="3" width="18.5703125" bestFit="1" customWidth="1"/>
    <col min="4" max="4" width="18.5703125" customWidth="1"/>
    <col min="5" max="6" width="5.5703125" customWidth="1"/>
    <col min="7" max="8" width="7.140625" customWidth="1"/>
    <col min="9" max="23" width="7.42578125" customWidth="1"/>
  </cols>
  <sheetData>
    <row r="1" spans="1:29" ht="28.5" x14ac:dyDescent="0.45">
      <c r="A1" s="221" t="s">
        <v>215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9" ht="23.25" x14ac:dyDescent="0.35">
      <c r="A2" s="68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9" ht="21" x14ac:dyDescent="0.35">
      <c r="A3" s="222" t="s">
        <v>199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9" ht="23.25" x14ac:dyDescent="0.35">
      <c r="A4" s="191" t="str">
        <f>Résultats!B1</f>
        <v>TEND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9" ht="23.25" x14ac:dyDescent="0.35">
      <c r="A5" s="68"/>
      <c r="B5" s="3"/>
      <c r="C5" s="3"/>
      <c r="D5" s="7"/>
      <c r="E5" s="234">
        <v>4</v>
      </c>
      <c r="F5" s="234">
        <f>E5+9</f>
        <v>13</v>
      </c>
      <c r="G5" s="234">
        <f>F5+3</f>
        <v>16</v>
      </c>
      <c r="H5" s="234">
        <f t="shared" ref="H5:S5" si="0">G5+1</f>
        <v>17</v>
      </c>
      <c r="I5" s="234">
        <f t="shared" si="0"/>
        <v>18</v>
      </c>
      <c r="J5" s="234">
        <f t="shared" si="0"/>
        <v>19</v>
      </c>
      <c r="K5" s="234">
        <f t="shared" si="0"/>
        <v>20</v>
      </c>
      <c r="L5" s="234">
        <f t="shared" si="0"/>
        <v>21</v>
      </c>
      <c r="M5" s="234">
        <f t="shared" si="0"/>
        <v>22</v>
      </c>
      <c r="N5" s="234">
        <f t="shared" si="0"/>
        <v>23</v>
      </c>
      <c r="O5" s="234">
        <f t="shared" si="0"/>
        <v>24</v>
      </c>
      <c r="P5" s="234">
        <f t="shared" si="0"/>
        <v>25</v>
      </c>
      <c r="Q5" s="234">
        <f t="shared" si="0"/>
        <v>26</v>
      </c>
      <c r="R5" s="234">
        <f t="shared" si="0"/>
        <v>27</v>
      </c>
      <c r="S5" s="234">
        <f t="shared" si="0"/>
        <v>28</v>
      </c>
      <c r="T5" s="234">
        <f>S5+5</f>
        <v>33</v>
      </c>
      <c r="U5" s="234">
        <f>T5+5</f>
        <v>38</v>
      </c>
      <c r="V5" s="234">
        <f>U5+5</f>
        <v>43</v>
      </c>
      <c r="W5" s="234">
        <f>V5+5</f>
        <v>48</v>
      </c>
      <c r="X5" s="3"/>
    </row>
    <row r="6" spans="1:29" x14ac:dyDescent="0.25">
      <c r="A6" s="3"/>
      <c r="B6" s="201"/>
      <c r="C6" s="2"/>
      <c r="D6" s="18"/>
      <c r="E6" s="4">
        <v>2006</v>
      </c>
      <c r="F6" s="4">
        <v>2015</v>
      </c>
      <c r="G6" s="26">
        <v>2018</v>
      </c>
      <c r="H6" s="33">
        <v>2019</v>
      </c>
      <c r="I6" s="106">
        <v>2020</v>
      </c>
      <c r="J6" s="114">
        <v>2021</v>
      </c>
      <c r="K6" s="33">
        <v>2022</v>
      </c>
      <c r="L6" s="33">
        <v>2023</v>
      </c>
      <c r="M6" s="33">
        <v>2024</v>
      </c>
      <c r="N6" s="106">
        <v>2025</v>
      </c>
      <c r="O6" s="114">
        <v>2026</v>
      </c>
      <c r="P6" s="33">
        <v>2027</v>
      </c>
      <c r="Q6" s="33">
        <v>2028</v>
      </c>
      <c r="R6" s="33">
        <v>2029</v>
      </c>
      <c r="S6" s="115">
        <v>2030</v>
      </c>
      <c r="T6" s="116">
        <v>2035</v>
      </c>
      <c r="U6" s="116">
        <v>2040</v>
      </c>
      <c r="V6" s="116">
        <v>2045</v>
      </c>
      <c r="W6" s="116">
        <v>2050</v>
      </c>
      <c r="X6" s="3"/>
      <c r="Y6" s="44"/>
      <c r="Z6" s="51" t="s">
        <v>208</v>
      </c>
      <c r="AA6" s="51"/>
      <c r="AB6" s="51"/>
      <c r="AC6" s="53"/>
    </row>
    <row r="7" spans="1:29" ht="15" customHeight="1" x14ac:dyDescent="0.25">
      <c r="A7" s="3"/>
      <c r="B7" s="270" t="s">
        <v>0</v>
      </c>
      <c r="C7" s="5" t="s">
        <v>1</v>
      </c>
      <c r="D7" s="2"/>
      <c r="E7" s="6" t="e">
        <f>SUM(E8:E9)</f>
        <v>#N/A</v>
      </c>
      <c r="F7" s="6" t="e">
        <f>SUM(F8:F9)</f>
        <v>#N/A</v>
      </c>
      <c r="G7" s="107" t="e">
        <f t="shared" ref="G7:R7" si="1">SUM(G8:G9)</f>
        <v>#N/A</v>
      </c>
      <c r="H7" s="6" t="e">
        <f t="shared" si="1"/>
        <v>#N/A</v>
      </c>
      <c r="I7" s="108" t="e">
        <f t="shared" si="1"/>
        <v>#N/A</v>
      </c>
      <c r="J7" s="107" t="e">
        <f t="shared" si="1"/>
        <v>#N/A</v>
      </c>
      <c r="K7" s="6" t="e">
        <f t="shared" si="1"/>
        <v>#N/A</v>
      </c>
      <c r="L7" s="6" t="e">
        <f t="shared" si="1"/>
        <v>#N/A</v>
      </c>
      <c r="M7" s="6" t="e">
        <f t="shared" si="1"/>
        <v>#N/A</v>
      </c>
      <c r="N7" s="108" t="e">
        <f t="shared" si="1"/>
        <v>#N/A</v>
      </c>
      <c r="O7" s="107" t="e">
        <f t="shared" si="1"/>
        <v>#N/A</v>
      </c>
      <c r="P7" s="6" t="e">
        <f t="shared" si="1"/>
        <v>#N/A</v>
      </c>
      <c r="Q7" s="6" t="e">
        <f t="shared" si="1"/>
        <v>#N/A</v>
      </c>
      <c r="R7" s="6" t="e">
        <f t="shared" si="1"/>
        <v>#N/A</v>
      </c>
      <c r="S7" s="108" t="e">
        <f>SUM(S8:S9)</f>
        <v>#N/A</v>
      </c>
      <c r="T7" s="117" t="e">
        <f>SUM(T8:T9)</f>
        <v>#N/A</v>
      </c>
      <c r="U7" s="117" t="e">
        <f>SUM(U8:U9)</f>
        <v>#N/A</v>
      </c>
      <c r="V7" s="117" t="e">
        <f>SUM(V8:V9)</f>
        <v>#N/A</v>
      </c>
      <c r="W7" s="117" t="e">
        <f>SUM(W8:W9)</f>
        <v>#N/A</v>
      </c>
      <c r="X7" s="3"/>
      <c r="Y7" s="34"/>
      <c r="Z7" s="204"/>
      <c r="AA7" s="205">
        <v>2020</v>
      </c>
      <c r="AB7" s="205">
        <v>2030</v>
      </c>
      <c r="AC7" s="206">
        <v>2050</v>
      </c>
    </row>
    <row r="8" spans="1:29" x14ac:dyDescent="0.25">
      <c r="A8" s="3"/>
      <c r="B8" s="271"/>
      <c r="C8" s="3" t="s">
        <v>2</v>
      </c>
      <c r="D8" s="18" t="s">
        <v>112</v>
      </c>
      <c r="E8" s="19" t="e">
        <f>VLOOKUP($D8,Résultats!$B$2:$AX$426,E$5,FALSE)</f>
        <v>#N/A</v>
      </c>
      <c r="F8" s="19" t="e">
        <f>VLOOKUP($D8,Résultats!$B$2:$AX$426,F$5,FALSE)</f>
        <v>#N/A</v>
      </c>
      <c r="G8" s="28" t="e">
        <f>VLOOKUP($D8,Résultats!$B$2:$AX$426,G$5,FALSE)</f>
        <v>#N/A</v>
      </c>
      <c r="H8" s="19" t="e">
        <f>VLOOKUP($D8,Résultats!$B$2:$AX$426,H$5,FALSE)</f>
        <v>#N/A</v>
      </c>
      <c r="I8" s="109" t="e">
        <f>VLOOKUP($D8,Résultats!$B$2:$AX$426,I$5,FALSE)</f>
        <v>#N/A</v>
      </c>
      <c r="J8" s="28" t="e">
        <f>VLOOKUP($D8,Résultats!$B$2:$AX$426,J$5,FALSE)</f>
        <v>#N/A</v>
      </c>
      <c r="K8" s="19" t="e">
        <f>VLOOKUP($D8,Résultats!$B$2:$AX$426,K$5,FALSE)</f>
        <v>#N/A</v>
      </c>
      <c r="L8" s="19" t="e">
        <f>VLOOKUP($D8,Résultats!$B$2:$AX$426,L$5,FALSE)</f>
        <v>#N/A</v>
      </c>
      <c r="M8" s="19" t="e">
        <f>VLOOKUP($D8,Résultats!$B$2:$AX$426,M$5,FALSE)</f>
        <v>#N/A</v>
      </c>
      <c r="N8" s="109" t="e">
        <f>VLOOKUP($D8,Résultats!$B$2:$AX$426,N$5,FALSE)</f>
        <v>#N/A</v>
      </c>
      <c r="O8" s="28" t="e">
        <f>VLOOKUP($D8,Résultats!$B$2:$AX$426,O$5,FALSE)</f>
        <v>#N/A</v>
      </c>
      <c r="P8" s="19" t="e">
        <f>VLOOKUP($D8,Résultats!$B$2:$AX$426,P$5,FALSE)</f>
        <v>#N/A</v>
      </c>
      <c r="Q8" s="19" t="e">
        <f>VLOOKUP($D8,Résultats!$B$2:$AX$426,Q$5,FALSE)</f>
        <v>#N/A</v>
      </c>
      <c r="R8" s="19" t="e">
        <f>VLOOKUP($D8,Résultats!$B$2:$AX$426,R$5,FALSE)</f>
        <v>#N/A</v>
      </c>
      <c r="S8" s="109" t="e">
        <f>VLOOKUP($D8,Résultats!$B$2:$AX$426,S$5,FALSE)</f>
        <v>#N/A</v>
      </c>
      <c r="T8" s="118" t="e">
        <f>VLOOKUP($D8,Résultats!$B$2:$AX$426,T$5,FALSE)</f>
        <v>#N/A</v>
      </c>
      <c r="U8" s="118" t="e">
        <f>VLOOKUP($D8,Résultats!$B$2:$AX$426,U$5,FALSE)</f>
        <v>#N/A</v>
      </c>
      <c r="V8" s="118" t="e">
        <f>VLOOKUP($D8,Résultats!$B$2:$AX$426,V$5,FALSE)</f>
        <v>#N/A</v>
      </c>
      <c r="W8" s="118" t="e">
        <f>VLOOKUP($D8,Résultats!$B$2:$AX$426,W$5,FALSE)</f>
        <v>#N/A</v>
      </c>
      <c r="X8" s="3"/>
      <c r="Y8" s="34"/>
      <c r="Z8" s="209" t="s">
        <v>150</v>
      </c>
      <c r="AA8" s="211" t="e">
        <f>I27</f>
        <v>#N/A</v>
      </c>
      <c r="AB8" s="211" t="e">
        <f>S27</f>
        <v>#N/A</v>
      </c>
      <c r="AC8" s="212" t="e">
        <f>W27</f>
        <v>#N/A</v>
      </c>
    </row>
    <row r="9" spans="1:29" x14ac:dyDescent="0.25">
      <c r="A9" s="3"/>
      <c r="B9" s="272"/>
      <c r="C9" s="7" t="s">
        <v>3</v>
      </c>
      <c r="D9" s="18" t="s">
        <v>113</v>
      </c>
      <c r="E9" s="19" t="e">
        <f>VLOOKUP($D9,Résultats!$B$2:$AX$426,E$5,FALSE)</f>
        <v>#N/A</v>
      </c>
      <c r="F9" s="19" t="e">
        <f>VLOOKUP($D9,Résultats!$B$2:$AX$426,F$5,FALSE)</f>
        <v>#N/A</v>
      </c>
      <c r="G9" s="28" t="e">
        <f>VLOOKUP($D9,Résultats!$B$2:$AX$426,G$5,FALSE)</f>
        <v>#N/A</v>
      </c>
      <c r="H9" s="19" t="e">
        <f>VLOOKUP($D9,Résultats!$B$2:$AX$426,H$5,FALSE)</f>
        <v>#N/A</v>
      </c>
      <c r="I9" s="109" t="e">
        <f>VLOOKUP($D9,Résultats!$B$2:$AX$426,I$5,FALSE)</f>
        <v>#N/A</v>
      </c>
      <c r="J9" s="28" t="e">
        <f>VLOOKUP($D9,Résultats!$B$2:$AX$426,J$5,FALSE)</f>
        <v>#N/A</v>
      </c>
      <c r="K9" s="19" t="e">
        <f>VLOOKUP($D9,Résultats!$B$2:$AX$426,K$5,FALSE)</f>
        <v>#N/A</v>
      </c>
      <c r="L9" s="19" t="e">
        <f>VLOOKUP($D9,Résultats!$B$2:$AX$426,L$5,FALSE)</f>
        <v>#N/A</v>
      </c>
      <c r="M9" s="19" t="e">
        <f>VLOOKUP($D9,Résultats!$B$2:$AX$426,M$5,FALSE)</f>
        <v>#N/A</v>
      </c>
      <c r="N9" s="109" t="e">
        <f>VLOOKUP($D9,Résultats!$B$2:$AX$426,N$5,FALSE)</f>
        <v>#N/A</v>
      </c>
      <c r="O9" s="28" t="e">
        <f>VLOOKUP($D9,Résultats!$B$2:$AX$426,O$5,FALSE)</f>
        <v>#N/A</v>
      </c>
      <c r="P9" s="19" t="e">
        <f>VLOOKUP($D9,Résultats!$B$2:$AX$426,P$5,FALSE)</f>
        <v>#N/A</v>
      </c>
      <c r="Q9" s="19" t="e">
        <f>VLOOKUP($D9,Résultats!$B$2:$AX$426,Q$5,FALSE)</f>
        <v>#N/A</v>
      </c>
      <c r="R9" s="19" t="e">
        <f>VLOOKUP($D9,Résultats!$B$2:$AX$426,R$5,FALSE)</f>
        <v>#N/A</v>
      </c>
      <c r="S9" s="109" t="e">
        <f>VLOOKUP($D9,Résultats!$B$2:$AX$426,S$5,FALSE)</f>
        <v>#N/A</v>
      </c>
      <c r="T9" s="118" t="e">
        <f>VLOOKUP($D9,Résultats!$B$2:$AX$426,T$5,FALSE)</f>
        <v>#N/A</v>
      </c>
      <c r="U9" s="118" t="e">
        <f>VLOOKUP($D9,Résultats!$B$2:$AX$426,U$5,FALSE)</f>
        <v>#N/A</v>
      </c>
      <c r="V9" s="118" t="e">
        <f>VLOOKUP($D9,Résultats!$B$2:$AX$426,V$5,FALSE)</f>
        <v>#N/A</v>
      </c>
      <c r="W9" s="118" t="e">
        <f>VLOOKUP($D9,Résultats!$B$2:$AX$426,W$5,FALSE)</f>
        <v>#N/A</v>
      </c>
      <c r="X9" s="3"/>
      <c r="Y9" s="34"/>
      <c r="Z9" s="34"/>
      <c r="AA9" s="34"/>
      <c r="AB9" s="34"/>
      <c r="AC9" s="34"/>
    </row>
    <row r="10" spans="1:29" ht="15" customHeight="1" x14ac:dyDescent="0.25">
      <c r="A10" s="3"/>
      <c r="B10" s="270" t="s">
        <v>4</v>
      </c>
      <c r="C10" s="5" t="s">
        <v>1</v>
      </c>
      <c r="D10" s="2"/>
      <c r="E10" s="8" t="e">
        <f>SUM(E11:E18)</f>
        <v>#N/A</v>
      </c>
      <c r="F10" s="8" t="e">
        <f>SUM(F11:F18)</f>
        <v>#N/A</v>
      </c>
      <c r="G10" s="27" t="e">
        <f t="shared" ref="G10:R10" si="2">SUM(G11:G18)</f>
        <v>#N/A</v>
      </c>
      <c r="H10" s="8" t="e">
        <f t="shared" si="2"/>
        <v>#N/A</v>
      </c>
      <c r="I10" s="110" t="e">
        <f t="shared" si="2"/>
        <v>#N/A</v>
      </c>
      <c r="J10" s="27" t="e">
        <f t="shared" si="2"/>
        <v>#N/A</v>
      </c>
      <c r="K10" s="8" t="e">
        <f t="shared" si="2"/>
        <v>#N/A</v>
      </c>
      <c r="L10" s="8" t="e">
        <f t="shared" si="2"/>
        <v>#N/A</v>
      </c>
      <c r="M10" s="8" t="e">
        <f t="shared" si="2"/>
        <v>#N/A</v>
      </c>
      <c r="N10" s="110" t="e">
        <f t="shared" si="2"/>
        <v>#N/A</v>
      </c>
      <c r="O10" s="27" t="e">
        <f t="shared" si="2"/>
        <v>#N/A</v>
      </c>
      <c r="P10" s="8" t="e">
        <f t="shared" si="2"/>
        <v>#N/A</v>
      </c>
      <c r="Q10" s="8" t="e">
        <f t="shared" si="2"/>
        <v>#N/A</v>
      </c>
      <c r="R10" s="8" t="e">
        <f t="shared" si="2"/>
        <v>#N/A</v>
      </c>
      <c r="S10" s="110" t="e">
        <f>SUM(S11:S18)</f>
        <v>#N/A</v>
      </c>
      <c r="T10" s="119" t="e">
        <f>SUM(T11:T18)</f>
        <v>#N/A</v>
      </c>
      <c r="U10" s="119" t="e">
        <f>SUM(U11:U18)</f>
        <v>#N/A</v>
      </c>
      <c r="V10" s="119" t="e">
        <f>SUM(V11:V18)</f>
        <v>#N/A</v>
      </c>
      <c r="W10" s="119" t="e">
        <f>SUM(W11:W18)</f>
        <v>#N/A</v>
      </c>
      <c r="X10" s="3"/>
      <c r="Y10" s="34"/>
      <c r="Z10" s="34"/>
      <c r="AA10" s="34"/>
      <c r="AB10" s="34"/>
      <c r="AC10" s="34"/>
    </row>
    <row r="11" spans="1:29" x14ac:dyDescent="0.25">
      <c r="A11" s="3"/>
      <c r="B11" s="271"/>
      <c r="C11" s="3" t="s">
        <v>5</v>
      </c>
      <c r="D11" s="3" t="s">
        <v>114</v>
      </c>
      <c r="E11" s="19" t="e">
        <f>VLOOKUP($D11,Résultats!$B$2:$AX$426,E$5,FALSE)</f>
        <v>#N/A</v>
      </c>
      <c r="F11" s="19" t="e">
        <f>VLOOKUP($D11,Résultats!$B$2:$AX$426,F$5,FALSE)</f>
        <v>#N/A</v>
      </c>
      <c r="G11" s="28" t="e">
        <f>VLOOKUP($D11,Résultats!$B$2:$AX$426,G$5,FALSE)</f>
        <v>#N/A</v>
      </c>
      <c r="H11" s="19" t="e">
        <f>VLOOKUP($D11,Résultats!$B$2:$AX$426,H$5,FALSE)</f>
        <v>#N/A</v>
      </c>
      <c r="I11" s="109" t="e">
        <f>VLOOKUP($D11,Résultats!$B$2:$AX$426,I$5,FALSE)</f>
        <v>#N/A</v>
      </c>
      <c r="J11" s="28" t="e">
        <f>VLOOKUP($D11,Résultats!$B$2:$AX$426,J$5,FALSE)</f>
        <v>#N/A</v>
      </c>
      <c r="K11" s="19" t="e">
        <f>VLOOKUP($D11,Résultats!$B$2:$AX$426,K$5,FALSE)</f>
        <v>#N/A</v>
      </c>
      <c r="L11" s="19" t="e">
        <f>VLOOKUP($D11,Résultats!$B$2:$AX$426,L$5,FALSE)</f>
        <v>#N/A</v>
      </c>
      <c r="M11" s="19" t="e">
        <f>VLOOKUP($D11,Résultats!$B$2:$AX$426,M$5,FALSE)</f>
        <v>#N/A</v>
      </c>
      <c r="N11" s="109" t="e">
        <f>VLOOKUP($D11,Résultats!$B$2:$AX$426,N$5,FALSE)</f>
        <v>#N/A</v>
      </c>
      <c r="O11" s="28" t="e">
        <f>VLOOKUP($D11,Résultats!$B$2:$AX$426,O$5,FALSE)</f>
        <v>#N/A</v>
      </c>
      <c r="P11" s="19" t="e">
        <f>VLOOKUP($D11,Résultats!$B$2:$AX$426,P$5,FALSE)</f>
        <v>#N/A</v>
      </c>
      <c r="Q11" s="19" t="e">
        <f>VLOOKUP($D11,Résultats!$B$2:$AX$426,Q$5,FALSE)</f>
        <v>#N/A</v>
      </c>
      <c r="R11" s="19" t="e">
        <f>VLOOKUP($D11,Résultats!$B$2:$AX$426,R$5,FALSE)</f>
        <v>#N/A</v>
      </c>
      <c r="S11" s="109" t="e">
        <f>VLOOKUP($D11,Résultats!$B$2:$AX$426,S$5,FALSE)</f>
        <v>#N/A</v>
      </c>
      <c r="T11" s="118" t="e">
        <f>VLOOKUP($D11,Résultats!$B$2:$AX$426,T$5,FALSE)</f>
        <v>#N/A</v>
      </c>
      <c r="U11" s="118" t="e">
        <f>VLOOKUP($D11,Résultats!$B$2:$AX$426,U$5,FALSE)</f>
        <v>#N/A</v>
      </c>
      <c r="V11" s="118" t="e">
        <f>VLOOKUP($D11,Résultats!$B$2:$AX$426,V$5,FALSE)</f>
        <v>#N/A</v>
      </c>
      <c r="W11" s="118" t="e">
        <f>VLOOKUP($D11,Résultats!$B$2:$AX$426,W$5,FALSE)</f>
        <v>#N/A</v>
      </c>
      <c r="X11" s="3"/>
      <c r="Y11" s="34"/>
      <c r="Z11" s="34"/>
      <c r="AA11" s="34"/>
      <c r="AB11" s="34"/>
      <c r="AC11" s="34"/>
    </row>
    <row r="12" spans="1:29" x14ac:dyDescent="0.25">
      <c r="A12" s="3"/>
      <c r="B12" s="271"/>
      <c r="C12" s="3" t="s">
        <v>6</v>
      </c>
      <c r="D12" s="3" t="s">
        <v>115</v>
      </c>
      <c r="E12" s="19" t="e">
        <f>VLOOKUP($D12,Résultats!$B$2:$AX$426,E$5,FALSE)</f>
        <v>#N/A</v>
      </c>
      <c r="F12" s="19" t="e">
        <f>VLOOKUP($D12,Résultats!$B$2:$AX$426,F$5,FALSE)</f>
        <v>#N/A</v>
      </c>
      <c r="G12" s="28" t="e">
        <f>VLOOKUP($D12,Résultats!$B$2:$AX$426,G$5,FALSE)</f>
        <v>#N/A</v>
      </c>
      <c r="H12" s="19" t="e">
        <f>VLOOKUP($D12,Résultats!$B$2:$AX$426,H$5,FALSE)</f>
        <v>#N/A</v>
      </c>
      <c r="I12" s="109" t="e">
        <f>VLOOKUP($D12,Résultats!$B$2:$AX$426,I$5,FALSE)</f>
        <v>#N/A</v>
      </c>
      <c r="J12" s="28" t="e">
        <f>VLOOKUP($D12,Résultats!$B$2:$AX$426,J$5,FALSE)</f>
        <v>#N/A</v>
      </c>
      <c r="K12" s="19" t="e">
        <f>VLOOKUP($D12,Résultats!$B$2:$AX$426,K$5,FALSE)</f>
        <v>#N/A</v>
      </c>
      <c r="L12" s="19" t="e">
        <f>VLOOKUP($D12,Résultats!$B$2:$AX$426,L$5,FALSE)</f>
        <v>#N/A</v>
      </c>
      <c r="M12" s="19" t="e">
        <f>VLOOKUP($D12,Résultats!$B$2:$AX$426,M$5,FALSE)</f>
        <v>#N/A</v>
      </c>
      <c r="N12" s="109" t="e">
        <f>VLOOKUP($D12,Résultats!$B$2:$AX$426,N$5,FALSE)</f>
        <v>#N/A</v>
      </c>
      <c r="O12" s="28" t="e">
        <f>VLOOKUP($D12,Résultats!$B$2:$AX$426,O$5,FALSE)</f>
        <v>#N/A</v>
      </c>
      <c r="P12" s="19" t="e">
        <f>VLOOKUP($D12,Résultats!$B$2:$AX$426,P$5,FALSE)</f>
        <v>#N/A</v>
      </c>
      <c r="Q12" s="19" t="e">
        <f>VLOOKUP($D12,Résultats!$B$2:$AX$426,Q$5,FALSE)</f>
        <v>#N/A</v>
      </c>
      <c r="R12" s="19" t="e">
        <f>VLOOKUP($D12,Résultats!$B$2:$AX$426,R$5,FALSE)</f>
        <v>#N/A</v>
      </c>
      <c r="S12" s="109" t="e">
        <f>VLOOKUP($D12,Résultats!$B$2:$AX$426,S$5,FALSE)</f>
        <v>#N/A</v>
      </c>
      <c r="T12" s="118" t="e">
        <f>VLOOKUP($D12,Résultats!$B$2:$AX$426,T$5,FALSE)</f>
        <v>#N/A</v>
      </c>
      <c r="U12" s="118" t="e">
        <f>VLOOKUP($D12,Résultats!$B$2:$AX$426,U$5,FALSE)</f>
        <v>#N/A</v>
      </c>
      <c r="V12" s="118" t="e">
        <f>VLOOKUP($D12,Résultats!$B$2:$AX$426,V$5,FALSE)</f>
        <v>#N/A</v>
      </c>
      <c r="W12" s="118" t="e">
        <f>VLOOKUP($D12,Résultats!$B$2:$AX$426,W$5,FALSE)</f>
        <v>#N/A</v>
      </c>
      <c r="X12" s="3"/>
      <c r="Y12" s="34"/>
      <c r="Z12" s="213"/>
      <c r="AA12" s="214"/>
      <c r="AB12" s="214"/>
      <c r="AC12" s="214"/>
    </row>
    <row r="13" spans="1:29" x14ac:dyDescent="0.25">
      <c r="A13" s="3"/>
      <c r="B13" s="271"/>
      <c r="C13" s="3" t="s">
        <v>7</v>
      </c>
      <c r="D13" s="3" t="s">
        <v>116</v>
      </c>
      <c r="E13" s="19" t="e">
        <f>VLOOKUP($D13,Résultats!$B$2:$AX$426,E$5,FALSE)</f>
        <v>#N/A</v>
      </c>
      <c r="F13" s="19" t="e">
        <f>VLOOKUP($D13,Résultats!$B$2:$AX$426,F$5,FALSE)</f>
        <v>#N/A</v>
      </c>
      <c r="G13" s="28" t="e">
        <f>VLOOKUP($D13,Résultats!$B$2:$AX$426,G$5,FALSE)</f>
        <v>#N/A</v>
      </c>
      <c r="H13" s="19" t="e">
        <f>VLOOKUP($D13,Résultats!$B$2:$AX$426,H$5,FALSE)</f>
        <v>#N/A</v>
      </c>
      <c r="I13" s="109" t="e">
        <f>VLOOKUP($D13,Résultats!$B$2:$AX$426,I$5,FALSE)</f>
        <v>#N/A</v>
      </c>
      <c r="J13" s="28" t="e">
        <f>VLOOKUP($D13,Résultats!$B$2:$AX$426,J$5,FALSE)</f>
        <v>#N/A</v>
      </c>
      <c r="K13" s="19" t="e">
        <f>VLOOKUP($D13,Résultats!$B$2:$AX$426,K$5,FALSE)</f>
        <v>#N/A</v>
      </c>
      <c r="L13" s="19" t="e">
        <f>VLOOKUP($D13,Résultats!$B$2:$AX$426,L$5,FALSE)</f>
        <v>#N/A</v>
      </c>
      <c r="M13" s="19" t="e">
        <f>VLOOKUP($D13,Résultats!$B$2:$AX$426,M$5,FALSE)</f>
        <v>#N/A</v>
      </c>
      <c r="N13" s="109" t="e">
        <f>VLOOKUP($D13,Résultats!$B$2:$AX$426,N$5,FALSE)</f>
        <v>#N/A</v>
      </c>
      <c r="O13" s="28" t="e">
        <f>VLOOKUP($D13,Résultats!$B$2:$AX$426,O$5,FALSE)</f>
        <v>#N/A</v>
      </c>
      <c r="P13" s="19" t="e">
        <f>VLOOKUP($D13,Résultats!$B$2:$AX$426,P$5,FALSE)</f>
        <v>#N/A</v>
      </c>
      <c r="Q13" s="19" t="e">
        <f>VLOOKUP($D13,Résultats!$B$2:$AX$426,Q$5,FALSE)</f>
        <v>#N/A</v>
      </c>
      <c r="R13" s="19" t="e">
        <f>VLOOKUP($D13,Résultats!$B$2:$AX$426,R$5,FALSE)</f>
        <v>#N/A</v>
      </c>
      <c r="S13" s="109" t="e">
        <f>VLOOKUP($D13,Résultats!$B$2:$AX$426,S$5,FALSE)</f>
        <v>#N/A</v>
      </c>
      <c r="T13" s="118" t="e">
        <f>VLOOKUP($D13,Résultats!$B$2:$AX$426,T$5,FALSE)</f>
        <v>#N/A</v>
      </c>
      <c r="U13" s="118" t="e">
        <f>VLOOKUP($D13,Résultats!$B$2:$AX$426,U$5,FALSE)</f>
        <v>#N/A</v>
      </c>
      <c r="V13" s="118" t="e">
        <f>VLOOKUP($D13,Résultats!$B$2:$AX$426,V$5,FALSE)</f>
        <v>#N/A</v>
      </c>
      <c r="W13" s="118" t="e">
        <f>VLOOKUP($D13,Résultats!$B$2:$AX$426,W$5,FALSE)</f>
        <v>#N/A</v>
      </c>
      <c r="X13" s="3"/>
      <c r="Y13" s="34"/>
    </row>
    <row r="14" spans="1:29" x14ac:dyDescent="0.25">
      <c r="A14" s="3"/>
      <c r="B14" s="271"/>
      <c r="C14" s="3" t="s">
        <v>8</v>
      </c>
      <c r="D14" s="3" t="s">
        <v>117</v>
      </c>
      <c r="E14" s="19" t="e">
        <f>VLOOKUP($D14,Résultats!$B$2:$AX$426,E$5,FALSE)</f>
        <v>#N/A</v>
      </c>
      <c r="F14" s="19" t="e">
        <f>VLOOKUP($D14,Résultats!$B$2:$AX$426,F$5,FALSE)</f>
        <v>#N/A</v>
      </c>
      <c r="G14" s="28" t="e">
        <f>VLOOKUP($D14,Résultats!$B$2:$AX$426,G$5,FALSE)</f>
        <v>#N/A</v>
      </c>
      <c r="H14" s="19" t="e">
        <f>VLOOKUP($D14,Résultats!$B$2:$AX$426,H$5,FALSE)</f>
        <v>#N/A</v>
      </c>
      <c r="I14" s="109" t="e">
        <f>VLOOKUP($D14,Résultats!$B$2:$AX$426,I$5,FALSE)</f>
        <v>#N/A</v>
      </c>
      <c r="J14" s="28" t="e">
        <f>VLOOKUP($D14,Résultats!$B$2:$AX$426,J$5,FALSE)</f>
        <v>#N/A</v>
      </c>
      <c r="K14" s="19" t="e">
        <f>VLOOKUP($D14,Résultats!$B$2:$AX$426,K$5,FALSE)</f>
        <v>#N/A</v>
      </c>
      <c r="L14" s="19" t="e">
        <f>VLOOKUP($D14,Résultats!$B$2:$AX$426,L$5,FALSE)</f>
        <v>#N/A</v>
      </c>
      <c r="M14" s="19" t="e">
        <f>VLOOKUP($D14,Résultats!$B$2:$AX$426,M$5,FALSE)</f>
        <v>#N/A</v>
      </c>
      <c r="N14" s="109" t="e">
        <f>VLOOKUP($D14,Résultats!$B$2:$AX$426,N$5,FALSE)</f>
        <v>#N/A</v>
      </c>
      <c r="O14" s="28" t="e">
        <f>VLOOKUP($D14,Résultats!$B$2:$AX$426,O$5,FALSE)</f>
        <v>#N/A</v>
      </c>
      <c r="P14" s="19" t="e">
        <f>VLOOKUP($D14,Résultats!$B$2:$AX$426,P$5,FALSE)</f>
        <v>#N/A</v>
      </c>
      <c r="Q14" s="19" t="e">
        <f>VLOOKUP($D14,Résultats!$B$2:$AX$426,Q$5,FALSE)</f>
        <v>#N/A</v>
      </c>
      <c r="R14" s="19" t="e">
        <f>VLOOKUP($D14,Résultats!$B$2:$AX$426,R$5,FALSE)</f>
        <v>#N/A</v>
      </c>
      <c r="S14" s="109" t="e">
        <f>VLOOKUP($D14,Résultats!$B$2:$AX$426,S$5,FALSE)</f>
        <v>#N/A</v>
      </c>
      <c r="T14" s="118" t="e">
        <f>VLOOKUP($D14,Résultats!$B$2:$AX$426,T$5,FALSE)</f>
        <v>#N/A</v>
      </c>
      <c r="U14" s="118" t="e">
        <f>VLOOKUP($D14,Résultats!$B$2:$AX$426,U$5,FALSE)</f>
        <v>#N/A</v>
      </c>
      <c r="V14" s="118" t="e">
        <f>VLOOKUP($D14,Résultats!$B$2:$AX$426,V$5,FALSE)</f>
        <v>#N/A</v>
      </c>
      <c r="W14" s="118" t="e">
        <f>VLOOKUP($D14,Résultats!$B$2:$AX$426,W$5,FALSE)</f>
        <v>#N/A</v>
      </c>
      <c r="X14" s="3"/>
      <c r="Y14" s="34"/>
    </row>
    <row r="15" spans="1:29" x14ac:dyDescent="0.25">
      <c r="A15" s="3"/>
      <c r="B15" s="271"/>
      <c r="C15" s="3" t="s">
        <v>9</v>
      </c>
      <c r="D15" s="3" t="s">
        <v>118</v>
      </c>
      <c r="E15" s="19" t="e">
        <f>VLOOKUP($D15,Résultats!$B$2:$AX$426,E$5,FALSE)</f>
        <v>#N/A</v>
      </c>
      <c r="F15" s="19" t="e">
        <f>VLOOKUP($D15,Résultats!$B$2:$AX$426,F$5,FALSE)</f>
        <v>#N/A</v>
      </c>
      <c r="G15" s="28" t="e">
        <f>VLOOKUP($D15,Résultats!$B$2:$AX$426,G$5,FALSE)</f>
        <v>#N/A</v>
      </c>
      <c r="H15" s="19" t="e">
        <f>VLOOKUP($D15,Résultats!$B$2:$AX$426,H$5,FALSE)</f>
        <v>#N/A</v>
      </c>
      <c r="I15" s="109" t="e">
        <f>VLOOKUP($D15,Résultats!$B$2:$AX$426,I$5,FALSE)</f>
        <v>#N/A</v>
      </c>
      <c r="J15" s="28" t="e">
        <f>VLOOKUP($D15,Résultats!$B$2:$AX$426,J$5,FALSE)</f>
        <v>#N/A</v>
      </c>
      <c r="K15" s="19" t="e">
        <f>VLOOKUP($D15,Résultats!$B$2:$AX$426,K$5,FALSE)</f>
        <v>#N/A</v>
      </c>
      <c r="L15" s="19" t="e">
        <f>VLOOKUP($D15,Résultats!$B$2:$AX$426,L$5,FALSE)</f>
        <v>#N/A</v>
      </c>
      <c r="M15" s="19" t="e">
        <f>VLOOKUP($D15,Résultats!$B$2:$AX$426,M$5,FALSE)</f>
        <v>#N/A</v>
      </c>
      <c r="N15" s="109" t="e">
        <f>VLOOKUP($D15,Résultats!$B$2:$AX$426,N$5,FALSE)</f>
        <v>#N/A</v>
      </c>
      <c r="O15" s="28" t="e">
        <f>VLOOKUP($D15,Résultats!$B$2:$AX$426,O$5,FALSE)</f>
        <v>#N/A</v>
      </c>
      <c r="P15" s="19" t="e">
        <f>VLOOKUP($D15,Résultats!$B$2:$AX$426,P$5,FALSE)</f>
        <v>#N/A</v>
      </c>
      <c r="Q15" s="19" t="e">
        <f>VLOOKUP($D15,Résultats!$B$2:$AX$426,Q$5,FALSE)</f>
        <v>#N/A</v>
      </c>
      <c r="R15" s="19" t="e">
        <f>VLOOKUP($D15,Résultats!$B$2:$AX$426,R$5,FALSE)</f>
        <v>#N/A</v>
      </c>
      <c r="S15" s="109" t="e">
        <f>VLOOKUP($D15,Résultats!$B$2:$AX$426,S$5,FALSE)</f>
        <v>#N/A</v>
      </c>
      <c r="T15" s="118" t="e">
        <f>VLOOKUP($D15,Résultats!$B$2:$AX$426,T$5,FALSE)</f>
        <v>#N/A</v>
      </c>
      <c r="U15" s="118" t="e">
        <f>VLOOKUP($D15,Résultats!$B$2:$AX$426,U$5,FALSE)</f>
        <v>#N/A</v>
      </c>
      <c r="V15" s="118" t="e">
        <f>VLOOKUP($D15,Résultats!$B$2:$AX$426,V$5,FALSE)</f>
        <v>#N/A</v>
      </c>
      <c r="W15" s="118" t="e">
        <f>VLOOKUP($D15,Résultats!$B$2:$AX$426,W$5,FALSE)</f>
        <v>#N/A</v>
      </c>
      <c r="X15" s="3"/>
      <c r="Y15" s="34"/>
    </row>
    <row r="16" spans="1:29" x14ac:dyDescent="0.25">
      <c r="A16" s="3"/>
      <c r="B16" s="271"/>
      <c r="C16" s="3" t="s">
        <v>10</v>
      </c>
      <c r="D16" s="3" t="s">
        <v>119</v>
      </c>
      <c r="E16" s="19" t="e">
        <f>VLOOKUP($D16,Résultats!$B$2:$AX$426,E$5,FALSE)</f>
        <v>#N/A</v>
      </c>
      <c r="F16" s="19" t="e">
        <f>VLOOKUP($D16,Résultats!$B$2:$AX$426,F$5,FALSE)</f>
        <v>#N/A</v>
      </c>
      <c r="G16" s="28" t="e">
        <f>VLOOKUP($D16,Résultats!$B$2:$AX$426,G$5,FALSE)</f>
        <v>#N/A</v>
      </c>
      <c r="H16" s="19" t="e">
        <f>VLOOKUP($D16,Résultats!$B$2:$AX$426,H$5,FALSE)</f>
        <v>#N/A</v>
      </c>
      <c r="I16" s="109" t="e">
        <f>VLOOKUP($D16,Résultats!$B$2:$AX$426,I$5,FALSE)</f>
        <v>#N/A</v>
      </c>
      <c r="J16" s="28" t="e">
        <f>VLOOKUP($D16,Résultats!$B$2:$AX$426,J$5,FALSE)</f>
        <v>#N/A</v>
      </c>
      <c r="K16" s="19" t="e">
        <f>VLOOKUP($D16,Résultats!$B$2:$AX$426,K$5,FALSE)</f>
        <v>#N/A</v>
      </c>
      <c r="L16" s="19" t="e">
        <f>VLOOKUP($D16,Résultats!$B$2:$AX$426,L$5,FALSE)</f>
        <v>#N/A</v>
      </c>
      <c r="M16" s="19" t="e">
        <f>VLOOKUP($D16,Résultats!$B$2:$AX$426,M$5,FALSE)</f>
        <v>#N/A</v>
      </c>
      <c r="N16" s="109" t="e">
        <f>VLOOKUP($D16,Résultats!$B$2:$AX$426,N$5,FALSE)</f>
        <v>#N/A</v>
      </c>
      <c r="O16" s="28" t="e">
        <f>VLOOKUP($D16,Résultats!$B$2:$AX$426,O$5,FALSE)</f>
        <v>#N/A</v>
      </c>
      <c r="P16" s="19" t="e">
        <f>VLOOKUP($D16,Résultats!$B$2:$AX$426,P$5,FALSE)</f>
        <v>#N/A</v>
      </c>
      <c r="Q16" s="19" t="e">
        <f>VLOOKUP($D16,Résultats!$B$2:$AX$426,Q$5,FALSE)</f>
        <v>#N/A</v>
      </c>
      <c r="R16" s="19" t="e">
        <f>VLOOKUP($D16,Résultats!$B$2:$AX$426,R$5,FALSE)</f>
        <v>#N/A</v>
      </c>
      <c r="S16" s="109" t="e">
        <f>VLOOKUP($D16,Résultats!$B$2:$AX$426,S$5,FALSE)</f>
        <v>#N/A</v>
      </c>
      <c r="T16" s="118" t="e">
        <f>VLOOKUP($D16,Résultats!$B$2:$AX$426,T$5,FALSE)</f>
        <v>#N/A</v>
      </c>
      <c r="U16" s="118" t="e">
        <f>VLOOKUP($D16,Résultats!$B$2:$AX$426,U$5,FALSE)</f>
        <v>#N/A</v>
      </c>
      <c r="V16" s="118" t="e">
        <f>VLOOKUP($D16,Résultats!$B$2:$AX$426,V$5,FALSE)</f>
        <v>#N/A</v>
      </c>
      <c r="W16" s="118" t="e">
        <f>VLOOKUP($D16,Résultats!$B$2:$AX$426,W$5,FALSE)</f>
        <v>#N/A</v>
      </c>
      <c r="X16" s="3"/>
      <c r="Y16" s="34"/>
    </row>
    <row r="17" spans="1:39" x14ac:dyDescent="0.25">
      <c r="A17" s="3"/>
      <c r="B17" s="271"/>
      <c r="C17" s="3" t="s">
        <v>11</v>
      </c>
      <c r="D17" s="3" t="s">
        <v>120</v>
      </c>
      <c r="E17" s="19" t="e">
        <f>VLOOKUP($D17,Résultats!$B$2:$AX$426,E$5,FALSE)</f>
        <v>#N/A</v>
      </c>
      <c r="F17" s="19" t="e">
        <f>VLOOKUP($D17,Résultats!$B$2:$AX$426,F$5,FALSE)</f>
        <v>#N/A</v>
      </c>
      <c r="G17" s="28" t="e">
        <f>VLOOKUP($D17,Résultats!$B$2:$AX$426,G$5,FALSE)</f>
        <v>#N/A</v>
      </c>
      <c r="H17" s="19" t="e">
        <f>VLOOKUP($D17,Résultats!$B$2:$AX$426,H$5,FALSE)</f>
        <v>#N/A</v>
      </c>
      <c r="I17" s="109" t="e">
        <f>VLOOKUP($D17,Résultats!$B$2:$AX$426,I$5,FALSE)</f>
        <v>#N/A</v>
      </c>
      <c r="J17" s="28" t="e">
        <f>VLOOKUP($D17,Résultats!$B$2:$AX$426,J$5,FALSE)</f>
        <v>#N/A</v>
      </c>
      <c r="K17" s="19" t="e">
        <f>VLOOKUP($D17,Résultats!$B$2:$AX$426,K$5,FALSE)</f>
        <v>#N/A</v>
      </c>
      <c r="L17" s="19" t="e">
        <f>VLOOKUP($D17,Résultats!$B$2:$AX$426,L$5,FALSE)</f>
        <v>#N/A</v>
      </c>
      <c r="M17" s="19" t="e">
        <f>VLOOKUP($D17,Résultats!$B$2:$AX$426,M$5,FALSE)</f>
        <v>#N/A</v>
      </c>
      <c r="N17" s="109" t="e">
        <f>VLOOKUP($D17,Résultats!$B$2:$AX$426,N$5,FALSE)</f>
        <v>#N/A</v>
      </c>
      <c r="O17" s="28" t="e">
        <f>VLOOKUP($D17,Résultats!$B$2:$AX$426,O$5,FALSE)</f>
        <v>#N/A</v>
      </c>
      <c r="P17" s="19" t="e">
        <f>VLOOKUP($D17,Résultats!$B$2:$AX$426,P$5,FALSE)</f>
        <v>#N/A</v>
      </c>
      <c r="Q17" s="19" t="e">
        <f>VLOOKUP($D17,Résultats!$B$2:$AX$426,Q$5,FALSE)</f>
        <v>#N/A</v>
      </c>
      <c r="R17" s="19" t="e">
        <f>VLOOKUP($D17,Résultats!$B$2:$AX$426,R$5,FALSE)</f>
        <v>#N/A</v>
      </c>
      <c r="S17" s="109" t="e">
        <f>VLOOKUP($D17,Résultats!$B$2:$AX$426,S$5,FALSE)</f>
        <v>#N/A</v>
      </c>
      <c r="T17" s="118" t="e">
        <f>VLOOKUP($D17,Résultats!$B$2:$AX$426,T$5,FALSE)</f>
        <v>#N/A</v>
      </c>
      <c r="U17" s="118" t="e">
        <f>VLOOKUP($D17,Résultats!$B$2:$AX$426,U$5,FALSE)</f>
        <v>#N/A</v>
      </c>
      <c r="V17" s="118" t="e">
        <f>VLOOKUP($D17,Résultats!$B$2:$AX$426,V$5,FALSE)</f>
        <v>#N/A</v>
      </c>
      <c r="W17" s="118" t="e">
        <f>VLOOKUP($D17,Résultats!$B$2:$AX$426,W$5,FALSE)</f>
        <v>#N/A</v>
      </c>
      <c r="X17" s="3"/>
      <c r="Y17" s="34"/>
    </row>
    <row r="18" spans="1:39" x14ac:dyDescent="0.25">
      <c r="A18" s="3"/>
      <c r="B18" s="272"/>
      <c r="C18" s="7" t="s">
        <v>12</v>
      </c>
      <c r="D18" s="3" t="s">
        <v>121</v>
      </c>
      <c r="E18" s="20" t="e">
        <f>VLOOKUP($D18,Résultats!$B$2:$AX$426,E$5,FALSE)</f>
        <v>#N/A</v>
      </c>
      <c r="F18" s="20" t="e">
        <f>VLOOKUP($D18,Résultats!$B$2:$AX$426,F$5,FALSE)</f>
        <v>#N/A</v>
      </c>
      <c r="G18" s="111" t="e">
        <f>VLOOKUP($D18,Résultats!$B$2:$AX$426,G$5,FALSE)</f>
        <v>#N/A</v>
      </c>
      <c r="H18" s="20" t="e">
        <f>VLOOKUP($D18,Résultats!$B$2:$AX$426,H$5,FALSE)</f>
        <v>#N/A</v>
      </c>
      <c r="I18" s="112" t="e">
        <f>VLOOKUP($D18,Résultats!$B$2:$AX$426,I$5,FALSE)</f>
        <v>#N/A</v>
      </c>
      <c r="J18" s="111" t="e">
        <f>VLOOKUP($D18,Résultats!$B$2:$AX$426,J$5,FALSE)</f>
        <v>#N/A</v>
      </c>
      <c r="K18" s="20" t="e">
        <f>VLOOKUP($D18,Résultats!$B$2:$AX$426,K$5,FALSE)</f>
        <v>#N/A</v>
      </c>
      <c r="L18" s="20" t="e">
        <f>VLOOKUP($D18,Résultats!$B$2:$AX$426,L$5,FALSE)</f>
        <v>#N/A</v>
      </c>
      <c r="M18" s="20" t="e">
        <f>VLOOKUP($D18,Résultats!$B$2:$AX$426,M$5,FALSE)</f>
        <v>#N/A</v>
      </c>
      <c r="N18" s="112" t="e">
        <f>VLOOKUP($D18,Résultats!$B$2:$AX$426,N$5,FALSE)</f>
        <v>#N/A</v>
      </c>
      <c r="O18" s="111" t="e">
        <f>VLOOKUP($D18,Résultats!$B$2:$AX$426,O$5,FALSE)</f>
        <v>#N/A</v>
      </c>
      <c r="P18" s="20" t="e">
        <f>VLOOKUP($D18,Résultats!$B$2:$AX$426,P$5,FALSE)</f>
        <v>#N/A</v>
      </c>
      <c r="Q18" s="20" t="e">
        <f>VLOOKUP($D18,Résultats!$B$2:$AX$426,Q$5,FALSE)</f>
        <v>#N/A</v>
      </c>
      <c r="R18" s="20" t="e">
        <f>VLOOKUP($D18,Résultats!$B$2:$AX$426,R$5,FALSE)</f>
        <v>#N/A</v>
      </c>
      <c r="S18" s="112" t="e">
        <f>VLOOKUP($D18,Résultats!$B$2:$AX$426,S$5,FALSE)</f>
        <v>#N/A</v>
      </c>
      <c r="T18" s="120" t="e">
        <f>VLOOKUP($D18,Résultats!$B$2:$AX$426,T$5,FALSE)</f>
        <v>#N/A</v>
      </c>
      <c r="U18" s="120" t="e">
        <f>VLOOKUP($D18,Résultats!$B$2:$AX$426,U$5,FALSE)</f>
        <v>#N/A</v>
      </c>
      <c r="V18" s="120" t="e">
        <f>VLOOKUP($D18,Résultats!$B$2:$AX$426,V$5,FALSE)</f>
        <v>#N/A</v>
      </c>
      <c r="W18" s="120" t="e">
        <f>VLOOKUP($D18,Résultats!$B$2:$AX$426,W$5,FALSE)</f>
        <v>#N/A</v>
      </c>
      <c r="X18" s="3"/>
      <c r="Y18" s="34"/>
    </row>
    <row r="19" spans="1:39" ht="15" customHeight="1" x14ac:dyDescent="0.25">
      <c r="A19" s="3"/>
      <c r="B19" s="270" t="s">
        <v>135</v>
      </c>
      <c r="C19" s="5" t="s">
        <v>1</v>
      </c>
      <c r="D19" s="2"/>
      <c r="E19" s="6" t="e">
        <f>SUM(E20:E25)</f>
        <v>#N/A</v>
      </c>
      <c r="F19" s="6" t="e">
        <f>SUM(F20:F25)</f>
        <v>#N/A</v>
      </c>
      <c r="G19" s="107" t="e">
        <f t="shared" ref="G19:R19" si="3">SUM(G20:G25)</f>
        <v>#N/A</v>
      </c>
      <c r="H19" s="6" t="e">
        <f t="shared" si="3"/>
        <v>#N/A</v>
      </c>
      <c r="I19" s="108" t="e">
        <f t="shared" si="3"/>
        <v>#N/A</v>
      </c>
      <c r="J19" s="107" t="e">
        <f t="shared" si="3"/>
        <v>#N/A</v>
      </c>
      <c r="K19" s="6" t="e">
        <f t="shared" si="3"/>
        <v>#N/A</v>
      </c>
      <c r="L19" s="6" t="e">
        <f t="shared" si="3"/>
        <v>#N/A</v>
      </c>
      <c r="M19" s="6" t="e">
        <f t="shared" si="3"/>
        <v>#N/A</v>
      </c>
      <c r="N19" s="108" t="e">
        <f t="shared" si="3"/>
        <v>#N/A</v>
      </c>
      <c r="O19" s="107" t="e">
        <f t="shared" si="3"/>
        <v>#N/A</v>
      </c>
      <c r="P19" s="6" t="e">
        <f t="shared" si="3"/>
        <v>#N/A</v>
      </c>
      <c r="Q19" s="6" t="e">
        <f t="shared" si="3"/>
        <v>#N/A</v>
      </c>
      <c r="R19" s="6" t="e">
        <f t="shared" si="3"/>
        <v>#N/A</v>
      </c>
      <c r="S19" s="108" t="e">
        <f>SUM(S20:S25)</f>
        <v>#N/A</v>
      </c>
      <c r="T19" s="117" t="e">
        <f>SUM(T20:T25)</f>
        <v>#N/A</v>
      </c>
      <c r="U19" s="117" t="e">
        <f>SUM(U20:U25)</f>
        <v>#N/A</v>
      </c>
      <c r="V19" s="117" t="e">
        <f>SUM(V20:V25)</f>
        <v>#N/A</v>
      </c>
      <c r="W19" s="117" t="e">
        <f>SUM(W20:W25)</f>
        <v>#N/A</v>
      </c>
      <c r="X19" s="3"/>
      <c r="Y19" s="34"/>
    </row>
    <row r="20" spans="1:39" x14ac:dyDescent="0.25">
      <c r="A20" s="3"/>
      <c r="B20" s="271"/>
      <c r="C20" s="3" t="s">
        <v>13</v>
      </c>
      <c r="D20" s="3" t="s">
        <v>122</v>
      </c>
      <c r="E20" s="19" t="e">
        <f>VLOOKUP($D20,Résultats!$B$2:$AX$426,E$5,FALSE)</f>
        <v>#N/A</v>
      </c>
      <c r="F20" s="19" t="e">
        <f>VLOOKUP($D20,Résultats!$B$2:$AX$426,F$5,FALSE)</f>
        <v>#N/A</v>
      </c>
      <c r="G20" s="28" t="e">
        <f>VLOOKUP($D20,Résultats!$B$2:$AX$426,G$5,FALSE)</f>
        <v>#N/A</v>
      </c>
      <c r="H20" s="19" t="e">
        <f>VLOOKUP($D20,Résultats!$B$2:$AX$426,H$5,FALSE)</f>
        <v>#N/A</v>
      </c>
      <c r="I20" s="109" t="e">
        <f>VLOOKUP($D20,Résultats!$B$2:$AX$426,I$5,FALSE)</f>
        <v>#N/A</v>
      </c>
      <c r="J20" s="28" t="e">
        <f>VLOOKUP($D20,Résultats!$B$2:$AX$426,J$5,FALSE)</f>
        <v>#N/A</v>
      </c>
      <c r="K20" s="19" t="e">
        <f>VLOOKUP($D20,Résultats!$B$2:$AX$426,K$5,FALSE)</f>
        <v>#N/A</v>
      </c>
      <c r="L20" s="19" t="e">
        <f>VLOOKUP($D20,Résultats!$B$2:$AX$426,L$5,FALSE)</f>
        <v>#N/A</v>
      </c>
      <c r="M20" s="19" t="e">
        <f>VLOOKUP($D20,Résultats!$B$2:$AX$426,M$5,FALSE)</f>
        <v>#N/A</v>
      </c>
      <c r="N20" s="109" t="e">
        <f>VLOOKUP($D20,Résultats!$B$2:$AX$426,N$5,FALSE)</f>
        <v>#N/A</v>
      </c>
      <c r="O20" s="28" t="e">
        <f>VLOOKUP($D20,Résultats!$B$2:$AX$426,O$5,FALSE)</f>
        <v>#N/A</v>
      </c>
      <c r="P20" s="19" t="e">
        <f>VLOOKUP($D20,Résultats!$B$2:$AX$426,P$5,FALSE)</f>
        <v>#N/A</v>
      </c>
      <c r="Q20" s="19" t="e">
        <f>VLOOKUP($D20,Résultats!$B$2:$AX$426,Q$5,FALSE)</f>
        <v>#N/A</v>
      </c>
      <c r="R20" s="19" t="e">
        <f>VLOOKUP($D20,Résultats!$B$2:$AX$426,R$5,FALSE)</f>
        <v>#N/A</v>
      </c>
      <c r="S20" s="109" t="e">
        <f>VLOOKUP($D20,Résultats!$B$2:$AX$426,S$5,FALSE)</f>
        <v>#N/A</v>
      </c>
      <c r="T20" s="118" t="e">
        <f>VLOOKUP($D20,Résultats!$B$2:$AX$426,T$5,FALSE)</f>
        <v>#N/A</v>
      </c>
      <c r="U20" s="118" t="e">
        <f>VLOOKUP($D20,Résultats!$B$2:$AX$426,U$5,FALSE)</f>
        <v>#N/A</v>
      </c>
      <c r="V20" s="118" t="e">
        <f>VLOOKUP($D20,Résultats!$B$2:$AX$426,V$5,FALSE)</f>
        <v>#N/A</v>
      </c>
      <c r="W20" s="118" t="e">
        <f>VLOOKUP($D20,Résultats!$B$2:$AX$426,W$5,FALSE)</f>
        <v>#N/A</v>
      </c>
      <c r="X20" s="3"/>
      <c r="Y20" s="34"/>
    </row>
    <row r="21" spans="1:39" x14ac:dyDescent="0.25">
      <c r="A21" s="3"/>
      <c r="B21" s="271"/>
      <c r="C21" s="3" t="s">
        <v>14</v>
      </c>
      <c r="D21" s="3" t="s">
        <v>123</v>
      </c>
      <c r="E21" s="19" t="e">
        <f>VLOOKUP($D21,Résultats!$B$2:$AX$426,E$5,FALSE)</f>
        <v>#N/A</v>
      </c>
      <c r="F21" s="19" t="e">
        <f>VLOOKUP($D21,Résultats!$B$2:$AX$426,F$5,FALSE)</f>
        <v>#N/A</v>
      </c>
      <c r="G21" s="28" t="e">
        <f>VLOOKUP($D21,Résultats!$B$2:$AX$426,G$5,FALSE)</f>
        <v>#N/A</v>
      </c>
      <c r="H21" s="19" t="e">
        <f>VLOOKUP($D21,Résultats!$B$2:$AX$426,H$5,FALSE)</f>
        <v>#N/A</v>
      </c>
      <c r="I21" s="109" t="e">
        <f>VLOOKUP($D21,Résultats!$B$2:$AX$426,I$5,FALSE)</f>
        <v>#N/A</v>
      </c>
      <c r="J21" s="28" t="e">
        <f>VLOOKUP($D21,Résultats!$B$2:$AX$426,J$5,FALSE)</f>
        <v>#N/A</v>
      </c>
      <c r="K21" s="19" t="e">
        <f>VLOOKUP($D21,Résultats!$B$2:$AX$426,K$5,FALSE)</f>
        <v>#N/A</v>
      </c>
      <c r="L21" s="19" t="e">
        <f>VLOOKUP($D21,Résultats!$B$2:$AX$426,L$5,FALSE)</f>
        <v>#N/A</v>
      </c>
      <c r="M21" s="19" t="e">
        <f>VLOOKUP($D21,Résultats!$B$2:$AX$426,M$5,FALSE)</f>
        <v>#N/A</v>
      </c>
      <c r="N21" s="109" t="e">
        <f>VLOOKUP($D21,Résultats!$B$2:$AX$426,N$5,FALSE)</f>
        <v>#N/A</v>
      </c>
      <c r="O21" s="28" t="e">
        <f>VLOOKUP($D21,Résultats!$B$2:$AX$426,O$5,FALSE)</f>
        <v>#N/A</v>
      </c>
      <c r="P21" s="19" t="e">
        <f>VLOOKUP($D21,Résultats!$B$2:$AX$426,P$5,FALSE)</f>
        <v>#N/A</v>
      </c>
      <c r="Q21" s="19" t="e">
        <f>VLOOKUP($D21,Résultats!$B$2:$AX$426,Q$5,FALSE)</f>
        <v>#N/A</v>
      </c>
      <c r="R21" s="19" t="e">
        <f>VLOOKUP($D21,Résultats!$B$2:$AX$426,R$5,FALSE)</f>
        <v>#N/A</v>
      </c>
      <c r="S21" s="109" t="e">
        <f>VLOOKUP($D21,Résultats!$B$2:$AX$426,S$5,FALSE)</f>
        <v>#N/A</v>
      </c>
      <c r="T21" s="118" t="e">
        <f>VLOOKUP($D21,Résultats!$B$2:$AX$426,T$5,FALSE)</f>
        <v>#N/A</v>
      </c>
      <c r="U21" s="118" t="e">
        <f>VLOOKUP($D21,Résultats!$B$2:$AX$426,U$5,FALSE)</f>
        <v>#N/A</v>
      </c>
      <c r="V21" s="118" t="e">
        <f>VLOOKUP($D21,Résultats!$B$2:$AX$426,V$5,FALSE)</f>
        <v>#N/A</v>
      </c>
      <c r="W21" s="118" t="e">
        <f>VLOOKUP($D21,Résultats!$B$2:$AX$426,W$5,FALSE)</f>
        <v>#N/A</v>
      </c>
      <c r="X21" s="3"/>
      <c r="Y21" s="34"/>
    </row>
    <row r="22" spans="1:39" x14ac:dyDescent="0.25">
      <c r="A22" s="3"/>
      <c r="B22" s="271"/>
      <c r="C22" s="3" t="s">
        <v>15</v>
      </c>
      <c r="D22" s="3" t="s">
        <v>124</v>
      </c>
      <c r="E22" s="19" t="e">
        <f>VLOOKUP($D22,Résultats!$B$2:$AX$426,E$5,FALSE)</f>
        <v>#N/A</v>
      </c>
      <c r="F22" s="19" t="e">
        <f>VLOOKUP($D22,Résultats!$B$2:$AX$426,F$5,FALSE)</f>
        <v>#N/A</v>
      </c>
      <c r="G22" s="28" t="e">
        <f>VLOOKUP($D22,Résultats!$B$2:$AX$426,G$5,FALSE)</f>
        <v>#N/A</v>
      </c>
      <c r="H22" s="19" t="e">
        <f>VLOOKUP($D22,Résultats!$B$2:$AX$426,H$5,FALSE)</f>
        <v>#N/A</v>
      </c>
      <c r="I22" s="109" t="e">
        <f>VLOOKUP($D22,Résultats!$B$2:$AX$426,I$5,FALSE)</f>
        <v>#N/A</v>
      </c>
      <c r="J22" s="28" t="e">
        <f>VLOOKUP($D22,Résultats!$B$2:$AX$426,J$5,FALSE)</f>
        <v>#N/A</v>
      </c>
      <c r="K22" s="19" t="e">
        <f>VLOOKUP($D22,Résultats!$B$2:$AX$426,K$5,FALSE)</f>
        <v>#N/A</v>
      </c>
      <c r="L22" s="19" t="e">
        <f>VLOOKUP($D22,Résultats!$B$2:$AX$426,L$5,FALSE)</f>
        <v>#N/A</v>
      </c>
      <c r="M22" s="19" t="e">
        <f>VLOOKUP($D22,Résultats!$B$2:$AX$426,M$5,FALSE)</f>
        <v>#N/A</v>
      </c>
      <c r="N22" s="109" t="e">
        <f>VLOOKUP($D22,Résultats!$B$2:$AX$426,N$5,FALSE)</f>
        <v>#N/A</v>
      </c>
      <c r="O22" s="28" t="e">
        <f>VLOOKUP($D22,Résultats!$B$2:$AX$426,O$5,FALSE)</f>
        <v>#N/A</v>
      </c>
      <c r="P22" s="19" t="e">
        <f>VLOOKUP($D22,Résultats!$B$2:$AX$426,P$5,FALSE)</f>
        <v>#N/A</v>
      </c>
      <c r="Q22" s="19" t="e">
        <f>VLOOKUP($D22,Résultats!$B$2:$AX$426,Q$5,FALSE)</f>
        <v>#N/A</v>
      </c>
      <c r="R22" s="19" t="e">
        <f>VLOOKUP($D22,Résultats!$B$2:$AX$426,R$5,FALSE)</f>
        <v>#N/A</v>
      </c>
      <c r="S22" s="109" t="e">
        <f>VLOOKUP($D22,Résultats!$B$2:$AX$426,S$5,FALSE)</f>
        <v>#N/A</v>
      </c>
      <c r="T22" s="118" t="e">
        <f>VLOOKUP($D22,Résultats!$B$2:$AX$426,T$5,FALSE)</f>
        <v>#N/A</v>
      </c>
      <c r="U22" s="118" t="e">
        <f>VLOOKUP($D22,Résultats!$B$2:$AX$426,U$5,FALSE)</f>
        <v>#N/A</v>
      </c>
      <c r="V22" s="118" t="e">
        <f>VLOOKUP($D22,Résultats!$B$2:$AX$426,V$5,FALSE)</f>
        <v>#N/A</v>
      </c>
      <c r="W22" s="118" t="e">
        <f>VLOOKUP($D22,Résultats!$B$2:$AX$426,W$5,FALSE)</f>
        <v>#N/A</v>
      </c>
      <c r="X22" s="3"/>
      <c r="Y22" s="34"/>
      <c r="Z22" s="34"/>
      <c r="AA22" s="34"/>
    </row>
    <row r="23" spans="1:39" x14ac:dyDescent="0.25">
      <c r="A23" s="3"/>
      <c r="B23" s="271"/>
      <c r="C23" s="3" t="s">
        <v>16</v>
      </c>
      <c r="D23" s="3" t="s">
        <v>125</v>
      </c>
      <c r="E23" s="19" t="e">
        <f>VLOOKUP($D23,Résultats!$B$2:$AX$426,E$5,FALSE)</f>
        <v>#N/A</v>
      </c>
      <c r="F23" s="19" t="e">
        <f>VLOOKUP($D23,Résultats!$B$2:$AX$426,F$5,FALSE)</f>
        <v>#N/A</v>
      </c>
      <c r="G23" s="28" t="e">
        <f>VLOOKUP($D23,Résultats!$B$2:$AX$426,G$5,FALSE)</f>
        <v>#N/A</v>
      </c>
      <c r="H23" s="19" t="e">
        <f>VLOOKUP($D23,Résultats!$B$2:$AX$426,H$5,FALSE)</f>
        <v>#N/A</v>
      </c>
      <c r="I23" s="109" t="e">
        <f>VLOOKUP($D23,Résultats!$B$2:$AX$426,I$5,FALSE)</f>
        <v>#N/A</v>
      </c>
      <c r="J23" s="28" t="e">
        <f>VLOOKUP($D23,Résultats!$B$2:$AX$426,J$5,FALSE)</f>
        <v>#N/A</v>
      </c>
      <c r="K23" s="19" t="e">
        <f>VLOOKUP($D23,Résultats!$B$2:$AX$426,K$5,FALSE)</f>
        <v>#N/A</v>
      </c>
      <c r="L23" s="19" t="e">
        <f>VLOOKUP($D23,Résultats!$B$2:$AX$426,L$5,FALSE)</f>
        <v>#N/A</v>
      </c>
      <c r="M23" s="19" t="e">
        <f>VLOOKUP($D23,Résultats!$B$2:$AX$426,M$5,FALSE)</f>
        <v>#N/A</v>
      </c>
      <c r="N23" s="109" t="e">
        <f>VLOOKUP($D23,Résultats!$B$2:$AX$426,N$5,FALSE)</f>
        <v>#N/A</v>
      </c>
      <c r="O23" s="28" t="e">
        <f>VLOOKUP($D23,Résultats!$B$2:$AX$426,O$5,FALSE)</f>
        <v>#N/A</v>
      </c>
      <c r="P23" s="19" t="e">
        <f>VLOOKUP($D23,Résultats!$B$2:$AX$426,P$5,FALSE)</f>
        <v>#N/A</v>
      </c>
      <c r="Q23" s="19" t="e">
        <f>VLOOKUP($D23,Résultats!$B$2:$AX$426,Q$5,FALSE)</f>
        <v>#N/A</v>
      </c>
      <c r="R23" s="19" t="e">
        <f>VLOOKUP($D23,Résultats!$B$2:$AX$426,R$5,FALSE)</f>
        <v>#N/A</v>
      </c>
      <c r="S23" s="109" t="e">
        <f>VLOOKUP($D23,Résultats!$B$2:$AX$426,S$5,FALSE)</f>
        <v>#N/A</v>
      </c>
      <c r="T23" s="118" t="e">
        <f>VLOOKUP($D23,Résultats!$B$2:$AX$426,T$5,FALSE)</f>
        <v>#N/A</v>
      </c>
      <c r="U23" s="118" t="e">
        <f>VLOOKUP($D23,Résultats!$B$2:$AX$426,U$5,FALSE)</f>
        <v>#N/A</v>
      </c>
      <c r="V23" s="118" t="e">
        <f>VLOOKUP($D23,Résultats!$B$2:$AX$426,V$5,FALSE)</f>
        <v>#N/A</v>
      </c>
      <c r="W23" s="118" t="e">
        <f>VLOOKUP($D23,Résultats!$B$2:$AX$426,W$5,FALSE)</f>
        <v>#N/A</v>
      </c>
      <c r="X23" s="3"/>
      <c r="Y23" s="34"/>
      <c r="Z23" s="34"/>
      <c r="AA23" s="34"/>
    </row>
    <row r="24" spans="1:39" x14ac:dyDescent="0.25">
      <c r="A24" s="3"/>
      <c r="B24" s="271"/>
      <c r="C24" s="3" t="s">
        <v>17</v>
      </c>
      <c r="D24" s="3" t="s">
        <v>126</v>
      </c>
      <c r="E24" s="19" t="e">
        <f>VLOOKUP($D24,Résultats!$B$2:$AX$426,E$5,FALSE)</f>
        <v>#N/A</v>
      </c>
      <c r="F24" s="19" t="e">
        <f>VLOOKUP($D24,Résultats!$B$2:$AX$426,F$5,FALSE)</f>
        <v>#N/A</v>
      </c>
      <c r="G24" s="28" t="e">
        <f>VLOOKUP($D24,Résultats!$B$2:$AX$426,G$5,FALSE)</f>
        <v>#N/A</v>
      </c>
      <c r="H24" s="19" t="e">
        <f>VLOOKUP($D24,Résultats!$B$2:$AX$426,H$5,FALSE)</f>
        <v>#N/A</v>
      </c>
      <c r="I24" s="109" t="e">
        <f>VLOOKUP($D24,Résultats!$B$2:$AX$426,I$5,FALSE)</f>
        <v>#N/A</v>
      </c>
      <c r="J24" s="28" t="e">
        <f>VLOOKUP($D24,Résultats!$B$2:$AX$426,J$5,FALSE)</f>
        <v>#N/A</v>
      </c>
      <c r="K24" s="19" t="e">
        <f>VLOOKUP($D24,Résultats!$B$2:$AX$426,K$5,FALSE)</f>
        <v>#N/A</v>
      </c>
      <c r="L24" s="19" t="e">
        <f>VLOOKUP($D24,Résultats!$B$2:$AX$426,L$5,FALSE)</f>
        <v>#N/A</v>
      </c>
      <c r="M24" s="19" t="e">
        <f>VLOOKUP($D24,Résultats!$B$2:$AX$426,M$5,FALSE)</f>
        <v>#N/A</v>
      </c>
      <c r="N24" s="109" t="e">
        <f>VLOOKUP($D24,Résultats!$B$2:$AX$426,N$5,FALSE)</f>
        <v>#N/A</v>
      </c>
      <c r="O24" s="28" t="e">
        <f>VLOOKUP($D24,Résultats!$B$2:$AX$426,O$5,FALSE)</f>
        <v>#N/A</v>
      </c>
      <c r="P24" s="19" t="e">
        <f>VLOOKUP($D24,Résultats!$B$2:$AX$426,P$5,FALSE)</f>
        <v>#N/A</v>
      </c>
      <c r="Q24" s="19" t="e">
        <f>VLOOKUP($D24,Résultats!$B$2:$AX$426,Q$5,FALSE)</f>
        <v>#N/A</v>
      </c>
      <c r="R24" s="19" t="e">
        <f>VLOOKUP($D24,Résultats!$B$2:$AX$426,R$5,FALSE)</f>
        <v>#N/A</v>
      </c>
      <c r="S24" s="109" t="e">
        <f>VLOOKUP($D24,Résultats!$B$2:$AX$426,S$5,FALSE)</f>
        <v>#N/A</v>
      </c>
      <c r="T24" s="118" t="e">
        <f>VLOOKUP($D24,Résultats!$B$2:$AX$426,T$5,FALSE)</f>
        <v>#N/A</v>
      </c>
      <c r="U24" s="118" t="e">
        <f>VLOOKUP($D24,Résultats!$B$2:$AX$426,U$5,FALSE)</f>
        <v>#N/A</v>
      </c>
      <c r="V24" s="118" t="e">
        <f>VLOOKUP($D24,Résultats!$B$2:$AX$426,V$5,FALSE)</f>
        <v>#N/A</v>
      </c>
      <c r="W24" s="118" t="e">
        <f>VLOOKUP($D24,Résultats!$B$2:$AX$426,W$5,FALSE)</f>
        <v>#N/A</v>
      </c>
      <c r="X24" s="3"/>
      <c r="Y24" s="34"/>
      <c r="Z24" s="34"/>
      <c r="AA24" s="34"/>
    </row>
    <row r="25" spans="1:39" x14ac:dyDescent="0.25">
      <c r="A25" s="3"/>
      <c r="B25" s="272"/>
      <c r="C25" s="7" t="s">
        <v>12</v>
      </c>
      <c r="D25" s="3" t="s">
        <v>127</v>
      </c>
      <c r="E25" s="20" t="e">
        <f>VLOOKUP($D25,Résultats!$B$2:$AX$426,E$5,FALSE)</f>
        <v>#N/A</v>
      </c>
      <c r="F25" s="20" t="e">
        <f>VLOOKUP($D25,Résultats!$B$2:$AX$426,F$5,FALSE)</f>
        <v>#N/A</v>
      </c>
      <c r="G25" s="111" t="e">
        <f>VLOOKUP($D25,Résultats!$B$2:$AX$426,G$5,FALSE)</f>
        <v>#N/A</v>
      </c>
      <c r="H25" s="20" t="e">
        <f>VLOOKUP($D25,Résultats!$B$2:$AX$426,H$5,FALSE)</f>
        <v>#N/A</v>
      </c>
      <c r="I25" s="112" t="e">
        <f>VLOOKUP($D25,Résultats!$B$2:$AX$426,I$5,FALSE)</f>
        <v>#N/A</v>
      </c>
      <c r="J25" s="111" t="e">
        <f>VLOOKUP($D25,Résultats!$B$2:$AX$426,J$5,FALSE)</f>
        <v>#N/A</v>
      </c>
      <c r="K25" s="20" t="e">
        <f>VLOOKUP($D25,Résultats!$B$2:$AX$426,K$5,FALSE)</f>
        <v>#N/A</v>
      </c>
      <c r="L25" s="20" t="e">
        <f>VLOOKUP($D25,Résultats!$B$2:$AX$426,L$5,FALSE)</f>
        <v>#N/A</v>
      </c>
      <c r="M25" s="20" t="e">
        <f>VLOOKUP($D25,Résultats!$B$2:$AX$426,M$5,FALSE)</f>
        <v>#N/A</v>
      </c>
      <c r="N25" s="112" t="e">
        <f>VLOOKUP($D25,Résultats!$B$2:$AX$426,N$5,FALSE)</f>
        <v>#N/A</v>
      </c>
      <c r="O25" s="111" t="e">
        <f>VLOOKUP($D25,Résultats!$B$2:$AX$426,O$5,FALSE)</f>
        <v>#N/A</v>
      </c>
      <c r="P25" s="20" t="e">
        <f>VLOOKUP($D25,Résultats!$B$2:$AX$426,P$5,FALSE)</f>
        <v>#N/A</v>
      </c>
      <c r="Q25" s="20" t="e">
        <f>VLOOKUP($D25,Résultats!$B$2:$AX$426,Q$5,FALSE)</f>
        <v>#N/A</v>
      </c>
      <c r="R25" s="20" t="e">
        <f>VLOOKUP($D25,Résultats!$B$2:$AX$426,R$5,FALSE)</f>
        <v>#N/A</v>
      </c>
      <c r="S25" s="112" t="e">
        <f>VLOOKUP($D25,Résultats!$B$2:$AX$426,S$5,FALSE)</f>
        <v>#N/A</v>
      </c>
      <c r="T25" s="120" t="e">
        <f>VLOOKUP($D25,Résultats!$B$2:$AX$426,T$5,FALSE)</f>
        <v>#N/A</v>
      </c>
      <c r="U25" s="120" t="e">
        <f>VLOOKUP($D25,Résultats!$B$2:$AX$426,U$5,FALSE)</f>
        <v>#N/A</v>
      </c>
      <c r="V25" s="120" t="e">
        <f>VLOOKUP($D25,Résultats!$B$2:$AX$426,V$5,FALSE)</f>
        <v>#N/A</v>
      </c>
      <c r="W25" s="120" t="e">
        <f>VLOOKUP($D25,Résultats!$B$2:$AX$426,W$5,FALSE)</f>
        <v>#N/A</v>
      </c>
      <c r="X25" s="3"/>
      <c r="Y25" s="34"/>
      <c r="Z25" s="34"/>
      <c r="AA25" s="34"/>
    </row>
    <row r="26" spans="1:39" x14ac:dyDescent="0.25">
      <c r="A26" s="3"/>
      <c r="B26" s="203" t="s">
        <v>8</v>
      </c>
      <c r="C26" s="2"/>
      <c r="D26" s="17" t="s">
        <v>128</v>
      </c>
      <c r="E26" s="6" t="e">
        <f>VLOOKUP($D26,Résultats!$B$2:$AX$426,E$5,FALSE)</f>
        <v>#N/A</v>
      </c>
      <c r="F26" s="6" t="e">
        <f>VLOOKUP($D26,Résultats!$B$2:$AX$426,F$5,FALSE)</f>
        <v>#N/A</v>
      </c>
      <c r="G26" s="107" t="e">
        <f>VLOOKUP($D26,Résultats!$B$2:$AX$426,G$5,FALSE)</f>
        <v>#N/A</v>
      </c>
      <c r="H26" s="6" t="e">
        <f>VLOOKUP($D26,Résultats!$B$2:$AX$426,H$5,FALSE)</f>
        <v>#N/A</v>
      </c>
      <c r="I26" s="108" t="e">
        <f>VLOOKUP($D26,Résultats!$B$2:$AX$426,I$5,FALSE)</f>
        <v>#N/A</v>
      </c>
      <c r="J26" s="107" t="e">
        <f>VLOOKUP($D26,Résultats!$B$2:$AX$426,J$5,FALSE)</f>
        <v>#N/A</v>
      </c>
      <c r="K26" s="6" t="e">
        <f>VLOOKUP($D26,Résultats!$B$2:$AX$426,K$5,FALSE)</f>
        <v>#N/A</v>
      </c>
      <c r="L26" s="6" t="e">
        <f>VLOOKUP($D26,Résultats!$B$2:$AX$426,L$5,FALSE)</f>
        <v>#N/A</v>
      </c>
      <c r="M26" s="6" t="e">
        <f>VLOOKUP($D26,Résultats!$B$2:$AX$426,M$5,FALSE)</f>
        <v>#N/A</v>
      </c>
      <c r="N26" s="108" t="e">
        <f>VLOOKUP($D26,Résultats!$B$2:$AX$426,N$5,FALSE)</f>
        <v>#N/A</v>
      </c>
      <c r="O26" s="107" t="e">
        <f>VLOOKUP($D26,Résultats!$B$2:$AX$426,O$5,FALSE)</f>
        <v>#N/A</v>
      </c>
      <c r="P26" s="6" t="e">
        <f>VLOOKUP($D26,Résultats!$B$2:$AX$426,P$5,FALSE)</f>
        <v>#N/A</v>
      </c>
      <c r="Q26" s="6" t="e">
        <f>VLOOKUP($D26,Résultats!$B$2:$AX$426,Q$5,FALSE)</f>
        <v>#N/A</v>
      </c>
      <c r="R26" s="6" t="e">
        <f>VLOOKUP($D26,Résultats!$B$2:$AX$426,R$5,FALSE)</f>
        <v>#N/A</v>
      </c>
      <c r="S26" s="108" t="e">
        <f>VLOOKUP($D26,Résultats!$B$2:$AX$426,S$5,FALSE)</f>
        <v>#N/A</v>
      </c>
      <c r="T26" s="117" t="e">
        <f>VLOOKUP($D26,Résultats!$B$2:$AX$426,T$5,FALSE)</f>
        <v>#N/A</v>
      </c>
      <c r="U26" s="117" t="e">
        <f>VLOOKUP($D26,Résultats!$B$2:$AX$426,U$5,FALSE)</f>
        <v>#N/A</v>
      </c>
      <c r="V26" s="117" t="e">
        <f>VLOOKUP($D26,Résultats!$B$2:$AX$426,V$5,FALSE)</f>
        <v>#N/A</v>
      </c>
      <c r="W26" s="117" t="e">
        <f>VLOOKUP($D26,Résultats!$B$2:$AX$426,W$5,FALSE)</f>
        <v>#N/A</v>
      </c>
      <c r="X26" s="3"/>
      <c r="Y26" s="34"/>
      <c r="Z26" s="34"/>
      <c r="AA26" s="34"/>
    </row>
    <row r="27" spans="1:39" x14ac:dyDescent="0.25">
      <c r="A27" s="3"/>
      <c r="B27" s="202" t="s">
        <v>1</v>
      </c>
      <c r="C27" s="2"/>
      <c r="D27" s="2"/>
      <c r="E27" s="9" t="e">
        <f>E26+E19+E10+E7</f>
        <v>#N/A</v>
      </c>
      <c r="F27" s="9" t="e">
        <f>F26+F19+F10+F7</f>
        <v>#N/A</v>
      </c>
      <c r="G27" s="29" t="e">
        <f t="shared" ref="G27:R27" si="4">G26+G19+G10+G7</f>
        <v>#N/A</v>
      </c>
      <c r="H27" s="9" t="e">
        <f t="shared" si="4"/>
        <v>#N/A</v>
      </c>
      <c r="I27" s="113" t="e">
        <f t="shared" si="4"/>
        <v>#N/A</v>
      </c>
      <c r="J27" s="29" t="e">
        <f t="shared" si="4"/>
        <v>#N/A</v>
      </c>
      <c r="K27" s="9" t="e">
        <f t="shared" si="4"/>
        <v>#N/A</v>
      </c>
      <c r="L27" s="9" t="e">
        <f t="shared" si="4"/>
        <v>#N/A</v>
      </c>
      <c r="M27" s="9" t="e">
        <f t="shared" si="4"/>
        <v>#N/A</v>
      </c>
      <c r="N27" s="113" t="e">
        <f t="shared" si="4"/>
        <v>#N/A</v>
      </c>
      <c r="O27" s="29" t="e">
        <f t="shared" si="4"/>
        <v>#N/A</v>
      </c>
      <c r="P27" s="9" t="e">
        <f t="shared" si="4"/>
        <v>#N/A</v>
      </c>
      <c r="Q27" s="9" t="e">
        <f t="shared" si="4"/>
        <v>#N/A</v>
      </c>
      <c r="R27" s="9" t="e">
        <f t="shared" si="4"/>
        <v>#N/A</v>
      </c>
      <c r="S27" s="113" t="e">
        <f>S26+S19+S10+S7</f>
        <v>#N/A</v>
      </c>
      <c r="T27" s="121" t="e">
        <f>T26+T19+T10+T7</f>
        <v>#N/A</v>
      </c>
      <c r="U27" s="121" t="e">
        <f>U26+U19+U10+U7</f>
        <v>#N/A</v>
      </c>
      <c r="V27" s="121" t="e">
        <f>V26+V19+V10+V7</f>
        <v>#N/A</v>
      </c>
      <c r="W27" s="121" t="e">
        <f>W26+W19+W10+W7</f>
        <v>#N/A</v>
      </c>
      <c r="X27" s="3"/>
      <c r="Y27" s="34"/>
      <c r="Z27" s="34"/>
      <c r="AA27" s="34"/>
    </row>
    <row r="28" spans="1:39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39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39" ht="21" x14ac:dyDescent="0.35">
      <c r="A30" s="222" t="s">
        <v>200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39" ht="23.25" x14ac:dyDescent="0.35">
      <c r="A31" s="191" t="str">
        <f>Résultats!B1</f>
        <v>TEND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Z31" s="51" t="s">
        <v>209</v>
      </c>
      <c r="AA31" s="51"/>
      <c r="AB31" s="51"/>
      <c r="AC31" s="53"/>
      <c r="AE31" s="51" t="s">
        <v>212</v>
      </c>
      <c r="AF31" s="51"/>
      <c r="AG31" s="51"/>
      <c r="AH31" s="53"/>
      <c r="AJ31" s="51" t="s">
        <v>213</v>
      </c>
      <c r="AK31" s="51"/>
      <c r="AL31" s="51"/>
      <c r="AM31" s="53"/>
    </row>
    <row r="32" spans="1:39" x14ac:dyDescent="0.25">
      <c r="A32" s="3"/>
      <c r="B32" s="201"/>
      <c r="C32" s="2"/>
      <c r="D32" s="18"/>
      <c r="E32" s="4">
        <v>2006</v>
      </c>
      <c r="F32" s="4">
        <v>2015</v>
      </c>
      <c r="G32" s="26">
        <v>2018</v>
      </c>
      <c r="H32" s="33">
        <v>2019</v>
      </c>
      <c r="I32" s="106">
        <v>2020</v>
      </c>
      <c r="J32" s="114">
        <v>2021</v>
      </c>
      <c r="K32" s="33">
        <v>2022</v>
      </c>
      <c r="L32" s="33">
        <v>2023</v>
      </c>
      <c r="M32" s="33">
        <v>2024</v>
      </c>
      <c r="N32" s="106">
        <v>2025</v>
      </c>
      <c r="O32" s="114">
        <v>2026</v>
      </c>
      <c r="P32" s="33">
        <v>2027</v>
      </c>
      <c r="Q32" s="33">
        <v>2028</v>
      </c>
      <c r="R32" s="33">
        <v>2029</v>
      </c>
      <c r="S32" s="115">
        <v>2030</v>
      </c>
      <c r="T32" s="116">
        <v>2035</v>
      </c>
      <c r="U32" s="116">
        <v>2040</v>
      </c>
      <c r="V32" s="116">
        <v>2045</v>
      </c>
      <c r="W32" s="116">
        <v>2050</v>
      </c>
      <c r="X32" s="3"/>
      <c r="Z32" s="204"/>
      <c r="AA32" s="205">
        <v>2020</v>
      </c>
      <c r="AB32" s="205">
        <v>2030</v>
      </c>
      <c r="AC32" s="206">
        <v>2050</v>
      </c>
      <c r="AE32" s="204"/>
      <c r="AF32" s="205">
        <v>2020</v>
      </c>
      <c r="AG32" s="205">
        <v>2030</v>
      </c>
      <c r="AH32" s="206">
        <v>2050</v>
      </c>
      <c r="AJ32" s="204"/>
      <c r="AK32" s="205">
        <v>2020</v>
      </c>
      <c r="AL32" s="205">
        <v>2030</v>
      </c>
      <c r="AM32" s="206">
        <v>2050</v>
      </c>
    </row>
    <row r="33" spans="1:39" x14ac:dyDescent="0.25">
      <c r="A33" s="3"/>
      <c r="B33" s="270" t="s">
        <v>0</v>
      </c>
      <c r="C33" s="5" t="s">
        <v>1</v>
      </c>
      <c r="D33" s="2" t="s">
        <v>89</v>
      </c>
      <c r="E33" s="6" t="e">
        <f>SUM(E34:E35)</f>
        <v>#N/A</v>
      </c>
      <c r="F33" s="6" t="e">
        <f>SUM(F34:F35)</f>
        <v>#N/A</v>
      </c>
      <c r="G33" s="107" t="e">
        <f t="shared" ref="G33:R33" si="5">SUM(G34:G35)</f>
        <v>#N/A</v>
      </c>
      <c r="H33" s="6" t="e">
        <f t="shared" si="5"/>
        <v>#N/A</v>
      </c>
      <c r="I33" s="108" t="e">
        <f t="shared" si="5"/>
        <v>#N/A</v>
      </c>
      <c r="J33" s="107" t="e">
        <f t="shared" si="5"/>
        <v>#N/A</v>
      </c>
      <c r="K33" s="6" t="e">
        <f t="shared" si="5"/>
        <v>#N/A</v>
      </c>
      <c r="L33" s="6" t="e">
        <f t="shared" si="5"/>
        <v>#N/A</v>
      </c>
      <c r="M33" s="6" t="e">
        <f t="shared" si="5"/>
        <v>#N/A</v>
      </c>
      <c r="N33" s="108" t="e">
        <f t="shared" si="5"/>
        <v>#N/A</v>
      </c>
      <c r="O33" s="107" t="e">
        <f t="shared" si="5"/>
        <v>#N/A</v>
      </c>
      <c r="P33" s="6" t="e">
        <f t="shared" si="5"/>
        <v>#N/A</v>
      </c>
      <c r="Q33" s="6" t="e">
        <f t="shared" si="5"/>
        <v>#N/A</v>
      </c>
      <c r="R33" s="6" t="e">
        <f t="shared" si="5"/>
        <v>#N/A</v>
      </c>
      <c r="S33" s="108" t="e">
        <f>SUM(S34:S35)</f>
        <v>#N/A</v>
      </c>
      <c r="T33" s="117" t="e">
        <f>SUM(T34:T35)</f>
        <v>#N/A</v>
      </c>
      <c r="U33" s="117" t="e">
        <f>SUM(U34:U35)</f>
        <v>#N/A</v>
      </c>
      <c r="V33" s="117" t="e">
        <f>SUM(V34:V35)</f>
        <v>#N/A</v>
      </c>
      <c r="W33" s="117" t="e">
        <f>SUM(W34:W35)</f>
        <v>#N/A</v>
      </c>
      <c r="X33" s="3"/>
      <c r="Z33" s="207" t="s">
        <v>42</v>
      </c>
      <c r="AA33" s="216" t="e">
        <f>(I38+I40)/I36</f>
        <v>#N/A</v>
      </c>
      <c r="AB33" s="216" t="e">
        <f>(S38+S40)/S36</f>
        <v>#N/A</v>
      </c>
      <c r="AC33" s="217" t="e">
        <f>(W38+W40)/W36</f>
        <v>#N/A</v>
      </c>
      <c r="AE33" s="207" t="s">
        <v>214</v>
      </c>
      <c r="AF33" s="216" t="e">
        <f>I34/I33</f>
        <v>#N/A</v>
      </c>
      <c r="AG33" s="216" t="e">
        <f>S34/S33</f>
        <v>#N/A</v>
      </c>
      <c r="AH33" s="217" t="e">
        <f>W34/W33</f>
        <v>#N/A</v>
      </c>
      <c r="AJ33" s="207" t="s">
        <v>148</v>
      </c>
      <c r="AK33" s="216" t="e">
        <f>I46/(I46+I48)</f>
        <v>#N/A</v>
      </c>
      <c r="AL33" s="216" t="e">
        <f>S46/(S46+S48)</f>
        <v>#N/A</v>
      </c>
      <c r="AM33" s="217" t="e">
        <f>W46/(W46+W48)</f>
        <v>#N/A</v>
      </c>
    </row>
    <row r="34" spans="1:39" x14ac:dyDescent="0.25">
      <c r="A34" s="3"/>
      <c r="B34" s="271"/>
      <c r="C34" s="3" t="s">
        <v>2</v>
      </c>
      <c r="D34" s="18" t="s">
        <v>104</v>
      </c>
      <c r="E34" s="19" t="e">
        <f>VLOOKUP($D34,Résultats!$B$2:$AX$426,E$5,FALSE)</f>
        <v>#N/A</v>
      </c>
      <c r="F34" s="19" t="e">
        <f>VLOOKUP($D34,Résultats!$B$2:$AX$426,F$5,FALSE)</f>
        <v>#N/A</v>
      </c>
      <c r="G34" s="28" t="e">
        <f>VLOOKUP($D34,Résultats!$B$2:$AX$426,G$5,FALSE)</f>
        <v>#N/A</v>
      </c>
      <c r="H34" s="19" t="e">
        <f>VLOOKUP($D34,Résultats!$B$2:$AX$426,H$5,FALSE)</f>
        <v>#N/A</v>
      </c>
      <c r="I34" s="109" t="e">
        <f>VLOOKUP($D34,Résultats!$B$2:$AX$426,I$5,FALSE)</f>
        <v>#N/A</v>
      </c>
      <c r="J34" s="28" t="e">
        <f>VLOOKUP($D34,Résultats!$B$2:$AX$426,J$5,FALSE)</f>
        <v>#N/A</v>
      </c>
      <c r="K34" s="19" t="e">
        <f>VLOOKUP($D34,Résultats!$B$2:$AX$426,K$5,FALSE)</f>
        <v>#N/A</v>
      </c>
      <c r="L34" s="19" t="e">
        <f>VLOOKUP($D34,Résultats!$B$2:$AX$426,L$5,FALSE)</f>
        <v>#N/A</v>
      </c>
      <c r="M34" s="19" t="e">
        <f>VLOOKUP($D34,Résultats!$B$2:$AX$426,M$5,FALSE)</f>
        <v>#N/A</v>
      </c>
      <c r="N34" s="109" t="e">
        <f>VLOOKUP($D34,Résultats!$B$2:$AX$426,N$5,FALSE)</f>
        <v>#N/A</v>
      </c>
      <c r="O34" s="28" t="e">
        <f>VLOOKUP($D34,Résultats!$B$2:$AX$426,O$5,FALSE)</f>
        <v>#N/A</v>
      </c>
      <c r="P34" s="19" t="e">
        <f>VLOOKUP($D34,Résultats!$B$2:$AX$426,P$5,FALSE)</f>
        <v>#N/A</v>
      </c>
      <c r="Q34" s="19" t="e">
        <f>VLOOKUP($D34,Résultats!$B$2:$AX$426,Q$5,FALSE)</f>
        <v>#N/A</v>
      </c>
      <c r="R34" s="19" t="e">
        <f>VLOOKUP($D34,Résultats!$B$2:$AX$426,R$5,FALSE)</f>
        <v>#N/A</v>
      </c>
      <c r="S34" s="109" t="e">
        <f>VLOOKUP($D34,Résultats!$B$2:$AX$426,S$5,FALSE)</f>
        <v>#N/A</v>
      </c>
      <c r="T34" s="118" t="e">
        <f>VLOOKUP($D34,Résultats!$B$2:$AX$426,T$5,FALSE)</f>
        <v>#N/A</v>
      </c>
      <c r="U34" s="118" t="e">
        <f>VLOOKUP($D34,Résultats!$B$2:$AX$426,U$5,FALSE)</f>
        <v>#N/A</v>
      </c>
      <c r="V34" s="118" t="e">
        <f>VLOOKUP($D34,Résultats!$B$2:$AX$426,V$5,FALSE)</f>
        <v>#N/A</v>
      </c>
      <c r="W34" s="118" t="e">
        <f>VLOOKUP($D34,Résultats!$B$2:$AX$426,W$5,FALSE)</f>
        <v>#N/A</v>
      </c>
      <c r="X34" s="3"/>
      <c r="Z34" s="207" t="s">
        <v>143</v>
      </c>
      <c r="AA34" s="216" t="e">
        <f>I37/I36</f>
        <v>#N/A</v>
      </c>
      <c r="AB34" s="216" t="e">
        <f>S37/S36</f>
        <v>#N/A</v>
      </c>
      <c r="AC34" s="217" t="e">
        <f>W37/W36</f>
        <v>#N/A</v>
      </c>
      <c r="AE34" s="209" t="s">
        <v>147</v>
      </c>
      <c r="AF34" s="218" t="e">
        <f>I35/I33</f>
        <v>#N/A</v>
      </c>
      <c r="AG34" s="218" t="e">
        <f>S35/S33</f>
        <v>#N/A</v>
      </c>
      <c r="AH34" s="219" t="e">
        <f>W35/W33</f>
        <v>#N/A</v>
      </c>
      <c r="AJ34" s="209" t="s">
        <v>149</v>
      </c>
      <c r="AK34" s="218" t="e">
        <f>I48/(I46+I48)</f>
        <v>#N/A</v>
      </c>
      <c r="AL34" s="218" t="e">
        <f>S48/(S46+S48)</f>
        <v>#N/A</v>
      </c>
      <c r="AM34" s="219" t="e">
        <f>W48/(W46+W48)</f>
        <v>#N/A</v>
      </c>
    </row>
    <row r="35" spans="1:39" x14ac:dyDescent="0.25">
      <c r="A35" s="3"/>
      <c r="B35" s="272"/>
      <c r="C35" s="7" t="s">
        <v>3</v>
      </c>
      <c r="D35" s="3" t="s">
        <v>105</v>
      </c>
      <c r="E35" s="19" t="e">
        <f>VLOOKUP($D35,Résultats!$B$2:$AX$426,E$5,FALSE)</f>
        <v>#N/A</v>
      </c>
      <c r="F35" s="19" t="e">
        <f>VLOOKUP($D35,Résultats!$B$2:$AX$426,F$5,FALSE)</f>
        <v>#N/A</v>
      </c>
      <c r="G35" s="28" t="e">
        <f>VLOOKUP($D35,Résultats!$B$2:$AX$426,G$5,FALSE)</f>
        <v>#N/A</v>
      </c>
      <c r="H35" s="19" t="e">
        <f>VLOOKUP($D35,Résultats!$B$2:$AX$426,H$5,FALSE)</f>
        <v>#N/A</v>
      </c>
      <c r="I35" s="109" t="e">
        <f>VLOOKUP($D35,Résultats!$B$2:$AX$426,I$5,FALSE)</f>
        <v>#N/A</v>
      </c>
      <c r="J35" s="28" t="e">
        <f>VLOOKUP($D35,Résultats!$B$2:$AX$426,J$5,FALSE)</f>
        <v>#N/A</v>
      </c>
      <c r="K35" s="19" t="e">
        <f>VLOOKUP($D35,Résultats!$B$2:$AX$426,K$5,FALSE)</f>
        <v>#N/A</v>
      </c>
      <c r="L35" s="19" t="e">
        <f>VLOOKUP($D35,Résultats!$B$2:$AX$426,L$5,FALSE)</f>
        <v>#N/A</v>
      </c>
      <c r="M35" s="19" t="e">
        <f>VLOOKUP($D35,Résultats!$B$2:$AX$426,M$5,FALSE)</f>
        <v>#N/A</v>
      </c>
      <c r="N35" s="109" t="e">
        <f>VLOOKUP($D35,Résultats!$B$2:$AX$426,N$5,FALSE)</f>
        <v>#N/A</v>
      </c>
      <c r="O35" s="28" t="e">
        <f>VLOOKUP($D35,Résultats!$B$2:$AX$426,O$5,FALSE)</f>
        <v>#N/A</v>
      </c>
      <c r="P35" s="19" t="e">
        <f>VLOOKUP($D35,Résultats!$B$2:$AX$426,P$5,FALSE)</f>
        <v>#N/A</v>
      </c>
      <c r="Q35" s="19" t="e">
        <f>VLOOKUP($D35,Résultats!$B$2:$AX$426,Q$5,FALSE)</f>
        <v>#N/A</v>
      </c>
      <c r="R35" s="19" t="e">
        <f>VLOOKUP($D35,Résultats!$B$2:$AX$426,R$5,FALSE)</f>
        <v>#N/A</v>
      </c>
      <c r="S35" s="109" t="e">
        <f>VLOOKUP($D35,Résultats!$B$2:$AX$426,S$5,FALSE)</f>
        <v>#N/A</v>
      </c>
      <c r="T35" s="118" t="e">
        <f>VLOOKUP($D35,Résultats!$B$2:$AX$426,T$5,FALSE)</f>
        <v>#N/A</v>
      </c>
      <c r="U35" s="118" t="e">
        <f>VLOOKUP($D35,Résultats!$B$2:$AX$426,U$5,FALSE)</f>
        <v>#N/A</v>
      </c>
      <c r="V35" s="118" t="e">
        <f>VLOOKUP($D35,Résultats!$B$2:$AX$426,V$5,FALSE)</f>
        <v>#N/A</v>
      </c>
      <c r="W35" s="118" t="e">
        <f>VLOOKUP($D35,Résultats!$B$2:$AX$426,W$5,FALSE)</f>
        <v>#N/A</v>
      </c>
      <c r="X35" s="3"/>
      <c r="Z35" s="207" t="s">
        <v>211</v>
      </c>
      <c r="AA35" s="216" t="e">
        <f>I43/I36</f>
        <v>#N/A</v>
      </c>
      <c r="AB35" s="216" t="e">
        <f>S43/S36</f>
        <v>#N/A</v>
      </c>
      <c r="AC35" s="217" t="e">
        <f>W43/W36</f>
        <v>#N/A</v>
      </c>
      <c r="AE35" s="215" t="s">
        <v>210</v>
      </c>
      <c r="AF35" s="220" t="e">
        <f>SUM(AF33:AF34)</f>
        <v>#N/A</v>
      </c>
      <c r="AG35" s="220" t="e">
        <f t="shared" ref="AG35:AH35" si="6">SUM(AG33:AG34)</f>
        <v>#N/A</v>
      </c>
      <c r="AH35" s="220" t="e">
        <f t="shared" si="6"/>
        <v>#N/A</v>
      </c>
      <c r="AJ35" s="215" t="s">
        <v>210</v>
      </c>
      <c r="AK35" s="220" t="e">
        <f>SUM(AK33:AK34)</f>
        <v>#N/A</v>
      </c>
      <c r="AL35" s="220" t="e">
        <f t="shared" ref="AL35" si="7">SUM(AL33:AL34)</f>
        <v>#N/A</v>
      </c>
      <c r="AM35" s="220" t="e">
        <f t="shared" ref="AM35" si="8">SUM(AM33:AM34)</f>
        <v>#N/A</v>
      </c>
    </row>
    <row r="36" spans="1:39" x14ac:dyDescent="0.25">
      <c r="A36" s="3"/>
      <c r="B36" s="270" t="s">
        <v>4</v>
      </c>
      <c r="C36" s="5" t="s">
        <v>1</v>
      </c>
      <c r="D36" s="2" t="s">
        <v>90</v>
      </c>
      <c r="E36" s="8" t="e">
        <f>SUM(E37:E44)</f>
        <v>#N/A</v>
      </c>
      <c r="F36" s="8" t="e">
        <f>SUM(F37:F44)</f>
        <v>#N/A</v>
      </c>
      <c r="G36" s="27" t="e">
        <f t="shared" ref="G36:R36" si="9">SUM(G37:G44)</f>
        <v>#N/A</v>
      </c>
      <c r="H36" s="8" t="e">
        <f t="shared" si="9"/>
        <v>#N/A</v>
      </c>
      <c r="I36" s="110" t="e">
        <f t="shared" si="9"/>
        <v>#N/A</v>
      </c>
      <c r="J36" s="27" t="e">
        <f t="shared" si="9"/>
        <v>#N/A</v>
      </c>
      <c r="K36" s="8" t="e">
        <f t="shared" si="9"/>
        <v>#N/A</v>
      </c>
      <c r="L36" s="8" t="e">
        <f t="shared" si="9"/>
        <v>#N/A</v>
      </c>
      <c r="M36" s="8" t="e">
        <f t="shared" si="9"/>
        <v>#N/A</v>
      </c>
      <c r="N36" s="110" t="e">
        <f t="shared" si="9"/>
        <v>#N/A</v>
      </c>
      <c r="O36" s="27" t="e">
        <f t="shared" si="9"/>
        <v>#N/A</v>
      </c>
      <c r="P36" s="8" t="e">
        <f t="shared" si="9"/>
        <v>#N/A</v>
      </c>
      <c r="Q36" s="8" t="e">
        <f t="shared" si="9"/>
        <v>#N/A</v>
      </c>
      <c r="R36" s="8" t="e">
        <f t="shared" si="9"/>
        <v>#N/A</v>
      </c>
      <c r="S36" s="110" t="e">
        <f>SUM(S37:S44)</f>
        <v>#N/A</v>
      </c>
      <c r="T36" s="119" t="e">
        <f>SUM(T37:T44)</f>
        <v>#N/A</v>
      </c>
      <c r="U36" s="119" t="e">
        <f>SUM(U37:U44)</f>
        <v>#N/A</v>
      </c>
      <c r="V36" s="119" t="e">
        <f>SUM(V37:V44)</f>
        <v>#N/A</v>
      </c>
      <c r="W36" s="119" t="e">
        <f>SUM(W37:W44)</f>
        <v>#N/A</v>
      </c>
      <c r="X36" s="3"/>
      <c r="Z36" s="207" t="s">
        <v>144</v>
      </c>
      <c r="AA36" s="216" t="e">
        <f>I42/I36</f>
        <v>#N/A</v>
      </c>
      <c r="AB36" s="216" t="e">
        <f>S42/S36</f>
        <v>#N/A</v>
      </c>
      <c r="AC36" s="217" t="e">
        <f>W42/W36</f>
        <v>#N/A</v>
      </c>
    </row>
    <row r="37" spans="1:39" x14ac:dyDescent="0.25">
      <c r="A37" s="3"/>
      <c r="B37" s="271"/>
      <c r="C37" s="3" t="s">
        <v>5</v>
      </c>
      <c r="D37" s="3" t="s">
        <v>96</v>
      </c>
      <c r="E37" s="19" t="e">
        <f>VLOOKUP($D37,Résultats!$B$2:$AX$426,E$5,FALSE)</f>
        <v>#N/A</v>
      </c>
      <c r="F37" s="19" t="e">
        <f>VLOOKUP($D37,Résultats!$B$2:$AX$426,F$5,FALSE)</f>
        <v>#N/A</v>
      </c>
      <c r="G37" s="28" t="e">
        <f>VLOOKUP($D37,Résultats!$B$2:$AX$426,G$5,FALSE)</f>
        <v>#N/A</v>
      </c>
      <c r="H37" s="19" t="e">
        <f>VLOOKUP($D37,Résultats!$B$2:$AX$426,H$5,FALSE)</f>
        <v>#N/A</v>
      </c>
      <c r="I37" s="109" t="e">
        <f>VLOOKUP($D37,Résultats!$B$2:$AX$426,I$5,FALSE)</f>
        <v>#N/A</v>
      </c>
      <c r="J37" s="28" t="e">
        <f>VLOOKUP($D37,Résultats!$B$2:$AX$426,J$5,FALSE)</f>
        <v>#N/A</v>
      </c>
      <c r="K37" s="19" t="e">
        <f>VLOOKUP($D37,Résultats!$B$2:$AX$426,K$5,FALSE)</f>
        <v>#N/A</v>
      </c>
      <c r="L37" s="19" t="e">
        <f>VLOOKUP($D37,Résultats!$B$2:$AX$426,L$5,FALSE)</f>
        <v>#N/A</v>
      </c>
      <c r="M37" s="19" t="e">
        <f>VLOOKUP($D37,Résultats!$B$2:$AX$426,M$5,FALSE)</f>
        <v>#N/A</v>
      </c>
      <c r="N37" s="109" t="e">
        <f>VLOOKUP($D37,Résultats!$B$2:$AX$426,N$5,FALSE)</f>
        <v>#N/A</v>
      </c>
      <c r="O37" s="28" t="e">
        <f>VLOOKUP($D37,Résultats!$B$2:$AX$426,O$5,FALSE)</f>
        <v>#N/A</v>
      </c>
      <c r="P37" s="19" t="e">
        <f>VLOOKUP($D37,Résultats!$B$2:$AX$426,P$5,FALSE)</f>
        <v>#N/A</v>
      </c>
      <c r="Q37" s="19" t="e">
        <f>VLOOKUP($D37,Résultats!$B$2:$AX$426,Q$5,FALSE)</f>
        <v>#N/A</v>
      </c>
      <c r="R37" s="19" t="e">
        <f>VLOOKUP($D37,Résultats!$B$2:$AX$426,R$5,FALSE)</f>
        <v>#N/A</v>
      </c>
      <c r="S37" s="109" t="e">
        <f>VLOOKUP($D37,Résultats!$B$2:$AX$426,S$5,FALSE)</f>
        <v>#N/A</v>
      </c>
      <c r="T37" s="118" t="e">
        <f>VLOOKUP($D37,Résultats!$B$2:$AX$426,T$5,FALSE)</f>
        <v>#N/A</v>
      </c>
      <c r="U37" s="118" t="e">
        <f>VLOOKUP($D37,Résultats!$B$2:$AX$426,U$5,FALSE)</f>
        <v>#N/A</v>
      </c>
      <c r="V37" s="118" t="e">
        <f>VLOOKUP($D37,Résultats!$B$2:$AX$426,V$5,FALSE)</f>
        <v>#N/A</v>
      </c>
      <c r="W37" s="118" t="e">
        <f>VLOOKUP($D37,Résultats!$B$2:$AX$426,W$5,FALSE)</f>
        <v>#N/A</v>
      </c>
      <c r="X37" s="3"/>
      <c r="Z37" s="207" t="s">
        <v>145</v>
      </c>
      <c r="AA37" s="216" t="e">
        <f>I41/I36</f>
        <v>#N/A</v>
      </c>
      <c r="AB37" s="216" t="e">
        <f>S41/S36</f>
        <v>#N/A</v>
      </c>
      <c r="AC37" s="217" t="e">
        <f>W41/W36</f>
        <v>#N/A</v>
      </c>
    </row>
    <row r="38" spans="1:39" x14ac:dyDescent="0.25">
      <c r="A38" s="3"/>
      <c r="B38" s="271"/>
      <c r="C38" s="3" t="s">
        <v>6</v>
      </c>
      <c r="D38" s="3" t="s">
        <v>97</v>
      </c>
      <c r="E38" s="19" t="e">
        <f>VLOOKUP($D38,Résultats!$B$2:$AX$426,E$5,FALSE)</f>
        <v>#N/A</v>
      </c>
      <c r="F38" s="19" t="e">
        <f>VLOOKUP($D38,Résultats!$B$2:$AX$426,F$5,FALSE)</f>
        <v>#N/A</v>
      </c>
      <c r="G38" s="28" t="e">
        <f>VLOOKUP($D38,Résultats!$B$2:$AX$426,G$5,FALSE)</f>
        <v>#N/A</v>
      </c>
      <c r="H38" s="19" t="e">
        <f>VLOOKUP($D38,Résultats!$B$2:$AX$426,H$5,FALSE)</f>
        <v>#N/A</v>
      </c>
      <c r="I38" s="109" t="e">
        <f>VLOOKUP($D38,Résultats!$B$2:$AX$426,I$5,FALSE)</f>
        <v>#N/A</v>
      </c>
      <c r="J38" s="28" t="e">
        <f>VLOOKUP($D38,Résultats!$B$2:$AX$426,J$5,FALSE)</f>
        <v>#N/A</v>
      </c>
      <c r="K38" s="19" t="e">
        <f>VLOOKUP($D38,Résultats!$B$2:$AX$426,K$5,FALSE)</f>
        <v>#N/A</v>
      </c>
      <c r="L38" s="19" t="e">
        <f>VLOOKUP($D38,Résultats!$B$2:$AX$426,L$5,FALSE)</f>
        <v>#N/A</v>
      </c>
      <c r="M38" s="19" t="e">
        <f>VLOOKUP($D38,Résultats!$B$2:$AX$426,M$5,FALSE)</f>
        <v>#N/A</v>
      </c>
      <c r="N38" s="109" t="e">
        <f>VLOOKUP($D38,Résultats!$B$2:$AX$426,N$5,FALSE)</f>
        <v>#N/A</v>
      </c>
      <c r="O38" s="28" t="e">
        <f>VLOOKUP($D38,Résultats!$B$2:$AX$426,O$5,FALSE)</f>
        <v>#N/A</v>
      </c>
      <c r="P38" s="19" t="e">
        <f>VLOOKUP($D38,Résultats!$B$2:$AX$426,P$5,FALSE)</f>
        <v>#N/A</v>
      </c>
      <c r="Q38" s="19" t="e">
        <f>VLOOKUP($D38,Résultats!$B$2:$AX$426,Q$5,FALSE)</f>
        <v>#N/A</v>
      </c>
      <c r="R38" s="19" t="e">
        <f>VLOOKUP($D38,Résultats!$B$2:$AX$426,R$5,FALSE)</f>
        <v>#N/A</v>
      </c>
      <c r="S38" s="109" t="e">
        <f>VLOOKUP($D38,Résultats!$B$2:$AX$426,S$5,FALSE)</f>
        <v>#N/A</v>
      </c>
      <c r="T38" s="118" t="e">
        <f>VLOOKUP($D38,Résultats!$B$2:$AX$426,T$5,FALSE)</f>
        <v>#N/A</v>
      </c>
      <c r="U38" s="118" t="e">
        <f>VLOOKUP($D38,Résultats!$B$2:$AX$426,U$5,FALSE)</f>
        <v>#N/A</v>
      </c>
      <c r="V38" s="118" t="e">
        <f>VLOOKUP($D38,Résultats!$B$2:$AX$426,V$5,FALSE)</f>
        <v>#N/A</v>
      </c>
      <c r="W38" s="118" t="e">
        <f>VLOOKUP($D38,Résultats!$B$2:$AX$426,W$5,FALSE)</f>
        <v>#N/A</v>
      </c>
      <c r="X38" s="3"/>
      <c r="Z38" s="209" t="s">
        <v>146</v>
      </c>
      <c r="AA38" s="218" t="e">
        <f>(I39+I44)/I36</f>
        <v>#N/A</v>
      </c>
      <c r="AB38" s="218" t="e">
        <f>(S39+S44)/S36</f>
        <v>#N/A</v>
      </c>
      <c r="AC38" s="219" t="e">
        <f>(W39+W44)/W36</f>
        <v>#N/A</v>
      </c>
    </row>
    <row r="39" spans="1:39" x14ac:dyDescent="0.25">
      <c r="A39" s="3"/>
      <c r="B39" s="271"/>
      <c r="C39" s="3" t="s">
        <v>7</v>
      </c>
      <c r="D39" s="3" t="s">
        <v>98</v>
      </c>
      <c r="E39" s="19" t="e">
        <f>VLOOKUP($D39,Résultats!$B$2:$AX$426,E$5,FALSE)</f>
        <v>#N/A</v>
      </c>
      <c r="F39" s="19" t="e">
        <f>VLOOKUP($D39,Résultats!$B$2:$AX$426,F$5,FALSE)</f>
        <v>#N/A</v>
      </c>
      <c r="G39" s="28" t="e">
        <f>VLOOKUP($D39,Résultats!$B$2:$AX$426,G$5,FALSE)</f>
        <v>#N/A</v>
      </c>
      <c r="H39" s="19" t="e">
        <f>VLOOKUP($D39,Résultats!$B$2:$AX$426,H$5,FALSE)</f>
        <v>#N/A</v>
      </c>
      <c r="I39" s="109" t="e">
        <f>VLOOKUP($D39,Résultats!$B$2:$AX$426,I$5,FALSE)</f>
        <v>#N/A</v>
      </c>
      <c r="J39" s="28" t="e">
        <f>VLOOKUP($D39,Résultats!$B$2:$AX$426,J$5,FALSE)</f>
        <v>#N/A</v>
      </c>
      <c r="K39" s="19" t="e">
        <f>VLOOKUP($D39,Résultats!$B$2:$AX$426,K$5,FALSE)</f>
        <v>#N/A</v>
      </c>
      <c r="L39" s="19" t="e">
        <f>VLOOKUP($D39,Résultats!$B$2:$AX$426,L$5,FALSE)</f>
        <v>#N/A</v>
      </c>
      <c r="M39" s="19" t="e">
        <f>VLOOKUP($D39,Résultats!$B$2:$AX$426,M$5,FALSE)</f>
        <v>#N/A</v>
      </c>
      <c r="N39" s="109" t="e">
        <f>VLOOKUP($D39,Résultats!$B$2:$AX$426,N$5,FALSE)</f>
        <v>#N/A</v>
      </c>
      <c r="O39" s="28" t="e">
        <f>VLOOKUP($D39,Résultats!$B$2:$AX$426,O$5,FALSE)</f>
        <v>#N/A</v>
      </c>
      <c r="P39" s="19" t="e">
        <f>VLOOKUP($D39,Résultats!$B$2:$AX$426,P$5,FALSE)</f>
        <v>#N/A</v>
      </c>
      <c r="Q39" s="19" t="e">
        <f>VLOOKUP($D39,Résultats!$B$2:$AX$426,Q$5,FALSE)</f>
        <v>#N/A</v>
      </c>
      <c r="R39" s="19" t="e">
        <f>VLOOKUP($D39,Résultats!$B$2:$AX$426,R$5,FALSE)</f>
        <v>#N/A</v>
      </c>
      <c r="S39" s="109" t="e">
        <f>VLOOKUP($D39,Résultats!$B$2:$AX$426,S$5,FALSE)</f>
        <v>#N/A</v>
      </c>
      <c r="T39" s="118" t="e">
        <f>VLOOKUP($D39,Résultats!$B$2:$AX$426,T$5,FALSE)</f>
        <v>#N/A</v>
      </c>
      <c r="U39" s="118" t="e">
        <f>VLOOKUP($D39,Résultats!$B$2:$AX$426,U$5,FALSE)</f>
        <v>#N/A</v>
      </c>
      <c r="V39" s="118" t="e">
        <f>VLOOKUP($D39,Résultats!$B$2:$AX$426,V$5,FALSE)</f>
        <v>#N/A</v>
      </c>
      <c r="W39" s="118" t="e">
        <f>VLOOKUP($D39,Résultats!$B$2:$AX$426,W$5,FALSE)</f>
        <v>#N/A</v>
      </c>
      <c r="X39" s="3"/>
      <c r="Z39" s="215" t="s">
        <v>210</v>
      </c>
      <c r="AA39" s="220" t="e">
        <f>SUM(AA33:AA38)</f>
        <v>#N/A</v>
      </c>
      <c r="AB39" s="220" t="e">
        <f t="shared" ref="AB39:AC39" si="10">SUM(AB33:AB38)</f>
        <v>#N/A</v>
      </c>
      <c r="AC39" s="220" t="e">
        <f t="shared" si="10"/>
        <v>#N/A</v>
      </c>
      <c r="AJ39" s="215"/>
      <c r="AK39" s="220"/>
      <c r="AL39" s="220"/>
      <c r="AM39" s="220"/>
    </row>
    <row r="40" spans="1:39" x14ac:dyDescent="0.25">
      <c r="A40" s="3"/>
      <c r="B40" s="271"/>
      <c r="C40" s="3" t="s">
        <v>8</v>
      </c>
      <c r="D40" s="3" t="s">
        <v>99</v>
      </c>
      <c r="E40" s="19" t="e">
        <f>VLOOKUP($D40,Résultats!$B$2:$AX$426,E$5,FALSE)</f>
        <v>#N/A</v>
      </c>
      <c r="F40" s="19" t="e">
        <f>VLOOKUP($D40,Résultats!$B$2:$AX$426,F$5,FALSE)</f>
        <v>#N/A</v>
      </c>
      <c r="G40" s="28" t="e">
        <f>VLOOKUP($D40,Résultats!$B$2:$AX$426,G$5,FALSE)</f>
        <v>#N/A</v>
      </c>
      <c r="H40" s="19" t="e">
        <f>VLOOKUP($D40,Résultats!$B$2:$AX$426,H$5,FALSE)</f>
        <v>#N/A</v>
      </c>
      <c r="I40" s="109" t="e">
        <f>VLOOKUP($D40,Résultats!$B$2:$AX$426,I$5,FALSE)</f>
        <v>#N/A</v>
      </c>
      <c r="J40" s="28" t="e">
        <f>VLOOKUP($D40,Résultats!$B$2:$AX$426,J$5,FALSE)</f>
        <v>#N/A</v>
      </c>
      <c r="K40" s="19" t="e">
        <f>VLOOKUP($D40,Résultats!$B$2:$AX$426,K$5,FALSE)</f>
        <v>#N/A</v>
      </c>
      <c r="L40" s="19" t="e">
        <f>VLOOKUP($D40,Résultats!$B$2:$AX$426,L$5,FALSE)</f>
        <v>#N/A</v>
      </c>
      <c r="M40" s="19" t="e">
        <f>VLOOKUP($D40,Résultats!$B$2:$AX$426,M$5,FALSE)</f>
        <v>#N/A</v>
      </c>
      <c r="N40" s="109" t="e">
        <f>VLOOKUP($D40,Résultats!$B$2:$AX$426,N$5,FALSE)</f>
        <v>#N/A</v>
      </c>
      <c r="O40" s="28" t="e">
        <f>VLOOKUP($D40,Résultats!$B$2:$AX$426,O$5,FALSE)</f>
        <v>#N/A</v>
      </c>
      <c r="P40" s="19" t="e">
        <f>VLOOKUP($D40,Résultats!$B$2:$AX$426,P$5,FALSE)</f>
        <v>#N/A</v>
      </c>
      <c r="Q40" s="19" t="e">
        <f>VLOOKUP($D40,Résultats!$B$2:$AX$426,Q$5,FALSE)</f>
        <v>#N/A</v>
      </c>
      <c r="R40" s="19" t="e">
        <f>VLOOKUP($D40,Résultats!$B$2:$AX$426,R$5,FALSE)</f>
        <v>#N/A</v>
      </c>
      <c r="S40" s="109" t="e">
        <f>VLOOKUP($D40,Résultats!$B$2:$AX$426,S$5,FALSE)</f>
        <v>#N/A</v>
      </c>
      <c r="T40" s="118" t="e">
        <f>VLOOKUP($D40,Résultats!$B$2:$AX$426,T$5,FALSE)</f>
        <v>#N/A</v>
      </c>
      <c r="U40" s="118" t="e">
        <f>VLOOKUP($D40,Résultats!$B$2:$AX$426,U$5,FALSE)</f>
        <v>#N/A</v>
      </c>
      <c r="V40" s="118" t="e">
        <f>VLOOKUP($D40,Résultats!$B$2:$AX$426,V$5,FALSE)</f>
        <v>#N/A</v>
      </c>
      <c r="W40" s="118" t="e">
        <f>VLOOKUP($D40,Résultats!$B$2:$AX$426,W$5,FALSE)</f>
        <v>#N/A</v>
      </c>
      <c r="X40" s="3"/>
    </row>
    <row r="41" spans="1:39" x14ac:dyDescent="0.25">
      <c r="A41" s="3"/>
      <c r="B41" s="271"/>
      <c r="C41" s="3" t="s">
        <v>9</v>
      </c>
      <c r="D41" s="3" t="s">
        <v>100</v>
      </c>
      <c r="E41" s="19" t="e">
        <f>VLOOKUP($D41,Résultats!$B$2:$AX$426,E$5,FALSE)</f>
        <v>#N/A</v>
      </c>
      <c r="F41" s="19" t="e">
        <f>VLOOKUP($D41,Résultats!$B$2:$AX$426,F$5,FALSE)</f>
        <v>#N/A</v>
      </c>
      <c r="G41" s="28" t="e">
        <f>VLOOKUP($D41,Résultats!$B$2:$AX$426,G$5,FALSE)</f>
        <v>#N/A</v>
      </c>
      <c r="H41" s="19" t="e">
        <f>VLOOKUP($D41,Résultats!$B$2:$AX$426,H$5,FALSE)</f>
        <v>#N/A</v>
      </c>
      <c r="I41" s="109" t="e">
        <f>VLOOKUP($D41,Résultats!$B$2:$AX$426,I$5,FALSE)</f>
        <v>#N/A</v>
      </c>
      <c r="J41" s="28" t="e">
        <f>VLOOKUP($D41,Résultats!$B$2:$AX$426,J$5,FALSE)</f>
        <v>#N/A</v>
      </c>
      <c r="K41" s="19" t="e">
        <f>VLOOKUP($D41,Résultats!$B$2:$AX$426,K$5,FALSE)</f>
        <v>#N/A</v>
      </c>
      <c r="L41" s="19" t="e">
        <f>VLOOKUP($D41,Résultats!$B$2:$AX$426,L$5,FALSE)</f>
        <v>#N/A</v>
      </c>
      <c r="M41" s="19" t="e">
        <f>VLOOKUP($D41,Résultats!$B$2:$AX$426,M$5,FALSE)</f>
        <v>#N/A</v>
      </c>
      <c r="N41" s="109" t="e">
        <f>VLOOKUP($D41,Résultats!$B$2:$AX$426,N$5,FALSE)</f>
        <v>#N/A</v>
      </c>
      <c r="O41" s="28" t="e">
        <f>VLOOKUP($D41,Résultats!$B$2:$AX$426,O$5,FALSE)</f>
        <v>#N/A</v>
      </c>
      <c r="P41" s="19" t="e">
        <f>VLOOKUP($D41,Résultats!$B$2:$AX$426,P$5,FALSE)</f>
        <v>#N/A</v>
      </c>
      <c r="Q41" s="19" t="e">
        <f>VLOOKUP($D41,Résultats!$B$2:$AX$426,Q$5,FALSE)</f>
        <v>#N/A</v>
      </c>
      <c r="R41" s="19" t="e">
        <f>VLOOKUP($D41,Résultats!$B$2:$AX$426,R$5,FALSE)</f>
        <v>#N/A</v>
      </c>
      <c r="S41" s="109" t="e">
        <f>VLOOKUP($D41,Résultats!$B$2:$AX$426,S$5,FALSE)</f>
        <v>#N/A</v>
      </c>
      <c r="T41" s="118" t="e">
        <f>VLOOKUP($D41,Résultats!$B$2:$AX$426,T$5,FALSE)</f>
        <v>#N/A</v>
      </c>
      <c r="U41" s="118" t="e">
        <f>VLOOKUP($D41,Résultats!$B$2:$AX$426,U$5,FALSE)</f>
        <v>#N/A</v>
      </c>
      <c r="V41" s="118" t="e">
        <f>VLOOKUP($D41,Résultats!$B$2:$AX$426,V$5,FALSE)</f>
        <v>#N/A</v>
      </c>
      <c r="W41" s="118" t="e">
        <f>VLOOKUP($D41,Résultats!$B$2:$AX$426,W$5,FALSE)</f>
        <v>#N/A</v>
      </c>
      <c r="X41" s="3"/>
    </row>
    <row r="42" spans="1:39" x14ac:dyDescent="0.25">
      <c r="A42" s="3"/>
      <c r="B42" s="271"/>
      <c r="C42" s="3" t="s">
        <v>10</v>
      </c>
      <c r="D42" s="3" t="s">
        <v>101</v>
      </c>
      <c r="E42" s="19" t="e">
        <f>VLOOKUP($D42,Résultats!$B$2:$AX$426,E$5,FALSE)</f>
        <v>#N/A</v>
      </c>
      <c r="F42" s="19" t="e">
        <f>VLOOKUP($D42,Résultats!$B$2:$AX$426,F$5,FALSE)</f>
        <v>#N/A</v>
      </c>
      <c r="G42" s="28" t="e">
        <f>VLOOKUP($D42,Résultats!$B$2:$AX$426,G$5,FALSE)</f>
        <v>#N/A</v>
      </c>
      <c r="H42" s="19" t="e">
        <f>VLOOKUP($D42,Résultats!$B$2:$AX$426,H$5,FALSE)</f>
        <v>#N/A</v>
      </c>
      <c r="I42" s="109" t="e">
        <f>VLOOKUP($D42,Résultats!$B$2:$AX$426,I$5,FALSE)</f>
        <v>#N/A</v>
      </c>
      <c r="J42" s="28" t="e">
        <f>VLOOKUP($D42,Résultats!$B$2:$AX$426,J$5,FALSE)</f>
        <v>#N/A</v>
      </c>
      <c r="K42" s="19" t="e">
        <f>VLOOKUP($D42,Résultats!$B$2:$AX$426,K$5,FALSE)</f>
        <v>#N/A</v>
      </c>
      <c r="L42" s="19" t="e">
        <f>VLOOKUP($D42,Résultats!$B$2:$AX$426,L$5,FALSE)</f>
        <v>#N/A</v>
      </c>
      <c r="M42" s="19" t="e">
        <f>VLOOKUP($D42,Résultats!$B$2:$AX$426,M$5,FALSE)</f>
        <v>#N/A</v>
      </c>
      <c r="N42" s="109" t="e">
        <f>VLOOKUP($D42,Résultats!$B$2:$AX$426,N$5,FALSE)</f>
        <v>#N/A</v>
      </c>
      <c r="O42" s="28" t="e">
        <f>VLOOKUP($D42,Résultats!$B$2:$AX$426,O$5,FALSE)</f>
        <v>#N/A</v>
      </c>
      <c r="P42" s="19" t="e">
        <f>VLOOKUP($D42,Résultats!$B$2:$AX$426,P$5,FALSE)</f>
        <v>#N/A</v>
      </c>
      <c r="Q42" s="19" t="e">
        <f>VLOOKUP($D42,Résultats!$B$2:$AX$426,Q$5,FALSE)</f>
        <v>#N/A</v>
      </c>
      <c r="R42" s="19" t="e">
        <f>VLOOKUP($D42,Résultats!$B$2:$AX$426,R$5,FALSE)</f>
        <v>#N/A</v>
      </c>
      <c r="S42" s="109" t="e">
        <f>VLOOKUP($D42,Résultats!$B$2:$AX$426,S$5,FALSE)</f>
        <v>#N/A</v>
      </c>
      <c r="T42" s="118" t="e">
        <f>VLOOKUP($D42,Résultats!$B$2:$AX$426,T$5,FALSE)</f>
        <v>#N/A</v>
      </c>
      <c r="U42" s="118" t="e">
        <f>VLOOKUP($D42,Résultats!$B$2:$AX$426,U$5,FALSE)</f>
        <v>#N/A</v>
      </c>
      <c r="V42" s="118" t="e">
        <f>VLOOKUP($D42,Résultats!$B$2:$AX$426,V$5,FALSE)</f>
        <v>#N/A</v>
      </c>
      <c r="W42" s="118" t="e">
        <f>VLOOKUP($D42,Résultats!$B$2:$AX$426,W$5,FALSE)</f>
        <v>#N/A</v>
      </c>
      <c r="X42" s="3"/>
    </row>
    <row r="43" spans="1:39" x14ac:dyDescent="0.25">
      <c r="A43" s="3"/>
      <c r="B43" s="271"/>
      <c r="C43" s="3" t="s">
        <v>11</v>
      </c>
      <c r="D43" s="3" t="s">
        <v>102</v>
      </c>
      <c r="E43" s="19" t="e">
        <f>VLOOKUP($D43,Résultats!$B$2:$AX$426,E$5,FALSE)</f>
        <v>#N/A</v>
      </c>
      <c r="F43" s="19" t="e">
        <f>VLOOKUP($D43,Résultats!$B$2:$AX$426,F$5,FALSE)</f>
        <v>#N/A</v>
      </c>
      <c r="G43" s="28" t="e">
        <f>VLOOKUP($D43,Résultats!$B$2:$AX$426,G$5,FALSE)</f>
        <v>#N/A</v>
      </c>
      <c r="H43" s="19" t="e">
        <f>VLOOKUP($D43,Résultats!$B$2:$AX$426,H$5,FALSE)</f>
        <v>#N/A</v>
      </c>
      <c r="I43" s="109" t="e">
        <f>VLOOKUP($D43,Résultats!$B$2:$AX$426,I$5,FALSE)</f>
        <v>#N/A</v>
      </c>
      <c r="J43" s="28" t="e">
        <f>VLOOKUP($D43,Résultats!$B$2:$AX$426,J$5,FALSE)</f>
        <v>#N/A</v>
      </c>
      <c r="K43" s="19" t="e">
        <f>VLOOKUP($D43,Résultats!$B$2:$AX$426,K$5,FALSE)</f>
        <v>#N/A</v>
      </c>
      <c r="L43" s="19" t="e">
        <f>VLOOKUP($D43,Résultats!$B$2:$AX$426,L$5,FALSE)</f>
        <v>#N/A</v>
      </c>
      <c r="M43" s="19" t="e">
        <f>VLOOKUP($D43,Résultats!$B$2:$AX$426,M$5,FALSE)</f>
        <v>#N/A</v>
      </c>
      <c r="N43" s="109" t="e">
        <f>VLOOKUP($D43,Résultats!$B$2:$AX$426,N$5,FALSE)</f>
        <v>#N/A</v>
      </c>
      <c r="O43" s="28" t="e">
        <f>VLOOKUP($D43,Résultats!$B$2:$AX$426,O$5,FALSE)</f>
        <v>#N/A</v>
      </c>
      <c r="P43" s="19" t="e">
        <f>VLOOKUP($D43,Résultats!$B$2:$AX$426,P$5,FALSE)</f>
        <v>#N/A</v>
      </c>
      <c r="Q43" s="19" t="e">
        <f>VLOOKUP($D43,Résultats!$B$2:$AX$426,Q$5,FALSE)</f>
        <v>#N/A</v>
      </c>
      <c r="R43" s="19" t="e">
        <f>VLOOKUP($D43,Résultats!$B$2:$AX$426,R$5,FALSE)</f>
        <v>#N/A</v>
      </c>
      <c r="S43" s="109" t="e">
        <f>VLOOKUP($D43,Résultats!$B$2:$AX$426,S$5,FALSE)</f>
        <v>#N/A</v>
      </c>
      <c r="T43" s="118" t="e">
        <f>VLOOKUP($D43,Résultats!$B$2:$AX$426,T$5,FALSE)</f>
        <v>#N/A</v>
      </c>
      <c r="U43" s="118" t="e">
        <f>VLOOKUP($D43,Résultats!$B$2:$AX$426,U$5,FALSE)</f>
        <v>#N/A</v>
      </c>
      <c r="V43" s="118" t="e">
        <f>VLOOKUP($D43,Résultats!$B$2:$AX$426,V$5,FALSE)</f>
        <v>#N/A</v>
      </c>
      <c r="W43" s="118" t="e">
        <f>VLOOKUP($D43,Résultats!$B$2:$AX$426,W$5,FALSE)</f>
        <v>#N/A</v>
      </c>
      <c r="X43" s="3"/>
    </row>
    <row r="44" spans="1:39" x14ac:dyDescent="0.25">
      <c r="A44" s="3"/>
      <c r="B44" s="272"/>
      <c r="C44" s="7" t="s">
        <v>12</v>
      </c>
      <c r="D44" s="3" t="s">
        <v>103</v>
      </c>
      <c r="E44" s="20" t="e">
        <f>VLOOKUP($D44,Résultats!$B$2:$AX$426,E$5,FALSE)</f>
        <v>#N/A</v>
      </c>
      <c r="F44" s="20" t="e">
        <f>VLOOKUP($D44,Résultats!$B$2:$AX$426,F$5,FALSE)</f>
        <v>#N/A</v>
      </c>
      <c r="G44" s="111" t="e">
        <f>VLOOKUP($D44,Résultats!$B$2:$AX$426,G$5,FALSE)</f>
        <v>#N/A</v>
      </c>
      <c r="H44" s="20" t="e">
        <f>VLOOKUP($D44,Résultats!$B$2:$AX$426,H$5,FALSE)</f>
        <v>#N/A</v>
      </c>
      <c r="I44" s="112" t="e">
        <f>VLOOKUP($D44,Résultats!$B$2:$AX$426,I$5,FALSE)</f>
        <v>#N/A</v>
      </c>
      <c r="J44" s="111" t="e">
        <f>VLOOKUP($D44,Résultats!$B$2:$AX$426,J$5,FALSE)</f>
        <v>#N/A</v>
      </c>
      <c r="K44" s="20" t="e">
        <f>VLOOKUP($D44,Résultats!$B$2:$AX$426,K$5,FALSE)</f>
        <v>#N/A</v>
      </c>
      <c r="L44" s="20" t="e">
        <f>VLOOKUP($D44,Résultats!$B$2:$AX$426,L$5,FALSE)</f>
        <v>#N/A</v>
      </c>
      <c r="M44" s="20" t="e">
        <f>VLOOKUP($D44,Résultats!$B$2:$AX$426,M$5,FALSE)</f>
        <v>#N/A</v>
      </c>
      <c r="N44" s="112" t="e">
        <f>VLOOKUP($D44,Résultats!$B$2:$AX$426,N$5,FALSE)</f>
        <v>#N/A</v>
      </c>
      <c r="O44" s="111" t="e">
        <f>VLOOKUP($D44,Résultats!$B$2:$AX$426,O$5,FALSE)</f>
        <v>#N/A</v>
      </c>
      <c r="P44" s="20" t="e">
        <f>VLOOKUP($D44,Résultats!$B$2:$AX$426,P$5,FALSE)</f>
        <v>#N/A</v>
      </c>
      <c r="Q44" s="20" t="e">
        <f>VLOOKUP($D44,Résultats!$B$2:$AX$426,Q$5,FALSE)</f>
        <v>#N/A</v>
      </c>
      <c r="R44" s="20" t="e">
        <f>VLOOKUP($D44,Résultats!$B$2:$AX$426,R$5,FALSE)</f>
        <v>#N/A</v>
      </c>
      <c r="S44" s="112" t="e">
        <f>VLOOKUP($D44,Résultats!$B$2:$AX$426,S$5,FALSE)</f>
        <v>#N/A</v>
      </c>
      <c r="T44" s="120" t="e">
        <f>VLOOKUP($D44,Résultats!$B$2:$AX$426,T$5,FALSE)</f>
        <v>#N/A</v>
      </c>
      <c r="U44" s="120" t="e">
        <f>VLOOKUP($D44,Résultats!$B$2:$AX$426,U$5,FALSE)</f>
        <v>#N/A</v>
      </c>
      <c r="V44" s="120" t="e">
        <f>VLOOKUP($D44,Résultats!$B$2:$AX$426,V$5,FALSE)</f>
        <v>#N/A</v>
      </c>
      <c r="W44" s="120" t="e">
        <f>VLOOKUP($D44,Résultats!$B$2:$AX$426,W$5,FALSE)</f>
        <v>#N/A</v>
      </c>
      <c r="X44" s="3"/>
    </row>
    <row r="45" spans="1:39" x14ac:dyDescent="0.25">
      <c r="A45" s="3"/>
      <c r="B45" s="270" t="s">
        <v>135</v>
      </c>
      <c r="C45" s="5" t="s">
        <v>1</v>
      </c>
      <c r="D45" s="2" t="s">
        <v>91</v>
      </c>
      <c r="E45" s="6" t="e">
        <f>SUM(E46:E51)</f>
        <v>#N/A</v>
      </c>
      <c r="F45" s="6" t="e">
        <f>SUM(F46:F51)</f>
        <v>#N/A</v>
      </c>
      <c r="G45" s="107" t="e">
        <f t="shared" ref="G45:R45" si="11">SUM(G46:G51)</f>
        <v>#N/A</v>
      </c>
      <c r="H45" s="6" t="e">
        <f t="shared" si="11"/>
        <v>#N/A</v>
      </c>
      <c r="I45" s="108" t="e">
        <f t="shared" si="11"/>
        <v>#N/A</v>
      </c>
      <c r="J45" s="107" t="e">
        <f t="shared" si="11"/>
        <v>#N/A</v>
      </c>
      <c r="K45" s="6" t="e">
        <f t="shared" si="11"/>
        <v>#N/A</v>
      </c>
      <c r="L45" s="6" t="e">
        <f t="shared" si="11"/>
        <v>#N/A</v>
      </c>
      <c r="M45" s="6" t="e">
        <f t="shared" si="11"/>
        <v>#N/A</v>
      </c>
      <c r="N45" s="108" t="e">
        <f t="shared" si="11"/>
        <v>#N/A</v>
      </c>
      <c r="O45" s="107" t="e">
        <f t="shared" si="11"/>
        <v>#N/A</v>
      </c>
      <c r="P45" s="6" t="e">
        <f t="shared" si="11"/>
        <v>#N/A</v>
      </c>
      <c r="Q45" s="6" t="e">
        <f t="shared" si="11"/>
        <v>#N/A</v>
      </c>
      <c r="R45" s="6" t="e">
        <f t="shared" si="11"/>
        <v>#N/A</v>
      </c>
      <c r="S45" s="108" t="e">
        <f>SUM(S46:S51)</f>
        <v>#N/A</v>
      </c>
      <c r="T45" s="117" t="e">
        <f>SUM(T46:T51)</f>
        <v>#N/A</v>
      </c>
      <c r="U45" s="117" t="e">
        <f>SUM(U46:U51)</f>
        <v>#N/A</v>
      </c>
      <c r="V45" s="117" t="e">
        <f>SUM(V46:V51)</f>
        <v>#N/A</v>
      </c>
      <c r="W45" s="117" t="e">
        <f>SUM(W46:W51)</f>
        <v>#N/A</v>
      </c>
      <c r="X45" s="3"/>
    </row>
    <row r="46" spans="1:39" x14ac:dyDescent="0.25">
      <c r="A46" s="3"/>
      <c r="B46" s="271"/>
      <c r="C46" s="3" t="s">
        <v>13</v>
      </c>
      <c r="D46" s="3" t="s">
        <v>106</v>
      </c>
      <c r="E46" s="19" t="e">
        <f>VLOOKUP($D46,Résultats!$B$2:$AX$426,E$5,FALSE)</f>
        <v>#N/A</v>
      </c>
      <c r="F46" s="19" t="e">
        <f>VLOOKUP($D46,Résultats!$B$2:$AX$426,F$5,FALSE)</f>
        <v>#N/A</v>
      </c>
      <c r="G46" s="28" t="e">
        <f>VLOOKUP($D46,Résultats!$B$2:$AX$426,G$5,FALSE)</f>
        <v>#N/A</v>
      </c>
      <c r="H46" s="19" t="e">
        <f>VLOOKUP($D46,Résultats!$B$2:$AX$426,H$5,FALSE)</f>
        <v>#N/A</v>
      </c>
      <c r="I46" s="109" t="e">
        <f>VLOOKUP($D46,Résultats!$B$2:$AX$426,I$5,FALSE)</f>
        <v>#N/A</v>
      </c>
      <c r="J46" s="28" t="e">
        <f>VLOOKUP($D46,Résultats!$B$2:$AX$426,J$5,FALSE)</f>
        <v>#N/A</v>
      </c>
      <c r="K46" s="19" t="e">
        <f>VLOOKUP($D46,Résultats!$B$2:$AX$426,K$5,FALSE)</f>
        <v>#N/A</v>
      </c>
      <c r="L46" s="19" t="e">
        <f>VLOOKUP($D46,Résultats!$B$2:$AX$426,L$5,FALSE)</f>
        <v>#N/A</v>
      </c>
      <c r="M46" s="19" t="e">
        <f>VLOOKUP($D46,Résultats!$B$2:$AX$426,M$5,FALSE)</f>
        <v>#N/A</v>
      </c>
      <c r="N46" s="109" t="e">
        <f>VLOOKUP($D46,Résultats!$B$2:$AX$426,N$5,FALSE)</f>
        <v>#N/A</v>
      </c>
      <c r="O46" s="28" t="e">
        <f>VLOOKUP($D46,Résultats!$B$2:$AX$426,O$5,FALSE)</f>
        <v>#N/A</v>
      </c>
      <c r="P46" s="19" t="e">
        <f>VLOOKUP($D46,Résultats!$B$2:$AX$426,P$5,FALSE)</f>
        <v>#N/A</v>
      </c>
      <c r="Q46" s="19" t="e">
        <f>VLOOKUP($D46,Résultats!$B$2:$AX$426,Q$5,FALSE)</f>
        <v>#N/A</v>
      </c>
      <c r="R46" s="19" t="e">
        <f>VLOOKUP($D46,Résultats!$B$2:$AX$426,R$5,FALSE)</f>
        <v>#N/A</v>
      </c>
      <c r="S46" s="109" t="e">
        <f>VLOOKUP($D46,Résultats!$B$2:$AX$426,S$5,FALSE)</f>
        <v>#N/A</v>
      </c>
      <c r="T46" s="118" t="e">
        <f>VLOOKUP($D46,Résultats!$B$2:$AX$426,T$5,FALSE)</f>
        <v>#N/A</v>
      </c>
      <c r="U46" s="118" t="e">
        <f>VLOOKUP($D46,Résultats!$B$2:$AX$426,U$5,FALSE)</f>
        <v>#N/A</v>
      </c>
      <c r="V46" s="118" t="e">
        <f>VLOOKUP($D46,Résultats!$B$2:$AX$426,V$5,FALSE)</f>
        <v>#N/A</v>
      </c>
      <c r="W46" s="118" t="e">
        <f>VLOOKUP($D46,Résultats!$B$2:$AX$426,W$5,FALSE)</f>
        <v>#N/A</v>
      </c>
      <c r="X46" s="3"/>
    </row>
    <row r="47" spans="1:39" x14ac:dyDescent="0.25">
      <c r="A47" s="3"/>
      <c r="B47" s="271"/>
      <c r="C47" s="3" t="s">
        <v>14</v>
      </c>
      <c r="D47" s="3" t="s">
        <v>107</v>
      </c>
      <c r="E47" s="19" t="e">
        <f>VLOOKUP($D47,Résultats!$B$2:$AX$426,E$5,FALSE)</f>
        <v>#N/A</v>
      </c>
      <c r="F47" s="19" t="e">
        <f>VLOOKUP($D47,Résultats!$B$2:$AX$426,F$5,FALSE)</f>
        <v>#N/A</v>
      </c>
      <c r="G47" s="28" t="e">
        <f>VLOOKUP($D47,Résultats!$B$2:$AX$426,G$5,FALSE)</f>
        <v>#N/A</v>
      </c>
      <c r="H47" s="19" t="e">
        <f>VLOOKUP($D47,Résultats!$B$2:$AX$426,H$5,FALSE)</f>
        <v>#N/A</v>
      </c>
      <c r="I47" s="109" t="e">
        <f>VLOOKUP($D47,Résultats!$B$2:$AX$426,I$5,FALSE)</f>
        <v>#N/A</v>
      </c>
      <c r="J47" s="28" t="e">
        <f>VLOOKUP($D47,Résultats!$B$2:$AX$426,J$5,FALSE)</f>
        <v>#N/A</v>
      </c>
      <c r="K47" s="19" t="e">
        <f>VLOOKUP($D47,Résultats!$B$2:$AX$426,K$5,FALSE)</f>
        <v>#N/A</v>
      </c>
      <c r="L47" s="19" t="e">
        <f>VLOOKUP($D47,Résultats!$B$2:$AX$426,L$5,FALSE)</f>
        <v>#N/A</v>
      </c>
      <c r="M47" s="19" t="e">
        <f>VLOOKUP($D47,Résultats!$B$2:$AX$426,M$5,FALSE)</f>
        <v>#N/A</v>
      </c>
      <c r="N47" s="109" t="e">
        <f>VLOOKUP($D47,Résultats!$B$2:$AX$426,N$5,FALSE)</f>
        <v>#N/A</v>
      </c>
      <c r="O47" s="28" t="e">
        <f>VLOOKUP($D47,Résultats!$B$2:$AX$426,O$5,FALSE)</f>
        <v>#N/A</v>
      </c>
      <c r="P47" s="19" t="e">
        <f>VLOOKUP($D47,Résultats!$B$2:$AX$426,P$5,FALSE)</f>
        <v>#N/A</v>
      </c>
      <c r="Q47" s="19" t="e">
        <f>VLOOKUP($D47,Résultats!$B$2:$AX$426,Q$5,FALSE)</f>
        <v>#N/A</v>
      </c>
      <c r="R47" s="19" t="e">
        <f>VLOOKUP($D47,Résultats!$B$2:$AX$426,R$5,FALSE)</f>
        <v>#N/A</v>
      </c>
      <c r="S47" s="109" t="e">
        <f>VLOOKUP($D47,Résultats!$B$2:$AX$426,S$5,FALSE)</f>
        <v>#N/A</v>
      </c>
      <c r="T47" s="118" t="e">
        <f>VLOOKUP($D47,Résultats!$B$2:$AX$426,T$5,FALSE)</f>
        <v>#N/A</v>
      </c>
      <c r="U47" s="118" t="e">
        <f>VLOOKUP($D47,Résultats!$B$2:$AX$426,U$5,FALSE)</f>
        <v>#N/A</v>
      </c>
      <c r="V47" s="118" t="e">
        <f>VLOOKUP($D47,Résultats!$B$2:$AX$426,V$5,FALSE)</f>
        <v>#N/A</v>
      </c>
      <c r="W47" s="118" t="e">
        <f>VLOOKUP($D47,Résultats!$B$2:$AX$426,W$5,FALSE)</f>
        <v>#N/A</v>
      </c>
      <c r="X47" s="3"/>
    </row>
    <row r="48" spans="1:39" x14ac:dyDescent="0.25">
      <c r="A48" s="3"/>
      <c r="B48" s="271"/>
      <c r="C48" s="3" t="s">
        <v>15</v>
      </c>
      <c r="D48" s="3" t="s">
        <v>108</v>
      </c>
      <c r="E48" s="19" t="e">
        <f>VLOOKUP($D48,Résultats!$B$2:$AX$426,E$5,FALSE)</f>
        <v>#N/A</v>
      </c>
      <c r="F48" s="19" t="e">
        <f>VLOOKUP($D48,Résultats!$B$2:$AX$426,F$5,FALSE)</f>
        <v>#N/A</v>
      </c>
      <c r="G48" s="28" t="e">
        <f>VLOOKUP($D48,Résultats!$B$2:$AX$426,G$5,FALSE)</f>
        <v>#N/A</v>
      </c>
      <c r="H48" s="19" t="e">
        <f>VLOOKUP($D48,Résultats!$B$2:$AX$426,H$5,FALSE)</f>
        <v>#N/A</v>
      </c>
      <c r="I48" s="109" t="e">
        <f>VLOOKUP($D48,Résultats!$B$2:$AX$426,I$5,FALSE)</f>
        <v>#N/A</v>
      </c>
      <c r="J48" s="28" t="e">
        <f>VLOOKUP($D48,Résultats!$B$2:$AX$426,J$5,FALSE)</f>
        <v>#N/A</v>
      </c>
      <c r="K48" s="19" t="e">
        <f>VLOOKUP($D48,Résultats!$B$2:$AX$426,K$5,FALSE)</f>
        <v>#N/A</v>
      </c>
      <c r="L48" s="19" t="e">
        <f>VLOOKUP($D48,Résultats!$B$2:$AX$426,L$5,FALSE)</f>
        <v>#N/A</v>
      </c>
      <c r="M48" s="19" t="e">
        <f>VLOOKUP($D48,Résultats!$B$2:$AX$426,M$5,FALSE)</f>
        <v>#N/A</v>
      </c>
      <c r="N48" s="109" t="e">
        <f>VLOOKUP($D48,Résultats!$B$2:$AX$426,N$5,FALSE)</f>
        <v>#N/A</v>
      </c>
      <c r="O48" s="28" t="e">
        <f>VLOOKUP($D48,Résultats!$B$2:$AX$426,O$5,FALSE)</f>
        <v>#N/A</v>
      </c>
      <c r="P48" s="19" t="e">
        <f>VLOOKUP($D48,Résultats!$B$2:$AX$426,P$5,FALSE)</f>
        <v>#N/A</v>
      </c>
      <c r="Q48" s="19" t="e">
        <f>VLOOKUP($D48,Résultats!$B$2:$AX$426,Q$5,FALSE)</f>
        <v>#N/A</v>
      </c>
      <c r="R48" s="19" t="e">
        <f>VLOOKUP($D48,Résultats!$B$2:$AX$426,R$5,FALSE)</f>
        <v>#N/A</v>
      </c>
      <c r="S48" s="109" t="e">
        <f>VLOOKUP($D48,Résultats!$B$2:$AX$426,S$5,FALSE)</f>
        <v>#N/A</v>
      </c>
      <c r="T48" s="118" t="e">
        <f>VLOOKUP($D48,Résultats!$B$2:$AX$426,T$5,FALSE)</f>
        <v>#N/A</v>
      </c>
      <c r="U48" s="118" t="e">
        <f>VLOOKUP($D48,Résultats!$B$2:$AX$426,U$5,FALSE)</f>
        <v>#N/A</v>
      </c>
      <c r="V48" s="118" t="e">
        <f>VLOOKUP($D48,Résultats!$B$2:$AX$426,V$5,FALSE)</f>
        <v>#N/A</v>
      </c>
      <c r="W48" s="118" t="e">
        <f>VLOOKUP($D48,Résultats!$B$2:$AX$426,W$5,FALSE)</f>
        <v>#N/A</v>
      </c>
      <c r="X48" s="3"/>
    </row>
    <row r="49" spans="1:24" x14ac:dyDescent="0.25">
      <c r="A49" s="3"/>
      <c r="B49" s="271"/>
      <c r="C49" s="3" t="s">
        <v>16</v>
      </c>
      <c r="D49" s="3" t="s">
        <v>109</v>
      </c>
      <c r="E49" s="19" t="e">
        <f>VLOOKUP($D49,Résultats!$B$2:$AX$426,E$5,FALSE)</f>
        <v>#N/A</v>
      </c>
      <c r="F49" s="19" t="e">
        <f>VLOOKUP($D49,Résultats!$B$2:$AX$426,F$5,FALSE)</f>
        <v>#N/A</v>
      </c>
      <c r="G49" s="28" t="e">
        <f>VLOOKUP($D49,Résultats!$B$2:$AX$426,G$5,FALSE)</f>
        <v>#N/A</v>
      </c>
      <c r="H49" s="19" t="e">
        <f>VLOOKUP($D49,Résultats!$B$2:$AX$426,H$5,FALSE)</f>
        <v>#N/A</v>
      </c>
      <c r="I49" s="109" t="e">
        <f>VLOOKUP($D49,Résultats!$B$2:$AX$426,I$5,FALSE)</f>
        <v>#N/A</v>
      </c>
      <c r="J49" s="28" t="e">
        <f>VLOOKUP($D49,Résultats!$B$2:$AX$426,J$5,FALSE)</f>
        <v>#N/A</v>
      </c>
      <c r="K49" s="19" t="e">
        <f>VLOOKUP($D49,Résultats!$B$2:$AX$426,K$5,FALSE)</f>
        <v>#N/A</v>
      </c>
      <c r="L49" s="19" t="e">
        <f>VLOOKUP($D49,Résultats!$B$2:$AX$426,L$5,FALSE)</f>
        <v>#N/A</v>
      </c>
      <c r="M49" s="19" t="e">
        <f>VLOOKUP($D49,Résultats!$B$2:$AX$426,M$5,FALSE)</f>
        <v>#N/A</v>
      </c>
      <c r="N49" s="109" t="e">
        <f>VLOOKUP($D49,Résultats!$B$2:$AX$426,N$5,FALSE)</f>
        <v>#N/A</v>
      </c>
      <c r="O49" s="28" t="e">
        <f>VLOOKUP($D49,Résultats!$B$2:$AX$426,O$5,FALSE)</f>
        <v>#N/A</v>
      </c>
      <c r="P49" s="19" t="e">
        <f>VLOOKUP($D49,Résultats!$B$2:$AX$426,P$5,FALSE)</f>
        <v>#N/A</v>
      </c>
      <c r="Q49" s="19" t="e">
        <f>VLOOKUP($D49,Résultats!$B$2:$AX$426,Q$5,FALSE)</f>
        <v>#N/A</v>
      </c>
      <c r="R49" s="19" t="e">
        <f>VLOOKUP($D49,Résultats!$B$2:$AX$426,R$5,FALSE)</f>
        <v>#N/A</v>
      </c>
      <c r="S49" s="109" t="e">
        <f>VLOOKUP($D49,Résultats!$B$2:$AX$426,S$5,FALSE)</f>
        <v>#N/A</v>
      </c>
      <c r="T49" s="118" t="e">
        <f>VLOOKUP($D49,Résultats!$B$2:$AX$426,T$5,FALSE)</f>
        <v>#N/A</v>
      </c>
      <c r="U49" s="118" t="e">
        <f>VLOOKUP($D49,Résultats!$B$2:$AX$426,U$5,FALSE)</f>
        <v>#N/A</v>
      </c>
      <c r="V49" s="118" t="e">
        <f>VLOOKUP($D49,Résultats!$B$2:$AX$426,V$5,FALSE)</f>
        <v>#N/A</v>
      </c>
      <c r="W49" s="118" t="e">
        <f>VLOOKUP($D49,Résultats!$B$2:$AX$426,W$5,FALSE)</f>
        <v>#N/A</v>
      </c>
      <c r="X49" s="3"/>
    </row>
    <row r="50" spans="1:24" x14ac:dyDescent="0.25">
      <c r="A50" s="3"/>
      <c r="B50" s="271"/>
      <c r="C50" s="3" t="s">
        <v>17</v>
      </c>
      <c r="D50" s="3" t="s">
        <v>110</v>
      </c>
      <c r="E50" s="19" t="e">
        <f>VLOOKUP($D50,Résultats!$B$2:$AX$426,E$5,FALSE)</f>
        <v>#N/A</v>
      </c>
      <c r="F50" s="19" t="e">
        <f>VLOOKUP($D50,Résultats!$B$2:$AX$426,F$5,FALSE)</f>
        <v>#N/A</v>
      </c>
      <c r="G50" s="28" t="e">
        <f>VLOOKUP($D50,Résultats!$B$2:$AX$426,G$5,FALSE)</f>
        <v>#N/A</v>
      </c>
      <c r="H50" s="19" t="e">
        <f>VLOOKUP($D50,Résultats!$B$2:$AX$426,H$5,FALSE)</f>
        <v>#N/A</v>
      </c>
      <c r="I50" s="109" t="e">
        <f>VLOOKUP($D50,Résultats!$B$2:$AX$426,I$5,FALSE)</f>
        <v>#N/A</v>
      </c>
      <c r="J50" s="28" t="e">
        <f>VLOOKUP($D50,Résultats!$B$2:$AX$426,J$5,FALSE)</f>
        <v>#N/A</v>
      </c>
      <c r="K50" s="19" t="e">
        <f>VLOOKUP($D50,Résultats!$B$2:$AX$426,K$5,FALSE)</f>
        <v>#N/A</v>
      </c>
      <c r="L50" s="19" t="e">
        <f>VLOOKUP($D50,Résultats!$B$2:$AX$426,L$5,FALSE)</f>
        <v>#N/A</v>
      </c>
      <c r="M50" s="19" t="e">
        <f>VLOOKUP($D50,Résultats!$B$2:$AX$426,M$5,FALSE)</f>
        <v>#N/A</v>
      </c>
      <c r="N50" s="109" t="e">
        <f>VLOOKUP($D50,Résultats!$B$2:$AX$426,N$5,FALSE)</f>
        <v>#N/A</v>
      </c>
      <c r="O50" s="28" t="e">
        <f>VLOOKUP($D50,Résultats!$B$2:$AX$426,O$5,FALSE)</f>
        <v>#N/A</v>
      </c>
      <c r="P50" s="19" t="e">
        <f>VLOOKUP($D50,Résultats!$B$2:$AX$426,P$5,FALSE)</f>
        <v>#N/A</v>
      </c>
      <c r="Q50" s="19" t="e">
        <f>VLOOKUP($D50,Résultats!$B$2:$AX$426,Q$5,FALSE)</f>
        <v>#N/A</v>
      </c>
      <c r="R50" s="19" t="e">
        <f>VLOOKUP($D50,Résultats!$B$2:$AX$426,R$5,FALSE)</f>
        <v>#N/A</v>
      </c>
      <c r="S50" s="109" t="e">
        <f>VLOOKUP($D50,Résultats!$B$2:$AX$426,S$5,FALSE)</f>
        <v>#N/A</v>
      </c>
      <c r="T50" s="118" t="e">
        <f>VLOOKUP($D50,Résultats!$B$2:$AX$426,T$5,FALSE)</f>
        <v>#N/A</v>
      </c>
      <c r="U50" s="118" t="e">
        <f>VLOOKUP($D50,Résultats!$B$2:$AX$426,U$5,FALSE)</f>
        <v>#N/A</v>
      </c>
      <c r="V50" s="118" t="e">
        <f>VLOOKUP($D50,Résultats!$B$2:$AX$426,V$5,FALSE)</f>
        <v>#N/A</v>
      </c>
      <c r="W50" s="118" t="e">
        <f>VLOOKUP($D50,Résultats!$B$2:$AX$426,W$5,FALSE)</f>
        <v>#N/A</v>
      </c>
      <c r="X50" s="3"/>
    </row>
    <row r="51" spans="1:24" x14ac:dyDescent="0.25">
      <c r="A51" s="3"/>
      <c r="B51" s="272"/>
      <c r="C51" s="7" t="s">
        <v>12</v>
      </c>
      <c r="D51" s="3" t="s">
        <v>111</v>
      </c>
      <c r="E51" s="20" t="e">
        <f>VLOOKUP($D51,Résultats!$B$2:$AX$426,E$5,FALSE)</f>
        <v>#N/A</v>
      </c>
      <c r="F51" s="20" t="e">
        <f>VLOOKUP($D51,Résultats!$B$2:$AX$426,F$5,FALSE)</f>
        <v>#N/A</v>
      </c>
      <c r="G51" s="111" t="e">
        <f>VLOOKUP($D51,Résultats!$B$2:$AX$426,G$5,FALSE)</f>
        <v>#N/A</v>
      </c>
      <c r="H51" s="20" t="e">
        <f>VLOOKUP($D51,Résultats!$B$2:$AX$426,H$5,FALSE)</f>
        <v>#N/A</v>
      </c>
      <c r="I51" s="112" t="e">
        <f>VLOOKUP($D51,Résultats!$B$2:$AX$426,I$5,FALSE)</f>
        <v>#N/A</v>
      </c>
      <c r="J51" s="111" t="e">
        <f>VLOOKUP($D51,Résultats!$B$2:$AX$426,J$5,FALSE)</f>
        <v>#N/A</v>
      </c>
      <c r="K51" s="20" t="e">
        <f>VLOOKUP($D51,Résultats!$B$2:$AX$426,K$5,FALSE)</f>
        <v>#N/A</v>
      </c>
      <c r="L51" s="20" t="e">
        <f>VLOOKUP($D51,Résultats!$B$2:$AX$426,L$5,FALSE)</f>
        <v>#N/A</v>
      </c>
      <c r="M51" s="20" t="e">
        <f>VLOOKUP($D51,Résultats!$B$2:$AX$426,M$5,FALSE)</f>
        <v>#N/A</v>
      </c>
      <c r="N51" s="112" t="e">
        <f>VLOOKUP($D51,Résultats!$B$2:$AX$426,N$5,FALSE)</f>
        <v>#N/A</v>
      </c>
      <c r="O51" s="111" t="e">
        <f>VLOOKUP($D51,Résultats!$B$2:$AX$426,O$5,FALSE)</f>
        <v>#N/A</v>
      </c>
      <c r="P51" s="20" t="e">
        <f>VLOOKUP($D51,Résultats!$B$2:$AX$426,P$5,FALSE)</f>
        <v>#N/A</v>
      </c>
      <c r="Q51" s="20" t="e">
        <f>VLOOKUP($D51,Résultats!$B$2:$AX$426,Q$5,FALSE)</f>
        <v>#N/A</v>
      </c>
      <c r="R51" s="20" t="e">
        <f>VLOOKUP($D51,Résultats!$B$2:$AX$426,R$5,FALSE)</f>
        <v>#N/A</v>
      </c>
      <c r="S51" s="112" t="e">
        <f>VLOOKUP($D51,Résultats!$B$2:$AX$426,S$5,FALSE)</f>
        <v>#N/A</v>
      </c>
      <c r="T51" s="120" t="e">
        <f>VLOOKUP($D51,Résultats!$B$2:$AX$426,T$5,FALSE)</f>
        <v>#N/A</v>
      </c>
      <c r="U51" s="120" t="e">
        <f>VLOOKUP($D51,Résultats!$B$2:$AX$426,U$5,FALSE)</f>
        <v>#N/A</v>
      </c>
      <c r="V51" s="120" t="e">
        <f>VLOOKUP($D51,Résultats!$B$2:$AX$426,V$5,FALSE)</f>
        <v>#N/A</v>
      </c>
      <c r="W51" s="120" t="e">
        <f>VLOOKUP($D51,Résultats!$B$2:$AX$426,W$5,FALSE)</f>
        <v>#N/A</v>
      </c>
      <c r="X51" s="3"/>
    </row>
    <row r="52" spans="1:24" x14ac:dyDescent="0.25">
      <c r="A52" s="3"/>
      <c r="B52" s="203" t="s">
        <v>8</v>
      </c>
      <c r="C52" s="2"/>
      <c r="D52" s="17" t="s">
        <v>92</v>
      </c>
      <c r="E52" s="6" t="e">
        <f>VLOOKUP($D52,Résultats!$B$2:$AX$426,E$5,FALSE)</f>
        <v>#N/A</v>
      </c>
      <c r="F52" s="6" t="e">
        <f>VLOOKUP($D52,Résultats!$B$2:$AX$426,F$5,FALSE)</f>
        <v>#N/A</v>
      </c>
      <c r="G52" s="107" t="e">
        <f>VLOOKUP($D52,Résultats!$B$2:$AX$426,G$5,FALSE)</f>
        <v>#N/A</v>
      </c>
      <c r="H52" s="6" t="e">
        <f>VLOOKUP($D52,Résultats!$B$2:$AX$426,H$5,FALSE)</f>
        <v>#N/A</v>
      </c>
      <c r="I52" s="108" t="e">
        <f>VLOOKUP($D52,Résultats!$B$2:$AX$426,I$5,FALSE)</f>
        <v>#N/A</v>
      </c>
      <c r="J52" s="107" t="e">
        <f>VLOOKUP($D52,Résultats!$B$2:$AX$426,J$5,FALSE)</f>
        <v>#N/A</v>
      </c>
      <c r="K52" s="6" t="e">
        <f>VLOOKUP($D52,Résultats!$B$2:$AX$426,K$5,FALSE)</f>
        <v>#N/A</v>
      </c>
      <c r="L52" s="6" t="e">
        <f>VLOOKUP($D52,Résultats!$B$2:$AX$426,L$5,FALSE)</f>
        <v>#N/A</v>
      </c>
      <c r="M52" s="6" t="e">
        <f>VLOOKUP($D52,Résultats!$B$2:$AX$426,M$5,FALSE)</f>
        <v>#N/A</v>
      </c>
      <c r="N52" s="108" t="e">
        <f>VLOOKUP($D52,Résultats!$B$2:$AX$426,N$5,FALSE)</f>
        <v>#N/A</v>
      </c>
      <c r="O52" s="107" t="e">
        <f>VLOOKUP($D52,Résultats!$B$2:$AX$426,O$5,FALSE)</f>
        <v>#N/A</v>
      </c>
      <c r="P52" s="6" t="e">
        <f>VLOOKUP($D52,Résultats!$B$2:$AX$426,P$5,FALSE)</f>
        <v>#N/A</v>
      </c>
      <c r="Q52" s="6" t="e">
        <f>VLOOKUP($D52,Résultats!$B$2:$AX$426,Q$5,FALSE)</f>
        <v>#N/A</v>
      </c>
      <c r="R52" s="6" t="e">
        <f>VLOOKUP($D52,Résultats!$B$2:$AX$426,R$5,FALSE)</f>
        <v>#N/A</v>
      </c>
      <c r="S52" s="108" t="e">
        <f>VLOOKUP($D52,Résultats!$B$2:$AX$426,S$5,FALSE)</f>
        <v>#N/A</v>
      </c>
      <c r="T52" s="117" t="e">
        <f>VLOOKUP($D52,Résultats!$B$2:$AX$426,T$5,FALSE)</f>
        <v>#N/A</v>
      </c>
      <c r="U52" s="117" t="e">
        <f>VLOOKUP($D52,Résultats!$B$2:$AX$426,U$5,FALSE)</f>
        <v>#N/A</v>
      </c>
      <c r="V52" s="117" t="e">
        <f>VLOOKUP($D52,Résultats!$B$2:$AX$426,V$5,FALSE)</f>
        <v>#N/A</v>
      </c>
      <c r="W52" s="117" t="e">
        <f>VLOOKUP($D52,Résultats!$B$2:$AX$426,W$5,FALSE)</f>
        <v>#N/A</v>
      </c>
      <c r="X52" s="3"/>
    </row>
    <row r="53" spans="1:24" x14ac:dyDescent="0.25">
      <c r="A53" s="3"/>
      <c r="B53" s="202" t="s">
        <v>1</v>
      </c>
      <c r="C53" s="2"/>
      <c r="D53" s="2" t="s">
        <v>93</v>
      </c>
      <c r="E53" s="9" t="e">
        <f>E52+E45+E36+E33</f>
        <v>#N/A</v>
      </c>
      <c r="F53" s="9" t="e">
        <f>F52+F45+F36+F33</f>
        <v>#N/A</v>
      </c>
      <c r="G53" s="29" t="e">
        <f t="shared" ref="G53:R53" si="12">G52+G45+G36+G33</f>
        <v>#N/A</v>
      </c>
      <c r="H53" s="9" t="e">
        <f t="shared" si="12"/>
        <v>#N/A</v>
      </c>
      <c r="I53" s="113" t="e">
        <f t="shared" si="12"/>
        <v>#N/A</v>
      </c>
      <c r="J53" s="29" t="e">
        <f t="shared" si="12"/>
        <v>#N/A</v>
      </c>
      <c r="K53" s="9" t="e">
        <f t="shared" si="12"/>
        <v>#N/A</v>
      </c>
      <c r="L53" s="9" t="e">
        <f t="shared" si="12"/>
        <v>#N/A</v>
      </c>
      <c r="M53" s="9" t="e">
        <f t="shared" si="12"/>
        <v>#N/A</v>
      </c>
      <c r="N53" s="113" t="e">
        <f t="shared" si="12"/>
        <v>#N/A</v>
      </c>
      <c r="O53" s="29" t="e">
        <f t="shared" si="12"/>
        <v>#N/A</v>
      </c>
      <c r="P53" s="9" t="e">
        <f t="shared" si="12"/>
        <v>#N/A</v>
      </c>
      <c r="Q53" s="9" t="e">
        <f t="shared" si="12"/>
        <v>#N/A</v>
      </c>
      <c r="R53" s="9" t="e">
        <f t="shared" si="12"/>
        <v>#N/A</v>
      </c>
      <c r="S53" s="113" t="e">
        <f>S52+S45+S36+S33</f>
        <v>#N/A</v>
      </c>
      <c r="T53" s="121" t="e">
        <f>T52+T45+T36+T33</f>
        <v>#N/A</v>
      </c>
      <c r="U53" s="121" t="e">
        <f>U52+U45+U36+U33</f>
        <v>#N/A</v>
      </c>
      <c r="V53" s="121" t="e">
        <f>V52+V45+V36+V33</f>
        <v>#N/A</v>
      </c>
      <c r="W53" s="121" t="e">
        <f>W52+W45+W36+W33</f>
        <v>#N/A</v>
      </c>
      <c r="X53" s="3"/>
    </row>
    <row r="54" spans="1:2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</sheetData>
  <mergeCells count="6">
    <mergeCell ref="B45:B51"/>
    <mergeCell ref="B7:B9"/>
    <mergeCell ref="B10:B18"/>
    <mergeCell ref="B19:B25"/>
    <mergeCell ref="B33:B35"/>
    <mergeCell ref="B36:B44"/>
  </mergeCells>
  <pageMargins left="0.7" right="0.7" top="0.75" bottom="0.75" header="0.3" footer="0.3"/>
  <ignoredErrors>
    <ignoredError sqref="F10:W10 E19:W19 E10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AG371"/>
  <sheetViews>
    <sheetView topLeftCell="B113" zoomScale="77" zoomScaleNormal="77" workbookViewId="0">
      <selection activeCell="Q149" sqref="Q149"/>
    </sheetView>
  </sheetViews>
  <sheetFormatPr baseColWidth="10" defaultRowHeight="15" x14ac:dyDescent="0.25"/>
  <cols>
    <col min="1" max="1" width="11.42578125" style="3"/>
    <col min="2" max="2" width="11.42578125" style="3" customWidth="1"/>
    <col min="3" max="3" width="24.85546875" customWidth="1"/>
    <col min="4" max="4" width="15.7109375" hidden="1" customWidth="1"/>
    <col min="5" max="5" width="24" hidden="1" customWidth="1"/>
    <col min="6" max="6" width="25.42578125" hidden="1" customWidth="1"/>
    <col min="7" max="7" width="24.5703125" hidden="1" customWidth="1"/>
    <col min="8" max="8" width="15.7109375" customWidth="1"/>
    <col min="9" max="9" width="14" customWidth="1"/>
    <col min="11" max="11" width="11.42578125" customWidth="1"/>
    <col min="14" max="14" width="24.85546875" style="3" customWidth="1"/>
    <col min="20" max="20" width="11.42578125" style="3"/>
    <col min="21" max="21" width="15.7109375" customWidth="1"/>
    <col min="22" max="22" width="15.7109375" hidden="1" customWidth="1"/>
    <col min="23" max="23" width="24" hidden="1" customWidth="1"/>
    <col min="24" max="24" width="25.42578125" hidden="1" customWidth="1"/>
    <col min="25" max="25" width="24.5703125" hidden="1" customWidth="1"/>
    <col min="26" max="26" width="15.7109375" customWidth="1"/>
    <col min="27" max="27" width="14" customWidth="1"/>
    <col min="29" max="29" width="11.42578125" customWidth="1"/>
    <col min="31" max="33" width="11.42578125" style="3"/>
  </cols>
  <sheetData>
    <row r="1" spans="1:30" ht="28.5" x14ac:dyDescent="0.45">
      <c r="A1" s="221" t="s">
        <v>216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O1" s="3"/>
      <c r="P1" s="3"/>
      <c r="Q1" s="3"/>
      <c r="R1" s="3"/>
      <c r="S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x14ac:dyDescent="0.25">
      <c r="B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O2" s="3"/>
      <c r="P2" s="3"/>
      <c r="Q2" s="3"/>
      <c r="R2" s="3"/>
      <c r="S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3.25" x14ac:dyDescent="0.35">
      <c r="A3" s="1" t="s">
        <v>200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O3" s="3"/>
      <c r="P3" s="3"/>
      <c r="Q3" s="3"/>
      <c r="R3" s="63"/>
      <c r="S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3.25" x14ac:dyDescent="0.35">
      <c r="A4" s="191" t="str">
        <f>Résultats!B1</f>
        <v>TEND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O4" s="3"/>
      <c r="P4" s="3"/>
      <c r="Q4" s="3"/>
      <c r="R4" s="63"/>
      <c r="S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23.25" x14ac:dyDescent="0.35">
      <c r="A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R5" s="63"/>
      <c r="S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8.75" x14ac:dyDescent="0.3">
      <c r="B6" s="64"/>
      <c r="C6" s="64"/>
      <c r="D6" s="64"/>
      <c r="E6" s="64"/>
      <c r="F6" s="64"/>
      <c r="G6" s="64"/>
      <c r="H6" s="64"/>
      <c r="I6" s="64"/>
      <c r="J6" s="3"/>
      <c r="K6" s="3"/>
      <c r="M6" s="3"/>
      <c r="O6" s="3"/>
      <c r="P6" s="3"/>
      <c r="Q6" s="3"/>
      <c r="R6" s="63"/>
      <c r="S6" s="63"/>
      <c r="T6" s="64"/>
      <c r="U6" s="64"/>
      <c r="V6" s="64"/>
      <c r="W6" s="64"/>
      <c r="X6" s="64"/>
      <c r="Y6" s="64"/>
      <c r="Z6" s="64"/>
      <c r="AA6" s="64"/>
      <c r="AB6" s="3"/>
      <c r="AC6" s="3"/>
    </row>
    <row r="7" spans="1:30" ht="18.75" x14ac:dyDescent="0.3">
      <c r="C7" s="63" t="s">
        <v>201</v>
      </c>
      <c r="I7" s="3"/>
      <c r="J7" s="3"/>
      <c r="K7" s="3"/>
      <c r="L7" s="3"/>
      <c r="M7" s="3"/>
      <c r="N7" s="63" t="s">
        <v>202</v>
      </c>
      <c r="O7" s="3"/>
      <c r="P7" s="3"/>
      <c r="Q7" s="3"/>
      <c r="R7" s="3"/>
      <c r="S7" s="3"/>
      <c r="U7" s="63" t="s">
        <v>201</v>
      </c>
      <c r="AA7" s="3"/>
      <c r="AB7" s="3"/>
      <c r="AC7" s="3"/>
      <c r="AD7" s="3"/>
    </row>
    <row r="8" spans="1:30" ht="23.25" x14ac:dyDescent="0.35">
      <c r="B8" s="68"/>
      <c r="C8" s="64" t="s">
        <v>132</v>
      </c>
      <c r="D8" s="3"/>
      <c r="E8" s="64"/>
      <c r="F8" s="64"/>
      <c r="G8" s="64"/>
      <c r="H8" s="64"/>
      <c r="I8" s="64"/>
      <c r="J8" s="64"/>
      <c r="K8" s="64"/>
      <c r="L8" s="3"/>
      <c r="M8" s="3"/>
      <c r="N8" t="s">
        <v>203</v>
      </c>
      <c r="U8" s="64" t="s">
        <v>132</v>
      </c>
      <c r="V8" s="3"/>
      <c r="W8" s="64"/>
      <c r="X8" s="64"/>
      <c r="Y8" s="64"/>
      <c r="Z8" s="64"/>
      <c r="AA8" s="64"/>
      <c r="AB8" s="64"/>
      <c r="AC8" s="64"/>
      <c r="AD8" s="3"/>
    </row>
    <row r="9" spans="1:30" x14ac:dyDescent="0.25">
      <c r="B9" s="64"/>
      <c r="C9" s="3"/>
      <c r="D9" s="3"/>
      <c r="E9" s="3"/>
      <c r="F9" s="3"/>
      <c r="G9" s="3"/>
      <c r="H9" s="64"/>
      <c r="I9" s="64"/>
      <c r="J9" s="64"/>
      <c r="K9" s="64"/>
      <c r="L9" s="3"/>
      <c r="M9" s="3"/>
      <c r="O9" s="3"/>
      <c r="P9" s="3"/>
      <c r="Q9" s="3"/>
      <c r="R9" s="3"/>
      <c r="S9" s="3"/>
      <c r="U9" s="3"/>
      <c r="V9" s="3"/>
      <c r="W9" s="3"/>
      <c r="X9" s="3"/>
      <c r="Y9" s="3"/>
      <c r="Z9" s="64"/>
      <c r="AA9" s="64"/>
      <c r="AB9" s="64"/>
      <c r="AC9" s="64"/>
      <c r="AD9" s="3"/>
    </row>
    <row r="10" spans="1:30" ht="31.5" x14ac:dyDescent="0.35">
      <c r="B10" s="64"/>
      <c r="C10" s="171">
        <v>2015</v>
      </c>
      <c r="D10" s="172"/>
      <c r="E10" s="172"/>
      <c r="F10" s="172"/>
      <c r="G10" s="172"/>
      <c r="H10" s="99" t="s">
        <v>36</v>
      </c>
      <c r="I10" s="99" t="s">
        <v>131</v>
      </c>
      <c r="J10" s="99" t="s">
        <v>38</v>
      </c>
      <c r="K10" s="99" t="s">
        <v>130</v>
      </c>
      <c r="L10" s="116" t="s">
        <v>1</v>
      </c>
      <c r="M10" s="25"/>
      <c r="N10" s="171">
        <v>2015</v>
      </c>
      <c r="O10" s="167" t="s">
        <v>36</v>
      </c>
      <c r="P10" s="99" t="s">
        <v>131</v>
      </c>
      <c r="Q10" s="99" t="s">
        <v>38</v>
      </c>
      <c r="R10" s="99" t="s">
        <v>130</v>
      </c>
      <c r="S10" s="116" t="s">
        <v>1</v>
      </c>
      <c r="T10" s="267" t="s">
        <v>530</v>
      </c>
      <c r="U10" s="171">
        <v>2015</v>
      </c>
      <c r="V10" s="172"/>
      <c r="W10" s="172"/>
      <c r="X10" s="172"/>
      <c r="Y10" s="172"/>
      <c r="Z10" s="99" t="s">
        <v>36</v>
      </c>
      <c r="AA10" s="99" t="s">
        <v>131</v>
      </c>
      <c r="AB10" s="99" t="s">
        <v>38</v>
      </c>
      <c r="AC10" s="99" t="s">
        <v>130</v>
      </c>
      <c r="AD10" s="116" t="s">
        <v>1</v>
      </c>
    </row>
    <row r="11" spans="1:30" x14ac:dyDescent="0.25">
      <c r="C11" s="173" t="s">
        <v>18</v>
      </c>
      <c r="H11" s="8">
        <f>SUM(H12:H13)</f>
        <v>0</v>
      </c>
      <c r="I11" s="8">
        <f>SUM(I12:I13)</f>
        <v>43.145689000000004</v>
      </c>
      <c r="J11" s="8">
        <f>SUM(J12:J13)</f>
        <v>1.2869702487000001</v>
      </c>
      <c r="K11" s="8">
        <f>SUM(K12:K13)</f>
        <v>0.24534332975500001</v>
      </c>
      <c r="L11" s="119">
        <f>SUM(H11:K11)</f>
        <v>44.678002578455008</v>
      </c>
      <c r="M11" s="97"/>
      <c r="N11" s="176" t="s">
        <v>18</v>
      </c>
      <c r="O11" s="36">
        <f>'[1]Bilan 2015'!$X$46</f>
        <v>0</v>
      </c>
      <c r="P11" s="35">
        <f>SUM('[1]Bilan 2015'!$X$41:$X$43)</f>
        <v>42.748696780825377</v>
      </c>
      <c r="Q11" s="35">
        <f>'[1]Bilan 2015'!$X$13</f>
        <v>0.94471195184866696</v>
      </c>
      <c r="R11" s="35">
        <f>('[1]Bilan 2015'!$X$22+'[1]Bilan 2015'!$X$30+SUM('[1]Bilan 2015'!$X$36:$X$40)+SUM('[1]Bilan 2015'!$X$44:$X$45)+'[1]Bilan 2015'!$X$47)</f>
        <v>7.267406707154804E-2</v>
      </c>
      <c r="S11" s="168">
        <f>SUM(O11:R11)</f>
        <v>43.76608279974559</v>
      </c>
      <c r="T11" s="269">
        <f>S11</f>
        <v>43.76608279974559</v>
      </c>
      <c r="U11" s="173" t="s">
        <v>18</v>
      </c>
      <c r="Z11" s="8">
        <v>0</v>
      </c>
      <c r="AA11" s="8">
        <v>43.159550379999999</v>
      </c>
      <c r="AB11" s="8">
        <v>1.2867468161000002</v>
      </c>
      <c r="AC11" s="8">
        <v>0.24934661375279998</v>
      </c>
      <c r="AD11" s="119">
        <v>44.695643809852797</v>
      </c>
    </row>
    <row r="12" spans="1:30" x14ac:dyDescent="0.25">
      <c r="C12" s="174" t="s">
        <v>19</v>
      </c>
      <c r="D12" t="s">
        <v>502</v>
      </c>
      <c r="E12" t="s">
        <v>503</v>
      </c>
      <c r="F12" t="s">
        <v>504</v>
      </c>
      <c r="G12" t="s">
        <v>505</v>
      </c>
      <c r="H12" s="19">
        <f>VLOOKUP(D12,Résultats!$B$2:$AX$426,'T energie vecteurs'!F5,FALSE)</f>
        <v>0</v>
      </c>
      <c r="I12" s="19">
        <f>VLOOKUP(E12,Résultats!$B$2:$AX$426,'T energie vecteurs'!F5,FALSE)</f>
        <v>24.200254019999999</v>
      </c>
      <c r="J12" s="19">
        <f>VLOOKUP(F12,Résultats!$B$2:$AX$426,'T energie vecteurs'!F5,FALSE)</f>
        <v>1.8162419700000001E-2</v>
      </c>
      <c r="K12" s="19">
        <f>VLOOKUP(G12,Résultats!$B$2:$AX$426,'T energie vecteurs'!F5,FALSE)</f>
        <v>1.0589055E-5</v>
      </c>
      <c r="L12" s="118">
        <f t="shared" ref="L12:L20" si="0">SUM(H12:K12)</f>
        <v>24.218427028755002</v>
      </c>
      <c r="M12" s="19"/>
      <c r="N12" s="174" t="s">
        <v>19</v>
      </c>
      <c r="O12" s="169"/>
      <c r="P12" s="19"/>
      <c r="Q12" s="55"/>
      <c r="R12" s="19"/>
      <c r="S12" s="118"/>
      <c r="T12" s="118"/>
      <c r="U12" s="174" t="s">
        <v>19</v>
      </c>
      <c r="V12" t="s">
        <v>502</v>
      </c>
      <c r="W12" t="s">
        <v>503</v>
      </c>
      <c r="X12" t="s">
        <v>504</v>
      </c>
      <c r="Y12" t="s">
        <v>505</v>
      </c>
      <c r="Z12" s="19">
        <v>0</v>
      </c>
      <c r="AA12" s="19">
        <v>24.198347609999999</v>
      </c>
      <c r="AB12" s="19">
        <v>1.8187780099999998E-2</v>
      </c>
      <c r="AC12" s="19">
        <v>1.06309528E-5</v>
      </c>
      <c r="AD12" s="118">
        <v>24.2165460210528</v>
      </c>
    </row>
    <row r="13" spans="1:30" x14ac:dyDescent="0.25">
      <c r="C13" s="175" t="s">
        <v>20</v>
      </c>
      <c r="D13" t="s">
        <v>506</v>
      </c>
      <c r="E13" t="s">
        <v>507</v>
      </c>
      <c r="F13" t="s">
        <v>508</v>
      </c>
      <c r="G13" t="s">
        <v>509</v>
      </c>
      <c r="H13" s="19">
        <f>VLOOKUP(D13,Résultats!$B$2:$AX$426,'T energie vecteurs'!F5,FALSE)</f>
        <v>0</v>
      </c>
      <c r="I13" s="19">
        <f>VLOOKUP(E13,Résultats!$B$2:$AX$426,'T energie vecteurs'!F5,FALSE)</f>
        <v>18.945434980000002</v>
      </c>
      <c r="J13" s="19">
        <f>VLOOKUP(F13,Résultats!$B$2:$AX$426,'T energie vecteurs'!F5,FALSE)</f>
        <v>1.268807829</v>
      </c>
      <c r="K13" s="19">
        <f>VLOOKUP(G13,Résultats!$B$2:$AX$426,'T energie vecteurs'!F5,FALSE)</f>
        <v>0.2453327407</v>
      </c>
      <c r="L13" s="118">
        <f t="shared" si="0"/>
        <v>20.459575549700002</v>
      </c>
      <c r="M13" s="19"/>
      <c r="N13" s="175" t="s">
        <v>20</v>
      </c>
      <c r="O13" s="169"/>
      <c r="P13" s="19"/>
      <c r="Q13" s="55"/>
      <c r="R13" s="19"/>
      <c r="S13" s="118"/>
      <c r="T13" s="118"/>
      <c r="U13" s="175" t="s">
        <v>20</v>
      </c>
      <c r="V13" t="s">
        <v>506</v>
      </c>
      <c r="W13" t="s">
        <v>507</v>
      </c>
      <c r="X13" t="s">
        <v>508</v>
      </c>
      <c r="Y13" t="s">
        <v>509</v>
      </c>
      <c r="Z13" s="19">
        <v>0</v>
      </c>
      <c r="AA13" s="19">
        <v>18.96120277</v>
      </c>
      <c r="AB13" s="19">
        <v>1.2685590360000001</v>
      </c>
      <c r="AC13" s="19">
        <v>0.24933598279999999</v>
      </c>
      <c r="AD13" s="118">
        <v>20.479097788800001</v>
      </c>
    </row>
    <row r="14" spans="1:30" x14ac:dyDescent="0.25">
      <c r="C14" s="173" t="s">
        <v>21</v>
      </c>
      <c r="D14" t="s">
        <v>510</v>
      </c>
      <c r="E14" t="s">
        <v>511</v>
      </c>
      <c r="F14" t="s">
        <v>512</v>
      </c>
      <c r="G14" t="s">
        <v>513</v>
      </c>
      <c r="H14" s="8">
        <f>VLOOKUP(D14,Résultats!$B$2:$AX$426,'T energie vecteurs'!F5,FALSE)</f>
        <v>0.3312204534</v>
      </c>
      <c r="I14" s="8">
        <f>VLOOKUP(E14,Résultats!$B$2:$AX$426,'T energie vecteurs'!F5,FALSE)</f>
        <v>7.2440591620000001</v>
      </c>
      <c r="J14" s="8">
        <f>VLOOKUP(F14,Résultats!$B$2:$AX$426,'T energie vecteurs'!F5,FALSE)</f>
        <v>13.732728890000001</v>
      </c>
      <c r="K14" s="8">
        <f>VLOOKUP(G14,Résultats!$B$2:$AX$426,'T energie vecteurs'!F5,FALSE)+2</f>
        <v>19.71798004</v>
      </c>
      <c r="L14" s="119">
        <f>SUM(H14:K14)</f>
        <v>41.025988545399997</v>
      </c>
      <c r="M14" s="97"/>
      <c r="N14" s="176" t="s">
        <v>21</v>
      </c>
      <c r="O14" s="36">
        <f>'[1]Bilan 2015'!$V$46</f>
        <v>3.6764196608413298E-2</v>
      </c>
      <c r="P14" s="35">
        <f>SUM('[1]Bilan 2015'!$V$41:$V$43)</f>
        <v>6.6752954110546101</v>
      </c>
      <c r="Q14" s="35">
        <f>'[1]Bilan 2015'!$V$13</f>
        <v>13.6203670581426</v>
      </c>
      <c r="R14" s="35">
        <f>('[1]Bilan 2015'!$V$22+'[1]Bilan 2015'!$V$30+SUM('[1]Bilan 2015'!$V$36:$V$40)+SUM('[1]Bilan 2015'!$V$44:$V$45)+'[1]Bilan 2015'!$V$47)</f>
        <v>21.832863706323721</v>
      </c>
      <c r="S14" s="168">
        <f t="shared" ref="S14:S19" si="1">SUM(O14:R14)</f>
        <v>42.165290372129348</v>
      </c>
      <c r="T14" s="269">
        <f>S14-'[1]Bilan 2015'!$V$40</f>
        <v>39.648468942279031</v>
      </c>
      <c r="U14" s="173" t="s">
        <v>21</v>
      </c>
      <c r="V14" t="s">
        <v>510</v>
      </c>
      <c r="W14" t="s">
        <v>511</v>
      </c>
      <c r="X14" t="s">
        <v>512</v>
      </c>
      <c r="Y14" t="s">
        <v>513</v>
      </c>
      <c r="Z14" s="8">
        <v>0.33135185830000002</v>
      </c>
      <c r="AA14" s="8">
        <v>7.2415499370000003</v>
      </c>
      <c r="AB14" s="8">
        <v>13.75064688</v>
      </c>
      <c r="AC14" s="8">
        <v>19.702249729999998</v>
      </c>
      <c r="AD14" s="119">
        <v>41.025798405299994</v>
      </c>
    </row>
    <row r="15" spans="1:30" x14ac:dyDescent="0.25">
      <c r="C15" s="173" t="s">
        <v>22</v>
      </c>
      <c r="D15" t="s">
        <v>514</v>
      </c>
      <c r="E15" t="s">
        <v>515</v>
      </c>
      <c r="F15" t="s">
        <v>516</v>
      </c>
      <c r="G15" t="s">
        <v>517</v>
      </c>
      <c r="H15" s="8">
        <f>VLOOKUP(D15,Résultats!$B$2:$AX$426,'T energie vecteurs'!F5,FALSE)</f>
        <v>0</v>
      </c>
      <c r="I15" s="8">
        <f>VLOOKUP(E15,Résultats!$B$2:$AX$426,'T energie vecteurs'!F5,FALSE)</f>
        <v>3.7835586760000002</v>
      </c>
      <c r="J15" s="8">
        <f>VLOOKUP(F15,Résultats!$B$2:$AX$426,'T energie vecteurs'!F5,FALSE)</f>
        <v>11.54863424</v>
      </c>
      <c r="K15" s="8">
        <f>VLOOKUP(G15,Résultats!$B$2:$AX$426,'T energie vecteurs'!F5,FALSE)</f>
        <v>9.1338786830000007</v>
      </c>
      <c r="L15" s="119">
        <f t="shared" si="0"/>
        <v>24.466071599000003</v>
      </c>
      <c r="M15" s="97"/>
      <c r="N15" s="176" t="s">
        <v>22</v>
      </c>
      <c r="O15" s="36">
        <f>'[1]Bilan 2015'!$W$46</f>
        <v>4.3073392295861899E-2</v>
      </c>
      <c r="P15" s="35">
        <f>SUM('[1]Bilan 2015'!$W$41:$W$43)</f>
        <v>3.01546564464017</v>
      </c>
      <c r="Q15" s="35">
        <f>'[1]Bilan 2015'!$W$13</f>
        <v>12.701365476499801</v>
      </c>
      <c r="R15" s="35">
        <f>('[1]Bilan 2015'!$W$22+'[1]Bilan 2015'!$W$30+SUM('[1]Bilan 2015'!$W$36:$W$40)+SUM('[1]Bilan 2015'!$W$44:$W$45)+'[1]Bilan 2015'!$W$47)</f>
        <v>8.7461122445901367</v>
      </c>
      <c r="S15" s="168">
        <f t="shared" si="1"/>
        <v>24.506016758025968</v>
      </c>
      <c r="T15" s="269">
        <f>S15-'[1]Bilan 2015'!$W$40</f>
        <v>24.067510417302429</v>
      </c>
      <c r="U15" s="173" t="s">
        <v>22</v>
      </c>
      <c r="V15" t="s">
        <v>514</v>
      </c>
      <c r="W15" t="s">
        <v>515</v>
      </c>
      <c r="X15" t="s">
        <v>516</v>
      </c>
      <c r="Y15" t="s">
        <v>517</v>
      </c>
      <c r="Z15" s="8">
        <v>0</v>
      </c>
      <c r="AA15" s="266">
        <v>3.781346439</v>
      </c>
      <c r="AB15" s="266">
        <v>11.57522413</v>
      </c>
      <c r="AC15" s="266">
        <v>9.1357402780000001</v>
      </c>
      <c r="AD15" s="119">
        <v>24.492310846999999</v>
      </c>
    </row>
    <row r="16" spans="1:30" x14ac:dyDescent="0.25">
      <c r="C16" s="173" t="s">
        <v>23</v>
      </c>
      <c r="H16" s="8">
        <f>SUM(H17:H19)</f>
        <v>5.0121730787000001</v>
      </c>
      <c r="I16" s="8">
        <f>SUM(I17:I19)</f>
        <v>19.057018271</v>
      </c>
      <c r="J16" s="8">
        <f>SUM(J17:J19)</f>
        <v>11.2725018134</v>
      </c>
      <c r="K16" s="8">
        <f>SUM(K17:K19)</f>
        <v>14.707401985800001</v>
      </c>
      <c r="L16" s="119">
        <f>SUM(H16:K16)</f>
        <v>50.049095148899994</v>
      </c>
      <c r="M16" s="97"/>
      <c r="N16" s="176" t="s">
        <v>252</v>
      </c>
      <c r="O16" s="36">
        <f>O17+O18</f>
        <v>4.2636280705371687</v>
      </c>
      <c r="P16" s="35">
        <f t="shared" ref="P16:R16" si="2">P17+P18</f>
        <v>14.865720748941945</v>
      </c>
      <c r="Q16" s="35">
        <f t="shared" si="2"/>
        <v>10.069552160228</v>
      </c>
      <c r="R16" s="35">
        <f t="shared" si="2"/>
        <v>13.756399814544654</v>
      </c>
      <c r="S16" s="168">
        <f t="shared" si="1"/>
        <v>42.95530079425177</v>
      </c>
      <c r="T16" s="269">
        <f t="shared" ref="T16" si="3">S16</f>
        <v>42.95530079425177</v>
      </c>
      <c r="U16" s="173" t="s">
        <v>23</v>
      </c>
      <c r="Z16" s="8">
        <v>5.0051719447999998</v>
      </c>
      <c r="AA16" s="8">
        <v>19.268936912000001</v>
      </c>
      <c r="AB16" s="8">
        <v>11.2831353071</v>
      </c>
      <c r="AC16" s="8">
        <v>14.723692886699999</v>
      </c>
      <c r="AD16" s="119">
        <v>50.280937050600002</v>
      </c>
    </row>
    <row r="17" spans="2:30" x14ac:dyDescent="0.25">
      <c r="C17" s="175" t="s">
        <v>24</v>
      </c>
      <c r="D17" t="s">
        <v>518</v>
      </c>
      <c r="E17" t="s">
        <v>519</v>
      </c>
      <c r="F17" t="s">
        <v>520</v>
      </c>
      <c r="G17" t="s">
        <v>521</v>
      </c>
      <c r="H17" s="19">
        <f>VLOOKUP(D17,Résultats!$B$2:$AX$426,'T energie vecteurs'!F5,FALSE)</f>
        <v>4.013633306</v>
      </c>
      <c r="I17" s="19">
        <f>VLOOKUP(E17,Résultats!$B$2:$AX$426,'T energie vecteurs'!F5,FALSE)</f>
        <v>14.689396759999999</v>
      </c>
      <c r="J17" s="19">
        <f>VLOOKUP(F17,Résultats!$B$2:$AX$426,'T energie vecteurs'!F5,FALSE)</f>
        <v>10.953796049999999</v>
      </c>
      <c r="K17" s="19">
        <f>VLOOKUP(G17,Résultats!$B$2:$AX$426,'T energie vecteurs'!F5,FALSE)</f>
        <v>12.544766210000001</v>
      </c>
      <c r="L17" s="118">
        <f t="shared" si="0"/>
        <v>42.201592325999997</v>
      </c>
      <c r="M17" s="19"/>
      <c r="N17" s="175" t="s">
        <v>253</v>
      </c>
      <c r="O17" s="169">
        <f>'[1]Bilan 2015'!$U$46</f>
        <v>1.0493092649428299</v>
      </c>
      <c r="P17" s="37">
        <f>SUM('[1]Bilan 2015'!$U$41:$U$43)</f>
        <v>2.4127207489419455</v>
      </c>
      <c r="Q17" s="37">
        <f>'[1]Bilan 2015'!$U$13</f>
        <v>10.069552160228</v>
      </c>
      <c r="R17" s="37">
        <f>('[1]Bilan 2015'!$U$22+'[1]Bilan 2015'!$U$30+SUM('[1]Bilan 2015'!$U$36:$U$40)+SUM('[1]Bilan 2015'!$U$44:$U$45)+'[1]Bilan 2015'!$U$47)</f>
        <v>12.654813573219924</v>
      </c>
      <c r="S17" s="118">
        <f t="shared" si="1"/>
        <v>26.186395747332696</v>
      </c>
      <c r="T17" s="118"/>
      <c r="U17" s="175" t="s">
        <v>24</v>
      </c>
      <c r="V17" t="s">
        <v>518</v>
      </c>
      <c r="W17" t="s">
        <v>519</v>
      </c>
      <c r="X17" t="s">
        <v>520</v>
      </c>
      <c r="Y17" t="s">
        <v>521</v>
      </c>
      <c r="Z17" s="19">
        <v>4.0062869540000001</v>
      </c>
      <c r="AA17" s="19">
        <v>14.89787492</v>
      </c>
      <c r="AB17" s="19">
        <v>10.963478520000001</v>
      </c>
      <c r="AC17" s="19">
        <v>12.561497709999999</v>
      </c>
      <c r="AD17" s="118">
        <v>42.429138103999996</v>
      </c>
    </row>
    <row r="18" spans="2:30" x14ac:dyDescent="0.25">
      <c r="C18" s="175" t="s">
        <v>129</v>
      </c>
      <c r="D18" t="s">
        <v>522</v>
      </c>
      <c r="E18" t="s">
        <v>523</v>
      </c>
      <c r="F18" t="s">
        <v>524</v>
      </c>
      <c r="G18" t="s">
        <v>525</v>
      </c>
      <c r="H18" s="19">
        <f>VLOOKUP(D18,Résultats!$B$2:$AX$426,'T energie vecteurs'!F5,FALSE)</f>
        <v>0.99853977270000005</v>
      </c>
      <c r="I18" s="19">
        <f>VLOOKUP(E18,Résultats!$B$2:$AX$426,'T energie vecteurs'!F5,FALSE)</f>
        <v>1.893003596</v>
      </c>
      <c r="J18" s="19">
        <f>VLOOKUP(F18,Résultats!$B$2:$AX$426,'T energie vecteurs'!F5,FALSE)</f>
        <v>0</v>
      </c>
      <c r="K18" s="19">
        <f>VLOOKUP(G18,Résultats!$B$2:$AX$426,'T energie vecteurs'!F5,FALSE)</f>
        <v>1.768943605</v>
      </c>
      <c r="L18" s="118">
        <f t="shared" si="0"/>
        <v>4.6604869736999994</v>
      </c>
      <c r="M18" s="19"/>
      <c r="N18" s="175" t="s">
        <v>129</v>
      </c>
      <c r="O18" s="28">
        <f>'[1]Bilan 2015'!$E$52</f>
        <v>3.2143188055943388</v>
      </c>
      <c r="P18" s="19">
        <f>('[1]Bilan 2015'!$E$54+'[1]Bilan 2015'!$E$56)</f>
        <v>12.452999999999999</v>
      </c>
      <c r="Q18" s="19">
        <v>0</v>
      </c>
      <c r="R18" s="19">
        <f>('[1]Bilan 2015'!$E$53+'[1]Bilan 2015'!$E$55+'[1]Bilan 2015'!$E$57)</f>
        <v>1.1015862413247299</v>
      </c>
      <c r="S18" s="118">
        <f t="shared" si="1"/>
        <v>16.768905046919066</v>
      </c>
      <c r="T18" s="118"/>
      <c r="U18" s="175" t="s">
        <v>129</v>
      </c>
      <c r="V18" t="s">
        <v>522</v>
      </c>
      <c r="W18" t="s">
        <v>523</v>
      </c>
      <c r="X18" t="s">
        <v>524</v>
      </c>
      <c r="Y18" t="s">
        <v>525</v>
      </c>
      <c r="Z18" s="19">
        <v>0.99888499080000004</v>
      </c>
      <c r="AA18" s="19">
        <v>1.892492522</v>
      </c>
      <c r="AB18" s="19">
        <v>0</v>
      </c>
      <c r="AC18" s="19">
        <v>1.767834417</v>
      </c>
      <c r="AD18" s="118">
        <v>4.6592119297999997</v>
      </c>
    </row>
    <row r="19" spans="2:30" x14ac:dyDescent="0.25">
      <c r="C19" s="175" t="s">
        <v>25</v>
      </c>
      <c r="D19" t="s">
        <v>526</v>
      </c>
      <c r="E19" t="s">
        <v>527</v>
      </c>
      <c r="F19" t="s">
        <v>528</v>
      </c>
      <c r="G19" t="s">
        <v>529</v>
      </c>
      <c r="H19" s="19">
        <f>VLOOKUP(D19,Résultats!$B$2:$AX$426,'T energie vecteurs'!F5,FALSE)</f>
        <v>0</v>
      </c>
      <c r="I19" s="19">
        <f>VLOOKUP(E19,Résultats!$B$2:$AX$426,'T energie vecteurs'!F5,FALSE)</f>
        <v>2.4746179150000001</v>
      </c>
      <c r="J19" s="19">
        <f>VLOOKUP(F19,Résultats!$B$2:$AX$426,'T energie vecteurs'!F5,FALSE)</f>
        <v>0.31870576340000001</v>
      </c>
      <c r="K19" s="19">
        <f>VLOOKUP(G19,Résultats!$B$2:$AX$426,'T energie vecteurs'!F5,FALSE)</f>
        <v>0.39369217080000002</v>
      </c>
      <c r="L19" s="118">
        <f t="shared" si="0"/>
        <v>3.1870158492000003</v>
      </c>
      <c r="M19" s="19"/>
      <c r="N19" s="176" t="s">
        <v>25</v>
      </c>
      <c r="O19" s="36">
        <f>'[1]Bilan 2015'!$T$46</f>
        <v>2.2137192704974398E-3</v>
      </c>
      <c r="P19" s="35">
        <f>SUM('[1]Bilan 2015'!$T$41:$T$43)</f>
        <v>3.4936667755496749</v>
      </c>
      <c r="Q19" s="35">
        <f>'[1]Bilan 2015'!$T$13</f>
        <v>0.74651762682717104</v>
      </c>
      <c r="R19" s="35">
        <f>('[1]Bilan 2015'!$T$22+'[1]Bilan 2015'!$T$30+SUM('[1]Bilan 2015'!$T$36:$T$40)+SUM('[1]Bilan 2015'!$T$44:$T$45)+'[1]Bilan 2015'!$T$47)</f>
        <v>0.24365267378081518</v>
      </c>
      <c r="S19" s="168">
        <f t="shared" si="1"/>
        <v>4.4860507954281585</v>
      </c>
      <c r="T19" s="269">
        <f>S19</f>
        <v>4.4860507954281585</v>
      </c>
      <c r="U19" s="175" t="s">
        <v>25</v>
      </c>
      <c r="V19" t="s">
        <v>526</v>
      </c>
      <c r="W19" t="s">
        <v>527</v>
      </c>
      <c r="X19" t="s">
        <v>528</v>
      </c>
      <c r="Y19" t="s">
        <v>529</v>
      </c>
      <c r="Z19" s="19">
        <v>0</v>
      </c>
      <c r="AA19" s="19">
        <v>2.4785694700000001</v>
      </c>
      <c r="AB19" s="19">
        <v>0.31965678710000001</v>
      </c>
      <c r="AC19" s="19">
        <v>0.39436075970000001</v>
      </c>
      <c r="AD19" s="118">
        <v>3.1925870168000001</v>
      </c>
    </row>
    <row r="20" spans="2:30" x14ac:dyDescent="0.25">
      <c r="C20" s="29" t="s">
        <v>26</v>
      </c>
      <c r="D20" s="10"/>
      <c r="E20" s="10"/>
      <c r="F20" s="10"/>
      <c r="G20" s="10"/>
      <c r="H20" s="9">
        <f>SUM(H11,H14:H16)</f>
        <v>5.3433935321000003</v>
      </c>
      <c r="I20" s="9">
        <f>SUM(I11,I14:I16)</f>
        <v>73.230325109000006</v>
      </c>
      <c r="J20" s="9">
        <f>SUM(J11,J14:J16)</f>
        <v>37.840835192100002</v>
      </c>
      <c r="K20" s="9">
        <f>SUM(K11,K14:K16)</f>
        <v>43.804604038554999</v>
      </c>
      <c r="L20" s="121">
        <f t="shared" si="0"/>
        <v>160.21915787175499</v>
      </c>
      <c r="M20" s="103"/>
      <c r="N20" s="177" t="s">
        <v>26</v>
      </c>
      <c r="O20" s="40">
        <f>O11+O14+O15+O16+O19</f>
        <v>4.3456793787119414</v>
      </c>
      <c r="P20" s="38">
        <f>P11+P14+P15+P16+P19</f>
        <v>70.798845361011772</v>
      </c>
      <c r="Q20" s="38">
        <f>Q11+Q14+Q15+Q16+Q19</f>
        <v>38.082514273546238</v>
      </c>
      <c r="R20" s="38">
        <f>R11+R14+R15+R16+R19</f>
        <v>44.651702506310876</v>
      </c>
      <c r="S20" s="170">
        <f>SUM(O20:R20)</f>
        <v>157.87874151958081</v>
      </c>
      <c r="T20" s="268">
        <f>SUM(T11:T19)</f>
        <v>154.92341374900698</v>
      </c>
      <c r="U20" s="29" t="s">
        <v>26</v>
      </c>
      <c r="V20" s="10"/>
      <c r="W20" s="10"/>
      <c r="X20" s="10"/>
      <c r="Y20" s="10"/>
      <c r="Z20" s="9">
        <v>5.3365238030999995</v>
      </c>
      <c r="AA20" s="9">
        <v>73.451383668000005</v>
      </c>
      <c r="AB20" s="9">
        <v>37.895753133200003</v>
      </c>
      <c r="AC20" s="9">
        <v>43.811029508452798</v>
      </c>
      <c r="AD20" s="121">
        <v>160.49469011275281</v>
      </c>
    </row>
    <row r="21" spans="2:30" s="3" customFormat="1" x14ac:dyDescent="0.25">
      <c r="B21" s="82"/>
      <c r="H21" s="67"/>
      <c r="I21" s="67"/>
      <c r="J21" s="67"/>
      <c r="K21" s="67"/>
      <c r="L21" s="67"/>
      <c r="M21" s="67"/>
      <c r="N21" s="67"/>
      <c r="O21" s="101"/>
      <c r="P21" s="101"/>
      <c r="Q21" s="101"/>
      <c r="R21" s="102"/>
      <c r="S21" s="67">
        <f>S11+S14+S15+S16+S19</f>
        <v>157.87874151958081</v>
      </c>
      <c r="Z21" s="67"/>
      <c r="AA21" s="67"/>
      <c r="AB21" s="67"/>
      <c r="AC21" s="67"/>
      <c r="AD21" s="67"/>
    </row>
    <row r="22" spans="2:30" s="3" customFormat="1" x14ac:dyDescent="0.25">
      <c r="I22" s="67"/>
      <c r="J22" s="67"/>
      <c r="K22" s="67"/>
      <c r="AA22" s="67"/>
      <c r="AB22" s="67"/>
      <c r="AC22" s="67"/>
    </row>
    <row r="23" spans="2:30" ht="31.5" x14ac:dyDescent="0.35">
      <c r="C23" s="171">
        <v>2020</v>
      </c>
      <c r="D23" s="172"/>
      <c r="E23" s="172"/>
      <c r="F23" s="172"/>
      <c r="G23" s="172"/>
      <c r="H23" s="99" t="s">
        <v>36</v>
      </c>
      <c r="I23" s="99" t="s">
        <v>131</v>
      </c>
      <c r="J23" s="99" t="s">
        <v>38</v>
      </c>
      <c r="K23" s="99" t="s">
        <v>130</v>
      </c>
      <c r="L23" s="116" t="s">
        <v>1</v>
      </c>
      <c r="M23" s="25"/>
      <c r="N23" s="171">
        <v>2020</v>
      </c>
      <c r="O23" s="167" t="s">
        <v>36</v>
      </c>
      <c r="P23" s="99" t="s">
        <v>131</v>
      </c>
      <c r="Q23" s="99" t="s">
        <v>38</v>
      </c>
      <c r="R23" s="99" t="s">
        <v>130</v>
      </c>
      <c r="S23" s="116" t="s">
        <v>1</v>
      </c>
      <c r="T23" s="267" t="s">
        <v>530</v>
      </c>
      <c r="U23" s="171">
        <v>2020</v>
      </c>
      <c r="V23" s="172"/>
      <c r="W23" s="172"/>
      <c r="X23" s="172"/>
      <c r="Y23" s="172"/>
      <c r="Z23" s="99" t="s">
        <v>36</v>
      </c>
      <c r="AA23" s="99" t="s">
        <v>131</v>
      </c>
      <c r="AB23" s="99" t="s">
        <v>38</v>
      </c>
      <c r="AC23" s="99" t="s">
        <v>130</v>
      </c>
      <c r="AD23" s="116" t="s">
        <v>1</v>
      </c>
    </row>
    <row r="24" spans="2:30" x14ac:dyDescent="0.25">
      <c r="C24" s="173" t="s">
        <v>18</v>
      </c>
      <c r="H24" s="8">
        <f>SUM(H25:H26)</f>
        <v>0</v>
      </c>
      <c r="I24" s="8">
        <f>SUM(I25:I26)</f>
        <v>41.563023180000002</v>
      </c>
      <c r="J24" s="8">
        <f>SUM(J25:J26)</f>
        <v>1.5156366519</v>
      </c>
      <c r="K24" s="8">
        <f>SUM(K25:K26)</f>
        <v>0.27412865635619998</v>
      </c>
      <c r="L24" s="119">
        <f t="shared" ref="L24:L33" si="4">SUM(H24:K24)</f>
        <v>43.352788488256202</v>
      </c>
      <c r="M24" s="97"/>
      <c r="N24" s="176" t="s">
        <v>18</v>
      </c>
      <c r="O24" s="36">
        <f>'[1]Bilan 2020'!$X$46/11.63</f>
        <v>0</v>
      </c>
      <c r="P24" s="35">
        <f>SUM('[1]Bilan 2020'!$X$41:$X$43)/11.63</f>
        <v>35.668036461633939</v>
      </c>
      <c r="Q24" s="35">
        <f>'[1]Bilan 2020'!$X$13/11.63</f>
        <v>0.71687008340498715</v>
      </c>
      <c r="R24" s="35">
        <f>('[1]Bilan 2020'!$X$22+'[1]Bilan 2020'!$X$30+SUM('[1]Bilan 2020'!$X$36:$X$40)+SUM('[1]Bilan 2020'!$X$44:$X$45)+'[1]Bilan 2020'!$X$47)/11.63</f>
        <v>0.19326865864144452</v>
      </c>
      <c r="S24" s="168">
        <f>SUM(O24:R24)</f>
        <v>36.578175203680367</v>
      </c>
      <c r="T24" s="269">
        <f>S24</f>
        <v>36.578175203680367</v>
      </c>
      <c r="U24" s="173" t="s">
        <v>18</v>
      </c>
      <c r="Z24" s="8">
        <v>0</v>
      </c>
      <c r="AA24" s="8">
        <v>41.602539239999999</v>
      </c>
      <c r="AB24" s="8">
        <v>1.5063126045999999</v>
      </c>
      <c r="AC24" s="8">
        <v>0.27860242240440003</v>
      </c>
      <c r="AD24" s="119">
        <v>43.387454267004394</v>
      </c>
    </row>
    <row r="25" spans="2:30" x14ac:dyDescent="0.25">
      <c r="C25" s="174" t="s">
        <v>19</v>
      </c>
      <c r="D25" t="s">
        <v>502</v>
      </c>
      <c r="E25" t="s">
        <v>503</v>
      </c>
      <c r="F25" t="s">
        <v>504</v>
      </c>
      <c r="G25" t="s">
        <v>505</v>
      </c>
      <c r="H25" s="19">
        <f>VLOOKUP(D25,Résultats!$B$2:$AX$426,'T energie vecteurs'!I5,FALSE)</f>
        <v>0</v>
      </c>
      <c r="I25" s="19">
        <f>VLOOKUP(E25,Résultats!$B$2:$AX$426,'T energie vecteurs'!I5,FALSE)</f>
        <v>23.247082370000001</v>
      </c>
      <c r="J25" s="19">
        <f>VLOOKUP(F25,Résultats!$B$2:$AX$426,'T energie vecteurs'!I5,FALSE)</f>
        <v>7.2370039900000002E-2</v>
      </c>
      <c r="K25" s="19">
        <f>VLOOKUP(G77,Résultats!$B$2:$AX$426,'T energie vecteurs'!I5,FALSE)</f>
        <v>1.46641562E-5</v>
      </c>
      <c r="L25" s="118">
        <f t="shared" si="4"/>
        <v>23.319467074056202</v>
      </c>
      <c r="M25" s="19"/>
      <c r="N25" s="174" t="s">
        <v>19</v>
      </c>
      <c r="O25" s="169"/>
      <c r="P25" s="19"/>
      <c r="Q25" s="55"/>
      <c r="R25" s="19"/>
      <c r="S25" s="118"/>
      <c r="T25" s="118"/>
      <c r="U25" s="174" t="s">
        <v>19</v>
      </c>
      <c r="V25" t="s">
        <v>502</v>
      </c>
      <c r="W25" t="s">
        <v>503</v>
      </c>
      <c r="X25" t="s">
        <v>504</v>
      </c>
      <c r="Y25" t="s">
        <v>505</v>
      </c>
      <c r="Z25" s="19">
        <v>0</v>
      </c>
      <c r="AA25" s="19">
        <v>23.244407129999999</v>
      </c>
      <c r="AB25" s="19">
        <v>7.25068886E-2</v>
      </c>
      <c r="AC25" s="19">
        <v>1.4761104400000001E-5</v>
      </c>
      <c r="AD25" s="118">
        <v>23.316928779704398</v>
      </c>
    </row>
    <row r="26" spans="2:30" x14ac:dyDescent="0.25">
      <c r="C26" s="175" t="s">
        <v>20</v>
      </c>
      <c r="D26" t="s">
        <v>506</v>
      </c>
      <c r="E26" t="s">
        <v>507</v>
      </c>
      <c r="F26" t="s">
        <v>508</v>
      </c>
      <c r="G26" t="s">
        <v>509</v>
      </c>
      <c r="H26" s="19">
        <f>VLOOKUP(D26,Résultats!$B$2:$AX$426,'T energie vecteurs'!I5,FALSE)</f>
        <v>0</v>
      </c>
      <c r="I26" s="19">
        <f>VLOOKUP(E26,Résultats!$B$2:$AX$426,'T energie vecteurs'!I5,FALSE)</f>
        <v>18.315940810000001</v>
      </c>
      <c r="J26" s="19">
        <f>VLOOKUP(F26,Résultats!$B$2:$AX$426,'T energie vecteurs'!I5,FALSE)</f>
        <v>1.4432666119999999</v>
      </c>
      <c r="K26" s="19">
        <f>VLOOKUP(G26,Résultats!$B$2:$AX$426,'T energie vecteurs'!I5,FALSE)</f>
        <v>0.27411399219999999</v>
      </c>
      <c r="L26" s="118">
        <f t="shared" si="4"/>
        <v>20.0333214142</v>
      </c>
      <c r="M26" s="19"/>
      <c r="N26" s="175" t="s">
        <v>20</v>
      </c>
      <c r="O26" s="169"/>
      <c r="P26" s="19"/>
      <c r="Q26" s="55"/>
      <c r="R26" s="19"/>
      <c r="S26" s="118"/>
      <c r="T26" s="118"/>
      <c r="U26" s="175" t="s">
        <v>20</v>
      </c>
      <c r="V26" t="s">
        <v>506</v>
      </c>
      <c r="W26" t="s">
        <v>507</v>
      </c>
      <c r="X26" t="s">
        <v>508</v>
      </c>
      <c r="Y26" t="s">
        <v>509</v>
      </c>
      <c r="Z26" s="19">
        <v>0</v>
      </c>
      <c r="AA26" s="19">
        <v>18.35813211</v>
      </c>
      <c r="AB26" s="19">
        <v>1.433805716</v>
      </c>
      <c r="AC26" s="19">
        <v>0.27858766130000001</v>
      </c>
      <c r="AD26" s="118">
        <v>20.070525487299999</v>
      </c>
    </row>
    <row r="27" spans="2:30" x14ac:dyDescent="0.25">
      <c r="C27" s="173" t="s">
        <v>21</v>
      </c>
      <c r="D27" t="s">
        <v>510</v>
      </c>
      <c r="E27" t="s">
        <v>511</v>
      </c>
      <c r="F27" t="s">
        <v>512</v>
      </c>
      <c r="G27" t="s">
        <v>513</v>
      </c>
      <c r="H27" s="8">
        <f>VLOOKUP(D27,Résultats!$B$2:$AX$426,'T energie vecteurs'!I5,FALSE)</f>
        <v>0.31808457200000001</v>
      </c>
      <c r="I27" s="8">
        <f>VLOOKUP(E27,Résultats!$B$2:$AX$426,'T energie vecteurs'!I5,FALSE)</f>
        <v>6.4323582889999997</v>
      </c>
      <c r="J27" s="8">
        <f>VLOOKUP(F27,Résultats!$B$2:$AX$426,'T energie vecteurs'!I5,FALSE)</f>
        <v>14.45650828</v>
      </c>
      <c r="K27" s="8">
        <f>VLOOKUP(G27,Résultats!$B$2:$AX$426,'T energie vecteurs'!I5,FALSE)+2</f>
        <v>19.097675819999999</v>
      </c>
      <c r="L27" s="119">
        <f t="shared" si="4"/>
        <v>40.304626960999997</v>
      </c>
      <c r="M27" s="97"/>
      <c r="N27" s="176" t="s">
        <v>21</v>
      </c>
      <c r="O27" s="36">
        <f>'[1]Bilan 2020'!$V$46/11.63</f>
        <v>2.0700734999999998E-2</v>
      </c>
      <c r="P27" s="35">
        <f>SUM('[1]Bilan 2020'!$V$41:$V$43)/11.63</f>
        <v>4.2874727518867157</v>
      </c>
      <c r="Q27" s="35">
        <f>'[1]Bilan 2020'!$V$13/11.63</f>
        <v>13.618731599337918</v>
      </c>
      <c r="R27" s="35">
        <f>('[1]Bilan 2020'!$V$22+'[1]Bilan 2020'!$V$30+SUM('[1]Bilan 2020'!$V$36:$V$40)+SUM('[1]Bilan 2020'!$V$44:$V$45)+'[1]Bilan 2020'!$V$47)/11.63</f>
        <v>20.408410382607048</v>
      </c>
      <c r="S27" s="168">
        <f t="shared" ref="S27:S33" si="5">SUM(O27:R27)</f>
        <v>38.335315468831681</v>
      </c>
      <c r="T27" s="269">
        <f>S27-'[1]Bilan 2020'!$V$40/11.63</f>
        <v>35.977053263806368</v>
      </c>
      <c r="U27" s="173" t="s">
        <v>21</v>
      </c>
      <c r="V27" t="s">
        <v>510</v>
      </c>
      <c r="W27" t="s">
        <v>511</v>
      </c>
      <c r="X27" t="s">
        <v>512</v>
      </c>
      <c r="Y27" t="s">
        <v>513</v>
      </c>
      <c r="Z27" s="8">
        <v>0.31862762230000002</v>
      </c>
      <c r="AA27" s="8">
        <v>6.45680254</v>
      </c>
      <c r="AB27" s="8">
        <v>14.43867376</v>
      </c>
      <c r="AC27" s="8">
        <v>19.172349069999999</v>
      </c>
      <c r="AD27" s="119">
        <v>40.386452992300001</v>
      </c>
    </row>
    <row r="28" spans="2:30" x14ac:dyDescent="0.25">
      <c r="C28" s="173" t="s">
        <v>22</v>
      </c>
      <c r="D28" t="s">
        <v>514</v>
      </c>
      <c r="E28" t="s">
        <v>515</v>
      </c>
      <c r="F28" t="s">
        <v>516</v>
      </c>
      <c r="G28" t="s">
        <v>517</v>
      </c>
      <c r="H28" s="8">
        <f>VLOOKUP(D28,Résultats!$B$2:$AX$426,'T energie vecteurs'!I5,FALSE)</f>
        <v>0</v>
      </c>
      <c r="I28" s="8">
        <f>VLOOKUP(E28,Résultats!$B$2:$AX$426,'T energie vecteurs'!I5,FALSE)</f>
        <v>2.728713784</v>
      </c>
      <c r="J28" s="8">
        <f>VLOOKUP(F28,Résultats!$B$2:$AX$426,'T energie vecteurs'!I5,FALSE)</f>
        <v>11.176970989999999</v>
      </c>
      <c r="K28" s="8">
        <f>VLOOKUP(G28,Résultats!$B$2:$AX$426,'T energie vecteurs'!I5,FALSE)</f>
        <v>7.811776837</v>
      </c>
      <c r="L28" s="119">
        <f t="shared" si="4"/>
        <v>21.717461610999997</v>
      </c>
      <c r="M28" s="97"/>
      <c r="N28" s="176" t="s">
        <v>22</v>
      </c>
      <c r="O28" s="36">
        <f>('[1]Bilan 2020'!$W$46)/11.63</f>
        <v>3.0546421000000001E-2</v>
      </c>
      <c r="P28" s="35">
        <f>SUM('[1]Bilan 2020'!$W$41:$W$43)/11.63</f>
        <v>2.7068355531694666</v>
      </c>
      <c r="Q28" s="35">
        <f>('[1]Bilan 2020'!$W$13)/11.63</f>
        <v>10.724850576412381</v>
      </c>
      <c r="R28" s="35">
        <f>('[1]Bilan 2020'!$W$22+'[1]Bilan 2020'!$W$30+SUM('[1]Bilan 2020'!$W$36:$W$40)+SUM('[1]Bilan 2020'!$W$44:$W$45)+'[1]Bilan 2020'!$W$47)/11.63</f>
        <v>7.1906336380053082</v>
      </c>
      <c r="S28" s="168">
        <f t="shared" si="5"/>
        <v>20.652866188587154</v>
      </c>
      <c r="T28" s="269">
        <f>S28-'[1]Bilan 2020'!$W$40/11.63</f>
        <v>20.267160637808516</v>
      </c>
      <c r="U28" s="173" t="s">
        <v>22</v>
      </c>
      <c r="V28" t="s">
        <v>514</v>
      </c>
      <c r="W28" t="s">
        <v>515</v>
      </c>
      <c r="X28" t="s">
        <v>516</v>
      </c>
      <c r="Y28" t="s">
        <v>517</v>
      </c>
      <c r="Z28" s="8">
        <v>0</v>
      </c>
      <c r="AA28" s="8">
        <v>2.7306023239999999</v>
      </c>
      <c r="AB28" s="8">
        <v>11.12795966</v>
      </c>
      <c r="AC28" s="8">
        <v>7.8713221820000001</v>
      </c>
      <c r="AD28" s="119">
        <v>21.729884165999998</v>
      </c>
    </row>
    <row r="29" spans="2:30" x14ac:dyDescent="0.25">
      <c r="C29" s="173" t="s">
        <v>23</v>
      </c>
      <c r="H29" s="8">
        <f>SUM(H30:H32)</f>
        <v>2.6467543695</v>
      </c>
      <c r="I29" s="8">
        <f>SUM(I30:I32)</f>
        <v>13.432936331000001</v>
      </c>
      <c r="J29" s="8">
        <f>SUM(J30:J32)</f>
        <v>9.3590591373000009</v>
      </c>
      <c r="K29" s="8">
        <f>SUM(K30:K32)</f>
        <v>15.0678463115</v>
      </c>
      <c r="L29" s="119">
        <f t="shared" si="4"/>
        <v>40.506596149300002</v>
      </c>
      <c r="M29" s="97"/>
      <c r="N29" s="176" t="s">
        <v>252</v>
      </c>
      <c r="O29" s="36">
        <f>O30+O31</f>
        <v>3.1626378182920636</v>
      </c>
      <c r="P29" s="35">
        <f t="shared" ref="P29:R29" si="6">P30+P31</f>
        <v>13.919973516612528</v>
      </c>
      <c r="Q29" s="35">
        <f t="shared" si="6"/>
        <v>9.0413234941421319</v>
      </c>
      <c r="R29" s="35">
        <f t="shared" si="6"/>
        <v>14.312071337572707</v>
      </c>
      <c r="S29" s="168">
        <f t="shared" si="5"/>
        <v>40.436006166619435</v>
      </c>
      <c r="T29" s="269">
        <f t="shared" ref="T29" si="7">S29</f>
        <v>40.436006166619435</v>
      </c>
      <c r="U29" s="173" t="s">
        <v>23</v>
      </c>
      <c r="Z29" s="8">
        <v>2.6480606495000001</v>
      </c>
      <c r="AA29" s="8">
        <v>13.624185702000002</v>
      </c>
      <c r="AB29" s="8">
        <v>9.2932629193</v>
      </c>
      <c r="AC29" s="8">
        <v>15.1844512908</v>
      </c>
      <c r="AD29" s="119">
        <v>40.749960561599998</v>
      </c>
    </row>
    <row r="30" spans="2:30" x14ac:dyDescent="0.25">
      <c r="C30" s="175" t="s">
        <v>24</v>
      </c>
      <c r="D30" t="s">
        <v>518</v>
      </c>
      <c r="E30" t="s">
        <v>519</v>
      </c>
      <c r="F30" t="s">
        <v>520</v>
      </c>
      <c r="G30" t="s">
        <v>521</v>
      </c>
      <c r="H30" s="19">
        <f>VLOOKUP(D30,Résultats!$B$2:$AX$426,'T energie vecteurs'!I5,FALSE)</f>
        <v>1.783196545</v>
      </c>
      <c r="I30" s="19">
        <f>VLOOKUP(E30,Résultats!$B$2:$AX$426,'T energie vecteurs'!I5,FALSE)</f>
        <v>9.171032748</v>
      </c>
      <c r="J30" s="19">
        <f>VLOOKUP(F30,Résultats!$B$2:$AX$426,'T energie vecteurs'!I5,FALSE)</f>
        <v>9.0460201490000003</v>
      </c>
      <c r="K30" s="19">
        <f>VLOOKUP(G30,Résultats!$B$2:$AX$426,'T energie vecteurs'!I5,FALSE)</f>
        <v>12.596217230000001</v>
      </c>
      <c r="L30" s="118">
        <f t="shared" si="4"/>
        <v>32.596466672000005</v>
      </c>
      <c r="M30" s="19"/>
      <c r="N30" s="175" t="s">
        <v>253</v>
      </c>
      <c r="O30" s="169">
        <f>'[1]Bilan 2020'!$U$46/11.63</f>
        <v>0.77267988499999996</v>
      </c>
      <c r="P30" s="37">
        <f>SUM('[1]Bilan 2020'!$U$41:$U$43)/11.63</f>
        <v>2.7003587770125286</v>
      </c>
      <c r="Q30" s="37">
        <f>'[1]Bilan 2020'!$U$13/11.63</f>
        <v>9.0413234941421319</v>
      </c>
      <c r="R30" s="37">
        <f>('[1]Bilan 2020'!$U$22+'[1]Bilan 2020'!$U$30+SUM('[1]Bilan 2020'!$U$36:$U$40)+SUM('[1]Bilan 2020'!$U$44:$U$45)+'[1]Bilan 2020'!$U$47)/11.63</f>
        <v>13.277854957521116</v>
      </c>
      <c r="S30" s="118">
        <f t="shared" si="5"/>
        <v>25.792217113675775</v>
      </c>
      <c r="T30" s="118"/>
      <c r="U30" s="175" t="s">
        <v>24</v>
      </c>
      <c r="V30" t="s">
        <v>518</v>
      </c>
      <c r="W30" t="s">
        <v>519</v>
      </c>
      <c r="X30" t="s">
        <v>520</v>
      </c>
      <c r="Y30" t="s">
        <v>521</v>
      </c>
      <c r="Z30" s="19">
        <v>1.7843252570000001</v>
      </c>
      <c r="AA30" s="19">
        <v>9.3529290360000008</v>
      </c>
      <c r="AB30" s="19">
        <v>8.9819417030000004</v>
      </c>
      <c r="AC30" s="19">
        <v>12.71331762</v>
      </c>
      <c r="AD30" s="118">
        <v>32.832513616</v>
      </c>
    </row>
    <row r="31" spans="2:30" x14ac:dyDescent="0.25">
      <c r="C31" s="175" t="s">
        <v>129</v>
      </c>
      <c r="D31" t="s">
        <v>522</v>
      </c>
      <c r="E31" t="s">
        <v>523</v>
      </c>
      <c r="F31" t="s">
        <v>524</v>
      </c>
      <c r="G31" t="s">
        <v>525</v>
      </c>
      <c r="H31" s="19">
        <f>VLOOKUP(D31,Résultats!$B$2:$AX$426,'T energie vecteurs'!I5,FALSE)</f>
        <v>0.86355782449999996</v>
      </c>
      <c r="I31" s="19">
        <f>VLOOKUP(E31,Résultats!$B$2:$AX$426,'T energie vecteurs'!I5,FALSE)</f>
        <v>1.876856834</v>
      </c>
      <c r="J31" s="19">
        <f>VLOOKUP(F31,Résultats!$B$2:$AX$426,'T energie vecteurs'!I5,FALSE)</f>
        <v>0</v>
      </c>
      <c r="K31" s="19">
        <f>VLOOKUP(G31,Résultats!$B$2:$AX$426,'T energie vecteurs'!I5,FALSE)</f>
        <v>2.1040699049999998</v>
      </c>
      <c r="L31" s="118">
        <f t="shared" si="4"/>
        <v>4.8444845635</v>
      </c>
      <c r="M31" s="19"/>
      <c r="N31" s="175" t="s">
        <v>129</v>
      </c>
      <c r="O31" s="28">
        <f>'[1]Bilan 2020'!$E$52/11.63</f>
        <v>2.3899579332920635</v>
      </c>
      <c r="P31" s="19">
        <f>('[1]Bilan 2020'!$E$54+'[1]Bilan 2020'!$E$56)/11.63</f>
        <v>11.219614739599999</v>
      </c>
      <c r="Q31" s="19">
        <v>0</v>
      </c>
      <c r="R31" s="19">
        <f>('[1]Bilan 2020'!$E$53+'[1]Bilan 2020'!$E$55+'[1]Bilan 2020'!$E$57)/11.63</f>
        <v>1.0342163800515907</v>
      </c>
      <c r="S31" s="118">
        <f t="shared" si="5"/>
        <v>14.643789052943653</v>
      </c>
      <c r="T31" s="118"/>
      <c r="U31" s="175" t="s">
        <v>129</v>
      </c>
      <c r="V31" t="s">
        <v>522</v>
      </c>
      <c r="W31" t="s">
        <v>523</v>
      </c>
      <c r="X31" t="s">
        <v>524</v>
      </c>
      <c r="Y31" t="s">
        <v>525</v>
      </c>
      <c r="Z31" s="19">
        <v>0.86373539249999998</v>
      </c>
      <c r="AA31" s="19">
        <v>1.876008898</v>
      </c>
      <c r="AB31" s="19">
        <v>0</v>
      </c>
      <c r="AC31" s="19">
        <v>2.10102419</v>
      </c>
      <c r="AD31" s="118">
        <v>4.8407684804999995</v>
      </c>
    </row>
    <row r="32" spans="2:30" x14ac:dyDescent="0.25">
      <c r="C32" s="175" t="s">
        <v>25</v>
      </c>
      <c r="D32" t="s">
        <v>526</v>
      </c>
      <c r="E32" t="s">
        <v>527</v>
      </c>
      <c r="F32" t="s">
        <v>528</v>
      </c>
      <c r="G32" t="s">
        <v>529</v>
      </c>
      <c r="H32" s="19">
        <f>VLOOKUP(D32,Résultats!$B$2:$AX$426,'T energie vecteurs'!I5,FALSE)</f>
        <v>0</v>
      </c>
      <c r="I32" s="19">
        <f>VLOOKUP(E32,Résultats!$B$2:$AX$426,'T energie vecteurs'!I5,FALSE)</f>
        <v>2.3850467489999998</v>
      </c>
      <c r="J32" s="19">
        <f>VLOOKUP(F32,Résultats!$B$2:$AX$426,'T energie vecteurs'!I5,FALSE)</f>
        <v>0.31303898829999999</v>
      </c>
      <c r="K32" s="19">
        <f>VLOOKUP(G32,Résultats!$B$2:$AX$426,'T energie vecteurs'!I5,FALSE)</f>
        <v>0.36755917649999997</v>
      </c>
      <c r="L32" s="118">
        <f t="shared" si="4"/>
        <v>3.0656449137999995</v>
      </c>
      <c r="M32" s="19"/>
      <c r="N32" s="176" t="s">
        <v>25</v>
      </c>
      <c r="O32" s="36">
        <f>'[1]Bilan 2020'!$T$46/11.63</f>
        <v>1.3217009999999998E-3</v>
      </c>
      <c r="P32" s="35">
        <f>SUM('[1]Bilan 2020'!$T$41:$T$43)/11.63</f>
        <v>3.3486884684627563</v>
      </c>
      <c r="Q32" s="35">
        <f>'[1]Bilan 2020'!$T$13/11.63</f>
        <v>0.69143728159498707</v>
      </c>
      <c r="R32" s="35">
        <f>('[1]Bilan 2020'!$T$22+'[1]Bilan 2020'!$T$30+SUM('[1]Bilan 2020'!$T$36:$T$40)+SUM('[1]Bilan 2020'!$T$44:$T$45)+'[1]Bilan 2020'!$T$47)/11.63</f>
        <v>0.41959097162510717</v>
      </c>
      <c r="S32" s="168">
        <f t="shared" si="5"/>
        <v>4.4610384226828508</v>
      </c>
      <c r="T32" s="269">
        <f>S32</f>
        <v>4.4610384226828508</v>
      </c>
      <c r="U32" s="175" t="s">
        <v>25</v>
      </c>
      <c r="V32" t="s">
        <v>526</v>
      </c>
      <c r="W32" t="s">
        <v>527</v>
      </c>
      <c r="X32" t="s">
        <v>528</v>
      </c>
      <c r="Y32" t="s">
        <v>529</v>
      </c>
      <c r="Z32" s="19">
        <v>0</v>
      </c>
      <c r="AA32" s="19">
        <v>2.3952477679999999</v>
      </c>
      <c r="AB32" s="19">
        <v>0.31132121629999998</v>
      </c>
      <c r="AC32" s="19">
        <v>0.3701094808</v>
      </c>
      <c r="AD32" s="118">
        <v>3.0766784651000001</v>
      </c>
    </row>
    <row r="33" spans="3:30" x14ac:dyDescent="0.25">
      <c r="C33" s="29" t="s">
        <v>26</v>
      </c>
      <c r="D33" s="10"/>
      <c r="E33" s="10"/>
      <c r="F33" s="10"/>
      <c r="G33" s="10"/>
      <c r="H33" s="9">
        <f>SUM(H24,H27:H29)</f>
        <v>2.9648389415</v>
      </c>
      <c r="I33" s="9">
        <f>SUM(I24,I27:I29)</f>
        <v>64.157031584000009</v>
      </c>
      <c r="J33" s="9">
        <f>SUM(J24,J27:J29)</f>
        <v>36.508175059199999</v>
      </c>
      <c r="K33" s="9">
        <f>SUM(K24,K27:K29)</f>
        <v>42.251427624856198</v>
      </c>
      <c r="L33" s="121">
        <f t="shared" si="4"/>
        <v>145.88147320955622</v>
      </c>
      <c r="M33" s="103"/>
      <c r="N33" s="177" t="s">
        <v>26</v>
      </c>
      <c r="O33" s="40">
        <f>O24+O27+O28+O29+O32</f>
        <v>3.2152066752920638</v>
      </c>
      <c r="P33" s="38">
        <f>P24+P27+P28+P29+P32</f>
        <v>59.931006751765409</v>
      </c>
      <c r="Q33" s="38">
        <f>Q24+Q27+Q28+Q29+Q32</f>
        <v>34.793213034892403</v>
      </c>
      <c r="R33" s="38">
        <f>R24+R27+R28+R29+R32</f>
        <v>42.523974988451613</v>
      </c>
      <c r="S33" s="170">
        <f t="shared" si="5"/>
        <v>140.46340145040148</v>
      </c>
      <c r="T33" s="268">
        <f>SUM(T24:T32)</f>
        <v>137.71943369459754</v>
      </c>
      <c r="U33" s="29" t="s">
        <v>26</v>
      </c>
      <c r="V33" s="10"/>
      <c r="W33" s="10"/>
      <c r="X33" s="10"/>
      <c r="Y33" s="10"/>
      <c r="Z33" s="9">
        <v>2.9666882718000003</v>
      </c>
      <c r="AA33" s="9">
        <v>64.414129806000005</v>
      </c>
      <c r="AB33" s="9">
        <v>36.366208943899998</v>
      </c>
      <c r="AC33" s="9">
        <v>42.506724965204398</v>
      </c>
      <c r="AD33" s="121">
        <v>146.2537519869044</v>
      </c>
    </row>
    <row r="34" spans="3:30" s="3" customFormat="1" x14ac:dyDescent="0.25">
      <c r="H34" s="67"/>
      <c r="I34" s="67"/>
      <c r="J34" s="67"/>
      <c r="K34" s="67"/>
      <c r="L34" s="67"/>
      <c r="M34" s="67"/>
      <c r="N34" s="67"/>
      <c r="O34" s="101"/>
      <c r="P34" s="101"/>
      <c r="Q34" s="101"/>
      <c r="R34" s="102"/>
      <c r="S34" s="67"/>
      <c r="T34" s="67"/>
      <c r="Z34" s="67"/>
      <c r="AA34" s="67"/>
      <c r="AB34" s="67"/>
      <c r="AC34" s="67"/>
      <c r="AD34" s="67"/>
    </row>
    <row r="35" spans="3:30" s="3" customFormat="1" x14ac:dyDescent="0.25"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Z35" s="67"/>
      <c r="AA35" s="67"/>
      <c r="AB35" s="67"/>
      <c r="AC35" s="67"/>
      <c r="AD35" s="67"/>
    </row>
    <row r="36" spans="3:30" ht="31.5" x14ac:dyDescent="0.35">
      <c r="C36" s="171">
        <v>2022</v>
      </c>
      <c r="D36" s="172"/>
      <c r="E36" s="172"/>
      <c r="F36" s="172"/>
      <c r="G36" s="172"/>
      <c r="H36" s="99" t="s">
        <v>36</v>
      </c>
      <c r="I36" s="99" t="s">
        <v>131</v>
      </c>
      <c r="J36" s="99" t="s">
        <v>38</v>
      </c>
      <c r="K36" s="99" t="s">
        <v>130</v>
      </c>
      <c r="L36" s="116" t="s">
        <v>1</v>
      </c>
      <c r="M36" s="25"/>
      <c r="N36" s="171">
        <v>2022</v>
      </c>
      <c r="O36" s="167" t="s">
        <v>36</v>
      </c>
      <c r="P36" s="99" t="s">
        <v>131</v>
      </c>
      <c r="Q36" s="99" t="s">
        <v>38</v>
      </c>
      <c r="R36" s="99" t="s">
        <v>130</v>
      </c>
      <c r="S36" s="116" t="s">
        <v>1</v>
      </c>
      <c r="T36" s="267" t="s">
        <v>530</v>
      </c>
      <c r="U36" s="171">
        <v>2022</v>
      </c>
      <c r="V36" s="172"/>
      <c r="W36" s="172"/>
      <c r="X36" s="172"/>
      <c r="Y36" s="172"/>
      <c r="Z36" s="99" t="s">
        <v>36</v>
      </c>
      <c r="AA36" s="99" t="s">
        <v>131</v>
      </c>
      <c r="AB36" s="99" t="s">
        <v>38</v>
      </c>
      <c r="AC36" s="99" t="s">
        <v>130</v>
      </c>
      <c r="AD36" s="116" t="s">
        <v>1</v>
      </c>
    </row>
    <row r="37" spans="3:30" x14ac:dyDescent="0.25">
      <c r="C37" s="173" t="s">
        <v>18</v>
      </c>
      <c r="H37" s="8">
        <f>SUM(H38:H39)</f>
        <v>0</v>
      </c>
      <c r="I37" s="8">
        <f>SUM(I38:I39)</f>
        <v>41.556283260000001</v>
      </c>
      <c r="J37" s="8">
        <f>SUM(J38:J39)</f>
        <v>1.8293062035000001</v>
      </c>
      <c r="K37" s="8">
        <f>SUM(K38:K39)</f>
        <v>0.38453627579209998</v>
      </c>
      <c r="L37" s="119">
        <f t="shared" ref="L37:L46" si="8">SUM(H37:K37)</f>
        <v>43.770125739292105</v>
      </c>
      <c r="M37" s="97"/>
      <c r="N37" s="176" t="s">
        <v>18</v>
      </c>
      <c r="O37" s="36">
        <f>'[1]Bilan 2022 réel'!$X$46/11.63</f>
        <v>0</v>
      </c>
      <c r="P37" s="35">
        <f>SUM('[1]Bilan 2022 réel'!$X$41:$X$43)/11.63</f>
        <v>43.395882986244146</v>
      </c>
      <c r="Q37" s="35">
        <f>'[1]Bilan 2022 réel'!$X$13/11.63</f>
        <v>0.93062751504729158</v>
      </c>
      <c r="R37" s="35">
        <f>('[1]Bilan 2022 réel'!$X$22+'[1]Bilan 2022 réel'!$X$30+SUM('[1]Bilan 2022 réel'!$X$36:$X$40)+SUM('[1]Bilan 2022 réel'!$X$44:$X$45)+'[1]Bilan 2022 réel'!$X$47)/11.63</f>
        <v>0.31885683576956142</v>
      </c>
      <c r="S37" s="168">
        <f>SUM(O37:R37)</f>
        <v>44.645367337060996</v>
      </c>
      <c r="T37" s="269">
        <f>S37</f>
        <v>44.645367337060996</v>
      </c>
      <c r="U37" s="173" t="s">
        <v>18</v>
      </c>
      <c r="Z37" s="8">
        <v>0</v>
      </c>
      <c r="AA37" s="8">
        <v>41.601707860000005</v>
      </c>
      <c r="AB37" s="8">
        <v>1.8231850832999998</v>
      </c>
      <c r="AC37" s="8">
        <v>0.38884310470799999</v>
      </c>
      <c r="AD37" s="119">
        <v>43.813736048008003</v>
      </c>
    </row>
    <row r="38" spans="3:30" x14ac:dyDescent="0.25">
      <c r="C38" s="174" t="s">
        <v>19</v>
      </c>
      <c r="D38" t="s">
        <v>502</v>
      </c>
      <c r="E38" t="s">
        <v>503</v>
      </c>
      <c r="F38" t="s">
        <v>504</v>
      </c>
      <c r="G38" t="s">
        <v>505</v>
      </c>
      <c r="H38" s="19">
        <f>VLOOKUP(D38,Résultats!$B$2:$AX$426,'T energie vecteurs'!K5,FALSE)</f>
        <v>0</v>
      </c>
      <c r="I38" s="19">
        <f>VLOOKUP(E38,Résultats!$B$2:$AX$426,'T energie vecteurs'!K5,FALSE)</f>
        <v>22.927344680000001</v>
      </c>
      <c r="J38" s="19">
        <f>VLOOKUP(F38,Résultats!$B$2:$AX$426,'T energie vecteurs'!K5,FALSE)</f>
        <v>0.1184165115</v>
      </c>
      <c r="K38" s="19">
        <f>VLOOKUP(G51,Résultats!$B$2:$AX$426,'T energie vecteurs'!K5,FALSE)</f>
        <v>1.8276192099999999E-5</v>
      </c>
      <c r="L38" s="118">
        <f t="shared" si="8"/>
        <v>23.045779467692103</v>
      </c>
      <c r="M38" s="19"/>
      <c r="N38" s="174" t="s">
        <v>19</v>
      </c>
      <c r="O38" s="169"/>
      <c r="P38" s="19"/>
      <c r="Q38" s="55"/>
      <c r="R38" s="19"/>
      <c r="S38" s="118"/>
      <c r="T38" s="118"/>
      <c r="U38" s="174" t="s">
        <v>19</v>
      </c>
      <c r="V38" t="s">
        <v>502</v>
      </c>
      <c r="W38" t="s">
        <v>503</v>
      </c>
      <c r="X38" t="s">
        <v>504</v>
      </c>
      <c r="Y38" t="s">
        <v>505</v>
      </c>
      <c r="Z38" s="19">
        <v>0</v>
      </c>
      <c r="AA38" s="19">
        <v>22.924826800000002</v>
      </c>
      <c r="AB38" s="19">
        <v>0.11862449730000001</v>
      </c>
      <c r="AC38" s="19">
        <v>1.8382907999999998E-5</v>
      </c>
      <c r="AD38" s="118">
        <v>23.043469680208002</v>
      </c>
    </row>
    <row r="39" spans="3:30" x14ac:dyDescent="0.25">
      <c r="C39" s="175" t="s">
        <v>20</v>
      </c>
      <c r="D39" t="s">
        <v>506</v>
      </c>
      <c r="E39" t="s">
        <v>507</v>
      </c>
      <c r="F39" t="s">
        <v>508</v>
      </c>
      <c r="G39" t="s">
        <v>509</v>
      </c>
      <c r="H39" s="19">
        <f>VLOOKUP(D39,Résultats!$B$2:$AX$426,'T energie vecteurs'!K5,FALSE)</f>
        <v>0</v>
      </c>
      <c r="I39" s="19">
        <f>VLOOKUP(E39,Résultats!$B$2:$AX$426,'T energie vecteurs'!K5,FALSE)</f>
        <v>18.62893858</v>
      </c>
      <c r="J39" s="19">
        <f>VLOOKUP(F39,Résultats!$B$2:$AX$426,'T energie vecteurs'!K5,FALSE)</f>
        <v>1.7108896920000001</v>
      </c>
      <c r="K39" s="19">
        <f>VLOOKUP(G39,Résultats!$B$2:$AX$426,'T energie vecteurs'!K5,FALSE)</f>
        <v>0.38451799959999999</v>
      </c>
      <c r="L39" s="118">
        <f t="shared" si="8"/>
        <v>20.724346271599998</v>
      </c>
      <c r="M39" s="19"/>
      <c r="N39" s="175" t="s">
        <v>20</v>
      </c>
      <c r="O39" s="169"/>
      <c r="P39" s="19"/>
      <c r="Q39" s="55"/>
      <c r="R39" s="19"/>
      <c r="S39" s="118"/>
      <c r="T39" s="118"/>
      <c r="U39" s="175" t="s">
        <v>20</v>
      </c>
      <c r="V39" t="s">
        <v>506</v>
      </c>
      <c r="W39" t="s">
        <v>507</v>
      </c>
      <c r="X39" t="s">
        <v>508</v>
      </c>
      <c r="Y39" t="s">
        <v>509</v>
      </c>
      <c r="Z39" s="19">
        <v>0</v>
      </c>
      <c r="AA39" s="19">
        <v>18.676881059999999</v>
      </c>
      <c r="AB39" s="19">
        <v>1.7045605859999999</v>
      </c>
      <c r="AC39" s="19">
        <v>0.38882472179999999</v>
      </c>
      <c r="AD39" s="118">
        <v>20.770266367799998</v>
      </c>
    </row>
    <row r="40" spans="3:30" x14ac:dyDescent="0.25">
      <c r="C40" s="173" t="s">
        <v>21</v>
      </c>
      <c r="D40" t="s">
        <v>510</v>
      </c>
      <c r="E40" t="s">
        <v>511</v>
      </c>
      <c r="F40" t="s">
        <v>512</v>
      </c>
      <c r="G40" t="s">
        <v>513</v>
      </c>
      <c r="H40" s="8">
        <f>VLOOKUP(D40,Résultats!$B$2:$AX$426,'T energie vecteurs'!K5,FALSE)</f>
        <v>0.30437398329999998</v>
      </c>
      <c r="I40" s="8">
        <f>VLOOKUP(E40,Résultats!$B$2:$AX$426,'T energie vecteurs'!K5,FALSE)</f>
        <v>6.2902516220000004</v>
      </c>
      <c r="J40" s="8">
        <f>VLOOKUP(F40,Résultats!$B$2:$AX$426,'T energie vecteurs'!K5,FALSE)</f>
        <v>14.518215980000001</v>
      </c>
      <c r="K40" s="8">
        <f>VLOOKUP(G40,Résultats!$B$2:$AX$426,'T energie vecteurs'!K5,FALSE)+2</f>
        <v>18.573274600000001</v>
      </c>
      <c r="L40" s="119">
        <f t="shared" si="8"/>
        <v>39.686116185300001</v>
      </c>
      <c r="M40" s="97"/>
      <c r="N40" s="176" t="s">
        <v>21</v>
      </c>
      <c r="O40" s="36">
        <f>'[1]Bilan 2022 réel'!$V$46/11.63</f>
        <v>2.6476317000000003E-2</v>
      </c>
      <c r="P40" s="35">
        <f>SUM('[1]Bilan 2022 réel'!$V$41:$V$43)/11.63</f>
        <v>3.5006052343</v>
      </c>
      <c r="Q40" s="35">
        <f>'[1]Bilan 2022 réel'!$V$13/11.63</f>
        <v>13.359407222699915</v>
      </c>
      <c r="R40" s="35">
        <f>('[1]Bilan 2022 réel'!$V$22+'[1]Bilan 2022 réel'!$V$30+SUM('[1]Bilan 2022 réel'!$V$36:$V$40)+SUM('[1]Bilan 2022 réel'!$V$44:$V$45)+'[1]Bilan 2022 réel'!$V$47)/11.63</f>
        <v>20.358936597126686</v>
      </c>
      <c r="S40" s="168">
        <f t="shared" ref="S40:S46" si="9">SUM(O40:R40)</f>
        <v>37.245425371126601</v>
      </c>
      <c r="T40" s="269">
        <f>S40-'[1]Bilan 2022 réel'!$V$40/11.63</f>
        <v>33.84496208174091</v>
      </c>
      <c r="U40" s="173" t="s">
        <v>21</v>
      </c>
      <c r="V40" t="s">
        <v>510</v>
      </c>
      <c r="W40" t="s">
        <v>511</v>
      </c>
      <c r="X40" t="s">
        <v>512</v>
      </c>
      <c r="Y40" t="s">
        <v>513</v>
      </c>
      <c r="Z40" s="258">
        <v>0.30501769029999998</v>
      </c>
      <c r="AA40" s="258">
        <v>6.3077541640000003</v>
      </c>
      <c r="AB40" s="258">
        <v>14.509550369999999</v>
      </c>
      <c r="AC40" s="258">
        <v>18.635775750000001</v>
      </c>
      <c r="AD40" s="259">
        <v>39.7580979743</v>
      </c>
    </row>
    <row r="41" spans="3:30" x14ac:dyDescent="0.25">
      <c r="C41" s="173" t="s">
        <v>22</v>
      </c>
      <c r="D41" t="s">
        <v>514</v>
      </c>
      <c r="E41" t="s">
        <v>515</v>
      </c>
      <c r="F41" t="s">
        <v>516</v>
      </c>
      <c r="G41" t="s">
        <v>517</v>
      </c>
      <c r="H41" s="8">
        <f>VLOOKUP(D41,Résultats!$B$2:$AX$426,'T energie vecteurs'!K5,FALSE)</f>
        <v>0</v>
      </c>
      <c r="I41" s="8">
        <f>VLOOKUP(E41,Résultats!$B$2:$AX$426,'T energie vecteurs'!K5,FALSE)</f>
        <v>2.755119192</v>
      </c>
      <c r="J41" s="8">
        <f>VLOOKUP(F41,Résultats!$B$2:$AX$426,'T energie vecteurs'!K5,FALSE)</f>
        <v>11.113064230000001</v>
      </c>
      <c r="K41" s="8">
        <f>VLOOKUP(G41,Résultats!$B$2:$AX$426,'T energie vecteurs'!K5,FALSE)</f>
        <v>7.7104863769999996</v>
      </c>
      <c r="L41" s="119">
        <f t="shared" si="8"/>
        <v>21.578669799</v>
      </c>
      <c r="M41" s="97"/>
      <c r="N41" s="176" t="s">
        <v>22</v>
      </c>
      <c r="O41" s="36">
        <f>('[1]Bilan 2022 réel'!$W$46)/11.63</f>
        <v>3.2835727999999995E-2</v>
      </c>
      <c r="P41" s="35">
        <f>SUM('[1]Bilan 2022 réel'!$W$41:$W$43)/11.63</f>
        <v>2.0815720291000002</v>
      </c>
      <c r="Q41" s="35">
        <f>('[1]Bilan 2022 réel'!$W$13)/11.63</f>
        <v>11.4388796216681</v>
      </c>
      <c r="R41" s="35">
        <f>('[1]Bilan 2022 réel'!$W$22+'[1]Bilan 2022 réel'!$W$30+SUM('[1]Bilan 2022 réel'!$W$36:$W$40)+SUM('[1]Bilan 2022 réel'!$W$44:$W$45)+'[1]Bilan 2022 réel'!$W$47)/11.63</f>
        <v>7.4016622456291197</v>
      </c>
      <c r="S41" s="168">
        <f t="shared" si="9"/>
        <v>20.954949624397219</v>
      </c>
      <c r="T41" s="269">
        <f>S41-'[1]Bilan 2022 réel'!$W$40/11.63</f>
        <v>20.534610033301394</v>
      </c>
      <c r="U41" s="173" t="s">
        <v>22</v>
      </c>
      <c r="V41" t="s">
        <v>514</v>
      </c>
      <c r="W41" t="s">
        <v>515</v>
      </c>
      <c r="X41" t="s">
        <v>516</v>
      </c>
      <c r="Y41" t="s">
        <v>517</v>
      </c>
      <c r="Z41" s="8">
        <v>0</v>
      </c>
      <c r="AA41" s="8">
        <v>2.7557859630000001</v>
      </c>
      <c r="AB41" s="8">
        <v>11.08335205</v>
      </c>
      <c r="AC41" s="8">
        <v>7.7555464409999999</v>
      </c>
      <c r="AD41" s="119">
        <v>21.594684453999999</v>
      </c>
    </row>
    <row r="42" spans="3:30" x14ac:dyDescent="0.25">
      <c r="C42" s="173" t="s">
        <v>23</v>
      </c>
      <c r="H42" s="8">
        <f>SUM(H43:H45)</f>
        <v>2.6037063371000002</v>
      </c>
      <c r="I42" s="8">
        <f>SUM(I43:I45)</f>
        <v>13.353275439999999</v>
      </c>
      <c r="J42" s="8">
        <f>SUM(J43:J45)</f>
        <v>9.6226563778000003</v>
      </c>
      <c r="K42" s="8">
        <f>SUM(K43:K45)</f>
        <v>15.303358593999999</v>
      </c>
      <c r="L42" s="119">
        <f t="shared" si="8"/>
        <v>40.882996748899998</v>
      </c>
      <c r="M42" s="97"/>
      <c r="N42" s="176" t="s">
        <v>252</v>
      </c>
      <c r="O42" s="36">
        <f>O43+O44</f>
        <v>4.5030917883254036</v>
      </c>
      <c r="P42" s="35">
        <f t="shared" ref="P42:R42" si="10">P43+P44</f>
        <v>11.747675010745624</v>
      </c>
      <c r="Q42" s="35">
        <f t="shared" si="10"/>
        <v>9.2559822012037838</v>
      </c>
      <c r="R42" s="35">
        <f t="shared" si="10"/>
        <v>13.798624448265977</v>
      </c>
      <c r="S42" s="168">
        <f t="shared" si="9"/>
        <v>39.305373448540784</v>
      </c>
      <c r="T42" s="269">
        <f t="shared" ref="T42" si="11">S42</f>
        <v>39.305373448540784</v>
      </c>
      <c r="U42" s="173" t="s">
        <v>23</v>
      </c>
      <c r="Z42" s="8">
        <v>2.6055347496999999</v>
      </c>
      <c r="AA42" s="8">
        <v>13.593338827</v>
      </c>
      <c r="AB42" s="8">
        <v>9.5610732662000011</v>
      </c>
      <c r="AC42" s="8">
        <v>15.4321639817</v>
      </c>
      <c r="AD42" s="119">
        <v>41.1921108246</v>
      </c>
    </row>
    <row r="43" spans="3:30" x14ac:dyDescent="0.25">
      <c r="C43" s="175" t="s">
        <v>24</v>
      </c>
      <c r="D43" t="s">
        <v>518</v>
      </c>
      <c r="E43" t="s">
        <v>519</v>
      </c>
      <c r="F43" t="s">
        <v>520</v>
      </c>
      <c r="G43" t="s">
        <v>521</v>
      </c>
      <c r="H43" s="19">
        <f>VLOOKUP(D43,Résultats!$B$2:$AX$426,'T energie vecteurs'!K5,FALSE)</f>
        <v>1.732157578</v>
      </c>
      <c r="I43" s="19">
        <f>VLOOKUP(E43,Résultats!$B$2:$AX$426,'T energie vecteurs'!K5,FALSE)</f>
        <v>8.9333319749999998</v>
      </c>
      <c r="J43" s="19">
        <f>VLOOKUP(F43,Résultats!$B$2:$AX$426,'T energie vecteurs'!K5,FALSE)</f>
        <v>9.3025762870000008</v>
      </c>
      <c r="K43" s="19">
        <f>VLOOKUP(G43,Résultats!$B$2:$AX$426,'T energie vecteurs'!K5,FALSE)</f>
        <v>12.783318599999999</v>
      </c>
      <c r="L43" s="118">
        <f t="shared" si="8"/>
        <v>32.751384440000002</v>
      </c>
      <c r="M43" s="19"/>
      <c r="N43" s="175" t="s">
        <v>253</v>
      </c>
      <c r="O43" s="169">
        <f>'[1]Bilan 2022 réel'!$U$46/11.63</f>
        <v>0.63402045200000001</v>
      </c>
      <c r="P43" s="37">
        <f>SUM('[1]Bilan 2022 réel'!$U$41:$U$43)/11.63</f>
        <v>2.4775829957456241</v>
      </c>
      <c r="Q43" s="37">
        <f>'[1]Bilan 2022 réel'!$U$13/11.63</f>
        <v>9.2559822012037838</v>
      </c>
      <c r="R43" s="37">
        <f>('[1]Bilan 2022 réel'!$U$22+'[1]Bilan 2022 réel'!$U$30+SUM('[1]Bilan 2022 réel'!$U$36:$U$40)+SUM('[1]Bilan 2022 réel'!$U$44:$U$45)+'[1]Bilan 2022 réel'!$U$47)/11.63</f>
        <v>12.926272664087129</v>
      </c>
      <c r="S43" s="118">
        <f t="shared" si="9"/>
        <v>25.293858313036537</v>
      </c>
      <c r="T43" s="118"/>
      <c r="U43" s="175" t="s">
        <v>24</v>
      </c>
      <c r="V43" t="s">
        <v>518</v>
      </c>
      <c r="W43" t="s">
        <v>519</v>
      </c>
      <c r="X43" t="s">
        <v>520</v>
      </c>
      <c r="Y43" t="s">
        <v>521</v>
      </c>
      <c r="Z43" s="19">
        <v>1.7329112229999999</v>
      </c>
      <c r="AA43" s="19">
        <v>9.1647792429999999</v>
      </c>
      <c r="AB43" s="19">
        <v>9.2421086750000008</v>
      </c>
      <c r="AC43" s="19">
        <v>12.913079939999999</v>
      </c>
      <c r="AD43" s="118">
        <v>33.052879081</v>
      </c>
    </row>
    <row r="44" spans="3:30" x14ac:dyDescent="0.25">
      <c r="C44" s="175" t="s">
        <v>129</v>
      </c>
      <c r="D44" t="s">
        <v>522</v>
      </c>
      <c r="E44" t="s">
        <v>523</v>
      </c>
      <c r="F44" t="s">
        <v>524</v>
      </c>
      <c r="G44" t="s">
        <v>525</v>
      </c>
      <c r="H44" s="19">
        <f>VLOOKUP(D44,Résultats!$B$2:$AX$426,'T energie vecteurs'!K5,FALSE)</f>
        <v>0.87154875909999996</v>
      </c>
      <c r="I44" s="19">
        <f>VLOOKUP(E44,Résultats!$B$2:$AX$426,'T energie vecteurs'!K5,FALSE)</f>
        <v>1.917555119</v>
      </c>
      <c r="J44" s="19">
        <f>VLOOKUP(F44,Résultats!$B$2:$AX$426,'T energie vecteurs'!K5,FALSE)</f>
        <v>0</v>
      </c>
      <c r="K44" s="19">
        <f>VLOOKUP(G44,Résultats!$B$2:$AX$426,'T energie vecteurs'!K5,FALSE)</f>
        <v>2.140849174</v>
      </c>
      <c r="L44" s="118">
        <f t="shared" si="8"/>
        <v>4.9299530521000001</v>
      </c>
      <c r="M44" s="19"/>
      <c r="N44" s="175" t="s">
        <v>129</v>
      </c>
      <c r="O44" s="28">
        <f>'[1]Bilan 2022 réel'!$E$52/11.63</f>
        <v>3.8690713363254039</v>
      </c>
      <c r="P44" s="19">
        <f>('[1]Bilan 2022 réel'!$E$54+'[1]Bilan 2022 réel'!$E$56)/11.63</f>
        <v>9.2700920149999995</v>
      </c>
      <c r="Q44" s="19">
        <v>0</v>
      </c>
      <c r="R44" s="19">
        <f>('[1]Bilan 2022 réel'!$E$53+'[1]Bilan 2022 réel'!$E$55+'[1]Bilan 2022 réel'!$E$57)/11.63</f>
        <v>0.87235178417884784</v>
      </c>
      <c r="S44" s="118">
        <f t="shared" si="9"/>
        <v>14.011515135504252</v>
      </c>
      <c r="T44" s="118"/>
      <c r="U44" s="175" t="s">
        <v>129</v>
      </c>
      <c r="V44" t="s">
        <v>522</v>
      </c>
      <c r="W44" t="s">
        <v>523</v>
      </c>
      <c r="X44" t="s">
        <v>524</v>
      </c>
      <c r="Y44" t="s">
        <v>525</v>
      </c>
      <c r="Z44" s="19">
        <v>0.87262352669999999</v>
      </c>
      <c r="AA44" s="19">
        <v>1.9166294210000001</v>
      </c>
      <c r="AB44" s="19">
        <v>0</v>
      </c>
      <c r="AC44" s="19">
        <v>2.1376735500000001</v>
      </c>
      <c r="AD44" s="118">
        <v>4.9269264977000002</v>
      </c>
    </row>
    <row r="45" spans="3:30" x14ac:dyDescent="0.25">
      <c r="C45" s="175" t="s">
        <v>25</v>
      </c>
      <c r="D45" t="s">
        <v>526</v>
      </c>
      <c r="E45" t="s">
        <v>527</v>
      </c>
      <c r="F45" t="s">
        <v>528</v>
      </c>
      <c r="G45" t="s">
        <v>529</v>
      </c>
      <c r="H45" s="19">
        <f>VLOOKUP(D45,Résultats!$B$2:$AX$426,'T energie vecteurs'!K5,FALSE)</f>
        <v>0</v>
      </c>
      <c r="I45" s="19">
        <f>VLOOKUP(E45,Résultats!$B$2:$AX$426,'T energie vecteurs'!K5,FALSE)</f>
        <v>2.502388346</v>
      </c>
      <c r="J45" s="19">
        <f>VLOOKUP(F45,Résultats!$B$2:$AX$426,'T energie vecteurs'!K5,FALSE)</f>
        <v>0.32008009079999999</v>
      </c>
      <c r="K45" s="19">
        <f>VLOOKUP(G45,Résultats!$B$2:$AX$426,'T energie vecteurs'!K5,FALSE)</f>
        <v>0.37919081999999998</v>
      </c>
      <c r="L45" s="118">
        <f t="shared" si="8"/>
        <v>3.2016592567999997</v>
      </c>
      <c r="M45" s="19"/>
      <c r="N45" s="176" t="s">
        <v>25</v>
      </c>
      <c r="O45" s="36">
        <f>'[1]Bilan 2022 réel'!$T$46/11.63</f>
        <v>1.651664E-3</v>
      </c>
      <c r="P45" s="35">
        <f>SUM('[1]Bilan 2022 réel'!$T$41:$T$43)/11.63</f>
        <v>3.5697769387513203</v>
      </c>
      <c r="Q45" s="35">
        <f>'[1]Bilan 2022 réel'!$T$13/11.63</f>
        <v>0.67291487532244199</v>
      </c>
      <c r="R45" s="35">
        <f>('[1]Bilan 2022 réel'!$T$22+'[1]Bilan 2022 réel'!$T$30+SUM('[1]Bilan 2022 réel'!$T$36:$T$40)+SUM('[1]Bilan 2022 réel'!$T$44:$T$45)+'[1]Bilan 2022 réel'!$T$47)/11.63</f>
        <v>0.43996563007547523</v>
      </c>
      <c r="S45" s="168">
        <f t="shared" si="9"/>
        <v>4.6843091081492378</v>
      </c>
      <c r="T45" s="269">
        <f>S45</f>
        <v>4.6843091081492378</v>
      </c>
      <c r="U45" s="175" t="s">
        <v>25</v>
      </c>
      <c r="V45" t="s">
        <v>526</v>
      </c>
      <c r="W45" t="s">
        <v>527</v>
      </c>
      <c r="X45" t="s">
        <v>528</v>
      </c>
      <c r="Y45" t="s">
        <v>529</v>
      </c>
      <c r="Z45" s="19">
        <v>0</v>
      </c>
      <c r="AA45" s="19">
        <v>2.5119301630000002</v>
      </c>
      <c r="AB45" s="19">
        <v>0.31896459119999998</v>
      </c>
      <c r="AC45" s="19">
        <v>0.38141049170000002</v>
      </c>
      <c r="AD45" s="118">
        <v>3.2123052459000001</v>
      </c>
    </row>
    <row r="46" spans="3:30" x14ac:dyDescent="0.25">
      <c r="C46" s="29" t="s">
        <v>26</v>
      </c>
      <c r="D46" s="10"/>
      <c r="E46" s="10"/>
      <c r="F46" s="10"/>
      <c r="G46" s="10"/>
      <c r="H46" s="9">
        <f>SUM(H37,H40:H42)</f>
        <v>2.9080803204000003</v>
      </c>
      <c r="I46" s="9">
        <f>SUM(I37,I40:I42)</f>
        <v>63.954929514</v>
      </c>
      <c r="J46" s="9">
        <f>SUM(J37,J40:J42)</f>
        <v>37.083242791300002</v>
      </c>
      <c r="K46" s="9">
        <f>SUM(K37,K40:K42)</f>
        <v>41.971655846792103</v>
      </c>
      <c r="L46" s="121">
        <f t="shared" si="8"/>
        <v>145.91790847249212</v>
      </c>
      <c r="M46" s="103"/>
      <c r="N46" s="177" t="s">
        <v>26</v>
      </c>
      <c r="O46" s="40">
        <f>O37+O40+O41+O42+O45</f>
        <v>4.5640554973254037</v>
      </c>
      <c r="P46" s="38">
        <f>P37+P40+P41+P42+P45</f>
        <v>64.295512199141086</v>
      </c>
      <c r="Q46" s="38">
        <f>Q37+Q40+Q41+Q42+Q45</f>
        <v>35.657811435941532</v>
      </c>
      <c r="R46" s="38">
        <f>R37+R40+R41+R42+R45</f>
        <v>42.318045756866823</v>
      </c>
      <c r="S46" s="170">
        <f t="shared" si="9"/>
        <v>146.83542488927486</v>
      </c>
      <c r="T46" s="268">
        <f>SUM(T37:T45)</f>
        <v>143.01462200879334</v>
      </c>
      <c r="U46" s="29" t="s">
        <v>26</v>
      </c>
      <c r="V46" s="10"/>
      <c r="W46" s="10"/>
      <c r="X46" s="10"/>
      <c r="Y46" s="10"/>
      <c r="Z46" s="9">
        <v>2.91055244</v>
      </c>
      <c r="AA46" s="9">
        <v>64.258586814000012</v>
      </c>
      <c r="AB46" s="9">
        <v>36.977160769500003</v>
      </c>
      <c r="AC46" s="9">
        <v>42.212329277408003</v>
      </c>
      <c r="AD46" s="121">
        <v>146.35862930090804</v>
      </c>
    </row>
    <row r="47" spans="3:30" s="3" customFormat="1" x14ac:dyDescent="0.25">
      <c r="H47" s="67"/>
      <c r="I47" s="67"/>
      <c r="J47" s="67"/>
      <c r="K47" s="67"/>
      <c r="L47" s="67"/>
      <c r="M47" s="67"/>
      <c r="N47" s="67"/>
      <c r="O47" s="101"/>
      <c r="P47" s="101"/>
      <c r="Q47" s="101"/>
      <c r="R47" s="102"/>
      <c r="S47" s="67"/>
      <c r="T47" s="67"/>
      <c r="Z47" s="67"/>
      <c r="AA47" s="67"/>
      <c r="AB47" s="67"/>
      <c r="AC47" s="67"/>
      <c r="AD47" s="67"/>
    </row>
    <row r="48" spans="3:30" s="3" customFormat="1" x14ac:dyDescent="0.25"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Z48" s="67"/>
      <c r="AA48" s="67"/>
      <c r="AB48" s="67"/>
      <c r="AC48" s="67"/>
      <c r="AD48" s="67"/>
    </row>
    <row r="49" spans="2:30" ht="31.5" x14ac:dyDescent="0.35">
      <c r="C49" s="171">
        <v>2023</v>
      </c>
      <c r="D49" s="172"/>
      <c r="E49" s="172"/>
      <c r="F49" s="172"/>
      <c r="G49" s="172"/>
      <c r="H49" s="99" t="s">
        <v>36</v>
      </c>
      <c r="I49" s="99" t="s">
        <v>131</v>
      </c>
      <c r="J49" s="99" t="s">
        <v>38</v>
      </c>
      <c r="K49" s="99" t="s">
        <v>130</v>
      </c>
      <c r="L49" s="116" t="s">
        <v>1</v>
      </c>
      <c r="M49" s="25"/>
      <c r="N49" s="171">
        <v>2023</v>
      </c>
      <c r="O49" s="167" t="s">
        <v>36</v>
      </c>
      <c r="P49" s="99" t="s">
        <v>131</v>
      </c>
      <c r="Q49" s="99" t="s">
        <v>38</v>
      </c>
      <c r="R49" s="99" t="s">
        <v>130</v>
      </c>
      <c r="S49" s="116" t="s">
        <v>1</v>
      </c>
      <c r="T49" s="267" t="s">
        <v>530</v>
      </c>
      <c r="U49" s="171">
        <v>2023</v>
      </c>
      <c r="V49" s="172"/>
      <c r="W49" s="172"/>
      <c r="X49" s="172"/>
      <c r="Y49" s="172"/>
      <c r="Z49" s="99" t="s">
        <v>36</v>
      </c>
      <c r="AA49" s="99" t="s">
        <v>131</v>
      </c>
      <c r="AB49" s="99" t="s">
        <v>38</v>
      </c>
      <c r="AC49" s="99" t="s">
        <v>130</v>
      </c>
      <c r="AD49" s="116" t="s">
        <v>1</v>
      </c>
    </row>
    <row r="50" spans="2:30" x14ac:dyDescent="0.25">
      <c r="C50" s="173" t="s">
        <v>18</v>
      </c>
      <c r="H50" s="8">
        <f>SUM(H51:H52)</f>
        <v>0</v>
      </c>
      <c r="I50" s="8">
        <f>SUM(I51:I52)</f>
        <v>41.477284140000002</v>
      </c>
      <c r="J50" s="8">
        <f>SUM(J51:J52)</f>
        <v>1.9952997563000001</v>
      </c>
      <c r="K50" s="8">
        <f>SUM(K51:K52)</f>
        <v>0.42783862955219998</v>
      </c>
      <c r="L50" s="119">
        <f>SUM(H50:K50)</f>
        <v>43.9004225258522</v>
      </c>
      <c r="M50" s="97"/>
      <c r="N50" s="176" t="s">
        <v>18</v>
      </c>
      <c r="O50" s="36">
        <f>'[1]Bilan 2023 réel'!$X$46/11.63</f>
        <v>0</v>
      </c>
      <c r="P50" s="35">
        <f>SUM('[1]Bilan 2023 réel'!$X$41:$X$43)/11.63</f>
        <v>42.139633010859157</v>
      </c>
      <c r="Q50" s="35">
        <f>'[1]Bilan 2023 réel'!$X$13/11.63</f>
        <v>0.9065512467755803</v>
      </c>
      <c r="R50" s="35">
        <f>('[1]Bilan 2023 réel'!$X$22+'[1]Bilan 2023 réel'!$X$30+SUM('[1]Bilan 2023 réel'!$X$36:$X$40)+SUM('[1]Bilan 2023 réel'!$X$44:$X$45)+'[1]Bilan 2023 réel'!$X$47)/11.63</f>
        <v>0.31885683576956142</v>
      </c>
      <c r="S50" s="168">
        <f>SUM(O50:R50)</f>
        <v>43.365041093404294</v>
      </c>
      <c r="T50" s="269">
        <f>S50</f>
        <v>43.365041093404294</v>
      </c>
      <c r="U50" s="173" t="s">
        <v>18</v>
      </c>
      <c r="Z50" s="8">
        <v>0</v>
      </c>
      <c r="AA50" s="8">
        <v>41.527970179999997</v>
      </c>
      <c r="AB50" s="8">
        <v>1.9933211236999999</v>
      </c>
      <c r="AC50" s="8">
        <v>0.43203814114899997</v>
      </c>
      <c r="AD50" s="119">
        <v>43.953329444848997</v>
      </c>
    </row>
    <row r="51" spans="2:30" x14ac:dyDescent="0.25">
      <c r="C51" s="174" t="s">
        <v>19</v>
      </c>
      <c r="D51" t="s">
        <v>502</v>
      </c>
      <c r="E51" t="s">
        <v>503</v>
      </c>
      <c r="F51" t="s">
        <v>504</v>
      </c>
      <c r="G51" t="s">
        <v>505</v>
      </c>
      <c r="H51" s="19">
        <f>VLOOKUP(D51,Résultats!$B$2:$AX$426,'T energie vecteurs'!L5,FALSE)</f>
        <v>0</v>
      </c>
      <c r="I51" s="19">
        <f>VLOOKUP(E51,Résultats!$B$2:$AX$426,'T energie vecteurs'!L5,FALSE)</f>
        <v>22.59871176</v>
      </c>
      <c r="J51" s="19">
        <f>VLOOKUP(F51,Résultats!$B$2:$AX$426,'T energie vecteurs'!L5,FALSE)</f>
        <v>0.14953766330000001</v>
      </c>
      <c r="K51" s="19">
        <f>VLOOKUP(G51,Résultats!$B$2:$AX$426,'T energie vecteurs'!L5,FALSE)</f>
        <v>2.0754252200000001E-5</v>
      </c>
      <c r="L51" s="118">
        <f t="shared" ref="L51:L52" si="12">SUM(H51:K51)</f>
        <v>22.7482701775522</v>
      </c>
      <c r="M51" s="19"/>
      <c r="N51" s="174" t="s">
        <v>19</v>
      </c>
      <c r="O51" s="169"/>
      <c r="P51" s="19"/>
      <c r="Q51" s="55"/>
      <c r="R51" s="19"/>
      <c r="S51" s="118"/>
      <c r="T51" s="118"/>
      <c r="U51" s="174" t="s">
        <v>19</v>
      </c>
      <c r="V51" t="s">
        <v>502</v>
      </c>
      <c r="W51" t="s">
        <v>503</v>
      </c>
      <c r="X51" t="s">
        <v>504</v>
      </c>
      <c r="Y51" t="s">
        <v>505</v>
      </c>
      <c r="Z51" s="19">
        <v>0</v>
      </c>
      <c r="AA51" s="19">
        <v>22.596907009999999</v>
      </c>
      <c r="AB51" s="19">
        <v>0.1498123147</v>
      </c>
      <c r="AC51" s="19">
        <v>2.0864649000000001E-5</v>
      </c>
      <c r="AD51" s="118">
        <v>22.746740189348998</v>
      </c>
    </row>
    <row r="52" spans="2:30" x14ac:dyDescent="0.25">
      <c r="C52" s="175" t="s">
        <v>20</v>
      </c>
      <c r="D52" t="s">
        <v>506</v>
      </c>
      <c r="E52" t="s">
        <v>507</v>
      </c>
      <c r="F52" t="s">
        <v>508</v>
      </c>
      <c r="G52" t="s">
        <v>509</v>
      </c>
      <c r="H52" s="19">
        <f>VLOOKUP(D52,Résultats!$B$2:$AX$426,'T energie vecteurs'!L5,FALSE)</f>
        <v>0</v>
      </c>
      <c r="I52" s="19">
        <f>VLOOKUP(E52,Résultats!$B$2:$AX$426,'T energie vecteurs'!L5,FALSE)</f>
        <v>18.878572380000001</v>
      </c>
      <c r="J52" s="19">
        <f>VLOOKUP(F52,Résultats!$B$2:$AX$426,'T energie vecteurs'!L5,FALSE)</f>
        <v>1.845762093</v>
      </c>
      <c r="K52" s="19">
        <f>VLOOKUP(G52,Résultats!$B$2:$AX$426,'T energie vecteurs'!L5,FALSE)</f>
        <v>0.42781787529999998</v>
      </c>
      <c r="L52" s="118">
        <f t="shared" si="12"/>
        <v>21.152152348300003</v>
      </c>
      <c r="M52" s="19"/>
      <c r="N52" s="175" t="s">
        <v>20</v>
      </c>
      <c r="O52" s="169"/>
      <c r="P52" s="19"/>
      <c r="Q52" s="55"/>
      <c r="R52" s="19"/>
      <c r="S52" s="118"/>
      <c r="T52" s="118"/>
      <c r="U52" s="175" t="s">
        <v>20</v>
      </c>
      <c r="V52" t="s">
        <v>506</v>
      </c>
      <c r="W52" t="s">
        <v>507</v>
      </c>
      <c r="X52" t="s">
        <v>508</v>
      </c>
      <c r="Y52" t="s">
        <v>509</v>
      </c>
      <c r="Z52" s="19">
        <v>0</v>
      </c>
      <c r="AA52" s="19">
        <v>18.931063170000002</v>
      </c>
      <c r="AB52" s="19">
        <v>1.843508809</v>
      </c>
      <c r="AC52" s="19">
        <v>0.43201727649999999</v>
      </c>
      <c r="AD52" s="118">
        <v>21.206589255500003</v>
      </c>
    </row>
    <row r="53" spans="2:30" x14ac:dyDescent="0.25">
      <c r="C53" s="173" t="s">
        <v>21</v>
      </c>
      <c r="D53" t="s">
        <v>510</v>
      </c>
      <c r="E53" t="s">
        <v>511</v>
      </c>
      <c r="F53" t="s">
        <v>512</v>
      </c>
      <c r="G53" t="s">
        <v>513</v>
      </c>
      <c r="H53" s="8">
        <f>VLOOKUP(D53,Résultats!$B$2:$AX$426,'T energie vecteurs'!L5,FALSE)</f>
        <v>0.29805990989999998</v>
      </c>
      <c r="I53" s="8">
        <f>VLOOKUP(E53,Résultats!$B$2:$AX$426,'T energie vecteurs'!L5,FALSE)</f>
        <v>6.2203872479999998</v>
      </c>
      <c r="J53" s="8">
        <f>VLOOKUP(F53,Résultats!$B$2:$AX$426,'T energie vecteurs'!L5,FALSE)</f>
        <v>14.60775997</v>
      </c>
      <c r="K53" s="8">
        <f>VLOOKUP(G53,Résultats!$B$2:$AX$426,'T energie vecteurs'!L5,FALSE)+2</f>
        <v>18.460449239999999</v>
      </c>
      <c r="L53" s="119">
        <f>SUM(H53:K53)</f>
        <v>39.586656367899998</v>
      </c>
      <c r="M53" s="97"/>
      <c r="N53" s="176" t="s">
        <v>21</v>
      </c>
      <c r="O53" s="36">
        <f>'[1]Bilan 2023 réel'!$V$46/11.63</f>
        <v>1.9785054E-2</v>
      </c>
      <c r="P53" s="35">
        <f>SUM('[1]Bilan 2023 réel'!$V$41:$V$43)/11.63</f>
        <v>3.0423469738</v>
      </c>
      <c r="Q53" s="35">
        <f>'[1]Bilan 2023 réel'!$V$13/11.63</f>
        <v>13.020267239896821</v>
      </c>
      <c r="R53" s="35">
        <f>('[1]Bilan 2023 réel'!$V$22+'[1]Bilan 2023 réel'!$V$30+SUM('[1]Bilan 2023 réel'!$V$36:$V$40)+SUM('[1]Bilan 2023 réel'!$V$44:$V$45)+'[1]Bilan 2023 réel'!$V$47)/11.63</f>
        <v>20.330842243575045</v>
      </c>
      <c r="S53" s="168">
        <f t="shared" ref="S53:S59" si="13">SUM(O53:R53)</f>
        <v>36.413241511271863</v>
      </c>
      <c r="T53" s="269">
        <f>S53-'[1]Bilan 2023 réel'!$V$40/11.63</f>
        <v>32.592131092813851</v>
      </c>
      <c r="U53" s="173" t="s">
        <v>21</v>
      </c>
      <c r="V53" t="s">
        <v>510</v>
      </c>
      <c r="W53" t="s">
        <v>511</v>
      </c>
      <c r="X53" t="s">
        <v>512</v>
      </c>
      <c r="Y53" t="s">
        <v>513</v>
      </c>
      <c r="Z53" s="258">
        <v>0.2987554912</v>
      </c>
      <c r="AA53" s="258">
        <v>6.2333251660000002</v>
      </c>
      <c r="AB53" s="258">
        <v>14.60764086</v>
      </c>
      <c r="AC53" s="258">
        <v>18.512269589999999</v>
      </c>
      <c r="AD53" s="259">
        <v>39.651991107200004</v>
      </c>
    </row>
    <row r="54" spans="2:30" x14ac:dyDescent="0.25">
      <c r="C54" s="173" t="s">
        <v>22</v>
      </c>
      <c r="D54" t="s">
        <v>514</v>
      </c>
      <c r="E54" t="s">
        <v>515</v>
      </c>
      <c r="F54" t="s">
        <v>516</v>
      </c>
      <c r="G54" t="s">
        <v>517</v>
      </c>
      <c r="H54" s="8">
        <f>VLOOKUP(D54,Résultats!$B$2:$AX$426,'T energie vecteurs'!L5,FALSE)</f>
        <v>0</v>
      </c>
      <c r="I54" s="8">
        <f>VLOOKUP(E54,Résultats!$B$2:$AX$426,'T energie vecteurs'!L5,FALSE)</f>
        <v>2.774179486</v>
      </c>
      <c r="J54" s="8">
        <f>VLOOKUP(F54,Résultats!$B$2:$AX$426,'T energie vecteurs'!L5,FALSE)</f>
        <v>11.025138460000001</v>
      </c>
      <c r="K54" s="8">
        <f>VLOOKUP(G54,Résultats!$B$2:$AX$426,'T energie vecteurs'!L5,FALSE)</f>
        <v>7.6869771160000004</v>
      </c>
      <c r="L54" s="119">
        <f t="shared" ref="L54:L56" si="14">SUM(H54:K54)</f>
        <v>21.486295062</v>
      </c>
      <c r="M54" s="97"/>
      <c r="N54" s="176" t="s">
        <v>22</v>
      </c>
      <c r="O54" s="36">
        <f>('[1]Bilan 2023 réel'!$W$46)/11.63</f>
        <v>2.9470376E-2</v>
      </c>
      <c r="P54" s="35">
        <f>SUM('[1]Bilan 2023 réel'!$W$41:$W$43)/11.63</f>
        <v>2.063881609425366</v>
      </c>
      <c r="Q54" s="35">
        <f>('[1]Bilan 2023 réel'!$W$13)/11.63</f>
        <v>11.200373602751505</v>
      </c>
      <c r="R54" s="35">
        <f>('[1]Bilan 2023 réel'!$W$22+'[1]Bilan 2023 réel'!$W$30+SUM('[1]Bilan 2023 réel'!$W$36:$W$40)+SUM('[1]Bilan 2023 réel'!$W$44:$W$45)+'[1]Bilan 2023 réel'!$W$47)/11.63</f>
        <v>7.0633917765357781</v>
      </c>
      <c r="S54" s="168">
        <f t="shared" si="13"/>
        <v>20.35711736471265</v>
      </c>
      <c r="T54" s="269">
        <f>S54-'[1]Bilan 2023 réel'!$W$40/11.63</f>
        <v>19.922166758044071</v>
      </c>
      <c r="U54" s="173" t="s">
        <v>22</v>
      </c>
      <c r="V54" t="s">
        <v>514</v>
      </c>
      <c r="W54" t="s">
        <v>515</v>
      </c>
      <c r="X54" t="s">
        <v>516</v>
      </c>
      <c r="Y54" t="s">
        <v>517</v>
      </c>
      <c r="Z54" s="8">
        <v>0</v>
      </c>
      <c r="AA54" s="8">
        <v>2.7734083780000001</v>
      </c>
      <c r="AB54" s="8">
        <v>11.01166184</v>
      </c>
      <c r="AC54" s="8">
        <v>7.7228417240000002</v>
      </c>
      <c r="AD54" s="119">
        <v>21.507911942</v>
      </c>
    </row>
    <row r="55" spans="2:30" x14ac:dyDescent="0.25">
      <c r="C55" s="173" t="s">
        <v>23</v>
      </c>
      <c r="H55" s="8">
        <f>SUM(H56:H58)</f>
        <v>2.6179268891</v>
      </c>
      <c r="I55" s="8">
        <f>SUM(I56:I58)</f>
        <v>13.42967377099999</v>
      </c>
      <c r="J55" s="8">
        <f>SUM(J56:J58)</f>
        <v>9.8796886785999991</v>
      </c>
      <c r="K55" s="8">
        <f>SUM(K56:K58)</f>
        <v>15.530640958800001</v>
      </c>
      <c r="L55" s="119">
        <f t="shared" si="14"/>
        <v>41.457930297499992</v>
      </c>
      <c r="M55" s="97"/>
      <c r="N55" s="176" t="s">
        <v>252</v>
      </c>
      <c r="O55" s="36">
        <f>O56+O57</f>
        <v>3.8091541290558895</v>
      </c>
      <c r="P55" s="35">
        <f t="shared" ref="P55:R55" si="15">P56+P57</f>
        <v>12.120619615422576</v>
      </c>
      <c r="Q55" s="35">
        <f t="shared" si="15"/>
        <v>8.8688043852106624</v>
      </c>
      <c r="R55" s="35">
        <f t="shared" si="15"/>
        <v>13.009554326375659</v>
      </c>
      <c r="S55" s="168">
        <f t="shared" si="13"/>
        <v>37.808132456064783</v>
      </c>
      <c r="T55" s="269">
        <f t="shared" ref="T55" si="16">S55</f>
        <v>37.808132456064783</v>
      </c>
      <c r="U55" s="173" t="s">
        <v>23</v>
      </c>
      <c r="Z55" s="240">
        <v>2.6179059876999999</v>
      </c>
      <c r="AA55" s="240">
        <v>13.698187717</v>
      </c>
      <c r="AB55" s="8">
        <v>9.8210197594999986</v>
      </c>
      <c r="AC55" s="240">
        <v>15.6630008965</v>
      </c>
      <c r="AD55" s="119">
        <v>41.8001143607</v>
      </c>
    </row>
    <row r="56" spans="2:30" x14ac:dyDescent="0.25">
      <c r="C56" s="175" t="s">
        <v>24</v>
      </c>
      <c r="D56" t="s">
        <v>518</v>
      </c>
      <c r="E56" t="s">
        <v>519</v>
      </c>
      <c r="F56" t="s">
        <v>520</v>
      </c>
      <c r="G56" t="s">
        <v>521</v>
      </c>
      <c r="H56" s="19">
        <f>VLOOKUP(D56,Résultats!$B$2:$AX$426,'T energie vecteurs'!L5,FALSE)</f>
        <v>1.731715334</v>
      </c>
      <c r="I56" s="19">
        <f>VLOOKUP(E56,Résultats!$B$2:$AX$426,'T energie vecteurs'!L5,FALSE)</f>
        <v>8.8916746989999904</v>
      </c>
      <c r="J56" s="19">
        <f>VLOOKUP(F56,Résultats!$B$2:$AX$426,'T energie vecteurs'!L5,FALSE)</f>
        <v>9.5544131399999994</v>
      </c>
      <c r="K56" s="19">
        <f>VLOOKUP(G56,Résultats!$B$2:$AX$426,'T energie vecteurs'!L5,FALSE)</f>
        <v>12.965696080000001</v>
      </c>
      <c r="L56" s="118">
        <f t="shared" si="14"/>
        <v>33.143499252999987</v>
      </c>
      <c r="M56" s="19"/>
      <c r="N56" s="175" t="s">
        <v>253</v>
      </c>
      <c r="O56" s="169">
        <f>'[1]Bilan 2023 réel'!$U$46/11.63</f>
        <v>0.58092196100000004</v>
      </c>
      <c r="P56" s="37">
        <f>SUM('[1]Bilan 2023 réel'!$U$41:$U$43)/11.63</f>
        <v>2.395717067522579</v>
      </c>
      <c r="Q56" s="37">
        <f>'[1]Bilan 2023 réel'!$U$13/11.63</f>
        <v>8.8688043852106624</v>
      </c>
      <c r="R56" s="37">
        <f>('[1]Bilan 2023 réel'!$U$22+'[1]Bilan 2023 réel'!$U$30+SUM('[1]Bilan 2023 réel'!$U$36:$U$40)+SUM('[1]Bilan 2023 réel'!$U$44:$U$45)+'[1]Bilan 2023 réel'!$U$47)/11.63</f>
        <v>12.148361914509794</v>
      </c>
      <c r="S56" s="118">
        <f t="shared" si="13"/>
        <v>23.993805328243035</v>
      </c>
      <c r="T56" s="118"/>
      <c r="U56" s="175" t="s">
        <v>24</v>
      </c>
      <c r="V56" t="s">
        <v>518</v>
      </c>
      <c r="W56" t="s">
        <v>519</v>
      </c>
      <c r="X56" t="s">
        <v>520</v>
      </c>
      <c r="Y56" t="s">
        <v>521</v>
      </c>
      <c r="Z56" s="19">
        <v>1.7305862000000001</v>
      </c>
      <c r="AA56" s="19">
        <v>9.150321151</v>
      </c>
      <c r="AB56" s="19">
        <v>9.4961797479999994</v>
      </c>
      <c r="AC56" s="19">
        <v>13.098904940000001</v>
      </c>
      <c r="AD56" s="118">
        <v>33.475992039000005</v>
      </c>
    </row>
    <row r="57" spans="2:30" x14ac:dyDescent="0.25">
      <c r="C57" s="175" t="s">
        <v>129</v>
      </c>
      <c r="D57" t="s">
        <v>522</v>
      </c>
      <c r="E57" t="s">
        <v>523</v>
      </c>
      <c r="F57" t="s">
        <v>524</v>
      </c>
      <c r="G57" t="s">
        <v>525</v>
      </c>
      <c r="H57" s="19">
        <f>VLOOKUP(D57,Résultats!$B$2:$AX$426,'T energie vecteurs'!L5,FALSE)</f>
        <v>0.88621155510000005</v>
      </c>
      <c r="I57" s="19">
        <f>VLOOKUP(E57,Résultats!$B$2:$AX$426,'T energie vecteurs'!L5,FALSE)</f>
        <v>1.958985634</v>
      </c>
      <c r="J57" s="19">
        <f>VLOOKUP(F57,Résultats!$B$2:$AX$426,'T energie vecteurs'!L5,FALSE)</f>
        <v>0</v>
      </c>
      <c r="K57" s="19">
        <f>VLOOKUP(G57,Résultats!$B$2:$AX$426,'T energie vecteurs'!L5,FALSE)</f>
        <v>2.1758016090000001</v>
      </c>
      <c r="L57" s="118">
        <f>SUM(H57:K57)</f>
        <v>5.0209987981000008</v>
      </c>
      <c r="M57" s="19"/>
      <c r="N57" s="175" t="s">
        <v>129</v>
      </c>
      <c r="O57" s="28">
        <f>'[1]Bilan 2023 réel'!$E$52/11.63</f>
        <v>3.2282321680558894</v>
      </c>
      <c r="P57" s="19">
        <f>('[1]Bilan 2023 réel'!$E$54+'[1]Bilan 2023 réel'!$E$56)/11.63</f>
        <v>9.7249025478999975</v>
      </c>
      <c r="Q57" s="19">
        <v>0</v>
      </c>
      <c r="R57" s="19">
        <f>('[1]Bilan 2023 réel'!$E$53+'[1]Bilan 2023 réel'!$E$55+'[1]Bilan 2023 réel'!$E$57)/11.63</f>
        <v>0.86119241186586415</v>
      </c>
      <c r="S57" s="118">
        <f t="shared" si="13"/>
        <v>13.814327127821752</v>
      </c>
      <c r="T57" s="118"/>
      <c r="U57" s="175" t="s">
        <v>129</v>
      </c>
      <c r="V57" t="s">
        <v>522</v>
      </c>
      <c r="W57" t="s">
        <v>523</v>
      </c>
      <c r="X57" t="s">
        <v>524</v>
      </c>
      <c r="Y57" t="s">
        <v>525</v>
      </c>
      <c r="Z57" s="19">
        <v>0.88731978769999997</v>
      </c>
      <c r="AA57" s="19">
        <v>1.9582483660000001</v>
      </c>
      <c r="AB57" s="19">
        <v>0</v>
      </c>
      <c r="AC57" s="19">
        <v>2.1728115809999999</v>
      </c>
      <c r="AD57" s="118">
        <v>5.0183797346999999</v>
      </c>
    </row>
    <row r="58" spans="2:30" x14ac:dyDescent="0.25">
      <c r="C58" s="175" t="s">
        <v>25</v>
      </c>
      <c r="D58" t="s">
        <v>526</v>
      </c>
      <c r="E58" t="s">
        <v>527</v>
      </c>
      <c r="F58" t="s">
        <v>528</v>
      </c>
      <c r="G58" t="s">
        <v>529</v>
      </c>
      <c r="H58" s="19">
        <f>VLOOKUP(D58,Résultats!$B$2:$AX$426,'T energie vecteurs'!L5,FALSE)</f>
        <v>0</v>
      </c>
      <c r="I58" s="19">
        <f>VLOOKUP(E58,Résultats!$B$2:$AX$426,'T energie vecteurs'!L5,FALSE)</f>
        <v>2.579013438</v>
      </c>
      <c r="J58" s="19">
        <f>VLOOKUP(F58,Résultats!$B$2:$AX$426,'T energie vecteurs'!L5,FALSE)</f>
        <v>0.32527553860000002</v>
      </c>
      <c r="K58" s="19">
        <f>VLOOKUP(G58,Résultats!$B$2:$AX$426,'T energie vecteurs'!L5,FALSE)</f>
        <v>0.38914326980000002</v>
      </c>
      <c r="L58" s="118">
        <f t="shared" ref="L58" si="17">SUM(H58:K58)</f>
        <v>3.2934322464000001</v>
      </c>
      <c r="M58" s="19"/>
      <c r="N58" s="176" t="s">
        <v>25</v>
      </c>
      <c r="O58" s="36">
        <f>'[1]Bilan 2023 réel'!$T$46/11.63</f>
        <v>1.221354E-3</v>
      </c>
      <c r="P58" s="35">
        <f>SUM('[1]Bilan 2023 réel'!$T$41:$T$43)/11.63</f>
        <v>3.4194391444513199</v>
      </c>
      <c r="Q58" s="35">
        <f>'[1]Bilan 2023 réel'!$T$13/11.63</f>
        <v>0.65647798796216683</v>
      </c>
      <c r="R58" s="35">
        <f>('[1]Bilan 2023 réel'!$T$22+'[1]Bilan 2023 réel'!$T$30+SUM('[1]Bilan 2023 réel'!$T$36:$T$40)+SUM('[1]Bilan 2023 réel'!$T$44:$T$45)+'[1]Bilan 2023 réel'!$T$47)/11.63</f>
        <v>0.44186481322250887</v>
      </c>
      <c r="S58" s="168">
        <f t="shared" si="13"/>
        <v>4.5190032996359957</v>
      </c>
      <c r="T58" s="269">
        <f>S58</f>
        <v>4.5190032996359957</v>
      </c>
      <c r="U58" s="175" t="s">
        <v>25</v>
      </c>
      <c r="V58" t="s">
        <v>526</v>
      </c>
      <c r="W58" t="s">
        <v>527</v>
      </c>
      <c r="X58" t="s">
        <v>528</v>
      </c>
      <c r="Y58" t="s">
        <v>529</v>
      </c>
      <c r="Z58" s="19">
        <v>0</v>
      </c>
      <c r="AA58" s="19">
        <v>2.5896181999999999</v>
      </c>
      <c r="AB58" s="19">
        <v>0.32484001150000003</v>
      </c>
      <c r="AC58" s="19">
        <v>0.3912843755</v>
      </c>
      <c r="AD58" s="118">
        <v>3.3057425870000001</v>
      </c>
    </row>
    <row r="59" spans="2:30" x14ac:dyDescent="0.25">
      <c r="C59" s="29" t="s">
        <v>26</v>
      </c>
      <c r="D59" s="10"/>
      <c r="E59" s="10"/>
      <c r="F59" s="10"/>
      <c r="G59" s="10"/>
      <c r="H59" s="9">
        <f>SUM(H50,H53:H55)</f>
        <v>2.9159867990000001</v>
      </c>
      <c r="I59" s="9">
        <f>SUM(I50,I53:I55)</f>
        <v>63.901524644999995</v>
      </c>
      <c r="J59" s="9">
        <f>SUM(J50,J53:J55)</f>
        <v>37.507886864900001</v>
      </c>
      <c r="K59" s="9">
        <f>SUM(K50,K53:K55)</f>
        <v>42.105905944352202</v>
      </c>
      <c r="L59" s="121">
        <f>SUM(H59:K59)</f>
        <v>146.43130425325219</v>
      </c>
      <c r="M59" s="103"/>
      <c r="N59" s="177" t="s">
        <v>26</v>
      </c>
      <c r="O59" s="40">
        <f>O50+O53+O54+O55+O58</f>
        <v>3.8596309130558897</v>
      </c>
      <c r="P59" s="38">
        <f>P50+P53+P54+P55+P58</f>
        <v>62.785920353958417</v>
      </c>
      <c r="Q59" s="38">
        <f>Q50+Q53+Q54+Q55+Q58</f>
        <v>34.652474462596736</v>
      </c>
      <c r="R59" s="38">
        <f>R50+R53+R54+R55+R58</f>
        <v>41.164509995478554</v>
      </c>
      <c r="S59" s="170">
        <f t="shared" si="13"/>
        <v>142.46253572508959</v>
      </c>
      <c r="T59" s="268">
        <f>SUM(T50:T58)</f>
        <v>138.206474699963</v>
      </c>
      <c r="U59" s="29" t="s">
        <v>26</v>
      </c>
      <c r="V59" s="10"/>
      <c r="W59" s="10"/>
      <c r="X59" s="10"/>
      <c r="Y59" s="10"/>
      <c r="Z59" s="9">
        <v>2.9166614789</v>
      </c>
      <c r="AA59" s="9">
        <v>64.232891440999992</v>
      </c>
      <c r="AB59" s="9">
        <v>37.433643583199995</v>
      </c>
      <c r="AC59" s="9">
        <v>42.330150351649003</v>
      </c>
      <c r="AD59" s="121">
        <v>146.91334685474899</v>
      </c>
    </row>
    <row r="60" spans="2:30" s="3" customFormat="1" x14ac:dyDescent="0.25">
      <c r="O60" s="101"/>
      <c r="P60" s="101"/>
      <c r="Q60" s="101"/>
      <c r="R60" s="102"/>
      <c r="S60" s="67"/>
    </row>
    <row r="61" spans="2:30" s="3" customFormat="1" x14ac:dyDescent="0.25">
      <c r="B61" s="82"/>
      <c r="K61" s="69"/>
      <c r="O61" s="103"/>
      <c r="P61" s="103"/>
      <c r="Q61" s="103"/>
      <c r="R61" s="104"/>
      <c r="S61" s="105"/>
      <c r="AC61" s="69"/>
    </row>
    <row r="62" spans="2:30" ht="31.5" x14ac:dyDescent="0.35">
      <c r="C62" s="171">
        <v>2025</v>
      </c>
      <c r="D62" s="172"/>
      <c r="E62" s="172"/>
      <c r="F62" s="172"/>
      <c r="G62" s="172"/>
      <c r="H62" s="99" t="s">
        <v>36</v>
      </c>
      <c r="I62" s="99" t="s">
        <v>131</v>
      </c>
      <c r="J62" s="99" t="s">
        <v>38</v>
      </c>
      <c r="K62" s="99" t="s">
        <v>130</v>
      </c>
      <c r="L62" s="116" t="s">
        <v>1</v>
      </c>
      <c r="M62" s="25"/>
      <c r="N62" s="171">
        <v>2025</v>
      </c>
      <c r="O62" s="167" t="s">
        <v>36</v>
      </c>
      <c r="P62" s="99" t="s">
        <v>131</v>
      </c>
      <c r="Q62" s="99" t="s">
        <v>38</v>
      </c>
      <c r="R62" s="99" t="s">
        <v>130</v>
      </c>
      <c r="S62" s="116" t="s">
        <v>1</v>
      </c>
      <c r="T62" s="267" t="s">
        <v>530</v>
      </c>
      <c r="U62" s="171">
        <v>2025</v>
      </c>
      <c r="V62" s="172"/>
      <c r="W62" s="172"/>
      <c r="X62" s="172"/>
      <c r="Y62" s="172"/>
      <c r="Z62" s="99" t="s">
        <v>36</v>
      </c>
      <c r="AA62" s="99" t="s">
        <v>131</v>
      </c>
      <c r="AB62" s="99" t="s">
        <v>38</v>
      </c>
      <c r="AC62" s="99" t="s">
        <v>130</v>
      </c>
      <c r="AD62" s="116" t="s">
        <v>1</v>
      </c>
    </row>
    <row r="63" spans="2:30" x14ac:dyDescent="0.25">
      <c r="C63" s="173" t="s">
        <v>18</v>
      </c>
      <c r="H63" s="8">
        <f>SUM(H64:H65)</f>
        <v>0</v>
      </c>
      <c r="I63" s="8">
        <f>SUM(I64:I65)</f>
        <v>40.621094119999995</v>
      </c>
      <c r="J63" s="8">
        <f>SUM(J64:J65)</f>
        <v>2.4274176533999996</v>
      </c>
      <c r="K63" s="8">
        <f>SUM(K64:K65)</f>
        <v>0.58965939751380003</v>
      </c>
      <c r="L63" s="119">
        <f t="shared" ref="L63:L72" si="18">SUM(H63:K63)</f>
        <v>43.638171170913793</v>
      </c>
      <c r="M63" s="97"/>
      <c r="N63" s="176" t="s">
        <v>18</v>
      </c>
      <c r="O63" s="36">
        <f>'[1]Bilan 2025'!$X$46/11.63</f>
        <v>0</v>
      </c>
      <c r="P63" s="35">
        <f>SUM('[1]Bilan 2025'!$X$41:$X$43)/11.63</f>
        <v>38.545929814739537</v>
      </c>
      <c r="Q63" s="35">
        <f>'[1]Bilan 2025'!$X$13/11.63</f>
        <v>1.5398477407339692</v>
      </c>
      <c r="R63" s="35">
        <f>('[1]Bilan 2025'!$X$22+'[1]Bilan 2025'!$X$30+SUM('[1]Bilan 2025'!$X$36:$X$40)+SUM('[1]Bilan 2025'!$X$44:$X$45)+'[1]Bilan 2025'!$X$47)/11.63</f>
        <v>0.58333134363889538</v>
      </c>
      <c r="S63" s="168">
        <f>SUM(O63:R63)</f>
        <v>40.669108899112402</v>
      </c>
      <c r="T63" s="269">
        <f>S63</f>
        <v>40.669108899112402</v>
      </c>
      <c r="U63" s="173" t="s">
        <v>18</v>
      </c>
      <c r="Z63" s="8">
        <v>0</v>
      </c>
      <c r="AA63" s="8">
        <v>40.699701430000005</v>
      </c>
      <c r="AB63" s="8">
        <v>2.4265071440000003</v>
      </c>
      <c r="AC63" s="8">
        <v>0.59041854558220008</v>
      </c>
      <c r="AD63" s="119">
        <v>43.716627119582206</v>
      </c>
    </row>
    <row r="64" spans="2:30" x14ac:dyDescent="0.25">
      <c r="C64" s="174" t="s">
        <v>19</v>
      </c>
      <c r="D64" t="s">
        <v>502</v>
      </c>
      <c r="E64" t="s">
        <v>503</v>
      </c>
      <c r="F64" t="s">
        <v>504</v>
      </c>
      <c r="G64" t="s">
        <v>505</v>
      </c>
      <c r="H64" s="19">
        <f>VLOOKUP(D64,Résultats!$B$2:$AX$426,'T energie vecteurs'!N5,FALSE)</f>
        <v>0</v>
      </c>
      <c r="I64" s="19">
        <f>VLOOKUP(E64,Résultats!$B$2:$AX$426,'T energie vecteurs'!N5,FALSE)</f>
        <v>21.67879885</v>
      </c>
      <c r="J64" s="19">
        <f>VLOOKUP(F64,Résultats!$B$2:$AX$426,'T energie vecteurs'!N5,FALSE)</f>
        <v>0.21827907939999999</v>
      </c>
      <c r="K64" s="19">
        <f>VLOOKUP(G77,Résultats!$B$2:$AX$426,'T energie vecteurs'!N5,FALSE)</f>
        <v>2.4759713800000001E-5</v>
      </c>
      <c r="L64" s="118">
        <f t="shared" si="18"/>
        <v>21.897102689113797</v>
      </c>
      <c r="M64" s="19"/>
      <c r="N64" s="174" t="s">
        <v>19</v>
      </c>
      <c r="O64" s="169"/>
      <c r="P64" s="19"/>
      <c r="Q64" s="55"/>
      <c r="R64" s="19"/>
      <c r="S64" s="118"/>
      <c r="T64" s="118"/>
      <c r="U64" s="174" t="s">
        <v>19</v>
      </c>
      <c r="V64" t="s">
        <v>502</v>
      </c>
      <c r="W64" t="s">
        <v>503</v>
      </c>
      <c r="X64" t="s">
        <v>504</v>
      </c>
      <c r="Y64" t="s">
        <v>505</v>
      </c>
      <c r="Z64" s="19">
        <v>0</v>
      </c>
      <c r="AA64" s="19">
        <v>21.683941870000002</v>
      </c>
      <c r="AB64" s="19">
        <v>0.219046135</v>
      </c>
      <c r="AC64" s="19">
        <v>2.4893582199999999E-5</v>
      </c>
      <c r="AD64" s="118">
        <v>21.903012898582201</v>
      </c>
    </row>
    <row r="65" spans="3:30" x14ac:dyDescent="0.25">
      <c r="C65" s="175" t="s">
        <v>20</v>
      </c>
      <c r="D65" t="s">
        <v>506</v>
      </c>
      <c r="E65" t="s">
        <v>507</v>
      </c>
      <c r="F65" t="s">
        <v>508</v>
      </c>
      <c r="G65" t="s">
        <v>509</v>
      </c>
      <c r="H65" s="19">
        <f>VLOOKUP(D65,Résultats!$B$2:$AX$426,'T energie vecteurs'!N5,FALSE)</f>
        <v>0</v>
      </c>
      <c r="I65" s="19">
        <f>VLOOKUP(E65,Résultats!$B$2:$AX$426,'T energie vecteurs'!N5,FALSE)</f>
        <v>18.942295269999999</v>
      </c>
      <c r="J65" s="19">
        <f>VLOOKUP(F65,Résultats!$B$2:$AX$426,'T energie vecteurs'!N5,FALSE)</f>
        <v>2.2091385739999998</v>
      </c>
      <c r="K65" s="19">
        <f>VLOOKUP(G65,Résultats!$B$2:$AX$426,'T energie vecteurs'!N5,FALSE)</f>
        <v>0.58963463780000003</v>
      </c>
      <c r="L65" s="118">
        <f t="shared" si="18"/>
        <v>21.741068481799999</v>
      </c>
      <c r="M65" s="19"/>
      <c r="N65" s="175" t="s">
        <v>20</v>
      </c>
      <c r="O65" s="169"/>
      <c r="P65" s="19"/>
      <c r="Q65" s="55"/>
      <c r="R65" s="19"/>
      <c r="S65" s="118"/>
      <c r="T65" s="118"/>
      <c r="U65" s="175" t="s">
        <v>20</v>
      </c>
      <c r="V65" t="s">
        <v>506</v>
      </c>
      <c r="W65" t="s">
        <v>507</v>
      </c>
      <c r="X65" t="s">
        <v>508</v>
      </c>
      <c r="Y65" t="s">
        <v>509</v>
      </c>
      <c r="Z65" s="19">
        <v>0</v>
      </c>
      <c r="AA65" s="19">
        <v>19.015759559999999</v>
      </c>
      <c r="AB65" s="19">
        <v>2.2074610090000002</v>
      </c>
      <c r="AC65" s="19">
        <v>0.59039365200000005</v>
      </c>
      <c r="AD65" s="118">
        <v>21.813614220999998</v>
      </c>
    </row>
    <row r="66" spans="3:30" x14ac:dyDescent="0.25">
      <c r="C66" s="173" t="s">
        <v>21</v>
      </c>
      <c r="D66" t="s">
        <v>510</v>
      </c>
      <c r="E66" t="s">
        <v>511</v>
      </c>
      <c r="F66" t="s">
        <v>512</v>
      </c>
      <c r="G66" t="s">
        <v>513</v>
      </c>
      <c r="H66" s="8">
        <f>VLOOKUP(D66,Résultats!$B$2:$AX$426,'T energie vecteurs'!N5,FALSE)</f>
        <v>0.2900306506</v>
      </c>
      <c r="I66" s="8">
        <f>VLOOKUP(E66,Résultats!$B$2:$AX$426,'T energie vecteurs'!N5,FALSE)</f>
        <v>6.1706807619999999</v>
      </c>
      <c r="J66" s="8">
        <f>VLOOKUP(F66,Résultats!$B$2:$AX$426,'T energie vecteurs'!N5,FALSE)</f>
        <v>14.84573971</v>
      </c>
      <c r="K66" s="8">
        <f>VLOOKUP(G66,Résultats!$B$2:$AX$426,'T energie vecteurs'!N5,FALSE)+2</f>
        <v>18.466119500000001</v>
      </c>
      <c r="L66" s="119">
        <f t="shared" si="18"/>
        <v>39.7725706226</v>
      </c>
      <c r="M66" s="97"/>
      <c r="N66" s="176" t="s">
        <v>21</v>
      </c>
      <c r="O66" s="36">
        <f>'[1]Bilan 2025'!$V$46/11.63</f>
        <v>0</v>
      </c>
      <c r="P66" s="35">
        <f>SUM('[1]Bilan 2025'!$V$41:$V$43)/11.63</f>
        <v>3.5326526805330594</v>
      </c>
      <c r="Q66" s="35">
        <f>'[1]Bilan 2025'!$V$13/11.63</f>
        <v>14.460312572692807</v>
      </c>
      <c r="R66" s="35">
        <f>('[1]Bilan 2025'!$V$22+'[1]Bilan 2025'!$V$30+SUM('[1]Bilan 2025'!$V$36:$V$40)+SUM('[1]Bilan 2025'!$V$44:$V$45)+'[1]Bilan 2025'!$V$47)/11.63</f>
        <v>21.112528803330196</v>
      </c>
      <c r="S66" s="168">
        <f t="shared" ref="S66:S72" si="19">SUM(O66:R66)</f>
        <v>39.105494056556061</v>
      </c>
      <c r="T66" s="269">
        <f>S66-'[1]Bilan 2025'!$V$40/11.63</f>
        <v>36.284238189921979</v>
      </c>
      <c r="U66" s="173" t="s">
        <v>21</v>
      </c>
      <c r="V66" t="s">
        <v>510</v>
      </c>
      <c r="W66" t="s">
        <v>511</v>
      </c>
      <c r="X66" t="s">
        <v>512</v>
      </c>
      <c r="Y66" t="s">
        <v>513</v>
      </c>
      <c r="Z66" s="258">
        <v>0.2908558618</v>
      </c>
      <c r="AA66" s="258">
        <v>6.1691089359999998</v>
      </c>
      <c r="AB66" s="258">
        <v>14.843837690000001</v>
      </c>
      <c r="AC66" s="258">
        <v>18.572748560000001</v>
      </c>
      <c r="AD66" s="259">
        <v>39.8765510478</v>
      </c>
    </row>
    <row r="67" spans="3:30" x14ac:dyDescent="0.25">
      <c r="C67" s="173" t="s">
        <v>22</v>
      </c>
      <c r="D67" t="s">
        <v>514</v>
      </c>
      <c r="E67" t="s">
        <v>515</v>
      </c>
      <c r="F67" t="s">
        <v>516</v>
      </c>
      <c r="G67" t="s">
        <v>517</v>
      </c>
      <c r="H67" s="8">
        <f>VLOOKUP(D67,Résultats!$B$2:$AX$426,'T energie vecteurs'!N5,FALSE)</f>
        <v>0</v>
      </c>
      <c r="I67" s="8">
        <f>VLOOKUP(E67,Résultats!$B$2:$AX$426,'T energie vecteurs'!N5,FALSE)</f>
        <v>2.609328659</v>
      </c>
      <c r="J67" s="8">
        <f>VLOOKUP(F67,Résultats!$B$2:$AX$426,'T energie vecteurs'!N5,FALSE)</f>
        <v>11.29712074</v>
      </c>
      <c r="K67" s="8">
        <f>VLOOKUP(G67,Résultats!$B$2:$AX$426,'T energie vecteurs'!N5,FALSE)</f>
        <v>7.9252513269999998</v>
      </c>
      <c r="L67" s="119">
        <f t="shared" si="18"/>
        <v>21.831700726000001</v>
      </c>
      <c r="M67" s="97"/>
      <c r="N67" s="176" t="s">
        <v>22</v>
      </c>
      <c r="O67" s="36">
        <f>('[1]Bilan 2025'!$W$46)/11.63</f>
        <v>0</v>
      </c>
      <c r="P67" s="35">
        <f>SUM('[1]Bilan 2025'!$W$41:$W$43)/11.63</f>
        <v>1.829600236722577</v>
      </c>
      <c r="Q67" s="35">
        <f>('[1]Bilan 2025'!$W$13)/11.63</f>
        <v>11.310258924417251</v>
      </c>
      <c r="R67" s="35">
        <f>('[1]Bilan 2025'!$W$22+'[1]Bilan 2025'!$W$30+SUM('[1]Bilan 2025'!$W$36:$W$40)+SUM('[1]Bilan 2025'!$W$44:$W$45)+'[1]Bilan 2025'!$W$47)/11.63</f>
        <v>7.3063892907205394</v>
      </c>
      <c r="S67" s="168">
        <f t="shared" si="19"/>
        <v>20.446248451860367</v>
      </c>
      <c r="T67" s="269">
        <f>S67-'[1]Bilan 2025'!$W$40/11.63</f>
        <v>19.886658071626901</v>
      </c>
      <c r="U67" s="173" t="s">
        <v>22</v>
      </c>
      <c r="V67" t="s">
        <v>514</v>
      </c>
      <c r="W67" t="s">
        <v>515</v>
      </c>
      <c r="X67" t="s">
        <v>516</v>
      </c>
      <c r="Y67" t="s">
        <v>517</v>
      </c>
      <c r="Z67" s="8">
        <v>0</v>
      </c>
      <c r="AA67" s="8">
        <v>2.6081854419999999</v>
      </c>
      <c r="AB67" s="8">
        <v>11.29978311</v>
      </c>
      <c r="AC67" s="8">
        <v>7.9434976160000001</v>
      </c>
      <c r="AD67" s="119">
        <v>21.851466168000002</v>
      </c>
    </row>
    <row r="68" spans="3:30" x14ac:dyDescent="0.25">
      <c r="C68" s="173" t="s">
        <v>23</v>
      </c>
      <c r="H68" s="8">
        <f>SUM(H69:H71)</f>
        <v>2.4959904172999998</v>
      </c>
      <c r="I68" s="8">
        <f>SUM(I69:I71)</f>
        <v>13.146810951999999</v>
      </c>
      <c r="J68" s="8">
        <f>SUM(J69:J71)</f>
        <v>10.1440218297</v>
      </c>
      <c r="K68" s="8">
        <f>SUM(K69:K71)</f>
        <v>15.348407290000001</v>
      </c>
      <c r="L68" s="119">
        <f t="shared" si="18"/>
        <v>41.135230488999994</v>
      </c>
      <c r="M68" s="97"/>
      <c r="N68" s="176" t="s">
        <v>252</v>
      </c>
      <c r="O68" s="36">
        <f>O69+O70</f>
        <v>4.2119673749809596</v>
      </c>
      <c r="P68" s="35">
        <f t="shared" ref="P68:R68" si="20">P69+P70</f>
        <v>13.344099936220454</v>
      </c>
      <c r="Q68" s="35">
        <f t="shared" si="20"/>
        <v>9.4854890713287645</v>
      </c>
      <c r="R68" s="35">
        <f t="shared" si="20"/>
        <v>13.855608235952786</v>
      </c>
      <c r="S68" s="168">
        <f t="shared" si="19"/>
        <v>40.897164618482961</v>
      </c>
      <c r="T68" s="269">
        <f t="shared" ref="T68" si="21">S68</f>
        <v>40.897164618482961</v>
      </c>
      <c r="U68" s="173" t="s">
        <v>23</v>
      </c>
      <c r="Z68" s="8">
        <v>2.4964859699000002</v>
      </c>
      <c r="AA68" s="8">
        <v>13.49723883399999</v>
      </c>
      <c r="AB68" s="8">
        <v>10.105529705999999</v>
      </c>
      <c r="AC68" s="8">
        <v>15.389842977000001</v>
      </c>
      <c r="AD68" s="119">
        <v>41.489097486899993</v>
      </c>
    </row>
    <row r="69" spans="3:30" x14ac:dyDescent="0.25">
      <c r="C69" s="175" t="s">
        <v>24</v>
      </c>
      <c r="D69" t="s">
        <v>518</v>
      </c>
      <c r="E69" t="s">
        <v>519</v>
      </c>
      <c r="F69" t="s">
        <v>520</v>
      </c>
      <c r="G69" t="s">
        <v>521</v>
      </c>
      <c r="H69" s="19">
        <f>VLOOKUP(D69,Résultats!$B$2:$AX$426,'T energie vecteurs'!N5,FALSE)</f>
        <v>1.6284517590000001</v>
      </c>
      <c r="I69" s="19">
        <f>VLOOKUP(E69,Résultats!$B$2:$AX$426,'T energie vecteurs'!N5,FALSE)</f>
        <v>8.4062456210000001</v>
      </c>
      <c r="J69" s="19">
        <f>VLOOKUP(F69,Résultats!$B$2:$AX$426,'T energie vecteurs'!N5,FALSE)</f>
        <v>9.8126890719999995</v>
      </c>
      <c r="K69" s="19">
        <f>VLOOKUP(G69,Résultats!$B$2:$AX$426,'T energie vecteurs'!N5,FALSE)</f>
        <v>12.709932650000001</v>
      </c>
      <c r="L69" s="118">
        <f t="shared" si="18"/>
        <v>32.557319102000001</v>
      </c>
      <c r="M69" s="19"/>
      <c r="N69" s="175" t="s">
        <v>253</v>
      </c>
      <c r="O69" s="169">
        <f>'[1]Bilan 2025'!$U$46/11.63</f>
        <v>0.6091486948433853</v>
      </c>
      <c r="P69" s="37">
        <f>SUM('[1]Bilan 2025'!$U$41:$U$43)/11.63</f>
        <v>2.4024529807619608</v>
      </c>
      <c r="Q69" s="37">
        <f>'[1]Bilan 2025'!$U$13/11.63</f>
        <v>9.4854890713287645</v>
      </c>
      <c r="R69" s="37">
        <f>('[1]Bilan 2025'!$U$22+'[1]Bilan 2025'!$U$30+SUM('[1]Bilan 2025'!$U$36:$U$40)+SUM('[1]Bilan 2025'!$U$44:$U$45)+'[1]Bilan 2025'!$U$47)/11.63</f>
        <v>12.777479857495365</v>
      </c>
      <c r="S69" s="118">
        <f t="shared" si="19"/>
        <v>25.274570604429478</v>
      </c>
      <c r="T69" s="118"/>
      <c r="U69" s="175" t="s">
        <v>24</v>
      </c>
      <c r="V69" t="s">
        <v>518</v>
      </c>
      <c r="W69" t="s">
        <v>519</v>
      </c>
      <c r="X69" t="s">
        <v>520</v>
      </c>
      <c r="Y69" t="s">
        <v>521</v>
      </c>
      <c r="Z69" s="19">
        <v>1.6276424629999999</v>
      </c>
      <c r="AA69" s="19">
        <v>8.7466416729999903</v>
      </c>
      <c r="AB69" s="19">
        <v>9.7739915229999994</v>
      </c>
      <c r="AC69" s="19">
        <v>12.75028402</v>
      </c>
      <c r="AD69" s="118">
        <v>32.898559678999987</v>
      </c>
    </row>
    <row r="70" spans="3:30" x14ac:dyDescent="0.25">
      <c r="C70" s="175" t="s">
        <v>129</v>
      </c>
      <c r="D70" t="s">
        <v>522</v>
      </c>
      <c r="E70" t="s">
        <v>523</v>
      </c>
      <c r="F70" t="s">
        <v>524</v>
      </c>
      <c r="G70" t="s">
        <v>525</v>
      </c>
      <c r="H70" s="19">
        <f>VLOOKUP(D70,Résultats!$B$2:$AX$426,'T energie vecteurs'!N5,FALSE)</f>
        <v>0.86753865829999999</v>
      </c>
      <c r="I70" s="19">
        <f>VLOOKUP(E70,Résultats!$B$2:$AX$426,'T energie vecteurs'!N5,FALSE)</f>
        <v>2.0270508860000001</v>
      </c>
      <c r="J70" s="19">
        <f>VLOOKUP(F70,Résultats!$B$2:$AX$426,'T energie vecteurs'!N5,FALSE)</f>
        <v>0</v>
      </c>
      <c r="K70" s="19">
        <f>VLOOKUP(G70,Résultats!$B$2:$AX$426,'T energie vecteurs'!N5,FALSE)</f>
        <v>2.232513752</v>
      </c>
      <c r="L70" s="118">
        <f t="shared" si="18"/>
        <v>5.1271032962999996</v>
      </c>
      <c r="M70" s="19"/>
      <c r="N70" s="175" t="s">
        <v>129</v>
      </c>
      <c r="O70" s="28">
        <f>'[1]Bilan 2025'!$E$52/11.63</f>
        <v>3.6028186801375743</v>
      </c>
      <c r="P70" s="19">
        <f>('[1]Bilan 2025'!$E$54+'[1]Bilan 2025'!$E$56)/11.63</f>
        <v>10.941646955458493</v>
      </c>
      <c r="Q70" s="19">
        <v>0</v>
      </c>
      <c r="R70" s="19">
        <f>('[1]Bilan 2025'!$E$53+'[1]Bilan 2025'!$E$55+'[1]Bilan 2025'!$E$57)/11.63</f>
        <v>1.0781283784574212</v>
      </c>
      <c r="S70" s="118">
        <f t="shared" si="19"/>
        <v>15.622594014053488</v>
      </c>
      <c r="T70" s="118"/>
      <c r="U70" s="175" t="s">
        <v>129</v>
      </c>
      <c r="V70" t="s">
        <v>522</v>
      </c>
      <c r="W70" t="s">
        <v>523</v>
      </c>
      <c r="X70" t="s">
        <v>524</v>
      </c>
      <c r="Y70" t="s">
        <v>525</v>
      </c>
      <c r="Z70" s="19">
        <v>0.86884350690000001</v>
      </c>
      <c r="AA70" s="19">
        <v>2.0264202010000001</v>
      </c>
      <c r="AB70" s="19">
        <v>0</v>
      </c>
      <c r="AC70" s="19">
        <v>2.2324558149999998</v>
      </c>
      <c r="AD70" s="118">
        <v>5.1277195228999997</v>
      </c>
    </row>
    <row r="71" spans="3:30" x14ac:dyDescent="0.25">
      <c r="C71" s="175" t="s">
        <v>25</v>
      </c>
      <c r="D71" t="s">
        <v>526</v>
      </c>
      <c r="E71" t="s">
        <v>527</v>
      </c>
      <c r="F71" t="s">
        <v>528</v>
      </c>
      <c r="G71" t="s">
        <v>529</v>
      </c>
      <c r="H71" s="19">
        <f>VLOOKUP(D71,Résultats!$B$2:$AX$426,'T energie vecteurs'!N5,FALSE)</f>
        <v>0</v>
      </c>
      <c r="I71" s="19">
        <f>VLOOKUP(E71,Résultats!$B$2:$AX$426,'T energie vecteurs'!N5,FALSE)</f>
        <v>2.7135144449999999</v>
      </c>
      <c r="J71" s="19">
        <f>VLOOKUP(F71,Résultats!$B$2:$AX$426,'T energie vecteurs'!N5,FALSE)</f>
        <v>0.33133275769999998</v>
      </c>
      <c r="K71" s="19">
        <f>VLOOKUP(G71,Résultats!$B$2:$AX$426,'T energie vecteurs'!N5,FALSE)</f>
        <v>0.40596088800000002</v>
      </c>
      <c r="L71" s="118">
        <f t="shared" si="18"/>
        <v>3.4508080906999998</v>
      </c>
      <c r="M71" s="19"/>
      <c r="N71" s="176" t="s">
        <v>25</v>
      </c>
      <c r="O71" s="36">
        <f>'[1]Bilan 2025'!$T$46/11.63</f>
        <v>0</v>
      </c>
      <c r="P71" s="35">
        <f>SUM('[1]Bilan 2025'!$T$41:$T$43)/11.63</f>
        <v>3.1602006312216266</v>
      </c>
      <c r="Q71" s="35">
        <f>'[1]Bilan 2025'!$T$13/11.63</f>
        <v>0.70898600777464971</v>
      </c>
      <c r="R71" s="35">
        <f>('[1]Bilan 2025'!$T$22+'[1]Bilan 2025'!$T$30+SUM('[1]Bilan 2025'!$T$36:$T$40)+SUM('[1]Bilan 2025'!$T$44:$T$45)+'[1]Bilan 2025'!$T$47)/11.63</f>
        <v>0.28264741564176488</v>
      </c>
      <c r="S71" s="168">
        <f t="shared" si="19"/>
        <v>4.1518340546380408</v>
      </c>
      <c r="T71" s="269">
        <f>S71</f>
        <v>4.1518340546380408</v>
      </c>
      <c r="U71" s="175" t="s">
        <v>25</v>
      </c>
      <c r="V71" t="s">
        <v>526</v>
      </c>
      <c r="W71" t="s">
        <v>527</v>
      </c>
      <c r="X71" t="s">
        <v>528</v>
      </c>
      <c r="Y71" t="s">
        <v>529</v>
      </c>
      <c r="Z71" s="19">
        <v>0</v>
      </c>
      <c r="AA71" s="19">
        <v>2.7241769599999999</v>
      </c>
      <c r="AB71" s="19">
        <v>0.33153818299999999</v>
      </c>
      <c r="AC71" s="19">
        <v>0.40710314199999997</v>
      </c>
      <c r="AD71" s="118">
        <v>3.462818285</v>
      </c>
    </row>
    <row r="72" spans="3:30" x14ac:dyDescent="0.25">
      <c r="C72" s="29" t="s">
        <v>26</v>
      </c>
      <c r="D72" s="10"/>
      <c r="E72" s="10"/>
      <c r="F72" s="10"/>
      <c r="G72" s="10"/>
      <c r="H72" s="9">
        <f>SUM(H63,H66:H68)</f>
        <v>2.7860210678999997</v>
      </c>
      <c r="I72" s="9">
        <f>SUM(I63,I66:I68)</f>
        <v>62.547914492999993</v>
      </c>
      <c r="J72" s="9">
        <f>SUM(J63,J66:J68)</f>
        <v>38.714299933100001</v>
      </c>
      <c r="K72" s="9">
        <f>SUM(K63,K66:K68)</f>
        <v>42.329437514513799</v>
      </c>
      <c r="L72" s="121">
        <f t="shared" si="18"/>
        <v>146.3776730085138</v>
      </c>
      <c r="M72" s="103"/>
      <c r="N72" s="177" t="s">
        <v>26</v>
      </c>
      <c r="O72" s="40">
        <f>O63+O66+O67+O68+O71</f>
        <v>4.2119673749809596</v>
      </c>
      <c r="P72" s="38">
        <f>P63+P66+P67+P68+P71</f>
        <v>60.412483299437255</v>
      </c>
      <c r="Q72" s="38">
        <f>Q63+Q66+Q67+Q68+Q71</f>
        <v>37.504894316947436</v>
      </c>
      <c r="R72" s="38">
        <f>R63+R66+R67+R68+R71</f>
        <v>43.140505089284176</v>
      </c>
      <c r="S72" s="170">
        <f t="shared" si="19"/>
        <v>145.26985008064983</v>
      </c>
      <c r="T72" s="268">
        <f>SUM(T63:T71)</f>
        <v>141.88900383378228</v>
      </c>
      <c r="U72" s="29" t="s">
        <v>26</v>
      </c>
      <c r="V72" s="10"/>
      <c r="W72" s="10"/>
      <c r="X72" s="10"/>
      <c r="Y72" s="10"/>
      <c r="Z72" s="9">
        <v>2.7873418317</v>
      </c>
      <c r="AA72" s="9">
        <v>62.974234641999999</v>
      </c>
      <c r="AB72" s="9">
        <v>38.675657649999998</v>
      </c>
      <c r="AC72" s="9">
        <v>42.496507698582199</v>
      </c>
      <c r="AD72" s="121">
        <v>146.9337418222822</v>
      </c>
    </row>
    <row r="73" spans="3:30" s="3" customFormat="1" x14ac:dyDescent="0.25">
      <c r="H73" s="67"/>
      <c r="I73" s="67"/>
      <c r="J73" s="67"/>
      <c r="K73" s="67"/>
      <c r="L73" s="67"/>
      <c r="M73" s="67"/>
      <c r="N73" s="67"/>
      <c r="O73" s="101"/>
      <c r="P73" s="101"/>
      <c r="Q73" s="101"/>
      <c r="R73" s="102"/>
      <c r="S73" s="67"/>
      <c r="T73" s="67"/>
      <c r="Z73" s="67"/>
      <c r="AA73" s="67"/>
      <c r="AB73" s="67"/>
      <c r="AC73" s="67"/>
      <c r="AD73" s="67"/>
    </row>
    <row r="74" spans="3:30" s="3" customFormat="1" x14ac:dyDescent="0.25"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Z74" s="67"/>
      <c r="AA74" s="67"/>
      <c r="AB74" s="67"/>
      <c r="AC74" s="67"/>
      <c r="AD74" s="67"/>
    </row>
    <row r="75" spans="3:30" ht="31.5" x14ac:dyDescent="0.35">
      <c r="C75" s="171">
        <v>2030</v>
      </c>
      <c r="D75" s="172"/>
      <c r="E75" s="172"/>
      <c r="F75" s="172"/>
      <c r="G75" s="172"/>
      <c r="H75" s="99" t="s">
        <v>36</v>
      </c>
      <c r="I75" s="99" t="s">
        <v>131</v>
      </c>
      <c r="J75" s="99" t="s">
        <v>38</v>
      </c>
      <c r="K75" s="99" t="s">
        <v>130</v>
      </c>
      <c r="L75" s="116" t="s">
        <v>1</v>
      </c>
      <c r="M75" s="25"/>
      <c r="N75" s="171">
        <v>2030</v>
      </c>
      <c r="O75" s="167" t="s">
        <v>36</v>
      </c>
      <c r="P75" s="99" t="s">
        <v>131</v>
      </c>
      <c r="Q75" s="99" t="s">
        <v>38</v>
      </c>
      <c r="R75" s="99" t="s">
        <v>130</v>
      </c>
      <c r="S75" s="116" t="s">
        <v>1</v>
      </c>
      <c r="T75" s="267" t="s">
        <v>530</v>
      </c>
      <c r="U75" s="171">
        <v>2030</v>
      </c>
      <c r="V75" s="172"/>
      <c r="W75" s="172"/>
      <c r="X75" s="172"/>
      <c r="Y75" s="172"/>
      <c r="Z75" s="99" t="s">
        <v>36</v>
      </c>
      <c r="AA75" s="99" t="s">
        <v>131</v>
      </c>
      <c r="AB75" s="99" t="s">
        <v>38</v>
      </c>
      <c r="AC75" s="99" t="s">
        <v>130</v>
      </c>
      <c r="AD75" s="116" t="s">
        <v>1</v>
      </c>
    </row>
    <row r="76" spans="3:30" x14ac:dyDescent="0.25">
      <c r="C76" s="173" t="s">
        <v>18</v>
      </c>
      <c r="H76" s="8">
        <f>SUM(H77:H78)</f>
        <v>0</v>
      </c>
      <c r="I76" s="8">
        <f>SUM(I77:I78)</f>
        <v>38.212230480000002</v>
      </c>
      <c r="J76" s="8">
        <f>SUM(J77:J78)</f>
        <v>3.4691389041999998</v>
      </c>
      <c r="K76" s="8">
        <f>SUM(K77:K78)</f>
        <v>1.318753899007</v>
      </c>
      <c r="L76" s="119">
        <f>SUM(H76:K76)</f>
        <v>43.000123283207003</v>
      </c>
      <c r="M76" s="97"/>
      <c r="N76" s="176" t="s">
        <v>18</v>
      </c>
      <c r="O76" s="36">
        <f>'[1]Bilan 2030'!$X$46/11.63</f>
        <v>0</v>
      </c>
      <c r="P76" s="35">
        <f>SUM('[1]Bilan 2030'!$X$41:$X$43)/11.63</f>
        <v>32.470940737285289</v>
      </c>
      <c r="Q76" s="35">
        <f>'[1]Bilan 2030'!$X$13/11.63</f>
        <v>2.5998015829265277</v>
      </c>
      <c r="R76" s="35">
        <f>('[1]Bilan 2030'!$X$22+'[1]Bilan 2030'!$X$30+SUM('[1]Bilan 2030'!$X$36:$X$40)+SUM('[1]Bilan 2030'!$X$44:$X$45)+'[1]Bilan 2030'!$X$47)/11.63</f>
        <v>1.3190285045112766</v>
      </c>
      <c r="S76" s="168">
        <f>SUM(O76:R76)</f>
        <v>36.389770824723101</v>
      </c>
      <c r="T76" s="269">
        <f>S76</f>
        <v>36.389770824723101</v>
      </c>
      <c r="U76" s="173" t="s">
        <v>18</v>
      </c>
      <c r="Z76" s="8">
        <v>0</v>
      </c>
      <c r="AA76" s="8">
        <v>38.299645589999997</v>
      </c>
      <c r="AB76" s="8">
        <v>3.4744407914000002</v>
      </c>
      <c r="AC76" s="8">
        <v>1.3206843080521</v>
      </c>
      <c r="AD76" s="119">
        <v>43.094770689452098</v>
      </c>
    </row>
    <row r="77" spans="3:30" x14ac:dyDescent="0.25">
      <c r="C77" s="174" t="s">
        <v>19</v>
      </c>
      <c r="D77" t="s">
        <v>502</v>
      </c>
      <c r="E77" t="s">
        <v>503</v>
      </c>
      <c r="F77" t="s">
        <v>504</v>
      </c>
      <c r="G77" t="s">
        <v>505</v>
      </c>
      <c r="H77" s="19">
        <f>VLOOKUP(D77,Résultats!$B$2:$AX$426,'T energie vecteurs'!S5,FALSE)</f>
        <v>0</v>
      </c>
      <c r="I77" s="19">
        <f>VLOOKUP(E77,Résultats!$B$2:$AX$426,'T energie vecteurs'!S5,FALSE)</f>
        <v>19.69847012</v>
      </c>
      <c r="J77" s="19">
        <f>VLOOKUP(F77,Résultats!$B$2:$AX$426,'T energie vecteurs'!S5,FALSE)</f>
        <v>0.57259030020000001</v>
      </c>
      <c r="K77" s="19">
        <f>VLOOKUP(G77,Résultats!$B$2:$AX$426,'T energie vecteurs'!S5,FALSE)</f>
        <v>3.5060006999999999E-5</v>
      </c>
      <c r="L77" s="118">
        <f t="shared" ref="L77:L84" si="22">SUM(H77:K77)</f>
        <v>20.271095480207002</v>
      </c>
      <c r="M77" s="19"/>
      <c r="N77" s="174" t="s">
        <v>19</v>
      </c>
      <c r="O77" s="169"/>
      <c r="P77" s="19"/>
      <c r="Q77" s="55"/>
      <c r="R77" s="19"/>
      <c r="S77" s="118"/>
      <c r="T77" s="118"/>
      <c r="U77" s="174" t="s">
        <v>19</v>
      </c>
      <c r="V77" t="s">
        <v>502</v>
      </c>
      <c r="W77" t="s">
        <v>503</v>
      </c>
      <c r="X77" t="s">
        <v>504</v>
      </c>
      <c r="Y77" t="s">
        <v>505</v>
      </c>
      <c r="Z77" s="19">
        <v>0</v>
      </c>
      <c r="AA77" s="19">
        <v>19.713859979999999</v>
      </c>
      <c r="AB77" s="19">
        <v>0.57510659139999998</v>
      </c>
      <c r="AC77" s="19">
        <v>3.52420521E-5</v>
      </c>
      <c r="AD77" s="118">
        <v>20.289001813452099</v>
      </c>
    </row>
    <row r="78" spans="3:30" x14ac:dyDescent="0.25">
      <c r="C78" s="175" t="s">
        <v>20</v>
      </c>
      <c r="D78" t="s">
        <v>506</v>
      </c>
      <c r="E78" t="s">
        <v>507</v>
      </c>
      <c r="F78" t="s">
        <v>508</v>
      </c>
      <c r="G78" t="s">
        <v>509</v>
      </c>
      <c r="H78" s="19">
        <f>VLOOKUP(D78,Résultats!$B$2:$AX$426,'T energie vecteurs'!S5,FALSE)</f>
        <v>0</v>
      </c>
      <c r="I78" s="19">
        <f>VLOOKUP(E78,Résultats!$B$2:$AX$426,'T energie vecteurs'!S5,FALSE)</f>
        <v>18.513760359999999</v>
      </c>
      <c r="J78" s="19">
        <f>VLOOKUP(F78,Résultats!$B$2:$AX$426,'T energie vecteurs'!S5,FALSE)</f>
        <v>2.8965486039999999</v>
      </c>
      <c r="K78" s="19">
        <f>VLOOKUP(G78,Résultats!$B$2:$AX$426,'T energie vecteurs'!S5,FALSE)</f>
        <v>1.318718839</v>
      </c>
      <c r="L78" s="118">
        <f t="shared" si="22"/>
        <v>22.729027802999997</v>
      </c>
      <c r="M78" s="19"/>
      <c r="N78" s="175" t="s">
        <v>20</v>
      </c>
      <c r="O78" s="169"/>
      <c r="P78" s="19"/>
      <c r="Q78" s="55"/>
      <c r="R78" s="19"/>
      <c r="S78" s="118"/>
      <c r="T78" s="118"/>
      <c r="U78" s="175" t="s">
        <v>20</v>
      </c>
      <c r="V78" t="s">
        <v>506</v>
      </c>
      <c r="W78" t="s">
        <v>507</v>
      </c>
      <c r="X78" t="s">
        <v>508</v>
      </c>
      <c r="Y78" t="s">
        <v>509</v>
      </c>
      <c r="Z78" s="19">
        <v>0</v>
      </c>
      <c r="AA78" s="19">
        <v>18.585785609999999</v>
      </c>
      <c r="AB78" s="19">
        <v>2.8993342000000002</v>
      </c>
      <c r="AC78" s="19">
        <v>1.3206490660000001</v>
      </c>
      <c r="AD78" s="118">
        <v>22.805768876000002</v>
      </c>
    </row>
    <row r="79" spans="3:30" x14ac:dyDescent="0.25">
      <c r="C79" s="173" t="s">
        <v>21</v>
      </c>
      <c r="D79" t="s">
        <v>510</v>
      </c>
      <c r="E79" t="s">
        <v>511</v>
      </c>
      <c r="F79" t="s">
        <v>512</v>
      </c>
      <c r="G79" t="s">
        <v>513</v>
      </c>
      <c r="H79" s="8">
        <f>VLOOKUP(D79,Résultats!$B$2:$AX$426,'T energie vecteurs'!S5,FALSE)</f>
        <v>0.28364107799999999</v>
      </c>
      <c r="I79" s="8">
        <f>VLOOKUP(E79,Résultats!$B$2:$AX$426,'T energie vecteurs'!S5,FALSE)</f>
        <v>6.1478966330000002</v>
      </c>
      <c r="J79" s="8">
        <f>VLOOKUP(F79,Résultats!$B$2:$AX$426,'T energie vecteurs'!S5,FALSE)</f>
        <v>15.78694168</v>
      </c>
      <c r="K79" s="8">
        <f>VLOOKUP(G79,Résultats!$B$2:$AX$426,'T energie vecteurs'!S5,FALSE)+2</f>
        <v>19.004445350000001</v>
      </c>
      <c r="L79" s="119">
        <f>SUM(H79:K79)</f>
        <v>41.222924741</v>
      </c>
      <c r="M79" s="97"/>
      <c r="N79" s="176" t="s">
        <v>21</v>
      </c>
      <c r="O79" s="36">
        <f>'[1]Bilan 2030'!$V$46/11.63</f>
        <v>0</v>
      </c>
      <c r="P79" s="35">
        <f>SUM('[1]Bilan 2030'!$V$41:$V$43)/11.63</f>
        <v>2.7093021384311076</v>
      </c>
      <c r="Q79" s="35">
        <f>'[1]Bilan 2030'!$V$13/11.63</f>
        <v>15.128221930185923</v>
      </c>
      <c r="R79" s="35">
        <f>('[1]Bilan 2030'!$V$22+'[1]Bilan 2030'!$V$30+SUM('[1]Bilan 2030'!$V$36:$V$40)+SUM('[1]Bilan 2030'!$V$44:$V$45)+'[1]Bilan 2030'!$V$47)/11.63</f>
        <v>20.957031397748882</v>
      </c>
      <c r="S79" s="168">
        <f t="shared" ref="S79:S85" si="23">SUM(O79:R79)</f>
        <v>38.794555466365907</v>
      </c>
      <c r="T79" s="269">
        <f>S79-'[1]Bilan 2030'!$V$40/11.63</f>
        <v>35.231377291819591</v>
      </c>
      <c r="U79" s="173" t="s">
        <v>21</v>
      </c>
      <c r="V79" t="s">
        <v>510</v>
      </c>
      <c r="W79" t="s">
        <v>511</v>
      </c>
      <c r="X79" t="s">
        <v>512</v>
      </c>
      <c r="Y79" t="s">
        <v>513</v>
      </c>
      <c r="Z79" s="258">
        <v>0.28530268650000001</v>
      </c>
      <c r="AA79" s="258">
        <v>6.1489147150000001</v>
      </c>
      <c r="AB79" s="258">
        <v>15.806857859999999</v>
      </c>
      <c r="AC79" s="258">
        <v>19.173327499999999</v>
      </c>
      <c r="AD79" s="259">
        <v>41.4144027615</v>
      </c>
    </row>
    <row r="80" spans="3:30" x14ac:dyDescent="0.25">
      <c r="C80" s="173" t="s">
        <v>22</v>
      </c>
      <c r="D80" t="s">
        <v>514</v>
      </c>
      <c r="E80" t="s">
        <v>515</v>
      </c>
      <c r="F80" t="s">
        <v>516</v>
      </c>
      <c r="G80" t="s">
        <v>517</v>
      </c>
      <c r="H80" s="8">
        <f>VLOOKUP(D80,Résultats!$B$2:$AX$426,'T energie vecteurs'!S5,FALSE)</f>
        <v>0</v>
      </c>
      <c r="I80" s="8">
        <f>VLOOKUP(E80,Résultats!$B$2:$AX$426,'T energie vecteurs'!S5,FALSE)</f>
        <v>2.2450770179999999</v>
      </c>
      <c r="J80" s="8">
        <f>VLOOKUP(F80,Résultats!$B$2:$AX$426,'T energie vecteurs'!S5,FALSE)</f>
        <v>12.059124669999999</v>
      </c>
      <c r="K80" s="8">
        <f>VLOOKUP(G80,Résultats!$B$2:$AX$426,'T energie vecteurs'!S5,FALSE)</f>
        <v>8.0625641950000002</v>
      </c>
      <c r="L80" s="119">
        <f t="shared" si="22"/>
        <v>22.366765882999999</v>
      </c>
      <c r="M80" s="97"/>
      <c r="N80" s="176" t="s">
        <v>22</v>
      </c>
      <c r="O80" s="36">
        <f>('[1]Bilan 2030'!$W$46)/11.63</f>
        <v>0</v>
      </c>
      <c r="P80" s="35">
        <f>SUM('[1]Bilan 2030'!$W$41:$W$43)/11.63</f>
        <v>1.1254931356288962</v>
      </c>
      <c r="Q80" s="35">
        <f>('[1]Bilan 2030'!$W$13)/11.63</f>
        <v>11.284622800503366</v>
      </c>
      <c r="R80" s="35">
        <f>('[1]Bilan 2030'!$W$22+'[1]Bilan 2030'!$W$30+SUM('[1]Bilan 2030'!$W$36:$W$40)+SUM('[1]Bilan 2030'!$W$44:$W$45)+'[1]Bilan 2030'!$W$47)/11.63</f>
        <v>6.9189644390334015</v>
      </c>
      <c r="S80" s="168">
        <f t="shared" si="23"/>
        <v>19.329080375165663</v>
      </c>
      <c r="T80" s="269">
        <f>S80-'[1]Bilan 2030'!$W$40/11.63</f>
        <v>18.63479068507554</v>
      </c>
      <c r="U80" s="173" t="s">
        <v>22</v>
      </c>
      <c r="V80" t="s">
        <v>514</v>
      </c>
      <c r="W80" t="s">
        <v>515</v>
      </c>
      <c r="X80" t="s">
        <v>516</v>
      </c>
      <c r="Y80" t="s">
        <v>517</v>
      </c>
      <c r="Z80" s="8">
        <v>0</v>
      </c>
      <c r="AA80" s="8">
        <v>2.2406359760000001</v>
      </c>
      <c r="AB80" s="8">
        <v>12.07843184</v>
      </c>
      <c r="AC80" s="8">
        <v>8.0831214500000002</v>
      </c>
      <c r="AD80" s="119">
        <v>22.402189266000001</v>
      </c>
    </row>
    <row r="81" spans="2:30" x14ac:dyDescent="0.25">
      <c r="C81" s="173" t="s">
        <v>23</v>
      </c>
      <c r="H81" s="8">
        <f>SUM(H82:H84)</f>
        <v>2.4980194427</v>
      </c>
      <c r="I81" s="8">
        <f>SUM(I82:I84)</f>
        <v>13.777058564000001</v>
      </c>
      <c r="J81" s="8">
        <f>SUM(J82:J84)</f>
        <v>10.4767977204</v>
      </c>
      <c r="K81" s="8">
        <f>SUM(K82:K84)</f>
        <v>15.3891584043</v>
      </c>
      <c r="L81" s="119">
        <f t="shared" si="22"/>
        <v>42.141034131399998</v>
      </c>
      <c r="M81" s="97"/>
      <c r="N81" s="176" t="s">
        <v>252</v>
      </c>
      <c r="O81" s="36">
        <f>O82+O83</f>
        <v>3.9851054274374702</v>
      </c>
      <c r="P81" s="35">
        <f t="shared" ref="P81:R81" si="24">P82+P83</f>
        <v>12.588919196501005</v>
      </c>
      <c r="Q81" s="35">
        <f t="shared" si="24"/>
        <v>9.4169455866228393</v>
      </c>
      <c r="R81" s="35">
        <f t="shared" si="24"/>
        <v>13.466989601471941</v>
      </c>
      <c r="S81" s="168">
        <f t="shared" si="23"/>
        <v>39.457959812033252</v>
      </c>
      <c r="T81" s="269">
        <f t="shared" ref="T81" si="25">S81</f>
        <v>39.457959812033252</v>
      </c>
      <c r="U81" s="173" t="s">
        <v>23</v>
      </c>
      <c r="Z81" s="240">
        <v>2.4968248989999999</v>
      </c>
      <c r="AA81" s="240">
        <v>14.131397310000001</v>
      </c>
      <c r="AB81" s="8">
        <v>10.4391597735</v>
      </c>
      <c r="AC81" s="240">
        <v>15.488572934799999</v>
      </c>
      <c r="AD81" s="119">
        <v>42.555954917299999</v>
      </c>
    </row>
    <row r="82" spans="2:30" x14ac:dyDescent="0.25">
      <c r="C82" s="175" t="s">
        <v>24</v>
      </c>
      <c r="D82" t="s">
        <v>518</v>
      </c>
      <c r="E82" t="s">
        <v>519</v>
      </c>
      <c r="F82" t="s">
        <v>520</v>
      </c>
      <c r="G82" t="s">
        <v>521</v>
      </c>
      <c r="H82" s="19">
        <f>VLOOKUP(D82,Résultats!$B$2:$AX$426,'T energie vecteurs'!S5,FALSE)</f>
        <v>1.649216802</v>
      </c>
      <c r="I82" s="19">
        <f>VLOOKUP(E82,Résultats!$B$2:$AX$426,'T energie vecteurs'!S5,FALSE)</f>
        <v>8.7110157640000008</v>
      </c>
      <c r="J82" s="19">
        <f>VLOOKUP(F82,Résultats!$B$2:$AX$426,'T energie vecteurs'!S5,FALSE)</f>
        <v>10.12442849</v>
      </c>
      <c r="K82" s="19">
        <f>VLOOKUP(G82,Résultats!$B$2:$AX$426,'T energie vecteurs'!S5,FALSE)</f>
        <v>12.630011809999999</v>
      </c>
      <c r="L82" s="118">
        <f t="shared" si="22"/>
        <v>33.114672865999999</v>
      </c>
      <c r="M82" s="19"/>
      <c r="N82" s="175" t="s">
        <v>253</v>
      </c>
      <c r="O82" s="169">
        <f>'[1]Bilan 2030'!$U$46/11.63</f>
        <v>0.55918092587900114</v>
      </c>
      <c r="P82" s="37">
        <f>SUM('[1]Bilan 2030'!$U$41:$U$43)/11.63</f>
        <v>2.2272873473675703</v>
      </c>
      <c r="Q82" s="37">
        <f>'[1]Bilan 2030'!$U$13/11.63</f>
        <v>9.4169455866228393</v>
      </c>
      <c r="R82" s="37">
        <f>('[1]Bilan 2030'!$U$22+'[1]Bilan 2030'!$U$30+SUM('[1]Bilan 2030'!$U$36:$U$40)+SUM('[1]Bilan 2030'!$U$44:$U$45)+'[1]Bilan 2030'!$U$47)/11.63</f>
        <v>12.399810480766771</v>
      </c>
      <c r="S82" s="118">
        <f t="shared" si="23"/>
        <v>24.603224340636181</v>
      </c>
      <c r="T82" s="118"/>
      <c r="U82" s="175" t="s">
        <v>24</v>
      </c>
      <c r="V82" t="s">
        <v>518</v>
      </c>
      <c r="W82" t="s">
        <v>519</v>
      </c>
      <c r="X82" t="s">
        <v>520</v>
      </c>
      <c r="Y82" t="s">
        <v>521</v>
      </c>
      <c r="Z82" s="19">
        <v>1.6463384590000001</v>
      </c>
      <c r="AA82" s="19">
        <v>9.0564767289999999</v>
      </c>
      <c r="AB82" s="19">
        <v>10.085574709999999</v>
      </c>
      <c r="AC82" s="19">
        <v>12.727007309999999</v>
      </c>
      <c r="AD82" s="118">
        <v>33.515397207999996</v>
      </c>
    </row>
    <row r="83" spans="2:30" x14ac:dyDescent="0.25">
      <c r="C83" s="175" t="s">
        <v>129</v>
      </c>
      <c r="D83" t="s">
        <v>522</v>
      </c>
      <c r="E83" t="s">
        <v>523</v>
      </c>
      <c r="F83" t="s">
        <v>524</v>
      </c>
      <c r="G83" t="s">
        <v>525</v>
      </c>
      <c r="H83" s="19">
        <f>VLOOKUP(D83,Résultats!$B$2:$AX$426,'T energie vecteurs'!S5,FALSE)</f>
        <v>0.8488026407</v>
      </c>
      <c r="I83" s="19">
        <f>VLOOKUP(E83,Résultats!$B$2:$AX$426,'T energie vecteurs'!S5,FALSE)</f>
        <v>2.1516828449999998</v>
      </c>
      <c r="J83" s="19">
        <f>VLOOKUP(F83,Résultats!$B$2:$AX$426,'T energie vecteurs'!S5,FALSE)</f>
        <v>0</v>
      </c>
      <c r="K83" s="19">
        <f>VLOOKUP(G83,Résultats!$B$2:$AX$426,'T energie vecteurs'!S5,FALSE)</f>
        <v>2.325405731</v>
      </c>
      <c r="L83" s="118">
        <f>SUM(H83:K83)</f>
        <v>5.3258912166999997</v>
      </c>
      <c r="M83" s="19"/>
      <c r="N83" s="175" t="s">
        <v>129</v>
      </c>
      <c r="O83" s="28">
        <f>'[1]Bilan 2030'!$E$52/11.63</f>
        <v>3.4259245015584692</v>
      </c>
      <c r="P83" s="19">
        <f>('[1]Bilan 2030'!$E$54+'[1]Bilan 2030'!$E$56)/11.63</f>
        <v>10.361631849133435</v>
      </c>
      <c r="Q83" s="19">
        <v>0</v>
      </c>
      <c r="R83" s="19">
        <f>('[1]Bilan 2030'!$E$53+'[1]Bilan 2030'!$E$55+'[1]Bilan 2030'!$E$57)/11.63</f>
        <v>1.0671791207051695</v>
      </c>
      <c r="S83" s="118">
        <f t="shared" si="23"/>
        <v>14.854735471397074</v>
      </c>
      <c r="T83" s="118"/>
      <c r="U83" s="175" t="s">
        <v>129</v>
      </c>
      <c r="V83" t="s">
        <v>522</v>
      </c>
      <c r="W83" t="s">
        <v>523</v>
      </c>
      <c r="X83" t="s">
        <v>524</v>
      </c>
      <c r="Y83" t="s">
        <v>525</v>
      </c>
      <c r="Z83" s="19">
        <v>0.85048643999999995</v>
      </c>
      <c r="AA83" s="19">
        <v>2.1516194120000001</v>
      </c>
      <c r="AB83" s="19">
        <v>0</v>
      </c>
      <c r="AC83" s="19">
        <v>2.3257513630000002</v>
      </c>
      <c r="AD83" s="118">
        <v>5.3278572149999999</v>
      </c>
    </row>
    <row r="84" spans="2:30" x14ac:dyDescent="0.25">
      <c r="C84" s="175" t="s">
        <v>25</v>
      </c>
      <c r="D84" t="s">
        <v>526</v>
      </c>
      <c r="E84" t="s">
        <v>527</v>
      </c>
      <c r="F84" t="s">
        <v>528</v>
      </c>
      <c r="G84" t="s">
        <v>529</v>
      </c>
      <c r="H84" s="19">
        <f>VLOOKUP(D84,Résultats!$B$2:$AX$426,'T energie vecteurs'!S5,FALSE)</f>
        <v>0</v>
      </c>
      <c r="I84" s="19">
        <f>VLOOKUP(E84,Résultats!$B$2:$AX$426,'T energie vecteurs'!S5,FALSE)</f>
        <v>2.9143599550000001</v>
      </c>
      <c r="J84" s="19">
        <f>VLOOKUP(F84,Résultats!$B$2:$AX$426,'T energie vecteurs'!S5,FALSE)</f>
        <v>0.35236923040000001</v>
      </c>
      <c r="K84" s="19">
        <f>VLOOKUP(G84,Résultats!$B$2:$AX$426,'T energie vecteurs'!S5,FALSE)</f>
        <v>0.4337408633</v>
      </c>
      <c r="L84" s="118">
        <f t="shared" si="22"/>
        <v>3.7004700487000002</v>
      </c>
      <c r="M84" s="19"/>
      <c r="N84" s="176" t="s">
        <v>25</v>
      </c>
      <c r="O84" s="36">
        <f>'[1]Bilan 2030'!$T$46/11.63</f>
        <v>0</v>
      </c>
      <c r="P84" s="35">
        <f>SUM('[1]Bilan 2030'!$T$41:$T$43)/11.63</f>
        <v>3.0639411119175732</v>
      </c>
      <c r="Q84" s="35">
        <f>'[1]Bilan 2030'!$T$13/11.63</f>
        <v>0.66849749048065465</v>
      </c>
      <c r="R84" s="35">
        <f>('[1]Bilan 2030'!$T$22+'[1]Bilan 2030'!$T$30+SUM('[1]Bilan 2030'!$T$36:$T$40)+SUM('[1]Bilan 2030'!$T$44:$T$45)+'[1]Bilan 2030'!$T$47)/11.63</f>
        <v>0.321548699857926</v>
      </c>
      <c r="S84" s="168">
        <f t="shared" si="23"/>
        <v>4.0539873022561537</v>
      </c>
      <c r="T84" s="269">
        <f>S84</f>
        <v>4.0539873022561537</v>
      </c>
      <c r="U84" s="175" t="s">
        <v>25</v>
      </c>
      <c r="V84" t="s">
        <v>526</v>
      </c>
      <c r="W84" t="s">
        <v>527</v>
      </c>
      <c r="X84" t="s">
        <v>528</v>
      </c>
      <c r="Y84" t="s">
        <v>529</v>
      </c>
      <c r="Z84" s="19">
        <v>0</v>
      </c>
      <c r="AA84" s="19">
        <v>2.9233011690000001</v>
      </c>
      <c r="AB84" s="19">
        <v>0.35358506350000002</v>
      </c>
      <c r="AC84" s="19">
        <v>0.43581426179999999</v>
      </c>
      <c r="AD84" s="118">
        <v>3.7127004943000004</v>
      </c>
    </row>
    <row r="85" spans="2:30" x14ac:dyDescent="0.25">
      <c r="C85" s="29" t="s">
        <v>26</v>
      </c>
      <c r="D85" s="10"/>
      <c r="E85" s="10"/>
      <c r="F85" s="10"/>
      <c r="G85" s="10"/>
      <c r="H85" s="9">
        <f>SUM(H76,H79:H81)</f>
        <v>2.7816605207</v>
      </c>
      <c r="I85" s="9">
        <f>SUM(I76,I79:I81)</f>
        <v>60.382262695000009</v>
      </c>
      <c r="J85" s="9">
        <f>SUM(J76,J79:J81)</f>
        <v>41.792002974599995</v>
      </c>
      <c r="K85" s="9">
        <f>SUM(K76,K79:K81)</f>
        <v>43.774921848307002</v>
      </c>
      <c r="L85" s="121">
        <f>SUM(H85:K85)</f>
        <v>148.73084803860701</v>
      </c>
      <c r="M85" s="103"/>
      <c r="N85" s="177" t="s">
        <v>26</v>
      </c>
      <c r="O85" s="40">
        <f>O76+O79+O80+O81+O84</f>
        <v>3.9851054274374702</v>
      </c>
      <c r="P85" s="38">
        <f>P76+P79+P80+P81+P84</f>
        <v>51.958596319763863</v>
      </c>
      <c r="Q85" s="38">
        <f>Q76+Q79+Q80+Q81+Q84</f>
        <v>39.098089390719309</v>
      </c>
      <c r="R85" s="38">
        <f>R76+R79+R80+R81+R84</f>
        <v>42.983562642623426</v>
      </c>
      <c r="S85" s="170">
        <f t="shared" si="23"/>
        <v>138.02535378054407</v>
      </c>
      <c r="T85" s="268">
        <f>SUM(T76:T84)</f>
        <v>133.76788591590764</v>
      </c>
      <c r="U85" s="29" t="s">
        <v>26</v>
      </c>
      <c r="V85" s="10"/>
      <c r="W85" s="10"/>
      <c r="X85" s="10"/>
      <c r="Y85" s="10"/>
      <c r="Z85" s="9">
        <v>2.7821275855000001</v>
      </c>
      <c r="AA85" s="9">
        <v>60.820593591000005</v>
      </c>
      <c r="AB85" s="9">
        <v>41.798890264900002</v>
      </c>
      <c r="AC85" s="9">
        <v>44.065706192852097</v>
      </c>
      <c r="AD85" s="121">
        <v>149.46731763425211</v>
      </c>
    </row>
    <row r="86" spans="2:30" s="3" customFormat="1" x14ac:dyDescent="0.25">
      <c r="O86" s="101"/>
      <c r="P86" s="101"/>
      <c r="Q86" s="101"/>
      <c r="R86" s="102"/>
      <c r="S86" s="67"/>
    </row>
    <row r="87" spans="2:30" s="3" customFormat="1" x14ac:dyDescent="0.25">
      <c r="B87" s="82"/>
      <c r="K87" s="69"/>
      <c r="O87" s="103"/>
      <c r="P87" s="103"/>
      <c r="Q87" s="103"/>
      <c r="R87" s="104"/>
      <c r="S87" s="105"/>
      <c r="AC87" s="69"/>
    </row>
    <row r="88" spans="2:30" ht="31.5" x14ac:dyDescent="0.35">
      <c r="C88" s="171">
        <v>2035</v>
      </c>
      <c r="D88" s="172"/>
      <c r="E88" s="172"/>
      <c r="F88" s="172"/>
      <c r="G88" s="172"/>
      <c r="H88" s="99" t="s">
        <v>36</v>
      </c>
      <c r="I88" s="99" t="s">
        <v>131</v>
      </c>
      <c r="J88" s="99" t="s">
        <v>38</v>
      </c>
      <c r="K88" s="99" t="s">
        <v>130</v>
      </c>
      <c r="L88" s="116" t="s">
        <v>1</v>
      </c>
      <c r="M88" s="25"/>
      <c r="N88" s="171">
        <v>2035</v>
      </c>
      <c r="O88" s="167" t="s">
        <v>36</v>
      </c>
      <c r="P88" s="99" t="s">
        <v>131</v>
      </c>
      <c r="Q88" s="99" t="s">
        <v>38</v>
      </c>
      <c r="R88" s="99" t="s">
        <v>130</v>
      </c>
      <c r="S88" s="116" t="s">
        <v>1</v>
      </c>
      <c r="T88" s="267" t="s">
        <v>530</v>
      </c>
      <c r="U88" s="171">
        <v>2035</v>
      </c>
      <c r="V88" s="172"/>
      <c r="W88" s="172"/>
      <c r="X88" s="172"/>
      <c r="Y88" s="172"/>
      <c r="Z88" s="99" t="s">
        <v>36</v>
      </c>
      <c r="AA88" s="99" t="s">
        <v>131</v>
      </c>
      <c r="AB88" s="99" t="s">
        <v>38</v>
      </c>
      <c r="AC88" s="99" t="s">
        <v>130</v>
      </c>
      <c r="AD88" s="116" t="s">
        <v>1</v>
      </c>
    </row>
    <row r="89" spans="2:30" x14ac:dyDescent="0.25">
      <c r="C89" s="173" t="s">
        <v>18</v>
      </c>
      <c r="H89" s="8">
        <f>SUM(H90:H91)</f>
        <v>0</v>
      </c>
      <c r="I89" s="8">
        <f>SUM(I90:I91)</f>
        <v>35.655553839999996</v>
      </c>
      <c r="J89" s="8">
        <f>SUM(J90:J91)</f>
        <v>4.4938316299999999</v>
      </c>
      <c r="K89" s="8">
        <f>SUM(K90:K91)</f>
        <v>2.2279712034239001</v>
      </c>
      <c r="L89" s="119">
        <f t="shared" ref="L89:L98" si="26">SUM(H89:K89)</f>
        <v>42.377356673423897</v>
      </c>
      <c r="M89" s="97"/>
      <c r="N89" s="176" t="s">
        <v>18</v>
      </c>
      <c r="O89" s="36">
        <f>'[1]Bilan 2035'!$X$46/11.63</f>
        <v>0</v>
      </c>
      <c r="P89" s="35">
        <f>SUM('[1]Bilan 2035'!$X$41:$X$43)/11.63</f>
        <v>27.486457521711181</v>
      </c>
      <c r="Q89" s="35">
        <f>'[1]Bilan 2035'!$X$13/11.63</f>
        <v>4.0115827656184662</v>
      </c>
      <c r="R89" s="35">
        <f>('[1]Bilan 2035'!$X$22+'[1]Bilan 2035'!$X$30+SUM('[1]Bilan 2035'!$X$36:$X$40)+SUM('[1]Bilan 2035'!$X$44:$X$45)+'[1]Bilan 2035'!$X$47)/11.63</f>
        <v>2.2033171859401204</v>
      </c>
      <c r="S89" s="168">
        <f>SUM(O89:R89)</f>
        <v>33.701357473269766</v>
      </c>
      <c r="T89" s="269">
        <f>S89</f>
        <v>33.701357473269766</v>
      </c>
      <c r="U89" s="173" t="s">
        <v>18</v>
      </c>
      <c r="Z89" s="8">
        <v>0</v>
      </c>
      <c r="AA89" s="8">
        <v>35.747588749999998</v>
      </c>
      <c r="AB89" s="8">
        <v>4.5314327589999994</v>
      </c>
      <c r="AC89" s="8">
        <v>2.2319197786089999</v>
      </c>
      <c r="AD89" s="119">
        <v>42.510941287608993</v>
      </c>
    </row>
    <row r="90" spans="2:30" x14ac:dyDescent="0.25">
      <c r="C90" s="174" t="s">
        <v>19</v>
      </c>
      <c r="D90" t="s">
        <v>502</v>
      </c>
      <c r="E90" t="s">
        <v>503</v>
      </c>
      <c r="F90" t="s">
        <v>504</v>
      </c>
      <c r="G90" t="s">
        <v>505</v>
      </c>
      <c r="H90" s="19">
        <f>VLOOKUP(D90,Résultats!$B$2:$AX$426,'T energie vecteurs'!T5,FALSE)</f>
        <v>0</v>
      </c>
      <c r="I90" s="19">
        <f>VLOOKUP(E90,Résultats!$B$2:$AX$426,'T energie vecteurs'!T5,FALSE)</f>
        <v>18.04573268</v>
      </c>
      <c r="J90" s="19">
        <f>VLOOKUP(F90,Résultats!$B$2:$AX$426,'T energie vecteurs'!T5,FALSE)</f>
        <v>1.1531757439999999</v>
      </c>
      <c r="K90" s="19">
        <f>VLOOKUP(G90,Résultats!$B$2:$AX$426,'T energie vecteurs'!T5,FALSE)</f>
        <v>4.4387423900000002E-5</v>
      </c>
      <c r="L90" s="118">
        <f t="shared" si="26"/>
        <v>19.198952811423897</v>
      </c>
      <c r="M90" s="19"/>
      <c r="N90" s="174" t="s">
        <v>19</v>
      </c>
      <c r="O90" s="169"/>
      <c r="P90" s="19"/>
      <c r="Q90" s="55"/>
      <c r="R90" s="19"/>
      <c r="S90" s="118"/>
      <c r="T90" s="118"/>
      <c r="U90" s="174" t="s">
        <v>19</v>
      </c>
      <c r="V90" t="s">
        <v>502</v>
      </c>
      <c r="W90" t="s">
        <v>503</v>
      </c>
      <c r="X90" t="s">
        <v>504</v>
      </c>
      <c r="Y90" t="s">
        <v>505</v>
      </c>
      <c r="Z90" s="19">
        <v>0</v>
      </c>
      <c r="AA90" s="19">
        <v>18.062844439999999</v>
      </c>
      <c r="AB90" s="59">
        <v>1.1569412699999999</v>
      </c>
      <c r="AC90" s="19">
        <v>4.4572608999999999E-5</v>
      </c>
      <c r="AD90" s="118">
        <v>19.219830282608999</v>
      </c>
    </row>
    <row r="91" spans="2:30" x14ac:dyDescent="0.25">
      <c r="C91" s="175" t="s">
        <v>20</v>
      </c>
      <c r="D91" t="s">
        <v>506</v>
      </c>
      <c r="E91" t="s">
        <v>507</v>
      </c>
      <c r="F91" t="s">
        <v>508</v>
      </c>
      <c r="G91" t="s">
        <v>509</v>
      </c>
      <c r="H91" s="19">
        <f>VLOOKUP(D91,Résultats!$B$2:$AX$426,'T energie vecteurs'!T5,FALSE)</f>
        <v>0</v>
      </c>
      <c r="I91" s="19">
        <f>VLOOKUP(E91,Résultats!$B$2:$AX$426,'T energie vecteurs'!T5,FALSE)</f>
        <v>17.609821159999999</v>
      </c>
      <c r="J91" s="19">
        <f>VLOOKUP(F91,Résultats!$B$2:$AX$426,'T energie vecteurs'!T5,FALSE)</f>
        <v>3.340655886</v>
      </c>
      <c r="K91" s="19">
        <f>VLOOKUP(G91,Résultats!$B$2:$AX$426,'T energie vecteurs'!T5,FALSE)</f>
        <v>2.2279268160000001</v>
      </c>
      <c r="L91" s="118">
        <f t="shared" si="26"/>
        <v>23.178403862</v>
      </c>
      <c r="M91" s="19"/>
      <c r="N91" s="175" t="s">
        <v>20</v>
      </c>
      <c r="O91" s="169"/>
      <c r="P91" s="19"/>
      <c r="Q91" s="55"/>
      <c r="R91" s="19"/>
      <c r="S91" s="118"/>
      <c r="T91" s="118"/>
      <c r="U91" s="175" t="s">
        <v>20</v>
      </c>
      <c r="V91" t="s">
        <v>506</v>
      </c>
      <c r="W91" t="s">
        <v>507</v>
      </c>
      <c r="X91" t="s">
        <v>508</v>
      </c>
      <c r="Y91" t="s">
        <v>509</v>
      </c>
      <c r="Z91" s="19">
        <v>0</v>
      </c>
      <c r="AA91" s="19">
        <v>17.684744309999999</v>
      </c>
      <c r="AB91" s="19">
        <v>3.374491489</v>
      </c>
      <c r="AC91" s="19">
        <v>2.2318752059999998</v>
      </c>
      <c r="AD91" s="118">
        <v>23.291111004999998</v>
      </c>
    </row>
    <row r="92" spans="2:30" x14ac:dyDescent="0.25">
      <c r="C92" s="173" t="s">
        <v>21</v>
      </c>
      <c r="D92" t="s">
        <v>510</v>
      </c>
      <c r="E92" t="s">
        <v>511</v>
      </c>
      <c r="F92" t="s">
        <v>512</v>
      </c>
      <c r="G92" t="s">
        <v>513</v>
      </c>
      <c r="H92" s="8">
        <f>VLOOKUP(D92,Résultats!$B$2:$AX$426,'T energie vecteurs'!T5,FALSE)</f>
        <v>0.27418697069999998</v>
      </c>
      <c r="I92" s="8">
        <f>VLOOKUP(E92,Résultats!$B$2:$AX$426,'T energie vecteurs'!T5,FALSE)</f>
        <v>6.1438860960000001</v>
      </c>
      <c r="J92" s="8">
        <f>VLOOKUP(F92,Résultats!$B$2:$AX$426,'T energie vecteurs'!T5,FALSE)</f>
        <v>16.538389909999999</v>
      </c>
      <c r="K92" s="8">
        <f>VLOOKUP(G92,Résultats!$B$2:$AX$426,'T energie vecteurs'!T5,FALSE)+2</f>
        <v>19.30613284</v>
      </c>
      <c r="L92" s="119">
        <f t="shared" si="26"/>
        <v>42.262595816699999</v>
      </c>
      <c r="M92" s="97"/>
      <c r="N92" s="176" t="s">
        <v>21</v>
      </c>
      <c r="O92" s="36">
        <f>'[1]Bilan 2035'!$V$46/11.63</f>
        <v>0</v>
      </c>
      <c r="P92" s="35">
        <f>SUM('[1]Bilan 2035'!$V$41:$V$43)/11.63</f>
        <v>2.0951035895513908</v>
      </c>
      <c r="Q92" s="35">
        <f>'[1]Bilan 2035'!$V$13/11.63</f>
        <v>15.742193210619391</v>
      </c>
      <c r="R92" s="35">
        <f>('[1]Bilan 2035'!$V$22+'[1]Bilan 2035'!$V$30+SUM('[1]Bilan 2035'!$V$36:$V$40)+SUM('[1]Bilan 2035'!$V$44:$V$45)+'[1]Bilan 2035'!$V$47)/11.63</f>
        <v>20.967584673572926</v>
      </c>
      <c r="S92" s="168">
        <f t="shared" ref="S92:S98" si="27">SUM(O92:R92)</f>
        <v>38.804881473743706</v>
      </c>
      <c r="T92" s="269">
        <f>S92-'[1]Bilan 2035'!$V$40/11.63</f>
        <v>34.565335974830816</v>
      </c>
      <c r="U92" s="173" t="s">
        <v>21</v>
      </c>
      <c r="V92" t="s">
        <v>510</v>
      </c>
      <c r="W92" t="s">
        <v>511</v>
      </c>
      <c r="X92" t="s">
        <v>512</v>
      </c>
      <c r="Y92" t="s">
        <v>513</v>
      </c>
      <c r="Z92" s="258">
        <v>0.27680129110000001</v>
      </c>
      <c r="AA92" s="258">
        <v>6.129753429</v>
      </c>
      <c r="AB92" s="258">
        <v>16.638303480000001</v>
      </c>
      <c r="AC92" s="258">
        <v>19.495215219999999</v>
      </c>
      <c r="AD92" s="259">
        <v>42.540073420100001</v>
      </c>
    </row>
    <row r="93" spans="2:30" x14ac:dyDescent="0.25">
      <c r="C93" s="173" t="s">
        <v>22</v>
      </c>
      <c r="D93" t="s">
        <v>514</v>
      </c>
      <c r="E93" t="s">
        <v>515</v>
      </c>
      <c r="F93" t="s">
        <v>516</v>
      </c>
      <c r="G93" t="s">
        <v>517</v>
      </c>
      <c r="H93" s="8">
        <f>VLOOKUP(D93,Résultats!$B$2:$AX$426,'T energie vecteurs'!T5,FALSE)</f>
        <v>0</v>
      </c>
      <c r="I93" s="8">
        <f>VLOOKUP(E93,Résultats!$B$2:$AX$426,'T energie vecteurs'!T5,FALSE)</f>
        <v>2.0331631319999999</v>
      </c>
      <c r="J93" s="8">
        <f>VLOOKUP(F93,Résultats!$B$2:$AX$426,'T energie vecteurs'!T5,FALSE)</f>
        <v>12.26459131</v>
      </c>
      <c r="K93" s="8">
        <f>VLOOKUP(G93,Résultats!$B$2:$AX$426,'T energie vecteurs'!T5,FALSE)</f>
        <v>7.7800331680000001</v>
      </c>
      <c r="L93" s="119">
        <f t="shared" si="26"/>
        <v>22.077787610000001</v>
      </c>
      <c r="M93" s="97"/>
      <c r="N93" s="176" t="s">
        <v>22</v>
      </c>
      <c r="O93" s="36">
        <f>('[1]Bilan 2035'!$W$46)/11.63</f>
        <v>0</v>
      </c>
      <c r="P93" s="35">
        <f>SUM('[1]Bilan 2035'!$W$41:$W$43)/11.63</f>
        <v>0.78619437858671104</v>
      </c>
      <c r="Q93" s="35">
        <f>('[1]Bilan 2035'!$W$13)/11.63</f>
        <v>11.60340380118288</v>
      </c>
      <c r="R93" s="35">
        <f>('[1]Bilan 2035'!$W$22+'[1]Bilan 2035'!$W$30+SUM('[1]Bilan 2035'!$W$36:$W$40)+SUM('[1]Bilan 2035'!$W$44:$W$45)+'[1]Bilan 2035'!$W$47)/11.63</f>
        <v>6.9321344622243126</v>
      </c>
      <c r="S93" s="168">
        <f t="shared" si="27"/>
        <v>19.321732641993904</v>
      </c>
      <c r="T93" s="269">
        <f>S93-'[1]Bilan 2035'!$W$40/11.63</f>
        <v>18.589103188012192</v>
      </c>
      <c r="U93" s="173" t="s">
        <v>22</v>
      </c>
      <c r="V93" t="s">
        <v>514</v>
      </c>
      <c r="W93" t="s">
        <v>515</v>
      </c>
      <c r="X93" t="s">
        <v>516</v>
      </c>
      <c r="Y93" t="s">
        <v>517</v>
      </c>
      <c r="Z93" s="8">
        <v>0</v>
      </c>
      <c r="AA93" s="8">
        <v>2.0192262269999999</v>
      </c>
      <c r="AB93" s="8">
        <v>12.35443531</v>
      </c>
      <c r="AC93" s="8">
        <v>7.7852944949999996</v>
      </c>
      <c r="AD93" s="119">
        <v>22.158956031999999</v>
      </c>
    </row>
    <row r="94" spans="2:30" x14ac:dyDescent="0.25">
      <c r="C94" s="173" t="s">
        <v>23</v>
      </c>
      <c r="H94" s="8">
        <f>SUM(H95:H97)</f>
        <v>2.6508045041999999</v>
      </c>
      <c r="I94" s="8">
        <f>SUM(I95:I97)</f>
        <v>14.581116879</v>
      </c>
      <c r="J94" s="8">
        <f>SUM(J95:J97)</f>
        <v>10.990381755</v>
      </c>
      <c r="K94" s="8">
        <f>SUM(K95:K97)</f>
        <v>15.744305086699999</v>
      </c>
      <c r="L94" s="119">
        <f t="shared" si="26"/>
        <v>43.9666082249</v>
      </c>
      <c r="M94" s="97"/>
      <c r="N94" s="176" t="s">
        <v>252</v>
      </c>
      <c r="O94" s="36">
        <f>O95+O96</f>
        <v>3.9553292854700368</v>
      </c>
      <c r="P94" s="35">
        <f t="shared" ref="P94:R94" si="28">P95+P96</f>
        <v>11.944511664213444</v>
      </c>
      <c r="Q94" s="35">
        <f t="shared" si="28"/>
        <v>9.4578136584636443</v>
      </c>
      <c r="R94" s="35">
        <f t="shared" si="28"/>
        <v>13.231890023314504</v>
      </c>
      <c r="S94" s="168">
        <f t="shared" si="27"/>
        <v>38.589544631461628</v>
      </c>
      <c r="T94" s="269">
        <f t="shared" ref="T94" si="29">S94</f>
        <v>38.589544631461628</v>
      </c>
      <c r="U94" s="173" t="s">
        <v>23</v>
      </c>
      <c r="Z94" s="8">
        <v>2.6433083579000001</v>
      </c>
      <c r="AA94" s="8">
        <v>14.920764159000001</v>
      </c>
      <c r="AB94" s="8">
        <v>10.9971597052</v>
      </c>
      <c r="AC94" s="8">
        <v>15.904226019200001</v>
      </c>
      <c r="AD94" s="119">
        <v>44.465458241300006</v>
      </c>
    </row>
    <row r="95" spans="2:30" x14ac:dyDescent="0.25">
      <c r="C95" s="175" t="s">
        <v>24</v>
      </c>
      <c r="D95" t="s">
        <v>518</v>
      </c>
      <c r="E95" t="s">
        <v>519</v>
      </c>
      <c r="F95" t="s">
        <v>520</v>
      </c>
      <c r="G95" t="s">
        <v>521</v>
      </c>
      <c r="H95" s="19">
        <f>VLOOKUP(D95,Résultats!$B$2:$AX$426,'T energie vecteurs'!T5,FALSE)</f>
        <v>1.7725914270000001</v>
      </c>
      <c r="I95" s="19">
        <f>VLOOKUP(E95,Résultats!$B$2:$AX$426,'T energie vecteurs'!T5,FALSE)</f>
        <v>9.2560177909999997</v>
      </c>
      <c r="J95" s="19">
        <f>VLOOKUP(F95,Résultats!$B$2:$AX$426,'T energie vecteurs'!T5,FALSE)</f>
        <v>10.62521542</v>
      </c>
      <c r="K95" s="19">
        <f>VLOOKUP(G95,Résultats!$B$2:$AX$426,'T energie vecteurs'!T5,FALSE)</f>
        <v>12.89559375</v>
      </c>
      <c r="L95" s="118">
        <f t="shared" si="26"/>
        <v>34.549418387999999</v>
      </c>
      <c r="M95" s="19"/>
      <c r="N95" s="175" t="s">
        <v>253</v>
      </c>
      <c r="O95" s="169">
        <f>'[1]Bilan 2035'!$U$46/11.63</f>
        <v>0.53312193513684658</v>
      </c>
      <c r="P95" s="37">
        <f>SUM('[1]Bilan 2035'!$U$41:$U$43)/11.63</f>
        <v>2.0748420527036808</v>
      </c>
      <c r="Q95" s="37">
        <f>'[1]Bilan 2035'!$U$13/11.63</f>
        <v>9.4578136584636443</v>
      </c>
      <c r="R95" s="37">
        <f>('[1]Bilan 2035'!$U$22+'[1]Bilan 2035'!$U$30+SUM('[1]Bilan 2035'!$U$36:$U$40)+SUM('[1]Bilan 2035'!$U$44:$U$45)+'[1]Bilan 2035'!$U$47)/11.63</f>
        <v>12.122414160555191</v>
      </c>
      <c r="S95" s="118">
        <f t="shared" si="27"/>
        <v>24.188191806859365</v>
      </c>
      <c r="T95" s="118"/>
      <c r="U95" s="175" t="s">
        <v>24</v>
      </c>
      <c r="V95" t="s">
        <v>518</v>
      </c>
      <c r="W95" t="s">
        <v>519</v>
      </c>
      <c r="X95" t="s">
        <v>520</v>
      </c>
      <c r="Y95" t="s">
        <v>521</v>
      </c>
      <c r="Z95" s="19">
        <v>1.762421668</v>
      </c>
      <c r="AA95" s="19">
        <v>9.5887093060000002</v>
      </c>
      <c r="AB95" s="19">
        <v>10.62699727</v>
      </c>
      <c r="AC95" s="19">
        <v>13.04945981</v>
      </c>
      <c r="AD95" s="118">
        <v>35.027588053999999</v>
      </c>
    </row>
    <row r="96" spans="2:30" x14ac:dyDescent="0.25">
      <c r="C96" s="175" t="s">
        <v>129</v>
      </c>
      <c r="D96" t="s">
        <v>522</v>
      </c>
      <c r="E96" t="s">
        <v>523</v>
      </c>
      <c r="F96" t="s">
        <v>524</v>
      </c>
      <c r="G96" t="s">
        <v>525</v>
      </c>
      <c r="H96" s="19">
        <f>VLOOKUP(D96,Résultats!$B$2:$AX$426,'T energie vecteurs'!T5,FALSE)</f>
        <v>0.87821307719999997</v>
      </c>
      <c r="I96" s="19">
        <f>VLOOKUP(E96,Résultats!$B$2:$AX$426,'T energie vecteurs'!T5,FALSE)</f>
        <v>2.2598031860000001</v>
      </c>
      <c r="J96" s="19">
        <f>VLOOKUP(F96,Résultats!$B$2:$AX$426,'T energie vecteurs'!T5,FALSE)</f>
        <v>0</v>
      </c>
      <c r="K96" s="19">
        <f>VLOOKUP(G96,Résultats!$B$2:$AX$426,'T energie vecteurs'!T5,FALSE)</f>
        <v>2.3985220410000001</v>
      </c>
      <c r="L96" s="118">
        <f t="shared" si="26"/>
        <v>5.5365383042000005</v>
      </c>
      <c r="M96" s="19"/>
      <c r="N96" s="175" t="s">
        <v>129</v>
      </c>
      <c r="O96" s="28">
        <f>'[1]Bilan 2035'!$E$52/11.63</f>
        <v>3.4222073503331902</v>
      </c>
      <c r="P96" s="19">
        <f>('[1]Bilan 2035'!$E$54+'[1]Bilan 2035'!$E$56)/11.63</f>
        <v>9.8696696115097637</v>
      </c>
      <c r="Q96" s="19">
        <v>0</v>
      </c>
      <c r="R96" s="19">
        <f>('[1]Bilan 2035'!$E$53+'[1]Bilan 2035'!$E$55+'[1]Bilan 2035'!$E$57)/11.63</f>
        <v>1.1094758627593131</v>
      </c>
      <c r="S96" s="118">
        <f t="shared" si="27"/>
        <v>14.401352824602267</v>
      </c>
      <c r="T96" s="118"/>
      <c r="U96" s="175" t="s">
        <v>129</v>
      </c>
      <c r="V96" t="s">
        <v>522</v>
      </c>
      <c r="W96" t="s">
        <v>523</v>
      </c>
      <c r="X96" t="s">
        <v>524</v>
      </c>
      <c r="Y96" t="s">
        <v>525</v>
      </c>
      <c r="Z96" s="19">
        <v>0.88088668989999996</v>
      </c>
      <c r="AA96" s="19">
        <v>2.2608094080000001</v>
      </c>
      <c r="AB96" s="19">
        <v>0</v>
      </c>
      <c r="AC96" s="19">
        <v>2.4011623430000002</v>
      </c>
      <c r="AD96" s="118">
        <v>5.5428584408999999</v>
      </c>
    </row>
    <row r="97" spans="3:30" x14ac:dyDescent="0.25">
      <c r="C97" s="175" t="s">
        <v>25</v>
      </c>
      <c r="D97" t="s">
        <v>526</v>
      </c>
      <c r="E97" t="s">
        <v>527</v>
      </c>
      <c r="F97" t="s">
        <v>528</v>
      </c>
      <c r="G97" t="s">
        <v>529</v>
      </c>
      <c r="H97" s="19">
        <f>VLOOKUP(D97,Résultats!$B$2:$AX$426,'T energie vecteurs'!T5,FALSE)</f>
        <v>0</v>
      </c>
      <c r="I97" s="19">
        <f>VLOOKUP(E97,Résultats!$B$2:$AX$426,'T energie vecteurs'!T5,FALSE)</f>
        <v>3.0652959019999999</v>
      </c>
      <c r="J97" s="19">
        <f>VLOOKUP(F97,Résultats!$B$2:$AX$426,'T energie vecteurs'!T5,FALSE)</f>
        <v>0.36516633500000001</v>
      </c>
      <c r="K97" s="19">
        <f>VLOOKUP(G97,Résultats!$B$2:$AX$426,'T energie vecteurs'!T5,FALSE)</f>
        <v>0.45018929569999999</v>
      </c>
      <c r="L97" s="118">
        <f t="shared" si="26"/>
        <v>3.8806515327</v>
      </c>
      <c r="M97" s="19"/>
      <c r="N97" s="176" t="s">
        <v>25</v>
      </c>
      <c r="O97" s="36">
        <f>'[1]Bilan 2035'!$T$46/11.63</f>
        <v>0</v>
      </c>
      <c r="P97" s="35">
        <f>SUM('[1]Bilan 2035'!$T$41:$T$43)/11.63</f>
        <v>2.9333630598729807</v>
      </c>
      <c r="Q97" s="35">
        <f>'[1]Bilan 2035'!$T$13/11.63</f>
        <v>0.61074147074884144</v>
      </c>
      <c r="R97" s="35">
        <f>('[1]Bilan 2035'!$T$22+'[1]Bilan 2035'!$T$30+SUM('[1]Bilan 2035'!$T$36:$T$40)+SUM('[1]Bilan 2035'!$T$44:$T$45)+'[1]Bilan 2035'!$T$47)/11.63</f>
        <v>0.3773602321326443</v>
      </c>
      <c r="S97" s="168">
        <f t="shared" si="27"/>
        <v>3.9214647627544661</v>
      </c>
      <c r="T97" s="269">
        <f>S97</f>
        <v>3.9214647627544661</v>
      </c>
      <c r="U97" s="175" t="s">
        <v>25</v>
      </c>
      <c r="V97" t="s">
        <v>526</v>
      </c>
      <c r="W97" t="s">
        <v>527</v>
      </c>
      <c r="X97" t="s">
        <v>528</v>
      </c>
      <c r="Y97" t="s">
        <v>529</v>
      </c>
      <c r="Z97" s="19">
        <v>0</v>
      </c>
      <c r="AA97" s="19">
        <v>3.0712454450000002</v>
      </c>
      <c r="AB97" s="19">
        <v>0.37016243519999997</v>
      </c>
      <c r="AC97" s="19">
        <v>0.45360386619999998</v>
      </c>
      <c r="AD97" s="118">
        <v>3.8950117464000003</v>
      </c>
    </row>
    <row r="98" spans="3:30" x14ac:dyDescent="0.25">
      <c r="C98" s="29" t="s">
        <v>26</v>
      </c>
      <c r="D98" s="10"/>
      <c r="E98" s="10"/>
      <c r="F98" s="10"/>
      <c r="G98" s="10"/>
      <c r="H98" s="9">
        <f>SUM(H89,H92:H94)</f>
        <v>2.9249914748999997</v>
      </c>
      <c r="I98" s="9">
        <f>SUM(I89,I92:I94)</f>
        <v>58.413719946999997</v>
      </c>
      <c r="J98" s="9">
        <f>SUM(J89,J92:J94)</f>
        <v>44.287194604999996</v>
      </c>
      <c r="K98" s="9">
        <f>SUM(K89,K92:K94)</f>
        <v>45.0584422981239</v>
      </c>
      <c r="L98" s="121">
        <f t="shared" si="26"/>
        <v>150.6843483250239</v>
      </c>
      <c r="M98" s="103"/>
      <c r="N98" s="177" t="s">
        <v>26</v>
      </c>
      <c r="O98" s="40">
        <f>O89+O92+O93+O94+O97</f>
        <v>3.9553292854700368</v>
      </c>
      <c r="P98" s="38">
        <f>P89+P92+P93+P94+P97</f>
        <v>45.245630213935705</v>
      </c>
      <c r="Q98" s="38">
        <f>Q89+Q92+Q93+Q94+Q97</f>
        <v>41.425734906633224</v>
      </c>
      <c r="R98" s="38">
        <f>R89+R92+R93+R94+R97</f>
        <v>43.712286577184507</v>
      </c>
      <c r="S98" s="170">
        <f t="shared" si="27"/>
        <v>134.33898098322348</v>
      </c>
      <c r="T98" s="268">
        <f>SUM(T89:T97)</f>
        <v>129.36680603032886</v>
      </c>
      <c r="U98" s="29" t="s">
        <v>26</v>
      </c>
      <c r="V98" s="10"/>
      <c r="W98" s="10"/>
      <c r="X98" s="10"/>
      <c r="Y98" s="10"/>
      <c r="Z98" s="9">
        <v>2.920109649</v>
      </c>
      <c r="AA98" s="9">
        <v>58.817332564999994</v>
      </c>
      <c r="AB98" s="9">
        <v>44.5213312542</v>
      </c>
      <c r="AC98" s="9">
        <v>45.416655512809001</v>
      </c>
      <c r="AD98" s="121">
        <v>151.67542898100899</v>
      </c>
    </row>
    <row r="99" spans="3:30" s="3" customFormat="1" x14ac:dyDescent="0.25"/>
    <row r="100" spans="3:30" s="3" customFormat="1" x14ac:dyDescent="0.25"/>
    <row r="101" spans="3:30" s="3" customFormat="1" ht="31.5" x14ac:dyDescent="0.35">
      <c r="C101" s="171">
        <v>2040</v>
      </c>
      <c r="D101" s="172"/>
      <c r="E101" s="172"/>
      <c r="F101" s="172"/>
      <c r="G101" s="172"/>
      <c r="H101" s="99" t="s">
        <v>36</v>
      </c>
      <c r="I101" s="99" t="s">
        <v>131</v>
      </c>
      <c r="J101" s="99" t="s">
        <v>38</v>
      </c>
      <c r="K101" s="99" t="s">
        <v>130</v>
      </c>
      <c r="L101" s="116" t="s">
        <v>1</v>
      </c>
      <c r="M101" s="25"/>
      <c r="N101" s="171">
        <v>2040</v>
      </c>
      <c r="O101" s="167" t="s">
        <v>36</v>
      </c>
      <c r="P101" s="99" t="s">
        <v>131</v>
      </c>
      <c r="Q101" s="99" t="s">
        <v>38</v>
      </c>
      <c r="R101" s="99" t="s">
        <v>130</v>
      </c>
      <c r="S101" s="116" t="s">
        <v>1</v>
      </c>
      <c r="T101" s="267" t="s">
        <v>530</v>
      </c>
      <c r="U101" s="171">
        <v>2040</v>
      </c>
      <c r="V101" s="172"/>
      <c r="W101" s="172"/>
      <c r="X101" s="172"/>
      <c r="Y101" s="172"/>
      <c r="Z101" s="99" t="s">
        <v>36</v>
      </c>
      <c r="AA101" s="99" t="s">
        <v>131</v>
      </c>
      <c r="AB101" s="99" t="s">
        <v>38</v>
      </c>
      <c r="AC101" s="99" t="s">
        <v>130</v>
      </c>
      <c r="AD101" s="116" t="s">
        <v>1</v>
      </c>
    </row>
    <row r="102" spans="3:30" s="3" customFormat="1" x14ac:dyDescent="0.25">
      <c r="C102" s="173" t="s">
        <v>18</v>
      </c>
      <c r="D102"/>
      <c r="E102"/>
      <c r="F102"/>
      <c r="G102"/>
      <c r="H102" s="8">
        <f>SUM(H103:H104)</f>
        <v>0</v>
      </c>
      <c r="I102" s="8">
        <f>SUM(I103:I104)</f>
        <v>33.458005200000002</v>
      </c>
      <c r="J102" s="8">
        <f>SUM(J103:J104)</f>
        <v>5.509067677</v>
      </c>
      <c r="K102" s="8">
        <f>SUM(K103:K104)</f>
        <v>2.9687704141737998</v>
      </c>
      <c r="L102" s="119">
        <f t="shared" ref="L102:L111" si="30">SUM(H102:K102)</f>
        <v>41.935843291173796</v>
      </c>
      <c r="M102" s="97"/>
      <c r="N102" s="176" t="s">
        <v>18</v>
      </c>
      <c r="O102" s="36">
        <f>'[1]Bilan 2040'!$X$46/11.63</f>
        <v>0</v>
      </c>
      <c r="P102" s="35">
        <f>SUM('[1]Bilan 2040'!$X$41:$X$43)/11.63</f>
        <v>23.504697168694122</v>
      </c>
      <c r="Q102" s="35">
        <f>'[1]Bilan 2040'!$X$13/11.63</f>
        <v>5.3384407017958537</v>
      </c>
      <c r="R102" s="35">
        <f>('[1]Bilan 2040'!$X$22+'[1]Bilan 2040'!$X$30+SUM('[1]Bilan 2040'!$X$36:$X$40)+SUM('[1]Bilan 2040'!$X$44:$X$45)+'[1]Bilan 2040'!$X$47)/11.63</f>
        <v>2.7897080492637398</v>
      </c>
      <c r="S102" s="168">
        <f>SUM(O102:R102)</f>
        <v>31.632845919753716</v>
      </c>
      <c r="T102" s="269">
        <f>S102</f>
        <v>31.632845919753716</v>
      </c>
      <c r="U102" s="173" t="s">
        <v>18</v>
      </c>
      <c r="V102"/>
      <c r="W102"/>
      <c r="X102"/>
      <c r="Y102"/>
      <c r="Z102" s="8">
        <v>0</v>
      </c>
      <c r="AA102" s="8">
        <v>33.552653169999999</v>
      </c>
      <c r="AB102" s="8">
        <v>5.5562591480000005</v>
      </c>
      <c r="AC102" s="8">
        <v>2.9742861014252999</v>
      </c>
      <c r="AD102" s="119">
        <v>42.083198419425301</v>
      </c>
    </row>
    <row r="103" spans="3:30" s="3" customFormat="1" x14ac:dyDescent="0.25">
      <c r="C103" s="174" t="s">
        <v>19</v>
      </c>
      <c r="D103" t="s">
        <v>502</v>
      </c>
      <c r="E103" t="s">
        <v>503</v>
      </c>
      <c r="F103" t="s">
        <v>504</v>
      </c>
      <c r="G103" t="s">
        <v>505</v>
      </c>
      <c r="H103" s="37">
        <f>VLOOKUP(D103,Résultats!$B$2:$AX$426,'T energie vecteurs'!U5,FALSE)</f>
        <v>0</v>
      </c>
      <c r="I103" s="37">
        <f>VLOOKUP(E103,Résultats!$B$2:$AX$426,'T energie vecteurs'!U5,FALSE)</f>
        <v>16.313451700000002</v>
      </c>
      <c r="J103" s="37">
        <f>VLOOKUP(F103,Résultats!$B$2:$AX$426,'T energie vecteurs'!U5,FALSE)</f>
        <v>1.899184609</v>
      </c>
      <c r="K103" s="37">
        <f>VLOOKUP(G103,Résultats!$B$2:$AX$426,'T energie vecteurs'!U5,FALSE)</f>
        <v>5.2689173800000003E-5</v>
      </c>
      <c r="L103" s="261">
        <f t="shared" si="30"/>
        <v>18.2126889981738</v>
      </c>
      <c r="M103" s="19"/>
      <c r="N103" s="174" t="s">
        <v>19</v>
      </c>
      <c r="O103" s="169"/>
      <c r="P103" s="19"/>
      <c r="Q103" s="55"/>
      <c r="R103" s="19"/>
      <c r="S103" s="118"/>
      <c r="T103" s="118"/>
      <c r="U103" s="174" t="s">
        <v>19</v>
      </c>
      <c r="V103" t="s">
        <v>502</v>
      </c>
      <c r="W103" t="s">
        <v>503</v>
      </c>
      <c r="X103" t="s">
        <v>504</v>
      </c>
      <c r="Y103" t="s">
        <v>505</v>
      </c>
      <c r="Z103" s="37">
        <v>0</v>
      </c>
      <c r="AA103" s="37">
        <v>16.327248780000001</v>
      </c>
      <c r="AB103" s="260">
        <v>1.9027724049999999</v>
      </c>
      <c r="AC103" s="37">
        <v>5.2838425300000002E-5</v>
      </c>
      <c r="AD103" s="261">
        <v>18.230074023425303</v>
      </c>
    </row>
    <row r="104" spans="3:30" s="3" customFormat="1" x14ac:dyDescent="0.25">
      <c r="C104" s="175" t="s">
        <v>20</v>
      </c>
      <c r="D104" t="s">
        <v>506</v>
      </c>
      <c r="E104" t="s">
        <v>507</v>
      </c>
      <c r="F104" t="s">
        <v>508</v>
      </c>
      <c r="G104" t="s">
        <v>509</v>
      </c>
      <c r="H104" s="37">
        <f>VLOOKUP(D104,Résultats!$B$2:$AX$426,'T energie vecteurs'!U5,FALSE)</f>
        <v>0</v>
      </c>
      <c r="I104" s="37">
        <f>VLOOKUP(E104,Résultats!$B$2:$AX$426,'T energie vecteurs'!U5,FALSE)</f>
        <v>17.144553500000001</v>
      </c>
      <c r="J104" s="37">
        <f>VLOOKUP(F104,Résultats!$B$2:$AX$426,'T energie vecteurs'!U5,FALSE)</f>
        <v>3.6098830679999998</v>
      </c>
      <c r="K104" s="37">
        <f>VLOOKUP(G104,Résultats!$B$2:$AX$426,'T energie vecteurs'!U5,FALSE)</f>
        <v>2.9687177249999999</v>
      </c>
      <c r="L104" s="261">
        <f t="shared" si="30"/>
        <v>23.723154293</v>
      </c>
      <c r="M104" s="19"/>
      <c r="N104" s="175" t="s">
        <v>20</v>
      </c>
      <c r="O104" s="169"/>
      <c r="P104" s="19"/>
      <c r="Q104" s="55"/>
      <c r="R104" s="19"/>
      <c r="S104" s="118"/>
      <c r="T104" s="118"/>
      <c r="U104" s="175" t="s">
        <v>20</v>
      </c>
      <c r="V104" t="s">
        <v>506</v>
      </c>
      <c r="W104" t="s">
        <v>507</v>
      </c>
      <c r="X104" t="s">
        <v>508</v>
      </c>
      <c r="Y104" t="s">
        <v>509</v>
      </c>
      <c r="Z104" s="37">
        <v>0</v>
      </c>
      <c r="AA104" s="37">
        <v>17.225404390000001</v>
      </c>
      <c r="AB104" s="37">
        <v>3.6534867430000002</v>
      </c>
      <c r="AC104" s="37">
        <v>2.9742332629999999</v>
      </c>
      <c r="AD104" s="261">
        <v>23.853124396000002</v>
      </c>
    </row>
    <row r="105" spans="3:30" s="3" customFormat="1" x14ac:dyDescent="0.25">
      <c r="C105" s="173" t="s">
        <v>21</v>
      </c>
      <c r="D105" t="s">
        <v>510</v>
      </c>
      <c r="E105" t="s">
        <v>511</v>
      </c>
      <c r="F105" t="s">
        <v>512</v>
      </c>
      <c r="G105" t="s">
        <v>513</v>
      </c>
      <c r="H105" s="262">
        <f>VLOOKUP(D105,Résultats!$B$2:$AX$426,'T energie vecteurs'!U5,FALSE)</f>
        <v>0.26044820200000002</v>
      </c>
      <c r="I105" s="262">
        <f>VLOOKUP(E105,Résultats!$B$2:$AX$426,'T energie vecteurs'!U5,FALSE)</f>
        <v>6.1124381720000001</v>
      </c>
      <c r="J105" s="262">
        <f>VLOOKUP(F105,Résultats!$B$2:$AX$426,'T energie vecteurs'!U5,FALSE)</f>
        <v>17.088977509999999</v>
      </c>
      <c r="K105" s="262">
        <f>VLOOKUP(G105,Résultats!$B$2:$AX$426,'T energie vecteurs'!U5,FALSE)+2</f>
        <v>19.185961110000001</v>
      </c>
      <c r="L105" s="263">
        <f t="shared" si="30"/>
        <v>42.647824994000004</v>
      </c>
      <c r="M105" s="97"/>
      <c r="N105" s="176" t="s">
        <v>21</v>
      </c>
      <c r="O105" s="36">
        <f>'[1]Bilan 2040'!$V$46/11.63</f>
        <v>0</v>
      </c>
      <c r="P105" s="35">
        <f>SUM('[1]Bilan 2040'!$V$41:$V$43)/11.63</f>
        <v>1.5217705718446504</v>
      </c>
      <c r="Q105" s="35">
        <f>'[1]Bilan 2040'!$V$13/11.63</f>
        <v>16.100467182146332</v>
      </c>
      <c r="R105" s="35">
        <f>('[1]Bilan 2040'!$V$22+'[1]Bilan 2040'!$V$30+SUM('[1]Bilan 2040'!$V$36:$V$40)+SUM('[1]Bilan 2040'!$V$44:$V$45)+'[1]Bilan 2040'!$V$47)/11.63</f>
        <v>20.91841103225741</v>
      </c>
      <c r="S105" s="168">
        <f t="shared" ref="S105:S111" si="31">SUM(O105:R105)</f>
        <v>38.540648786248397</v>
      </c>
      <c r="T105" s="269">
        <f>S105-'[1]Bilan 2040'!$V$40/11.63</f>
        <v>33.878651738643981</v>
      </c>
      <c r="U105" s="173" t="s">
        <v>21</v>
      </c>
      <c r="V105" t="s">
        <v>510</v>
      </c>
      <c r="W105" t="s">
        <v>511</v>
      </c>
      <c r="X105" t="s">
        <v>512</v>
      </c>
      <c r="Y105" t="s">
        <v>513</v>
      </c>
      <c r="Z105" s="262">
        <v>0.26416643880000001</v>
      </c>
      <c r="AA105" s="262">
        <v>6.1117974269999999</v>
      </c>
      <c r="AB105" s="262">
        <v>17.249381320000001</v>
      </c>
      <c r="AC105" s="262">
        <v>19.47670531</v>
      </c>
      <c r="AD105" s="263">
        <v>43.1020504958</v>
      </c>
    </row>
    <row r="106" spans="3:30" s="3" customFormat="1" x14ac:dyDescent="0.25">
      <c r="C106" s="173" t="s">
        <v>22</v>
      </c>
      <c r="D106" t="s">
        <v>514</v>
      </c>
      <c r="E106" t="s">
        <v>515</v>
      </c>
      <c r="F106" t="s">
        <v>516</v>
      </c>
      <c r="G106" t="s">
        <v>517</v>
      </c>
      <c r="H106" s="262">
        <f>VLOOKUP(D106,Résultats!$B$2:$AX$426,'T energie vecteurs'!U5,FALSE)</f>
        <v>0</v>
      </c>
      <c r="I106" s="262">
        <f>VLOOKUP(E106,Résultats!$B$2:$AX$426,'T energie vecteurs'!U5,FALSE)</f>
        <v>1.887655248</v>
      </c>
      <c r="J106" s="262">
        <f>VLOOKUP(F106,Résultats!$B$2:$AX$426,'T energie vecteurs'!U5,FALSE)</f>
        <v>12.19446392</v>
      </c>
      <c r="K106" s="262">
        <f>VLOOKUP(G106,Résultats!$B$2:$AX$426,'T energie vecteurs'!U5,FALSE)</f>
        <v>7.3555365469999998</v>
      </c>
      <c r="L106" s="263">
        <f t="shared" si="30"/>
        <v>21.437655714999998</v>
      </c>
      <c r="M106" s="97"/>
      <c r="N106" s="176" t="s">
        <v>22</v>
      </c>
      <c r="O106" s="36">
        <f>('[1]Bilan 2040'!$W$46)/11.63</f>
        <v>0</v>
      </c>
      <c r="P106" s="35">
        <f>SUM('[1]Bilan 2040'!$W$41:$W$43)/11.63</f>
        <v>0.4952300504112862</v>
      </c>
      <c r="Q106" s="35">
        <f>('[1]Bilan 2040'!$W$13)/11.63</f>
        <v>11.924705484934304</v>
      </c>
      <c r="R106" s="35">
        <f>('[1]Bilan 2040'!$W$22+'[1]Bilan 2040'!$W$30+SUM('[1]Bilan 2040'!$W$36:$W$40)+SUM('[1]Bilan 2040'!$W$44:$W$45)+'[1]Bilan 2040'!$W$47)/11.63</f>
        <v>6.9475060506073669</v>
      </c>
      <c r="S106" s="168">
        <f t="shared" si="31"/>
        <v>19.367441585952957</v>
      </c>
      <c r="T106" s="269">
        <f>S106-'[1]Bilan 2040'!$W$40/11.63</f>
        <v>18.621198562703654</v>
      </c>
      <c r="U106" s="173" t="s">
        <v>22</v>
      </c>
      <c r="V106" t="s">
        <v>514</v>
      </c>
      <c r="W106" t="s">
        <v>515</v>
      </c>
      <c r="X106" t="s">
        <v>516</v>
      </c>
      <c r="Y106" t="s">
        <v>517</v>
      </c>
      <c r="Z106" s="262">
        <v>0</v>
      </c>
      <c r="AA106" s="262">
        <v>1.8709553560000001</v>
      </c>
      <c r="AB106" s="262">
        <v>12.294472880000001</v>
      </c>
      <c r="AC106" s="262">
        <v>7.3686845999999999</v>
      </c>
      <c r="AD106" s="263">
        <v>21.534112835999998</v>
      </c>
    </row>
    <row r="107" spans="3:30" s="3" customFormat="1" x14ac:dyDescent="0.25">
      <c r="C107" s="173" t="s">
        <v>23</v>
      </c>
      <c r="D107"/>
      <c r="E107"/>
      <c r="F107"/>
      <c r="G107"/>
      <c r="H107" s="262">
        <f>SUM(H108:H110)</f>
        <v>2.8336932357000002</v>
      </c>
      <c r="I107" s="262">
        <f>SUM(I108:I110)</f>
        <v>15.574370602000002</v>
      </c>
      <c r="J107" s="262">
        <f>SUM(J108:J110)</f>
        <v>11.6480479908</v>
      </c>
      <c r="K107" s="262">
        <f>SUM(K108:K110)</f>
        <v>16.177470454000002</v>
      </c>
      <c r="L107" s="263">
        <f t="shared" si="30"/>
        <v>46.233582282500002</v>
      </c>
      <c r="M107" s="97"/>
      <c r="N107" s="176" t="s">
        <v>252</v>
      </c>
      <c r="O107" s="36">
        <f>O108+O109</f>
        <v>3.8874337769367404</v>
      </c>
      <c r="P107" s="35">
        <f t="shared" ref="P107:R107" si="32">P108+P109</f>
        <v>11.388314604220763</v>
      </c>
      <c r="Q107" s="35">
        <f t="shared" si="32"/>
        <v>9.6134424318279077</v>
      </c>
      <c r="R107" s="35">
        <f t="shared" si="32"/>
        <v>13.10400229713315</v>
      </c>
      <c r="S107" s="168">
        <f t="shared" si="31"/>
        <v>37.993193110118561</v>
      </c>
      <c r="T107" s="269">
        <f t="shared" ref="T107" si="33">S107</f>
        <v>37.993193110118561</v>
      </c>
      <c r="U107" s="173" t="s">
        <v>23</v>
      </c>
      <c r="V107"/>
      <c r="W107"/>
      <c r="X107"/>
      <c r="Y107"/>
      <c r="Z107" s="262">
        <v>2.8253654914999999</v>
      </c>
      <c r="AA107" s="262">
        <v>15.933922775000001</v>
      </c>
      <c r="AB107" s="262">
        <v>11.6651801566</v>
      </c>
      <c r="AC107" s="262">
        <v>16.397601187100001</v>
      </c>
      <c r="AD107" s="263">
        <v>46.822069610200003</v>
      </c>
    </row>
    <row r="108" spans="3:30" s="3" customFormat="1" x14ac:dyDescent="0.25">
      <c r="C108" s="175" t="s">
        <v>24</v>
      </c>
      <c r="D108" t="s">
        <v>518</v>
      </c>
      <c r="E108" t="s">
        <v>519</v>
      </c>
      <c r="F108" t="s">
        <v>520</v>
      </c>
      <c r="G108" t="s">
        <v>521</v>
      </c>
      <c r="H108" s="37">
        <f>VLOOKUP(D108,Résultats!$B$2:$AX$426,'T energie vecteurs'!U5,FALSE)</f>
        <v>1.91451433</v>
      </c>
      <c r="I108" s="37">
        <f>VLOOKUP(E108,Résultats!$B$2:$AX$426,'T energie vecteurs'!U5,FALSE)</f>
        <v>9.9140362070000005</v>
      </c>
      <c r="J108" s="37">
        <f>VLOOKUP(F108,Résultats!$B$2:$AX$426,'T energie vecteurs'!U5,FALSE)</f>
        <v>11.267654930000001</v>
      </c>
      <c r="K108" s="37">
        <f>VLOOKUP(G108,Résultats!$B$2:$AX$426,'T energie vecteurs'!U5,FALSE)</f>
        <v>13.22620723</v>
      </c>
      <c r="L108" s="261">
        <f t="shared" si="30"/>
        <v>36.322412697000004</v>
      </c>
      <c r="M108" s="19"/>
      <c r="N108" s="175" t="s">
        <v>253</v>
      </c>
      <c r="O108" s="169">
        <f>'[1]Bilan 2040'!$U$46/11.63</f>
        <v>0.46996817074585479</v>
      </c>
      <c r="P108" s="37">
        <f>SUM('[1]Bilan 2040'!$U$41:$U$43)/11.63</f>
        <v>1.9564072098333778</v>
      </c>
      <c r="Q108" s="37">
        <f>'[1]Bilan 2040'!$U$13/11.63</f>
        <v>9.6134424318279077</v>
      </c>
      <c r="R108" s="37">
        <f>('[1]Bilan 2040'!$U$22+'[1]Bilan 2040'!$U$30+SUM('[1]Bilan 2040'!$U$36:$U$40)+SUM('[1]Bilan 2040'!$U$44:$U$45)+'[1]Bilan 2040'!$U$47)/11.63</f>
        <v>11.936351978766362</v>
      </c>
      <c r="S108" s="118">
        <f t="shared" si="31"/>
        <v>23.976169791173504</v>
      </c>
      <c r="T108" s="118"/>
      <c r="U108" s="175" t="s">
        <v>24</v>
      </c>
      <c r="V108" t="s">
        <v>518</v>
      </c>
      <c r="W108" t="s">
        <v>519</v>
      </c>
      <c r="X108" t="s">
        <v>520</v>
      </c>
      <c r="Y108" t="s">
        <v>521</v>
      </c>
      <c r="Z108" s="37">
        <v>1.9025031649999999</v>
      </c>
      <c r="AA108" s="37">
        <v>10.269535940000001</v>
      </c>
      <c r="AB108" s="37">
        <v>11.278618959999999</v>
      </c>
      <c r="AC108" s="37">
        <v>13.43535546</v>
      </c>
      <c r="AD108" s="261">
        <v>36.886013524999996</v>
      </c>
    </row>
    <row r="109" spans="3:30" s="3" customFormat="1" x14ac:dyDescent="0.25">
      <c r="C109" s="175" t="s">
        <v>129</v>
      </c>
      <c r="D109" t="s">
        <v>522</v>
      </c>
      <c r="E109" t="s">
        <v>523</v>
      </c>
      <c r="F109" t="s">
        <v>524</v>
      </c>
      <c r="G109" t="s">
        <v>525</v>
      </c>
      <c r="H109" s="37">
        <f>VLOOKUP(D109,Résultats!$B$2:$AX$426,'T energie vecteurs'!U5,FALSE)</f>
        <v>0.91917890570000005</v>
      </c>
      <c r="I109" s="37">
        <f>VLOOKUP(E109,Résultats!$B$2:$AX$426,'T energie vecteurs'!U5,FALSE)</f>
        <v>2.3998005990000002</v>
      </c>
      <c r="J109" s="37">
        <f>VLOOKUP(F109,Résultats!$B$2:$AX$426,'T energie vecteurs'!U5,FALSE)</f>
        <v>0</v>
      </c>
      <c r="K109" s="37">
        <f>VLOOKUP(G109,Résultats!$B$2:$AX$426,'T energie vecteurs'!U5,FALSE)</f>
        <v>2.4848769449999999</v>
      </c>
      <c r="L109" s="261">
        <f t="shared" si="30"/>
        <v>5.8038564496999996</v>
      </c>
      <c r="M109" s="19"/>
      <c r="N109" s="175" t="s">
        <v>129</v>
      </c>
      <c r="O109" s="28">
        <f>'[1]Bilan 2040'!$E$52/11.63</f>
        <v>3.4174656061908855</v>
      </c>
      <c r="P109" s="19">
        <f>('[1]Bilan 2040'!$E$54+'[1]Bilan 2040'!$E$56)/11.63</f>
        <v>9.4319073943873857</v>
      </c>
      <c r="Q109" s="19">
        <v>0</v>
      </c>
      <c r="R109" s="19">
        <f>('[1]Bilan 2040'!$E$53+'[1]Bilan 2040'!$E$55+'[1]Bilan 2040'!$E$57)/11.63</f>
        <v>1.1676503183667879</v>
      </c>
      <c r="S109" s="118">
        <f t="shared" si="31"/>
        <v>14.017023318945059</v>
      </c>
      <c r="T109" s="118"/>
      <c r="U109" s="175" t="s">
        <v>129</v>
      </c>
      <c r="V109" t="s">
        <v>522</v>
      </c>
      <c r="W109" t="s">
        <v>523</v>
      </c>
      <c r="X109" t="s">
        <v>524</v>
      </c>
      <c r="Y109" t="s">
        <v>525</v>
      </c>
      <c r="Z109" s="37">
        <v>0.9228623265</v>
      </c>
      <c r="AA109" s="37">
        <v>2.401842061</v>
      </c>
      <c r="AB109" s="37">
        <v>0</v>
      </c>
      <c r="AC109" s="37">
        <v>2.4911858740000001</v>
      </c>
      <c r="AD109" s="261">
        <v>5.8158902614999999</v>
      </c>
    </row>
    <row r="110" spans="3:30" s="3" customFormat="1" x14ac:dyDescent="0.25">
      <c r="C110" s="175" t="s">
        <v>25</v>
      </c>
      <c r="D110" t="s">
        <v>526</v>
      </c>
      <c r="E110" t="s">
        <v>527</v>
      </c>
      <c r="F110" t="s">
        <v>528</v>
      </c>
      <c r="G110" t="s">
        <v>529</v>
      </c>
      <c r="H110" s="37">
        <f>VLOOKUP(D110,Résultats!$B$2:$AX$426,'T energie vecteurs'!U5,FALSE)</f>
        <v>0</v>
      </c>
      <c r="I110" s="37">
        <f>VLOOKUP(E110,Résultats!$B$2:$AX$426,'T energie vecteurs'!U5,FALSE)</f>
        <v>3.2605337959999998</v>
      </c>
      <c r="J110" s="37">
        <f>VLOOKUP(F110,Résultats!$B$2:$AX$426,'T energie vecteurs'!U5,FALSE)</f>
        <v>0.38039306080000002</v>
      </c>
      <c r="K110" s="37">
        <f>VLOOKUP(G110,Résultats!$B$2:$AX$426,'T energie vecteurs'!U5,FALSE)</f>
        <v>0.46638627900000001</v>
      </c>
      <c r="L110" s="261">
        <f t="shared" si="30"/>
        <v>4.1073131358000001</v>
      </c>
      <c r="M110" s="19"/>
      <c r="N110" s="176" t="s">
        <v>25</v>
      </c>
      <c r="O110" s="36">
        <f>'[1]Bilan 2040'!$T$46/11.63</f>
        <v>0</v>
      </c>
      <c r="P110" s="35">
        <f>SUM('[1]Bilan 2040'!$T$41:$T$43)/11.63</f>
        <v>2.79232070662915</v>
      </c>
      <c r="Q110" s="35">
        <f>'[1]Bilan 2040'!$T$13/11.63</f>
        <v>0.54723304841648379</v>
      </c>
      <c r="R110" s="35">
        <f>('[1]Bilan 2040'!$T$22+'[1]Bilan 2040'!$T$30+SUM('[1]Bilan 2040'!$T$36:$T$40)+SUM('[1]Bilan 2040'!$T$44:$T$45)+'[1]Bilan 2040'!$T$47)/11.63</f>
        <v>0.43855300175211398</v>
      </c>
      <c r="S110" s="168">
        <f t="shared" si="31"/>
        <v>3.7781067567977473</v>
      </c>
      <c r="T110" s="269">
        <f>S110</f>
        <v>3.7781067567977473</v>
      </c>
      <c r="U110" s="175" t="s">
        <v>25</v>
      </c>
      <c r="V110" t="s">
        <v>526</v>
      </c>
      <c r="W110" t="s">
        <v>527</v>
      </c>
      <c r="X110" t="s">
        <v>528</v>
      </c>
      <c r="Y110" t="s">
        <v>529</v>
      </c>
      <c r="Z110" s="37">
        <v>0</v>
      </c>
      <c r="AA110" s="37">
        <v>3.2625447740000002</v>
      </c>
      <c r="AB110" s="37">
        <v>0.38656119659999999</v>
      </c>
      <c r="AC110" s="37">
        <v>0.47105985309999998</v>
      </c>
      <c r="AD110" s="261">
        <v>4.1201658236999998</v>
      </c>
    </row>
    <row r="111" spans="3:30" s="3" customFormat="1" x14ac:dyDescent="0.25">
      <c r="C111" s="29" t="s">
        <v>26</v>
      </c>
      <c r="D111" s="10"/>
      <c r="E111" s="10"/>
      <c r="F111" s="10"/>
      <c r="G111" s="10"/>
      <c r="H111" s="264">
        <f>SUM(H102,H105:H107)</f>
        <v>3.0941414377000003</v>
      </c>
      <c r="I111" s="264">
        <f>SUM(I102,I105:I107)</f>
        <v>57.032469222000003</v>
      </c>
      <c r="J111" s="264">
        <f>SUM(J102,J105:J107)</f>
        <v>46.440557097800003</v>
      </c>
      <c r="K111" s="264">
        <f>SUM(K102,K105:K107)</f>
        <v>45.687738525173799</v>
      </c>
      <c r="L111" s="265">
        <f t="shared" si="30"/>
        <v>152.2549062826738</v>
      </c>
      <c r="M111" s="103"/>
      <c r="N111" s="177" t="s">
        <v>26</v>
      </c>
      <c r="O111" s="40">
        <f>O102+O105+O106+O107+O110</f>
        <v>3.8874337769367404</v>
      </c>
      <c r="P111" s="38">
        <f>P102+P105+P106+P107+P110</f>
        <v>39.702333101799972</v>
      </c>
      <c r="Q111" s="38">
        <f>Q102+Q105+Q106+Q107+Q110</f>
        <v>43.524288849120879</v>
      </c>
      <c r="R111" s="38">
        <f>R102+R105+R106+R107+R110</f>
        <v>44.198180431013782</v>
      </c>
      <c r="S111" s="170">
        <f t="shared" si="31"/>
        <v>131.31223615887137</v>
      </c>
      <c r="T111" s="268">
        <f>SUM(T102:T110)</f>
        <v>125.90399608801766</v>
      </c>
      <c r="U111" s="29" t="s">
        <v>26</v>
      </c>
      <c r="V111" s="10"/>
      <c r="W111" s="10"/>
      <c r="X111" s="10"/>
      <c r="Y111" s="10"/>
      <c r="Z111" s="264">
        <v>3.0895319302999997</v>
      </c>
      <c r="AA111" s="264">
        <v>57.469328728000001</v>
      </c>
      <c r="AB111" s="264">
        <v>46.765293504600002</v>
      </c>
      <c r="AC111" s="264">
        <v>46.217277198525302</v>
      </c>
      <c r="AD111" s="265">
        <v>153.54143136142531</v>
      </c>
    </row>
    <row r="112" spans="3:30" s="3" customFormat="1" x14ac:dyDescent="0.25"/>
    <row r="113" spans="3:30" s="3" customFormat="1" x14ac:dyDescent="0.25"/>
    <row r="114" spans="3:30" ht="31.5" x14ac:dyDescent="0.35">
      <c r="C114" s="171">
        <v>2050</v>
      </c>
      <c r="D114" s="172"/>
      <c r="E114" s="172"/>
      <c r="F114" s="172"/>
      <c r="G114" s="172"/>
      <c r="H114" s="99" t="s">
        <v>36</v>
      </c>
      <c r="I114" s="99" t="s">
        <v>131</v>
      </c>
      <c r="J114" s="99" t="s">
        <v>38</v>
      </c>
      <c r="K114" s="99" t="s">
        <v>130</v>
      </c>
      <c r="L114" s="116" t="s">
        <v>1</v>
      </c>
      <c r="M114" s="25"/>
      <c r="N114" s="171">
        <v>2050</v>
      </c>
      <c r="O114" s="167" t="s">
        <v>36</v>
      </c>
      <c r="P114" s="99" t="s">
        <v>131</v>
      </c>
      <c r="Q114" s="99" t="s">
        <v>38</v>
      </c>
      <c r="R114" s="99" t="s">
        <v>130</v>
      </c>
      <c r="S114" s="116" t="s">
        <v>1</v>
      </c>
      <c r="T114" s="267" t="s">
        <v>530</v>
      </c>
      <c r="U114" s="171">
        <v>2050</v>
      </c>
      <c r="V114" s="172"/>
      <c r="W114" s="172"/>
      <c r="X114" s="172"/>
      <c r="Y114" s="172"/>
      <c r="Z114" s="99" t="s">
        <v>36</v>
      </c>
      <c r="AA114" s="99" t="s">
        <v>131</v>
      </c>
      <c r="AB114" s="99" t="s">
        <v>38</v>
      </c>
      <c r="AC114" s="99" t="s">
        <v>130</v>
      </c>
      <c r="AD114" s="116" t="s">
        <v>1</v>
      </c>
    </row>
    <row r="115" spans="3:30" x14ac:dyDescent="0.25">
      <c r="C115" s="173" t="s">
        <v>18</v>
      </c>
      <c r="H115" s="8">
        <f>SUM(H116:H117)</f>
        <v>0</v>
      </c>
      <c r="I115" s="8">
        <f>SUM(I116:I117)</f>
        <v>30.74473815</v>
      </c>
      <c r="J115" s="8">
        <f>SUM(J116:J117)</f>
        <v>7.2307321299999998</v>
      </c>
      <c r="K115" s="8">
        <f>SUM(K116:K117)</f>
        <v>3.5003358672111</v>
      </c>
      <c r="L115" s="119">
        <f>SUM(H115:K115)</f>
        <v>41.475806147211095</v>
      </c>
      <c r="M115" s="97"/>
      <c r="N115" s="176" t="s">
        <v>18</v>
      </c>
      <c r="O115" s="36">
        <f>'[1]Bilan 2050'!$X$46/11.63</f>
        <v>0</v>
      </c>
      <c r="P115" s="35">
        <f>SUM('[1]Bilan 2050'!$X$41:$X$43)/11.63</f>
        <v>20.444690116616325</v>
      </c>
      <c r="Q115" s="35">
        <f>'[1]Bilan 2050'!$X$13/11.63</f>
        <v>6.9492063867804656</v>
      </c>
      <c r="R115" s="35">
        <f>('[1]Bilan 2050'!$X$22+'[1]Bilan 2050'!$X$30+SUM('[1]Bilan 2050'!$X$36:$X$40)+SUM('[1]Bilan 2050'!$X$44:$X$45)+'[1]Bilan 2050'!$X$47)/11.63</f>
        <v>3.1240940704702966</v>
      </c>
      <c r="S115" s="168">
        <f>SUM(O115:R115)</f>
        <v>30.517990573867085</v>
      </c>
      <c r="T115" s="269">
        <f>S115</f>
        <v>30.517990573867085</v>
      </c>
      <c r="U115" s="173" t="s">
        <v>18</v>
      </c>
      <c r="Z115" s="8">
        <v>0</v>
      </c>
      <c r="AA115" s="8">
        <v>30.850750490000003</v>
      </c>
      <c r="AB115" s="8">
        <v>7.2346026430000006</v>
      </c>
      <c r="AC115" s="8">
        <v>3.5077181901265999</v>
      </c>
      <c r="AD115" s="119">
        <v>41.593071323126608</v>
      </c>
    </row>
    <row r="116" spans="3:30" x14ac:dyDescent="0.25">
      <c r="C116" s="174" t="s">
        <v>19</v>
      </c>
      <c r="D116" t="s">
        <v>502</v>
      </c>
      <c r="E116" t="s">
        <v>503</v>
      </c>
      <c r="F116" t="s">
        <v>504</v>
      </c>
      <c r="G116" t="s">
        <v>505</v>
      </c>
      <c r="H116" s="19">
        <f>VLOOKUP(D116,Résultats!$B$2:$AX$426,'T energie vecteurs'!W5,FALSE)</f>
        <v>0</v>
      </c>
      <c r="I116" s="19">
        <f>VLOOKUP(E116,Résultats!$B$2:$AX$426,'T energie vecteurs'!W5,FALSE)</f>
        <v>12.706860219999999</v>
      </c>
      <c r="J116" s="19">
        <f>VLOOKUP(F116,Résultats!$B$2:$AX$426,'T energie vecteurs'!W5,FALSE)</f>
        <v>3.3127115410000001</v>
      </c>
      <c r="K116" s="19">
        <f>VLOOKUP(G116,Résultats!$B$2:$AX$426,'T energie vecteurs'!W5,FALSE)</f>
        <v>6.5958211099999996E-5</v>
      </c>
      <c r="L116" s="118">
        <f t="shared" ref="L116:L124" si="34">SUM(H116:K116)</f>
        <v>16.019637719211097</v>
      </c>
      <c r="M116" s="19"/>
      <c r="N116" s="174" t="s">
        <v>19</v>
      </c>
      <c r="O116" s="169"/>
      <c r="P116" s="19"/>
      <c r="Q116" s="55"/>
      <c r="R116" s="19"/>
      <c r="S116" s="118"/>
      <c r="T116" s="118"/>
      <c r="U116" s="174" t="s">
        <v>19</v>
      </c>
      <c r="V116" t="s">
        <v>502</v>
      </c>
      <c r="W116" t="s">
        <v>503</v>
      </c>
      <c r="X116" t="s">
        <v>504</v>
      </c>
      <c r="Y116" t="s">
        <v>505</v>
      </c>
      <c r="Z116" s="19">
        <v>0</v>
      </c>
      <c r="AA116" s="19">
        <v>12.71638666</v>
      </c>
      <c r="AB116" s="19">
        <v>3.3165985930000002</v>
      </c>
      <c r="AC116" s="19">
        <v>6.6077126599999999E-5</v>
      </c>
      <c r="AD116" s="118">
        <v>16.0330513301266</v>
      </c>
    </row>
    <row r="117" spans="3:30" x14ac:dyDescent="0.25">
      <c r="C117" s="175" t="s">
        <v>20</v>
      </c>
      <c r="D117" t="s">
        <v>506</v>
      </c>
      <c r="E117" t="s">
        <v>507</v>
      </c>
      <c r="F117" t="s">
        <v>508</v>
      </c>
      <c r="G117" t="s">
        <v>509</v>
      </c>
      <c r="H117" s="19">
        <f>VLOOKUP(D117,Résultats!$B$2:$AX$426,'T energie vecteurs'!W5,FALSE)</f>
        <v>0</v>
      </c>
      <c r="I117" s="19">
        <f>VLOOKUP(E117,Résultats!$B$2:$AX$426,'T energie vecteurs'!W5,FALSE)</f>
        <v>18.037877930000001</v>
      </c>
      <c r="J117" s="19">
        <f>VLOOKUP(F117,Résultats!$B$2:$AX$426,'T energie vecteurs'!W5,FALSE)</f>
        <v>3.9180205890000002</v>
      </c>
      <c r="K117" s="19">
        <f>VLOOKUP(G117,Résultats!$B$2:$AX$426,'T energie vecteurs'!W5,FALSE)</f>
        <v>3.500269909</v>
      </c>
      <c r="L117" s="118">
        <f t="shared" si="34"/>
        <v>25.456168428000002</v>
      </c>
      <c r="M117" s="19"/>
      <c r="N117" s="175" t="s">
        <v>20</v>
      </c>
      <c r="O117" s="169"/>
      <c r="P117" s="19"/>
      <c r="Q117" s="55"/>
      <c r="R117" s="19"/>
      <c r="S117" s="118"/>
      <c r="T117" s="118"/>
      <c r="U117" s="175" t="s">
        <v>20</v>
      </c>
      <c r="V117" t="s">
        <v>506</v>
      </c>
      <c r="W117" t="s">
        <v>507</v>
      </c>
      <c r="X117" t="s">
        <v>508</v>
      </c>
      <c r="Y117" t="s">
        <v>509</v>
      </c>
      <c r="Z117" s="19">
        <v>0</v>
      </c>
      <c r="AA117" s="19">
        <v>18.134363830000002</v>
      </c>
      <c r="AB117" s="19">
        <v>3.91800405</v>
      </c>
      <c r="AC117" s="19">
        <v>3.5076521129999998</v>
      </c>
      <c r="AD117" s="118">
        <v>25.560019993000001</v>
      </c>
    </row>
    <row r="118" spans="3:30" x14ac:dyDescent="0.25">
      <c r="C118" s="173" t="s">
        <v>21</v>
      </c>
      <c r="D118" t="s">
        <v>510</v>
      </c>
      <c r="E118" t="s">
        <v>511</v>
      </c>
      <c r="F118" t="s">
        <v>512</v>
      </c>
      <c r="G118" t="s">
        <v>513</v>
      </c>
      <c r="H118" s="8">
        <f>VLOOKUP(D118,Résultats!$B$2:$AX$426,'T energie vecteurs'!W5,FALSE)</f>
        <v>0.22611710879999999</v>
      </c>
      <c r="I118" s="8">
        <f>VLOOKUP(E118,Résultats!$B$2:$AX$426,'T energie vecteurs'!W5,FALSE)</f>
        <v>5.5683809709999998</v>
      </c>
      <c r="J118" s="8">
        <f>VLOOKUP(F118,Résultats!$B$2:$AX$426,'T energie vecteurs'!W5,FALSE)</f>
        <v>17.622054930000001</v>
      </c>
      <c r="K118" s="8">
        <f>VLOOKUP(G118,Résultats!$B$2:$AX$426,'T energie vecteurs'!W5,FALSE)+2</f>
        <v>18.439387400000001</v>
      </c>
      <c r="L118" s="119">
        <f t="shared" si="34"/>
        <v>41.855940409799999</v>
      </c>
      <c r="M118" s="97"/>
      <c r="N118" s="176" t="s">
        <v>21</v>
      </c>
      <c r="O118" s="36">
        <f>'[1]Bilan 2050'!$V$46/11.63</f>
        <v>0</v>
      </c>
      <c r="P118" s="35">
        <f>SUM('[1]Bilan 2050'!$V$41:$V$43)/11.63</f>
        <v>0.44793357100944881</v>
      </c>
      <c r="Q118" s="35">
        <f>'[1]Bilan 2050'!$V$13/11.63</f>
        <v>16.722069816294518</v>
      </c>
      <c r="R118" s="35">
        <f>('[1]Bilan 2050'!$V$22+'[1]Bilan 2050'!$V$30+SUM('[1]Bilan 2050'!$V$36:$V$40)+SUM('[1]Bilan 2050'!$V$44:$V$45)+'[1]Bilan 2050'!$V$47)/11.63</f>
        <v>20.626598768707204</v>
      </c>
      <c r="S118" s="168">
        <f t="shared" ref="S118:S124" si="35">SUM(O118:R118)</f>
        <v>37.796602156011176</v>
      </c>
      <c r="T118" s="269">
        <f>S118-'[1]Bilan 2050'!$V$40/11.63</f>
        <v>32.080503457869298</v>
      </c>
      <c r="U118" s="173" t="s">
        <v>21</v>
      </c>
      <c r="V118" t="s">
        <v>510</v>
      </c>
      <c r="W118" t="s">
        <v>511</v>
      </c>
      <c r="X118" t="s">
        <v>512</v>
      </c>
      <c r="Y118" t="s">
        <v>513</v>
      </c>
      <c r="Z118" s="258">
        <v>0.23099133190000001</v>
      </c>
      <c r="AA118" s="258">
        <v>5.6204186549999999</v>
      </c>
      <c r="AB118" s="258">
        <v>17.768669419999998</v>
      </c>
      <c r="AC118" s="258">
        <v>18.958865809999999</v>
      </c>
      <c r="AD118" s="259">
        <v>42.578945216899996</v>
      </c>
    </row>
    <row r="119" spans="3:30" x14ac:dyDescent="0.25">
      <c r="C119" s="173" t="s">
        <v>22</v>
      </c>
      <c r="D119" t="s">
        <v>514</v>
      </c>
      <c r="E119" t="s">
        <v>515</v>
      </c>
      <c r="F119" t="s">
        <v>516</v>
      </c>
      <c r="G119" t="s">
        <v>517</v>
      </c>
      <c r="H119" s="8">
        <f>VLOOKUP(D119,Résultats!$B$2:$AX$426,'T energie vecteurs'!W5,FALSE)</f>
        <v>0</v>
      </c>
      <c r="I119" s="8">
        <f>VLOOKUP(E119,Résultats!$B$2:$AX$426,'T energie vecteurs'!W5,FALSE)</f>
        <v>1.878383353</v>
      </c>
      <c r="J119" s="8">
        <f>VLOOKUP(F119,Résultats!$B$2:$AX$426,'T energie vecteurs'!W5,FALSE)</f>
        <v>10.61246176</v>
      </c>
      <c r="K119" s="8">
        <f>VLOOKUP(G119,Résultats!$B$2:$AX$426,'T energie vecteurs'!W5,FALSE)</f>
        <v>6.2034775069999997</v>
      </c>
      <c r="L119" s="119">
        <f t="shared" si="34"/>
        <v>18.694322620000001</v>
      </c>
      <c r="M119" s="97"/>
      <c r="N119" s="176" t="s">
        <v>22</v>
      </c>
      <c r="O119" s="36">
        <f>('[1]Bilan 2050'!$W$46)/11.63</f>
        <v>0</v>
      </c>
      <c r="P119" s="35">
        <f>SUM('[1]Bilan 2050'!$W$41:$W$43)/11.63</f>
        <v>0.19932306002356692</v>
      </c>
      <c r="Q119" s="35">
        <f>('[1]Bilan 2050'!$W$13)/11.63</f>
        <v>12.561375724275205</v>
      </c>
      <c r="R119" s="35">
        <f>('[1]Bilan 2050'!$W$22+'[1]Bilan 2050'!$W$30+SUM('[1]Bilan 2050'!$W$36:$W$40)+SUM('[1]Bilan 2050'!$W$44:$W$45)+'[1]Bilan 2050'!$W$47)/11.63</f>
        <v>6.8359123459815141</v>
      </c>
      <c r="S119" s="168">
        <f t="shared" si="35"/>
        <v>19.596611130280287</v>
      </c>
      <c r="T119" s="269">
        <f>S119-'[1]Bilan 2050'!$W$40/11.63</f>
        <v>18.856668306540005</v>
      </c>
      <c r="U119" s="173" t="s">
        <v>22</v>
      </c>
      <c r="V119" t="s">
        <v>514</v>
      </c>
      <c r="W119" t="s">
        <v>515</v>
      </c>
      <c r="X119" t="s">
        <v>516</v>
      </c>
      <c r="Y119" t="s">
        <v>517</v>
      </c>
      <c r="Z119" s="8">
        <v>0</v>
      </c>
      <c r="AA119" s="8">
        <v>1.8713785380000001</v>
      </c>
      <c r="AB119" s="8">
        <v>10.621630740000001</v>
      </c>
      <c r="AC119" s="8">
        <v>6.2521078030000004</v>
      </c>
      <c r="AD119" s="119">
        <v>18.745117081</v>
      </c>
    </row>
    <row r="120" spans="3:30" x14ac:dyDescent="0.25">
      <c r="C120" s="173" t="s">
        <v>23</v>
      </c>
      <c r="H120" s="8">
        <f>SUM(H121:H123)</f>
        <v>2.9262062699999998</v>
      </c>
      <c r="I120" s="8">
        <f>SUM(I121:I123)</f>
        <v>16.113245253000002</v>
      </c>
      <c r="J120" s="8">
        <f>SUM(J121:J123)</f>
        <v>13.5014218895</v>
      </c>
      <c r="K120" s="8">
        <f>SUM(K121:K123)</f>
        <v>16.563545914999999</v>
      </c>
      <c r="L120" s="8">
        <f>SUM(L121:L123)</f>
        <v>49.104419327499997</v>
      </c>
      <c r="M120" s="97"/>
      <c r="N120" s="176" t="s">
        <v>252</v>
      </c>
      <c r="O120" s="36">
        <f>O121+O122</f>
        <v>3.7208173415817956</v>
      </c>
      <c r="P120" s="35">
        <f t="shared" ref="P120:R120" si="36">P121+P122</f>
        <v>10.357640817267992</v>
      </c>
      <c r="Q120" s="35">
        <f t="shared" si="36"/>
        <v>9.8880397220191174</v>
      </c>
      <c r="R120" s="35">
        <f t="shared" si="36"/>
        <v>12.81691494221436</v>
      </c>
      <c r="S120" s="168">
        <f t="shared" si="35"/>
        <v>36.783412823083268</v>
      </c>
      <c r="T120" s="269">
        <f t="shared" ref="T120" si="37">S120</f>
        <v>36.783412823083268</v>
      </c>
      <c r="U120" s="173" t="s">
        <v>23</v>
      </c>
      <c r="Z120" s="8">
        <v>2.9314230634</v>
      </c>
      <c r="AA120" s="8">
        <v>16.579700963000001</v>
      </c>
      <c r="AB120" s="8">
        <v>13.364733552800001</v>
      </c>
      <c r="AC120" s="8">
        <v>17.117947682799997</v>
      </c>
      <c r="AD120" s="8">
        <v>49.993805261999995</v>
      </c>
    </row>
    <row r="121" spans="3:30" x14ac:dyDescent="0.25">
      <c r="C121" s="175" t="s">
        <v>24</v>
      </c>
      <c r="D121" t="s">
        <v>518</v>
      </c>
      <c r="E121" t="s">
        <v>519</v>
      </c>
      <c r="F121" t="s">
        <v>520</v>
      </c>
      <c r="G121" t="s">
        <v>521</v>
      </c>
      <c r="H121" s="19">
        <f>VLOOKUP(D121,Résultats!$B$2:$AX$426,'T energie vecteurs'!W5,FALSE)</f>
        <v>1.9413259</v>
      </c>
      <c r="I121" s="19">
        <f>VLOOKUP(E121,Résultats!$B$2:$AX$426,'T energie vecteurs'!W5,FALSE)</f>
        <v>9.7049421870000003</v>
      </c>
      <c r="J121" s="19">
        <f>VLOOKUP(F121,Résultats!$B$2:$AX$426,'T energie vecteurs'!W5,FALSE)</f>
        <v>13.077762399999999</v>
      </c>
      <c r="K121" s="19">
        <f>VLOOKUP(G121,Résultats!$B$2:$AX$426,'T energie vecteurs'!W5,FALSE)</f>
        <v>13.28587647</v>
      </c>
      <c r="L121" s="118">
        <f t="shared" si="34"/>
        <v>38.009906956999998</v>
      </c>
      <c r="M121" s="19"/>
      <c r="N121" s="175" t="s">
        <v>253</v>
      </c>
      <c r="O121" s="169">
        <f>'[1]Bilan 2050'!$U$46/11.63</f>
        <v>0.31585492622281036</v>
      </c>
      <c r="P121" s="37">
        <f>SUM('[1]Bilan 2050'!$U$41:$U$43)/11.63</f>
        <v>1.7544463445123659</v>
      </c>
      <c r="Q121" s="37">
        <f>'[1]Bilan 2050'!$U$13/11.63</f>
        <v>9.8880397220191174</v>
      </c>
      <c r="R121" s="37">
        <f>('[1]Bilan 2050'!$U$22+'[1]Bilan 2050'!$U$30+SUM('[1]Bilan 2050'!$U$36:$U$40)+SUM('[1]Bilan 2050'!$U$44:$U$45)+'[1]Bilan 2050'!$U$47)/11.63</f>
        <v>11.517483382516158</v>
      </c>
      <c r="S121" s="118">
        <f t="shared" si="35"/>
        <v>23.475824375270452</v>
      </c>
      <c r="T121" s="118"/>
      <c r="U121" s="175" t="s">
        <v>24</v>
      </c>
      <c r="V121" t="s">
        <v>518</v>
      </c>
      <c r="W121" t="s">
        <v>519</v>
      </c>
      <c r="X121" t="s">
        <v>520</v>
      </c>
      <c r="Y121" t="s">
        <v>521</v>
      </c>
      <c r="Z121" s="19">
        <v>1.941345058</v>
      </c>
      <c r="AA121" s="19">
        <v>10.18090933</v>
      </c>
      <c r="AB121" s="19">
        <v>12.93938887</v>
      </c>
      <c r="AC121" s="19">
        <v>13.825086799999999</v>
      </c>
      <c r="AD121" s="118">
        <v>38.886730057999998</v>
      </c>
    </row>
    <row r="122" spans="3:30" x14ac:dyDescent="0.25">
      <c r="C122" s="175" t="s">
        <v>129</v>
      </c>
      <c r="D122" t="s">
        <v>522</v>
      </c>
      <c r="E122" t="s">
        <v>523</v>
      </c>
      <c r="F122" t="s">
        <v>524</v>
      </c>
      <c r="G122" t="s">
        <v>525</v>
      </c>
      <c r="H122" s="19">
        <f>VLOOKUP(D122,Résultats!$B$2:$AX$426,'T energie vecteurs'!W5,FALSE)</f>
        <v>0.98488036999999995</v>
      </c>
      <c r="I122" s="19">
        <f>VLOOKUP(E122,Résultats!$B$2:$AX$426,'T energie vecteurs'!W5,FALSE)</f>
        <v>2.720646774</v>
      </c>
      <c r="J122" s="19">
        <f>VLOOKUP(F122,Résultats!$B$2:$AX$426,'T energie vecteurs'!W5,FALSE)</f>
        <v>0</v>
      </c>
      <c r="K122" s="19">
        <f>VLOOKUP(G122,Résultats!$B$2:$AX$426,'T energie vecteurs'!W5,FALSE)</f>
        <v>2.7532515769999999</v>
      </c>
      <c r="L122" s="118">
        <f t="shared" si="34"/>
        <v>6.4587787209999998</v>
      </c>
      <c r="M122" s="19"/>
      <c r="N122" s="175" t="s">
        <v>129</v>
      </c>
      <c r="O122" s="28">
        <f>'[1]Bilan 2050'!$E$52/11.63</f>
        <v>3.4049624153589853</v>
      </c>
      <c r="P122" s="19">
        <f>('[1]Bilan 2050'!$E$54+'[1]Bilan 2050'!$E$56)/11.63</f>
        <v>8.6031944727556251</v>
      </c>
      <c r="Q122" s="19">
        <v>0</v>
      </c>
      <c r="R122" s="19">
        <f>('[1]Bilan 2050'!$E$53+'[1]Bilan 2050'!$E$55+'[1]Bilan 2050'!$E$57)/11.63</f>
        <v>1.2994315596982036</v>
      </c>
      <c r="S122" s="118">
        <f t="shared" si="35"/>
        <v>13.307588447812815</v>
      </c>
      <c r="T122" s="118"/>
      <c r="U122" s="175" t="s">
        <v>129</v>
      </c>
      <c r="V122" t="s">
        <v>522</v>
      </c>
      <c r="W122" t="s">
        <v>523</v>
      </c>
      <c r="X122" t="s">
        <v>524</v>
      </c>
      <c r="Y122" t="s">
        <v>525</v>
      </c>
      <c r="Z122" s="19">
        <v>0.99007800540000002</v>
      </c>
      <c r="AA122" s="19">
        <v>2.723092431</v>
      </c>
      <c r="AB122" s="19">
        <v>0</v>
      </c>
      <c r="AC122" s="19">
        <v>2.762301989</v>
      </c>
      <c r="AD122" s="118">
        <v>6.4754724253999996</v>
      </c>
    </row>
    <row r="123" spans="3:30" x14ac:dyDescent="0.25">
      <c r="C123" s="175" t="s">
        <v>25</v>
      </c>
      <c r="D123" t="s">
        <v>526</v>
      </c>
      <c r="E123" t="s">
        <v>527</v>
      </c>
      <c r="F123" t="s">
        <v>528</v>
      </c>
      <c r="G123" t="s">
        <v>529</v>
      </c>
      <c r="H123" s="19">
        <f>VLOOKUP(D123,Résultats!$B$2:$AX$426,'T energie vecteurs'!W5,FALSE)</f>
        <v>0</v>
      </c>
      <c r="I123" s="19">
        <f>VLOOKUP(E123,Résultats!$B$2:$AX$426,'T energie vecteurs'!W5,FALSE)</f>
        <v>3.6876562919999998</v>
      </c>
      <c r="J123" s="19">
        <f>VLOOKUP(F123,Résultats!$B$2:$AX$426,'T energie vecteurs'!W5,FALSE)</f>
        <v>0.42365948949999999</v>
      </c>
      <c r="K123" s="19">
        <f>VLOOKUP(G123,Résultats!$B$2:$AX$426,'T energie vecteurs'!W5,FALSE)</f>
        <v>0.52441786800000001</v>
      </c>
      <c r="L123" s="118">
        <f t="shared" si="34"/>
        <v>4.6357336495000006</v>
      </c>
      <c r="M123" s="19"/>
      <c r="N123" s="176" t="s">
        <v>25</v>
      </c>
      <c r="O123" s="36">
        <f>'[1]Bilan 2050'!$T$46/11.63</f>
        <v>0</v>
      </c>
      <c r="P123" s="35">
        <f>SUM('[1]Bilan 2050'!$T$41:$T$43)/11.63</f>
        <v>2.6210382547955651</v>
      </c>
      <c r="Q123" s="35">
        <f>'[1]Bilan 2050'!$T$13/11.63</f>
        <v>0.47494021651696666</v>
      </c>
      <c r="R123" s="35">
        <f>('[1]Bilan 2050'!$T$22+'[1]Bilan 2050'!$T$30+SUM('[1]Bilan 2050'!$T$36:$T$40)+SUM('[1]Bilan 2050'!$T$44:$T$45)+'[1]Bilan 2050'!$T$47)/11.63</f>
        <v>0.5067259755592558</v>
      </c>
      <c r="S123" s="168">
        <f t="shared" si="35"/>
        <v>3.6027044468717877</v>
      </c>
      <c r="T123" s="269">
        <f>S123</f>
        <v>3.6027044468717877</v>
      </c>
      <c r="U123" s="175" t="s">
        <v>25</v>
      </c>
      <c r="V123" t="s">
        <v>526</v>
      </c>
      <c r="W123" t="s">
        <v>527</v>
      </c>
      <c r="X123" t="s">
        <v>528</v>
      </c>
      <c r="Y123" t="s">
        <v>529</v>
      </c>
      <c r="Z123" s="19">
        <v>0</v>
      </c>
      <c r="AA123" s="19">
        <v>3.6756992020000001</v>
      </c>
      <c r="AB123" s="19">
        <v>0.42534468279999998</v>
      </c>
      <c r="AC123" s="19">
        <v>0.53055889379999999</v>
      </c>
      <c r="AD123" s="118">
        <v>4.6316027786000005</v>
      </c>
    </row>
    <row r="124" spans="3:30" x14ac:dyDescent="0.25">
      <c r="C124" s="29" t="s">
        <v>26</v>
      </c>
      <c r="D124" s="10"/>
      <c r="E124" s="10"/>
      <c r="F124" s="10"/>
      <c r="G124" s="10"/>
      <c r="H124" s="9">
        <f>SUM(H115,H118:H120)</f>
        <v>3.1523233787999998</v>
      </c>
      <c r="I124" s="9">
        <f>SUM(I115,I118:I120)</f>
        <v>54.304747726999999</v>
      </c>
      <c r="J124" s="9">
        <f>SUM(J115,J118:J120)</f>
        <v>48.966670709500001</v>
      </c>
      <c r="K124" s="9">
        <f>SUM(K115,K118:K120)</f>
        <v>44.706746689211101</v>
      </c>
      <c r="L124" s="121">
        <f t="shared" si="34"/>
        <v>151.13048850451111</v>
      </c>
      <c r="M124" s="103"/>
      <c r="N124" s="177" t="s">
        <v>26</v>
      </c>
      <c r="O124" s="40">
        <f>O115+O118+O119+O120+O123</f>
        <v>3.7208173415817956</v>
      </c>
      <c r="P124" s="38">
        <f>P115+P118+P119+P120+P123</f>
        <v>34.070625819712902</v>
      </c>
      <c r="Q124" s="38">
        <f>Q115+Q118+Q119+Q120+Q123</f>
        <v>46.595631865886276</v>
      </c>
      <c r="R124" s="38">
        <f>R115+R118+R119+R120+R123</f>
        <v>43.910246102932632</v>
      </c>
      <c r="S124" s="170">
        <f t="shared" si="35"/>
        <v>128.2973211301136</v>
      </c>
      <c r="T124" s="268">
        <f>SUM(T115:T123)</f>
        <v>121.84127960823143</v>
      </c>
      <c r="U124" s="29" t="s">
        <v>26</v>
      </c>
      <c r="V124" s="10"/>
      <c r="W124" s="10"/>
      <c r="X124" s="10"/>
      <c r="Y124" s="10"/>
      <c r="Z124" s="9">
        <v>3.1624143952999999</v>
      </c>
      <c r="AA124" s="9">
        <v>54.922248646000007</v>
      </c>
      <c r="AB124" s="9">
        <v>48.989636355800002</v>
      </c>
      <c r="AC124" s="9">
        <v>45.836639485926597</v>
      </c>
      <c r="AD124" s="121">
        <v>152.9109388830266</v>
      </c>
    </row>
    <row r="125" spans="3:30" x14ac:dyDescent="0.25">
      <c r="C125" s="3"/>
      <c r="D125" s="3"/>
      <c r="E125" s="3"/>
      <c r="F125" s="3"/>
      <c r="G125" s="3"/>
      <c r="H125" s="3"/>
      <c r="I125" s="3"/>
      <c r="J125" s="3"/>
      <c r="K125" s="3"/>
      <c r="L125" s="67"/>
      <c r="M125" s="3"/>
      <c r="O125" s="101"/>
      <c r="P125" s="101"/>
      <c r="Q125" s="101"/>
      <c r="R125" s="102"/>
      <c r="S125" s="67"/>
      <c r="U125" s="3"/>
      <c r="V125" s="3"/>
      <c r="W125" s="3"/>
      <c r="X125" s="3"/>
      <c r="Y125" s="3"/>
      <c r="Z125" s="3"/>
      <c r="AA125" s="3"/>
      <c r="AB125" s="3"/>
      <c r="AC125" s="3"/>
      <c r="AD125" s="67"/>
    </row>
    <row r="126" spans="3:30" x14ac:dyDescent="0.25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O126" s="3"/>
      <c r="P126" s="3"/>
      <c r="Q126" s="3"/>
      <c r="R126" s="3"/>
      <c r="S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3:30" x14ac:dyDescent="0.25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O127" s="3"/>
      <c r="P127" s="3"/>
      <c r="Q127" s="3"/>
      <c r="R127" s="3"/>
      <c r="S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3:30" x14ac:dyDescent="0.25">
      <c r="C128" s="82" t="s">
        <v>222</v>
      </c>
      <c r="D128" s="3"/>
      <c r="E128" s="3"/>
      <c r="F128" s="3">
        <f>0.1/0.028*51.84</f>
        <v>185.14285714285717</v>
      </c>
      <c r="G128" s="3"/>
      <c r="H128" s="3"/>
      <c r="I128" s="3"/>
      <c r="J128" s="3"/>
      <c r="K128" s="3"/>
      <c r="L128" s="3"/>
      <c r="M128" s="3"/>
      <c r="N128" s="82" t="s">
        <v>223</v>
      </c>
      <c r="O128" s="3"/>
      <c r="P128" s="3"/>
      <c r="Q128" s="3"/>
      <c r="R128" s="3"/>
      <c r="S128" s="3"/>
      <c r="U128" s="82" t="s">
        <v>222</v>
      </c>
      <c r="V128" s="3"/>
      <c r="W128" s="3"/>
      <c r="X128" s="3">
        <v>185.14285714285717</v>
      </c>
      <c r="Y128" s="3"/>
      <c r="Z128" s="3"/>
      <c r="AA128" s="3"/>
      <c r="AB128" s="3"/>
      <c r="AC128" s="3"/>
      <c r="AD128" s="3"/>
    </row>
    <row r="129" spans="3:30" s="3" customFormat="1" ht="31.5" x14ac:dyDescent="0.35">
      <c r="C129" s="171">
        <v>2050</v>
      </c>
      <c r="D129" s="172"/>
      <c r="E129" s="172"/>
      <c r="F129" s="172"/>
      <c r="G129" s="172"/>
      <c r="H129" s="99" t="s">
        <v>36</v>
      </c>
      <c r="I129" s="99" t="s">
        <v>131</v>
      </c>
      <c r="J129" s="99" t="s">
        <v>38</v>
      </c>
      <c r="K129" s="99" t="s">
        <v>130</v>
      </c>
      <c r="L129" s="116" t="s">
        <v>1</v>
      </c>
      <c r="N129" s="171">
        <v>2050</v>
      </c>
      <c r="O129" s="167" t="s">
        <v>36</v>
      </c>
      <c r="P129" s="99" t="s">
        <v>131</v>
      </c>
      <c r="Q129" s="99" t="s">
        <v>38</v>
      </c>
      <c r="R129" s="99" t="s">
        <v>130</v>
      </c>
      <c r="S129" s="116" t="s">
        <v>1</v>
      </c>
      <c r="U129" s="171">
        <v>2050</v>
      </c>
      <c r="V129" s="172"/>
      <c r="W129" s="172"/>
      <c r="X129" s="172"/>
      <c r="Y129" s="172"/>
      <c r="Z129" s="99" t="s">
        <v>36</v>
      </c>
      <c r="AA129" s="99" t="s">
        <v>131</v>
      </c>
      <c r="AB129" s="99" t="s">
        <v>38</v>
      </c>
      <c r="AC129" s="99" t="s">
        <v>130</v>
      </c>
      <c r="AD129" s="116" t="s">
        <v>1</v>
      </c>
    </row>
    <row r="130" spans="3:30" s="3" customFormat="1" x14ac:dyDescent="0.25">
      <c r="C130" s="243" t="s">
        <v>18</v>
      </c>
      <c r="D130" s="244"/>
      <c r="E130" s="244"/>
      <c r="F130" s="244"/>
      <c r="G130" s="244"/>
      <c r="H130" s="245" t="e">
        <f>H115-#REF!</f>
        <v>#REF!</v>
      </c>
      <c r="I130" s="246" t="e">
        <f>I115-#REF!</f>
        <v>#REF!</v>
      </c>
      <c r="J130" s="246" t="e">
        <f>J115-#REF!</f>
        <v>#REF!</v>
      </c>
      <c r="K130" s="246" t="e">
        <f>K115-#REF!</f>
        <v>#REF!</v>
      </c>
      <c r="L130" s="247" t="e">
        <f>L115-#REF!</f>
        <v>#REF!</v>
      </c>
      <c r="N130" s="243" t="s">
        <v>18</v>
      </c>
      <c r="O130" s="245">
        <f>H115-O115</f>
        <v>0</v>
      </c>
      <c r="P130" s="246">
        <f t="shared" ref="P130:S139" si="38">I115-P115</f>
        <v>10.300048033383675</v>
      </c>
      <c r="Q130" s="246">
        <f t="shared" si="38"/>
        <v>0.28152574321953416</v>
      </c>
      <c r="R130" s="246">
        <f t="shared" si="38"/>
        <v>0.37624179674080338</v>
      </c>
      <c r="S130" s="247">
        <f t="shared" si="38"/>
        <v>10.957815573344011</v>
      </c>
      <c r="U130" s="243" t="s">
        <v>18</v>
      </c>
      <c r="V130" s="244"/>
      <c r="W130" s="244"/>
      <c r="X130" s="244"/>
      <c r="Y130" s="244"/>
      <c r="Z130" s="245" t="e">
        <v>#REF!</v>
      </c>
      <c r="AA130" s="246" t="e">
        <v>#REF!</v>
      </c>
      <c r="AB130" s="246" t="e">
        <v>#REF!</v>
      </c>
      <c r="AC130" s="246" t="e">
        <v>#REF!</v>
      </c>
      <c r="AD130" s="247" t="e">
        <v>#REF!</v>
      </c>
    </row>
    <row r="131" spans="3:30" s="3" customFormat="1" x14ac:dyDescent="0.25">
      <c r="C131" s="174" t="s">
        <v>19</v>
      </c>
      <c r="D131" t="s">
        <v>224</v>
      </c>
      <c r="E131" t="s">
        <v>225</v>
      </c>
      <c r="F131" t="s">
        <v>226</v>
      </c>
      <c r="G131" t="s">
        <v>227</v>
      </c>
      <c r="H131" s="248" t="e">
        <f>H116-#REF!</f>
        <v>#REF!</v>
      </c>
      <c r="I131" s="55" t="e">
        <f>I116-#REF!</f>
        <v>#REF!</v>
      </c>
      <c r="J131" s="55" t="e">
        <f>J116-#REF!</f>
        <v>#REF!</v>
      </c>
      <c r="K131" s="55" t="e">
        <f>K116-#REF!</f>
        <v>#REF!</v>
      </c>
      <c r="L131" s="249" t="e">
        <f>L116-#REF!</f>
        <v>#REF!</v>
      </c>
      <c r="N131" s="174" t="s">
        <v>19</v>
      </c>
      <c r="O131" s="248">
        <f t="shared" ref="O131:O139" si="39">H116-O116</f>
        <v>0</v>
      </c>
      <c r="P131" s="55">
        <f t="shared" si="38"/>
        <v>12.706860219999999</v>
      </c>
      <c r="Q131" s="55">
        <f t="shared" si="38"/>
        <v>3.3127115410000001</v>
      </c>
      <c r="R131" s="55">
        <f t="shared" si="38"/>
        <v>6.5958211099999996E-5</v>
      </c>
      <c r="S131" s="249">
        <f t="shared" si="38"/>
        <v>16.019637719211097</v>
      </c>
      <c r="U131" s="174" t="s">
        <v>19</v>
      </c>
      <c r="V131" t="s">
        <v>224</v>
      </c>
      <c r="W131" t="s">
        <v>225</v>
      </c>
      <c r="X131" t="s">
        <v>226</v>
      </c>
      <c r="Y131" t="s">
        <v>227</v>
      </c>
      <c r="Z131" s="248" t="e">
        <v>#REF!</v>
      </c>
      <c r="AA131" s="55" t="e">
        <v>#REF!</v>
      </c>
      <c r="AB131" s="55" t="e">
        <v>#REF!</v>
      </c>
      <c r="AC131" s="55" t="e">
        <v>#REF!</v>
      </c>
      <c r="AD131" s="249" t="e">
        <v>#REF!</v>
      </c>
    </row>
    <row r="132" spans="3:30" s="3" customFormat="1" x14ac:dyDescent="0.25">
      <c r="C132" s="175" t="s">
        <v>20</v>
      </c>
      <c r="D132" t="s">
        <v>228</v>
      </c>
      <c r="E132" t="s">
        <v>229</v>
      </c>
      <c r="F132" t="s">
        <v>230</v>
      </c>
      <c r="G132" t="s">
        <v>231</v>
      </c>
      <c r="H132" s="248" t="e">
        <f>H117-#REF!</f>
        <v>#REF!</v>
      </c>
      <c r="I132" s="55" t="e">
        <f>I117-#REF!</f>
        <v>#REF!</v>
      </c>
      <c r="J132" s="55" t="e">
        <f>J117-#REF!</f>
        <v>#REF!</v>
      </c>
      <c r="K132" s="55" t="e">
        <f>K117-#REF!</f>
        <v>#REF!</v>
      </c>
      <c r="L132" s="249" t="e">
        <f>L117-#REF!</f>
        <v>#REF!</v>
      </c>
      <c r="N132" s="175" t="s">
        <v>20</v>
      </c>
      <c r="O132" s="248">
        <f t="shared" si="39"/>
        <v>0</v>
      </c>
      <c r="P132" s="55">
        <f t="shared" si="38"/>
        <v>18.037877930000001</v>
      </c>
      <c r="Q132" s="55">
        <f t="shared" si="38"/>
        <v>3.9180205890000002</v>
      </c>
      <c r="R132" s="55">
        <f t="shared" si="38"/>
        <v>3.500269909</v>
      </c>
      <c r="S132" s="249">
        <f t="shared" si="38"/>
        <v>25.456168428000002</v>
      </c>
      <c r="U132" s="175" t="s">
        <v>20</v>
      </c>
      <c r="V132" t="s">
        <v>228</v>
      </c>
      <c r="W132" t="s">
        <v>229</v>
      </c>
      <c r="X132" t="s">
        <v>230</v>
      </c>
      <c r="Y132" t="s">
        <v>231</v>
      </c>
      <c r="Z132" s="248" t="e">
        <v>#REF!</v>
      </c>
      <c r="AA132" s="55" t="e">
        <v>#REF!</v>
      </c>
      <c r="AB132" s="55" t="e">
        <v>#REF!</v>
      </c>
      <c r="AC132" s="55" t="e">
        <v>#REF!</v>
      </c>
      <c r="AD132" s="249" t="e">
        <v>#REF!</v>
      </c>
    </row>
    <row r="133" spans="3:30" s="3" customFormat="1" x14ac:dyDescent="0.25">
      <c r="C133" s="243" t="s">
        <v>21</v>
      </c>
      <c r="D133" s="244" t="s">
        <v>232</v>
      </c>
      <c r="E133" s="244" t="s">
        <v>233</v>
      </c>
      <c r="F133" s="244" t="s">
        <v>234</v>
      </c>
      <c r="G133" s="244" t="s">
        <v>235</v>
      </c>
      <c r="H133" s="250" t="e">
        <f>H118-#REF!</f>
        <v>#REF!</v>
      </c>
      <c r="I133" s="246" t="e">
        <f>I118-#REF!</f>
        <v>#REF!</v>
      </c>
      <c r="J133" s="246" t="e">
        <f>J118-#REF!</f>
        <v>#REF!</v>
      </c>
      <c r="K133" s="246" t="e">
        <f>K118-#REF!</f>
        <v>#REF!</v>
      </c>
      <c r="L133" s="247" t="e">
        <f>L118-#REF!</f>
        <v>#REF!</v>
      </c>
      <c r="N133" s="243" t="s">
        <v>21</v>
      </c>
      <c r="O133" s="250">
        <f t="shared" si="39"/>
        <v>0.22611710879999999</v>
      </c>
      <c r="P133" s="246">
        <f t="shared" si="38"/>
        <v>5.1204473999905513</v>
      </c>
      <c r="Q133" s="246">
        <f t="shared" si="38"/>
        <v>0.89998511370548329</v>
      </c>
      <c r="R133" s="246">
        <f t="shared" si="38"/>
        <v>-2.187211368707203</v>
      </c>
      <c r="S133" s="247">
        <f t="shared" si="38"/>
        <v>4.0593382537888232</v>
      </c>
      <c r="U133" s="243" t="s">
        <v>21</v>
      </c>
      <c r="V133" s="244" t="s">
        <v>232</v>
      </c>
      <c r="W133" s="244" t="s">
        <v>233</v>
      </c>
      <c r="X133" s="244" t="s">
        <v>234</v>
      </c>
      <c r="Y133" s="244" t="s">
        <v>235</v>
      </c>
      <c r="Z133" s="250" t="e">
        <v>#REF!</v>
      </c>
      <c r="AA133" s="246" t="e">
        <v>#REF!</v>
      </c>
      <c r="AB133" s="246" t="e">
        <v>#REF!</v>
      </c>
      <c r="AC133" s="246" t="e">
        <v>#REF!</v>
      </c>
      <c r="AD133" s="247" t="e">
        <v>#REF!</v>
      </c>
    </row>
    <row r="134" spans="3:30" s="3" customFormat="1" x14ac:dyDescent="0.25">
      <c r="C134" s="243" t="s">
        <v>22</v>
      </c>
      <c r="D134" s="244" t="s">
        <v>236</v>
      </c>
      <c r="E134" s="244" t="s">
        <v>237</v>
      </c>
      <c r="F134" s="244" t="s">
        <v>238</v>
      </c>
      <c r="G134" s="244" t="s">
        <v>239</v>
      </c>
      <c r="H134" s="250" t="e">
        <f>H119-#REF!</f>
        <v>#REF!</v>
      </c>
      <c r="I134" s="246" t="e">
        <f>I119-#REF!</f>
        <v>#REF!</v>
      </c>
      <c r="J134" s="246" t="e">
        <f>J119-#REF!</f>
        <v>#REF!</v>
      </c>
      <c r="K134" s="246" t="e">
        <f>K119-#REF!</f>
        <v>#REF!</v>
      </c>
      <c r="L134" s="247" t="e">
        <f>L119-#REF!</f>
        <v>#REF!</v>
      </c>
      <c r="N134" s="243" t="s">
        <v>22</v>
      </c>
      <c r="O134" s="250">
        <f t="shared" si="39"/>
        <v>0</v>
      </c>
      <c r="P134" s="246">
        <f t="shared" si="38"/>
        <v>1.6790602929764331</v>
      </c>
      <c r="Q134" s="246">
        <f t="shared" si="38"/>
        <v>-1.9489139642752047</v>
      </c>
      <c r="R134" s="246">
        <f t="shared" si="38"/>
        <v>-0.63243483898151442</v>
      </c>
      <c r="S134" s="247">
        <f t="shared" si="38"/>
        <v>-0.902288510280286</v>
      </c>
      <c r="U134" s="243" t="s">
        <v>22</v>
      </c>
      <c r="V134" s="244" t="s">
        <v>236</v>
      </c>
      <c r="W134" s="244" t="s">
        <v>237</v>
      </c>
      <c r="X134" s="244" t="s">
        <v>238</v>
      </c>
      <c r="Y134" s="244" t="s">
        <v>239</v>
      </c>
      <c r="Z134" s="250" t="e">
        <v>#REF!</v>
      </c>
      <c r="AA134" s="246" t="e">
        <v>#REF!</v>
      </c>
      <c r="AB134" s="246" t="e">
        <v>#REF!</v>
      </c>
      <c r="AC134" s="246" t="e">
        <v>#REF!</v>
      </c>
      <c r="AD134" s="247" t="e">
        <v>#REF!</v>
      </c>
    </row>
    <row r="135" spans="3:30" s="3" customFormat="1" x14ac:dyDescent="0.25">
      <c r="C135" s="243" t="s">
        <v>23</v>
      </c>
      <c r="D135" s="244"/>
      <c r="E135" s="244"/>
      <c r="F135" s="244"/>
      <c r="G135" s="244"/>
      <c r="H135" s="250" t="e">
        <f>H120-#REF!</f>
        <v>#REF!</v>
      </c>
      <c r="I135" s="246" t="e">
        <f>I120-#REF!</f>
        <v>#REF!</v>
      </c>
      <c r="J135" s="246" t="e">
        <f>J120-#REF!</f>
        <v>#REF!</v>
      </c>
      <c r="K135" s="246" t="e">
        <f>K120-#REF!</f>
        <v>#REF!</v>
      </c>
      <c r="L135" s="247" t="e">
        <f>L120-#REF!</f>
        <v>#REF!</v>
      </c>
      <c r="N135" s="243" t="s">
        <v>23</v>
      </c>
      <c r="O135" s="250">
        <f t="shared" si="39"/>
        <v>-0.79461107158179578</v>
      </c>
      <c r="P135" s="246">
        <f t="shared" si="38"/>
        <v>5.7556044357320104</v>
      </c>
      <c r="Q135" s="246">
        <f t="shared" si="38"/>
        <v>3.6133821674808821</v>
      </c>
      <c r="R135" s="246">
        <f t="shared" si="38"/>
        <v>3.7466309727856384</v>
      </c>
      <c r="S135" s="247">
        <f t="shared" si="38"/>
        <v>12.321006504416729</v>
      </c>
      <c r="U135" s="243" t="s">
        <v>23</v>
      </c>
      <c r="V135" s="244"/>
      <c r="W135" s="244"/>
      <c r="X135" s="244"/>
      <c r="Y135" s="244"/>
      <c r="Z135" s="250" t="e">
        <v>#REF!</v>
      </c>
      <c r="AA135" s="246" t="e">
        <v>#REF!</v>
      </c>
      <c r="AB135" s="246" t="e">
        <v>#REF!</v>
      </c>
      <c r="AC135" s="246" t="e">
        <v>#REF!</v>
      </c>
      <c r="AD135" s="247" t="e">
        <v>#REF!</v>
      </c>
    </row>
    <row r="136" spans="3:30" s="3" customFormat="1" x14ac:dyDescent="0.25">
      <c r="C136" s="175" t="s">
        <v>24</v>
      </c>
      <c r="D136" t="s">
        <v>240</v>
      </c>
      <c r="E136" t="s">
        <v>241</v>
      </c>
      <c r="F136" t="s">
        <v>242</v>
      </c>
      <c r="G136" t="s">
        <v>243</v>
      </c>
      <c r="H136" s="248" t="e">
        <f>H121-#REF!</f>
        <v>#REF!</v>
      </c>
      <c r="I136" s="251" t="e">
        <f>I121-#REF!</f>
        <v>#REF!</v>
      </c>
      <c r="J136" s="251" t="e">
        <f>J121-#REF!</f>
        <v>#REF!</v>
      </c>
      <c r="K136" s="251" t="e">
        <f>K121-#REF!</f>
        <v>#REF!</v>
      </c>
      <c r="L136" s="249" t="e">
        <f>L121-#REF!</f>
        <v>#REF!</v>
      </c>
      <c r="N136" s="175" t="s">
        <v>24</v>
      </c>
      <c r="O136" s="248">
        <f t="shared" si="39"/>
        <v>1.6254709737771897</v>
      </c>
      <c r="P136" s="251">
        <f t="shared" si="38"/>
        <v>7.9504958424876344</v>
      </c>
      <c r="Q136" s="251">
        <f t="shared" si="38"/>
        <v>3.1897226779808818</v>
      </c>
      <c r="R136" s="251">
        <f t="shared" si="38"/>
        <v>1.7683930874838421</v>
      </c>
      <c r="S136" s="249">
        <f t="shared" si="38"/>
        <v>14.534082581729546</v>
      </c>
      <c r="U136" s="175" t="s">
        <v>24</v>
      </c>
      <c r="V136" t="s">
        <v>240</v>
      </c>
      <c r="W136" t="s">
        <v>241</v>
      </c>
      <c r="X136" t="s">
        <v>242</v>
      </c>
      <c r="Y136" t="s">
        <v>243</v>
      </c>
      <c r="Z136" s="248" t="e">
        <v>#REF!</v>
      </c>
      <c r="AA136" s="251" t="e">
        <v>#REF!</v>
      </c>
      <c r="AB136" s="251" t="e">
        <v>#REF!</v>
      </c>
      <c r="AC136" s="251" t="e">
        <v>#REF!</v>
      </c>
      <c r="AD136" s="249" t="e">
        <v>#REF!</v>
      </c>
    </row>
    <row r="137" spans="3:30" s="3" customFormat="1" x14ac:dyDescent="0.25">
      <c r="C137" s="175" t="s">
        <v>129</v>
      </c>
      <c r="D137" t="s">
        <v>244</v>
      </c>
      <c r="E137" t="s">
        <v>245</v>
      </c>
      <c r="F137" t="s">
        <v>246</v>
      </c>
      <c r="G137" t="s">
        <v>247</v>
      </c>
      <c r="H137" s="252" t="e">
        <f>H122-#REF!</f>
        <v>#REF!</v>
      </c>
      <c r="I137" s="55" t="e">
        <f>I122-#REF!</f>
        <v>#REF!</v>
      </c>
      <c r="J137" s="55" t="e">
        <f>J122-#REF!</f>
        <v>#REF!</v>
      </c>
      <c r="K137" s="55" t="e">
        <f>K122-#REF!</f>
        <v>#REF!</v>
      </c>
      <c r="L137" s="249" t="e">
        <f>L122-#REF!</f>
        <v>#REF!</v>
      </c>
      <c r="N137" s="175" t="s">
        <v>129</v>
      </c>
      <c r="O137" s="252">
        <f t="shared" si="39"/>
        <v>-2.4200820453589853</v>
      </c>
      <c r="P137" s="55">
        <f t="shared" si="38"/>
        <v>-5.8825476987556247</v>
      </c>
      <c r="Q137" s="55">
        <f t="shared" si="38"/>
        <v>0</v>
      </c>
      <c r="R137" s="55">
        <f t="shared" si="38"/>
        <v>1.4538200173017963</v>
      </c>
      <c r="S137" s="249">
        <f t="shared" si="38"/>
        <v>-6.8488097268128154</v>
      </c>
      <c r="U137" s="175" t="s">
        <v>129</v>
      </c>
      <c r="V137" t="s">
        <v>244</v>
      </c>
      <c r="W137" t="s">
        <v>245</v>
      </c>
      <c r="X137" t="s">
        <v>246</v>
      </c>
      <c r="Y137" t="s">
        <v>247</v>
      </c>
      <c r="Z137" s="252" t="e">
        <v>#REF!</v>
      </c>
      <c r="AA137" s="55" t="e">
        <v>#REF!</v>
      </c>
      <c r="AB137" s="55" t="e">
        <v>#REF!</v>
      </c>
      <c r="AC137" s="55" t="e">
        <v>#REF!</v>
      </c>
      <c r="AD137" s="249" t="e">
        <v>#REF!</v>
      </c>
    </row>
    <row r="138" spans="3:30" s="3" customFormat="1" x14ac:dyDescent="0.25">
      <c r="C138" s="175" t="s">
        <v>25</v>
      </c>
      <c r="D138" t="s">
        <v>248</v>
      </c>
      <c r="E138" t="s">
        <v>249</v>
      </c>
      <c r="F138" t="s">
        <v>250</v>
      </c>
      <c r="G138" t="s">
        <v>251</v>
      </c>
      <c r="H138" s="248" t="e">
        <f>H123-#REF!</f>
        <v>#REF!</v>
      </c>
      <c r="I138" s="251" t="e">
        <f>I123-#REF!</f>
        <v>#REF!</v>
      </c>
      <c r="J138" s="251" t="e">
        <f>J123-#REF!</f>
        <v>#REF!</v>
      </c>
      <c r="K138" s="251" t="e">
        <f>K123-#REF!</f>
        <v>#REF!</v>
      </c>
      <c r="L138" s="249" t="e">
        <f>L123-#REF!</f>
        <v>#REF!</v>
      </c>
      <c r="N138" s="175" t="s">
        <v>25</v>
      </c>
      <c r="O138" s="248">
        <f t="shared" si="39"/>
        <v>0</v>
      </c>
      <c r="P138" s="251">
        <f t="shared" si="38"/>
        <v>1.0666180372044347</v>
      </c>
      <c r="Q138" s="251">
        <f t="shared" si="38"/>
        <v>-5.1280727016966676E-2</v>
      </c>
      <c r="R138" s="251">
        <f t="shared" si="38"/>
        <v>1.7691892440744206E-2</v>
      </c>
      <c r="S138" s="249">
        <f t="shared" si="38"/>
        <v>1.0330292026282129</v>
      </c>
      <c r="U138" s="175" t="s">
        <v>25</v>
      </c>
      <c r="V138" t="s">
        <v>248</v>
      </c>
      <c r="W138" t="s">
        <v>249</v>
      </c>
      <c r="X138" t="s">
        <v>250</v>
      </c>
      <c r="Y138" t="s">
        <v>251</v>
      </c>
      <c r="Z138" s="248" t="e">
        <v>#REF!</v>
      </c>
      <c r="AA138" s="251" t="e">
        <v>#REF!</v>
      </c>
      <c r="AB138" s="251" t="e">
        <v>#REF!</v>
      </c>
      <c r="AC138" s="251" t="e">
        <v>#REF!</v>
      </c>
      <c r="AD138" s="249" t="e">
        <v>#REF!</v>
      </c>
    </row>
    <row r="139" spans="3:30" s="3" customFormat="1" x14ac:dyDescent="0.25">
      <c r="C139" s="253" t="s">
        <v>26</v>
      </c>
      <c r="D139" s="254"/>
      <c r="E139" s="254"/>
      <c r="F139" s="254"/>
      <c r="G139" s="254"/>
      <c r="H139" s="255" t="e">
        <f>H124-#REF!</f>
        <v>#REF!</v>
      </c>
      <c r="I139" s="256" t="e">
        <f>I124-#REF!</f>
        <v>#REF!</v>
      </c>
      <c r="J139" s="256" t="e">
        <f>J124-#REF!</f>
        <v>#REF!</v>
      </c>
      <c r="K139" s="256" t="e">
        <f>K124-#REF!</f>
        <v>#REF!</v>
      </c>
      <c r="L139" s="257" t="e">
        <f>L124-#REF!</f>
        <v>#REF!</v>
      </c>
      <c r="N139" s="253" t="s">
        <v>26</v>
      </c>
      <c r="O139" s="255">
        <f t="shared" si="39"/>
        <v>-0.56849396278179576</v>
      </c>
      <c r="P139" s="256">
        <f t="shared" si="38"/>
        <v>20.234121907287097</v>
      </c>
      <c r="Q139" s="256">
        <f t="shared" si="38"/>
        <v>2.3710388436137251</v>
      </c>
      <c r="R139" s="256">
        <f t="shared" si="38"/>
        <v>0.79650058627846931</v>
      </c>
      <c r="S139" s="257">
        <f t="shared" si="38"/>
        <v>22.833167374397505</v>
      </c>
      <c r="U139" s="253" t="s">
        <v>26</v>
      </c>
      <c r="V139" s="254"/>
      <c r="W139" s="254"/>
      <c r="X139" s="254"/>
      <c r="Y139" s="254"/>
      <c r="Z139" s="255" t="e">
        <v>#REF!</v>
      </c>
      <c r="AA139" s="256" t="e">
        <v>#REF!</v>
      </c>
      <c r="AB139" s="256" t="e">
        <v>#REF!</v>
      </c>
      <c r="AC139" s="256" t="e">
        <v>#REF!</v>
      </c>
      <c r="AD139" s="257" t="e">
        <v>#REF!</v>
      </c>
    </row>
    <row r="140" spans="3:30" s="3" customFormat="1" x14ac:dyDescent="0.25"/>
    <row r="141" spans="3:30" s="3" customFormat="1" x14ac:dyDescent="0.25"/>
    <row r="142" spans="3:30" s="3" customFormat="1" x14ac:dyDescent="0.25"/>
    <row r="143" spans="3:30" s="3" customFormat="1" x14ac:dyDescent="0.25"/>
    <row r="144" spans="3:30" s="3" customFormat="1" x14ac:dyDescent="0.25"/>
    <row r="145" s="3" customFormat="1" x14ac:dyDescent="0.25"/>
    <row r="146" s="3" customFormat="1" x14ac:dyDescent="0.25"/>
    <row r="147" s="3" customFormat="1" x14ac:dyDescent="0.25"/>
    <row r="148" s="3" customFormat="1" x14ac:dyDescent="0.25"/>
    <row r="149" s="3" customFormat="1" x14ac:dyDescent="0.25"/>
    <row r="150" s="3" customFormat="1" x14ac:dyDescent="0.25"/>
    <row r="151" s="3" customFormat="1" x14ac:dyDescent="0.25"/>
    <row r="152" s="3" customFormat="1" x14ac:dyDescent="0.25"/>
    <row r="153" s="3" customFormat="1" x14ac:dyDescent="0.25"/>
    <row r="154" s="3" customFormat="1" x14ac:dyDescent="0.25"/>
    <row r="155" s="3" customFormat="1" x14ac:dyDescent="0.25"/>
    <row r="156" s="3" customFormat="1" x14ac:dyDescent="0.25"/>
    <row r="157" s="3" customFormat="1" x14ac:dyDescent="0.25"/>
    <row r="158" s="3" customFormat="1" x14ac:dyDescent="0.25"/>
    <row r="159" s="3" customFormat="1" x14ac:dyDescent="0.25"/>
    <row r="160" s="3" customFormat="1" x14ac:dyDescent="0.25"/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s="3" customFormat="1" x14ac:dyDescent="0.25"/>
    <row r="172" s="3" customFormat="1" x14ac:dyDescent="0.25"/>
    <row r="173" s="3" customFormat="1" x14ac:dyDescent="0.25"/>
    <row r="174" s="3" customFormat="1" x14ac:dyDescent="0.25"/>
    <row r="175" s="3" customFormat="1" x14ac:dyDescent="0.25"/>
    <row r="176" s="3" customFormat="1" x14ac:dyDescent="0.25"/>
    <row r="177" s="3" customFormat="1" x14ac:dyDescent="0.25"/>
    <row r="178" s="3" customFormat="1" x14ac:dyDescent="0.25"/>
    <row r="179" s="3" customFormat="1" x14ac:dyDescent="0.25"/>
    <row r="180" s="3" customFormat="1" x14ac:dyDescent="0.25"/>
    <row r="181" s="3" customFormat="1" x14ac:dyDescent="0.25"/>
    <row r="182" s="3" customFormat="1" x14ac:dyDescent="0.25"/>
    <row r="183" s="3" customFormat="1" x14ac:dyDescent="0.25"/>
    <row r="184" s="3" customFormat="1" x14ac:dyDescent="0.25"/>
    <row r="185" s="3" customFormat="1" x14ac:dyDescent="0.25"/>
    <row r="186" s="3" customFormat="1" x14ac:dyDescent="0.25"/>
    <row r="187" s="3" customFormat="1" x14ac:dyDescent="0.25"/>
    <row r="188" s="3" customFormat="1" x14ac:dyDescent="0.25"/>
    <row r="189" s="3" customFormat="1" x14ac:dyDescent="0.25"/>
    <row r="190" s="3" customFormat="1" x14ac:dyDescent="0.25"/>
    <row r="191" s="3" customFormat="1" x14ac:dyDescent="0.25"/>
    <row r="192" s="3" customFormat="1" x14ac:dyDescent="0.25"/>
    <row r="193" s="3" customFormat="1" x14ac:dyDescent="0.25"/>
    <row r="194" s="3" customFormat="1" x14ac:dyDescent="0.25"/>
    <row r="195" s="3" customFormat="1" x14ac:dyDescent="0.25"/>
    <row r="196" s="3" customFormat="1" x14ac:dyDescent="0.25"/>
    <row r="197" s="3" customFormat="1" x14ac:dyDescent="0.25"/>
    <row r="198" s="3" customFormat="1" x14ac:dyDescent="0.25"/>
    <row r="199" s="3" customFormat="1" x14ac:dyDescent="0.25"/>
    <row r="200" s="3" customFormat="1" x14ac:dyDescent="0.25"/>
    <row r="201" s="3" customFormat="1" x14ac:dyDescent="0.25"/>
    <row r="202" s="3" customFormat="1" x14ac:dyDescent="0.25"/>
    <row r="203" s="3" customFormat="1" x14ac:dyDescent="0.25"/>
    <row r="204" s="3" customFormat="1" x14ac:dyDescent="0.25"/>
    <row r="205" s="3" customFormat="1" x14ac:dyDescent="0.25"/>
    <row r="206" s="3" customFormat="1" x14ac:dyDescent="0.25"/>
    <row r="207" s="3" customFormat="1" x14ac:dyDescent="0.25"/>
    <row r="208" s="3" customFormat="1" x14ac:dyDescent="0.25"/>
    <row r="209" s="3" customFormat="1" x14ac:dyDescent="0.25"/>
    <row r="210" s="3" customFormat="1" x14ac:dyDescent="0.25"/>
    <row r="211" s="3" customFormat="1" x14ac:dyDescent="0.25"/>
    <row r="212" s="3" customFormat="1" x14ac:dyDescent="0.25"/>
    <row r="213" s="3" customFormat="1" x14ac:dyDescent="0.25"/>
    <row r="214" s="3" customFormat="1" x14ac:dyDescent="0.25"/>
    <row r="215" s="3" customFormat="1" x14ac:dyDescent="0.25"/>
    <row r="216" s="3" customFormat="1" x14ac:dyDescent="0.25"/>
    <row r="217" s="3" customFormat="1" x14ac:dyDescent="0.25"/>
    <row r="218" s="3" customFormat="1" x14ac:dyDescent="0.25"/>
    <row r="219" s="3" customFormat="1" x14ac:dyDescent="0.25"/>
    <row r="220" s="3" customFormat="1" x14ac:dyDescent="0.25"/>
    <row r="221" s="3" customFormat="1" x14ac:dyDescent="0.25"/>
    <row r="222" s="3" customFormat="1" x14ac:dyDescent="0.25"/>
    <row r="223" s="3" customFormat="1" x14ac:dyDescent="0.25"/>
    <row r="224" s="3" customFormat="1" x14ac:dyDescent="0.25"/>
    <row r="225" s="3" customFormat="1" x14ac:dyDescent="0.25"/>
    <row r="226" s="3" customFormat="1" x14ac:dyDescent="0.25"/>
    <row r="227" s="3" customFormat="1" x14ac:dyDescent="0.25"/>
    <row r="228" s="3" customFormat="1" x14ac:dyDescent="0.25"/>
    <row r="229" s="3" customFormat="1" x14ac:dyDescent="0.25"/>
    <row r="230" s="3" customFormat="1" x14ac:dyDescent="0.25"/>
    <row r="231" s="3" customFormat="1" x14ac:dyDescent="0.25"/>
    <row r="232" s="3" customFormat="1" x14ac:dyDescent="0.25"/>
    <row r="233" s="3" customFormat="1" x14ac:dyDescent="0.25"/>
    <row r="234" s="3" customFormat="1" x14ac:dyDescent="0.25"/>
    <row r="235" s="3" customFormat="1" x14ac:dyDescent="0.25"/>
    <row r="236" s="3" customFormat="1" x14ac:dyDescent="0.25"/>
    <row r="237" s="3" customFormat="1" x14ac:dyDescent="0.25"/>
    <row r="238" s="3" customFormat="1" x14ac:dyDescent="0.25"/>
    <row r="239" s="3" customFormat="1" x14ac:dyDescent="0.25"/>
    <row r="240" s="3" customFormat="1" x14ac:dyDescent="0.25"/>
    <row r="241" s="3" customFormat="1" x14ac:dyDescent="0.25"/>
    <row r="242" s="3" customFormat="1" x14ac:dyDescent="0.25"/>
    <row r="243" s="3" customFormat="1" x14ac:dyDescent="0.25"/>
    <row r="244" s="3" customFormat="1" x14ac:dyDescent="0.25"/>
    <row r="245" s="3" customFormat="1" x14ac:dyDescent="0.25"/>
    <row r="246" s="3" customFormat="1" x14ac:dyDescent="0.25"/>
    <row r="247" s="3" customFormat="1" x14ac:dyDescent="0.25"/>
    <row r="248" s="3" customFormat="1" x14ac:dyDescent="0.25"/>
    <row r="249" s="3" customFormat="1" x14ac:dyDescent="0.25"/>
    <row r="250" s="3" customFormat="1" x14ac:dyDescent="0.25"/>
    <row r="251" s="3" customFormat="1" x14ac:dyDescent="0.25"/>
    <row r="252" s="3" customFormat="1" x14ac:dyDescent="0.25"/>
    <row r="253" s="3" customFormat="1" x14ac:dyDescent="0.25"/>
    <row r="254" s="3" customFormat="1" x14ac:dyDescent="0.25"/>
    <row r="255" s="3" customFormat="1" x14ac:dyDescent="0.25"/>
    <row r="256" s="3" customFormat="1" x14ac:dyDescent="0.25"/>
    <row r="257" s="3" customFormat="1" x14ac:dyDescent="0.25"/>
    <row r="258" s="3" customFormat="1" x14ac:dyDescent="0.25"/>
    <row r="259" s="3" customFormat="1" x14ac:dyDescent="0.25"/>
    <row r="260" s="3" customFormat="1" x14ac:dyDescent="0.25"/>
    <row r="261" s="3" customFormat="1" x14ac:dyDescent="0.25"/>
    <row r="262" s="3" customFormat="1" x14ac:dyDescent="0.25"/>
    <row r="263" s="3" customFormat="1" x14ac:dyDescent="0.25"/>
    <row r="264" s="3" customFormat="1" x14ac:dyDescent="0.25"/>
    <row r="265" s="3" customFormat="1" x14ac:dyDescent="0.25"/>
    <row r="266" s="3" customFormat="1" x14ac:dyDescent="0.25"/>
    <row r="267" s="3" customFormat="1" x14ac:dyDescent="0.25"/>
    <row r="268" s="3" customFormat="1" x14ac:dyDescent="0.25"/>
    <row r="269" s="3" customFormat="1" x14ac:dyDescent="0.25"/>
    <row r="270" s="3" customFormat="1" x14ac:dyDescent="0.25"/>
    <row r="271" s="3" customFormat="1" x14ac:dyDescent="0.25"/>
    <row r="272" s="3" customFormat="1" x14ac:dyDescent="0.25"/>
    <row r="273" s="3" customFormat="1" x14ac:dyDescent="0.25"/>
    <row r="274" s="3" customFormat="1" x14ac:dyDescent="0.25"/>
    <row r="275" s="3" customFormat="1" x14ac:dyDescent="0.25"/>
    <row r="276" s="3" customFormat="1" x14ac:dyDescent="0.25"/>
    <row r="277" s="3" customFormat="1" x14ac:dyDescent="0.25"/>
    <row r="278" s="3" customFormat="1" x14ac:dyDescent="0.25"/>
    <row r="279" s="3" customFormat="1" x14ac:dyDescent="0.25"/>
    <row r="280" s="3" customFormat="1" x14ac:dyDescent="0.25"/>
    <row r="281" s="3" customFormat="1" x14ac:dyDescent="0.25"/>
    <row r="282" s="3" customFormat="1" x14ac:dyDescent="0.25"/>
    <row r="283" s="3" customFormat="1" x14ac:dyDescent="0.25"/>
    <row r="284" s="3" customFormat="1" x14ac:dyDescent="0.25"/>
    <row r="285" s="3" customFormat="1" x14ac:dyDescent="0.25"/>
    <row r="286" s="3" customFormat="1" x14ac:dyDescent="0.25"/>
    <row r="287" s="3" customFormat="1" x14ac:dyDescent="0.25"/>
    <row r="288" s="3" customFormat="1" x14ac:dyDescent="0.25"/>
    <row r="289" s="3" customFormat="1" x14ac:dyDescent="0.25"/>
    <row r="290" s="3" customFormat="1" x14ac:dyDescent="0.25"/>
    <row r="291" s="3" customFormat="1" x14ac:dyDescent="0.25"/>
    <row r="292" s="3" customFormat="1" x14ac:dyDescent="0.25"/>
    <row r="293" s="3" customFormat="1" x14ac:dyDescent="0.25"/>
    <row r="294" s="3" customFormat="1" x14ac:dyDescent="0.25"/>
    <row r="295" s="3" customFormat="1" x14ac:dyDescent="0.25"/>
    <row r="296" s="3" customFormat="1" x14ac:dyDescent="0.25"/>
    <row r="297" s="3" customFormat="1" x14ac:dyDescent="0.25"/>
    <row r="298" s="3" customFormat="1" x14ac:dyDescent="0.25"/>
    <row r="299" s="3" customFormat="1" x14ac:dyDescent="0.25"/>
    <row r="300" s="3" customFormat="1" x14ac:dyDescent="0.25"/>
    <row r="301" s="3" customFormat="1" x14ac:dyDescent="0.25"/>
    <row r="302" s="3" customFormat="1" x14ac:dyDescent="0.25"/>
    <row r="303" s="3" customFormat="1" x14ac:dyDescent="0.25"/>
    <row r="304" s="3" customFormat="1" x14ac:dyDescent="0.25"/>
    <row r="305" s="3" customFormat="1" x14ac:dyDescent="0.25"/>
    <row r="306" s="3" customFormat="1" x14ac:dyDescent="0.25"/>
    <row r="307" s="3" customFormat="1" x14ac:dyDescent="0.25"/>
    <row r="308" s="3" customFormat="1" x14ac:dyDescent="0.25"/>
    <row r="309" s="3" customFormat="1" x14ac:dyDescent="0.25"/>
    <row r="310" s="3" customFormat="1" x14ac:dyDescent="0.25"/>
    <row r="311" s="3" customFormat="1" x14ac:dyDescent="0.25"/>
    <row r="312" s="3" customFormat="1" x14ac:dyDescent="0.25"/>
    <row r="313" s="3" customFormat="1" x14ac:dyDescent="0.25"/>
    <row r="314" s="3" customFormat="1" x14ac:dyDescent="0.25"/>
    <row r="315" s="3" customFormat="1" x14ac:dyDescent="0.25"/>
    <row r="316" s="3" customFormat="1" x14ac:dyDescent="0.25"/>
    <row r="317" s="3" customFormat="1" x14ac:dyDescent="0.25"/>
    <row r="318" s="3" customFormat="1" x14ac:dyDescent="0.25"/>
    <row r="319" s="3" customFormat="1" x14ac:dyDescent="0.25"/>
    <row r="320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="3" customFormat="1" x14ac:dyDescent="0.25"/>
    <row r="370" s="3" customFormat="1" x14ac:dyDescent="0.25"/>
    <row r="371" s="3" customForma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AB121"/>
  <sheetViews>
    <sheetView tabSelected="1" workbookViewId="0">
      <selection activeCell="E7" sqref="E7"/>
    </sheetView>
  </sheetViews>
  <sheetFormatPr baseColWidth="10" defaultRowHeight="15" x14ac:dyDescent="0.25"/>
  <cols>
    <col min="1" max="1" width="29.85546875" customWidth="1"/>
    <col min="3" max="3" width="12.140625" bestFit="1" customWidth="1"/>
    <col min="5" max="6" width="11.42578125" customWidth="1"/>
    <col min="9" max="9" width="13.140625" customWidth="1"/>
    <col min="13" max="13" width="11.42578125" customWidth="1"/>
    <col min="16" max="16" width="13.42578125" customWidth="1"/>
    <col min="20" max="20" width="11.42578125" customWidth="1"/>
  </cols>
  <sheetData>
    <row r="1" spans="1:28" ht="23.25" x14ac:dyDescent="0.35">
      <c r="A1" s="1" t="s">
        <v>204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8" ht="18.75" x14ac:dyDescent="0.3">
      <c r="A2" s="6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63"/>
      <c r="S2" s="3"/>
      <c r="T2" s="3"/>
      <c r="U2" s="3"/>
      <c r="V2" s="67"/>
      <c r="W2" s="67"/>
      <c r="X2" s="3"/>
      <c r="Y2" s="3"/>
    </row>
    <row r="3" spans="1:28" ht="23.25" x14ac:dyDescent="0.35">
      <c r="A3" s="191" t="str">
        <f>Résultats!B1</f>
        <v>TEND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63"/>
      <c r="S3" s="3"/>
      <c r="T3" s="3"/>
      <c r="U3" s="3"/>
      <c r="V3" s="67"/>
      <c r="W3" s="67"/>
      <c r="X3" s="3"/>
      <c r="Y3" s="3"/>
    </row>
    <row r="4" spans="1:28" x14ac:dyDescent="0.25">
      <c r="A4" s="3"/>
      <c r="B4" s="65"/>
      <c r="C4" s="65"/>
      <c r="D4" s="65"/>
      <c r="E4" s="65"/>
      <c r="F4" s="66"/>
      <c r="G4" s="3"/>
      <c r="H4" s="3"/>
      <c r="I4" s="3"/>
      <c r="J4" s="43"/>
      <c r="K4" s="43"/>
      <c r="L4" s="43"/>
      <c r="M4" s="43"/>
      <c r="O4" s="12"/>
      <c r="Q4" s="43"/>
      <c r="R4" s="43"/>
      <c r="S4" s="43"/>
      <c r="T4" s="43"/>
      <c r="X4" s="43"/>
      <c r="Y4" s="43"/>
      <c r="Z4" s="43"/>
      <c r="AA4" s="43"/>
    </row>
    <row r="5" spans="1:28" ht="21" x14ac:dyDescent="0.35">
      <c r="A5" s="171">
        <v>2015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116" t="s">
        <v>1</v>
      </c>
      <c r="H5" s="3"/>
      <c r="I5" s="25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28" x14ac:dyDescent="0.25">
      <c r="A6" s="192" t="s">
        <v>18</v>
      </c>
      <c r="B6" s="57">
        <f>B7+B8</f>
        <v>0</v>
      </c>
      <c r="C6" s="57">
        <f>C7+C8</f>
        <v>129.2315564861</v>
      </c>
      <c r="D6" s="57">
        <f>D7+D8</f>
        <v>0.64030419070476574</v>
      </c>
      <c r="E6" s="57">
        <f>E7+E8</f>
        <v>0.40314740007455996</v>
      </c>
      <c r="F6" s="57">
        <f>F7+F8</f>
        <v>0</v>
      </c>
      <c r="G6" s="193">
        <f t="shared" ref="G6:G15" si="0">SUM(B6:F6)</f>
        <v>130.27500807687935</v>
      </c>
      <c r="H6" s="3"/>
      <c r="I6" s="200"/>
      <c r="J6" s="51"/>
      <c r="K6" s="51" t="s">
        <v>207</v>
      </c>
      <c r="L6" s="51"/>
      <c r="M6" s="51"/>
      <c r="N6" s="53"/>
      <c r="O6" s="54"/>
      <c r="P6" s="54"/>
      <c r="Q6" s="54"/>
      <c r="R6" s="54"/>
      <c r="S6" s="54"/>
      <c r="T6" s="46"/>
      <c r="U6" s="53"/>
      <c r="V6" s="24"/>
      <c r="W6" s="45"/>
      <c r="X6" s="52"/>
      <c r="Y6" s="52"/>
      <c r="Z6" s="52"/>
      <c r="AA6" s="52"/>
      <c r="AB6" s="52"/>
    </row>
    <row r="7" spans="1:28" x14ac:dyDescent="0.25">
      <c r="A7" s="174" t="s">
        <v>19</v>
      </c>
      <c r="B7" s="19">
        <v>0</v>
      </c>
      <c r="C7" s="19">
        <f>Résultats!N$256/1000000</f>
        <v>74.008814650000005</v>
      </c>
      <c r="D7" s="19">
        <f>'T energie usages'!J12/'T energie usages'!J$20*(Résultats!N$159+Résultats!N$60+Résultats!N$161)/1000000</f>
        <v>5.9826314173203384E-3</v>
      </c>
      <c r="E7" s="19">
        <f>Résultats!N$257/1000000</f>
        <v>1.735640456E-5</v>
      </c>
      <c r="F7" s="19">
        <v>0</v>
      </c>
      <c r="G7" s="118">
        <f t="shared" si="0"/>
        <v>74.014814637821885</v>
      </c>
      <c r="H7" s="3"/>
      <c r="I7" s="200"/>
      <c r="J7" s="51"/>
      <c r="K7" s="204"/>
      <c r="L7" s="205">
        <v>2020</v>
      </c>
      <c r="M7" s="205">
        <v>2030</v>
      </c>
      <c r="N7" s="206">
        <v>2050</v>
      </c>
      <c r="O7" s="54"/>
      <c r="P7" s="54"/>
      <c r="Q7" s="54"/>
      <c r="R7" s="54"/>
      <c r="S7" s="54"/>
      <c r="T7" s="46"/>
      <c r="U7" s="53"/>
      <c r="V7" s="24"/>
      <c r="W7" s="41"/>
      <c r="X7" s="52"/>
      <c r="Y7" s="52"/>
      <c r="Z7" s="52"/>
      <c r="AA7" s="52"/>
      <c r="AB7" s="52"/>
    </row>
    <row r="8" spans="1:28" x14ac:dyDescent="0.25">
      <c r="A8" s="175" t="s">
        <v>20</v>
      </c>
      <c r="B8" s="19">
        <v>0</v>
      </c>
      <c r="C8" s="19">
        <f>(Résultats!N$150+Résultats!N$151+Résultats!N$152+Résultats!N$153+Résultats!N$154)/1000000</f>
        <v>55.222741836099999</v>
      </c>
      <c r="D8" s="19">
        <f>'T energie usages'!J13/'T energie usages'!J$20*(Résultats!N$159+Résultats!N$160+Résultats!N$161)/1000000</f>
        <v>0.63432155928744538</v>
      </c>
      <c r="E8" s="19">
        <f>(Résultats!N$176+Résultats!N$177+Résultats!N$178+Résultats!N$179+Résultats!N$180)/1000000</f>
        <v>0.40313004366999994</v>
      </c>
      <c r="F8" s="19">
        <v>0</v>
      </c>
      <c r="G8" s="118">
        <f t="shared" si="0"/>
        <v>56.260193439057439</v>
      </c>
      <c r="H8" s="3"/>
      <c r="I8" s="200"/>
      <c r="J8" s="51"/>
      <c r="K8" s="207" t="s">
        <v>18</v>
      </c>
      <c r="L8" s="24">
        <f>G19</f>
        <v>124.91160698316125</v>
      </c>
      <c r="M8" s="24">
        <f>G45</f>
        <v>115.3743372262649</v>
      </c>
      <c r="N8" s="210">
        <f>G71</f>
        <v>96.497197945469637</v>
      </c>
      <c r="O8" s="54"/>
      <c r="P8" s="54"/>
      <c r="Q8" s="54"/>
      <c r="R8" s="54"/>
      <c r="S8" s="54"/>
      <c r="T8" s="46"/>
      <c r="U8" s="53"/>
      <c r="V8" s="24"/>
      <c r="W8" s="41"/>
      <c r="X8" s="52"/>
      <c r="Y8" s="52"/>
      <c r="Z8" s="52"/>
      <c r="AA8" s="52"/>
      <c r="AB8" s="52"/>
    </row>
    <row r="9" spans="1:28" x14ac:dyDescent="0.25">
      <c r="A9" s="192" t="s">
        <v>21</v>
      </c>
      <c r="B9" s="57">
        <f>Résultats!N$102/1000000</f>
        <v>1.0155219100000001</v>
      </c>
      <c r="C9" s="57">
        <f>Résultats!N$254/1000000</f>
        <v>22.153661339999999</v>
      </c>
      <c r="D9" s="57">
        <f>'T energie usages'!J14/'T energie usages'!J$20*(Résultats!N$159+Résultats!N$160+Résultats!N$161)/1000000</f>
        <v>6.8654730871593248</v>
      </c>
      <c r="E9" s="57">
        <f>Résultats!N$255/1000000</f>
        <v>29.041347780000002</v>
      </c>
      <c r="F9" s="57">
        <v>0</v>
      </c>
      <c r="G9" s="193">
        <f t="shared" si="0"/>
        <v>59.076004117159329</v>
      </c>
      <c r="H9" s="3"/>
      <c r="I9" s="200"/>
      <c r="J9" s="51"/>
      <c r="K9" s="207" t="s">
        <v>205</v>
      </c>
      <c r="L9" s="24">
        <f>G22</f>
        <v>53.099435662269485</v>
      </c>
      <c r="M9" s="24">
        <f>G48</f>
        <v>48.5594636475398</v>
      </c>
      <c r="N9" s="210">
        <f>G74</f>
        <v>46.811280940327457</v>
      </c>
      <c r="O9" s="54"/>
      <c r="P9" s="54"/>
      <c r="Q9" s="54"/>
      <c r="R9" s="54"/>
      <c r="S9" s="54"/>
      <c r="T9" s="46"/>
      <c r="U9" s="53"/>
      <c r="V9" s="24"/>
      <c r="W9" s="45"/>
      <c r="X9" s="52"/>
      <c r="Y9" s="52"/>
      <c r="Z9" s="52"/>
      <c r="AA9" s="52"/>
      <c r="AB9" s="52"/>
    </row>
    <row r="10" spans="1:28" x14ac:dyDescent="0.25">
      <c r="A10" s="192" t="s">
        <v>22</v>
      </c>
      <c r="B10" s="57">
        <f>(Résultats!N$135+Résultats!N$136)/1000000</f>
        <v>0</v>
      </c>
      <c r="C10" s="57">
        <f>(Résultats!N$155+Résultats!N$156)/1000000</f>
        <v>11.028434249200002</v>
      </c>
      <c r="D10" s="57">
        <f>'T energie usages'!J15/'T energie usages'!J$20*(Résultats!N$159+Résultats!N$160+Résultats!N$161)/1000000</f>
        <v>5.7735675264005497</v>
      </c>
      <c r="E10" s="57">
        <f>(Résultats!N$181+Résultats!N$182)/1000000</f>
        <v>15.008762805</v>
      </c>
      <c r="F10" s="57">
        <v>0</v>
      </c>
      <c r="G10" s="193">
        <f t="shared" si="0"/>
        <v>31.810764580600551</v>
      </c>
      <c r="H10" s="3"/>
      <c r="I10" s="200"/>
      <c r="J10" s="51"/>
      <c r="K10" s="208" t="s">
        <v>22</v>
      </c>
      <c r="L10" s="24">
        <f>G23</f>
        <v>24.435405696537821</v>
      </c>
      <c r="M10" s="24">
        <f>G49</f>
        <v>21.766796107940419</v>
      </c>
      <c r="N10" s="210">
        <f>G75</f>
        <v>18.884188704541934</v>
      </c>
      <c r="O10" s="54"/>
      <c r="P10" s="54"/>
      <c r="Q10" s="54"/>
      <c r="R10" s="54"/>
      <c r="S10" s="54"/>
      <c r="T10" s="46"/>
      <c r="U10" s="53"/>
      <c r="V10" s="24"/>
      <c r="W10" s="45"/>
      <c r="X10" s="52"/>
      <c r="Y10" s="52"/>
      <c r="Z10" s="52"/>
      <c r="AA10" s="52"/>
      <c r="AB10" s="52"/>
    </row>
    <row r="11" spans="1:28" x14ac:dyDescent="0.25">
      <c r="A11" s="192" t="s">
        <v>23</v>
      </c>
      <c r="B11" s="57">
        <f>B12+B13</f>
        <v>20.048692312300002</v>
      </c>
      <c r="C11" s="57">
        <f>C12+C13</f>
        <v>63.82226467645107</v>
      </c>
      <c r="D11" s="57">
        <f>D12+D13</f>
        <v>5.6355192361809134</v>
      </c>
      <c r="E11" s="57">
        <f>E12+E13</f>
        <v>24.910247745550311</v>
      </c>
      <c r="F11" s="57">
        <f>F12+F13</f>
        <v>12.05881789</v>
      </c>
      <c r="G11" s="193">
        <f t="shared" si="0"/>
        <v>126.47554186048229</v>
      </c>
      <c r="H11" s="3"/>
      <c r="I11" s="200"/>
      <c r="J11" s="51"/>
      <c r="K11" s="209" t="s">
        <v>206</v>
      </c>
      <c r="L11" s="211">
        <f>G24</f>
        <v>95.467411196822951</v>
      </c>
      <c r="M11" s="211">
        <f>G50</f>
        <v>95.515153831660498</v>
      </c>
      <c r="N11" s="212">
        <f>G76</f>
        <v>107.53973226176325</v>
      </c>
      <c r="O11" s="54"/>
      <c r="P11" s="54"/>
      <c r="Q11" s="54"/>
      <c r="R11" s="54"/>
      <c r="S11" s="54"/>
      <c r="T11" s="46"/>
      <c r="U11" s="53"/>
      <c r="V11" s="24"/>
      <c r="W11" s="45"/>
      <c r="X11" s="52"/>
      <c r="Y11" s="52"/>
      <c r="Z11" s="52"/>
      <c r="AA11" s="52"/>
      <c r="AB11" s="52"/>
    </row>
    <row r="12" spans="1:28" x14ac:dyDescent="0.25">
      <c r="A12" s="175" t="s">
        <v>24</v>
      </c>
      <c r="B12" s="19">
        <f>(Résultats!N$129+Résultats!N$130+Résultats!N$131+Résultats!N$132+Résultats!N$133+Résultats!N$134)/1000000</f>
        <v>20.048692312300002</v>
      </c>
      <c r="C12" s="19">
        <f>(Résultats!N$138+Résultats!N$140+Résultats!N$141+Résultats!N$142+Résultats!N$143+Résultats!N$144+Résultats!N$145+Résultats!N$146+Résultats!N$147+Résultats!N$148+Résultats!N$149)/1000000</f>
        <v>56.609171580451068</v>
      </c>
      <c r="D12" s="19">
        <f>'T energie usages'!J17/'T energie usages'!J$20*(Résultats!N$159+Résultats!N$160+Résultats!N$161)/1000000</f>
        <v>5.4761870408924311</v>
      </c>
      <c r="E12" s="19">
        <f>(Résultats!N$164+Résultats!N$165+Résultats!N$166+Résultats!N$167+Résultats!N$168+Résultats!N$169+Résultats!N$170+Résultats!N$171+Résultats!N$172+Résultats!N$173+Résultats!N$174+Résultats!N$175+Résultats!N$183+Résultats!N$185)/1000000</f>
        <v>24.263333919150313</v>
      </c>
      <c r="F12" s="19">
        <f>Résultats!N$100/1000000</f>
        <v>12.05881789</v>
      </c>
      <c r="G12" s="118">
        <f t="shared" si="0"/>
        <v>118.45620274279381</v>
      </c>
      <c r="H12" s="3"/>
      <c r="I12" s="200"/>
      <c r="J12" s="51"/>
      <c r="K12" s="213" t="s">
        <v>1</v>
      </c>
      <c r="L12" s="214">
        <f>SUM(L8:L11)</f>
        <v>297.91385953879148</v>
      </c>
      <c r="M12" s="214">
        <f t="shared" ref="M12:N12" si="1">SUM(M8:M11)</f>
        <v>281.21575081340563</v>
      </c>
      <c r="N12" s="214">
        <f t="shared" si="1"/>
        <v>269.73239985210228</v>
      </c>
      <c r="O12" s="54"/>
      <c r="P12" s="54"/>
      <c r="Q12" s="54"/>
      <c r="R12" s="54"/>
      <c r="S12" s="54"/>
      <c r="T12" s="46"/>
      <c r="U12" s="53"/>
      <c r="V12" s="24"/>
      <c r="W12" s="41"/>
      <c r="X12" s="52"/>
      <c r="Y12" s="52"/>
      <c r="Z12" s="52"/>
      <c r="AA12" s="52"/>
      <c r="AB12" s="52"/>
    </row>
    <row r="13" spans="1:28" x14ac:dyDescent="0.25">
      <c r="A13" s="175" t="s">
        <v>25</v>
      </c>
      <c r="B13" s="19">
        <v>0</v>
      </c>
      <c r="C13" s="19">
        <f>(Résultats!N$139)/1000000</f>
        <v>7.2130930959999997</v>
      </c>
      <c r="D13" s="19">
        <f>'T energie usages'!J19/'T energie usages'!J$20*(Résultats!N$159+Résultats!N$160+Résultats!N$161)/1000000</f>
        <v>0.15933219528848261</v>
      </c>
      <c r="E13" s="19">
        <f>(Résultats!N$163)/1000000</f>
        <v>0.64691382640000006</v>
      </c>
      <c r="F13" s="19">
        <v>0</v>
      </c>
      <c r="G13" s="118">
        <f t="shared" si="0"/>
        <v>8.0193391176884816</v>
      </c>
      <c r="H13" s="3"/>
      <c r="I13" s="200"/>
      <c r="J13" s="51"/>
      <c r="K13" s="51"/>
      <c r="L13" s="51"/>
      <c r="M13" s="51"/>
      <c r="N13" s="53"/>
      <c r="O13" s="54"/>
      <c r="P13" s="54"/>
      <c r="Q13" s="54"/>
      <c r="R13" s="54"/>
      <c r="S13" s="54"/>
      <c r="T13" s="46"/>
      <c r="U13" s="53"/>
      <c r="V13" s="24"/>
      <c r="W13" s="41"/>
      <c r="X13" s="52"/>
      <c r="Y13" s="52"/>
      <c r="Z13" s="52"/>
      <c r="AA13" s="52"/>
      <c r="AB13" s="52"/>
    </row>
    <row r="14" spans="1:28" x14ac:dyDescent="0.25">
      <c r="A14" s="70" t="s">
        <v>41</v>
      </c>
      <c r="B14" s="58">
        <f>SUM(B9:B11)+B6</f>
        <v>21.064214222300002</v>
      </c>
      <c r="C14" s="58">
        <f>SUM(C9:C11)+C6</f>
        <v>226.23591675175106</v>
      </c>
      <c r="D14" s="58">
        <f>SUM(D9:D11)+D6</f>
        <v>18.914864040445554</v>
      </c>
      <c r="E14" s="58">
        <f>SUM(E9:E11)+E6</f>
        <v>69.363505730624865</v>
      </c>
      <c r="F14" s="58">
        <f>SUM(F9:F11)+F6</f>
        <v>12.05881789</v>
      </c>
      <c r="G14" s="194">
        <f t="shared" si="0"/>
        <v>347.63731863512146</v>
      </c>
      <c r="H14" s="3"/>
      <c r="I14" s="200"/>
      <c r="J14" s="51"/>
      <c r="K14" s="51"/>
      <c r="L14" s="51"/>
      <c r="M14" s="51"/>
      <c r="N14" s="53"/>
      <c r="O14" s="54"/>
      <c r="P14" s="54"/>
      <c r="Q14" s="54"/>
      <c r="R14" s="54"/>
      <c r="S14" s="54"/>
      <c r="T14" s="46"/>
      <c r="U14" s="53"/>
      <c r="V14" s="24"/>
      <c r="W14" s="47"/>
      <c r="X14" s="52"/>
      <c r="Y14" s="52"/>
      <c r="Z14" s="52"/>
      <c r="AA14" s="52"/>
      <c r="AB14" s="52"/>
    </row>
    <row r="15" spans="1:28" x14ac:dyDescent="0.25">
      <c r="A15" s="195" t="s">
        <v>43</v>
      </c>
      <c r="B15" s="198">
        <f>(Résultats!N$102+Résultats!N$129+Résultats!N$130+Résultats!N$131+Résultats!N$132+Résultats!N$133+Résultats!N$134+Résultats!N$135+Résultats!N$136)/1000000</f>
        <v>21.064214222300002</v>
      </c>
      <c r="C15" s="198">
        <f>(Résultats!N$104+Résultats!N$138+Résultats!N$139+Résultats!N$140+Résultats!N$141+Résultats!N$142+Résultats!N$143+Résultats!N$144+Résultats!N$145+Résultats!N$146+Résultats!N$147+Résultats!N$148+Résultats!N$149+Résultats!N$150+Résultats!N$151+Résultats!N$152+Résultats!N$153+Résultats!N$154+Résultats!N$155+Résultats!N$156)/1000000</f>
        <v>226.29402790175112</v>
      </c>
      <c r="D15" s="198">
        <f>(Résultats!N$159+Résultats!N$160+Résultats!N$161)/1000000</f>
        <v>18.917961439999999</v>
      </c>
      <c r="E15" s="198">
        <f>(Résultats!N$106+ Résultats!N$163+Résultats!N$164+Résultats!N$165+Résultats!N$166+Résultats!N$167+Résultats!N$168+Résultats!N$169+Résultats!N$170+Résultats!N$171+Résultats!N$172+Résultats!N$173+Résultats!N$174+Résultats!N$175+Résultats!N$176+Résultats!N$177+Résultats!N$178+Résultats!N$179+Résultats!N$180+Résultats!N$181+Résultats!N$182+Résultats!N$183+Résultats!N$185)/1000000</f>
        <v>70.079699504220315</v>
      </c>
      <c r="F15" s="198">
        <f>Résultats!N$100/1000000</f>
        <v>12.05881789</v>
      </c>
      <c r="G15" s="199">
        <f t="shared" si="0"/>
        <v>348.41472095827146</v>
      </c>
      <c r="H15" s="69">
        <f>G14-G15</f>
        <v>-0.77740232314999957</v>
      </c>
      <c r="I15" s="200"/>
      <c r="J15" s="51"/>
      <c r="K15" s="51"/>
      <c r="L15" s="51"/>
      <c r="M15" s="46"/>
      <c r="N15" s="24"/>
      <c r="O15" s="51"/>
      <c r="P15" s="51"/>
      <c r="Q15" s="51"/>
      <c r="R15" s="51"/>
      <c r="S15" s="46"/>
      <c r="T15" s="46"/>
      <c r="U15" s="24"/>
      <c r="V15" s="24"/>
      <c r="W15" s="48"/>
      <c r="X15" s="52"/>
      <c r="Y15" s="52"/>
      <c r="Z15" s="52"/>
      <c r="AA15" s="52"/>
      <c r="AB15" s="52"/>
    </row>
    <row r="16" spans="1:28" x14ac:dyDescent="0.25">
      <c r="A16" s="195"/>
      <c r="B16" s="196"/>
      <c r="C16" s="196">
        <f>Résultats!N$104/1000000-C7-C9</f>
        <v>5.8111150000001999E-2</v>
      </c>
      <c r="D16" s="196"/>
      <c r="E16" s="196"/>
      <c r="F16" s="196"/>
      <c r="G16" s="197">
        <f>Résultats!N$194/1000000</f>
        <v>348.4147203</v>
      </c>
      <c r="H16" s="3"/>
      <c r="I16" s="200"/>
      <c r="J16" s="51"/>
      <c r="K16" s="51"/>
      <c r="L16" s="51"/>
      <c r="M16" s="46"/>
      <c r="N16" s="50"/>
      <c r="O16" s="51"/>
      <c r="P16" s="51"/>
      <c r="Q16" s="51"/>
      <c r="R16" s="51"/>
      <c r="S16" s="46"/>
      <c r="T16" s="46"/>
      <c r="U16" s="50"/>
      <c r="V16" s="50"/>
      <c r="W16" s="49"/>
      <c r="X16" s="52"/>
      <c r="Y16" s="52"/>
      <c r="Z16" s="52"/>
      <c r="AA16" s="52"/>
      <c r="AB16" s="52"/>
    </row>
    <row r="17" spans="1:28" x14ac:dyDescent="0.25">
      <c r="A17" s="3"/>
      <c r="B17" s="62"/>
      <c r="C17" s="62"/>
      <c r="D17" s="62"/>
      <c r="E17" s="62"/>
      <c r="F17" s="62"/>
      <c r="G17" s="3"/>
      <c r="H17" s="3"/>
      <c r="I17" s="200"/>
      <c r="J17" s="51"/>
      <c r="K17" s="51"/>
      <c r="L17" s="51"/>
      <c r="M17" s="46"/>
      <c r="O17" s="51"/>
      <c r="P17" s="51"/>
      <c r="Q17" s="51"/>
      <c r="R17" s="51"/>
      <c r="S17" s="46"/>
      <c r="T17" s="46"/>
      <c r="X17" s="52"/>
      <c r="Y17" s="52"/>
      <c r="Z17" s="52"/>
      <c r="AA17" s="52"/>
      <c r="AB17" s="52"/>
    </row>
    <row r="18" spans="1:28" ht="21" x14ac:dyDescent="0.35">
      <c r="A18" s="171">
        <v>2020</v>
      </c>
      <c r="B18" s="4" t="s">
        <v>36</v>
      </c>
      <c r="C18" s="4" t="s">
        <v>37</v>
      </c>
      <c r="D18" s="4" t="s">
        <v>38</v>
      </c>
      <c r="E18" s="4" t="s">
        <v>39</v>
      </c>
      <c r="F18" s="4" t="s">
        <v>40</v>
      </c>
      <c r="G18" s="116" t="s">
        <v>1</v>
      </c>
      <c r="H18" s="3"/>
      <c r="I18" s="2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W18" s="44"/>
      <c r="X18" s="44"/>
      <c r="Y18" s="44"/>
      <c r="Z18" s="44"/>
      <c r="AA18" s="44"/>
      <c r="AB18" s="52"/>
    </row>
    <row r="19" spans="1:28" x14ac:dyDescent="0.25">
      <c r="A19" s="192" t="s">
        <v>535</v>
      </c>
      <c r="B19" s="57">
        <f>B20+B21</f>
        <v>0</v>
      </c>
      <c r="C19" s="57">
        <f>C20+C21</f>
        <v>123.95202571060003</v>
      </c>
      <c r="D19" s="57">
        <f>D20+D21</f>
        <v>0.51886810579849596</v>
      </c>
      <c r="E19" s="57">
        <f>E20+E21</f>
        <v>0.44071316676273004</v>
      </c>
      <c r="F19" s="57">
        <f>F20+F21</f>
        <v>0</v>
      </c>
      <c r="G19" s="193">
        <f t="shared" ref="G19:G28" si="2">SUM(B19:F19)</f>
        <v>124.91160698316125</v>
      </c>
      <c r="H19" s="3"/>
      <c r="I19" s="200"/>
      <c r="J19" s="51"/>
      <c r="K19" s="51"/>
      <c r="L19" s="51"/>
      <c r="M19" s="51"/>
      <c r="N19" s="53"/>
      <c r="O19" s="54"/>
      <c r="P19" s="54"/>
      <c r="Q19" s="54"/>
      <c r="R19" s="54"/>
      <c r="S19" s="54"/>
      <c r="T19" s="46"/>
      <c r="U19" s="34"/>
      <c r="W19" s="45"/>
      <c r="X19" s="52"/>
      <c r="Y19" s="52"/>
      <c r="Z19" s="52"/>
      <c r="AA19" s="52"/>
      <c r="AB19" s="52"/>
    </row>
    <row r="20" spans="1:28" x14ac:dyDescent="0.25">
      <c r="A20" s="174" t="s">
        <v>19</v>
      </c>
      <c r="B20" s="19">
        <v>0</v>
      </c>
      <c r="C20" s="19">
        <f>Résultats!S$256/1000000</f>
        <v>70.79132623000001</v>
      </c>
      <c r="D20" s="19">
        <f>'T energie usages'!J25/'T energie usages'!J$20*(Résultats!S$159+Résultats!S$60+Résultats!S$161)/1000000</f>
        <v>7.95606763194983E-3</v>
      </c>
      <c r="E20" s="19">
        <f>Résultats!S$257/1000000</f>
        <v>2.3516442730000003E-5</v>
      </c>
      <c r="F20" s="19">
        <v>0</v>
      </c>
      <c r="G20" s="118">
        <f t="shared" si="2"/>
        <v>70.799305814074685</v>
      </c>
      <c r="H20" s="3"/>
      <c r="I20" s="200"/>
      <c r="J20" s="51"/>
      <c r="K20" s="51"/>
      <c r="L20" s="51"/>
      <c r="M20" s="51"/>
      <c r="N20" s="53"/>
      <c r="O20" s="54"/>
      <c r="P20" s="54"/>
      <c r="Q20" s="54"/>
      <c r="R20" s="54"/>
      <c r="S20" s="54"/>
      <c r="T20" s="46"/>
      <c r="U20" s="42"/>
      <c r="W20" s="41"/>
      <c r="X20" s="52"/>
      <c r="Y20" s="52"/>
      <c r="Z20" s="52"/>
      <c r="AA20" s="52"/>
      <c r="AB20" s="52"/>
    </row>
    <row r="21" spans="1:28" x14ac:dyDescent="0.25">
      <c r="A21" s="175" t="s">
        <v>20</v>
      </c>
      <c r="B21" s="19">
        <v>0</v>
      </c>
      <c r="C21" s="19">
        <f>(Résultats!S$150+Résultats!S$151+Résultats!S$152+Résultats!S$153+Résultats!S$154)/1000000</f>
        <v>53.160699480600009</v>
      </c>
      <c r="D21" s="19">
        <f>'T energie usages'!J26/'T energie usages'!J$20*(Résultats!S$159+Résultats!S$160+Résultats!S$161)/1000000</f>
        <v>0.51091203816654618</v>
      </c>
      <c r="E21" s="19">
        <f>(Résultats!S$176+Résultats!S$177+Résultats!S$178+Résultats!S$179+Résultats!S$180)/1000000</f>
        <v>0.44068965032000001</v>
      </c>
      <c r="F21" s="19">
        <v>0</v>
      </c>
      <c r="G21" s="118">
        <f t="shared" si="2"/>
        <v>54.112301169086557</v>
      </c>
      <c r="H21" s="3"/>
      <c r="I21" s="200"/>
      <c r="J21" s="51"/>
      <c r="K21" s="51"/>
      <c r="L21" s="51"/>
      <c r="M21" s="51"/>
      <c r="N21" s="53"/>
      <c r="O21" s="54"/>
      <c r="P21" s="54"/>
      <c r="Q21" s="54"/>
      <c r="R21" s="54"/>
      <c r="S21" s="54"/>
      <c r="T21" s="46"/>
      <c r="U21" s="42"/>
      <c r="W21" s="41"/>
      <c r="X21" s="52"/>
      <c r="Y21" s="52"/>
      <c r="Z21" s="52"/>
      <c r="AA21" s="52"/>
      <c r="AB21" s="52"/>
    </row>
    <row r="22" spans="1:28" x14ac:dyDescent="0.25">
      <c r="A22" s="192" t="s">
        <v>21</v>
      </c>
      <c r="B22" s="57">
        <f>Résultats!S$102/1000000</f>
        <v>0.97524729769999996</v>
      </c>
      <c r="C22" s="57">
        <f>Résultats!S$254/1000000</f>
        <v>19.587626820000001</v>
      </c>
      <c r="D22" s="57">
        <f>'T energie usages'!J27/'T energie usages'!J$20*(Résultats!S$159+Résultats!S$160+Résultats!S$161)/1000000</f>
        <v>5.1175604345694863</v>
      </c>
      <c r="E22" s="57">
        <f>Résultats!S$255/1000000</f>
        <v>27.41900111</v>
      </c>
      <c r="F22" s="57">
        <v>0</v>
      </c>
      <c r="G22" s="193">
        <f t="shared" si="2"/>
        <v>53.099435662269485</v>
      </c>
      <c r="H22" s="3"/>
      <c r="I22" s="200"/>
      <c r="J22" s="51"/>
      <c r="K22" s="51"/>
      <c r="L22" s="51"/>
      <c r="M22" s="51"/>
      <c r="N22" s="53"/>
      <c r="O22" s="54"/>
      <c r="P22" s="54"/>
      <c r="Q22" s="54"/>
      <c r="R22" s="54"/>
      <c r="S22" s="54"/>
      <c r="T22" s="46"/>
      <c r="U22" s="34"/>
      <c r="W22" s="45"/>
      <c r="X22" s="52"/>
      <c r="Y22" s="52"/>
      <c r="Z22" s="52"/>
      <c r="AA22" s="52"/>
      <c r="AB22" s="52"/>
    </row>
    <row r="23" spans="1:28" x14ac:dyDescent="0.25">
      <c r="A23" s="192" t="s">
        <v>22</v>
      </c>
      <c r="B23" s="57">
        <f>(Résultats!S$135+Résultats!S$136)/1000000</f>
        <v>0</v>
      </c>
      <c r="C23" s="57">
        <f>(Résultats!S$155+Résultats!S$156)/1000000</f>
        <v>7.9198952962000009</v>
      </c>
      <c r="D23" s="57">
        <f>'T energie usages'!J28/'T energie usages'!J$20*(Résultats!S$159+Résultats!S$160+Résultats!S$161)/1000000</f>
        <v>3.9566141013378195</v>
      </c>
      <c r="E23" s="57">
        <f>(Résultats!S$181+Résultats!S$182)/1000000</f>
        <v>12.558896298999999</v>
      </c>
      <c r="F23" s="57">
        <v>0</v>
      </c>
      <c r="G23" s="193">
        <f t="shared" si="2"/>
        <v>24.435405696537821</v>
      </c>
      <c r="H23" s="3"/>
      <c r="I23" s="200"/>
      <c r="J23" s="51"/>
      <c r="K23" s="51"/>
      <c r="L23" s="51"/>
      <c r="M23" s="51"/>
      <c r="N23" s="53"/>
      <c r="O23" s="54"/>
      <c r="P23" s="54"/>
      <c r="Q23" s="54"/>
      <c r="R23" s="54"/>
      <c r="S23" s="54"/>
      <c r="T23" s="46"/>
      <c r="U23" s="34"/>
      <c r="W23" s="45"/>
      <c r="X23" s="52"/>
      <c r="Y23" s="52"/>
      <c r="Z23" s="52"/>
      <c r="AA23" s="52"/>
      <c r="AB23" s="52"/>
    </row>
    <row r="24" spans="1:28" x14ac:dyDescent="0.25">
      <c r="A24" s="192" t="s">
        <v>23</v>
      </c>
      <c r="B24" s="57">
        <f>B25+B26</f>
        <v>10.5870174791</v>
      </c>
      <c r="C24" s="57">
        <f>C25+C26</f>
        <v>43.68161862328671</v>
      </c>
      <c r="D24" s="57">
        <f>D25+D26</f>
        <v>3.3130787751911082</v>
      </c>
      <c r="E24" s="57">
        <f>E25+E26</f>
        <v>24.821220059245135</v>
      </c>
      <c r="F24" s="57">
        <f>F25+F26</f>
        <v>13.064476259999999</v>
      </c>
      <c r="G24" s="193">
        <f t="shared" si="2"/>
        <v>95.467411196822951</v>
      </c>
      <c r="H24" s="3"/>
      <c r="I24" s="200"/>
      <c r="J24" s="51"/>
      <c r="K24" s="51"/>
      <c r="L24" s="51"/>
      <c r="M24" s="51"/>
      <c r="N24" s="53"/>
      <c r="O24" s="54"/>
      <c r="P24" s="54"/>
      <c r="Q24" s="54"/>
      <c r="R24" s="54"/>
      <c r="S24" s="54"/>
      <c r="T24" s="46"/>
      <c r="U24" s="34"/>
      <c r="W24" s="45"/>
      <c r="X24" s="52"/>
      <c r="Y24" s="52"/>
      <c r="Z24" s="52"/>
      <c r="AA24" s="52"/>
      <c r="AB24" s="52"/>
    </row>
    <row r="25" spans="1:28" x14ac:dyDescent="0.25">
      <c r="A25" s="175" t="s">
        <v>24</v>
      </c>
      <c r="B25" s="19">
        <f>(Résultats!S$129+Résultats!S$130+Résultats!S$131+Résultats!S$132+Résultats!S$133+Résultats!S$134)/1000000</f>
        <v>10.5870174791</v>
      </c>
      <c r="C25" s="19">
        <f>(Résultats!S$138+Résultats!S$140+Résultats!S$141+Résultats!S$142+Résultats!S$143+Résultats!S$144+Résultats!S$145+Résultats!S$146+Résultats!S$147+Résultats!S$148+Résultats!S$149)/1000000</f>
        <v>36.759192155286712</v>
      </c>
      <c r="D25" s="19">
        <f>'T energie usages'!J30/'T energie usages'!J$20*(Résultats!S$159+Résultats!S$160+Résultats!S$161)/1000000</f>
        <v>3.2022639152004673</v>
      </c>
      <c r="E25" s="19">
        <f>(Résultats!S$164+Résultats!S$165+Résultats!S$166+Résultats!S$167+Résultats!S$168+Résultats!S$169+Résultats!S$170+Résultats!S$171+Résultats!S$172+Résultats!S$173+Résultats!S$174+Résultats!S$175+Résultats!S$183+Résultats!S$185)/1000000</f>
        <v>24.230299750345136</v>
      </c>
      <c r="F25" s="19">
        <f>Résultats!S$100/1000000</f>
        <v>13.064476259999999</v>
      </c>
      <c r="G25" s="118">
        <f t="shared" si="2"/>
        <v>87.843249559932303</v>
      </c>
      <c r="H25" s="3"/>
      <c r="I25" s="200"/>
      <c r="J25" s="51"/>
      <c r="K25" s="51"/>
      <c r="L25" s="51"/>
      <c r="M25" s="51"/>
      <c r="N25" s="53"/>
      <c r="O25" s="54"/>
      <c r="P25" s="54"/>
      <c r="Q25" s="54"/>
      <c r="R25" s="54"/>
      <c r="S25" s="54"/>
      <c r="T25" s="46"/>
      <c r="U25" s="42"/>
      <c r="W25" s="41"/>
      <c r="X25" s="52"/>
      <c r="Y25" s="52"/>
      <c r="Z25" s="52"/>
      <c r="AA25" s="52"/>
      <c r="AB25" s="52"/>
    </row>
    <row r="26" spans="1:28" x14ac:dyDescent="0.25">
      <c r="A26" s="175" t="s">
        <v>25</v>
      </c>
      <c r="B26" s="19">
        <v>0</v>
      </c>
      <c r="C26" s="19">
        <f>(Résultats!S$139)/1000000</f>
        <v>6.9224264680000003</v>
      </c>
      <c r="D26" s="19">
        <f>'T energie usages'!J32/'T energie usages'!J$20*(Résultats!S$159+Résultats!S$160+Résultats!S$161)/1000000</f>
        <v>0.11081485999064086</v>
      </c>
      <c r="E26" s="19">
        <f>(Résultats!S$163)/1000000</f>
        <v>0.59092030889999991</v>
      </c>
      <c r="F26" s="19">
        <v>0</v>
      </c>
      <c r="G26" s="118">
        <f t="shared" si="2"/>
        <v>7.6241616368906406</v>
      </c>
      <c r="H26" s="3"/>
      <c r="I26" s="200"/>
      <c r="J26" s="51"/>
      <c r="K26" s="51"/>
      <c r="L26" s="51"/>
      <c r="M26" s="51"/>
      <c r="N26" s="53"/>
      <c r="O26" s="54"/>
      <c r="P26" s="54"/>
      <c r="Q26" s="54"/>
      <c r="R26" s="54"/>
      <c r="S26" s="54"/>
      <c r="T26" s="46"/>
      <c r="U26" s="42"/>
      <c r="W26" s="41"/>
      <c r="X26" s="52"/>
      <c r="Y26" s="52"/>
      <c r="Z26" s="52"/>
      <c r="AA26" s="52"/>
      <c r="AB26" s="52"/>
    </row>
    <row r="27" spans="1:28" x14ac:dyDescent="0.25">
      <c r="A27" s="70" t="s">
        <v>41</v>
      </c>
      <c r="B27" s="58">
        <f>SUM(B22:B24)+B19</f>
        <v>11.562264776799999</v>
      </c>
      <c r="C27" s="58">
        <f>SUM(C22:C24)+C19</f>
        <v>195.14116645008673</v>
      </c>
      <c r="D27" s="58">
        <f>SUM(D22:D24)+D19</f>
        <v>12.906121416896911</v>
      </c>
      <c r="E27" s="58">
        <f>SUM(E22:E24)+E19</f>
        <v>65.239830635007863</v>
      </c>
      <c r="F27" s="58">
        <f>SUM(F22:F24)+F19</f>
        <v>13.064476259999999</v>
      </c>
      <c r="G27" s="194">
        <f t="shared" si="2"/>
        <v>297.91385953879148</v>
      </c>
      <c r="H27" s="3"/>
      <c r="I27" s="200"/>
      <c r="J27" s="51"/>
      <c r="K27" s="51"/>
      <c r="L27" s="51"/>
      <c r="M27" s="51"/>
      <c r="N27" s="53"/>
      <c r="O27" s="54"/>
      <c r="P27" s="54"/>
      <c r="Q27" s="54"/>
      <c r="R27" s="54"/>
      <c r="S27" s="54"/>
      <c r="T27" s="46"/>
      <c r="U27" s="48"/>
      <c r="W27" s="47"/>
      <c r="X27" s="52"/>
      <c r="Y27" s="52"/>
      <c r="Z27" s="52"/>
      <c r="AA27" s="52"/>
      <c r="AB27" s="52"/>
    </row>
    <row r="28" spans="1:28" x14ac:dyDescent="0.25">
      <c r="A28" s="195" t="s">
        <v>43</v>
      </c>
      <c r="B28" s="198">
        <f>(Résultats!S$102+Résultats!S$129+Résultats!S$130+Résultats!S$131+Résultats!S$132+Résultats!S$133+Résultats!S$134+Résultats!S$135+Résultats!S$136)/1000000</f>
        <v>11.562264776800001</v>
      </c>
      <c r="C28" s="198">
        <f>(Résultats!S$104+Résultats!S$138+Résultats!S$139+Résultats!S$140+Résultats!S$141+Résultats!S$142+Résultats!S$143+Résultats!S$144+Résultats!S$145+Résultats!S$146+Résultats!S$147+Résultats!S$148+Résultats!S$149+Résultats!S$150+Résultats!S$151+Résultats!S$152+Résultats!S$153+Résultats!S$154+Résultats!S$155+Résultats!S$156)/1000000</f>
        <v>195.19578261008664</v>
      </c>
      <c r="D28" s="198">
        <f>(Résultats!S$159+Résultats!S$160+Résultats!S$161)/1000000</f>
        <v>13.395541802999999</v>
      </c>
      <c r="E28" s="198">
        <f>(Résultats!S$106+ Résultats!S$163+Résultats!S$164+Résultats!S$165+Résultats!S$166+Résultats!S$167+Résultats!S$168+Résultats!S$169+Résultats!S$170+Résultats!S$171+Résultats!S$172+Résultats!S$173+Résultats!S$174+Résultats!S$175+Résultats!S$176+Résultats!S$177+Résultats!S$178+Résultats!S$179+Résultats!S$180+Résultats!S$181+Résultats!S$182+Résultats!S$183+Résultats!S$185)/1000000</f>
        <v>65.916015608565161</v>
      </c>
      <c r="F28" s="198">
        <f>Résultats!S$100/1000000</f>
        <v>13.064476259999999</v>
      </c>
      <c r="G28" s="199">
        <f t="shared" si="2"/>
        <v>299.13408105845178</v>
      </c>
      <c r="H28" s="3"/>
      <c r="I28" s="200"/>
      <c r="J28" s="51"/>
      <c r="K28" s="51"/>
      <c r="L28" s="51"/>
      <c r="M28" s="51"/>
      <c r="N28" s="24"/>
      <c r="O28" s="51"/>
      <c r="P28" s="51"/>
      <c r="Q28" s="51"/>
      <c r="R28" s="51"/>
      <c r="S28" s="51"/>
      <c r="T28" s="46"/>
      <c r="U28" s="24"/>
      <c r="V28" s="24"/>
      <c r="W28" s="24"/>
      <c r="X28" s="52"/>
      <c r="Y28" s="52"/>
      <c r="Z28" s="52"/>
      <c r="AA28" s="52"/>
      <c r="AB28" s="52"/>
    </row>
    <row r="29" spans="1:28" x14ac:dyDescent="0.25">
      <c r="A29" s="195"/>
      <c r="B29" s="196"/>
      <c r="C29" s="196">
        <f>Résultats!S$104/1000000-C20-C22</f>
        <v>5.4616159999891778E-2</v>
      </c>
      <c r="D29" s="196"/>
      <c r="E29" s="196"/>
      <c r="F29" s="196"/>
      <c r="G29" s="197">
        <f>Résultats!S$194/1000000</f>
        <v>299.13408049999998</v>
      </c>
      <c r="H29" s="3"/>
      <c r="I29" s="200"/>
      <c r="J29" s="51"/>
      <c r="K29" s="51"/>
      <c r="L29" s="51"/>
      <c r="M29" s="51"/>
      <c r="N29" s="24"/>
      <c r="O29" s="51"/>
      <c r="P29" s="51"/>
      <c r="Q29" s="51"/>
      <c r="R29" s="51"/>
      <c r="S29" s="51"/>
      <c r="T29" s="46"/>
      <c r="U29" s="24"/>
      <c r="V29" s="24"/>
      <c r="W29" s="24"/>
      <c r="X29" s="52"/>
      <c r="Y29" s="52"/>
      <c r="Z29" s="52"/>
      <c r="AA29" s="52"/>
      <c r="AB29" s="52"/>
    </row>
    <row r="30" spans="1:28" x14ac:dyDescent="0.25">
      <c r="A30" s="3"/>
      <c r="B30" s="61"/>
      <c r="C30" s="61"/>
      <c r="D30" s="61"/>
      <c r="E30" s="61"/>
      <c r="F30" s="62"/>
      <c r="G30" s="67"/>
      <c r="H30" s="3"/>
      <c r="I30" s="200"/>
      <c r="J30" s="51"/>
      <c r="K30" s="51"/>
      <c r="L30" s="51"/>
      <c r="N30" s="24"/>
      <c r="O30" s="51"/>
      <c r="P30" s="51"/>
      <c r="Q30" s="51"/>
      <c r="R30" s="51"/>
      <c r="S30" s="51"/>
      <c r="T30" s="46"/>
      <c r="U30" s="24"/>
      <c r="V30" s="24"/>
      <c r="W30" s="24"/>
      <c r="X30" s="52"/>
      <c r="Y30" s="52"/>
      <c r="Z30" s="52"/>
      <c r="AA30" s="52"/>
      <c r="AB30" s="52"/>
    </row>
    <row r="31" spans="1:28" ht="21" x14ac:dyDescent="0.35">
      <c r="A31" s="171">
        <v>2025</v>
      </c>
      <c r="B31" s="4" t="s">
        <v>36</v>
      </c>
      <c r="C31" s="4" t="s">
        <v>37</v>
      </c>
      <c r="D31" s="4" t="s">
        <v>38</v>
      </c>
      <c r="E31" s="4" t="s">
        <v>39</v>
      </c>
      <c r="F31" s="4" t="s">
        <v>40</v>
      </c>
      <c r="G31" s="116" t="s">
        <v>1</v>
      </c>
      <c r="H31" s="3"/>
      <c r="I31" s="25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24"/>
      <c r="W31" s="44"/>
      <c r="X31" s="44"/>
      <c r="Y31" s="44"/>
      <c r="Z31" s="44"/>
      <c r="AA31" s="44"/>
      <c r="AB31" s="52"/>
    </row>
    <row r="32" spans="1:28" x14ac:dyDescent="0.25">
      <c r="A32" s="192" t="s">
        <v>18</v>
      </c>
      <c r="B32" s="57">
        <f>B33+B34</f>
        <v>0</v>
      </c>
      <c r="C32" s="57">
        <f>C33+C34</f>
        <v>120.052354861</v>
      </c>
      <c r="D32" s="57">
        <f>D33+D34</f>
        <v>0.58081077375778067</v>
      </c>
      <c r="E32" s="57">
        <f>E33+E34</f>
        <v>0.83016489265252003</v>
      </c>
      <c r="F32" s="57">
        <f>F33+F34</f>
        <v>0</v>
      </c>
      <c r="G32" s="193">
        <f t="shared" ref="G32:G40" si="3">SUM(B32:F32)</f>
        <v>121.46333052741029</v>
      </c>
      <c r="H32" s="3"/>
      <c r="I32" s="200"/>
      <c r="J32" s="51"/>
      <c r="K32" s="51"/>
      <c r="L32" s="51"/>
      <c r="M32" s="51"/>
      <c r="N32" s="53"/>
      <c r="O32" s="54"/>
      <c r="P32" s="54"/>
      <c r="Q32" s="54"/>
      <c r="R32" s="54"/>
      <c r="S32" s="54"/>
      <c r="T32" s="46"/>
      <c r="U32" s="34"/>
      <c r="V32" s="24"/>
      <c r="W32" s="45"/>
      <c r="X32" s="52"/>
      <c r="Y32" s="52"/>
      <c r="Z32" s="52"/>
      <c r="AA32" s="52"/>
      <c r="AB32" s="52"/>
    </row>
    <row r="33" spans="1:28" x14ac:dyDescent="0.25">
      <c r="A33" s="174" t="s">
        <v>19</v>
      </c>
      <c r="B33" s="19">
        <v>0</v>
      </c>
      <c r="C33" s="19">
        <f>Résultats!X$256/1000000</f>
        <v>65.501710250000002</v>
      </c>
      <c r="D33" s="19">
        <f>'T energie usages'!J38/'T energie usages'!J$20*(Résultats!X$159+Résultats!X$60+Résultats!X$161)/1000000</f>
        <v>1.5748577728665423E-2</v>
      </c>
      <c r="E33" s="19">
        <f>Résultats!X$257/1000000</f>
        <v>3.4771362519999998E-5</v>
      </c>
      <c r="F33" s="19">
        <v>0</v>
      </c>
      <c r="G33" s="118">
        <f t="shared" si="3"/>
        <v>65.517493599091196</v>
      </c>
      <c r="H33" s="3"/>
      <c r="I33" s="200"/>
      <c r="J33" s="51"/>
      <c r="K33" s="51"/>
      <c r="L33" s="51"/>
      <c r="M33" s="51"/>
      <c r="N33" s="53"/>
      <c r="O33" s="54"/>
      <c r="P33" s="54"/>
      <c r="Q33" s="54"/>
      <c r="R33" s="54"/>
      <c r="S33" s="54"/>
      <c r="T33" s="46"/>
      <c r="U33" s="42"/>
      <c r="V33" s="24"/>
      <c r="W33" s="41"/>
      <c r="X33" s="52"/>
      <c r="Y33" s="52"/>
      <c r="Z33" s="52"/>
      <c r="AA33" s="52"/>
      <c r="AB33" s="52"/>
    </row>
    <row r="34" spans="1:28" x14ac:dyDescent="0.25">
      <c r="A34" s="175" t="s">
        <v>20</v>
      </c>
      <c r="B34" s="19">
        <v>0</v>
      </c>
      <c r="C34" s="19">
        <f>(Résultats!X$150+Résultats!X$151+Résultats!X$152+Résultats!X$153+Résultats!X$154)/1000000</f>
        <v>54.550644611000003</v>
      </c>
      <c r="D34" s="19">
        <f>'T energie usages'!J39/'T energie usages'!J$20*(Résultats!X$159+Résultats!X$160+Résultats!X$161)/1000000</f>
        <v>0.56506219602911523</v>
      </c>
      <c r="E34" s="19">
        <f>(Résultats!X$176+Résultats!X$177+Résultats!X$178+Résultats!X$179+Résultats!X$180)/1000000</f>
        <v>0.83013012129000008</v>
      </c>
      <c r="F34" s="19">
        <v>0</v>
      </c>
      <c r="G34" s="118">
        <f t="shared" si="3"/>
        <v>55.945836928319117</v>
      </c>
      <c r="H34" s="3"/>
      <c r="I34" s="200"/>
      <c r="J34" s="51"/>
      <c r="K34" s="51"/>
      <c r="L34" s="51"/>
      <c r="M34" s="51"/>
      <c r="N34" s="53"/>
      <c r="O34" s="54"/>
      <c r="P34" s="54"/>
      <c r="Q34" s="54"/>
      <c r="R34" s="54"/>
      <c r="S34" s="54"/>
      <c r="T34" s="46"/>
      <c r="U34" s="42"/>
      <c r="V34" s="24"/>
      <c r="W34" s="41"/>
      <c r="X34" s="52"/>
      <c r="Y34" s="52"/>
      <c r="Z34" s="52"/>
      <c r="AA34" s="52"/>
      <c r="AB34" s="52"/>
    </row>
    <row r="35" spans="1:28" x14ac:dyDescent="0.25">
      <c r="A35" s="192" t="s">
        <v>21</v>
      </c>
      <c r="B35" s="57">
        <f>Résultats!X$102/1000000</f>
        <v>0.88923397479999999</v>
      </c>
      <c r="C35" s="57">
        <f>Résultats!X$254/1000000</f>
        <v>18.64448977</v>
      </c>
      <c r="D35" s="57">
        <f>'T energie usages'!J40/'T energie usages'!J$20*(Résultats!X$159+Résultats!X$160+Résultats!X$161)/1000000</f>
        <v>4.7949876853216757</v>
      </c>
      <c r="E35" s="57">
        <f>Résultats!X$255/1000000</f>
        <v>23.124233800000003</v>
      </c>
      <c r="F35" s="57">
        <v>0</v>
      </c>
      <c r="G35" s="193">
        <f t="shared" si="3"/>
        <v>47.452945230121678</v>
      </c>
      <c r="H35" s="3"/>
      <c r="I35" s="200"/>
      <c r="J35" s="51"/>
      <c r="K35" s="51"/>
      <c r="L35" s="51"/>
      <c r="M35" s="51"/>
      <c r="N35" s="53"/>
      <c r="O35" s="54"/>
      <c r="P35" s="54"/>
      <c r="Q35" s="54"/>
      <c r="R35" s="54"/>
      <c r="S35" s="54"/>
      <c r="T35" s="46"/>
      <c r="U35" s="34"/>
      <c r="V35" s="24"/>
      <c r="W35" s="45"/>
      <c r="X35" s="52"/>
      <c r="Y35" s="52"/>
      <c r="Z35" s="52"/>
      <c r="AA35" s="52"/>
      <c r="AB35" s="52"/>
    </row>
    <row r="36" spans="1:28" x14ac:dyDescent="0.25">
      <c r="A36" s="192" t="s">
        <v>22</v>
      </c>
      <c r="B36" s="57">
        <f>(Résultats!X$135+Résultats!X$136)/1000000</f>
        <v>0</v>
      </c>
      <c r="C36" s="57">
        <f>(Résultats!X$155+Résultats!X$156)/1000000</f>
        <v>7.5144304497999999</v>
      </c>
      <c r="D36" s="57">
        <f>'T energie usages'!J41/'T energie usages'!J$20*(Résultats!X$159+Résultats!X$160+Résultats!X$161)/1000000</f>
        <v>3.6703549666464466</v>
      </c>
      <c r="E36" s="57">
        <f>(Résultats!X$181+Résultats!X$182)/1000000</f>
        <v>11.157739764</v>
      </c>
      <c r="F36" s="57">
        <v>0</v>
      </c>
      <c r="G36" s="193">
        <f t="shared" si="3"/>
        <v>22.342525180446447</v>
      </c>
      <c r="H36" s="3"/>
      <c r="I36" s="200"/>
      <c r="J36" s="51"/>
      <c r="K36" s="51"/>
      <c r="L36" s="51"/>
      <c r="M36" s="51"/>
      <c r="N36" s="53"/>
      <c r="O36" s="54"/>
      <c r="P36" s="54"/>
      <c r="Q36" s="54"/>
      <c r="R36" s="54"/>
      <c r="S36" s="54"/>
      <c r="T36" s="46"/>
      <c r="U36" s="34"/>
      <c r="V36" s="24"/>
      <c r="W36" s="45"/>
      <c r="X36" s="52"/>
      <c r="Y36" s="52"/>
      <c r="Z36" s="52"/>
      <c r="AA36" s="52"/>
      <c r="AB36" s="52"/>
    </row>
    <row r="37" spans="1:28" x14ac:dyDescent="0.25">
      <c r="A37" s="192" t="s">
        <v>23</v>
      </c>
      <c r="B37" s="57">
        <f>B38+B39</f>
        <v>9.9839616681999992</v>
      </c>
      <c r="C37" s="57">
        <f>C38+C39</f>
        <v>44.769796878360857</v>
      </c>
      <c r="D37" s="57">
        <f>D38+D39</f>
        <v>3.1781121657919491</v>
      </c>
      <c r="E37" s="57">
        <f>E38+E39</f>
        <v>22.125946615149097</v>
      </c>
      <c r="F37" s="57">
        <f>F38+F39</f>
        <v>13.697618800000001</v>
      </c>
      <c r="G37" s="193">
        <f t="shared" si="3"/>
        <v>93.755436127501909</v>
      </c>
      <c r="H37" s="3"/>
      <c r="I37" s="200"/>
      <c r="J37" s="51"/>
      <c r="K37" s="51"/>
      <c r="L37" s="51"/>
      <c r="M37" s="51"/>
      <c r="N37" s="53"/>
      <c r="O37" s="54"/>
      <c r="P37" s="54"/>
      <c r="Q37" s="54"/>
      <c r="R37" s="54"/>
      <c r="S37" s="54"/>
      <c r="T37" s="46"/>
      <c r="U37" s="34"/>
      <c r="V37" s="24"/>
      <c r="W37" s="45"/>
      <c r="X37" s="52"/>
      <c r="Y37" s="52"/>
      <c r="Z37" s="52"/>
      <c r="AA37" s="52"/>
      <c r="AB37" s="52"/>
    </row>
    <row r="38" spans="1:28" x14ac:dyDescent="0.25">
      <c r="A38" s="175" t="s">
        <v>24</v>
      </c>
      <c r="B38" s="19">
        <f>(Résultats!X$129+Résultats!X$130+Résultats!X$131+Résultats!X$132+Résultats!X$133+Résultats!X$134)/1000000</f>
        <v>9.9839616681999992</v>
      </c>
      <c r="C38" s="19">
        <f>(Résultats!X$138+Résultats!X$140+Résultats!X$141+Résultats!X$142+Résultats!X$143+Résultats!X$144+Résultats!X$145+Résultats!X$146+Résultats!X$147+Résultats!X$148+Résultats!X$149)/1000000</f>
        <v>36.955328778360858</v>
      </c>
      <c r="D38" s="19">
        <f>'T energie usages'!J43/'T energie usages'!J$20*(Résultats!X$159+Résultats!X$160+Résultats!X$161)/1000000</f>
        <v>3.0723980687006174</v>
      </c>
      <c r="E38" s="19">
        <f>(Résultats!X$164+Résultats!X$165+Résultats!X$166+Résultats!X$167+Résultats!X$168+Résultats!X$169+Résultats!X$170+Résultats!X$171+Résultats!X$172+Résultats!X$173+Résultats!X$174+Résultats!X$175+Résultats!X$183+Résultats!X$185)/1000000</f>
        <v>21.554405631049097</v>
      </c>
      <c r="F38" s="19">
        <f>Résultats!X$100/1000000</f>
        <v>13.697618800000001</v>
      </c>
      <c r="G38" s="118">
        <f t="shared" si="3"/>
        <v>85.263712946310577</v>
      </c>
      <c r="H38" s="3"/>
      <c r="I38" s="200"/>
      <c r="J38" s="51"/>
      <c r="K38" s="51"/>
      <c r="L38" s="51"/>
      <c r="M38" s="51"/>
      <c r="N38" s="53"/>
      <c r="O38" s="54"/>
      <c r="P38" s="54"/>
      <c r="Q38" s="54"/>
      <c r="R38" s="54"/>
      <c r="S38" s="54"/>
      <c r="T38" s="46"/>
      <c r="U38" s="42"/>
      <c r="V38" s="24"/>
      <c r="W38" s="41"/>
      <c r="X38" s="52"/>
      <c r="Y38" s="52"/>
      <c r="Z38" s="52"/>
      <c r="AA38" s="52"/>
      <c r="AB38" s="52"/>
    </row>
    <row r="39" spans="1:28" x14ac:dyDescent="0.25">
      <c r="A39" s="175" t="s">
        <v>25</v>
      </c>
      <c r="B39" s="19">
        <v>0</v>
      </c>
      <c r="C39" s="19">
        <f>(Résultats!X$139)/1000000</f>
        <v>7.8144681</v>
      </c>
      <c r="D39" s="19">
        <f>'T energie usages'!J45/'T energie usages'!J$20*(Résultats!X$159+Résultats!X$160+Résultats!X$161)/1000000</f>
        <v>0.10571409709133171</v>
      </c>
      <c r="E39" s="19">
        <f>(Résultats!X$163)/1000000</f>
        <v>0.57154098409999998</v>
      </c>
      <c r="F39" s="19">
        <v>0</v>
      </c>
      <c r="G39" s="118">
        <f t="shared" si="3"/>
        <v>8.4917231811913307</v>
      </c>
      <c r="H39" s="3"/>
      <c r="I39" s="200"/>
      <c r="J39" s="51"/>
      <c r="K39" s="51"/>
      <c r="L39" s="51"/>
      <c r="M39" s="51"/>
      <c r="N39" s="53"/>
      <c r="O39" s="54"/>
      <c r="P39" s="54"/>
      <c r="Q39" s="54"/>
      <c r="R39" s="54"/>
      <c r="S39" s="54"/>
      <c r="T39" s="46"/>
      <c r="U39" s="42"/>
      <c r="V39" s="24"/>
      <c r="W39" s="41"/>
      <c r="X39" s="52"/>
      <c r="Y39" s="52"/>
      <c r="Z39" s="52"/>
      <c r="AA39" s="52"/>
      <c r="AB39" s="52"/>
    </row>
    <row r="40" spans="1:28" x14ac:dyDescent="0.25">
      <c r="A40" s="70" t="s">
        <v>41</v>
      </c>
      <c r="B40" s="58">
        <f>SUM(B35:B37)+B32</f>
        <v>10.873195642999999</v>
      </c>
      <c r="C40" s="58">
        <f>SUM(C35:C37)+C32</f>
        <v>190.98107195916086</v>
      </c>
      <c r="D40" s="58">
        <f>SUM(D35:D37)+D32</f>
        <v>12.224265591517852</v>
      </c>
      <c r="E40" s="58">
        <f>SUM(E35:E37)+E32</f>
        <v>57.238085071801621</v>
      </c>
      <c r="F40" s="58">
        <f>SUM(F35:F37)+F32</f>
        <v>13.697618800000001</v>
      </c>
      <c r="G40" s="194">
        <f t="shared" si="3"/>
        <v>285.0142370654803</v>
      </c>
      <c r="H40" s="3"/>
      <c r="I40" s="200"/>
      <c r="J40" s="51"/>
      <c r="K40" s="51"/>
      <c r="L40" s="51"/>
      <c r="M40" s="51"/>
      <c r="N40" s="53"/>
      <c r="O40" s="54"/>
      <c r="P40" s="54"/>
      <c r="Q40" s="54"/>
      <c r="R40" s="54"/>
      <c r="S40" s="54"/>
      <c r="T40" s="46"/>
      <c r="U40" s="48"/>
      <c r="V40" s="24"/>
      <c r="W40" s="47"/>
      <c r="X40" s="52"/>
      <c r="Y40" s="52"/>
      <c r="Z40" s="52"/>
      <c r="AA40" s="52"/>
      <c r="AB40" s="52"/>
    </row>
    <row r="41" spans="1:28" x14ac:dyDescent="0.25">
      <c r="A41" s="195" t="s">
        <v>43</v>
      </c>
      <c r="B41" s="198">
        <f>(Résultats!X$102+Résultats!X$129+Résultats!X$130+Résultats!X$131+Résultats!X$132+Résultats!X$133+Résultats!X$134+Résultats!X$135+Résultats!X$136)/1000000</f>
        <v>10.873195642999999</v>
      </c>
      <c r="C41" s="198">
        <f>(Résultats!X$104+Résultats!X$139+Résultats!X$140+Résultats!X$141+Résultats!X$142+Résultats!X$143+Résultats!X$144+Résultats!X$145+Résultats!X$146+Résultats!X$147+Résultats!X$148+Résultats!X$149+Résultats!X$150+Résultats!X$151+Résultats!X$152+Résultats!X$153+Résultats!X$154+Résultats!X$155+Résultats!X$156++Résultats!X$157)/1000000</f>
        <v>191.03192115416078</v>
      </c>
      <c r="D41" s="198">
        <f>(Résultats!X$159+Résultats!X$160+Résultats!X$161)/1000000</f>
        <v>12.497839886</v>
      </c>
      <c r="E41" s="197">
        <f>(Résultats!X$106+Résultats!X$163+Résultats!X$164+Résultats!X$165+Résultats!X$166+Résultats!X$167+Résultats!X$168+Résultats!X$169+Résultats!X$170+Résultats!X$171+Résultats!X$172+Résultats!X$173+Résultats!X$174+Résultats!X$175+Résultats!X$176+Résultats!X$177+Résultats!X$178+Résultats!X$179+Résultats!X$180+Résultats!X$181+Résultats!X$182+Résultats!X$183)/1000000</f>
        <v>57.557593837139109</v>
      </c>
      <c r="F41" s="198">
        <f>Résultats!X$100/1000000</f>
        <v>13.697618800000001</v>
      </c>
      <c r="G41" s="199">
        <f t="shared" ref="G41" si="4">SUM(B41:F41)</f>
        <v>285.65816932029986</v>
      </c>
      <c r="H41" s="3"/>
      <c r="I41" s="200"/>
      <c r="J41" s="51"/>
      <c r="K41" s="51"/>
      <c r="L41" s="51"/>
      <c r="M41" s="46"/>
      <c r="N41" s="24"/>
      <c r="O41" s="51"/>
      <c r="P41" s="51"/>
      <c r="Q41" s="51"/>
      <c r="R41" s="51"/>
      <c r="S41" s="46"/>
      <c r="T41" s="46"/>
      <c r="U41" s="24"/>
      <c r="V41" s="24"/>
      <c r="W41" s="24"/>
      <c r="X41" s="52"/>
      <c r="Y41" s="52"/>
      <c r="Z41" s="52"/>
      <c r="AA41" s="52"/>
      <c r="AB41" s="52"/>
    </row>
    <row r="42" spans="1:28" x14ac:dyDescent="0.25">
      <c r="A42" s="195"/>
      <c r="B42" s="196"/>
      <c r="C42" s="196"/>
      <c r="D42" s="196"/>
      <c r="E42" s="196"/>
      <c r="F42" s="196"/>
      <c r="G42" s="197">
        <f>Résultats!X$194/1000000</f>
        <v>285.90893189999997</v>
      </c>
      <c r="H42" s="3"/>
      <c r="I42" s="200"/>
      <c r="J42" s="51"/>
      <c r="K42" s="51"/>
      <c r="L42" s="51"/>
      <c r="M42" s="46"/>
      <c r="N42" s="24"/>
      <c r="O42" s="51"/>
      <c r="P42" s="51"/>
      <c r="Q42" s="51"/>
      <c r="R42" s="51"/>
      <c r="S42" s="46"/>
      <c r="T42" s="46"/>
      <c r="U42" s="24"/>
      <c r="V42" s="24"/>
      <c r="W42" s="24"/>
      <c r="X42" s="52"/>
      <c r="Y42" s="52"/>
      <c r="Z42" s="52"/>
      <c r="AA42" s="52"/>
      <c r="AB42" s="52"/>
    </row>
    <row r="43" spans="1:28" x14ac:dyDescent="0.25">
      <c r="A43" s="3"/>
      <c r="B43" s="62"/>
      <c r="C43" s="62"/>
      <c r="D43" s="62"/>
      <c r="E43" s="62"/>
      <c r="F43" s="62"/>
      <c r="G43" s="67"/>
      <c r="H43" s="3"/>
      <c r="I43" s="200"/>
      <c r="J43" s="51"/>
      <c r="K43" s="51"/>
      <c r="L43" s="51"/>
      <c r="M43" s="46"/>
      <c r="N43" s="24"/>
      <c r="O43" s="51"/>
      <c r="P43" s="51"/>
      <c r="Q43" s="51"/>
      <c r="R43" s="51"/>
      <c r="S43" s="46"/>
      <c r="T43" s="46"/>
      <c r="U43" s="24"/>
      <c r="V43" s="24"/>
      <c r="W43" s="48"/>
      <c r="X43" s="52"/>
      <c r="Y43" s="52"/>
      <c r="Z43" s="52"/>
      <c r="AA43" s="52"/>
      <c r="AB43" s="52"/>
    </row>
    <row r="44" spans="1:28" ht="21" x14ac:dyDescent="0.35">
      <c r="A44" s="171">
        <v>2030</v>
      </c>
      <c r="B44" s="4" t="s">
        <v>36</v>
      </c>
      <c r="C44" s="4" t="s">
        <v>37</v>
      </c>
      <c r="D44" s="4" t="s">
        <v>38</v>
      </c>
      <c r="E44" s="4" t="s">
        <v>39</v>
      </c>
      <c r="F44" s="4" t="s">
        <v>40</v>
      </c>
      <c r="G44" s="116" t="s">
        <v>1</v>
      </c>
      <c r="H44" s="3"/>
      <c r="I44" s="25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W44" s="44"/>
      <c r="X44" s="44"/>
      <c r="Y44" s="44"/>
      <c r="Z44" s="44"/>
      <c r="AA44" s="44"/>
      <c r="AB44" s="52"/>
    </row>
    <row r="45" spans="1:28" x14ac:dyDescent="0.25">
      <c r="A45" s="192" t="s">
        <v>18</v>
      </c>
      <c r="B45" s="57">
        <f>B46+B47</f>
        <v>0</v>
      </c>
      <c r="C45" s="57">
        <f>C46+C47</f>
        <v>112.83475399</v>
      </c>
      <c r="D45" s="57">
        <f>D46+D47</f>
        <v>0.68294661526125722</v>
      </c>
      <c r="E45" s="57">
        <f>E46+E47</f>
        <v>1.8566366210036498</v>
      </c>
      <c r="F45" s="57">
        <f>F46+F47</f>
        <v>0</v>
      </c>
      <c r="G45" s="193">
        <f t="shared" ref="G45:G54" si="5">SUM(B45:F45)</f>
        <v>115.3743372262649</v>
      </c>
      <c r="H45" s="3"/>
      <c r="I45" s="200"/>
      <c r="J45" s="51"/>
      <c r="K45" s="51"/>
      <c r="L45" s="51"/>
      <c r="M45" s="51"/>
      <c r="N45" s="53"/>
      <c r="O45" s="54"/>
      <c r="P45" s="54"/>
      <c r="Q45" s="54"/>
      <c r="R45" s="54"/>
      <c r="S45" s="54"/>
      <c r="T45" s="46"/>
      <c r="U45" s="34"/>
      <c r="W45" s="45"/>
      <c r="X45" s="52"/>
      <c r="Y45" s="52"/>
      <c r="Z45" s="52"/>
      <c r="AA45" s="52"/>
      <c r="AB45" s="52"/>
    </row>
    <row r="46" spans="1:28" x14ac:dyDescent="0.25">
      <c r="A46" s="174" t="s">
        <v>19</v>
      </c>
      <c r="B46" s="19">
        <v>0</v>
      </c>
      <c r="C46" s="19">
        <f>Résultats!AC$256/1000000</f>
        <v>59.518218299999994</v>
      </c>
      <c r="D46" s="19">
        <f>'T energie usages'!J51/'T energie usages'!J$20*(Résultats!AC$159+Résultats!AC$60+Résultats!AC$161)/1000000</f>
        <v>2.1612788476728772E-2</v>
      </c>
      <c r="E46" s="19">
        <f>Résultats!AC$257/1000000</f>
        <v>4.9236603650000003E-5</v>
      </c>
      <c r="F46" s="19">
        <v>0</v>
      </c>
      <c r="G46" s="118">
        <f t="shared" si="5"/>
        <v>59.539880325080375</v>
      </c>
      <c r="H46" s="3"/>
      <c r="I46" s="200"/>
      <c r="J46" s="51"/>
      <c r="K46" s="51"/>
      <c r="L46" s="51"/>
      <c r="M46" s="51"/>
      <c r="N46" s="53"/>
      <c r="O46" s="54"/>
      <c r="P46" s="54"/>
      <c r="Q46" s="54"/>
      <c r="R46" s="54"/>
      <c r="S46" s="54"/>
      <c r="T46" s="46"/>
      <c r="U46" s="42"/>
      <c r="W46" s="41"/>
      <c r="X46" s="52"/>
      <c r="Y46" s="52"/>
      <c r="Z46" s="52"/>
      <c r="AA46" s="52"/>
      <c r="AB46" s="52"/>
    </row>
    <row r="47" spans="1:28" x14ac:dyDescent="0.25">
      <c r="A47" s="175" t="s">
        <v>20</v>
      </c>
      <c r="B47" s="19">
        <v>0</v>
      </c>
      <c r="C47" s="19">
        <f>(Résultats!AC$150+Résultats!AC$151+Résultats!AC$152+Résultats!AC$153+Résultats!AC$154)/1000000</f>
        <v>53.316535690000002</v>
      </c>
      <c r="D47" s="19">
        <f>'T energie usages'!J52/'T energie usages'!J$20*(Résultats!AC$159+Résultats!AC$160+Résultats!AC$161)/1000000</f>
        <v>0.66133382678452846</v>
      </c>
      <c r="E47" s="19">
        <f>(Résultats!AC$176+Résultats!AC$177+Résultats!AC$178+Résultats!AC$179+Résultats!AC$180)/1000000</f>
        <v>1.8565873843999998</v>
      </c>
      <c r="F47" s="19">
        <v>0</v>
      </c>
      <c r="G47" s="118">
        <f t="shared" si="5"/>
        <v>55.834456901184531</v>
      </c>
      <c r="H47" s="3"/>
      <c r="I47" s="200"/>
      <c r="J47" s="51"/>
      <c r="K47" s="51"/>
      <c r="L47" s="51"/>
      <c r="M47" s="51"/>
      <c r="N47" s="53"/>
      <c r="O47" s="54"/>
      <c r="P47" s="54"/>
      <c r="Q47" s="54"/>
      <c r="R47" s="54"/>
      <c r="S47" s="54"/>
      <c r="T47" s="46"/>
      <c r="U47" s="42"/>
      <c r="W47" s="41"/>
      <c r="X47" s="52"/>
      <c r="Y47" s="52"/>
      <c r="Z47" s="52"/>
      <c r="AA47" s="52"/>
      <c r="AB47" s="52"/>
    </row>
    <row r="48" spans="1:28" x14ac:dyDescent="0.25">
      <c r="A48" s="192" t="s">
        <v>21</v>
      </c>
      <c r="B48" s="57">
        <f>Résultats!AC$102/1000000</f>
        <v>0.86964354509999997</v>
      </c>
      <c r="C48" s="57">
        <f>Résultats!AC$254/1000000</f>
        <v>18.575648340000001</v>
      </c>
      <c r="D48" s="57">
        <f>'T energie usages'!J53/'T energie usages'!J$20*(Résultats!AC$159+Résultats!AC$160+Résultats!AC$161)/1000000</f>
        <v>5.2339387824397949</v>
      </c>
      <c r="E48" s="57">
        <f>Résultats!AC$255/1000000</f>
        <v>23.880232979999999</v>
      </c>
      <c r="F48" s="57">
        <v>0</v>
      </c>
      <c r="G48" s="193">
        <f t="shared" si="5"/>
        <v>48.5594636475398</v>
      </c>
      <c r="H48" s="3"/>
      <c r="I48" s="200"/>
      <c r="J48" s="51"/>
      <c r="K48" s="51"/>
      <c r="L48" s="51"/>
      <c r="M48" s="51"/>
      <c r="N48" s="53"/>
      <c r="O48" s="54"/>
      <c r="P48" s="54"/>
      <c r="Q48" s="54"/>
      <c r="R48" s="54"/>
      <c r="S48" s="54"/>
      <c r="T48" s="46"/>
      <c r="U48" s="34"/>
      <c r="W48" s="45"/>
      <c r="X48" s="52"/>
      <c r="Y48" s="52"/>
      <c r="Z48" s="52"/>
      <c r="AA48" s="52"/>
      <c r="AB48" s="52"/>
    </row>
    <row r="49" spans="1:28" x14ac:dyDescent="0.25">
      <c r="A49" s="192" t="s">
        <v>22</v>
      </c>
      <c r="B49" s="57">
        <f>(Résultats!AC$135+Résultats!AC$136)/1000000</f>
        <v>0</v>
      </c>
      <c r="C49" s="57">
        <f>(Résultats!AC$155+Résultats!AC$156)/1000000</f>
        <v>6.4654465983999998</v>
      </c>
      <c r="D49" s="57">
        <f>'T energie usages'!J54/'T energie usages'!J$20*(Résultats!AC$159+Résultats!AC$160+Résultats!AC$161)/1000000</f>
        <v>3.9502907965404201</v>
      </c>
      <c r="E49" s="57">
        <f>(Résultats!AC$181+Résultats!AC$182)/1000000</f>
        <v>11.351058712999999</v>
      </c>
      <c r="F49" s="57">
        <v>0</v>
      </c>
      <c r="G49" s="193">
        <f t="shared" si="5"/>
        <v>21.766796107940419</v>
      </c>
      <c r="H49" s="3"/>
      <c r="I49" s="200"/>
      <c r="J49" s="51"/>
      <c r="K49" s="51"/>
      <c r="L49" s="51"/>
      <c r="M49" s="51"/>
      <c r="N49" s="53"/>
      <c r="O49" s="54"/>
      <c r="P49" s="54"/>
      <c r="Q49" s="54"/>
      <c r="R49" s="54"/>
      <c r="S49" s="54"/>
      <c r="T49" s="46"/>
      <c r="U49" s="34"/>
      <c r="W49" s="45"/>
      <c r="X49" s="52"/>
      <c r="Y49" s="52"/>
      <c r="Z49" s="52"/>
      <c r="AA49" s="52"/>
      <c r="AB49" s="52"/>
    </row>
    <row r="50" spans="1:28" x14ac:dyDescent="0.25">
      <c r="A50" s="192" t="s">
        <v>23</v>
      </c>
      <c r="B50" s="57">
        <f>B51+B52</f>
        <v>9.9920777713999982</v>
      </c>
      <c r="C50" s="57">
        <f>C51+C52</f>
        <v>46.357181634553029</v>
      </c>
      <c r="D50" s="57">
        <f>D51+D52</f>
        <v>3.5398778347640056</v>
      </c>
      <c r="E50" s="57">
        <f>E51+E52</f>
        <v>22.203314480943469</v>
      </c>
      <c r="F50" s="57">
        <f>F51+F52</f>
        <v>13.422702109999999</v>
      </c>
      <c r="G50" s="193">
        <f t="shared" si="5"/>
        <v>95.515153831660498</v>
      </c>
      <c r="H50" s="3"/>
      <c r="I50" s="200"/>
      <c r="J50" s="51"/>
      <c r="K50" s="51"/>
      <c r="L50" s="51"/>
      <c r="M50" s="51"/>
      <c r="N50" s="53"/>
      <c r="O50" s="54"/>
      <c r="P50" s="54"/>
      <c r="Q50" s="54"/>
      <c r="R50" s="54"/>
      <c r="S50" s="54"/>
      <c r="T50" s="46"/>
      <c r="U50" s="34"/>
      <c r="W50" s="45"/>
      <c r="X50" s="52"/>
      <c r="Y50" s="52"/>
      <c r="Z50" s="52"/>
      <c r="AA50" s="52"/>
      <c r="AB50" s="52"/>
    </row>
    <row r="51" spans="1:28" x14ac:dyDescent="0.25">
      <c r="A51" s="175" t="s">
        <v>24</v>
      </c>
      <c r="B51" s="19">
        <f>(Résultats!AC$129+Résultats!AC$130+Résultats!AC$131+Résultats!AC$132+Résultats!AC$133+Résultats!AC$134)/1000000</f>
        <v>9.9920777713999982</v>
      </c>
      <c r="C51" s="19">
        <f>(Résultats!AC$138+Résultats!AC$140+Résultats!AC$141+Résultats!AC$142+Résultats!AC$143+Résultats!AC$144+Résultats!AC$145+Résultats!AC$146+Résultats!AC$147+Résultats!AC$148+Résultats!AC$149)/1000000</f>
        <v>37.964312031553028</v>
      </c>
      <c r="D51" s="19">
        <f>'T energie usages'!J56/'T energie usages'!J$20*(Résultats!AC$159+Résultats!AC$160+Résultats!AC$161)/1000000</f>
        <v>3.4233320905873552</v>
      </c>
      <c r="E51" s="19">
        <f>(Résultats!AC$164+Résultats!AC$165+Résultats!AC$166+Résultats!AC$167+Résultats!AC$168+Résultats!AC$169+Résultats!AC$170+Résultats!AC$171+Résultats!AC$172+Résultats!AC$173+Résultats!AC$174+Résultats!AC$175+Résultats!AC$183+Résultats!AC$185)/1000000</f>
        <v>21.592662846343469</v>
      </c>
      <c r="F51" s="19">
        <f>Résultats!AC$100/1000000</f>
        <v>13.422702109999999</v>
      </c>
      <c r="G51" s="118">
        <f t="shared" si="5"/>
        <v>86.395086849883853</v>
      </c>
      <c r="H51" s="3"/>
      <c r="I51" s="200"/>
      <c r="J51" s="51"/>
      <c r="K51" s="51"/>
      <c r="L51" s="51"/>
      <c r="M51" s="51"/>
      <c r="N51" s="53"/>
      <c r="O51" s="54"/>
      <c r="P51" s="54"/>
      <c r="Q51" s="54"/>
      <c r="R51" s="54"/>
      <c r="S51" s="54"/>
      <c r="T51" s="46"/>
      <c r="U51" s="42"/>
      <c r="W51" s="41"/>
      <c r="X51" s="52"/>
      <c r="Y51" s="52"/>
      <c r="Z51" s="52"/>
      <c r="AA51" s="52"/>
      <c r="AB51" s="52"/>
    </row>
    <row r="52" spans="1:28" x14ac:dyDescent="0.25">
      <c r="A52" s="175" t="s">
        <v>25</v>
      </c>
      <c r="B52" s="19">
        <v>0</v>
      </c>
      <c r="C52" s="19">
        <f>(Résultats!AC$139)/1000000</f>
        <v>8.3928696029999994</v>
      </c>
      <c r="D52" s="19">
        <f>'T energie usages'!J58/'T energie usages'!J$20*(Résultats!AC$159+Résultats!AC$160+Résultats!AC$161)/1000000</f>
        <v>0.11654574417665028</v>
      </c>
      <c r="E52" s="19">
        <f>(Résultats!AC$163)/1000000</f>
        <v>0.61065163459999994</v>
      </c>
      <c r="F52" s="19">
        <v>0</v>
      </c>
      <c r="G52" s="118">
        <f t="shared" si="5"/>
        <v>9.1200669817766489</v>
      </c>
      <c r="H52" s="3"/>
      <c r="I52" s="200"/>
      <c r="J52" s="51"/>
      <c r="K52" s="51"/>
      <c r="L52" s="51"/>
      <c r="M52" s="51"/>
      <c r="N52" s="53"/>
      <c r="O52" s="54"/>
      <c r="P52" s="54"/>
      <c r="Q52" s="54"/>
      <c r="R52" s="54"/>
      <c r="S52" s="54"/>
      <c r="T52" s="46"/>
      <c r="U52" s="42"/>
      <c r="W52" s="41"/>
      <c r="X52" s="52"/>
      <c r="Y52" s="52"/>
      <c r="Z52" s="52"/>
      <c r="AA52" s="52"/>
      <c r="AB52" s="52"/>
    </row>
    <row r="53" spans="1:28" x14ac:dyDescent="0.25">
      <c r="A53" s="70" t="s">
        <v>41</v>
      </c>
      <c r="B53" s="58">
        <f>SUM(B48:B50)+B45</f>
        <v>10.861721316499999</v>
      </c>
      <c r="C53" s="58">
        <f>SUM(C48:C50)+C45</f>
        <v>184.23303056295302</v>
      </c>
      <c r="D53" s="58">
        <f>SUM(D48:D50)+D45</f>
        <v>13.407054029005478</v>
      </c>
      <c r="E53" s="58">
        <f>SUM(E48:E50)+E45</f>
        <v>59.291242794947117</v>
      </c>
      <c r="F53" s="58">
        <f>SUM(F48:F50)+F45</f>
        <v>13.422702109999999</v>
      </c>
      <c r="G53" s="194">
        <f t="shared" si="5"/>
        <v>281.21575081340558</v>
      </c>
      <c r="H53" s="3"/>
      <c r="I53" s="200"/>
      <c r="J53" s="51"/>
      <c r="K53" s="51"/>
      <c r="L53" s="51"/>
      <c r="M53" s="51"/>
      <c r="N53" s="53"/>
      <c r="O53" s="54"/>
      <c r="P53" s="54"/>
      <c r="Q53" s="54"/>
      <c r="R53" s="54"/>
      <c r="S53" s="54"/>
      <c r="T53" s="46"/>
      <c r="U53" s="48"/>
      <c r="W53" s="47"/>
      <c r="X53" s="52"/>
      <c r="Y53" s="52"/>
      <c r="Z53" s="52"/>
      <c r="AA53" s="52"/>
      <c r="AB53" s="52"/>
    </row>
    <row r="54" spans="1:28" x14ac:dyDescent="0.25">
      <c r="A54" s="195" t="s">
        <v>43</v>
      </c>
      <c r="B54" s="198">
        <f>(Résultats!AC$102+Résultats!AC$129+Résultats!AC$130+Résultats!AC$131+Résultats!AC$132+Résultats!AC$133+Résultats!AC$134+Résultats!AC$135+Résultats!AC$136)/1000000</f>
        <v>10.861721316500001</v>
      </c>
      <c r="C54" s="198">
        <f>(Résultats!AC$104+Résultats!AC$138+Résultats!AC$139+Résultats!AC$140+Résultats!AC$141+Résultats!AC$142+Résultats!AC$143+Résultats!AC$144+Résultats!AC$145+Résultats!AC$146+Résultats!AC$147+Résultats!AC$148+Résultats!AC$149+Résultats!AC$150+Résultats!AC$151+Résultats!AC$152+Résultats!AC$153+Résultats!AC$154+Résultats!AC$155+Résultats!AC$156)/1000000</f>
        <v>184.28022282295299</v>
      </c>
      <c r="D54" s="198">
        <f>(Résultats!AC$159+Résultats!AC$160+Résultats!AC$161)/1000000</f>
        <v>13.558315256999999</v>
      </c>
      <c r="E54" s="198">
        <f>(Résultats!AC$106+ Résultats!AC$163+Résultats!AC$164+Résultats!AC$165+Résultats!AC$166+Résultats!AC$167+Résultats!AC$168+Résultats!AC$169+Résultats!AC$170+Résultats!AC$171+Résultats!AC$172+Résultats!AC$173+Résultats!AC$174+Résultats!AC$175+Résultats!AC$176+Résultats!AC$177+Résultats!AC$178+Résultats!AC$179+Résultats!AC$180+Résultats!AC$181+Résultats!AC$182+Résultats!AC$183+Résultats!AC$185)/1000000</f>
        <v>59.880158278343458</v>
      </c>
      <c r="F54" s="198">
        <f>Résultats!AC$100/1000000</f>
        <v>13.422702109999999</v>
      </c>
      <c r="G54" s="199">
        <f t="shared" si="5"/>
        <v>282.00311978479641</v>
      </c>
      <c r="H54" s="3"/>
      <c r="I54" s="200"/>
      <c r="J54" s="51"/>
      <c r="K54" s="51"/>
      <c r="L54" s="51"/>
      <c r="M54" s="46"/>
      <c r="O54" s="51"/>
      <c r="P54" s="51"/>
      <c r="Q54" s="51"/>
      <c r="R54" s="51"/>
      <c r="S54" s="46"/>
      <c r="T54" s="46"/>
      <c r="X54" s="52"/>
      <c r="Y54" s="52"/>
      <c r="Z54" s="52"/>
      <c r="AA54" s="52"/>
      <c r="AB54" s="52"/>
    </row>
    <row r="55" spans="1:28" x14ac:dyDescent="0.25">
      <c r="A55" s="195"/>
      <c r="B55" s="196"/>
      <c r="C55" s="196">
        <f>Résultats!AC$104/1000000-C46-C48</f>
        <v>4.7192260000009867E-2</v>
      </c>
      <c r="D55" s="196"/>
      <c r="E55" s="196"/>
      <c r="F55" s="196"/>
      <c r="G55" s="197">
        <f>Résultats!AC$194/1000000</f>
        <v>282.00311930000004</v>
      </c>
      <c r="H55" s="3"/>
      <c r="I55" s="200"/>
      <c r="J55" s="51"/>
      <c r="K55" s="51"/>
      <c r="L55" s="51"/>
      <c r="M55" s="46"/>
      <c r="O55" s="51"/>
      <c r="P55" s="51"/>
      <c r="Q55" s="51"/>
      <c r="R55" s="51"/>
      <c r="S55" s="46"/>
      <c r="T55" s="46"/>
      <c r="W55" s="48"/>
      <c r="X55" s="52"/>
      <c r="Y55" s="52"/>
      <c r="Z55" s="52"/>
      <c r="AA55" s="52"/>
      <c r="AB55" s="52"/>
    </row>
    <row r="56" spans="1:28" x14ac:dyDescent="0.25">
      <c r="A56" s="3"/>
      <c r="B56" s="62"/>
      <c r="C56" s="62"/>
      <c r="D56" s="62"/>
      <c r="E56" s="62"/>
      <c r="F56" s="62"/>
      <c r="G56" s="3"/>
      <c r="H56" s="3"/>
      <c r="I56" s="200"/>
      <c r="J56" s="51"/>
      <c r="K56" s="51"/>
      <c r="L56" s="51"/>
      <c r="M56" s="46"/>
      <c r="O56" s="51"/>
      <c r="P56" s="51"/>
      <c r="Q56" s="51"/>
      <c r="R56" s="51"/>
      <c r="S56" s="46"/>
      <c r="T56" s="46"/>
      <c r="W56" s="49"/>
      <c r="X56" s="52"/>
      <c r="Y56" s="52"/>
      <c r="Z56" s="52"/>
      <c r="AA56" s="52"/>
      <c r="AB56" s="52"/>
    </row>
    <row r="57" spans="1:28" ht="21" x14ac:dyDescent="0.35">
      <c r="A57" s="171">
        <v>2035</v>
      </c>
      <c r="B57" s="4" t="s">
        <v>36</v>
      </c>
      <c r="C57" s="4" t="s">
        <v>37</v>
      </c>
      <c r="D57" s="4" t="s">
        <v>38</v>
      </c>
      <c r="E57" s="4" t="s">
        <v>39</v>
      </c>
      <c r="F57" s="4" t="s">
        <v>40</v>
      </c>
      <c r="G57" s="116" t="s">
        <v>1</v>
      </c>
      <c r="H57" s="3"/>
      <c r="I57" s="25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W57" s="44"/>
      <c r="X57" s="44"/>
      <c r="Y57" s="44"/>
      <c r="Z57" s="44"/>
      <c r="AA57" s="44"/>
      <c r="AB57" s="52"/>
    </row>
    <row r="58" spans="1:28" x14ac:dyDescent="0.25">
      <c r="A58" s="192" t="s">
        <v>18</v>
      </c>
      <c r="B58" s="57">
        <f>B59+B60</f>
        <v>0</v>
      </c>
      <c r="C58" s="57">
        <f>C59+C60</f>
        <v>105.237873498</v>
      </c>
      <c r="D58" s="57">
        <f>D59+D60</f>
        <v>0.84866402467123359</v>
      </c>
      <c r="E58" s="57">
        <f>E59+E60</f>
        <v>3.13669820985361</v>
      </c>
      <c r="F58" s="57">
        <f>F59+F60</f>
        <v>0</v>
      </c>
      <c r="G58" s="193">
        <f t="shared" ref="G58:G67" si="6">SUM(B58:F58)</f>
        <v>109.22323573252484</v>
      </c>
      <c r="H58" s="3"/>
      <c r="I58" s="200"/>
      <c r="J58" s="51"/>
      <c r="K58" s="51"/>
      <c r="L58" s="51"/>
      <c r="M58" s="51"/>
      <c r="N58" s="53"/>
      <c r="O58" s="51"/>
      <c r="P58" s="51"/>
      <c r="Q58" s="51"/>
      <c r="R58" s="51"/>
      <c r="S58" s="51"/>
      <c r="T58" s="46"/>
      <c r="U58" s="34"/>
      <c r="W58" s="45"/>
      <c r="X58" s="52"/>
      <c r="Y58" s="52"/>
      <c r="Z58" s="52"/>
      <c r="AA58" s="52"/>
      <c r="AB58" s="52"/>
    </row>
    <row r="59" spans="1:28" x14ac:dyDescent="0.25">
      <c r="A59" s="174" t="s">
        <v>19</v>
      </c>
      <c r="B59" s="19">
        <v>0</v>
      </c>
      <c r="C59" s="19">
        <f>Résultats!AH$256/1000000</f>
        <v>54.524531619999998</v>
      </c>
      <c r="D59" s="19">
        <f>'T energie usages'!J64/'T energie usages'!J$20*(Résultats!AH$159+Résultats!AH$60+Résultats!AH$161)/1000000</f>
        <v>3.2559341748922561E-2</v>
      </c>
      <c r="E59" s="19">
        <f>Résultats!AH$257/1000000</f>
        <v>6.233558361E-5</v>
      </c>
      <c r="F59" s="19">
        <v>0</v>
      </c>
      <c r="G59" s="118">
        <f t="shared" si="6"/>
        <v>54.557153297332526</v>
      </c>
      <c r="H59" s="3"/>
      <c r="I59" s="200"/>
      <c r="J59" s="51"/>
      <c r="K59" s="51"/>
      <c r="L59" s="51"/>
      <c r="M59" s="51"/>
      <c r="N59" s="53"/>
      <c r="O59" s="51"/>
      <c r="P59" s="51"/>
      <c r="Q59" s="51"/>
      <c r="R59" s="51"/>
      <c r="S59" s="51"/>
      <c r="T59" s="46"/>
      <c r="U59" s="42"/>
      <c r="W59" s="41"/>
      <c r="X59" s="52"/>
      <c r="Y59" s="52"/>
      <c r="Z59" s="52"/>
      <c r="AA59" s="52"/>
      <c r="AB59" s="52"/>
    </row>
    <row r="60" spans="1:28" x14ac:dyDescent="0.25">
      <c r="A60" s="175" t="s">
        <v>20</v>
      </c>
      <c r="B60" s="19">
        <v>0</v>
      </c>
      <c r="C60" s="19">
        <f>(Résultats!AH$150+Résultats!AH$151+Résultats!AH$152+Résultats!AH$153+Résultats!AH$154)/1000000</f>
        <v>50.713341878000001</v>
      </c>
      <c r="D60" s="19">
        <f>'T energie usages'!J65/'T energie usages'!J$20*(Résultats!AH$159+Résultats!AH$160+Résultats!AH$161)/1000000</f>
        <v>0.81610468292231098</v>
      </c>
      <c r="E60" s="19">
        <f>(Résultats!AH$176+Résultats!AH$177+Résultats!AH$178+Résultats!AH$179+Résultats!AH$180)/1000000</f>
        <v>3.13663587427</v>
      </c>
      <c r="F60" s="19">
        <v>0</v>
      </c>
      <c r="G60" s="118">
        <f t="shared" si="6"/>
        <v>54.666082435192308</v>
      </c>
      <c r="H60" s="3"/>
      <c r="I60" s="200"/>
      <c r="J60" s="51"/>
      <c r="K60" s="51"/>
      <c r="L60" s="51"/>
      <c r="M60" s="51"/>
      <c r="N60" s="53"/>
      <c r="O60" s="51"/>
      <c r="P60" s="51"/>
      <c r="Q60" s="51"/>
      <c r="R60" s="51"/>
      <c r="S60" s="51"/>
      <c r="T60" s="46"/>
      <c r="U60" s="42"/>
      <c r="W60" s="41"/>
      <c r="X60" s="52"/>
      <c r="Y60" s="52"/>
      <c r="Z60" s="52"/>
      <c r="AA60" s="52"/>
      <c r="AB60" s="52"/>
    </row>
    <row r="61" spans="1:28" x14ac:dyDescent="0.25">
      <c r="A61" s="192" t="s">
        <v>21</v>
      </c>
      <c r="B61" s="57">
        <f>Résultats!AH$102/1000000</f>
        <v>0.84065725199999997</v>
      </c>
      <c r="C61" s="57">
        <f>Résultats!AH$254/1000000</f>
        <v>18.563530649999997</v>
      </c>
      <c r="D61" s="57">
        <f>'T energie usages'!J66/'T energie usages'!J$20*(Résultats!AH$159+Résultats!AH$160+Résultats!AH$161)/1000000</f>
        <v>5.4843448217190529</v>
      </c>
      <c r="E61" s="57">
        <f>Résultats!AH$255/1000000</f>
        <v>24.303908510000003</v>
      </c>
      <c r="F61" s="57">
        <v>0</v>
      </c>
      <c r="G61" s="193">
        <f t="shared" si="6"/>
        <v>49.192441233719052</v>
      </c>
      <c r="H61" s="3"/>
      <c r="I61" s="200"/>
      <c r="J61" s="51"/>
      <c r="K61" s="51"/>
      <c r="L61" s="51"/>
      <c r="M61" s="51"/>
      <c r="N61" s="53"/>
      <c r="O61" s="51"/>
      <c r="P61" s="51"/>
      <c r="Q61" s="51"/>
      <c r="R61" s="51"/>
      <c r="S61" s="51"/>
      <c r="T61" s="46"/>
      <c r="U61" s="34"/>
      <c r="W61" s="45"/>
      <c r="X61" s="52"/>
      <c r="Y61" s="52"/>
      <c r="Z61" s="52"/>
      <c r="AA61" s="52"/>
      <c r="AB61" s="52"/>
    </row>
    <row r="62" spans="1:28" x14ac:dyDescent="0.25">
      <c r="A62" s="192" t="s">
        <v>22</v>
      </c>
      <c r="B62" s="57">
        <f>(Résultats!AH$135+Résultats!AH$136)/1000000</f>
        <v>0</v>
      </c>
      <c r="C62" s="57">
        <f>(Résultats!AH$155+Résultats!AH$156)/1000000</f>
        <v>5.8551700242999996</v>
      </c>
      <c r="D62" s="57">
        <f>'T energie usages'!J67/'T energie usages'!J$20*(Résultats!AH$159+Résultats!AH$160+Résultats!AH$161)/1000000</f>
        <v>4.173406434508605</v>
      </c>
      <c r="E62" s="57">
        <f>(Résultats!AH$181+Résultats!AH$182)/1000000</f>
        <v>10.953291177999999</v>
      </c>
      <c r="F62" s="57">
        <v>0</v>
      </c>
      <c r="G62" s="193">
        <f t="shared" si="6"/>
        <v>20.981867636808602</v>
      </c>
      <c r="H62" s="3"/>
      <c r="I62" s="200"/>
      <c r="J62" s="51"/>
      <c r="K62" s="51"/>
      <c r="L62" s="51"/>
      <c r="M62" s="51"/>
      <c r="N62" s="53"/>
      <c r="O62" s="51"/>
      <c r="P62" s="51"/>
      <c r="Q62" s="51"/>
      <c r="R62" s="51"/>
      <c r="S62" s="51"/>
      <c r="T62" s="46"/>
      <c r="U62" s="34"/>
      <c r="W62" s="45"/>
      <c r="X62" s="52"/>
      <c r="Y62" s="52"/>
      <c r="Z62" s="52"/>
      <c r="AA62" s="52"/>
      <c r="AB62" s="52"/>
    </row>
    <row r="63" spans="1:28" x14ac:dyDescent="0.25">
      <c r="A63" s="192" t="s">
        <v>23</v>
      </c>
      <c r="B63" s="57">
        <f>B64+B65</f>
        <v>10.603218015099998</v>
      </c>
      <c r="C63" s="57">
        <f>C64+C65</f>
        <v>48.465521814009954</v>
      </c>
      <c r="D63" s="57">
        <f>D64+D65</f>
        <v>3.7474261761201406</v>
      </c>
      <c r="E63" s="57">
        <f>E64+E65</f>
        <v>22.720013701664378</v>
      </c>
      <c r="F63" s="57">
        <f>F64+F65</f>
        <v>13.756732980000001</v>
      </c>
      <c r="G63" s="193">
        <f t="shared" si="6"/>
        <v>99.292912686894468</v>
      </c>
      <c r="H63" s="3"/>
      <c r="I63" s="200"/>
      <c r="J63" s="51"/>
      <c r="K63" s="51"/>
      <c r="L63" s="51"/>
      <c r="M63" s="51"/>
      <c r="N63" s="53"/>
      <c r="O63" s="51"/>
      <c r="P63" s="51"/>
      <c r="Q63" s="51"/>
      <c r="R63" s="51"/>
      <c r="S63" s="51"/>
      <c r="T63" s="46"/>
      <c r="U63" s="34"/>
      <c r="W63" s="45"/>
      <c r="X63" s="52"/>
      <c r="Y63" s="52"/>
      <c r="Z63" s="52"/>
      <c r="AA63" s="52"/>
      <c r="AB63" s="52"/>
    </row>
    <row r="64" spans="1:28" x14ac:dyDescent="0.25">
      <c r="A64" s="175" t="s">
        <v>24</v>
      </c>
      <c r="B64" s="19">
        <f>(Résultats!AH$129+Résultats!AH$130+Résultats!AH$131+Résultats!AH$132+Résultats!AH$133+Résultats!AH$134)/1000000</f>
        <v>10.603218015099998</v>
      </c>
      <c r="C64" s="19">
        <f>(Résultats!AH$138+Résultats!AH$140+Résultats!AH$141+Résultats!AH$142+Résultats!AH$143+Résultats!AH$144+Résultats!AH$145+Résultats!AH$146+Résultats!AH$147+Résultats!AH$148+Résultats!AH$149)/1000000</f>
        <v>39.637981908009955</v>
      </c>
      <c r="D64" s="19">
        <f>'T energie usages'!J69/'T energie usages'!J$20*(Résultats!AH$159+Résultats!AH$160+Résultats!AH$161)/1000000</f>
        <v>3.6250245222144164</v>
      </c>
      <c r="E64" s="19">
        <f>(Résultats!AH$164+Résultats!AH$165+Résultats!AH$166+Résultats!AH$167+Résultats!AH$168+Résultats!AH$169+Résultats!AH$170+Résultats!AH$171+Résultats!AH$172+Résultats!AH$173+Résultats!AH$174+Résultats!AH$175+Résultats!AH$183+Résultats!AH$185)/1000000</f>
        <v>22.086204778864378</v>
      </c>
      <c r="F64" s="19">
        <f>Résultats!AH$100/1000000</f>
        <v>13.756732980000001</v>
      </c>
      <c r="G64" s="118">
        <f t="shared" si="6"/>
        <v>89.709162204188743</v>
      </c>
      <c r="H64" s="3"/>
      <c r="I64" s="200"/>
      <c r="K64" s="51"/>
      <c r="L64" s="51"/>
      <c r="M64" s="51"/>
      <c r="N64" s="53"/>
      <c r="O64" s="51"/>
      <c r="P64" s="51"/>
      <c r="Q64" s="51"/>
      <c r="R64" s="51"/>
      <c r="S64" s="51"/>
      <c r="T64" s="46"/>
      <c r="U64" s="42"/>
      <c r="W64" s="41"/>
      <c r="X64" s="52"/>
      <c r="Y64" s="52"/>
      <c r="Z64" s="52"/>
      <c r="AA64" s="52"/>
      <c r="AB64" s="52"/>
    </row>
    <row r="65" spans="1:28" x14ac:dyDescent="0.25">
      <c r="A65" s="175" t="s">
        <v>25</v>
      </c>
      <c r="B65" s="19">
        <v>0</v>
      </c>
      <c r="C65" s="19">
        <f>(Résultats!AH$139)/1000000</f>
        <v>8.8275399060000002</v>
      </c>
      <c r="D65" s="19">
        <f>'T energie usages'!J71/'T energie usages'!J$20*(Résultats!AH$159+Résultats!AH$160+Résultats!AH$161)/1000000</f>
        <v>0.12240165390572436</v>
      </c>
      <c r="E65" s="19">
        <f>(Résultats!AH$163)/1000000</f>
        <v>0.6338089227999999</v>
      </c>
      <c r="F65" s="19">
        <v>0</v>
      </c>
      <c r="G65" s="118">
        <f t="shared" si="6"/>
        <v>9.5837504827057245</v>
      </c>
      <c r="H65" s="3"/>
      <c r="I65" s="200"/>
      <c r="K65" s="51"/>
      <c r="L65" s="51"/>
      <c r="M65" s="51"/>
      <c r="N65" s="53"/>
      <c r="O65" s="51"/>
      <c r="P65" s="51"/>
      <c r="Q65" s="51"/>
      <c r="R65" s="51"/>
      <c r="S65" s="51"/>
      <c r="T65" s="46"/>
      <c r="U65" s="42"/>
      <c r="W65" s="41"/>
      <c r="X65" s="52"/>
      <c r="Y65" s="52"/>
      <c r="Z65" s="52"/>
      <c r="AA65" s="52"/>
      <c r="AB65" s="52"/>
    </row>
    <row r="66" spans="1:28" x14ac:dyDescent="0.25">
      <c r="A66" s="70" t="s">
        <v>41</v>
      </c>
      <c r="B66" s="58">
        <f>SUM(B61:B63)+B58</f>
        <v>11.443875267099997</v>
      </c>
      <c r="C66" s="58">
        <f>SUM(C61:C63)+C58</f>
        <v>178.12209598630994</v>
      </c>
      <c r="D66" s="58">
        <f>SUM(D61:D63)+D58</f>
        <v>14.253841457019032</v>
      </c>
      <c r="E66" s="58">
        <f>SUM(E61:E63)+E58</f>
        <v>61.113911599517991</v>
      </c>
      <c r="F66" s="58">
        <f>SUM(F61:F63)+F58</f>
        <v>13.756732980000001</v>
      </c>
      <c r="G66" s="194">
        <f t="shared" si="6"/>
        <v>278.69045728994695</v>
      </c>
      <c r="H66" s="3"/>
      <c r="I66" s="103"/>
      <c r="J66" s="98"/>
      <c r="K66" s="51"/>
      <c r="L66" s="51"/>
      <c r="M66" s="51"/>
      <c r="N66" s="53"/>
      <c r="O66" s="51"/>
      <c r="P66" s="51"/>
      <c r="Q66" s="51"/>
      <c r="R66" s="51"/>
      <c r="S66" s="51"/>
      <c r="T66" s="46"/>
      <c r="U66" s="48"/>
      <c r="W66" s="47"/>
      <c r="X66" s="52"/>
      <c r="Y66" s="52"/>
      <c r="Z66" s="52"/>
      <c r="AA66" s="52"/>
      <c r="AB66" s="52"/>
    </row>
    <row r="67" spans="1:28" x14ac:dyDescent="0.25">
      <c r="A67" s="195" t="s">
        <v>43</v>
      </c>
      <c r="B67" s="198">
        <f>(Résultats!AH$102+Résultats!AH$129+Résultats!AH$130+Résultats!AH$131+Résultats!AH$132+Résultats!AH$133+Résultats!AH$134+Résultats!AH$135+Résultats!AH$136)/1000000</f>
        <v>11.443875267099999</v>
      </c>
      <c r="C67" s="198">
        <f>(Résultats!AH$104+Résultats!AH$138+Résultats!AH$139+Résultats!AH$140+Résultats!AH$141+Résultats!AH$142+Résultats!AH$143+Résultats!AH$144+Résultats!AH$145+Résultats!AH$146+Résultats!AH$147+Résultats!AH$148+Résultats!AH$149+Résultats!AH$150+Résultats!AH$151+Résultats!AH$152+Résultats!AH$153+Résultats!AH$154+Résultats!AH$155+Résultats!AH$156)/1000000</f>
        <v>178.16626322630995</v>
      </c>
      <c r="D67" s="198">
        <f>(Résultats!AH$159+Résultats!AH$160+Résultats!AH$161)/1000000</f>
        <v>13.979242031</v>
      </c>
      <c r="E67" s="198">
        <f>(Résultats!AH$106+ Résultats!AH$163+Résultats!AH$164+Résultats!AH$165+Résultats!AH$166+Résultats!AH$167+Résultats!AH$168+Résultats!AH$169+Résultats!AH$170+Résultats!AH$171+Résultats!AH$172+Résultats!AH$173+Résultats!AH$174+Résultats!AH$175+Résultats!AH$176+Résultats!AH$177+Résultats!AH$178+Résultats!AH$179+Résultats!AH$180+Résultats!AH$181+Résultats!AH$182+Résultats!AH$183+Résultats!AH$185)/1000000</f>
        <v>61.713275733934374</v>
      </c>
      <c r="F67" s="198">
        <f>Résultats!AH$100/1000000</f>
        <v>13.756732980000001</v>
      </c>
      <c r="G67" s="199">
        <f t="shared" si="6"/>
        <v>279.05938923834429</v>
      </c>
      <c r="H67" s="3"/>
      <c r="I67" s="67"/>
      <c r="K67" s="24"/>
      <c r="L67" s="51"/>
    </row>
    <row r="68" spans="1:28" x14ac:dyDescent="0.25">
      <c r="A68" s="195"/>
      <c r="B68" s="196"/>
      <c r="C68" s="196">
        <f>Résultats!AH$104/1000000-C59-C61</f>
        <v>4.4167240000007268E-2</v>
      </c>
      <c r="D68" s="196"/>
      <c r="E68" s="196"/>
      <c r="F68" s="196"/>
      <c r="G68" s="197">
        <f>Résultats!AH$194/1000000</f>
        <v>279.05938880000002</v>
      </c>
      <c r="H68" s="3"/>
      <c r="I68" s="67"/>
      <c r="K68" s="24"/>
      <c r="L68" s="51"/>
    </row>
    <row r="69" spans="1:28" x14ac:dyDescent="0.25">
      <c r="A69" s="3"/>
      <c r="B69" s="3"/>
      <c r="C69" s="3"/>
      <c r="D69" s="3"/>
      <c r="E69" s="3"/>
      <c r="F69" s="3"/>
      <c r="G69" s="3"/>
      <c r="H69" s="3"/>
      <c r="I69" s="67"/>
      <c r="K69" s="24"/>
      <c r="L69" s="51"/>
    </row>
    <row r="70" spans="1:28" ht="21" x14ac:dyDescent="0.35">
      <c r="A70" s="171">
        <v>2050</v>
      </c>
      <c r="B70" s="4" t="s">
        <v>36</v>
      </c>
      <c r="C70" s="4" t="s">
        <v>37</v>
      </c>
      <c r="D70" s="4" t="s">
        <v>38</v>
      </c>
      <c r="E70" s="4" t="s">
        <v>39</v>
      </c>
      <c r="F70" s="4" t="s">
        <v>40</v>
      </c>
      <c r="G70" s="116" t="s">
        <v>1</v>
      </c>
      <c r="H70" s="3"/>
      <c r="I70" s="3"/>
    </row>
    <row r="71" spans="1:28" x14ac:dyDescent="0.25">
      <c r="A71" s="192" t="s">
        <v>18</v>
      </c>
      <c r="B71" s="57">
        <f>B72+B73</f>
        <v>0</v>
      </c>
      <c r="C71" s="57">
        <f>C72+C73</f>
        <v>90.339394515000009</v>
      </c>
      <c r="D71" s="57">
        <f>D72+D73</f>
        <v>1.2297786602500802</v>
      </c>
      <c r="E71" s="57">
        <f>E72+E73</f>
        <v>4.9280247702195492</v>
      </c>
      <c r="F71" s="57">
        <f>F72+F73</f>
        <v>0</v>
      </c>
      <c r="G71" s="193">
        <f t="shared" ref="G71:G80" si="7">SUM(B71:F71)</f>
        <v>96.497197945469637</v>
      </c>
      <c r="H71" s="3"/>
      <c r="I71" s="3"/>
    </row>
    <row r="72" spans="1:28" x14ac:dyDescent="0.25">
      <c r="A72" s="174" t="s">
        <v>19</v>
      </c>
      <c r="B72" s="19">
        <v>0</v>
      </c>
      <c r="C72" s="19">
        <f>Résultats!AW$256/1000000</f>
        <v>38.393320689999996</v>
      </c>
      <c r="D72" s="19">
        <f>'T energie usages'!J77/'T energie usages'!J$20*(Résultats!AW$159+Résultats!AW$60+Résultats!AW$161)/1000000</f>
        <v>9.0997893571133304E-2</v>
      </c>
      <c r="E72" s="19">
        <f>Résultats!AW$257/1000000</f>
        <v>9.2628569549999998E-5</v>
      </c>
      <c r="F72" s="19">
        <v>0</v>
      </c>
      <c r="G72" s="118">
        <f t="shared" si="7"/>
        <v>38.484411212140678</v>
      </c>
      <c r="H72" s="3"/>
      <c r="I72" s="3"/>
    </row>
    <row r="73" spans="1:28" x14ac:dyDescent="0.25">
      <c r="A73" s="175" t="s">
        <v>20</v>
      </c>
      <c r="B73" s="19">
        <v>0</v>
      </c>
      <c r="C73" s="19">
        <f>(Résultats!AW$150+Résultats!AW$151+Résultats!AW$152+Résultats!AW$153+Résultats!AW$154)/1000000</f>
        <v>51.946073825000006</v>
      </c>
      <c r="D73" s="19">
        <f>'T energie usages'!J78/'T energie usages'!J$20*(Résultats!AW$159+Résultats!AW$160+Résultats!AW$161)/1000000</f>
        <v>1.1387807666789469</v>
      </c>
      <c r="E73" s="19">
        <f>(Résultats!AW$176+Résultats!AW$177+Résultats!AW$178+Résultats!AW$179+Résultats!AW$180)/1000000</f>
        <v>4.9279321416499995</v>
      </c>
      <c r="F73" s="19">
        <v>0</v>
      </c>
      <c r="G73" s="118">
        <f t="shared" si="7"/>
        <v>58.012786733328952</v>
      </c>
      <c r="H73" s="3"/>
      <c r="I73" s="3"/>
    </row>
    <row r="74" spans="1:28" x14ac:dyDescent="0.25">
      <c r="A74" s="192" t="s">
        <v>21</v>
      </c>
      <c r="B74" s="57">
        <f>Résultats!AW$102/1000000</f>
        <v>0.69327505570000003</v>
      </c>
      <c r="C74" s="57">
        <f>Résultats!AW$254/1000000</f>
        <v>16.824662629999999</v>
      </c>
      <c r="D74" s="57">
        <f>'T energie usages'!J79/'T energie usages'!J$20*(Résultats!AW$159+Résultats!AW$160+Résultats!AW$161)/1000000</f>
        <v>6.2066507446274573</v>
      </c>
      <c r="E74" s="57">
        <f>Résultats!AW$255/1000000</f>
        <v>23.086692510000002</v>
      </c>
      <c r="F74" s="57">
        <v>0</v>
      </c>
      <c r="G74" s="193">
        <f t="shared" si="7"/>
        <v>46.811280940327457</v>
      </c>
      <c r="H74" s="3"/>
      <c r="I74" s="3"/>
    </row>
    <row r="75" spans="1:28" x14ac:dyDescent="0.25">
      <c r="A75" s="192" t="s">
        <v>22</v>
      </c>
      <c r="B75" s="57">
        <f>(Résultats!AW$135+Résultats!AW$136)/1000000</f>
        <v>0</v>
      </c>
      <c r="C75" s="57">
        <f>(Résultats!AW$155+Résultats!AW$156)/1000000</f>
        <v>5.4094301293999996</v>
      </c>
      <c r="D75" s="57">
        <f>'T energie usages'!J80/'T energie usages'!J$20*(Résultats!AW$159+Résultats!AW$160+Résultats!AW$161)/1000000</f>
        <v>4.7410560341419368</v>
      </c>
      <c r="E75" s="57">
        <f>(Résultats!AW$181+Résultats!AW$182)/1000000</f>
        <v>8.7337025409999995</v>
      </c>
      <c r="F75" s="57">
        <v>0</v>
      </c>
      <c r="G75" s="193">
        <f t="shared" si="7"/>
        <v>18.884188704541934</v>
      </c>
      <c r="H75" s="3"/>
      <c r="I75" s="3"/>
    </row>
    <row r="76" spans="1:28" x14ac:dyDescent="0.25">
      <c r="A76" s="192" t="s">
        <v>23</v>
      </c>
      <c r="B76" s="57">
        <f>B77+B78</f>
        <v>11.704825079800001</v>
      </c>
      <c r="C76" s="57">
        <f>C77+C78</f>
        <v>52.459277316470178</v>
      </c>
      <c r="D76" s="57">
        <f>D77+D78</f>
        <v>4.1189627282281762</v>
      </c>
      <c r="E76" s="57">
        <f>E77+E78</f>
        <v>23.911109187264888</v>
      </c>
      <c r="F76" s="57">
        <f>F77+F78</f>
        <v>15.34555795</v>
      </c>
      <c r="G76" s="193">
        <f t="shared" si="7"/>
        <v>107.53973226176325</v>
      </c>
      <c r="H76" s="3"/>
      <c r="I76" s="3"/>
    </row>
    <row r="77" spans="1:28" x14ac:dyDescent="0.25">
      <c r="A77" s="175" t="s">
        <v>24</v>
      </c>
      <c r="B77" s="19">
        <f>(Résultats!AW$129+Résultats!AW$130+Résultats!AW$131+Résultats!AW$132+Résultats!AW$133+Résultats!AW$134)/1000000</f>
        <v>11.704825079800001</v>
      </c>
      <c r="C77" s="19">
        <f>(Résultats!AW$138+Résultats!AW$140+Résultats!AW$141+Résultats!AW$142+Résultats!AW$143+Résultats!AW$144+Résultats!AW$145+Résultats!AW$146+Résultats!AW$147+Résultats!AW$148+Résultats!AW$149)/1000000</f>
        <v>41.839443506470175</v>
      </c>
      <c r="D77" s="19">
        <f>'T energie usages'!J82/'T energie usages'!J$20*(Résultats!AW$159+Résultats!AW$160+Résultats!AW$161)/1000000</f>
        <v>3.9804284389036866</v>
      </c>
      <c r="E77" s="19">
        <f>(Résultats!AW$164+Résultats!AW$165+Résultats!AW$166+Résultats!AW$167+Résultats!AW$168+Résultats!AW$169+Résultats!AW$170+Résultats!AW$171+Résultats!AW$172+Résultats!AW$173+Résultats!AW$174+Résultats!AW$175+Résultats!AW$183+Résultats!AW$185)/1000000</f>
        <v>23.172795932864886</v>
      </c>
      <c r="F77" s="19">
        <f>Résultats!AW$100/1000000</f>
        <v>15.34555795</v>
      </c>
      <c r="G77" s="118">
        <f t="shared" si="7"/>
        <v>96.043050908038751</v>
      </c>
      <c r="H77" s="3"/>
      <c r="I77" s="3"/>
    </row>
    <row r="78" spans="1:28" x14ac:dyDescent="0.25">
      <c r="A78" s="175" t="s">
        <v>25</v>
      </c>
      <c r="B78" s="19">
        <v>0</v>
      </c>
      <c r="C78" s="19">
        <f>(Résultats!AW$139)/1000000</f>
        <v>10.619833810000001</v>
      </c>
      <c r="D78" s="19">
        <f>'T energie usages'!J84/'T energie usages'!J$20*(Résultats!AW$159+Résultats!AW$160+Résultats!AW$161)/1000000</f>
        <v>0.13853428932448963</v>
      </c>
      <c r="E78" s="19">
        <f>(Résultats!AW$163)/1000000</f>
        <v>0.73831325439999995</v>
      </c>
      <c r="F78" s="19">
        <v>0</v>
      </c>
      <c r="G78" s="118">
        <f t="shared" si="7"/>
        <v>11.49668135372449</v>
      </c>
      <c r="H78" s="3"/>
      <c r="I78" s="3"/>
    </row>
    <row r="79" spans="1:28" x14ac:dyDescent="0.25">
      <c r="A79" s="70" t="s">
        <v>41</v>
      </c>
      <c r="B79" s="58">
        <f>SUM(B74:B76)+B71</f>
        <v>12.398100135500002</v>
      </c>
      <c r="C79" s="58">
        <f>SUM(C74:C76)+C71</f>
        <v>165.03276459087019</v>
      </c>
      <c r="D79" s="58">
        <f>SUM(D74:D76)+D71</f>
        <v>16.29644816724765</v>
      </c>
      <c r="E79" s="58">
        <f>SUM(E74:E76)+E71</f>
        <v>60.659529008484441</v>
      </c>
      <c r="F79" s="58">
        <f>SUM(F74:F76)+F71</f>
        <v>15.34555795</v>
      </c>
      <c r="G79" s="194">
        <f t="shared" si="7"/>
        <v>269.73239985210228</v>
      </c>
      <c r="H79" s="3"/>
      <c r="I79" s="3"/>
    </row>
    <row r="80" spans="1:28" x14ac:dyDescent="0.25">
      <c r="A80" s="195" t="s">
        <v>43</v>
      </c>
      <c r="B80" s="198">
        <f>(Résultats!AW$102+Résultats!AW$129+Résultats!AW$130+Résultats!AW$131+Résultats!AW$132+Résultats!AW$133+Résultats!AW$134+Résultats!AW$135+Résultats!AW$136)/1000000</f>
        <v>12.3981001355</v>
      </c>
      <c r="C80" s="198">
        <f>(Résultats!AW$104+Résultats!AW$138+Résultats!AW$139+Résultats!AW$140+Résultats!AW$141+Résultats!AW$142+Résultats!AW$143+Résultats!AW$144+Résultats!AW$145+Résultats!AW$146+Résultats!AW$147+Résultats!AW$148+Résultats!AW$149+Résultats!AW$150+Résultats!AW$151+Résultats!AW$152+Résultats!AW$153+Résultats!AW$154+Résultats!AW$155+Résultats!AW$156)/1000000</f>
        <v>165.06613292087016</v>
      </c>
      <c r="D80" s="198">
        <f>(Résultats!AW$159+Résultats!AW$160+Résultats!AW$161)/1000000</f>
        <v>14.877159406999999</v>
      </c>
      <c r="E80" s="198">
        <f>(Résultats!AW$106+ Résultats!AW$163+Résultats!AW$164+Résultats!AW$165+Résultats!AW$166+Résultats!AW$167+Résultats!AW$168+Résultats!AW$169+Résultats!AW$170+Résultats!AW$171+Résultats!AW$172+Résultats!AW$173+Résultats!AW$174+Résultats!AW$175+Résultats!AW$176+Résultats!AW$177+Résultats!AW$178+Résultats!AW$179+Résultats!AW$180+Résultats!AW$181+Résultats!AW$182+Résultats!AW$183+Résultats!AW$185)/1000000</f>
        <v>61.228875929914885</v>
      </c>
      <c r="F80" s="198">
        <f>Résultats!AW$100/1000000</f>
        <v>15.34555795</v>
      </c>
      <c r="G80" s="199">
        <f t="shared" si="7"/>
        <v>268.91582634328506</v>
      </c>
      <c r="H80" s="3"/>
      <c r="I80" s="69"/>
    </row>
    <row r="81" spans="1:9" x14ac:dyDescent="0.25">
      <c r="A81" s="195"/>
      <c r="B81" s="196"/>
      <c r="C81" s="196">
        <f>Résultats!AW$104/1000000-C72-C74</f>
        <v>3.3368330000001833E-2</v>
      </c>
      <c r="D81" s="196"/>
      <c r="E81" s="196"/>
      <c r="F81" s="196"/>
      <c r="G81" s="197">
        <f>Résultats!AW$194/1000000</f>
        <v>268.91582599999998</v>
      </c>
      <c r="H81" s="3"/>
      <c r="I81" s="3"/>
    </row>
    <row r="82" spans="1:9" x14ac:dyDescent="0.25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25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25">
      <c r="F85" s="24"/>
    </row>
    <row r="86" spans="1:9" x14ac:dyDescent="0.25">
      <c r="G86" s="39"/>
    </row>
    <row r="87" spans="1:9" x14ac:dyDescent="0.25">
      <c r="B87" s="24"/>
      <c r="G87" s="39"/>
    </row>
    <row r="88" spans="1:9" x14ac:dyDescent="0.25">
      <c r="B88" s="24"/>
      <c r="G88" s="39"/>
    </row>
    <row r="89" spans="1:9" x14ac:dyDescent="0.25">
      <c r="B89" s="24"/>
      <c r="G89" s="39"/>
    </row>
    <row r="90" spans="1:9" x14ac:dyDescent="0.25">
      <c r="B90" s="24"/>
      <c r="G90" s="39"/>
    </row>
    <row r="91" spans="1:9" x14ac:dyDescent="0.25">
      <c r="B91" s="24"/>
      <c r="G91" s="39"/>
    </row>
    <row r="92" spans="1:9" x14ac:dyDescent="0.25">
      <c r="B92" s="24"/>
    </row>
    <row r="93" spans="1:9" x14ac:dyDescent="0.25">
      <c r="B93" s="24"/>
    </row>
    <row r="94" spans="1:9" x14ac:dyDescent="0.25">
      <c r="B94" s="24"/>
    </row>
    <row r="95" spans="1:9" x14ac:dyDescent="0.25">
      <c r="B95" s="24"/>
    </row>
    <row r="96" spans="1:9" x14ac:dyDescent="0.25">
      <c r="B96" s="24"/>
    </row>
    <row r="97" spans="2:4" x14ac:dyDescent="0.25">
      <c r="B97" s="24"/>
    </row>
    <row r="98" spans="2:4" x14ac:dyDescent="0.25">
      <c r="B98" s="24"/>
    </row>
    <row r="99" spans="2:4" x14ac:dyDescent="0.25">
      <c r="B99" s="24"/>
    </row>
    <row r="100" spans="2:4" x14ac:dyDescent="0.25">
      <c r="B100" s="24"/>
    </row>
    <row r="101" spans="2:4" x14ac:dyDescent="0.25">
      <c r="B101" s="24"/>
    </row>
    <row r="102" spans="2:4" x14ac:dyDescent="0.25">
      <c r="B102" s="24"/>
    </row>
    <row r="104" spans="2:4" x14ac:dyDescent="0.25">
      <c r="B104" s="24"/>
    </row>
    <row r="105" spans="2:4" x14ac:dyDescent="0.25">
      <c r="B105" s="24"/>
    </row>
    <row r="106" spans="2:4" x14ac:dyDescent="0.25">
      <c r="B106" s="24"/>
    </row>
    <row r="107" spans="2:4" x14ac:dyDescent="0.25">
      <c r="B107" s="24"/>
    </row>
    <row r="108" spans="2:4" x14ac:dyDescent="0.25">
      <c r="B108" s="24"/>
    </row>
    <row r="109" spans="2:4" x14ac:dyDescent="0.25">
      <c r="B109" s="24"/>
    </row>
    <row r="110" spans="2:4" x14ac:dyDescent="0.25">
      <c r="B110" s="24"/>
    </row>
    <row r="111" spans="2:4" x14ac:dyDescent="0.25">
      <c r="B111" s="24"/>
    </row>
    <row r="112" spans="2:4" x14ac:dyDescent="0.25">
      <c r="B112" s="24"/>
      <c r="C112" s="21"/>
      <c r="D112" s="21"/>
    </row>
    <row r="113" spans="2:2" x14ac:dyDescent="0.25">
      <c r="B113" s="24"/>
    </row>
    <row r="114" spans="2:2" x14ac:dyDescent="0.25">
      <c r="B114" s="24"/>
    </row>
    <row r="115" spans="2:2" x14ac:dyDescent="0.25">
      <c r="B115" s="24"/>
    </row>
    <row r="116" spans="2:2" x14ac:dyDescent="0.25">
      <c r="B116" s="24"/>
    </row>
    <row r="117" spans="2:2" x14ac:dyDescent="0.25">
      <c r="B117" s="24"/>
    </row>
    <row r="118" spans="2:2" x14ac:dyDescent="0.25">
      <c r="B118" s="24"/>
    </row>
    <row r="119" spans="2:2" x14ac:dyDescent="0.25">
      <c r="B119" s="24"/>
    </row>
    <row r="120" spans="2:2" x14ac:dyDescent="0.25">
      <c r="B120" s="24"/>
    </row>
    <row r="121" spans="2:2" x14ac:dyDescent="0.25">
      <c r="B121" s="24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  <pageSetUpPr fitToPage="1"/>
  </sheetPr>
  <dimension ref="A1:AN108"/>
  <sheetViews>
    <sheetView topLeftCell="AB23" zoomScale="80" zoomScaleNormal="80" workbookViewId="0">
      <selection activeCell="AM26" sqref="AM26"/>
    </sheetView>
  </sheetViews>
  <sheetFormatPr baseColWidth="10" defaultRowHeight="15" x14ac:dyDescent="0.25"/>
  <cols>
    <col min="2" max="2" width="17.140625" customWidth="1"/>
    <col min="3" max="3" width="28.140625" bestFit="1" customWidth="1"/>
    <col min="4" max="4" width="41" hidden="1" customWidth="1"/>
    <col min="5" max="8" width="20.140625" hidden="1" customWidth="1"/>
    <col min="9" max="39" width="20.140625" customWidth="1"/>
    <col min="40" max="40" width="13" customWidth="1"/>
  </cols>
  <sheetData>
    <row r="1" spans="1:39" ht="23.25" x14ac:dyDescent="0.35">
      <c r="A1" s="15" t="s">
        <v>151</v>
      </c>
      <c r="C1" s="15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23.25" x14ac:dyDescent="0.35">
      <c r="A2" s="1"/>
      <c r="C2" s="226"/>
      <c r="E2" s="234">
        <f>Résultats!E1</f>
        <v>4</v>
      </c>
      <c r="F2" s="234">
        <f>Résultats!N1</f>
        <v>13</v>
      </c>
      <c r="G2" s="234">
        <f>F2+3</f>
        <v>16</v>
      </c>
      <c r="H2" s="234">
        <f t="shared" ref="H2:AA2" si="0">G2+1</f>
        <v>17</v>
      </c>
      <c r="I2" s="234">
        <f t="shared" si="0"/>
        <v>18</v>
      </c>
      <c r="J2" s="234">
        <f t="shared" si="0"/>
        <v>19</v>
      </c>
      <c r="K2" s="234">
        <f t="shared" si="0"/>
        <v>20</v>
      </c>
      <c r="L2" s="234">
        <f t="shared" si="0"/>
        <v>21</v>
      </c>
      <c r="M2" s="234">
        <f t="shared" si="0"/>
        <v>22</v>
      </c>
      <c r="N2" s="234">
        <f t="shared" si="0"/>
        <v>23</v>
      </c>
      <c r="O2" s="234">
        <f t="shared" si="0"/>
        <v>24</v>
      </c>
      <c r="P2" s="234">
        <f t="shared" si="0"/>
        <v>25</v>
      </c>
      <c r="Q2" s="234">
        <f t="shared" si="0"/>
        <v>26</v>
      </c>
      <c r="R2" s="234">
        <f t="shared" si="0"/>
        <v>27</v>
      </c>
      <c r="S2" s="234">
        <f t="shared" si="0"/>
        <v>28</v>
      </c>
      <c r="T2" s="234">
        <f t="shared" si="0"/>
        <v>29</v>
      </c>
      <c r="U2" s="234">
        <f t="shared" si="0"/>
        <v>30</v>
      </c>
      <c r="V2" s="234">
        <f t="shared" si="0"/>
        <v>31</v>
      </c>
      <c r="W2" s="234">
        <f t="shared" si="0"/>
        <v>32</v>
      </c>
      <c r="X2" s="234">
        <f>S2+5</f>
        <v>33</v>
      </c>
      <c r="Y2" s="234">
        <f t="shared" si="0"/>
        <v>34</v>
      </c>
      <c r="Z2" s="234">
        <f t="shared" ref="Z2" si="1">U2+5</f>
        <v>35</v>
      </c>
      <c r="AA2" s="234">
        <f t="shared" si="0"/>
        <v>36</v>
      </c>
      <c r="AB2" s="234">
        <f t="shared" ref="AB2" si="2">W2+5</f>
        <v>37</v>
      </c>
      <c r="AC2" s="234">
        <f>X2+5</f>
        <v>38</v>
      </c>
      <c r="AD2" s="234">
        <f t="shared" ref="AD2:AG2" si="3">Y2+5</f>
        <v>39</v>
      </c>
      <c r="AE2" s="234">
        <f t="shared" si="3"/>
        <v>40</v>
      </c>
      <c r="AF2" s="234">
        <f t="shared" si="3"/>
        <v>41</v>
      </c>
      <c r="AG2" s="234">
        <f t="shared" si="3"/>
        <v>42</v>
      </c>
      <c r="AH2" s="234">
        <f>AC2+5</f>
        <v>43</v>
      </c>
      <c r="AI2" s="234">
        <f t="shared" ref="AI2:AL2" si="4">AD2+5</f>
        <v>44</v>
      </c>
      <c r="AJ2" s="234">
        <f t="shared" si="4"/>
        <v>45</v>
      </c>
      <c r="AK2" s="234">
        <f t="shared" si="4"/>
        <v>46</v>
      </c>
      <c r="AL2" s="234">
        <f t="shared" si="4"/>
        <v>47</v>
      </c>
      <c r="AM2" s="234">
        <f>AH2+5</f>
        <v>48</v>
      </c>
    </row>
    <row r="3" spans="1:39" ht="23.25" x14ac:dyDescent="0.35">
      <c r="B3" s="1"/>
      <c r="C3" s="225"/>
      <c r="D3" s="172"/>
      <c r="E3" s="115">
        <v>2006</v>
      </c>
      <c r="F3" s="115">
        <v>2015</v>
      </c>
      <c r="G3" s="115">
        <v>2018</v>
      </c>
      <c r="H3" s="115">
        <v>2019</v>
      </c>
      <c r="I3" s="115">
        <v>2020</v>
      </c>
      <c r="J3" s="26">
        <v>2021</v>
      </c>
      <c r="K3" s="4">
        <v>2022</v>
      </c>
      <c r="L3" s="4">
        <v>2023</v>
      </c>
      <c r="M3" s="4">
        <v>2024</v>
      </c>
      <c r="N3" s="115">
        <v>2025</v>
      </c>
      <c r="O3" s="26">
        <v>2026</v>
      </c>
      <c r="P3" s="4">
        <v>2027</v>
      </c>
      <c r="Q3" s="4">
        <v>2028</v>
      </c>
      <c r="R3" s="4">
        <v>2029</v>
      </c>
      <c r="S3" s="115">
        <v>2030</v>
      </c>
      <c r="T3" s="4">
        <v>2031</v>
      </c>
      <c r="U3" s="115">
        <v>2032</v>
      </c>
      <c r="V3" s="4">
        <v>2033</v>
      </c>
      <c r="W3" s="115">
        <v>2034</v>
      </c>
      <c r="X3" s="4">
        <v>2035</v>
      </c>
      <c r="Y3" s="115">
        <v>2036</v>
      </c>
      <c r="Z3" s="4">
        <v>2037</v>
      </c>
      <c r="AA3" s="115">
        <v>2038</v>
      </c>
      <c r="AB3" s="4">
        <v>2039</v>
      </c>
      <c r="AC3" s="116">
        <v>2040</v>
      </c>
      <c r="AD3" s="4">
        <v>2041</v>
      </c>
      <c r="AE3" s="116">
        <v>2042</v>
      </c>
      <c r="AF3" s="4">
        <v>2043</v>
      </c>
      <c r="AG3" s="116">
        <v>2044</v>
      </c>
      <c r="AH3" s="4">
        <v>2045</v>
      </c>
      <c r="AI3" s="116">
        <v>2046</v>
      </c>
      <c r="AJ3" s="4">
        <v>2047</v>
      </c>
      <c r="AK3" s="116">
        <v>2048</v>
      </c>
      <c r="AL3" s="4">
        <v>2049</v>
      </c>
      <c r="AM3" s="116">
        <v>2050</v>
      </c>
    </row>
    <row r="4" spans="1:39" x14ac:dyDescent="0.25">
      <c r="A4" s="178" t="str">
        <f>Résultats!B1</f>
        <v>TEND</v>
      </c>
      <c r="C4" s="227" t="s">
        <v>153</v>
      </c>
      <c r="D4" s="80" t="s">
        <v>45</v>
      </c>
      <c r="E4" s="81" t="e">
        <f t="shared" ref="E4:F4" si="5">E44</f>
        <v>#N/A</v>
      </c>
      <c r="F4" s="81" t="e">
        <f t="shared" si="5"/>
        <v>#N/A</v>
      </c>
      <c r="G4" s="81" t="e">
        <f>G44</f>
        <v>#N/A</v>
      </c>
      <c r="H4" s="81" t="e">
        <f t="shared" ref="H4:AM4" si="6">H44</f>
        <v>#N/A</v>
      </c>
      <c r="I4" s="81" t="e">
        <f t="shared" si="6"/>
        <v>#N/A</v>
      </c>
      <c r="J4" s="81" t="e">
        <f t="shared" si="6"/>
        <v>#N/A</v>
      </c>
      <c r="K4" s="81" t="e">
        <f t="shared" si="6"/>
        <v>#N/A</v>
      </c>
      <c r="L4" s="81" t="e">
        <f t="shared" si="6"/>
        <v>#N/A</v>
      </c>
      <c r="M4" s="81" t="e">
        <f t="shared" si="6"/>
        <v>#N/A</v>
      </c>
      <c r="N4" s="81" t="e">
        <f t="shared" si="6"/>
        <v>#N/A</v>
      </c>
      <c r="O4" s="81" t="e">
        <f t="shared" si="6"/>
        <v>#N/A</v>
      </c>
      <c r="P4" s="81" t="e">
        <f t="shared" si="6"/>
        <v>#N/A</v>
      </c>
      <c r="Q4" s="81" t="e">
        <f t="shared" si="6"/>
        <v>#N/A</v>
      </c>
      <c r="R4" s="81" t="e">
        <f t="shared" si="6"/>
        <v>#N/A</v>
      </c>
      <c r="S4" s="81" t="e">
        <f t="shared" si="6"/>
        <v>#N/A</v>
      </c>
      <c r="T4" s="81" t="e">
        <f t="shared" si="6"/>
        <v>#N/A</v>
      </c>
      <c r="U4" s="81" t="e">
        <f t="shared" si="6"/>
        <v>#N/A</v>
      </c>
      <c r="V4" s="81" t="e">
        <f t="shared" si="6"/>
        <v>#N/A</v>
      </c>
      <c r="W4" s="81" t="e">
        <f t="shared" si="6"/>
        <v>#N/A</v>
      </c>
      <c r="X4" s="81" t="e">
        <f t="shared" si="6"/>
        <v>#N/A</v>
      </c>
      <c r="Y4" s="81" t="e">
        <f t="shared" si="6"/>
        <v>#N/A</v>
      </c>
      <c r="Z4" s="81" t="e">
        <f t="shared" si="6"/>
        <v>#N/A</v>
      </c>
      <c r="AA4" s="81" t="e">
        <f t="shared" si="6"/>
        <v>#N/A</v>
      </c>
      <c r="AB4" s="81" t="e">
        <f t="shared" si="6"/>
        <v>#N/A</v>
      </c>
      <c r="AC4" s="81" t="e">
        <f t="shared" si="6"/>
        <v>#N/A</v>
      </c>
      <c r="AD4" s="81" t="e">
        <f t="shared" si="6"/>
        <v>#N/A</v>
      </c>
      <c r="AE4" s="81" t="e">
        <f t="shared" si="6"/>
        <v>#N/A</v>
      </c>
      <c r="AF4" s="81" t="e">
        <f t="shared" si="6"/>
        <v>#N/A</v>
      </c>
      <c r="AG4" s="81" t="e">
        <f t="shared" si="6"/>
        <v>#N/A</v>
      </c>
      <c r="AH4" s="81" t="e">
        <f t="shared" si="6"/>
        <v>#N/A</v>
      </c>
      <c r="AI4" s="81" t="e">
        <f t="shared" si="6"/>
        <v>#N/A</v>
      </c>
      <c r="AJ4" s="81" t="e">
        <f t="shared" si="6"/>
        <v>#N/A</v>
      </c>
      <c r="AK4" s="81" t="e">
        <f t="shared" si="6"/>
        <v>#N/A</v>
      </c>
      <c r="AL4" s="81" t="e">
        <f t="shared" si="6"/>
        <v>#N/A</v>
      </c>
      <c r="AM4" s="126" t="e">
        <f t="shared" si="6"/>
        <v>#N/A</v>
      </c>
    </row>
    <row r="5" spans="1:39" x14ac:dyDescent="0.25">
      <c r="C5" s="227" t="s">
        <v>154</v>
      </c>
      <c r="D5" s="80" t="s">
        <v>158</v>
      </c>
      <c r="E5" s="181"/>
      <c r="F5" s="181"/>
      <c r="G5" s="181" t="e">
        <f t="shared" ref="G5:AM5" si="7">G4/1000</f>
        <v>#N/A</v>
      </c>
      <c r="H5" s="181" t="e">
        <f t="shared" si="7"/>
        <v>#N/A</v>
      </c>
      <c r="I5" s="181" t="e">
        <f t="shared" si="7"/>
        <v>#N/A</v>
      </c>
      <c r="J5" s="181" t="e">
        <f t="shared" si="7"/>
        <v>#N/A</v>
      </c>
      <c r="K5" s="181" t="e">
        <f t="shared" si="7"/>
        <v>#N/A</v>
      </c>
      <c r="L5" s="181" t="e">
        <f t="shared" si="7"/>
        <v>#N/A</v>
      </c>
      <c r="M5" s="181" t="e">
        <f t="shared" si="7"/>
        <v>#N/A</v>
      </c>
      <c r="N5" s="181" t="e">
        <f t="shared" si="7"/>
        <v>#N/A</v>
      </c>
      <c r="O5" s="181" t="e">
        <f t="shared" si="7"/>
        <v>#N/A</v>
      </c>
      <c r="P5" s="181" t="e">
        <f t="shared" si="7"/>
        <v>#N/A</v>
      </c>
      <c r="Q5" s="181" t="e">
        <f t="shared" si="7"/>
        <v>#N/A</v>
      </c>
      <c r="R5" s="181" t="e">
        <f t="shared" si="7"/>
        <v>#N/A</v>
      </c>
      <c r="S5" s="181" t="e">
        <f t="shared" si="7"/>
        <v>#N/A</v>
      </c>
      <c r="T5" s="181" t="e">
        <f t="shared" si="7"/>
        <v>#N/A</v>
      </c>
      <c r="U5" s="181" t="e">
        <f t="shared" si="7"/>
        <v>#N/A</v>
      </c>
      <c r="V5" s="181" t="e">
        <f t="shared" si="7"/>
        <v>#N/A</v>
      </c>
      <c r="W5" s="181" t="e">
        <f t="shared" si="7"/>
        <v>#N/A</v>
      </c>
      <c r="X5" s="181" t="e">
        <f t="shared" si="7"/>
        <v>#N/A</v>
      </c>
      <c r="Y5" s="181" t="e">
        <f t="shared" si="7"/>
        <v>#N/A</v>
      </c>
      <c r="Z5" s="181" t="e">
        <f t="shared" si="7"/>
        <v>#N/A</v>
      </c>
      <c r="AA5" s="181" t="e">
        <f t="shared" si="7"/>
        <v>#N/A</v>
      </c>
      <c r="AB5" s="181" t="e">
        <f t="shared" si="7"/>
        <v>#N/A</v>
      </c>
      <c r="AC5" s="181" t="e">
        <f t="shared" si="7"/>
        <v>#N/A</v>
      </c>
      <c r="AD5" s="181" t="e">
        <f t="shared" si="7"/>
        <v>#N/A</v>
      </c>
      <c r="AE5" s="181" t="e">
        <f t="shared" si="7"/>
        <v>#N/A</v>
      </c>
      <c r="AF5" s="181" t="e">
        <f t="shared" si="7"/>
        <v>#N/A</v>
      </c>
      <c r="AG5" s="181" t="e">
        <f t="shared" si="7"/>
        <v>#N/A</v>
      </c>
      <c r="AH5" s="181" t="e">
        <f t="shared" si="7"/>
        <v>#N/A</v>
      </c>
      <c r="AI5" s="181" t="e">
        <f t="shared" si="7"/>
        <v>#N/A</v>
      </c>
      <c r="AJ5" s="181" t="e">
        <f t="shared" si="7"/>
        <v>#N/A</v>
      </c>
      <c r="AK5" s="181" t="e">
        <f t="shared" si="7"/>
        <v>#N/A</v>
      </c>
      <c r="AL5" s="181" t="e">
        <f t="shared" si="7"/>
        <v>#N/A</v>
      </c>
      <c r="AM5" s="228" t="e">
        <f t="shared" si="7"/>
        <v>#N/A</v>
      </c>
    </row>
    <row r="6" spans="1:39" x14ac:dyDescent="0.25">
      <c r="C6" s="184" t="s">
        <v>155</v>
      </c>
      <c r="D6" s="3" t="s">
        <v>159</v>
      </c>
      <c r="E6" s="182"/>
      <c r="F6" s="182"/>
      <c r="G6" s="182" t="e">
        <f>G93</f>
        <v>#N/A</v>
      </c>
      <c r="H6" s="182" t="e">
        <f t="shared" ref="H6:AM6" si="8">H93</f>
        <v>#N/A</v>
      </c>
      <c r="I6" s="182" t="e">
        <f t="shared" si="8"/>
        <v>#N/A</v>
      </c>
      <c r="J6" s="182" t="e">
        <f t="shared" si="8"/>
        <v>#N/A</v>
      </c>
      <c r="K6" s="182" t="e">
        <f t="shared" si="8"/>
        <v>#N/A</v>
      </c>
      <c r="L6" s="182" t="e">
        <f t="shared" si="8"/>
        <v>#N/A</v>
      </c>
      <c r="M6" s="182" t="e">
        <f t="shared" si="8"/>
        <v>#N/A</v>
      </c>
      <c r="N6" s="182" t="e">
        <f t="shared" si="8"/>
        <v>#N/A</v>
      </c>
      <c r="O6" s="182" t="e">
        <f t="shared" si="8"/>
        <v>#N/A</v>
      </c>
      <c r="P6" s="182" t="e">
        <f t="shared" si="8"/>
        <v>#N/A</v>
      </c>
      <c r="Q6" s="182" t="e">
        <f t="shared" si="8"/>
        <v>#N/A</v>
      </c>
      <c r="R6" s="182" t="e">
        <f t="shared" si="8"/>
        <v>#N/A</v>
      </c>
      <c r="S6" s="182" t="e">
        <f t="shared" si="8"/>
        <v>#N/A</v>
      </c>
      <c r="T6" s="182" t="e">
        <f t="shared" si="8"/>
        <v>#N/A</v>
      </c>
      <c r="U6" s="182" t="e">
        <f t="shared" si="8"/>
        <v>#N/A</v>
      </c>
      <c r="V6" s="182" t="e">
        <f t="shared" si="8"/>
        <v>#N/A</v>
      </c>
      <c r="W6" s="182" t="e">
        <f t="shared" si="8"/>
        <v>#N/A</v>
      </c>
      <c r="X6" s="182" t="e">
        <f t="shared" si="8"/>
        <v>#N/A</v>
      </c>
      <c r="Y6" s="182" t="e">
        <f t="shared" si="8"/>
        <v>#N/A</v>
      </c>
      <c r="Z6" s="182" t="e">
        <f t="shared" si="8"/>
        <v>#N/A</v>
      </c>
      <c r="AA6" s="182" t="e">
        <f t="shared" si="8"/>
        <v>#N/A</v>
      </c>
      <c r="AB6" s="182" t="e">
        <f t="shared" si="8"/>
        <v>#N/A</v>
      </c>
      <c r="AC6" s="182" t="e">
        <f t="shared" si="8"/>
        <v>#N/A</v>
      </c>
      <c r="AD6" s="182" t="e">
        <f t="shared" si="8"/>
        <v>#N/A</v>
      </c>
      <c r="AE6" s="182" t="e">
        <f t="shared" si="8"/>
        <v>#N/A</v>
      </c>
      <c r="AF6" s="182" t="e">
        <f t="shared" si="8"/>
        <v>#N/A</v>
      </c>
      <c r="AG6" s="182" t="e">
        <f t="shared" si="8"/>
        <v>#N/A</v>
      </c>
      <c r="AH6" s="182" t="e">
        <f t="shared" si="8"/>
        <v>#N/A</v>
      </c>
      <c r="AI6" s="182" t="e">
        <f t="shared" si="8"/>
        <v>#N/A</v>
      </c>
      <c r="AJ6" s="182" t="e">
        <f t="shared" si="8"/>
        <v>#N/A</v>
      </c>
      <c r="AK6" s="182" t="e">
        <f t="shared" si="8"/>
        <v>#N/A</v>
      </c>
      <c r="AL6" s="182" t="e">
        <f t="shared" si="8"/>
        <v>#N/A</v>
      </c>
      <c r="AM6" s="229" t="e">
        <f t="shared" si="8"/>
        <v>#N/A</v>
      </c>
    </row>
    <row r="7" spans="1:39" x14ac:dyDescent="0.25">
      <c r="C7" s="230" t="s">
        <v>160</v>
      </c>
      <c r="D7" s="7" t="s">
        <v>183</v>
      </c>
      <c r="E7" s="231"/>
      <c r="F7" s="231"/>
      <c r="G7" s="231" t="e">
        <f>G101</f>
        <v>#N/A</v>
      </c>
      <c r="H7" s="231" t="e">
        <f t="shared" ref="H7:AM7" si="9">H101</f>
        <v>#N/A</v>
      </c>
      <c r="I7" s="231" t="e">
        <f t="shared" si="9"/>
        <v>#N/A</v>
      </c>
      <c r="J7" s="231" t="e">
        <f t="shared" si="9"/>
        <v>#N/A</v>
      </c>
      <c r="K7" s="231" t="e">
        <f t="shared" si="9"/>
        <v>#N/A</v>
      </c>
      <c r="L7" s="231" t="e">
        <f t="shared" si="9"/>
        <v>#N/A</v>
      </c>
      <c r="M7" s="231" t="e">
        <f t="shared" si="9"/>
        <v>#N/A</v>
      </c>
      <c r="N7" s="231" t="e">
        <f t="shared" si="9"/>
        <v>#N/A</v>
      </c>
      <c r="O7" s="231" t="e">
        <f t="shared" si="9"/>
        <v>#N/A</v>
      </c>
      <c r="P7" s="231" t="e">
        <f t="shared" si="9"/>
        <v>#N/A</v>
      </c>
      <c r="Q7" s="231" t="e">
        <f t="shared" si="9"/>
        <v>#N/A</v>
      </c>
      <c r="R7" s="231" t="e">
        <f t="shared" si="9"/>
        <v>#N/A</v>
      </c>
      <c r="S7" s="231" t="e">
        <f t="shared" si="9"/>
        <v>#N/A</v>
      </c>
      <c r="T7" s="231" t="e">
        <f t="shared" si="9"/>
        <v>#N/A</v>
      </c>
      <c r="U7" s="231" t="e">
        <f t="shared" si="9"/>
        <v>#N/A</v>
      </c>
      <c r="V7" s="231" t="e">
        <f t="shared" si="9"/>
        <v>#N/A</v>
      </c>
      <c r="W7" s="231" t="e">
        <f t="shared" si="9"/>
        <v>#N/A</v>
      </c>
      <c r="X7" s="231" t="e">
        <f t="shared" si="9"/>
        <v>#N/A</v>
      </c>
      <c r="Y7" s="231" t="e">
        <f t="shared" si="9"/>
        <v>#N/A</v>
      </c>
      <c r="Z7" s="231" t="e">
        <f t="shared" si="9"/>
        <v>#N/A</v>
      </c>
      <c r="AA7" s="231" t="e">
        <f t="shared" si="9"/>
        <v>#N/A</v>
      </c>
      <c r="AB7" s="231" t="e">
        <f t="shared" si="9"/>
        <v>#N/A</v>
      </c>
      <c r="AC7" s="231" t="e">
        <f t="shared" si="9"/>
        <v>#N/A</v>
      </c>
      <c r="AD7" s="231" t="e">
        <f t="shared" si="9"/>
        <v>#N/A</v>
      </c>
      <c r="AE7" s="231" t="e">
        <f t="shared" si="9"/>
        <v>#N/A</v>
      </c>
      <c r="AF7" s="231" t="e">
        <f t="shared" si="9"/>
        <v>#N/A</v>
      </c>
      <c r="AG7" s="231" t="e">
        <f t="shared" si="9"/>
        <v>#N/A</v>
      </c>
      <c r="AH7" s="231" t="e">
        <f t="shared" si="9"/>
        <v>#N/A</v>
      </c>
      <c r="AI7" s="231" t="e">
        <f t="shared" si="9"/>
        <v>#N/A</v>
      </c>
      <c r="AJ7" s="231" t="e">
        <f t="shared" si="9"/>
        <v>#N/A</v>
      </c>
      <c r="AK7" s="231" t="e">
        <f t="shared" si="9"/>
        <v>#N/A</v>
      </c>
      <c r="AL7" s="231" t="e">
        <f t="shared" si="9"/>
        <v>#N/A</v>
      </c>
      <c r="AM7" s="232" t="e">
        <f t="shared" si="9"/>
        <v>#N/A</v>
      </c>
    </row>
    <row r="8" spans="1:39" x14ac:dyDescent="0.25">
      <c r="C8" s="179" t="s">
        <v>152</v>
      </c>
      <c r="E8" s="180"/>
      <c r="F8" s="180"/>
      <c r="G8" s="180" t="e">
        <f>SUM(G6:G7)</f>
        <v>#N/A</v>
      </c>
      <c r="H8" s="180" t="e">
        <f t="shared" ref="H8:AM8" si="10">SUM(H6:H7)</f>
        <v>#N/A</v>
      </c>
      <c r="I8" s="180" t="e">
        <f t="shared" si="10"/>
        <v>#N/A</v>
      </c>
      <c r="J8" s="180" t="e">
        <f t="shared" si="10"/>
        <v>#N/A</v>
      </c>
      <c r="K8" s="180" t="e">
        <f t="shared" si="10"/>
        <v>#N/A</v>
      </c>
      <c r="L8" s="180" t="e">
        <f t="shared" si="10"/>
        <v>#N/A</v>
      </c>
      <c r="M8" s="180" t="e">
        <f t="shared" si="10"/>
        <v>#N/A</v>
      </c>
      <c r="N8" s="180" t="e">
        <f t="shared" si="10"/>
        <v>#N/A</v>
      </c>
      <c r="O8" s="180" t="e">
        <f t="shared" si="10"/>
        <v>#N/A</v>
      </c>
      <c r="P8" s="180" t="e">
        <f t="shared" si="10"/>
        <v>#N/A</v>
      </c>
      <c r="Q8" s="180" t="e">
        <f t="shared" si="10"/>
        <v>#N/A</v>
      </c>
      <c r="R8" s="180" t="e">
        <f t="shared" si="10"/>
        <v>#N/A</v>
      </c>
      <c r="S8" s="180" t="e">
        <f t="shared" si="10"/>
        <v>#N/A</v>
      </c>
      <c r="T8" s="180" t="e">
        <f t="shared" si="10"/>
        <v>#N/A</v>
      </c>
      <c r="U8" s="180" t="e">
        <f t="shared" si="10"/>
        <v>#N/A</v>
      </c>
      <c r="V8" s="180" t="e">
        <f t="shared" si="10"/>
        <v>#N/A</v>
      </c>
      <c r="W8" s="180" t="e">
        <f t="shared" si="10"/>
        <v>#N/A</v>
      </c>
      <c r="X8" s="180" t="e">
        <f t="shared" si="10"/>
        <v>#N/A</v>
      </c>
      <c r="Y8" s="180" t="e">
        <f t="shared" si="10"/>
        <v>#N/A</v>
      </c>
      <c r="Z8" s="180" t="e">
        <f t="shared" si="10"/>
        <v>#N/A</v>
      </c>
      <c r="AA8" s="180" t="e">
        <f t="shared" si="10"/>
        <v>#N/A</v>
      </c>
      <c r="AB8" s="180" t="e">
        <f t="shared" si="10"/>
        <v>#N/A</v>
      </c>
      <c r="AC8" s="180" t="e">
        <f t="shared" si="10"/>
        <v>#N/A</v>
      </c>
      <c r="AD8" s="180" t="e">
        <f t="shared" si="10"/>
        <v>#N/A</v>
      </c>
      <c r="AE8" s="180" t="e">
        <f t="shared" si="10"/>
        <v>#N/A</v>
      </c>
      <c r="AF8" s="180" t="e">
        <f t="shared" si="10"/>
        <v>#N/A</v>
      </c>
      <c r="AG8" s="180" t="e">
        <f t="shared" si="10"/>
        <v>#N/A</v>
      </c>
      <c r="AH8" s="180" t="e">
        <f t="shared" si="10"/>
        <v>#N/A</v>
      </c>
      <c r="AI8" s="180" t="e">
        <f t="shared" si="10"/>
        <v>#N/A</v>
      </c>
      <c r="AJ8" s="180" t="e">
        <f t="shared" si="10"/>
        <v>#N/A</v>
      </c>
      <c r="AK8" s="180" t="e">
        <f t="shared" si="10"/>
        <v>#N/A</v>
      </c>
      <c r="AL8" s="180" t="e">
        <f t="shared" si="10"/>
        <v>#N/A</v>
      </c>
      <c r="AM8" s="180" t="e">
        <f t="shared" si="10"/>
        <v>#N/A</v>
      </c>
    </row>
    <row r="12" spans="1:39" x14ac:dyDescent="0.25">
      <c r="C12" s="183"/>
      <c r="E12" s="26"/>
      <c r="F12" s="26"/>
      <c r="G12" s="26"/>
      <c r="H12" s="26"/>
      <c r="I12" s="26">
        <v>2020</v>
      </c>
      <c r="J12" s="116">
        <v>2030</v>
      </c>
      <c r="K12" s="116">
        <v>2050</v>
      </c>
    </row>
    <row r="13" spans="1:39" x14ac:dyDescent="0.25">
      <c r="C13" s="184" t="s">
        <v>155</v>
      </c>
      <c r="E13" s="165"/>
      <c r="F13" s="165"/>
      <c r="G13" s="165"/>
      <c r="H13" s="165"/>
      <c r="I13" s="165" t="e">
        <f>I93</f>
        <v>#N/A</v>
      </c>
      <c r="J13" s="166" t="e">
        <f>S93</f>
        <v>#N/A</v>
      </c>
      <c r="K13" s="166" t="e">
        <f>AM93</f>
        <v>#N/A</v>
      </c>
    </row>
    <row r="14" spans="1:39" x14ac:dyDescent="0.25">
      <c r="C14" s="185" t="s">
        <v>141</v>
      </c>
      <c r="E14" s="186"/>
      <c r="F14" s="186"/>
      <c r="G14" s="186"/>
      <c r="H14" s="186"/>
      <c r="I14" s="186" t="e">
        <f>I93</f>
        <v>#N/A</v>
      </c>
      <c r="J14" s="186" t="e">
        <f>S93</f>
        <v>#N/A</v>
      </c>
      <c r="K14" s="186" t="e">
        <f>AM93</f>
        <v>#N/A</v>
      </c>
    </row>
    <row r="15" spans="1:39" x14ac:dyDescent="0.25">
      <c r="C15" s="184" t="s">
        <v>156</v>
      </c>
      <c r="E15" s="165"/>
      <c r="F15" s="165"/>
      <c r="G15" s="165"/>
      <c r="H15" s="165"/>
      <c r="I15" s="165" t="e">
        <f>I101</f>
        <v>#N/A</v>
      </c>
      <c r="J15" s="165" t="e">
        <f>S101</f>
        <v>#N/A</v>
      </c>
      <c r="K15" s="166" t="e">
        <f>AM101</f>
        <v>#N/A</v>
      </c>
    </row>
    <row r="16" spans="1:39" x14ac:dyDescent="0.25">
      <c r="C16" s="185" t="s">
        <v>138</v>
      </c>
      <c r="E16" s="187"/>
      <c r="F16" s="187"/>
      <c r="G16" s="187"/>
      <c r="H16" s="187"/>
      <c r="I16" s="187" t="e">
        <f>I102+I103</f>
        <v>#N/A</v>
      </c>
      <c r="J16" s="187" t="e">
        <f>S102+S103</f>
        <v>#N/A</v>
      </c>
      <c r="K16" s="187" t="e">
        <f>AM102+AM103</f>
        <v>#N/A</v>
      </c>
    </row>
    <row r="17" spans="1:39" x14ac:dyDescent="0.25">
      <c r="C17" s="188" t="s">
        <v>139</v>
      </c>
      <c r="E17" s="186"/>
      <c r="F17" s="186"/>
      <c r="G17" s="186"/>
      <c r="H17" s="186"/>
      <c r="I17" s="186" t="e">
        <f>I104+I105+I106</f>
        <v>#N/A</v>
      </c>
      <c r="J17" s="186" t="e">
        <f>S104+S105+S106</f>
        <v>#N/A</v>
      </c>
      <c r="K17" s="186" t="e">
        <f>AM104+AM105+AM106</f>
        <v>#N/A</v>
      </c>
    </row>
    <row r="18" spans="1:39" x14ac:dyDescent="0.25">
      <c r="C18" s="188" t="s">
        <v>140</v>
      </c>
      <c r="E18" s="186"/>
      <c r="F18" s="186"/>
      <c r="G18" s="186"/>
      <c r="H18" s="186"/>
      <c r="I18" s="186" t="e">
        <f>I107+I108</f>
        <v>#N/A</v>
      </c>
      <c r="J18" s="186" t="e">
        <f>S107+S108</f>
        <v>#N/A</v>
      </c>
      <c r="K18" s="186" t="e">
        <f>AM107+AM108</f>
        <v>#N/A</v>
      </c>
    </row>
    <row r="19" spans="1:39" x14ac:dyDescent="0.25">
      <c r="C19" s="189" t="s">
        <v>152</v>
      </c>
      <c r="E19" s="190"/>
      <c r="F19" s="190"/>
      <c r="G19" s="190"/>
      <c r="H19" s="190"/>
      <c r="I19" s="190" t="e">
        <f>SUM(I16:I18)</f>
        <v>#N/A</v>
      </c>
      <c r="J19" s="190" t="e">
        <f>SUM(J16:J18)</f>
        <v>#N/A</v>
      </c>
      <c r="K19" s="190" t="e">
        <f>SUM(K16:K18)</f>
        <v>#N/A</v>
      </c>
    </row>
    <row r="23" spans="1:39" ht="23.25" x14ac:dyDescent="0.35">
      <c r="B23" s="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</row>
    <row r="24" spans="1:39" ht="23.25" x14ac:dyDescent="0.35">
      <c r="A24" s="15" t="s">
        <v>161</v>
      </c>
      <c r="C24" s="15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pans="1:39" x14ac:dyDescent="0.25">
      <c r="C25" s="12"/>
      <c r="D25" s="12"/>
      <c r="E25" s="115">
        <v>2006</v>
      </c>
      <c r="F25" s="115">
        <v>2015</v>
      </c>
      <c r="G25" s="115">
        <v>2018</v>
      </c>
      <c r="H25" s="115">
        <v>2019</v>
      </c>
      <c r="I25" s="115">
        <v>2020</v>
      </c>
      <c r="J25" s="26">
        <v>2021</v>
      </c>
      <c r="K25" s="4">
        <v>2022</v>
      </c>
      <c r="L25" s="4">
        <v>2023</v>
      </c>
      <c r="M25" s="4">
        <v>2024</v>
      </c>
      <c r="N25" s="115">
        <v>2025</v>
      </c>
      <c r="O25" s="26">
        <v>2026</v>
      </c>
      <c r="P25" s="4">
        <v>2027</v>
      </c>
      <c r="Q25" s="4">
        <v>2028</v>
      </c>
      <c r="R25" s="4">
        <v>2029</v>
      </c>
      <c r="S25" s="115">
        <v>2030</v>
      </c>
      <c r="T25" s="4">
        <v>2031</v>
      </c>
      <c r="U25" s="115">
        <v>2032</v>
      </c>
      <c r="V25" s="4">
        <v>2033</v>
      </c>
      <c r="W25" s="115">
        <v>2034</v>
      </c>
      <c r="X25" s="4">
        <v>2035</v>
      </c>
      <c r="Y25" s="115">
        <v>2036</v>
      </c>
      <c r="Z25" s="4">
        <v>2037</v>
      </c>
      <c r="AA25" s="115">
        <v>2038</v>
      </c>
      <c r="AB25" s="4">
        <v>2039</v>
      </c>
      <c r="AC25" s="116">
        <v>2040</v>
      </c>
      <c r="AD25" s="4"/>
      <c r="AE25" s="4"/>
      <c r="AF25" s="4"/>
      <c r="AG25" s="4"/>
      <c r="AH25" s="4">
        <v>2045</v>
      </c>
      <c r="AI25" s="4"/>
      <c r="AJ25" s="4"/>
      <c r="AK25" s="4"/>
      <c r="AL25" s="4"/>
      <c r="AM25" s="116">
        <v>2050</v>
      </c>
    </row>
    <row r="26" spans="1:39" x14ac:dyDescent="0.25">
      <c r="A26" s="178" t="str">
        <f>Résultats!B1</f>
        <v>TEND</v>
      </c>
      <c r="B26" s="23" t="s">
        <v>162</v>
      </c>
      <c r="C26" s="72" t="s">
        <v>133</v>
      </c>
      <c r="D26" s="72" t="s">
        <v>64</v>
      </c>
      <c r="E26" s="73" t="e">
        <f>VLOOKUP($D26,Résultats!$B$2:$AZ$251,E$2,FALSE)</f>
        <v>#N/A</v>
      </c>
      <c r="F26" s="73" t="e">
        <f>VLOOKUP($D26,Résultats!$B$2:$AZ$251,F$2,FALSE)</f>
        <v>#N/A</v>
      </c>
      <c r="G26" s="73" t="e">
        <f>VLOOKUP($D26,Résultats!$B$2:$AZ$251,G$2,FALSE)</f>
        <v>#N/A</v>
      </c>
      <c r="H26" s="73" t="e">
        <f>VLOOKUP($D26,Résultats!$B$2:$AZ$251,H$2,FALSE)</f>
        <v>#N/A</v>
      </c>
      <c r="I26" s="73" t="e">
        <f>VLOOKUP($D26,Résultats!$B$2:$AZ$251,I$2,FALSE)</f>
        <v>#N/A</v>
      </c>
      <c r="J26" s="73" t="e">
        <f>VLOOKUP($D26,Résultats!$B$2:$AZ$251,J$2,FALSE)</f>
        <v>#N/A</v>
      </c>
      <c r="K26" s="73" t="e">
        <f>VLOOKUP($D26,Résultats!$B$2:$AZ$251,K$2,FALSE)</f>
        <v>#N/A</v>
      </c>
      <c r="L26" s="73" t="e">
        <f>VLOOKUP($D26,Résultats!$B$2:$AZ$251,L$2,FALSE)</f>
        <v>#N/A</v>
      </c>
      <c r="M26" s="73" t="e">
        <f>VLOOKUP($D26,Résultats!$B$2:$AZ$251,M$2,FALSE)</f>
        <v>#N/A</v>
      </c>
      <c r="N26" s="73" t="e">
        <f>VLOOKUP($D26,Résultats!$B$2:$AZ$251,N$2,FALSE)</f>
        <v>#N/A</v>
      </c>
      <c r="O26" s="73" t="e">
        <f>VLOOKUP($D26,Résultats!$B$2:$AZ$251,O$2,FALSE)</f>
        <v>#N/A</v>
      </c>
      <c r="P26" s="73" t="e">
        <f>VLOOKUP($D26,Résultats!$B$2:$AZ$251,P$2,FALSE)</f>
        <v>#N/A</v>
      </c>
      <c r="Q26" s="73" t="e">
        <f>VLOOKUP($D26,Résultats!$B$2:$AZ$251,Q$2,FALSE)</f>
        <v>#N/A</v>
      </c>
      <c r="R26" s="73" t="e">
        <f>VLOOKUP($D26,Résultats!$B$2:$AZ$251,R$2,FALSE)</f>
        <v>#N/A</v>
      </c>
      <c r="S26" s="73" t="e">
        <f>VLOOKUP($D26,Résultats!$B$2:$AZ$251,S$2,FALSE)</f>
        <v>#N/A</v>
      </c>
      <c r="T26" s="73" t="e">
        <f>VLOOKUP($D26,Résultats!$B$2:$AZ$251,T$2,FALSE)</f>
        <v>#N/A</v>
      </c>
      <c r="U26" s="73" t="e">
        <f>VLOOKUP($D26,Résultats!$B$2:$AZ$251,U$2,FALSE)</f>
        <v>#N/A</v>
      </c>
      <c r="V26" s="73" t="e">
        <f>VLOOKUP($D26,Résultats!$B$2:$AZ$251,V$2,FALSE)</f>
        <v>#N/A</v>
      </c>
      <c r="W26" s="73" t="e">
        <f>VLOOKUP($D26,Résultats!$B$2:$AZ$251,W$2,FALSE)</f>
        <v>#N/A</v>
      </c>
      <c r="X26" s="73" t="e">
        <f>VLOOKUP($D26,Résultats!$B$2:$AZ$251,X$2,FALSE)</f>
        <v>#N/A</v>
      </c>
      <c r="Y26" s="73" t="e">
        <f>VLOOKUP($D26,Résultats!$B$2:$AZ$251,Y$2,FALSE)</f>
        <v>#N/A</v>
      </c>
      <c r="Z26" s="73" t="e">
        <f>VLOOKUP($D26,Résultats!$B$2:$AZ$251,Z$2,FALSE)</f>
        <v>#N/A</v>
      </c>
      <c r="AA26" s="73" t="e">
        <f>VLOOKUP($D26,Résultats!$B$2:$AZ$251,AA$2,FALSE)</f>
        <v>#N/A</v>
      </c>
      <c r="AB26" s="73" t="e">
        <f>VLOOKUP($D26,Résultats!$B$2:$AZ$251,AB$2,FALSE)</f>
        <v>#N/A</v>
      </c>
      <c r="AC26" s="73" t="e">
        <f>VLOOKUP($D26,Résultats!$B$2:$AZ$251,AC$2,FALSE)</f>
        <v>#N/A</v>
      </c>
      <c r="AD26" s="73" t="e">
        <f>VLOOKUP($D26,Résultats!$B$2:$AZ$251,AD$2,FALSE)</f>
        <v>#N/A</v>
      </c>
      <c r="AE26" s="73" t="e">
        <f>VLOOKUP($D26,Résultats!$B$2:$AZ$251,AE$2,FALSE)</f>
        <v>#N/A</v>
      </c>
      <c r="AF26" s="73" t="e">
        <f>VLOOKUP($D26,Résultats!$B$2:$AZ$251,AF$2,FALSE)</f>
        <v>#N/A</v>
      </c>
      <c r="AG26" s="73" t="e">
        <f>VLOOKUP($D26,Résultats!$B$2:$AZ$251,AG$2,FALSE)</f>
        <v>#N/A</v>
      </c>
      <c r="AH26" s="73" t="e">
        <f>VLOOKUP($D26,Résultats!$B$2:$AZ$251,AH$2,FALSE)</f>
        <v>#N/A</v>
      </c>
      <c r="AI26" s="73" t="e">
        <f>VLOOKUP($D26,Résultats!$B$2:$AZ$251,AI$2,FALSE)</f>
        <v>#N/A</v>
      </c>
      <c r="AJ26" s="73" t="e">
        <f>VLOOKUP($D26,Résultats!$B$2:$AZ$251,AJ$2,FALSE)</f>
        <v>#N/A</v>
      </c>
      <c r="AK26" s="73" t="e">
        <f>VLOOKUP($D26,Résultats!$B$2:$AZ$251,AK$2,FALSE)</f>
        <v>#N/A</v>
      </c>
      <c r="AL26" s="73" t="e">
        <f>VLOOKUP($D26,Résultats!$B$2:$AZ$251,AL$2,FALSE)</f>
        <v>#N/A</v>
      </c>
      <c r="AM26" s="73" t="e">
        <f>VLOOKUP($D26,Résultats!$B$2:$AZ$251,AM$2,FALSE)</f>
        <v>#N/A</v>
      </c>
    </row>
    <row r="27" spans="1:39" x14ac:dyDescent="0.25">
      <c r="C27" s="74" t="s">
        <v>94</v>
      </c>
      <c r="D27" s="74" t="s">
        <v>73</v>
      </c>
      <c r="E27" s="75" t="e">
        <f>VLOOKUP($D27,Résultats!$B$2:$AZ$251,E$2,FALSE)</f>
        <v>#N/A</v>
      </c>
      <c r="F27" s="75" t="e">
        <f>VLOOKUP($D27,Résultats!$B$2:$AZ$251,F$2,FALSE)</f>
        <v>#N/A</v>
      </c>
      <c r="G27" s="75" t="e">
        <f>VLOOKUP($D27,Résultats!$B$2:$AZ$251,G$2,FALSE)</f>
        <v>#N/A</v>
      </c>
      <c r="H27" s="75" t="e">
        <f>VLOOKUP($D27,Résultats!$B$2:$AZ$251,H$2,FALSE)</f>
        <v>#N/A</v>
      </c>
      <c r="I27" s="75" t="e">
        <f>VLOOKUP($D27,Résultats!$B$2:$AZ$251,I$2,FALSE)</f>
        <v>#N/A</v>
      </c>
      <c r="J27" s="75" t="e">
        <f>VLOOKUP($D27,Résultats!$B$2:$AZ$251,J$2,FALSE)</f>
        <v>#N/A</v>
      </c>
      <c r="K27" s="75" t="e">
        <f>VLOOKUP($D27,Résultats!$B$2:$AZ$251,K$2,FALSE)</f>
        <v>#N/A</v>
      </c>
      <c r="L27" s="75" t="e">
        <f>VLOOKUP($D27,Résultats!$B$2:$AZ$251,L$2,FALSE)</f>
        <v>#N/A</v>
      </c>
      <c r="M27" s="75" t="e">
        <f>VLOOKUP($D27,Résultats!$B$2:$AZ$251,M$2,FALSE)</f>
        <v>#N/A</v>
      </c>
      <c r="N27" s="75" t="e">
        <f>VLOOKUP($D27,Résultats!$B$2:$AZ$251,N$2,FALSE)</f>
        <v>#N/A</v>
      </c>
      <c r="O27" s="75" t="e">
        <f>VLOOKUP($D27,Résultats!$B$2:$AZ$251,O$2,FALSE)</f>
        <v>#N/A</v>
      </c>
      <c r="P27" s="75" t="e">
        <f>VLOOKUP($D27,Résultats!$B$2:$AZ$251,P$2,FALSE)</f>
        <v>#N/A</v>
      </c>
      <c r="Q27" s="75" t="e">
        <f>VLOOKUP($D27,Résultats!$B$2:$AZ$251,Q$2,FALSE)</f>
        <v>#N/A</v>
      </c>
      <c r="R27" s="75" t="e">
        <f>VLOOKUP($D27,Résultats!$B$2:$AZ$251,R$2,FALSE)</f>
        <v>#N/A</v>
      </c>
      <c r="S27" s="75" t="e">
        <f>VLOOKUP($D27,Résultats!$B$2:$AZ$251,S$2,FALSE)</f>
        <v>#N/A</v>
      </c>
      <c r="T27" s="75" t="e">
        <f>VLOOKUP($D27,Résultats!$B$2:$AZ$251,T$2,FALSE)</f>
        <v>#N/A</v>
      </c>
      <c r="U27" s="75" t="e">
        <f>VLOOKUP($D27,Résultats!$B$2:$AZ$251,U$2,FALSE)</f>
        <v>#N/A</v>
      </c>
      <c r="V27" s="75" t="e">
        <f>VLOOKUP($D27,Résultats!$B$2:$AZ$251,V$2,FALSE)</f>
        <v>#N/A</v>
      </c>
      <c r="W27" s="75" t="e">
        <f>VLOOKUP($D27,Résultats!$B$2:$AZ$251,W$2,FALSE)</f>
        <v>#N/A</v>
      </c>
      <c r="X27" s="75" t="e">
        <f>VLOOKUP($D27,Résultats!$B$2:$AZ$251,X$2,FALSE)</f>
        <v>#N/A</v>
      </c>
      <c r="Y27" s="75" t="e">
        <f>VLOOKUP($D27,Résultats!$B$2:$AZ$251,Y$2,FALSE)</f>
        <v>#N/A</v>
      </c>
      <c r="Z27" s="75" t="e">
        <f>VLOOKUP($D27,Résultats!$B$2:$AZ$251,Z$2,FALSE)</f>
        <v>#N/A</v>
      </c>
      <c r="AA27" s="75" t="e">
        <f>VLOOKUP($D27,Résultats!$B$2:$AZ$251,AA$2,FALSE)</f>
        <v>#N/A</v>
      </c>
      <c r="AB27" s="75" t="e">
        <f>VLOOKUP($D27,Résultats!$B$2:$AZ$251,AB$2,FALSE)</f>
        <v>#N/A</v>
      </c>
      <c r="AC27" s="75" t="e">
        <f>VLOOKUP($D27,Résultats!$B$2:$AZ$251,AC$2,FALSE)</f>
        <v>#N/A</v>
      </c>
      <c r="AD27" s="75" t="e">
        <f>VLOOKUP($D27,Résultats!$B$2:$AZ$251,AD$2,FALSE)</f>
        <v>#N/A</v>
      </c>
      <c r="AE27" s="75" t="e">
        <f>VLOOKUP($D27,Résultats!$B$2:$AZ$251,AE$2,FALSE)</f>
        <v>#N/A</v>
      </c>
      <c r="AF27" s="75" t="e">
        <f>VLOOKUP($D27,Résultats!$B$2:$AZ$251,AF$2,FALSE)</f>
        <v>#N/A</v>
      </c>
      <c r="AG27" s="75" t="e">
        <f>VLOOKUP($D27,Résultats!$B$2:$AZ$251,AG$2,FALSE)</f>
        <v>#N/A</v>
      </c>
      <c r="AH27" s="75" t="e">
        <f>VLOOKUP($D27,Résultats!$B$2:$AZ$251,AH$2,FALSE)</f>
        <v>#N/A</v>
      </c>
      <c r="AI27" s="75" t="e">
        <f>VLOOKUP($D27,Résultats!$B$2:$AZ$251,AI$2,FALSE)</f>
        <v>#N/A</v>
      </c>
      <c r="AJ27" s="75" t="e">
        <f>VLOOKUP($D27,Résultats!$B$2:$AZ$251,AJ$2,FALSE)</f>
        <v>#N/A</v>
      </c>
      <c r="AK27" s="75" t="e">
        <f>VLOOKUP($D27,Résultats!$B$2:$AZ$251,AK$2,FALSE)</f>
        <v>#N/A</v>
      </c>
      <c r="AL27" s="75" t="e">
        <f>VLOOKUP($D27,Résultats!$B$2:$AZ$251,AL$2,FALSE)</f>
        <v>#N/A</v>
      </c>
      <c r="AM27" s="75" t="e">
        <f>VLOOKUP($D27,Résultats!$B$2:$AZ$251,AM$2,FALSE)</f>
        <v>#N/A</v>
      </c>
    </row>
    <row r="28" spans="1:39" x14ac:dyDescent="0.25">
      <c r="C28" s="56" t="s">
        <v>27</v>
      </c>
      <c r="D28" s="76" t="s">
        <v>74</v>
      </c>
      <c r="E28" s="31" t="e">
        <f>VLOOKUP($D28,Résultats!$B$2:$AZ$251,E$2,FALSE)</f>
        <v>#N/A</v>
      </c>
      <c r="F28" s="31" t="e">
        <f>VLOOKUP($D28,Résultats!$B$2:$AZ$251,F$2,FALSE)</f>
        <v>#N/A</v>
      </c>
      <c r="G28" s="31" t="e">
        <f>VLOOKUP($D28,Résultats!$B$2:$AZ$251,G$2,FALSE)</f>
        <v>#N/A</v>
      </c>
      <c r="H28" s="31" t="e">
        <f>VLOOKUP($D28,Résultats!$B$2:$AZ$251,H$2,FALSE)</f>
        <v>#N/A</v>
      </c>
      <c r="I28" s="31" t="e">
        <f>VLOOKUP($D28,Résultats!$B$2:$AZ$251,I$2,FALSE)</f>
        <v>#N/A</v>
      </c>
      <c r="J28" s="31" t="e">
        <f>VLOOKUP($D28,Résultats!$B$2:$AZ$251,J$2,FALSE)</f>
        <v>#N/A</v>
      </c>
      <c r="K28" s="31" t="e">
        <f>VLOOKUP($D28,Résultats!$B$2:$AZ$251,K$2,FALSE)</f>
        <v>#N/A</v>
      </c>
      <c r="L28" s="31" t="e">
        <f>VLOOKUP($D28,Résultats!$B$2:$AZ$251,L$2,FALSE)</f>
        <v>#N/A</v>
      </c>
      <c r="M28" s="31" t="e">
        <f>VLOOKUP($D28,Résultats!$B$2:$AZ$251,M$2,FALSE)</f>
        <v>#N/A</v>
      </c>
      <c r="N28" s="31" t="e">
        <f>VLOOKUP($D28,Résultats!$B$2:$AZ$251,N$2,FALSE)</f>
        <v>#N/A</v>
      </c>
      <c r="O28" s="31" t="e">
        <f>VLOOKUP($D28,Résultats!$B$2:$AZ$251,O$2,FALSE)</f>
        <v>#N/A</v>
      </c>
      <c r="P28" s="31" t="e">
        <f>VLOOKUP($D28,Résultats!$B$2:$AZ$251,P$2,FALSE)</f>
        <v>#N/A</v>
      </c>
      <c r="Q28" s="31" t="e">
        <f>VLOOKUP($D28,Résultats!$B$2:$AZ$251,Q$2,FALSE)</f>
        <v>#N/A</v>
      </c>
      <c r="R28" s="31" t="e">
        <f>VLOOKUP($D28,Résultats!$B$2:$AZ$251,R$2,FALSE)</f>
        <v>#N/A</v>
      </c>
      <c r="S28" s="31" t="e">
        <f>VLOOKUP($D28,Résultats!$B$2:$AZ$251,S$2,FALSE)</f>
        <v>#N/A</v>
      </c>
      <c r="T28" s="31" t="e">
        <f>VLOOKUP($D28,Résultats!$B$2:$AZ$251,T$2,FALSE)</f>
        <v>#N/A</v>
      </c>
      <c r="U28" s="31" t="e">
        <f>VLOOKUP($D28,Résultats!$B$2:$AZ$251,U$2,FALSE)</f>
        <v>#N/A</v>
      </c>
      <c r="V28" s="31" t="e">
        <f>VLOOKUP($D28,Résultats!$B$2:$AZ$251,V$2,FALSE)</f>
        <v>#N/A</v>
      </c>
      <c r="W28" s="31" t="e">
        <f>VLOOKUP($D28,Résultats!$B$2:$AZ$251,W$2,FALSE)</f>
        <v>#N/A</v>
      </c>
      <c r="X28" s="31" t="e">
        <f>VLOOKUP($D28,Résultats!$B$2:$AZ$251,X$2,FALSE)</f>
        <v>#N/A</v>
      </c>
      <c r="Y28" s="31" t="e">
        <f>VLOOKUP($D28,Résultats!$B$2:$AZ$251,Y$2,FALSE)</f>
        <v>#N/A</v>
      </c>
      <c r="Z28" s="31" t="e">
        <f>VLOOKUP($D28,Résultats!$B$2:$AZ$251,Z$2,FALSE)</f>
        <v>#N/A</v>
      </c>
      <c r="AA28" s="31" t="e">
        <f>VLOOKUP($D28,Résultats!$B$2:$AZ$251,AA$2,FALSE)</f>
        <v>#N/A</v>
      </c>
      <c r="AB28" s="31" t="e">
        <f>VLOOKUP($D28,Résultats!$B$2:$AZ$251,AB$2,FALSE)</f>
        <v>#N/A</v>
      </c>
      <c r="AC28" s="31" t="e">
        <f>VLOOKUP($D28,Résultats!$B$2:$AZ$251,AC$2,FALSE)</f>
        <v>#N/A</v>
      </c>
      <c r="AD28" s="31" t="e">
        <f>VLOOKUP($D28,Résultats!$B$2:$AZ$251,AD$2,FALSE)</f>
        <v>#N/A</v>
      </c>
      <c r="AE28" s="31" t="e">
        <f>VLOOKUP($D28,Résultats!$B$2:$AZ$251,AE$2,FALSE)</f>
        <v>#N/A</v>
      </c>
      <c r="AF28" s="31" t="e">
        <f>VLOOKUP($D28,Résultats!$B$2:$AZ$251,AF$2,FALSE)</f>
        <v>#N/A</v>
      </c>
      <c r="AG28" s="31" t="e">
        <f>VLOOKUP($D28,Résultats!$B$2:$AZ$251,AG$2,FALSE)</f>
        <v>#N/A</v>
      </c>
      <c r="AH28" s="31" t="e">
        <f>VLOOKUP($D28,Résultats!$B$2:$AZ$251,AH$2,FALSE)</f>
        <v>#N/A</v>
      </c>
      <c r="AI28" s="31" t="e">
        <f>VLOOKUP($D28,Résultats!$B$2:$AZ$251,AI$2,FALSE)</f>
        <v>#N/A</v>
      </c>
      <c r="AJ28" s="31" t="e">
        <f>VLOOKUP($D28,Résultats!$B$2:$AZ$251,AJ$2,FALSE)</f>
        <v>#N/A</v>
      </c>
      <c r="AK28" s="31" t="e">
        <f>VLOOKUP($D28,Résultats!$B$2:$AZ$251,AK$2,FALSE)</f>
        <v>#N/A</v>
      </c>
      <c r="AL28" s="31" t="e">
        <f>VLOOKUP($D28,Résultats!$B$2:$AZ$251,AL$2,FALSE)</f>
        <v>#N/A</v>
      </c>
      <c r="AM28" s="31" t="e">
        <f>VLOOKUP($D28,Résultats!$B$2:$AZ$251,AM$2,FALSE)</f>
        <v>#N/A</v>
      </c>
    </row>
    <row r="29" spans="1:39" x14ac:dyDescent="0.25">
      <c r="C29" s="56" t="s">
        <v>28</v>
      </c>
      <c r="D29" s="76" t="s">
        <v>75</v>
      </c>
      <c r="E29" s="31" t="e">
        <f>VLOOKUP($D29,Résultats!$B$2:$AZ$251,E$2,FALSE)</f>
        <v>#N/A</v>
      </c>
      <c r="F29" s="31" t="e">
        <f>VLOOKUP($D29,Résultats!$B$2:$AZ$251,F$2,FALSE)</f>
        <v>#N/A</v>
      </c>
      <c r="G29" s="31" t="e">
        <f>VLOOKUP($D29,Résultats!$B$2:$AZ$251,G$2,FALSE)</f>
        <v>#N/A</v>
      </c>
      <c r="H29" s="31" t="e">
        <f>VLOOKUP($D29,Résultats!$B$2:$AZ$251,H$2,FALSE)</f>
        <v>#N/A</v>
      </c>
      <c r="I29" s="31" t="e">
        <f>VLOOKUP($D29,Résultats!$B$2:$AZ$251,I$2,FALSE)</f>
        <v>#N/A</v>
      </c>
      <c r="J29" s="31" t="e">
        <f>VLOOKUP($D29,Résultats!$B$2:$AZ$251,J$2,FALSE)</f>
        <v>#N/A</v>
      </c>
      <c r="K29" s="31" t="e">
        <f>VLOOKUP($D29,Résultats!$B$2:$AZ$251,K$2,FALSE)</f>
        <v>#N/A</v>
      </c>
      <c r="L29" s="31" t="e">
        <f>VLOOKUP($D29,Résultats!$B$2:$AZ$251,L$2,FALSE)</f>
        <v>#N/A</v>
      </c>
      <c r="M29" s="31" t="e">
        <f>VLOOKUP($D29,Résultats!$B$2:$AZ$251,M$2,FALSE)</f>
        <v>#N/A</v>
      </c>
      <c r="N29" s="31" t="e">
        <f>VLOOKUP($D29,Résultats!$B$2:$AZ$251,N$2,FALSE)</f>
        <v>#N/A</v>
      </c>
      <c r="O29" s="31" t="e">
        <f>VLOOKUP($D29,Résultats!$B$2:$AZ$251,O$2,FALSE)</f>
        <v>#N/A</v>
      </c>
      <c r="P29" s="31" t="e">
        <f>VLOOKUP($D29,Résultats!$B$2:$AZ$251,P$2,FALSE)</f>
        <v>#N/A</v>
      </c>
      <c r="Q29" s="31" t="e">
        <f>VLOOKUP($D29,Résultats!$B$2:$AZ$251,Q$2,FALSE)</f>
        <v>#N/A</v>
      </c>
      <c r="R29" s="31" t="e">
        <f>VLOOKUP($D29,Résultats!$B$2:$AZ$251,R$2,FALSE)</f>
        <v>#N/A</v>
      </c>
      <c r="S29" s="31" t="e">
        <f>VLOOKUP($D29,Résultats!$B$2:$AZ$251,S$2,FALSE)</f>
        <v>#N/A</v>
      </c>
      <c r="T29" s="31" t="e">
        <f>VLOOKUP($D29,Résultats!$B$2:$AZ$251,T$2,FALSE)</f>
        <v>#N/A</v>
      </c>
      <c r="U29" s="31" t="e">
        <f>VLOOKUP($D29,Résultats!$B$2:$AZ$251,U$2,FALSE)</f>
        <v>#N/A</v>
      </c>
      <c r="V29" s="31" t="e">
        <f>VLOOKUP($D29,Résultats!$B$2:$AZ$251,V$2,FALSE)</f>
        <v>#N/A</v>
      </c>
      <c r="W29" s="31" t="e">
        <f>VLOOKUP($D29,Résultats!$B$2:$AZ$251,W$2,FALSE)</f>
        <v>#N/A</v>
      </c>
      <c r="X29" s="31" t="e">
        <f>VLOOKUP($D29,Résultats!$B$2:$AZ$251,X$2,FALSE)</f>
        <v>#N/A</v>
      </c>
      <c r="Y29" s="31" t="e">
        <f>VLOOKUP($D29,Résultats!$B$2:$AZ$251,Y$2,FALSE)</f>
        <v>#N/A</v>
      </c>
      <c r="Z29" s="31" t="e">
        <f>VLOOKUP($D29,Résultats!$B$2:$AZ$251,Z$2,FALSE)</f>
        <v>#N/A</v>
      </c>
      <c r="AA29" s="31" t="e">
        <f>VLOOKUP($D29,Résultats!$B$2:$AZ$251,AA$2,FALSE)</f>
        <v>#N/A</v>
      </c>
      <c r="AB29" s="31" t="e">
        <f>VLOOKUP($D29,Résultats!$B$2:$AZ$251,AB$2,FALSE)</f>
        <v>#N/A</v>
      </c>
      <c r="AC29" s="31" t="e">
        <f>VLOOKUP($D29,Résultats!$B$2:$AZ$251,AC$2,FALSE)</f>
        <v>#N/A</v>
      </c>
      <c r="AD29" s="31" t="e">
        <f>VLOOKUP($D29,Résultats!$B$2:$AZ$251,AD$2,FALSE)</f>
        <v>#N/A</v>
      </c>
      <c r="AE29" s="31" t="e">
        <f>VLOOKUP($D29,Résultats!$B$2:$AZ$251,AE$2,FALSE)</f>
        <v>#N/A</v>
      </c>
      <c r="AF29" s="31" t="e">
        <f>VLOOKUP($D29,Résultats!$B$2:$AZ$251,AF$2,FALSE)</f>
        <v>#N/A</v>
      </c>
      <c r="AG29" s="31" t="e">
        <f>VLOOKUP($D29,Résultats!$B$2:$AZ$251,AG$2,FALSE)</f>
        <v>#N/A</v>
      </c>
      <c r="AH29" s="31" t="e">
        <f>VLOOKUP($D29,Résultats!$B$2:$AZ$251,AH$2,FALSE)</f>
        <v>#N/A</v>
      </c>
      <c r="AI29" s="31" t="e">
        <f>VLOOKUP($D29,Résultats!$B$2:$AZ$251,AI$2,FALSE)</f>
        <v>#N/A</v>
      </c>
      <c r="AJ29" s="31" t="e">
        <f>VLOOKUP($D29,Résultats!$B$2:$AZ$251,AJ$2,FALSE)</f>
        <v>#N/A</v>
      </c>
      <c r="AK29" s="31" t="e">
        <f>VLOOKUP($D29,Résultats!$B$2:$AZ$251,AK$2,FALSE)</f>
        <v>#N/A</v>
      </c>
      <c r="AL29" s="31" t="e">
        <f>VLOOKUP($D29,Résultats!$B$2:$AZ$251,AL$2,FALSE)</f>
        <v>#N/A</v>
      </c>
      <c r="AM29" s="31" t="e">
        <f>VLOOKUP($D29,Résultats!$B$2:$AZ$251,AM$2,FALSE)</f>
        <v>#N/A</v>
      </c>
    </row>
    <row r="30" spans="1:39" x14ac:dyDescent="0.25">
      <c r="C30" s="56" t="s">
        <v>29</v>
      </c>
      <c r="D30" s="76" t="s">
        <v>76</v>
      </c>
      <c r="E30" s="31" t="e">
        <f>VLOOKUP($D30,Résultats!$B$2:$AZ$251,E$2,FALSE)</f>
        <v>#N/A</v>
      </c>
      <c r="F30" s="31" t="e">
        <f>VLOOKUP($D30,Résultats!$B$2:$AZ$251,F$2,FALSE)</f>
        <v>#N/A</v>
      </c>
      <c r="G30" s="31" t="e">
        <f>VLOOKUP($D30,Résultats!$B$2:$AZ$251,G$2,FALSE)</f>
        <v>#N/A</v>
      </c>
      <c r="H30" s="31" t="e">
        <f>VLOOKUP($D30,Résultats!$B$2:$AZ$251,H$2,FALSE)</f>
        <v>#N/A</v>
      </c>
      <c r="I30" s="31" t="e">
        <f>VLOOKUP($D30,Résultats!$B$2:$AZ$251,I$2,FALSE)</f>
        <v>#N/A</v>
      </c>
      <c r="J30" s="31" t="e">
        <f>VLOOKUP($D30,Résultats!$B$2:$AZ$251,J$2,FALSE)</f>
        <v>#N/A</v>
      </c>
      <c r="K30" s="31" t="e">
        <f>VLOOKUP($D30,Résultats!$B$2:$AZ$251,K$2,FALSE)</f>
        <v>#N/A</v>
      </c>
      <c r="L30" s="31" t="e">
        <f>VLOOKUP($D30,Résultats!$B$2:$AZ$251,L$2,FALSE)</f>
        <v>#N/A</v>
      </c>
      <c r="M30" s="31" t="e">
        <f>VLOOKUP($D30,Résultats!$B$2:$AZ$251,M$2,FALSE)</f>
        <v>#N/A</v>
      </c>
      <c r="N30" s="31" t="e">
        <f>VLOOKUP($D30,Résultats!$B$2:$AZ$251,N$2,FALSE)</f>
        <v>#N/A</v>
      </c>
      <c r="O30" s="31" t="e">
        <f>VLOOKUP($D30,Résultats!$B$2:$AZ$251,O$2,FALSE)</f>
        <v>#N/A</v>
      </c>
      <c r="P30" s="31" t="e">
        <f>VLOOKUP($D30,Résultats!$B$2:$AZ$251,P$2,FALSE)</f>
        <v>#N/A</v>
      </c>
      <c r="Q30" s="31" t="e">
        <f>VLOOKUP($D30,Résultats!$B$2:$AZ$251,Q$2,FALSE)</f>
        <v>#N/A</v>
      </c>
      <c r="R30" s="31" t="e">
        <f>VLOOKUP($D30,Résultats!$B$2:$AZ$251,R$2,FALSE)</f>
        <v>#N/A</v>
      </c>
      <c r="S30" s="31" t="e">
        <f>VLOOKUP($D30,Résultats!$B$2:$AZ$251,S$2,FALSE)</f>
        <v>#N/A</v>
      </c>
      <c r="T30" s="31" t="e">
        <f>VLOOKUP($D30,Résultats!$B$2:$AZ$251,T$2,FALSE)</f>
        <v>#N/A</v>
      </c>
      <c r="U30" s="31" t="e">
        <f>VLOOKUP($D30,Résultats!$B$2:$AZ$251,U$2,FALSE)</f>
        <v>#N/A</v>
      </c>
      <c r="V30" s="31" t="e">
        <f>VLOOKUP($D30,Résultats!$B$2:$AZ$251,V$2,FALSE)</f>
        <v>#N/A</v>
      </c>
      <c r="W30" s="31" t="e">
        <f>VLOOKUP($D30,Résultats!$B$2:$AZ$251,W$2,FALSE)</f>
        <v>#N/A</v>
      </c>
      <c r="X30" s="31" t="e">
        <f>VLOOKUP($D30,Résultats!$B$2:$AZ$251,X$2,FALSE)</f>
        <v>#N/A</v>
      </c>
      <c r="Y30" s="31" t="e">
        <f>VLOOKUP($D30,Résultats!$B$2:$AZ$251,Y$2,FALSE)</f>
        <v>#N/A</v>
      </c>
      <c r="Z30" s="31" t="e">
        <f>VLOOKUP($D30,Résultats!$B$2:$AZ$251,Z$2,FALSE)</f>
        <v>#N/A</v>
      </c>
      <c r="AA30" s="31" t="e">
        <f>VLOOKUP($D30,Résultats!$B$2:$AZ$251,AA$2,FALSE)</f>
        <v>#N/A</v>
      </c>
      <c r="AB30" s="31" t="e">
        <f>VLOOKUP($D30,Résultats!$B$2:$AZ$251,AB$2,FALSE)</f>
        <v>#N/A</v>
      </c>
      <c r="AC30" s="31" t="e">
        <f>VLOOKUP($D30,Résultats!$B$2:$AZ$251,AC$2,FALSE)</f>
        <v>#N/A</v>
      </c>
      <c r="AD30" s="31" t="e">
        <f>VLOOKUP($D30,Résultats!$B$2:$AZ$251,AD$2,FALSE)</f>
        <v>#N/A</v>
      </c>
      <c r="AE30" s="31" t="e">
        <f>VLOOKUP($D30,Résultats!$B$2:$AZ$251,AE$2,FALSE)</f>
        <v>#N/A</v>
      </c>
      <c r="AF30" s="31" t="e">
        <f>VLOOKUP($D30,Résultats!$B$2:$AZ$251,AF$2,FALSE)</f>
        <v>#N/A</v>
      </c>
      <c r="AG30" s="31" t="e">
        <f>VLOOKUP($D30,Résultats!$B$2:$AZ$251,AG$2,FALSE)</f>
        <v>#N/A</v>
      </c>
      <c r="AH30" s="31" t="e">
        <f>VLOOKUP($D30,Résultats!$B$2:$AZ$251,AH$2,FALSE)</f>
        <v>#N/A</v>
      </c>
      <c r="AI30" s="31" t="e">
        <f>VLOOKUP($D30,Résultats!$B$2:$AZ$251,AI$2,FALSE)</f>
        <v>#N/A</v>
      </c>
      <c r="AJ30" s="31" t="e">
        <f>VLOOKUP($D30,Résultats!$B$2:$AZ$251,AJ$2,FALSE)</f>
        <v>#N/A</v>
      </c>
      <c r="AK30" s="31" t="e">
        <f>VLOOKUP($D30,Résultats!$B$2:$AZ$251,AK$2,FALSE)</f>
        <v>#N/A</v>
      </c>
      <c r="AL30" s="31" t="e">
        <f>VLOOKUP($D30,Résultats!$B$2:$AZ$251,AL$2,FALSE)</f>
        <v>#N/A</v>
      </c>
      <c r="AM30" s="31" t="e">
        <f>VLOOKUP($D30,Résultats!$B$2:$AZ$251,AM$2,FALSE)</f>
        <v>#N/A</v>
      </c>
    </row>
    <row r="31" spans="1:39" x14ac:dyDescent="0.25">
      <c r="C31" s="56" t="s">
        <v>30</v>
      </c>
      <c r="D31" s="76" t="s">
        <v>77</v>
      </c>
      <c r="E31" s="31" t="e">
        <f>VLOOKUP($D31,Résultats!$B$2:$AZ$251,E$2,FALSE)</f>
        <v>#N/A</v>
      </c>
      <c r="F31" s="31" t="e">
        <f>VLOOKUP($D31,Résultats!$B$2:$AZ$251,F$2,FALSE)</f>
        <v>#N/A</v>
      </c>
      <c r="G31" s="31" t="e">
        <f>VLOOKUP($D31,Résultats!$B$2:$AZ$251,G$2,FALSE)</f>
        <v>#N/A</v>
      </c>
      <c r="H31" s="31" t="e">
        <f>VLOOKUP($D31,Résultats!$B$2:$AZ$251,H$2,FALSE)</f>
        <v>#N/A</v>
      </c>
      <c r="I31" s="31" t="e">
        <f>VLOOKUP($D31,Résultats!$B$2:$AZ$251,I$2,FALSE)</f>
        <v>#N/A</v>
      </c>
      <c r="J31" s="31" t="e">
        <f>VLOOKUP($D31,Résultats!$B$2:$AZ$251,J$2,FALSE)</f>
        <v>#N/A</v>
      </c>
      <c r="K31" s="31" t="e">
        <f>VLOOKUP($D31,Résultats!$B$2:$AZ$251,K$2,FALSE)</f>
        <v>#N/A</v>
      </c>
      <c r="L31" s="31" t="e">
        <f>VLOOKUP($D31,Résultats!$B$2:$AZ$251,L$2,FALSE)</f>
        <v>#N/A</v>
      </c>
      <c r="M31" s="31" t="e">
        <f>VLOOKUP($D31,Résultats!$B$2:$AZ$251,M$2,FALSE)</f>
        <v>#N/A</v>
      </c>
      <c r="N31" s="31" t="e">
        <f>VLOOKUP($D31,Résultats!$B$2:$AZ$251,N$2,FALSE)</f>
        <v>#N/A</v>
      </c>
      <c r="O31" s="31" t="e">
        <f>VLOOKUP($D31,Résultats!$B$2:$AZ$251,O$2,FALSE)</f>
        <v>#N/A</v>
      </c>
      <c r="P31" s="31" t="e">
        <f>VLOOKUP($D31,Résultats!$B$2:$AZ$251,P$2,FALSE)</f>
        <v>#N/A</v>
      </c>
      <c r="Q31" s="31" t="e">
        <f>VLOOKUP($D31,Résultats!$B$2:$AZ$251,Q$2,FALSE)</f>
        <v>#N/A</v>
      </c>
      <c r="R31" s="31" t="e">
        <f>VLOOKUP($D31,Résultats!$B$2:$AZ$251,R$2,FALSE)</f>
        <v>#N/A</v>
      </c>
      <c r="S31" s="31" t="e">
        <f>VLOOKUP($D31,Résultats!$B$2:$AZ$251,S$2,FALSE)</f>
        <v>#N/A</v>
      </c>
      <c r="T31" s="31" t="e">
        <f>VLOOKUP($D31,Résultats!$B$2:$AZ$251,T$2,FALSE)</f>
        <v>#N/A</v>
      </c>
      <c r="U31" s="31" t="e">
        <f>VLOOKUP($D31,Résultats!$B$2:$AZ$251,U$2,FALSE)</f>
        <v>#N/A</v>
      </c>
      <c r="V31" s="31" t="e">
        <f>VLOOKUP($D31,Résultats!$B$2:$AZ$251,V$2,FALSE)</f>
        <v>#N/A</v>
      </c>
      <c r="W31" s="31" t="e">
        <f>VLOOKUP($D31,Résultats!$B$2:$AZ$251,W$2,FALSE)</f>
        <v>#N/A</v>
      </c>
      <c r="X31" s="31" t="e">
        <f>VLOOKUP($D31,Résultats!$B$2:$AZ$251,X$2,FALSE)</f>
        <v>#N/A</v>
      </c>
      <c r="Y31" s="31" t="e">
        <f>VLOOKUP($D31,Résultats!$B$2:$AZ$251,Y$2,FALSE)</f>
        <v>#N/A</v>
      </c>
      <c r="Z31" s="31" t="e">
        <f>VLOOKUP($D31,Résultats!$B$2:$AZ$251,Z$2,FALSE)</f>
        <v>#N/A</v>
      </c>
      <c r="AA31" s="31" t="e">
        <f>VLOOKUP($D31,Résultats!$B$2:$AZ$251,AA$2,FALSE)</f>
        <v>#N/A</v>
      </c>
      <c r="AB31" s="31" t="e">
        <f>VLOOKUP($D31,Résultats!$B$2:$AZ$251,AB$2,FALSE)</f>
        <v>#N/A</v>
      </c>
      <c r="AC31" s="31" t="e">
        <f>VLOOKUP($D31,Résultats!$B$2:$AZ$251,AC$2,FALSE)</f>
        <v>#N/A</v>
      </c>
      <c r="AD31" s="31" t="e">
        <f>VLOOKUP($D31,Résultats!$B$2:$AZ$251,AD$2,FALSE)</f>
        <v>#N/A</v>
      </c>
      <c r="AE31" s="31" t="e">
        <f>VLOOKUP($D31,Résultats!$B$2:$AZ$251,AE$2,FALSE)</f>
        <v>#N/A</v>
      </c>
      <c r="AF31" s="31" t="e">
        <f>VLOOKUP($D31,Résultats!$B$2:$AZ$251,AF$2,FALSE)</f>
        <v>#N/A</v>
      </c>
      <c r="AG31" s="31" t="e">
        <f>VLOOKUP($D31,Résultats!$B$2:$AZ$251,AG$2,FALSE)</f>
        <v>#N/A</v>
      </c>
      <c r="AH31" s="31" t="e">
        <f>VLOOKUP($D31,Résultats!$B$2:$AZ$251,AH$2,FALSE)</f>
        <v>#N/A</v>
      </c>
      <c r="AI31" s="31" t="e">
        <f>VLOOKUP($D31,Résultats!$B$2:$AZ$251,AI$2,FALSE)</f>
        <v>#N/A</v>
      </c>
      <c r="AJ31" s="31" t="e">
        <f>VLOOKUP($D31,Résultats!$B$2:$AZ$251,AJ$2,FALSE)</f>
        <v>#N/A</v>
      </c>
      <c r="AK31" s="31" t="e">
        <f>VLOOKUP($D31,Résultats!$B$2:$AZ$251,AK$2,FALSE)</f>
        <v>#N/A</v>
      </c>
      <c r="AL31" s="31" t="e">
        <f>VLOOKUP($D31,Résultats!$B$2:$AZ$251,AL$2,FALSE)</f>
        <v>#N/A</v>
      </c>
      <c r="AM31" s="31" t="e">
        <f>VLOOKUP($D31,Résultats!$B$2:$AZ$251,AM$2,FALSE)</f>
        <v>#N/A</v>
      </c>
    </row>
    <row r="32" spans="1:39" x14ac:dyDescent="0.25">
      <c r="C32" s="56" t="s">
        <v>31</v>
      </c>
      <c r="D32" s="76" t="s">
        <v>78</v>
      </c>
      <c r="E32" s="31" t="e">
        <f>VLOOKUP($D32,Résultats!$B$2:$AZ$251,E$2,FALSE)</f>
        <v>#N/A</v>
      </c>
      <c r="F32" s="31" t="e">
        <f>VLOOKUP($D32,Résultats!$B$2:$AZ$251,F$2,FALSE)</f>
        <v>#N/A</v>
      </c>
      <c r="G32" s="31" t="e">
        <f>VLOOKUP($D32,Résultats!$B$2:$AZ$251,G$2,FALSE)</f>
        <v>#N/A</v>
      </c>
      <c r="H32" s="31" t="e">
        <f>VLOOKUP($D32,Résultats!$B$2:$AZ$251,H$2,FALSE)</f>
        <v>#N/A</v>
      </c>
      <c r="I32" s="31" t="e">
        <f>VLOOKUP($D32,Résultats!$B$2:$AZ$251,I$2,FALSE)</f>
        <v>#N/A</v>
      </c>
      <c r="J32" s="31" t="e">
        <f>VLOOKUP($D32,Résultats!$B$2:$AZ$251,J$2,FALSE)</f>
        <v>#N/A</v>
      </c>
      <c r="K32" s="31" t="e">
        <f>VLOOKUP($D32,Résultats!$B$2:$AZ$251,K$2,FALSE)</f>
        <v>#N/A</v>
      </c>
      <c r="L32" s="31" t="e">
        <f>VLOOKUP($D32,Résultats!$B$2:$AZ$251,L$2,FALSE)</f>
        <v>#N/A</v>
      </c>
      <c r="M32" s="31" t="e">
        <f>VLOOKUP($D32,Résultats!$B$2:$AZ$251,M$2,FALSE)</f>
        <v>#N/A</v>
      </c>
      <c r="N32" s="31" t="e">
        <f>VLOOKUP($D32,Résultats!$B$2:$AZ$251,N$2,FALSE)</f>
        <v>#N/A</v>
      </c>
      <c r="O32" s="31" t="e">
        <f>VLOOKUP($D32,Résultats!$B$2:$AZ$251,O$2,FALSE)</f>
        <v>#N/A</v>
      </c>
      <c r="P32" s="31" t="e">
        <f>VLOOKUP($D32,Résultats!$B$2:$AZ$251,P$2,FALSE)</f>
        <v>#N/A</v>
      </c>
      <c r="Q32" s="31" t="e">
        <f>VLOOKUP($D32,Résultats!$B$2:$AZ$251,Q$2,FALSE)</f>
        <v>#N/A</v>
      </c>
      <c r="R32" s="31" t="e">
        <f>VLOOKUP($D32,Résultats!$B$2:$AZ$251,R$2,FALSE)</f>
        <v>#N/A</v>
      </c>
      <c r="S32" s="31" t="e">
        <f>VLOOKUP($D32,Résultats!$B$2:$AZ$251,S$2,FALSE)</f>
        <v>#N/A</v>
      </c>
      <c r="T32" s="31" t="e">
        <f>VLOOKUP($D32,Résultats!$B$2:$AZ$251,T$2,FALSE)</f>
        <v>#N/A</v>
      </c>
      <c r="U32" s="31" t="e">
        <f>VLOOKUP($D32,Résultats!$B$2:$AZ$251,U$2,FALSE)</f>
        <v>#N/A</v>
      </c>
      <c r="V32" s="31" t="e">
        <f>VLOOKUP($D32,Résultats!$B$2:$AZ$251,V$2,FALSE)</f>
        <v>#N/A</v>
      </c>
      <c r="W32" s="31" t="e">
        <f>VLOOKUP($D32,Résultats!$B$2:$AZ$251,W$2,FALSE)</f>
        <v>#N/A</v>
      </c>
      <c r="X32" s="31" t="e">
        <f>VLOOKUP($D32,Résultats!$B$2:$AZ$251,X$2,FALSE)</f>
        <v>#N/A</v>
      </c>
      <c r="Y32" s="31" t="e">
        <f>VLOOKUP($D32,Résultats!$B$2:$AZ$251,Y$2,FALSE)</f>
        <v>#N/A</v>
      </c>
      <c r="Z32" s="31" t="e">
        <f>VLOOKUP($D32,Résultats!$B$2:$AZ$251,Z$2,FALSE)</f>
        <v>#N/A</v>
      </c>
      <c r="AA32" s="31" t="e">
        <f>VLOOKUP($D32,Résultats!$B$2:$AZ$251,AA$2,FALSE)</f>
        <v>#N/A</v>
      </c>
      <c r="AB32" s="31" t="e">
        <f>VLOOKUP($D32,Résultats!$B$2:$AZ$251,AB$2,FALSE)</f>
        <v>#N/A</v>
      </c>
      <c r="AC32" s="31" t="e">
        <f>VLOOKUP($D32,Résultats!$B$2:$AZ$251,AC$2,FALSE)</f>
        <v>#N/A</v>
      </c>
      <c r="AD32" s="31" t="e">
        <f>VLOOKUP($D32,Résultats!$B$2:$AZ$251,AD$2,FALSE)</f>
        <v>#N/A</v>
      </c>
      <c r="AE32" s="31" t="e">
        <f>VLOOKUP($D32,Résultats!$B$2:$AZ$251,AE$2,FALSE)</f>
        <v>#N/A</v>
      </c>
      <c r="AF32" s="31" t="e">
        <f>VLOOKUP($D32,Résultats!$B$2:$AZ$251,AF$2,FALSE)</f>
        <v>#N/A</v>
      </c>
      <c r="AG32" s="31" t="e">
        <f>VLOOKUP($D32,Résultats!$B$2:$AZ$251,AG$2,FALSE)</f>
        <v>#N/A</v>
      </c>
      <c r="AH32" s="31" t="e">
        <f>VLOOKUP($D32,Résultats!$B$2:$AZ$251,AH$2,FALSE)</f>
        <v>#N/A</v>
      </c>
      <c r="AI32" s="31" t="e">
        <f>VLOOKUP($D32,Résultats!$B$2:$AZ$251,AI$2,FALSE)</f>
        <v>#N/A</v>
      </c>
      <c r="AJ32" s="31" t="e">
        <f>VLOOKUP($D32,Résultats!$B$2:$AZ$251,AJ$2,FALSE)</f>
        <v>#N/A</v>
      </c>
      <c r="AK32" s="31" t="e">
        <f>VLOOKUP($D32,Résultats!$B$2:$AZ$251,AK$2,FALSE)</f>
        <v>#N/A</v>
      </c>
      <c r="AL32" s="31" t="e">
        <f>VLOOKUP($D32,Résultats!$B$2:$AZ$251,AL$2,FALSE)</f>
        <v>#N/A</v>
      </c>
      <c r="AM32" s="31" t="e">
        <f>VLOOKUP($D32,Résultats!$B$2:$AZ$251,AM$2,FALSE)</f>
        <v>#N/A</v>
      </c>
    </row>
    <row r="33" spans="2:39" x14ac:dyDescent="0.25">
      <c r="C33" s="56" t="s">
        <v>32</v>
      </c>
      <c r="D33" s="76" t="s">
        <v>79</v>
      </c>
      <c r="E33" s="31" t="e">
        <f>VLOOKUP($D33,Résultats!$B$2:$AZ$251,E$2,FALSE)</f>
        <v>#N/A</v>
      </c>
      <c r="F33" s="31" t="e">
        <f>VLOOKUP($D33,Résultats!$B$2:$AZ$251,F$2,FALSE)</f>
        <v>#N/A</v>
      </c>
      <c r="G33" s="31" t="e">
        <f>VLOOKUP($D33,Résultats!$B$2:$AZ$251,G$2,FALSE)</f>
        <v>#N/A</v>
      </c>
      <c r="H33" s="31" t="e">
        <f>VLOOKUP($D33,Résultats!$B$2:$AZ$251,H$2,FALSE)</f>
        <v>#N/A</v>
      </c>
      <c r="I33" s="31" t="e">
        <f>VLOOKUP($D33,Résultats!$B$2:$AZ$251,I$2,FALSE)</f>
        <v>#N/A</v>
      </c>
      <c r="J33" s="31" t="e">
        <f>VLOOKUP($D33,Résultats!$B$2:$AZ$251,J$2,FALSE)</f>
        <v>#N/A</v>
      </c>
      <c r="K33" s="31" t="e">
        <f>VLOOKUP($D33,Résultats!$B$2:$AZ$251,K$2,FALSE)</f>
        <v>#N/A</v>
      </c>
      <c r="L33" s="31" t="e">
        <f>VLOOKUP($D33,Résultats!$B$2:$AZ$251,L$2,FALSE)</f>
        <v>#N/A</v>
      </c>
      <c r="M33" s="31" t="e">
        <f>VLOOKUP($D33,Résultats!$B$2:$AZ$251,M$2,FALSE)</f>
        <v>#N/A</v>
      </c>
      <c r="N33" s="31" t="e">
        <f>VLOOKUP($D33,Résultats!$B$2:$AZ$251,N$2,FALSE)</f>
        <v>#N/A</v>
      </c>
      <c r="O33" s="31" t="e">
        <f>VLOOKUP($D33,Résultats!$B$2:$AZ$251,O$2,FALSE)</f>
        <v>#N/A</v>
      </c>
      <c r="P33" s="31" t="e">
        <f>VLOOKUP($D33,Résultats!$B$2:$AZ$251,P$2,FALSE)</f>
        <v>#N/A</v>
      </c>
      <c r="Q33" s="31" t="e">
        <f>VLOOKUP($D33,Résultats!$B$2:$AZ$251,Q$2,FALSE)</f>
        <v>#N/A</v>
      </c>
      <c r="R33" s="31" t="e">
        <f>VLOOKUP($D33,Résultats!$B$2:$AZ$251,R$2,FALSE)</f>
        <v>#N/A</v>
      </c>
      <c r="S33" s="31" t="e">
        <f>VLOOKUP($D33,Résultats!$B$2:$AZ$251,S$2,FALSE)</f>
        <v>#N/A</v>
      </c>
      <c r="T33" s="31" t="e">
        <f>VLOOKUP($D33,Résultats!$B$2:$AZ$251,T$2,FALSE)</f>
        <v>#N/A</v>
      </c>
      <c r="U33" s="31" t="e">
        <f>VLOOKUP($D33,Résultats!$B$2:$AZ$251,U$2,FALSE)</f>
        <v>#N/A</v>
      </c>
      <c r="V33" s="31" t="e">
        <f>VLOOKUP($D33,Résultats!$B$2:$AZ$251,V$2,FALSE)</f>
        <v>#N/A</v>
      </c>
      <c r="W33" s="31" t="e">
        <f>VLOOKUP($D33,Résultats!$B$2:$AZ$251,W$2,FALSE)</f>
        <v>#N/A</v>
      </c>
      <c r="X33" s="31" t="e">
        <f>VLOOKUP($D33,Résultats!$B$2:$AZ$251,X$2,FALSE)</f>
        <v>#N/A</v>
      </c>
      <c r="Y33" s="31" t="e">
        <f>VLOOKUP($D33,Résultats!$B$2:$AZ$251,Y$2,FALSE)</f>
        <v>#N/A</v>
      </c>
      <c r="Z33" s="31" t="e">
        <f>VLOOKUP($D33,Résultats!$B$2:$AZ$251,Z$2,FALSE)</f>
        <v>#N/A</v>
      </c>
      <c r="AA33" s="31" t="e">
        <f>VLOOKUP($D33,Résultats!$B$2:$AZ$251,AA$2,FALSE)</f>
        <v>#N/A</v>
      </c>
      <c r="AB33" s="31" t="e">
        <f>VLOOKUP($D33,Résultats!$B$2:$AZ$251,AB$2,FALSE)</f>
        <v>#N/A</v>
      </c>
      <c r="AC33" s="31" t="e">
        <f>VLOOKUP($D33,Résultats!$B$2:$AZ$251,AC$2,FALSE)</f>
        <v>#N/A</v>
      </c>
      <c r="AD33" s="31" t="e">
        <f>VLOOKUP($D33,Résultats!$B$2:$AZ$251,AD$2,FALSE)</f>
        <v>#N/A</v>
      </c>
      <c r="AE33" s="31" t="e">
        <f>VLOOKUP($D33,Résultats!$B$2:$AZ$251,AE$2,FALSE)</f>
        <v>#N/A</v>
      </c>
      <c r="AF33" s="31" t="e">
        <f>VLOOKUP($D33,Résultats!$B$2:$AZ$251,AF$2,FALSE)</f>
        <v>#N/A</v>
      </c>
      <c r="AG33" s="31" t="e">
        <f>VLOOKUP($D33,Résultats!$B$2:$AZ$251,AG$2,FALSE)</f>
        <v>#N/A</v>
      </c>
      <c r="AH33" s="31" t="e">
        <f>VLOOKUP($D33,Résultats!$B$2:$AZ$251,AH$2,FALSE)</f>
        <v>#N/A</v>
      </c>
      <c r="AI33" s="31" t="e">
        <f>VLOOKUP($D33,Résultats!$B$2:$AZ$251,AI$2,FALSE)</f>
        <v>#N/A</v>
      </c>
      <c r="AJ33" s="31" t="e">
        <f>VLOOKUP($D33,Résultats!$B$2:$AZ$251,AJ$2,FALSE)</f>
        <v>#N/A</v>
      </c>
      <c r="AK33" s="31" t="e">
        <f>VLOOKUP($D33,Résultats!$B$2:$AZ$251,AK$2,FALSE)</f>
        <v>#N/A</v>
      </c>
      <c r="AL33" s="31" t="e">
        <f>VLOOKUP($D33,Résultats!$B$2:$AZ$251,AL$2,FALSE)</f>
        <v>#N/A</v>
      </c>
      <c r="AM33" s="31" t="e">
        <f>VLOOKUP($D33,Résultats!$B$2:$AZ$251,AM$2,FALSE)</f>
        <v>#N/A</v>
      </c>
    </row>
    <row r="34" spans="2:39" x14ac:dyDescent="0.25">
      <c r="C34" s="56" t="s">
        <v>33</v>
      </c>
      <c r="D34" s="76" t="s">
        <v>80</v>
      </c>
      <c r="E34" s="77" t="e">
        <f>VLOOKUP($D34,Résultats!$B$2:$AZ$251,E$2,FALSE)</f>
        <v>#N/A</v>
      </c>
      <c r="F34" s="77" t="e">
        <f>VLOOKUP($D34,Résultats!$B$2:$AZ$251,F$2,FALSE)</f>
        <v>#N/A</v>
      </c>
      <c r="G34" s="77" t="e">
        <f>VLOOKUP($D34,Résultats!$B$2:$AZ$251,G$2,FALSE)</f>
        <v>#N/A</v>
      </c>
      <c r="H34" s="77" t="e">
        <f>VLOOKUP($D34,Résultats!$B$2:$AZ$251,H$2,FALSE)</f>
        <v>#N/A</v>
      </c>
      <c r="I34" s="77" t="e">
        <f>VLOOKUP($D34,Résultats!$B$2:$AZ$251,I$2,FALSE)</f>
        <v>#N/A</v>
      </c>
      <c r="J34" s="77" t="e">
        <f>VLOOKUP($D34,Résultats!$B$2:$AZ$251,J$2,FALSE)</f>
        <v>#N/A</v>
      </c>
      <c r="K34" s="77" t="e">
        <f>VLOOKUP($D34,Résultats!$B$2:$AZ$251,K$2,FALSE)</f>
        <v>#N/A</v>
      </c>
      <c r="L34" s="77" t="e">
        <f>VLOOKUP($D34,Résultats!$B$2:$AZ$251,L$2,FALSE)</f>
        <v>#N/A</v>
      </c>
      <c r="M34" s="77" t="e">
        <f>VLOOKUP($D34,Résultats!$B$2:$AZ$251,M$2,FALSE)</f>
        <v>#N/A</v>
      </c>
      <c r="N34" s="77" t="e">
        <f>VLOOKUP($D34,Résultats!$B$2:$AZ$251,N$2,FALSE)</f>
        <v>#N/A</v>
      </c>
      <c r="O34" s="77" t="e">
        <f>VLOOKUP($D34,Résultats!$B$2:$AZ$251,O$2,FALSE)</f>
        <v>#N/A</v>
      </c>
      <c r="P34" s="77" t="e">
        <f>VLOOKUP($D34,Résultats!$B$2:$AZ$251,P$2,FALSE)</f>
        <v>#N/A</v>
      </c>
      <c r="Q34" s="77" t="e">
        <f>VLOOKUP($D34,Résultats!$B$2:$AZ$251,Q$2,FALSE)</f>
        <v>#N/A</v>
      </c>
      <c r="R34" s="77" t="e">
        <f>VLOOKUP($D34,Résultats!$B$2:$AZ$251,R$2,FALSE)</f>
        <v>#N/A</v>
      </c>
      <c r="S34" s="77" t="e">
        <f>VLOOKUP($D34,Résultats!$B$2:$AZ$251,S$2,FALSE)</f>
        <v>#N/A</v>
      </c>
      <c r="T34" s="77" t="e">
        <f>VLOOKUP($D34,Résultats!$B$2:$AZ$251,T$2,FALSE)</f>
        <v>#N/A</v>
      </c>
      <c r="U34" s="77" t="e">
        <f>VLOOKUP($D34,Résultats!$B$2:$AZ$251,U$2,FALSE)</f>
        <v>#N/A</v>
      </c>
      <c r="V34" s="77" t="e">
        <f>VLOOKUP($D34,Résultats!$B$2:$AZ$251,V$2,FALSE)</f>
        <v>#N/A</v>
      </c>
      <c r="W34" s="77" t="e">
        <f>VLOOKUP($D34,Résultats!$B$2:$AZ$251,W$2,FALSE)</f>
        <v>#N/A</v>
      </c>
      <c r="X34" s="77" t="e">
        <f>VLOOKUP($D34,Résultats!$B$2:$AZ$251,X$2,FALSE)</f>
        <v>#N/A</v>
      </c>
      <c r="Y34" s="77" t="e">
        <f>VLOOKUP($D34,Résultats!$B$2:$AZ$251,Y$2,FALSE)</f>
        <v>#N/A</v>
      </c>
      <c r="Z34" s="77" t="e">
        <f>VLOOKUP($D34,Résultats!$B$2:$AZ$251,Z$2,FALSE)</f>
        <v>#N/A</v>
      </c>
      <c r="AA34" s="77" t="e">
        <f>VLOOKUP($D34,Résultats!$B$2:$AZ$251,AA$2,FALSE)</f>
        <v>#N/A</v>
      </c>
      <c r="AB34" s="77" t="e">
        <f>VLOOKUP($D34,Résultats!$B$2:$AZ$251,AB$2,FALSE)</f>
        <v>#N/A</v>
      </c>
      <c r="AC34" s="77" t="e">
        <f>VLOOKUP($D34,Résultats!$B$2:$AZ$251,AC$2,FALSE)</f>
        <v>#N/A</v>
      </c>
      <c r="AD34" s="77" t="e">
        <f>VLOOKUP($D34,Résultats!$B$2:$AZ$251,AD$2,FALSE)</f>
        <v>#N/A</v>
      </c>
      <c r="AE34" s="77" t="e">
        <f>VLOOKUP($D34,Résultats!$B$2:$AZ$251,AE$2,FALSE)</f>
        <v>#N/A</v>
      </c>
      <c r="AF34" s="77" t="e">
        <f>VLOOKUP($D34,Résultats!$B$2:$AZ$251,AF$2,FALSE)</f>
        <v>#N/A</v>
      </c>
      <c r="AG34" s="77" t="e">
        <f>VLOOKUP($D34,Résultats!$B$2:$AZ$251,AG$2,FALSE)</f>
        <v>#N/A</v>
      </c>
      <c r="AH34" s="77" t="e">
        <f>VLOOKUP($D34,Résultats!$B$2:$AZ$251,AH$2,FALSE)</f>
        <v>#N/A</v>
      </c>
      <c r="AI34" s="77" t="e">
        <f>VLOOKUP($D34,Résultats!$B$2:$AZ$251,AI$2,FALSE)</f>
        <v>#N/A</v>
      </c>
      <c r="AJ34" s="77" t="e">
        <f>VLOOKUP($D34,Résultats!$B$2:$AZ$251,AJ$2,FALSE)</f>
        <v>#N/A</v>
      </c>
      <c r="AK34" s="77" t="e">
        <f>VLOOKUP($D34,Résultats!$B$2:$AZ$251,AK$2,FALSE)</f>
        <v>#N/A</v>
      </c>
      <c r="AL34" s="77" t="e">
        <f>VLOOKUP($D34,Résultats!$B$2:$AZ$251,AL$2,FALSE)</f>
        <v>#N/A</v>
      </c>
      <c r="AM34" s="77" t="e">
        <f>VLOOKUP($D34,Résultats!$B$2:$AZ$251,AM$2,FALSE)</f>
        <v>#N/A</v>
      </c>
    </row>
    <row r="35" spans="2:39" x14ac:dyDescent="0.25">
      <c r="C35" s="74" t="s">
        <v>95</v>
      </c>
      <c r="D35" s="74" t="s">
        <v>65</v>
      </c>
      <c r="E35" s="75" t="e">
        <f>VLOOKUP($D35,Résultats!$B$2:$AZ$251,E$2,FALSE)</f>
        <v>#N/A</v>
      </c>
      <c r="F35" s="75" t="e">
        <f>VLOOKUP($D35,Résultats!$B$2:$AZ$251,F$2,FALSE)</f>
        <v>#N/A</v>
      </c>
      <c r="G35" s="75" t="e">
        <f>VLOOKUP($D35,Résultats!$B$2:$AZ$251,G$2,FALSE)</f>
        <v>#N/A</v>
      </c>
      <c r="H35" s="75" t="e">
        <f>VLOOKUP($D35,Résultats!$B$2:$AZ$251,H$2,FALSE)</f>
        <v>#N/A</v>
      </c>
      <c r="I35" s="75" t="e">
        <f>VLOOKUP($D35,Résultats!$B$2:$AZ$251,I$2,FALSE)</f>
        <v>#N/A</v>
      </c>
      <c r="J35" s="75" t="e">
        <f>VLOOKUP($D35,Résultats!$B$2:$AZ$251,J$2,FALSE)</f>
        <v>#N/A</v>
      </c>
      <c r="K35" s="75" t="e">
        <f>VLOOKUP($D35,Résultats!$B$2:$AZ$251,K$2,FALSE)</f>
        <v>#N/A</v>
      </c>
      <c r="L35" s="75" t="e">
        <f>VLOOKUP($D35,Résultats!$B$2:$AZ$251,L$2,FALSE)</f>
        <v>#N/A</v>
      </c>
      <c r="M35" s="75" t="e">
        <f>VLOOKUP($D35,Résultats!$B$2:$AZ$251,M$2,FALSE)</f>
        <v>#N/A</v>
      </c>
      <c r="N35" s="75" t="e">
        <f>VLOOKUP($D35,Résultats!$B$2:$AZ$251,N$2,FALSE)</f>
        <v>#N/A</v>
      </c>
      <c r="O35" s="75" t="e">
        <f>VLOOKUP($D35,Résultats!$B$2:$AZ$251,O$2,FALSE)</f>
        <v>#N/A</v>
      </c>
      <c r="P35" s="75" t="e">
        <f>VLOOKUP($D35,Résultats!$B$2:$AZ$251,P$2,FALSE)</f>
        <v>#N/A</v>
      </c>
      <c r="Q35" s="75" t="e">
        <f>VLOOKUP($D35,Résultats!$B$2:$AZ$251,Q$2,FALSE)</f>
        <v>#N/A</v>
      </c>
      <c r="R35" s="75" t="e">
        <f>VLOOKUP($D35,Résultats!$B$2:$AZ$251,R$2,FALSE)</f>
        <v>#N/A</v>
      </c>
      <c r="S35" s="75" t="e">
        <f>VLOOKUP($D35,Résultats!$B$2:$AZ$251,S$2,FALSE)</f>
        <v>#N/A</v>
      </c>
      <c r="T35" s="75" t="e">
        <f>VLOOKUP($D35,Résultats!$B$2:$AZ$251,T$2,FALSE)</f>
        <v>#N/A</v>
      </c>
      <c r="U35" s="75" t="e">
        <f>VLOOKUP($D35,Résultats!$B$2:$AZ$251,U$2,FALSE)</f>
        <v>#N/A</v>
      </c>
      <c r="V35" s="75" t="e">
        <f>VLOOKUP($D35,Résultats!$B$2:$AZ$251,V$2,FALSE)</f>
        <v>#N/A</v>
      </c>
      <c r="W35" s="75" t="e">
        <f>VLOOKUP($D35,Résultats!$B$2:$AZ$251,W$2,FALSE)</f>
        <v>#N/A</v>
      </c>
      <c r="X35" s="75" t="e">
        <f>VLOOKUP($D35,Résultats!$B$2:$AZ$251,X$2,FALSE)</f>
        <v>#N/A</v>
      </c>
      <c r="Y35" s="75" t="e">
        <f>VLOOKUP($D35,Résultats!$B$2:$AZ$251,Y$2,FALSE)</f>
        <v>#N/A</v>
      </c>
      <c r="Z35" s="75" t="e">
        <f>VLOOKUP($D35,Résultats!$B$2:$AZ$251,Z$2,FALSE)</f>
        <v>#N/A</v>
      </c>
      <c r="AA35" s="75" t="e">
        <f>VLOOKUP($D35,Résultats!$B$2:$AZ$251,AA$2,FALSE)</f>
        <v>#N/A</v>
      </c>
      <c r="AB35" s="75" t="e">
        <f>VLOOKUP($D35,Résultats!$B$2:$AZ$251,AB$2,FALSE)</f>
        <v>#N/A</v>
      </c>
      <c r="AC35" s="75" t="e">
        <f>VLOOKUP($D35,Résultats!$B$2:$AZ$251,AC$2,FALSE)</f>
        <v>#N/A</v>
      </c>
      <c r="AD35" s="75" t="e">
        <f>VLOOKUP($D35,Résultats!$B$2:$AZ$251,AD$2,FALSE)</f>
        <v>#N/A</v>
      </c>
      <c r="AE35" s="75" t="e">
        <f>VLOOKUP($D35,Résultats!$B$2:$AZ$251,AE$2,FALSE)</f>
        <v>#N/A</v>
      </c>
      <c r="AF35" s="75" t="e">
        <f>VLOOKUP($D35,Résultats!$B$2:$AZ$251,AF$2,FALSE)</f>
        <v>#N/A</v>
      </c>
      <c r="AG35" s="75" t="e">
        <f>VLOOKUP($D35,Résultats!$B$2:$AZ$251,AG$2,FALSE)</f>
        <v>#N/A</v>
      </c>
      <c r="AH35" s="75" t="e">
        <f>VLOOKUP($D35,Résultats!$B$2:$AZ$251,AH$2,FALSE)</f>
        <v>#N/A</v>
      </c>
      <c r="AI35" s="75" t="e">
        <f>VLOOKUP($D35,Résultats!$B$2:$AZ$251,AI$2,FALSE)</f>
        <v>#N/A</v>
      </c>
      <c r="AJ35" s="75" t="e">
        <f>VLOOKUP($D35,Résultats!$B$2:$AZ$251,AJ$2,FALSE)</f>
        <v>#N/A</v>
      </c>
      <c r="AK35" s="75" t="e">
        <f>VLOOKUP($D35,Résultats!$B$2:$AZ$251,AK$2,FALSE)</f>
        <v>#N/A</v>
      </c>
      <c r="AL35" s="75" t="e">
        <f>VLOOKUP($D35,Résultats!$B$2:$AZ$251,AL$2,FALSE)</f>
        <v>#N/A</v>
      </c>
      <c r="AM35" s="75" t="e">
        <f>VLOOKUP($D35,Résultats!$B$2:$AZ$251,AM$2,FALSE)</f>
        <v>#N/A</v>
      </c>
    </row>
    <row r="36" spans="2:39" x14ac:dyDescent="0.25">
      <c r="C36" s="56" t="s">
        <v>27</v>
      </c>
      <c r="D36" s="3" t="s">
        <v>66</v>
      </c>
      <c r="E36" s="31" t="e">
        <f>VLOOKUP($D36,Résultats!$B$2:$AZ$251,E$2,FALSE)</f>
        <v>#N/A</v>
      </c>
      <c r="F36" s="31" t="e">
        <f>VLOOKUP($D36,Résultats!$B$2:$AZ$251,F$2,FALSE)</f>
        <v>#N/A</v>
      </c>
      <c r="G36" s="31" t="e">
        <f>VLOOKUP($D36,Résultats!$B$2:$AZ$251,G$2,FALSE)</f>
        <v>#N/A</v>
      </c>
      <c r="H36" s="31" t="e">
        <f>VLOOKUP($D36,Résultats!$B$2:$AZ$251,H$2,FALSE)</f>
        <v>#N/A</v>
      </c>
      <c r="I36" s="31" t="e">
        <f>VLOOKUP($D36,Résultats!$B$2:$AZ$251,I$2,FALSE)</f>
        <v>#N/A</v>
      </c>
      <c r="J36" s="31" t="e">
        <f>VLOOKUP($D36,Résultats!$B$2:$AZ$251,J$2,FALSE)</f>
        <v>#N/A</v>
      </c>
      <c r="K36" s="31" t="e">
        <f>VLOOKUP($D36,Résultats!$B$2:$AZ$251,K$2,FALSE)</f>
        <v>#N/A</v>
      </c>
      <c r="L36" s="31" t="e">
        <f>VLOOKUP($D36,Résultats!$B$2:$AZ$251,L$2,FALSE)</f>
        <v>#N/A</v>
      </c>
      <c r="M36" s="31" t="e">
        <f>VLOOKUP($D36,Résultats!$B$2:$AZ$251,M$2,FALSE)</f>
        <v>#N/A</v>
      </c>
      <c r="N36" s="31" t="e">
        <f>VLOOKUP($D36,Résultats!$B$2:$AZ$251,N$2,FALSE)</f>
        <v>#N/A</v>
      </c>
      <c r="O36" s="31" t="e">
        <f>VLOOKUP($D36,Résultats!$B$2:$AZ$251,O$2,FALSE)</f>
        <v>#N/A</v>
      </c>
      <c r="P36" s="31" t="e">
        <f>VLOOKUP($D36,Résultats!$B$2:$AZ$251,P$2,FALSE)</f>
        <v>#N/A</v>
      </c>
      <c r="Q36" s="31" t="e">
        <f>VLOOKUP($D36,Résultats!$B$2:$AZ$251,Q$2,FALSE)</f>
        <v>#N/A</v>
      </c>
      <c r="R36" s="31" t="e">
        <f>VLOOKUP($D36,Résultats!$B$2:$AZ$251,R$2,FALSE)</f>
        <v>#N/A</v>
      </c>
      <c r="S36" s="31" t="e">
        <f>VLOOKUP($D36,Résultats!$B$2:$AZ$251,S$2,FALSE)</f>
        <v>#N/A</v>
      </c>
      <c r="T36" s="31" t="e">
        <f>VLOOKUP($D36,Résultats!$B$2:$AZ$251,T$2,FALSE)</f>
        <v>#N/A</v>
      </c>
      <c r="U36" s="31" t="e">
        <f>VLOOKUP($D36,Résultats!$B$2:$AZ$251,U$2,FALSE)</f>
        <v>#N/A</v>
      </c>
      <c r="V36" s="31" t="e">
        <f>VLOOKUP($D36,Résultats!$B$2:$AZ$251,V$2,FALSE)</f>
        <v>#N/A</v>
      </c>
      <c r="W36" s="31" t="e">
        <f>VLOOKUP($D36,Résultats!$B$2:$AZ$251,W$2,FALSE)</f>
        <v>#N/A</v>
      </c>
      <c r="X36" s="31" t="e">
        <f>VLOOKUP($D36,Résultats!$B$2:$AZ$251,X$2,FALSE)</f>
        <v>#N/A</v>
      </c>
      <c r="Y36" s="31" t="e">
        <f>VLOOKUP($D36,Résultats!$B$2:$AZ$251,Y$2,FALSE)</f>
        <v>#N/A</v>
      </c>
      <c r="Z36" s="31" t="e">
        <f>VLOOKUP($D36,Résultats!$B$2:$AZ$251,Z$2,FALSE)</f>
        <v>#N/A</v>
      </c>
      <c r="AA36" s="31" t="e">
        <f>VLOOKUP($D36,Résultats!$B$2:$AZ$251,AA$2,FALSE)</f>
        <v>#N/A</v>
      </c>
      <c r="AB36" s="31" t="e">
        <f>VLOOKUP($D36,Résultats!$B$2:$AZ$251,AB$2,FALSE)</f>
        <v>#N/A</v>
      </c>
      <c r="AC36" s="31" t="e">
        <f>VLOOKUP($D36,Résultats!$B$2:$AZ$251,AC$2,FALSE)</f>
        <v>#N/A</v>
      </c>
      <c r="AD36" s="31" t="e">
        <f>VLOOKUP($D36,Résultats!$B$2:$AZ$251,AD$2,FALSE)</f>
        <v>#N/A</v>
      </c>
      <c r="AE36" s="31" t="e">
        <f>VLOOKUP($D36,Résultats!$B$2:$AZ$251,AE$2,FALSE)</f>
        <v>#N/A</v>
      </c>
      <c r="AF36" s="31" t="e">
        <f>VLOOKUP($D36,Résultats!$B$2:$AZ$251,AF$2,FALSE)</f>
        <v>#N/A</v>
      </c>
      <c r="AG36" s="31" t="e">
        <f>VLOOKUP($D36,Résultats!$B$2:$AZ$251,AG$2,FALSE)</f>
        <v>#N/A</v>
      </c>
      <c r="AH36" s="31" t="e">
        <f>VLOOKUP($D36,Résultats!$B$2:$AZ$251,AH$2,FALSE)</f>
        <v>#N/A</v>
      </c>
      <c r="AI36" s="31" t="e">
        <f>VLOOKUP($D36,Résultats!$B$2:$AZ$251,AI$2,FALSE)</f>
        <v>#N/A</v>
      </c>
      <c r="AJ36" s="31" t="e">
        <f>VLOOKUP($D36,Résultats!$B$2:$AZ$251,AJ$2,FALSE)</f>
        <v>#N/A</v>
      </c>
      <c r="AK36" s="31" t="e">
        <f>VLOOKUP($D36,Résultats!$B$2:$AZ$251,AK$2,FALSE)</f>
        <v>#N/A</v>
      </c>
      <c r="AL36" s="31" t="e">
        <f>VLOOKUP($D36,Résultats!$B$2:$AZ$251,AL$2,FALSE)</f>
        <v>#N/A</v>
      </c>
      <c r="AM36" s="31" t="e">
        <f>VLOOKUP($D36,Résultats!$B$2:$AZ$251,AM$2,FALSE)</f>
        <v>#N/A</v>
      </c>
    </row>
    <row r="37" spans="2:39" x14ac:dyDescent="0.25">
      <c r="C37" s="56" t="s">
        <v>28</v>
      </c>
      <c r="D37" s="3" t="s">
        <v>67</v>
      </c>
      <c r="E37" s="31" t="e">
        <f>VLOOKUP($D37,Résultats!$B$2:$AZ$251,E$2,FALSE)</f>
        <v>#N/A</v>
      </c>
      <c r="F37" s="31" t="e">
        <f>VLOOKUP($D37,Résultats!$B$2:$AZ$251,F$2,FALSE)</f>
        <v>#N/A</v>
      </c>
      <c r="G37" s="31" t="e">
        <f>VLOOKUP($D37,Résultats!$B$2:$AZ$251,G$2,FALSE)</f>
        <v>#N/A</v>
      </c>
      <c r="H37" s="31" t="e">
        <f>VLOOKUP($D37,Résultats!$B$2:$AZ$251,H$2,FALSE)</f>
        <v>#N/A</v>
      </c>
      <c r="I37" s="31" t="e">
        <f>VLOOKUP($D37,Résultats!$B$2:$AZ$251,I$2,FALSE)</f>
        <v>#N/A</v>
      </c>
      <c r="J37" s="31" t="e">
        <f>VLOOKUP($D37,Résultats!$B$2:$AZ$251,J$2,FALSE)</f>
        <v>#N/A</v>
      </c>
      <c r="K37" s="31" t="e">
        <f>VLOOKUP($D37,Résultats!$B$2:$AZ$251,K$2,FALSE)</f>
        <v>#N/A</v>
      </c>
      <c r="L37" s="31" t="e">
        <f>VLOOKUP($D37,Résultats!$B$2:$AZ$251,L$2,FALSE)</f>
        <v>#N/A</v>
      </c>
      <c r="M37" s="31" t="e">
        <f>VLOOKUP($D37,Résultats!$B$2:$AZ$251,M$2,FALSE)</f>
        <v>#N/A</v>
      </c>
      <c r="N37" s="31" t="e">
        <f>VLOOKUP($D37,Résultats!$B$2:$AZ$251,N$2,FALSE)</f>
        <v>#N/A</v>
      </c>
      <c r="O37" s="31" t="e">
        <f>VLOOKUP($D37,Résultats!$B$2:$AZ$251,O$2,FALSE)</f>
        <v>#N/A</v>
      </c>
      <c r="P37" s="31" t="e">
        <f>VLOOKUP($D37,Résultats!$B$2:$AZ$251,P$2,FALSE)</f>
        <v>#N/A</v>
      </c>
      <c r="Q37" s="31" t="e">
        <f>VLOOKUP($D37,Résultats!$B$2:$AZ$251,Q$2,FALSE)</f>
        <v>#N/A</v>
      </c>
      <c r="R37" s="31" t="e">
        <f>VLOOKUP($D37,Résultats!$B$2:$AZ$251,R$2,FALSE)</f>
        <v>#N/A</v>
      </c>
      <c r="S37" s="31" t="e">
        <f>VLOOKUP($D37,Résultats!$B$2:$AZ$251,S$2,FALSE)</f>
        <v>#N/A</v>
      </c>
      <c r="T37" s="31" t="e">
        <f>VLOOKUP($D37,Résultats!$B$2:$AZ$251,T$2,FALSE)</f>
        <v>#N/A</v>
      </c>
      <c r="U37" s="31" t="e">
        <f>VLOOKUP($D37,Résultats!$B$2:$AZ$251,U$2,FALSE)</f>
        <v>#N/A</v>
      </c>
      <c r="V37" s="31" t="e">
        <f>VLOOKUP($D37,Résultats!$B$2:$AZ$251,V$2,FALSE)</f>
        <v>#N/A</v>
      </c>
      <c r="W37" s="31" t="e">
        <f>VLOOKUP($D37,Résultats!$B$2:$AZ$251,W$2,FALSE)</f>
        <v>#N/A</v>
      </c>
      <c r="X37" s="31" t="e">
        <f>VLOOKUP($D37,Résultats!$B$2:$AZ$251,X$2,FALSE)</f>
        <v>#N/A</v>
      </c>
      <c r="Y37" s="31" t="e">
        <f>VLOOKUP($D37,Résultats!$B$2:$AZ$251,Y$2,FALSE)</f>
        <v>#N/A</v>
      </c>
      <c r="Z37" s="31" t="e">
        <f>VLOOKUP($D37,Résultats!$B$2:$AZ$251,Z$2,FALSE)</f>
        <v>#N/A</v>
      </c>
      <c r="AA37" s="31" t="e">
        <f>VLOOKUP($D37,Résultats!$B$2:$AZ$251,AA$2,FALSE)</f>
        <v>#N/A</v>
      </c>
      <c r="AB37" s="31" t="e">
        <f>VLOOKUP($D37,Résultats!$B$2:$AZ$251,AB$2,FALSE)</f>
        <v>#N/A</v>
      </c>
      <c r="AC37" s="31" t="e">
        <f>VLOOKUP($D37,Résultats!$B$2:$AZ$251,AC$2,FALSE)</f>
        <v>#N/A</v>
      </c>
      <c r="AD37" s="31" t="e">
        <f>VLOOKUP($D37,Résultats!$B$2:$AZ$251,AD$2,FALSE)</f>
        <v>#N/A</v>
      </c>
      <c r="AE37" s="31" t="e">
        <f>VLOOKUP($D37,Résultats!$B$2:$AZ$251,AE$2,FALSE)</f>
        <v>#N/A</v>
      </c>
      <c r="AF37" s="31" t="e">
        <f>VLOOKUP($D37,Résultats!$B$2:$AZ$251,AF$2,FALSE)</f>
        <v>#N/A</v>
      </c>
      <c r="AG37" s="31" t="e">
        <f>VLOOKUP($D37,Résultats!$B$2:$AZ$251,AG$2,FALSE)</f>
        <v>#N/A</v>
      </c>
      <c r="AH37" s="31" t="e">
        <f>VLOOKUP($D37,Résultats!$B$2:$AZ$251,AH$2,FALSE)</f>
        <v>#N/A</v>
      </c>
      <c r="AI37" s="31" t="e">
        <f>VLOOKUP($D37,Résultats!$B$2:$AZ$251,AI$2,FALSE)</f>
        <v>#N/A</v>
      </c>
      <c r="AJ37" s="31" t="e">
        <f>VLOOKUP($D37,Résultats!$B$2:$AZ$251,AJ$2,FALSE)</f>
        <v>#N/A</v>
      </c>
      <c r="AK37" s="31" t="e">
        <f>VLOOKUP($D37,Résultats!$B$2:$AZ$251,AK$2,FALSE)</f>
        <v>#N/A</v>
      </c>
      <c r="AL37" s="31" t="e">
        <f>VLOOKUP($D37,Résultats!$B$2:$AZ$251,AL$2,FALSE)</f>
        <v>#N/A</v>
      </c>
      <c r="AM37" s="31" t="e">
        <f>VLOOKUP($D37,Résultats!$B$2:$AZ$251,AM$2,FALSE)</f>
        <v>#N/A</v>
      </c>
    </row>
    <row r="38" spans="2:39" x14ac:dyDescent="0.25">
      <c r="C38" s="56" t="s">
        <v>29</v>
      </c>
      <c r="D38" s="3" t="s">
        <v>68</v>
      </c>
      <c r="E38" s="31" t="e">
        <f>VLOOKUP($D38,Résultats!$B$2:$AZ$251,E$2,FALSE)</f>
        <v>#N/A</v>
      </c>
      <c r="F38" s="31" t="e">
        <f>VLOOKUP($D38,Résultats!$B$2:$AZ$251,F$2,FALSE)</f>
        <v>#N/A</v>
      </c>
      <c r="G38" s="31" t="e">
        <f>VLOOKUP($D38,Résultats!$B$2:$AZ$251,G$2,FALSE)</f>
        <v>#N/A</v>
      </c>
      <c r="H38" s="31" t="e">
        <f>VLOOKUP($D38,Résultats!$B$2:$AZ$251,H$2,FALSE)</f>
        <v>#N/A</v>
      </c>
      <c r="I38" s="31" t="e">
        <f>VLOOKUP($D38,Résultats!$B$2:$AZ$251,I$2,FALSE)</f>
        <v>#N/A</v>
      </c>
      <c r="J38" s="31" t="e">
        <f>VLOOKUP($D38,Résultats!$B$2:$AZ$251,J$2,FALSE)</f>
        <v>#N/A</v>
      </c>
      <c r="K38" s="31" t="e">
        <f>VLOOKUP($D38,Résultats!$B$2:$AZ$251,K$2,FALSE)</f>
        <v>#N/A</v>
      </c>
      <c r="L38" s="31" t="e">
        <f>VLOOKUP($D38,Résultats!$B$2:$AZ$251,L$2,FALSE)</f>
        <v>#N/A</v>
      </c>
      <c r="M38" s="31" t="e">
        <f>VLOOKUP($D38,Résultats!$B$2:$AZ$251,M$2,FALSE)</f>
        <v>#N/A</v>
      </c>
      <c r="N38" s="31" t="e">
        <f>VLOOKUP($D38,Résultats!$B$2:$AZ$251,N$2,FALSE)</f>
        <v>#N/A</v>
      </c>
      <c r="O38" s="31" t="e">
        <f>VLOOKUP($D38,Résultats!$B$2:$AZ$251,O$2,FALSE)</f>
        <v>#N/A</v>
      </c>
      <c r="P38" s="31" t="e">
        <f>VLOOKUP($D38,Résultats!$B$2:$AZ$251,P$2,FALSE)</f>
        <v>#N/A</v>
      </c>
      <c r="Q38" s="31" t="e">
        <f>VLOOKUP($D38,Résultats!$B$2:$AZ$251,Q$2,FALSE)</f>
        <v>#N/A</v>
      </c>
      <c r="R38" s="31" t="e">
        <f>VLOOKUP($D38,Résultats!$B$2:$AZ$251,R$2,FALSE)</f>
        <v>#N/A</v>
      </c>
      <c r="S38" s="31" t="e">
        <f>VLOOKUP($D38,Résultats!$B$2:$AZ$251,S$2,FALSE)</f>
        <v>#N/A</v>
      </c>
      <c r="T38" s="31" t="e">
        <f>VLOOKUP($D38,Résultats!$B$2:$AZ$251,T$2,FALSE)</f>
        <v>#N/A</v>
      </c>
      <c r="U38" s="31" t="e">
        <f>VLOOKUP($D38,Résultats!$B$2:$AZ$251,U$2,FALSE)</f>
        <v>#N/A</v>
      </c>
      <c r="V38" s="31" t="e">
        <f>VLOOKUP($D38,Résultats!$B$2:$AZ$251,V$2,FALSE)</f>
        <v>#N/A</v>
      </c>
      <c r="W38" s="31" t="e">
        <f>VLOOKUP($D38,Résultats!$B$2:$AZ$251,W$2,FALSE)</f>
        <v>#N/A</v>
      </c>
      <c r="X38" s="31" t="e">
        <f>VLOOKUP($D38,Résultats!$B$2:$AZ$251,X$2,FALSE)</f>
        <v>#N/A</v>
      </c>
      <c r="Y38" s="31" t="e">
        <f>VLOOKUP($D38,Résultats!$B$2:$AZ$251,Y$2,FALSE)</f>
        <v>#N/A</v>
      </c>
      <c r="Z38" s="31" t="e">
        <f>VLOOKUP($D38,Résultats!$B$2:$AZ$251,Z$2,FALSE)</f>
        <v>#N/A</v>
      </c>
      <c r="AA38" s="31" t="e">
        <f>VLOOKUP($D38,Résultats!$B$2:$AZ$251,AA$2,FALSE)</f>
        <v>#N/A</v>
      </c>
      <c r="AB38" s="31" t="e">
        <f>VLOOKUP($D38,Résultats!$B$2:$AZ$251,AB$2,FALSE)</f>
        <v>#N/A</v>
      </c>
      <c r="AC38" s="31" t="e">
        <f>VLOOKUP($D38,Résultats!$B$2:$AZ$251,AC$2,FALSE)</f>
        <v>#N/A</v>
      </c>
      <c r="AD38" s="31" t="e">
        <f>VLOOKUP($D38,Résultats!$B$2:$AZ$251,AD$2,FALSE)</f>
        <v>#N/A</v>
      </c>
      <c r="AE38" s="31" t="e">
        <f>VLOOKUP($D38,Résultats!$B$2:$AZ$251,AE$2,FALSE)</f>
        <v>#N/A</v>
      </c>
      <c r="AF38" s="31" t="e">
        <f>VLOOKUP($D38,Résultats!$B$2:$AZ$251,AF$2,FALSE)</f>
        <v>#N/A</v>
      </c>
      <c r="AG38" s="31" t="e">
        <f>VLOOKUP($D38,Résultats!$B$2:$AZ$251,AG$2,FALSE)</f>
        <v>#N/A</v>
      </c>
      <c r="AH38" s="31" t="e">
        <f>VLOOKUP($D38,Résultats!$B$2:$AZ$251,AH$2,FALSE)</f>
        <v>#N/A</v>
      </c>
      <c r="AI38" s="31" t="e">
        <f>VLOOKUP($D38,Résultats!$B$2:$AZ$251,AI$2,FALSE)</f>
        <v>#N/A</v>
      </c>
      <c r="AJ38" s="31" t="e">
        <f>VLOOKUP($D38,Résultats!$B$2:$AZ$251,AJ$2,FALSE)</f>
        <v>#N/A</v>
      </c>
      <c r="AK38" s="31" t="e">
        <f>VLOOKUP($D38,Résultats!$B$2:$AZ$251,AK$2,FALSE)</f>
        <v>#N/A</v>
      </c>
      <c r="AL38" s="31" t="e">
        <f>VLOOKUP($D38,Résultats!$B$2:$AZ$251,AL$2,FALSE)</f>
        <v>#N/A</v>
      </c>
      <c r="AM38" s="31" t="e">
        <f>VLOOKUP($D38,Résultats!$B$2:$AZ$251,AM$2,FALSE)</f>
        <v>#N/A</v>
      </c>
    </row>
    <row r="39" spans="2:39" x14ac:dyDescent="0.25">
      <c r="C39" s="56" t="s">
        <v>30</v>
      </c>
      <c r="D39" s="3" t="s">
        <v>69</v>
      </c>
      <c r="E39" s="31" t="e">
        <f>VLOOKUP($D39,Résultats!$B$2:$AZ$251,E$2,FALSE)</f>
        <v>#N/A</v>
      </c>
      <c r="F39" s="31" t="e">
        <f>VLOOKUP($D39,Résultats!$B$2:$AZ$251,F$2,FALSE)</f>
        <v>#N/A</v>
      </c>
      <c r="G39" s="31" t="e">
        <f>VLOOKUP($D39,Résultats!$B$2:$AZ$251,G$2,FALSE)</f>
        <v>#N/A</v>
      </c>
      <c r="H39" s="31" t="e">
        <f>VLOOKUP($D39,Résultats!$B$2:$AZ$251,H$2,FALSE)</f>
        <v>#N/A</v>
      </c>
      <c r="I39" s="31" t="e">
        <f>VLOOKUP($D39,Résultats!$B$2:$AZ$251,I$2,FALSE)</f>
        <v>#N/A</v>
      </c>
      <c r="J39" s="31" t="e">
        <f>VLOOKUP($D39,Résultats!$B$2:$AZ$251,J$2,FALSE)</f>
        <v>#N/A</v>
      </c>
      <c r="K39" s="31" t="e">
        <f>VLOOKUP($D39,Résultats!$B$2:$AZ$251,K$2,FALSE)</f>
        <v>#N/A</v>
      </c>
      <c r="L39" s="31" t="e">
        <f>VLOOKUP($D39,Résultats!$B$2:$AZ$251,L$2,FALSE)</f>
        <v>#N/A</v>
      </c>
      <c r="M39" s="31" t="e">
        <f>VLOOKUP($D39,Résultats!$B$2:$AZ$251,M$2,FALSE)</f>
        <v>#N/A</v>
      </c>
      <c r="N39" s="31" t="e">
        <f>VLOOKUP($D39,Résultats!$B$2:$AZ$251,N$2,FALSE)</f>
        <v>#N/A</v>
      </c>
      <c r="O39" s="31" t="e">
        <f>VLOOKUP($D39,Résultats!$B$2:$AZ$251,O$2,FALSE)</f>
        <v>#N/A</v>
      </c>
      <c r="P39" s="31" t="e">
        <f>VLOOKUP($D39,Résultats!$B$2:$AZ$251,P$2,FALSE)</f>
        <v>#N/A</v>
      </c>
      <c r="Q39" s="31" t="e">
        <f>VLOOKUP($D39,Résultats!$B$2:$AZ$251,Q$2,FALSE)</f>
        <v>#N/A</v>
      </c>
      <c r="R39" s="31" t="e">
        <f>VLOOKUP($D39,Résultats!$B$2:$AZ$251,R$2,FALSE)</f>
        <v>#N/A</v>
      </c>
      <c r="S39" s="31" t="e">
        <f>VLOOKUP($D39,Résultats!$B$2:$AZ$251,S$2,FALSE)</f>
        <v>#N/A</v>
      </c>
      <c r="T39" s="31" t="e">
        <f>VLOOKUP($D39,Résultats!$B$2:$AZ$251,T$2,FALSE)</f>
        <v>#N/A</v>
      </c>
      <c r="U39" s="31" t="e">
        <f>VLOOKUP($D39,Résultats!$B$2:$AZ$251,U$2,FALSE)</f>
        <v>#N/A</v>
      </c>
      <c r="V39" s="31" t="e">
        <f>VLOOKUP($D39,Résultats!$B$2:$AZ$251,V$2,FALSE)</f>
        <v>#N/A</v>
      </c>
      <c r="W39" s="31" t="e">
        <f>VLOOKUP($D39,Résultats!$B$2:$AZ$251,W$2,FALSE)</f>
        <v>#N/A</v>
      </c>
      <c r="X39" s="31" t="e">
        <f>VLOOKUP($D39,Résultats!$B$2:$AZ$251,X$2,FALSE)</f>
        <v>#N/A</v>
      </c>
      <c r="Y39" s="31" t="e">
        <f>VLOOKUP($D39,Résultats!$B$2:$AZ$251,Y$2,FALSE)</f>
        <v>#N/A</v>
      </c>
      <c r="Z39" s="31" t="e">
        <f>VLOOKUP($D39,Résultats!$B$2:$AZ$251,Z$2,FALSE)</f>
        <v>#N/A</v>
      </c>
      <c r="AA39" s="31" t="e">
        <f>VLOOKUP($D39,Résultats!$B$2:$AZ$251,AA$2,FALSE)</f>
        <v>#N/A</v>
      </c>
      <c r="AB39" s="31" t="e">
        <f>VLOOKUP($D39,Résultats!$B$2:$AZ$251,AB$2,FALSE)</f>
        <v>#N/A</v>
      </c>
      <c r="AC39" s="31" t="e">
        <f>VLOOKUP($D39,Résultats!$B$2:$AZ$251,AC$2,FALSE)</f>
        <v>#N/A</v>
      </c>
      <c r="AD39" s="31" t="e">
        <f>VLOOKUP($D39,Résultats!$B$2:$AZ$251,AD$2,FALSE)</f>
        <v>#N/A</v>
      </c>
      <c r="AE39" s="31" t="e">
        <f>VLOOKUP($D39,Résultats!$B$2:$AZ$251,AE$2,FALSE)</f>
        <v>#N/A</v>
      </c>
      <c r="AF39" s="31" t="e">
        <f>VLOOKUP($D39,Résultats!$B$2:$AZ$251,AF$2,FALSE)</f>
        <v>#N/A</v>
      </c>
      <c r="AG39" s="31" t="e">
        <f>VLOOKUP($D39,Résultats!$B$2:$AZ$251,AG$2,FALSE)</f>
        <v>#N/A</v>
      </c>
      <c r="AH39" s="31" t="e">
        <f>VLOOKUP($D39,Résultats!$B$2:$AZ$251,AH$2,FALSE)</f>
        <v>#N/A</v>
      </c>
      <c r="AI39" s="31" t="e">
        <f>VLOOKUP($D39,Résultats!$B$2:$AZ$251,AI$2,FALSE)</f>
        <v>#N/A</v>
      </c>
      <c r="AJ39" s="31" t="e">
        <f>VLOOKUP($D39,Résultats!$B$2:$AZ$251,AJ$2,FALSE)</f>
        <v>#N/A</v>
      </c>
      <c r="AK39" s="31" t="e">
        <f>VLOOKUP($D39,Résultats!$B$2:$AZ$251,AK$2,FALSE)</f>
        <v>#N/A</v>
      </c>
      <c r="AL39" s="31" t="e">
        <f>VLOOKUP($D39,Résultats!$B$2:$AZ$251,AL$2,FALSE)</f>
        <v>#N/A</v>
      </c>
      <c r="AM39" s="31" t="e">
        <f>VLOOKUP($D39,Résultats!$B$2:$AZ$251,AM$2,FALSE)</f>
        <v>#N/A</v>
      </c>
    </row>
    <row r="40" spans="2:39" x14ac:dyDescent="0.25">
      <c r="C40" s="56" t="s">
        <v>31</v>
      </c>
      <c r="D40" s="3" t="s">
        <v>70</v>
      </c>
      <c r="E40" s="31" t="e">
        <f>VLOOKUP($D40,Résultats!$B$2:$AZ$251,E$2,FALSE)</f>
        <v>#N/A</v>
      </c>
      <c r="F40" s="31" t="e">
        <f>VLOOKUP($D40,Résultats!$B$2:$AZ$251,F$2,FALSE)</f>
        <v>#N/A</v>
      </c>
      <c r="G40" s="31" t="e">
        <f>VLOOKUP($D40,Résultats!$B$2:$AZ$251,G$2,FALSE)</f>
        <v>#N/A</v>
      </c>
      <c r="H40" s="31" t="e">
        <f>VLOOKUP($D40,Résultats!$B$2:$AZ$251,H$2,FALSE)</f>
        <v>#N/A</v>
      </c>
      <c r="I40" s="31" t="e">
        <f>VLOOKUP($D40,Résultats!$B$2:$AZ$251,I$2,FALSE)</f>
        <v>#N/A</v>
      </c>
      <c r="J40" s="31" t="e">
        <f>VLOOKUP($D40,Résultats!$B$2:$AZ$251,J$2,FALSE)</f>
        <v>#N/A</v>
      </c>
      <c r="K40" s="31" t="e">
        <f>VLOOKUP($D40,Résultats!$B$2:$AZ$251,K$2,FALSE)</f>
        <v>#N/A</v>
      </c>
      <c r="L40" s="31" t="e">
        <f>VLOOKUP($D40,Résultats!$B$2:$AZ$251,L$2,FALSE)</f>
        <v>#N/A</v>
      </c>
      <c r="M40" s="31" t="e">
        <f>VLOOKUP($D40,Résultats!$B$2:$AZ$251,M$2,FALSE)</f>
        <v>#N/A</v>
      </c>
      <c r="N40" s="31" t="e">
        <f>VLOOKUP($D40,Résultats!$B$2:$AZ$251,N$2,FALSE)</f>
        <v>#N/A</v>
      </c>
      <c r="O40" s="31" t="e">
        <f>VLOOKUP($D40,Résultats!$B$2:$AZ$251,O$2,FALSE)</f>
        <v>#N/A</v>
      </c>
      <c r="P40" s="31" t="e">
        <f>VLOOKUP($D40,Résultats!$B$2:$AZ$251,P$2,FALSE)</f>
        <v>#N/A</v>
      </c>
      <c r="Q40" s="31" t="e">
        <f>VLOOKUP($D40,Résultats!$B$2:$AZ$251,Q$2,FALSE)</f>
        <v>#N/A</v>
      </c>
      <c r="R40" s="31" t="e">
        <f>VLOOKUP($D40,Résultats!$B$2:$AZ$251,R$2,FALSE)</f>
        <v>#N/A</v>
      </c>
      <c r="S40" s="31" t="e">
        <f>VLOOKUP($D40,Résultats!$B$2:$AZ$251,S$2,FALSE)</f>
        <v>#N/A</v>
      </c>
      <c r="T40" s="31" t="e">
        <f>VLOOKUP($D40,Résultats!$B$2:$AZ$251,T$2,FALSE)</f>
        <v>#N/A</v>
      </c>
      <c r="U40" s="31" t="e">
        <f>VLOOKUP($D40,Résultats!$B$2:$AZ$251,U$2,FALSE)</f>
        <v>#N/A</v>
      </c>
      <c r="V40" s="31" t="e">
        <f>VLOOKUP($D40,Résultats!$B$2:$AZ$251,V$2,FALSE)</f>
        <v>#N/A</v>
      </c>
      <c r="W40" s="31" t="e">
        <f>VLOOKUP($D40,Résultats!$B$2:$AZ$251,W$2,FALSE)</f>
        <v>#N/A</v>
      </c>
      <c r="X40" s="31" t="e">
        <f>VLOOKUP($D40,Résultats!$B$2:$AZ$251,X$2,FALSE)</f>
        <v>#N/A</v>
      </c>
      <c r="Y40" s="31" t="e">
        <f>VLOOKUP($D40,Résultats!$B$2:$AZ$251,Y$2,FALSE)</f>
        <v>#N/A</v>
      </c>
      <c r="Z40" s="31" t="e">
        <f>VLOOKUP($D40,Résultats!$B$2:$AZ$251,Z$2,FALSE)</f>
        <v>#N/A</v>
      </c>
      <c r="AA40" s="31" t="e">
        <f>VLOOKUP($D40,Résultats!$B$2:$AZ$251,AA$2,FALSE)</f>
        <v>#N/A</v>
      </c>
      <c r="AB40" s="31" t="e">
        <f>VLOOKUP($D40,Résultats!$B$2:$AZ$251,AB$2,FALSE)</f>
        <v>#N/A</v>
      </c>
      <c r="AC40" s="31" t="e">
        <f>VLOOKUP($D40,Résultats!$B$2:$AZ$251,AC$2,FALSE)</f>
        <v>#N/A</v>
      </c>
      <c r="AD40" s="31" t="e">
        <f>VLOOKUP($D40,Résultats!$B$2:$AZ$251,AD$2,FALSE)</f>
        <v>#N/A</v>
      </c>
      <c r="AE40" s="31" t="e">
        <f>VLOOKUP($D40,Résultats!$B$2:$AZ$251,AE$2,FALSE)</f>
        <v>#N/A</v>
      </c>
      <c r="AF40" s="31" t="e">
        <f>VLOOKUP($D40,Résultats!$B$2:$AZ$251,AF$2,FALSE)</f>
        <v>#N/A</v>
      </c>
      <c r="AG40" s="31" t="e">
        <f>VLOOKUP($D40,Résultats!$B$2:$AZ$251,AG$2,FALSE)</f>
        <v>#N/A</v>
      </c>
      <c r="AH40" s="31" t="e">
        <f>VLOOKUP($D40,Résultats!$B$2:$AZ$251,AH$2,FALSE)</f>
        <v>#N/A</v>
      </c>
      <c r="AI40" s="31" t="e">
        <f>VLOOKUP($D40,Résultats!$B$2:$AZ$251,AI$2,FALSE)</f>
        <v>#N/A</v>
      </c>
      <c r="AJ40" s="31" t="e">
        <f>VLOOKUP($D40,Résultats!$B$2:$AZ$251,AJ$2,FALSE)</f>
        <v>#N/A</v>
      </c>
      <c r="AK40" s="31" t="e">
        <f>VLOOKUP($D40,Résultats!$B$2:$AZ$251,AK$2,FALSE)</f>
        <v>#N/A</v>
      </c>
      <c r="AL40" s="31" t="e">
        <f>VLOOKUP($D40,Résultats!$B$2:$AZ$251,AL$2,FALSE)</f>
        <v>#N/A</v>
      </c>
      <c r="AM40" s="31" t="e">
        <f>VLOOKUP($D40,Résultats!$B$2:$AZ$251,AM$2,FALSE)</f>
        <v>#N/A</v>
      </c>
    </row>
    <row r="41" spans="2:39" x14ac:dyDescent="0.25">
      <c r="C41" s="56" t="s">
        <v>32</v>
      </c>
      <c r="D41" s="3" t="s">
        <v>71</v>
      </c>
      <c r="E41" s="31" t="e">
        <f>VLOOKUP($D41,Résultats!$B$2:$AZ$251,E$2,FALSE)</f>
        <v>#N/A</v>
      </c>
      <c r="F41" s="31" t="e">
        <f>VLOOKUP($D41,Résultats!$B$2:$AZ$251,F$2,FALSE)</f>
        <v>#N/A</v>
      </c>
      <c r="G41" s="31" t="e">
        <f>VLOOKUP($D41,Résultats!$B$2:$AZ$251,G$2,FALSE)</f>
        <v>#N/A</v>
      </c>
      <c r="H41" s="31" t="e">
        <f>VLOOKUP($D41,Résultats!$B$2:$AZ$251,H$2,FALSE)</f>
        <v>#N/A</v>
      </c>
      <c r="I41" s="31" t="e">
        <f>VLOOKUP($D41,Résultats!$B$2:$AZ$251,I$2,FALSE)</f>
        <v>#N/A</v>
      </c>
      <c r="J41" s="31" t="e">
        <f>VLOOKUP($D41,Résultats!$B$2:$AZ$251,J$2,FALSE)</f>
        <v>#N/A</v>
      </c>
      <c r="K41" s="31" t="e">
        <f>VLOOKUP($D41,Résultats!$B$2:$AZ$251,K$2,FALSE)</f>
        <v>#N/A</v>
      </c>
      <c r="L41" s="31" t="e">
        <f>VLOOKUP($D41,Résultats!$B$2:$AZ$251,L$2,FALSE)</f>
        <v>#N/A</v>
      </c>
      <c r="M41" s="31" t="e">
        <f>VLOOKUP($D41,Résultats!$B$2:$AZ$251,M$2,FALSE)</f>
        <v>#N/A</v>
      </c>
      <c r="N41" s="31" t="e">
        <f>VLOOKUP($D41,Résultats!$B$2:$AZ$251,N$2,FALSE)</f>
        <v>#N/A</v>
      </c>
      <c r="O41" s="31" t="e">
        <f>VLOOKUP($D41,Résultats!$B$2:$AZ$251,O$2,FALSE)</f>
        <v>#N/A</v>
      </c>
      <c r="P41" s="31" t="e">
        <f>VLOOKUP($D41,Résultats!$B$2:$AZ$251,P$2,FALSE)</f>
        <v>#N/A</v>
      </c>
      <c r="Q41" s="31" t="e">
        <f>VLOOKUP($D41,Résultats!$B$2:$AZ$251,Q$2,FALSE)</f>
        <v>#N/A</v>
      </c>
      <c r="R41" s="31" t="e">
        <f>VLOOKUP($D41,Résultats!$B$2:$AZ$251,R$2,FALSE)</f>
        <v>#N/A</v>
      </c>
      <c r="S41" s="31" t="e">
        <f>VLOOKUP($D41,Résultats!$B$2:$AZ$251,S$2,FALSE)</f>
        <v>#N/A</v>
      </c>
      <c r="T41" s="31" t="e">
        <f>VLOOKUP($D41,Résultats!$B$2:$AZ$251,T$2,FALSE)</f>
        <v>#N/A</v>
      </c>
      <c r="U41" s="31" t="e">
        <f>VLOOKUP($D41,Résultats!$B$2:$AZ$251,U$2,FALSE)</f>
        <v>#N/A</v>
      </c>
      <c r="V41" s="31" t="e">
        <f>VLOOKUP($D41,Résultats!$B$2:$AZ$251,V$2,FALSE)</f>
        <v>#N/A</v>
      </c>
      <c r="W41" s="31" t="e">
        <f>VLOOKUP($D41,Résultats!$B$2:$AZ$251,W$2,FALSE)</f>
        <v>#N/A</v>
      </c>
      <c r="X41" s="31" t="e">
        <f>VLOOKUP($D41,Résultats!$B$2:$AZ$251,X$2,FALSE)</f>
        <v>#N/A</v>
      </c>
      <c r="Y41" s="31" t="e">
        <f>VLOOKUP($D41,Résultats!$B$2:$AZ$251,Y$2,FALSE)</f>
        <v>#N/A</v>
      </c>
      <c r="Z41" s="31" t="e">
        <f>VLOOKUP($D41,Résultats!$B$2:$AZ$251,Z$2,FALSE)</f>
        <v>#N/A</v>
      </c>
      <c r="AA41" s="31" t="e">
        <f>VLOOKUP($D41,Résultats!$B$2:$AZ$251,AA$2,FALSE)</f>
        <v>#N/A</v>
      </c>
      <c r="AB41" s="31" t="e">
        <f>VLOOKUP($D41,Résultats!$B$2:$AZ$251,AB$2,FALSE)</f>
        <v>#N/A</v>
      </c>
      <c r="AC41" s="31" t="e">
        <f>VLOOKUP($D41,Résultats!$B$2:$AZ$251,AC$2,FALSE)</f>
        <v>#N/A</v>
      </c>
      <c r="AD41" s="31" t="e">
        <f>VLOOKUP($D41,Résultats!$B$2:$AZ$251,AD$2,FALSE)</f>
        <v>#N/A</v>
      </c>
      <c r="AE41" s="31" t="e">
        <f>VLOOKUP($D41,Résultats!$B$2:$AZ$251,AE$2,FALSE)</f>
        <v>#N/A</v>
      </c>
      <c r="AF41" s="31" t="e">
        <f>VLOOKUP($D41,Résultats!$B$2:$AZ$251,AF$2,FALSE)</f>
        <v>#N/A</v>
      </c>
      <c r="AG41" s="31" t="e">
        <f>VLOOKUP($D41,Résultats!$B$2:$AZ$251,AG$2,FALSE)</f>
        <v>#N/A</v>
      </c>
      <c r="AH41" s="31" t="e">
        <f>VLOOKUP($D41,Résultats!$B$2:$AZ$251,AH$2,FALSE)</f>
        <v>#N/A</v>
      </c>
      <c r="AI41" s="31" t="e">
        <f>VLOOKUP($D41,Résultats!$B$2:$AZ$251,AI$2,FALSE)</f>
        <v>#N/A</v>
      </c>
      <c r="AJ41" s="31" t="e">
        <f>VLOOKUP($D41,Résultats!$B$2:$AZ$251,AJ$2,FALSE)</f>
        <v>#N/A</v>
      </c>
      <c r="AK41" s="31" t="e">
        <f>VLOOKUP($D41,Résultats!$B$2:$AZ$251,AK$2,FALSE)</f>
        <v>#N/A</v>
      </c>
      <c r="AL41" s="31" t="e">
        <f>VLOOKUP($D41,Résultats!$B$2:$AZ$251,AL$2,FALSE)</f>
        <v>#N/A</v>
      </c>
      <c r="AM41" s="31" t="e">
        <f>VLOOKUP($D41,Résultats!$B$2:$AZ$251,AM$2,FALSE)</f>
        <v>#N/A</v>
      </c>
    </row>
    <row r="42" spans="2:39" x14ac:dyDescent="0.25">
      <c r="C42" s="78" t="s">
        <v>33</v>
      </c>
      <c r="D42" s="7" t="s">
        <v>72</v>
      </c>
      <c r="E42" s="79" t="e">
        <f>VLOOKUP($D42,Résultats!$B$2:$AZ$251,E$2,FALSE)</f>
        <v>#N/A</v>
      </c>
      <c r="F42" s="79" t="e">
        <f>VLOOKUP($D42,Résultats!$B$2:$AZ$251,F$2,FALSE)</f>
        <v>#N/A</v>
      </c>
      <c r="G42" s="79" t="e">
        <f>VLOOKUP($D42,Résultats!$B$2:$AZ$251,G$2,FALSE)</f>
        <v>#N/A</v>
      </c>
      <c r="H42" s="79" t="e">
        <f>VLOOKUP($D42,Résultats!$B$2:$AZ$251,H$2,FALSE)</f>
        <v>#N/A</v>
      </c>
      <c r="I42" s="79" t="e">
        <f>VLOOKUP($D42,Résultats!$B$2:$AZ$251,I$2,FALSE)</f>
        <v>#N/A</v>
      </c>
      <c r="J42" s="79" t="e">
        <f>VLOOKUP($D42,Résultats!$B$2:$AZ$251,J$2,FALSE)</f>
        <v>#N/A</v>
      </c>
      <c r="K42" s="79" t="e">
        <f>VLOOKUP($D42,Résultats!$B$2:$AZ$251,K$2,FALSE)</f>
        <v>#N/A</v>
      </c>
      <c r="L42" s="79" t="e">
        <f>VLOOKUP($D42,Résultats!$B$2:$AZ$251,L$2,FALSE)</f>
        <v>#N/A</v>
      </c>
      <c r="M42" s="79" t="e">
        <f>VLOOKUP($D42,Résultats!$B$2:$AZ$251,M$2,FALSE)</f>
        <v>#N/A</v>
      </c>
      <c r="N42" s="79" t="e">
        <f>VLOOKUP($D42,Résultats!$B$2:$AZ$251,N$2,FALSE)</f>
        <v>#N/A</v>
      </c>
      <c r="O42" s="79" t="e">
        <f>VLOOKUP($D42,Résultats!$B$2:$AZ$251,O$2,FALSE)</f>
        <v>#N/A</v>
      </c>
      <c r="P42" s="79" t="e">
        <f>VLOOKUP($D42,Résultats!$B$2:$AZ$251,P$2,FALSE)</f>
        <v>#N/A</v>
      </c>
      <c r="Q42" s="79" t="e">
        <f>VLOOKUP($D42,Résultats!$B$2:$AZ$251,Q$2,FALSE)</f>
        <v>#N/A</v>
      </c>
      <c r="R42" s="79" t="e">
        <f>VLOOKUP($D42,Résultats!$B$2:$AZ$251,R$2,FALSE)</f>
        <v>#N/A</v>
      </c>
      <c r="S42" s="79" t="e">
        <f>VLOOKUP($D42,Résultats!$B$2:$AZ$251,S$2,FALSE)</f>
        <v>#N/A</v>
      </c>
      <c r="T42" s="79" t="e">
        <f>VLOOKUP($D42,Résultats!$B$2:$AZ$251,T$2,FALSE)</f>
        <v>#N/A</v>
      </c>
      <c r="U42" s="79" t="e">
        <f>VLOOKUP($D42,Résultats!$B$2:$AZ$251,U$2,FALSE)</f>
        <v>#N/A</v>
      </c>
      <c r="V42" s="79" t="e">
        <f>VLOOKUP($D42,Résultats!$B$2:$AZ$251,V$2,FALSE)</f>
        <v>#N/A</v>
      </c>
      <c r="W42" s="79" t="e">
        <f>VLOOKUP($D42,Résultats!$B$2:$AZ$251,W$2,FALSE)</f>
        <v>#N/A</v>
      </c>
      <c r="X42" s="79" t="e">
        <f>VLOOKUP($D42,Résultats!$B$2:$AZ$251,X$2,FALSE)</f>
        <v>#N/A</v>
      </c>
      <c r="Y42" s="79" t="e">
        <f>VLOOKUP($D42,Résultats!$B$2:$AZ$251,Y$2,FALSE)</f>
        <v>#N/A</v>
      </c>
      <c r="Z42" s="79" t="e">
        <f>VLOOKUP($D42,Résultats!$B$2:$AZ$251,Z$2,FALSE)</f>
        <v>#N/A</v>
      </c>
      <c r="AA42" s="79" t="e">
        <f>VLOOKUP($D42,Résultats!$B$2:$AZ$251,AA$2,FALSE)</f>
        <v>#N/A</v>
      </c>
      <c r="AB42" s="79" t="e">
        <f>VLOOKUP($D42,Résultats!$B$2:$AZ$251,AB$2,FALSE)</f>
        <v>#N/A</v>
      </c>
      <c r="AC42" s="79" t="e">
        <f>VLOOKUP($D42,Résultats!$B$2:$AZ$251,AC$2,FALSE)</f>
        <v>#N/A</v>
      </c>
      <c r="AD42" s="79" t="e">
        <f>VLOOKUP($D42,Résultats!$B$2:$AZ$251,AD$2,FALSE)</f>
        <v>#N/A</v>
      </c>
      <c r="AE42" s="79" t="e">
        <f>VLOOKUP($D42,Résultats!$B$2:$AZ$251,AE$2,FALSE)</f>
        <v>#N/A</v>
      </c>
      <c r="AF42" s="79" t="e">
        <f>VLOOKUP($D42,Résultats!$B$2:$AZ$251,AF$2,FALSE)</f>
        <v>#N/A</v>
      </c>
      <c r="AG42" s="79" t="e">
        <f>VLOOKUP($D42,Résultats!$B$2:$AZ$251,AG$2,FALSE)</f>
        <v>#N/A</v>
      </c>
      <c r="AH42" s="79" t="e">
        <f>VLOOKUP($D42,Résultats!$B$2:$AZ$251,AH$2,FALSE)</f>
        <v>#N/A</v>
      </c>
      <c r="AI42" s="79" t="e">
        <f>VLOOKUP($D42,Résultats!$B$2:$AZ$251,AI$2,FALSE)</f>
        <v>#N/A</v>
      </c>
      <c r="AJ42" s="79" t="e">
        <f>VLOOKUP($D42,Résultats!$B$2:$AZ$251,AJ$2,FALSE)</f>
        <v>#N/A</v>
      </c>
      <c r="AK42" s="79" t="e">
        <f>VLOOKUP($D42,Résultats!$B$2:$AZ$251,AK$2,FALSE)</f>
        <v>#N/A</v>
      </c>
      <c r="AL42" s="79" t="e">
        <f>VLOOKUP($D42,Résultats!$B$2:$AZ$251,AL$2,FALSE)</f>
        <v>#N/A</v>
      </c>
      <c r="AM42" s="79" t="e">
        <f>VLOOKUP($D42,Résultats!$B$2:$AZ$251,AM$2,FALSE)</f>
        <v>#N/A</v>
      </c>
    </row>
    <row r="43" spans="2:39" x14ac:dyDescent="0.25">
      <c r="C43" s="56"/>
      <c r="D43" s="3"/>
      <c r="E43" s="125"/>
      <c r="F43" s="125"/>
      <c r="G43" s="125"/>
      <c r="H43" s="125"/>
      <c r="I43" s="125"/>
      <c r="J43" s="124"/>
      <c r="K43" s="31"/>
      <c r="L43" s="31"/>
      <c r="M43" s="31"/>
      <c r="N43" s="125"/>
      <c r="O43" s="124"/>
      <c r="P43" s="31"/>
      <c r="Q43" s="31"/>
      <c r="R43" s="31"/>
      <c r="S43" s="125"/>
      <c r="T43" s="125"/>
      <c r="U43" s="125"/>
      <c r="V43" s="125"/>
      <c r="W43" s="125"/>
      <c r="X43" s="31"/>
      <c r="Y43" s="31"/>
      <c r="Z43" s="31"/>
      <c r="AA43" s="31"/>
      <c r="AB43" s="31"/>
      <c r="AC43" s="128"/>
      <c r="AD43" s="128"/>
      <c r="AE43" s="128"/>
      <c r="AF43" s="128"/>
      <c r="AG43" s="128"/>
      <c r="AH43" s="31"/>
      <c r="AI43" s="31"/>
      <c r="AJ43" s="31"/>
      <c r="AK43" s="31"/>
      <c r="AL43" s="31"/>
      <c r="AM43" s="128"/>
    </row>
    <row r="44" spans="2:39" x14ac:dyDescent="0.25">
      <c r="B44" s="23" t="s">
        <v>163</v>
      </c>
      <c r="C44" s="80" t="s">
        <v>134</v>
      </c>
      <c r="D44" s="80" t="s">
        <v>45</v>
      </c>
      <c r="E44" s="122" t="e">
        <f>VLOOKUP($D49,Résultats!$B$2:$AZ$212,E$2,FALSE)</f>
        <v>#N/A</v>
      </c>
      <c r="F44" s="122" t="e">
        <f>VLOOKUP($D49,Résultats!$B$2:$AZ$212,F$2,FALSE)</f>
        <v>#N/A</v>
      </c>
      <c r="G44" s="122" t="e">
        <f>VLOOKUP($D49,Résultats!$B$2:$AZ$212,G$2,FALSE)</f>
        <v>#N/A</v>
      </c>
      <c r="H44" s="122" t="e">
        <f>VLOOKUP($D49,Résultats!$B$2:$AZ$212,H$2,FALSE)</f>
        <v>#N/A</v>
      </c>
      <c r="I44" s="122" t="e">
        <f>VLOOKUP($D49,Résultats!$B$2:$AZ$212,I$2,FALSE)</f>
        <v>#N/A</v>
      </c>
      <c r="J44" s="122" t="e">
        <f>VLOOKUP($D49,Résultats!$B$2:$AZ$212,J$2,FALSE)</f>
        <v>#N/A</v>
      </c>
      <c r="K44" s="122" t="e">
        <f>VLOOKUP($D49,Résultats!$B$2:$AZ$212,K$2,FALSE)</f>
        <v>#N/A</v>
      </c>
      <c r="L44" s="122" t="e">
        <f>VLOOKUP($D49,Résultats!$B$2:$AZ$212,L$2,FALSE)</f>
        <v>#N/A</v>
      </c>
      <c r="M44" s="122" t="e">
        <f>VLOOKUP($D49,Résultats!$B$2:$AZ$212,M$2,FALSE)</f>
        <v>#N/A</v>
      </c>
      <c r="N44" s="122" t="e">
        <f>VLOOKUP($D49,Résultats!$B$2:$AZ$212,N$2,FALSE)</f>
        <v>#N/A</v>
      </c>
      <c r="O44" s="122" t="e">
        <f>VLOOKUP($D49,Résultats!$B$2:$AZ$212,O$2,FALSE)</f>
        <v>#N/A</v>
      </c>
      <c r="P44" s="122" t="e">
        <f>VLOOKUP($D49,Résultats!$B$2:$AZ$212,P$2,FALSE)</f>
        <v>#N/A</v>
      </c>
      <c r="Q44" s="122" t="e">
        <f>VLOOKUP($D49,Résultats!$B$2:$AZ$212,Q$2,FALSE)</f>
        <v>#N/A</v>
      </c>
      <c r="R44" s="122" t="e">
        <f>VLOOKUP($D49,Résultats!$B$2:$AZ$212,R$2,FALSE)</f>
        <v>#N/A</v>
      </c>
      <c r="S44" s="122" t="e">
        <f>VLOOKUP($D49,Résultats!$B$2:$AZ$212,S$2,FALSE)</f>
        <v>#N/A</v>
      </c>
      <c r="T44" s="122" t="e">
        <f>VLOOKUP($D49,Résultats!$B$2:$AZ$212,T$2,FALSE)</f>
        <v>#N/A</v>
      </c>
      <c r="U44" s="122" t="e">
        <f>VLOOKUP($D49,Résultats!$B$2:$AZ$212,U$2,FALSE)</f>
        <v>#N/A</v>
      </c>
      <c r="V44" s="122" t="e">
        <f>VLOOKUP($D49,Résultats!$B$2:$AZ$212,V$2,FALSE)</f>
        <v>#N/A</v>
      </c>
      <c r="W44" s="122" t="e">
        <f>VLOOKUP($D49,Résultats!$B$2:$AZ$212,W$2,FALSE)</f>
        <v>#N/A</v>
      </c>
      <c r="X44" s="122" t="e">
        <f>VLOOKUP($D49,Résultats!$B$2:$AZ$212,X$2,FALSE)</f>
        <v>#N/A</v>
      </c>
      <c r="Y44" s="122" t="e">
        <f>VLOOKUP($D49,Résultats!$B$2:$AZ$212,Y$2,FALSE)</f>
        <v>#N/A</v>
      </c>
      <c r="Z44" s="122" t="e">
        <f>VLOOKUP($D49,Résultats!$B$2:$AZ$212,Z$2,FALSE)</f>
        <v>#N/A</v>
      </c>
      <c r="AA44" s="122" t="e">
        <f>VLOOKUP($D49,Résultats!$B$2:$AZ$212,AA$2,FALSE)</f>
        <v>#N/A</v>
      </c>
      <c r="AB44" s="122" t="e">
        <f>VLOOKUP($D49,Résultats!$B$2:$AZ$212,AB$2,FALSE)</f>
        <v>#N/A</v>
      </c>
      <c r="AC44" s="122" t="e">
        <f>VLOOKUP($D49,Résultats!$B$2:$AZ$212,AC$2,FALSE)</f>
        <v>#N/A</v>
      </c>
      <c r="AD44" s="122" t="e">
        <f>VLOOKUP($D49,Résultats!$B$2:$AZ$212,AD$2,FALSE)</f>
        <v>#N/A</v>
      </c>
      <c r="AE44" s="122" t="e">
        <f>VLOOKUP($D49,Résultats!$B$2:$AZ$212,AE$2,FALSE)</f>
        <v>#N/A</v>
      </c>
      <c r="AF44" s="122" t="e">
        <f>VLOOKUP($D49,Résultats!$B$2:$AZ$212,AF$2,FALSE)</f>
        <v>#N/A</v>
      </c>
      <c r="AG44" s="122" t="e">
        <f>VLOOKUP($D49,Résultats!$B$2:$AZ$212,AG$2,FALSE)</f>
        <v>#N/A</v>
      </c>
      <c r="AH44" s="122" t="e">
        <f>VLOOKUP($D49,Résultats!$B$2:$AZ$212,AH$2,FALSE)</f>
        <v>#N/A</v>
      </c>
      <c r="AI44" s="122" t="e">
        <f>VLOOKUP($D49,Résultats!$B$2:$AZ$212,AI$2,FALSE)</f>
        <v>#N/A</v>
      </c>
      <c r="AJ44" s="122" t="e">
        <f>VLOOKUP($D49,Résultats!$B$2:$AZ$212,AJ$2,FALSE)</f>
        <v>#N/A</v>
      </c>
      <c r="AK44" s="122" t="e">
        <f>VLOOKUP($D49,Résultats!$B$2:$AZ$212,AK$2,FALSE)</f>
        <v>#N/A</v>
      </c>
      <c r="AL44" s="122" t="e">
        <f>VLOOKUP($D49,Résultats!$B$2:$AZ$212,AL$2,FALSE)</f>
        <v>#N/A</v>
      </c>
      <c r="AM44" s="122" t="e">
        <f>VLOOKUP($D49,Résultats!$B$2:$AZ$212,AM$2,FALSE)</f>
        <v>#N/A</v>
      </c>
    </row>
    <row r="45" spans="2:39" x14ac:dyDescent="0.25">
      <c r="C45" s="56" t="s">
        <v>8</v>
      </c>
      <c r="D45" s="76" t="s">
        <v>60</v>
      </c>
      <c r="E45" s="31" t="e">
        <f>VLOOKUP($D45,Résultats!$B$2:$AZ$212,E$2,FALSE)</f>
        <v>#N/A</v>
      </c>
      <c r="F45" s="31" t="e">
        <f>VLOOKUP($D45,Résultats!$B$2:$AZ$212,F$2,FALSE)</f>
        <v>#N/A</v>
      </c>
      <c r="G45" s="31" t="e">
        <f>VLOOKUP($D45,Résultats!$B$2:$AZ$212,G$2,FALSE)</f>
        <v>#N/A</v>
      </c>
      <c r="H45" s="31" t="e">
        <f>VLOOKUP($D45,Résultats!$B$2:$AZ$212,H$2,FALSE)</f>
        <v>#N/A</v>
      </c>
      <c r="I45" s="31" t="e">
        <f>VLOOKUP($D45,Résultats!$B$2:$AZ$212,I$2,FALSE)</f>
        <v>#N/A</v>
      </c>
      <c r="J45" s="31" t="e">
        <f>VLOOKUP($D45,Résultats!$B$2:$AZ$212,J$2,FALSE)</f>
        <v>#N/A</v>
      </c>
      <c r="K45" s="31" t="e">
        <f>VLOOKUP($D45,Résultats!$B$2:$AZ$212,K$2,FALSE)</f>
        <v>#N/A</v>
      </c>
      <c r="L45" s="31" t="e">
        <f>VLOOKUP($D45,Résultats!$B$2:$AZ$212,L$2,FALSE)</f>
        <v>#N/A</v>
      </c>
      <c r="M45" s="31" t="e">
        <f>VLOOKUP($D45,Résultats!$B$2:$AZ$212,M$2,FALSE)</f>
        <v>#N/A</v>
      </c>
      <c r="N45" s="31" t="e">
        <f>VLOOKUP($D45,Résultats!$B$2:$AZ$212,N$2,FALSE)</f>
        <v>#N/A</v>
      </c>
      <c r="O45" s="31" t="e">
        <f>VLOOKUP($D45,Résultats!$B$2:$AZ$212,O$2,FALSE)</f>
        <v>#N/A</v>
      </c>
      <c r="P45" s="31" t="e">
        <f>VLOOKUP($D45,Résultats!$B$2:$AZ$212,P$2,FALSE)</f>
        <v>#N/A</v>
      </c>
      <c r="Q45" s="31" t="e">
        <f>VLOOKUP($D45,Résultats!$B$2:$AZ$212,Q$2,FALSE)</f>
        <v>#N/A</v>
      </c>
      <c r="R45" s="31" t="e">
        <f>VLOOKUP($D45,Résultats!$B$2:$AZ$212,R$2,FALSE)</f>
        <v>#N/A</v>
      </c>
      <c r="S45" s="31" t="e">
        <f>VLOOKUP($D45,Résultats!$B$2:$AZ$212,S$2,FALSE)</f>
        <v>#N/A</v>
      </c>
      <c r="T45" s="31" t="e">
        <f>VLOOKUP($D45,Résultats!$B$2:$AZ$212,T$2,FALSE)</f>
        <v>#N/A</v>
      </c>
      <c r="U45" s="31" t="e">
        <f>VLOOKUP($D45,Résultats!$B$2:$AZ$212,U$2,FALSE)</f>
        <v>#N/A</v>
      </c>
      <c r="V45" s="31" t="e">
        <f>VLOOKUP($D45,Résultats!$B$2:$AZ$212,V$2,FALSE)</f>
        <v>#N/A</v>
      </c>
      <c r="W45" s="31" t="e">
        <f>VLOOKUP($D45,Résultats!$B$2:$AZ$212,W$2,FALSE)</f>
        <v>#N/A</v>
      </c>
      <c r="X45" s="31" t="e">
        <f>VLOOKUP($D45,Résultats!$B$2:$AZ$212,X$2,FALSE)</f>
        <v>#N/A</v>
      </c>
      <c r="Y45" s="31" t="e">
        <f>VLOOKUP($D45,Résultats!$B$2:$AZ$212,Y$2,FALSE)</f>
        <v>#N/A</v>
      </c>
      <c r="Z45" s="31" t="e">
        <f>VLOOKUP($D45,Résultats!$B$2:$AZ$212,Z$2,FALSE)</f>
        <v>#N/A</v>
      </c>
      <c r="AA45" s="31" t="e">
        <f>VLOOKUP($D45,Résultats!$B$2:$AZ$212,AA$2,FALSE)</f>
        <v>#N/A</v>
      </c>
      <c r="AB45" s="31" t="e">
        <f>VLOOKUP($D45,Résultats!$B$2:$AZ$212,AB$2,FALSE)</f>
        <v>#N/A</v>
      </c>
      <c r="AC45" s="31" t="e">
        <f>VLOOKUP($D45,Résultats!$B$2:$AZ$212,AC$2,FALSE)</f>
        <v>#N/A</v>
      </c>
      <c r="AD45" s="31" t="e">
        <f>VLOOKUP($D45,Résultats!$B$2:$AZ$212,AD$2,FALSE)</f>
        <v>#N/A</v>
      </c>
      <c r="AE45" s="31" t="e">
        <f>VLOOKUP($D45,Résultats!$B$2:$AZ$212,AE$2,FALSE)</f>
        <v>#N/A</v>
      </c>
      <c r="AF45" s="31" t="e">
        <f>VLOOKUP($D45,Résultats!$B$2:$AZ$212,AF$2,FALSE)</f>
        <v>#N/A</v>
      </c>
      <c r="AG45" s="31" t="e">
        <f>VLOOKUP($D45,Résultats!$B$2:$AZ$212,AG$2,FALSE)</f>
        <v>#N/A</v>
      </c>
      <c r="AH45" s="31" t="e">
        <f>VLOOKUP($D45,Résultats!$B$2:$AZ$212,AH$2,FALSE)</f>
        <v>#N/A</v>
      </c>
      <c r="AI45" s="31" t="e">
        <f>VLOOKUP($D45,Résultats!$B$2:$AZ$212,AI$2,FALSE)</f>
        <v>#N/A</v>
      </c>
      <c r="AJ45" s="31" t="e">
        <f>VLOOKUP($D45,Résultats!$B$2:$AZ$212,AJ$2,FALSE)</f>
        <v>#N/A</v>
      </c>
      <c r="AK45" s="31" t="e">
        <f>VLOOKUP($D45,Résultats!$B$2:$AZ$212,AK$2,FALSE)</f>
        <v>#N/A</v>
      </c>
      <c r="AL45" s="31" t="e">
        <f>VLOOKUP($D45,Résultats!$B$2:$AZ$212,AL$2,FALSE)</f>
        <v>#N/A</v>
      </c>
      <c r="AM45" s="31" t="e">
        <f>VLOOKUP($D45,Résultats!$B$2:$AZ$212,AM$2,FALSE)</f>
        <v>#N/A</v>
      </c>
    </row>
    <row r="46" spans="2:39" x14ac:dyDescent="0.25">
      <c r="C46" s="56" t="s">
        <v>6</v>
      </c>
      <c r="D46" s="3" t="s">
        <v>61</v>
      </c>
      <c r="E46" s="31" t="e">
        <f>VLOOKUP($D46,Résultats!$B$2:$AZ$212,E$2,FALSE)</f>
        <v>#N/A</v>
      </c>
      <c r="F46" s="31" t="e">
        <f>VLOOKUP($D46,Résultats!$B$2:$AZ$212,F$2,FALSE)</f>
        <v>#N/A</v>
      </c>
      <c r="G46" s="31" t="e">
        <f>VLOOKUP($D46,Résultats!$B$2:$AZ$212,G$2,FALSE)</f>
        <v>#N/A</v>
      </c>
      <c r="H46" s="31" t="e">
        <f>VLOOKUP($D46,Résultats!$B$2:$AZ$212,H$2,FALSE)</f>
        <v>#N/A</v>
      </c>
      <c r="I46" s="31" t="e">
        <f>VLOOKUP($D46,Résultats!$B$2:$AZ$212,I$2,FALSE)</f>
        <v>#N/A</v>
      </c>
      <c r="J46" s="31" t="e">
        <f>VLOOKUP($D46,Résultats!$B$2:$AZ$212,J$2,FALSE)</f>
        <v>#N/A</v>
      </c>
      <c r="K46" s="31" t="e">
        <f>VLOOKUP($D46,Résultats!$B$2:$AZ$212,K$2,FALSE)</f>
        <v>#N/A</v>
      </c>
      <c r="L46" s="31" t="e">
        <f>VLOOKUP($D46,Résultats!$B$2:$AZ$212,L$2,FALSE)</f>
        <v>#N/A</v>
      </c>
      <c r="M46" s="31" t="e">
        <f>VLOOKUP($D46,Résultats!$B$2:$AZ$212,M$2,FALSE)</f>
        <v>#N/A</v>
      </c>
      <c r="N46" s="31" t="e">
        <f>VLOOKUP($D46,Résultats!$B$2:$AZ$212,N$2,FALSE)</f>
        <v>#N/A</v>
      </c>
      <c r="O46" s="31" t="e">
        <f>VLOOKUP($D46,Résultats!$B$2:$AZ$212,O$2,FALSE)</f>
        <v>#N/A</v>
      </c>
      <c r="P46" s="31" t="e">
        <f>VLOOKUP($D46,Résultats!$B$2:$AZ$212,P$2,FALSE)</f>
        <v>#N/A</v>
      </c>
      <c r="Q46" s="31" t="e">
        <f>VLOOKUP($D46,Résultats!$B$2:$AZ$212,Q$2,FALSE)</f>
        <v>#N/A</v>
      </c>
      <c r="R46" s="31" t="e">
        <f>VLOOKUP($D46,Résultats!$B$2:$AZ$212,R$2,FALSE)</f>
        <v>#N/A</v>
      </c>
      <c r="S46" s="31" t="e">
        <f>VLOOKUP($D46,Résultats!$B$2:$AZ$212,S$2,FALSE)</f>
        <v>#N/A</v>
      </c>
      <c r="T46" s="31" t="e">
        <f>VLOOKUP($D46,Résultats!$B$2:$AZ$212,T$2,FALSE)</f>
        <v>#N/A</v>
      </c>
      <c r="U46" s="31" t="e">
        <f>VLOOKUP($D46,Résultats!$B$2:$AZ$212,U$2,FALSE)</f>
        <v>#N/A</v>
      </c>
      <c r="V46" s="31" t="e">
        <f>VLOOKUP($D46,Résultats!$B$2:$AZ$212,V$2,FALSE)</f>
        <v>#N/A</v>
      </c>
      <c r="W46" s="31" t="e">
        <f>VLOOKUP($D46,Résultats!$B$2:$AZ$212,W$2,FALSE)</f>
        <v>#N/A</v>
      </c>
      <c r="X46" s="31" t="e">
        <f>VLOOKUP($D46,Résultats!$B$2:$AZ$212,X$2,FALSE)</f>
        <v>#N/A</v>
      </c>
      <c r="Y46" s="31" t="e">
        <f>VLOOKUP($D46,Résultats!$B$2:$AZ$212,Y$2,FALSE)</f>
        <v>#N/A</v>
      </c>
      <c r="Z46" s="31" t="e">
        <f>VLOOKUP($D46,Résultats!$B$2:$AZ$212,Z$2,FALSE)</f>
        <v>#N/A</v>
      </c>
      <c r="AA46" s="31" t="e">
        <f>VLOOKUP($D46,Résultats!$B$2:$AZ$212,AA$2,FALSE)</f>
        <v>#N/A</v>
      </c>
      <c r="AB46" s="31" t="e">
        <f>VLOOKUP($D46,Résultats!$B$2:$AZ$212,AB$2,FALSE)</f>
        <v>#N/A</v>
      </c>
      <c r="AC46" s="31" t="e">
        <f>VLOOKUP($D46,Résultats!$B$2:$AZ$212,AC$2,FALSE)</f>
        <v>#N/A</v>
      </c>
      <c r="AD46" s="31" t="e">
        <f>VLOOKUP($D46,Résultats!$B$2:$AZ$212,AD$2,FALSE)</f>
        <v>#N/A</v>
      </c>
      <c r="AE46" s="31" t="e">
        <f>VLOOKUP($D46,Résultats!$B$2:$AZ$212,AE$2,FALSE)</f>
        <v>#N/A</v>
      </c>
      <c r="AF46" s="31" t="e">
        <f>VLOOKUP($D46,Résultats!$B$2:$AZ$212,AF$2,FALSE)</f>
        <v>#N/A</v>
      </c>
      <c r="AG46" s="31" t="e">
        <f>VLOOKUP($D46,Résultats!$B$2:$AZ$212,AG$2,FALSE)</f>
        <v>#N/A</v>
      </c>
      <c r="AH46" s="31" t="e">
        <f>VLOOKUP($D46,Résultats!$B$2:$AZ$212,AH$2,FALSE)</f>
        <v>#N/A</v>
      </c>
      <c r="AI46" s="31" t="e">
        <f>VLOOKUP($D46,Résultats!$B$2:$AZ$212,AI$2,FALSE)</f>
        <v>#N/A</v>
      </c>
      <c r="AJ46" s="31" t="e">
        <f>VLOOKUP($D46,Résultats!$B$2:$AZ$212,AJ$2,FALSE)</f>
        <v>#N/A</v>
      </c>
      <c r="AK46" s="31" t="e">
        <f>VLOOKUP($D46,Résultats!$B$2:$AZ$212,AK$2,FALSE)</f>
        <v>#N/A</v>
      </c>
      <c r="AL46" s="31" t="e">
        <f>VLOOKUP($D46,Résultats!$B$2:$AZ$212,AL$2,FALSE)</f>
        <v>#N/A</v>
      </c>
      <c r="AM46" s="31" t="e">
        <f>VLOOKUP($D46,Résultats!$B$2:$AZ$212,AM$2,FALSE)</f>
        <v>#N/A</v>
      </c>
    </row>
    <row r="47" spans="2:39" x14ac:dyDescent="0.25">
      <c r="C47" s="56" t="s">
        <v>34</v>
      </c>
      <c r="D47" s="3" t="s">
        <v>62</v>
      </c>
      <c r="E47" s="31" t="e">
        <f>VLOOKUP($D47,Résultats!$B$2:$AZ$212,E$2,FALSE)</f>
        <v>#N/A</v>
      </c>
      <c r="F47" s="31" t="e">
        <f>VLOOKUP($D47,Résultats!$B$2:$AZ$212,F$2,FALSE)</f>
        <v>#N/A</v>
      </c>
      <c r="G47" s="31" t="e">
        <f>VLOOKUP($D47,Résultats!$B$2:$AZ$212,G$2,FALSE)</f>
        <v>#N/A</v>
      </c>
      <c r="H47" s="31" t="e">
        <f>VLOOKUP($D47,Résultats!$B$2:$AZ$212,H$2,FALSE)</f>
        <v>#N/A</v>
      </c>
      <c r="I47" s="31" t="e">
        <f>VLOOKUP($D47,Résultats!$B$2:$AZ$212,I$2,FALSE)</f>
        <v>#N/A</v>
      </c>
      <c r="J47" s="31" t="e">
        <f>VLOOKUP($D47,Résultats!$B$2:$AZ$212,J$2,FALSE)</f>
        <v>#N/A</v>
      </c>
      <c r="K47" s="31" t="e">
        <f>VLOOKUP($D47,Résultats!$B$2:$AZ$212,K$2,FALSE)</f>
        <v>#N/A</v>
      </c>
      <c r="L47" s="31" t="e">
        <f>VLOOKUP($D47,Résultats!$B$2:$AZ$212,L$2,FALSE)</f>
        <v>#N/A</v>
      </c>
      <c r="M47" s="31" t="e">
        <f>VLOOKUP($D47,Résultats!$B$2:$AZ$212,M$2,FALSE)</f>
        <v>#N/A</v>
      </c>
      <c r="N47" s="31" t="e">
        <f>VLOOKUP($D47,Résultats!$B$2:$AZ$212,N$2,FALSE)</f>
        <v>#N/A</v>
      </c>
      <c r="O47" s="31" t="e">
        <f>VLOOKUP($D47,Résultats!$B$2:$AZ$212,O$2,FALSE)</f>
        <v>#N/A</v>
      </c>
      <c r="P47" s="31" t="e">
        <f>VLOOKUP($D47,Résultats!$B$2:$AZ$212,P$2,FALSE)</f>
        <v>#N/A</v>
      </c>
      <c r="Q47" s="31" t="e">
        <f>VLOOKUP($D47,Résultats!$B$2:$AZ$212,Q$2,FALSE)</f>
        <v>#N/A</v>
      </c>
      <c r="R47" s="31" t="e">
        <f>VLOOKUP($D47,Résultats!$B$2:$AZ$212,R$2,FALSE)</f>
        <v>#N/A</v>
      </c>
      <c r="S47" s="31" t="e">
        <f>VLOOKUP($D47,Résultats!$B$2:$AZ$212,S$2,FALSE)</f>
        <v>#N/A</v>
      </c>
      <c r="T47" s="31" t="e">
        <f>VLOOKUP($D47,Résultats!$B$2:$AZ$212,T$2,FALSE)</f>
        <v>#N/A</v>
      </c>
      <c r="U47" s="31" t="e">
        <f>VLOOKUP($D47,Résultats!$B$2:$AZ$212,U$2,FALSE)</f>
        <v>#N/A</v>
      </c>
      <c r="V47" s="31" t="e">
        <f>VLOOKUP($D47,Résultats!$B$2:$AZ$212,V$2,FALSE)</f>
        <v>#N/A</v>
      </c>
      <c r="W47" s="31" t="e">
        <f>VLOOKUP($D47,Résultats!$B$2:$AZ$212,W$2,FALSE)</f>
        <v>#N/A</v>
      </c>
      <c r="X47" s="31" t="e">
        <f>VLOOKUP($D47,Résultats!$B$2:$AZ$212,X$2,FALSE)</f>
        <v>#N/A</v>
      </c>
      <c r="Y47" s="31" t="e">
        <f>VLOOKUP($D47,Résultats!$B$2:$AZ$212,Y$2,FALSE)</f>
        <v>#N/A</v>
      </c>
      <c r="Z47" s="31" t="e">
        <f>VLOOKUP($D47,Résultats!$B$2:$AZ$212,Z$2,FALSE)</f>
        <v>#N/A</v>
      </c>
      <c r="AA47" s="31" t="e">
        <f>VLOOKUP($D47,Résultats!$B$2:$AZ$212,AA$2,FALSE)</f>
        <v>#N/A</v>
      </c>
      <c r="AB47" s="31" t="e">
        <f>VLOOKUP($D47,Résultats!$B$2:$AZ$212,AB$2,FALSE)</f>
        <v>#N/A</v>
      </c>
      <c r="AC47" s="31" t="e">
        <f>VLOOKUP($D47,Résultats!$B$2:$AZ$212,AC$2,FALSE)</f>
        <v>#N/A</v>
      </c>
      <c r="AD47" s="31" t="e">
        <f>VLOOKUP($D47,Résultats!$B$2:$AZ$212,AD$2,FALSE)</f>
        <v>#N/A</v>
      </c>
      <c r="AE47" s="31" t="e">
        <f>VLOOKUP($D47,Résultats!$B$2:$AZ$212,AE$2,FALSE)</f>
        <v>#N/A</v>
      </c>
      <c r="AF47" s="31" t="e">
        <f>VLOOKUP($D47,Résultats!$B$2:$AZ$212,AF$2,FALSE)</f>
        <v>#N/A</v>
      </c>
      <c r="AG47" s="31" t="e">
        <f>VLOOKUP($D47,Résultats!$B$2:$AZ$212,AG$2,FALSE)</f>
        <v>#N/A</v>
      </c>
      <c r="AH47" s="31" t="e">
        <f>VLOOKUP($D47,Résultats!$B$2:$AZ$212,AH$2,FALSE)</f>
        <v>#N/A</v>
      </c>
      <c r="AI47" s="31" t="e">
        <f>VLOOKUP($D47,Résultats!$B$2:$AZ$212,AI$2,FALSE)</f>
        <v>#N/A</v>
      </c>
      <c r="AJ47" s="31" t="e">
        <f>VLOOKUP($D47,Résultats!$B$2:$AZ$212,AJ$2,FALSE)</f>
        <v>#N/A</v>
      </c>
      <c r="AK47" s="31" t="e">
        <f>VLOOKUP($D47,Résultats!$B$2:$AZ$212,AK$2,FALSE)</f>
        <v>#N/A</v>
      </c>
      <c r="AL47" s="31" t="e">
        <f>VLOOKUP($D47,Résultats!$B$2:$AZ$212,AL$2,FALSE)</f>
        <v>#N/A</v>
      </c>
      <c r="AM47" s="31" t="e">
        <f>VLOOKUP($D47,Résultats!$B$2:$AZ$212,AM$2,FALSE)</f>
        <v>#N/A</v>
      </c>
    </row>
    <row r="48" spans="2:39" x14ac:dyDescent="0.25">
      <c r="C48" s="56" t="s">
        <v>35</v>
      </c>
      <c r="D48" s="3" t="s">
        <v>63</v>
      </c>
      <c r="E48" s="31" t="e">
        <f>VLOOKUP($D48,Résultats!$B$2:$AZ$212,E$2,FALSE)</f>
        <v>#N/A</v>
      </c>
      <c r="F48" s="31" t="e">
        <f>VLOOKUP($D48,Résultats!$B$2:$AZ$212,F$2,FALSE)</f>
        <v>#N/A</v>
      </c>
      <c r="G48" s="31" t="e">
        <f>VLOOKUP($D48,Résultats!$B$2:$AZ$212,G$2,FALSE)</f>
        <v>#N/A</v>
      </c>
      <c r="H48" s="31" t="e">
        <f>VLOOKUP($D48,Résultats!$B$2:$AZ$212,H$2,FALSE)</f>
        <v>#N/A</v>
      </c>
      <c r="I48" s="31" t="e">
        <f>VLOOKUP($D48,Résultats!$B$2:$AZ$212,I$2,FALSE)</f>
        <v>#N/A</v>
      </c>
      <c r="J48" s="31" t="e">
        <f>VLOOKUP($D48,Résultats!$B$2:$AZ$212,J$2,FALSE)</f>
        <v>#N/A</v>
      </c>
      <c r="K48" s="31" t="e">
        <f>VLOOKUP($D48,Résultats!$B$2:$AZ$212,K$2,FALSE)</f>
        <v>#N/A</v>
      </c>
      <c r="L48" s="31" t="e">
        <f>VLOOKUP($D48,Résultats!$B$2:$AZ$212,L$2,FALSE)</f>
        <v>#N/A</v>
      </c>
      <c r="M48" s="31" t="e">
        <f>VLOOKUP($D48,Résultats!$B$2:$AZ$212,M$2,FALSE)</f>
        <v>#N/A</v>
      </c>
      <c r="N48" s="31" t="e">
        <f>VLOOKUP($D48,Résultats!$B$2:$AZ$212,N$2,FALSE)</f>
        <v>#N/A</v>
      </c>
      <c r="O48" s="31" t="e">
        <f>VLOOKUP($D48,Résultats!$B$2:$AZ$212,O$2,FALSE)</f>
        <v>#N/A</v>
      </c>
      <c r="P48" s="31" t="e">
        <f>VLOOKUP($D48,Résultats!$B$2:$AZ$212,P$2,FALSE)</f>
        <v>#N/A</v>
      </c>
      <c r="Q48" s="31" t="e">
        <f>VLOOKUP($D48,Résultats!$B$2:$AZ$212,Q$2,FALSE)</f>
        <v>#N/A</v>
      </c>
      <c r="R48" s="31" t="e">
        <f>VLOOKUP($D48,Résultats!$B$2:$AZ$212,R$2,FALSE)</f>
        <v>#N/A</v>
      </c>
      <c r="S48" s="31" t="e">
        <f>VLOOKUP($D48,Résultats!$B$2:$AZ$212,S$2,FALSE)</f>
        <v>#N/A</v>
      </c>
      <c r="T48" s="31" t="e">
        <f>VLOOKUP($D48,Résultats!$B$2:$AZ$212,T$2,FALSE)</f>
        <v>#N/A</v>
      </c>
      <c r="U48" s="31" t="e">
        <f>VLOOKUP($D48,Résultats!$B$2:$AZ$212,U$2,FALSE)</f>
        <v>#N/A</v>
      </c>
      <c r="V48" s="31" t="e">
        <f>VLOOKUP($D48,Résultats!$B$2:$AZ$212,V$2,FALSE)</f>
        <v>#N/A</v>
      </c>
      <c r="W48" s="31" t="e">
        <f>VLOOKUP($D48,Résultats!$B$2:$AZ$212,W$2,FALSE)</f>
        <v>#N/A</v>
      </c>
      <c r="X48" s="31" t="e">
        <f>VLOOKUP($D48,Résultats!$B$2:$AZ$212,X$2,FALSE)</f>
        <v>#N/A</v>
      </c>
      <c r="Y48" s="31" t="e">
        <f>VLOOKUP($D48,Résultats!$B$2:$AZ$212,Y$2,FALSE)</f>
        <v>#N/A</v>
      </c>
      <c r="Z48" s="31" t="e">
        <f>VLOOKUP($D48,Résultats!$B$2:$AZ$212,Z$2,FALSE)</f>
        <v>#N/A</v>
      </c>
      <c r="AA48" s="31" t="e">
        <f>VLOOKUP($D48,Résultats!$B$2:$AZ$212,AA$2,FALSE)</f>
        <v>#N/A</v>
      </c>
      <c r="AB48" s="31" t="e">
        <f>VLOOKUP($D48,Résultats!$B$2:$AZ$212,AB$2,FALSE)</f>
        <v>#N/A</v>
      </c>
      <c r="AC48" s="31" t="e">
        <f>VLOOKUP($D48,Résultats!$B$2:$AZ$212,AC$2,FALSE)</f>
        <v>#N/A</v>
      </c>
      <c r="AD48" s="31" t="e">
        <f>VLOOKUP($D48,Résultats!$B$2:$AZ$212,AD$2,FALSE)</f>
        <v>#N/A</v>
      </c>
      <c r="AE48" s="31" t="e">
        <f>VLOOKUP($D48,Résultats!$B$2:$AZ$212,AE$2,FALSE)</f>
        <v>#N/A</v>
      </c>
      <c r="AF48" s="31" t="e">
        <f>VLOOKUP($D48,Résultats!$B$2:$AZ$212,AF$2,FALSE)</f>
        <v>#N/A</v>
      </c>
      <c r="AG48" s="31" t="e">
        <f>VLOOKUP($D48,Résultats!$B$2:$AZ$212,AG$2,FALSE)</f>
        <v>#N/A</v>
      </c>
      <c r="AH48" s="31" t="e">
        <f>VLOOKUP($D48,Résultats!$B$2:$AZ$212,AH$2,FALSE)</f>
        <v>#N/A</v>
      </c>
      <c r="AI48" s="31" t="e">
        <f>VLOOKUP($D48,Résultats!$B$2:$AZ$212,AI$2,FALSE)</f>
        <v>#N/A</v>
      </c>
      <c r="AJ48" s="31" t="e">
        <f>VLOOKUP($D48,Résultats!$B$2:$AZ$212,AJ$2,FALSE)</f>
        <v>#N/A</v>
      </c>
      <c r="AK48" s="31" t="e">
        <f>VLOOKUP($D48,Résultats!$B$2:$AZ$212,AK$2,FALSE)</f>
        <v>#N/A</v>
      </c>
      <c r="AL48" s="31" t="e">
        <f>VLOOKUP($D48,Résultats!$B$2:$AZ$212,AL$2,FALSE)</f>
        <v>#N/A</v>
      </c>
      <c r="AM48" s="31" t="e">
        <f>VLOOKUP($D48,Résultats!$B$2:$AZ$212,AM$2,FALSE)</f>
        <v>#N/A</v>
      </c>
    </row>
    <row r="49" spans="3:40" x14ac:dyDescent="0.25">
      <c r="C49" s="80" t="s">
        <v>134</v>
      </c>
      <c r="D49" s="80" t="s">
        <v>45</v>
      </c>
      <c r="E49" s="81" t="e">
        <f>VLOOKUP($D49,Résultats!$B$2:$AZ$212,E$2,FALSE)</f>
        <v>#N/A</v>
      </c>
      <c r="F49" s="81" t="e">
        <f>VLOOKUP($D49,Résultats!$B$2:$AZ$212,F$2,FALSE)</f>
        <v>#N/A</v>
      </c>
      <c r="G49" s="81" t="e">
        <f>VLOOKUP($D49,Résultats!$B$2:$AZ$212,G$2,FALSE)</f>
        <v>#N/A</v>
      </c>
      <c r="H49" s="81" t="e">
        <f>VLOOKUP($D49,Résultats!$B$2:$AZ$212,H$2,FALSE)</f>
        <v>#N/A</v>
      </c>
      <c r="I49" s="81" t="e">
        <f>VLOOKUP($D49,Résultats!$B$2:$AZ$212,I$2,FALSE)</f>
        <v>#N/A</v>
      </c>
      <c r="J49" s="81" t="e">
        <f>VLOOKUP($D49,Résultats!$B$2:$AZ$212,J$2,FALSE)</f>
        <v>#N/A</v>
      </c>
      <c r="K49" s="81" t="e">
        <f>VLOOKUP($D49,Résultats!$B$2:$AZ$212,K$2,FALSE)</f>
        <v>#N/A</v>
      </c>
      <c r="L49" s="81" t="e">
        <f>VLOOKUP($D49,Résultats!$B$2:$AZ$212,L$2,FALSE)</f>
        <v>#N/A</v>
      </c>
      <c r="M49" s="81" t="e">
        <f>VLOOKUP($D49,Résultats!$B$2:$AZ$212,M$2,FALSE)</f>
        <v>#N/A</v>
      </c>
      <c r="N49" s="81" t="e">
        <f>VLOOKUP($D49,Résultats!$B$2:$AZ$212,N$2,FALSE)</f>
        <v>#N/A</v>
      </c>
      <c r="O49" s="81" t="e">
        <f>VLOOKUP($D49,Résultats!$B$2:$AZ$212,O$2,FALSE)</f>
        <v>#N/A</v>
      </c>
      <c r="P49" s="81" t="e">
        <f>VLOOKUP($D49,Résultats!$B$2:$AZ$212,P$2,FALSE)</f>
        <v>#N/A</v>
      </c>
      <c r="Q49" s="81" t="e">
        <f>VLOOKUP($D49,Résultats!$B$2:$AZ$212,Q$2,FALSE)</f>
        <v>#N/A</v>
      </c>
      <c r="R49" s="81" t="e">
        <f>VLOOKUP($D49,Résultats!$B$2:$AZ$212,R$2,FALSE)</f>
        <v>#N/A</v>
      </c>
      <c r="S49" s="81" t="e">
        <f>VLOOKUP($D49,Résultats!$B$2:$AZ$212,S$2,FALSE)</f>
        <v>#N/A</v>
      </c>
      <c r="T49" s="81" t="e">
        <f>VLOOKUP($D49,Résultats!$B$2:$AZ$212,T$2,FALSE)</f>
        <v>#N/A</v>
      </c>
      <c r="U49" s="81" t="e">
        <f>VLOOKUP($D49,Résultats!$B$2:$AZ$212,U$2,FALSE)</f>
        <v>#N/A</v>
      </c>
      <c r="V49" s="81" t="e">
        <f>VLOOKUP($D49,Résultats!$B$2:$AZ$212,V$2,FALSE)</f>
        <v>#N/A</v>
      </c>
      <c r="W49" s="81" t="e">
        <f>VLOOKUP($D49,Résultats!$B$2:$AZ$212,W$2,FALSE)</f>
        <v>#N/A</v>
      </c>
      <c r="X49" s="81" t="e">
        <f>VLOOKUP($D49,Résultats!$B$2:$AZ$212,X$2,FALSE)</f>
        <v>#N/A</v>
      </c>
      <c r="Y49" s="81" t="e">
        <f>VLOOKUP($D49,Résultats!$B$2:$AZ$212,Y$2,FALSE)</f>
        <v>#N/A</v>
      </c>
      <c r="Z49" s="81" t="e">
        <f>VLOOKUP($D49,Résultats!$B$2:$AZ$212,Z$2,FALSE)</f>
        <v>#N/A</v>
      </c>
      <c r="AA49" s="81" t="e">
        <f>VLOOKUP($D49,Résultats!$B$2:$AZ$212,AA$2,FALSE)</f>
        <v>#N/A</v>
      </c>
      <c r="AB49" s="81" t="e">
        <f>VLOOKUP($D49,Résultats!$B$2:$AZ$212,AB$2,FALSE)</f>
        <v>#N/A</v>
      </c>
      <c r="AC49" s="81" t="e">
        <f>VLOOKUP($D49,Résultats!$B$2:$AZ$212,AC$2,FALSE)</f>
        <v>#N/A</v>
      </c>
      <c r="AD49" s="81" t="e">
        <f>VLOOKUP($D49,Résultats!$B$2:$AZ$212,AD$2,FALSE)</f>
        <v>#N/A</v>
      </c>
      <c r="AE49" s="81" t="e">
        <f>VLOOKUP($D49,Résultats!$B$2:$AZ$212,AE$2,FALSE)</f>
        <v>#N/A</v>
      </c>
      <c r="AF49" s="81" t="e">
        <f>VLOOKUP($D49,Résultats!$B$2:$AZ$212,AF$2,FALSE)</f>
        <v>#N/A</v>
      </c>
      <c r="AG49" s="81" t="e">
        <f>VLOOKUP($D49,Résultats!$B$2:$AZ$212,AG$2,FALSE)</f>
        <v>#N/A</v>
      </c>
      <c r="AH49" s="81" t="e">
        <f>VLOOKUP($D49,Résultats!$B$2:$AZ$212,AH$2,FALSE)</f>
        <v>#N/A</v>
      </c>
      <c r="AI49" s="81" t="e">
        <f>VLOOKUP($D49,Résultats!$B$2:$AZ$212,AI$2,FALSE)</f>
        <v>#N/A</v>
      </c>
      <c r="AJ49" s="81" t="e">
        <f>VLOOKUP($D49,Résultats!$B$2:$AZ$212,AJ$2,FALSE)</f>
        <v>#N/A</v>
      </c>
      <c r="AK49" s="81" t="e">
        <f>VLOOKUP($D49,Résultats!$B$2:$AZ$212,AK$2,FALSE)</f>
        <v>#N/A</v>
      </c>
      <c r="AL49" s="81" t="e">
        <f>VLOOKUP($D49,Résultats!$B$2:$AZ$212,AL$2,FALSE)</f>
        <v>#N/A</v>
      </c>
      <c r="AM49" s="81" t="e">
        <f>VLOOKUP($D49,Résultats!$B$2:$AZ$212,AM$2,FALSE)</f>
        <v>#N/A</v>
      </c>
    </row>
    <row r="50" spans="3:40" x14ac:dyDescent="0.25">
      <c r="C50" s="82" t="s">
        <v>94</v>
      </c>
      <c r="D50" s="3" t="s">
        <v>62</v>
      </c>
      <c r="E50" s="83" t="e">
        <f>VLOOKUP($D50,Résultats!$B$2:$AZ$212,E$2,FALSE)</f>
        <v>#N/A</v>
      </c>
      <c r="F50" s="83" t="e">
        <f>VLOOKUP($D50,Résultats!$B$2:$AZ$212,F$2,FALSE)</f>
        <v>#N/A</v>
      </c>
      <c r="G50" s="83" t="e">
        <f>VLOOKUP($D50,Résultats!$B$2:$AZ$212,G$2,FALSE)</f>
        <v>#N/A</v>
      </c>
      <c r="H50" s="83" t="e">
        <f>VLOOKUP($D50,Résultats!$B$2:$AZ$212,H$2,FALSE)</f>
        <v>#N/A</v>
      </c>
      <c r="I50" s="83" t="e">
        <f>VLOOKUP($D50,Résultats!$B$2:$AZ$212,I$2,FALSE)</f>
        <v>#N/A</v>
      </c>
      <c r="J50" s="83" t="e">
        <f>VLOOKUP($D50,Résultats!$B$2:$AZ$212,J$2,FALSE)</f>
        <v>#N/A</v>
      </c>
      <c r="K50" s="83" t="e">
        <f>VLOOKUP($D50,Résultats!$B$2:$AZ$212,K$2,FALSE)</f>
        <v>#N/A</v>
      </c>
      <c r="L50" s="83" t="e">
        <f>VLOOKUP($D50,Résultats!$B$2:$AZ$212,L$2,FALSE)</f>
        <v>#N/A</v>
      </c>
      <c r="M50" s="83" t="e">
        <f>VLOOKUP($D50,Résultats!$B$2:$AZ$212,M$2,FALSE)</f>
        <v>#N/A</v>
      </c>
      <c r="N50" s="83" t="e">
        <f>VLOOKUP($D50,Résultats!$B$2:$AZ$212,N$2,FALSE)</f>
        <v>#N/A</v>
      </c>
      <c r="O50" s="83" t="e">
        <f>VLOOKUP($D50,Résultats!$B$2:$AZ$212,O$2,FALSE)</f>
        <v>#N/A</v>
      </c>
      <c r="P50" s="83" t="e">
        <f>VLOOKUP($D50,Résultats!$B$2:$AZ$212,P$2,FALSE)</f>
        <v>#N/A</v>
      </c>
      <c r="Q50" s="83" t="e">
        <f>VLOOKUP($D50,Résultats!$B$2:$AZ$212,Q$2,FALSE)</f>
        <v>#N/A</v>
      </c>
      <c r="R50" s="83" t="e">
        <f>VLOOKUP($D50,Résultats!$B$2:$AZ$212,R$2,FALSE)</f>
        <v>#N/A</v>
      </c>
      <c r="S50" s="83" t="e">
        <f>VLOOKUP($D50,Résultats!$B$2:$AZ$212,S$2,FALSE)</f>
        <v>#N/A</v>
      </c>
      <c r="T50" s="83" t="e">
        <f>VLOOKUP($D50,Résultats!$B$2:$AZ$212,T$2,FALSE)</f>
        <v>#N/A</v>
      </c>
      <c r="U50" s="83" t="e">
        <f>VLOOKUP($D50,Résultats!$B$2:$AZ$212,U$2,FALSE)</f>
        <v>#N/A</v>
      </c>
      <c r="V50" s="83" t="e">
        <f>VLOOKUP($D50,Résultats!$B$2:$AZ$212,V$2,FALSE)</f>
        <v>#N/A</v>
      </c>
      <c r="W50" s="83" t="e">
        <f>VLOOKUP($D50,Résultats!$B$2:$AZ$212,W$2,FALSE)</f>
        <v>#N/A</v>
      </c>
      <c r="X50" s="83" t="e">
        <f>VLOOKUP($D50,Résultats!$B$2:$AZ$212,X$2,FALSE)</f>
        <v>#N/A</v>
      </c>
      <c r="Y50" s="83" t="e">
        <f>VLOOKUP($D50,Résultats!$B$2:$AZ$212,Y$2,FALSE)</f>
        <v>#N/A</v>
      </c>
      <c r="Z50" s="83" t="e">
        <f>VLOOKUP($D50,Résultats!$B$2:$AZ$212,Z$2,FALSE)</f>
        <v>#N/A</v>
      </c>
      <c r="AA50" s="83" t="e">
        <f>VLOOKUP($D50,Résultats!$B$2:$AZ$212,AA$2,FALSE)</f>
        <v>#N/A</v>
      </c>
      <c r="AB50" s="83" t="e">
        <f>VLOOKUP($D50,Résultats!$B$2:$AZ$212,AB$2,FALSE)</f>
        <v>#N/A</v>
      </c>
      <c r="AC50" s="83" t="e">
        <f>VLOOKUP($D50,Résultats!$B$2:$AZ$212,AC$2,FALSE)</f>
        <v>#N/A</v>
      </c>
      <c r="AD50" s="83" t="e">
        <f>VLOOKUP($D50,Résultats!$B$2:$AZ$212,AD$2,FALSE)</f>
        <v>#N/A</v>
      </c>
      <c r="AE50" s="83" t="e">
        <f>VLOOKUP($D50,Résultats!$B$2:$AZ$212,AE$2,FALSE)</f>
        <v>#N/A</v>
      </c>
      <c r="AF50" s="83" t="e">
        <f>VLOOKUP($D50,Résultats!$B$2:$AZ$212,AF$2,FALSE)</f>
        <v>#N/A</v>
      </c>
      <c r="AG50" s="83" t="e">
        <f>VLOOKUP($D50,Résultats!$B$2:$AZ$212,AG$2,FALSE)</f>
        <v>#N/A</v>
      </c>
      <c r="AH50" s="83" t="e">
        <f>VLOOKUP($D50,Résultats!$B$2:$AZ$212,AH$2,FALSE)</f>
        <v>#N/A</v>
      </c>
      <c r="AI50" s="83" t="e">
        <f>VLOOKUP($D50,Résultats!$B$2:$AZ$212,AI$2,FALSE)</f>
        <v>#N/A</v>
      </c>
      <c r="AJ50" s="83" t="e">
        <f>VLOOKUP($D50,Résultats!$B$2:$AZ$212,AJ$2,FALSE)</f>
        <v>#N/A</v>
      </c>
      <c r="AK50" s="83" t="e">
        <f>VLOOKUP($D50,Résultats!$B$2:$AZ$212,AK$2,FALSE)</f>
        <v>#N/A</v>
      </c>
      <c r="AL50" s="83" t="e">
        <f>VLOOKUP($D50,Résultats!$B$2:$AZ$212,AL$2,FALSE)</f>
        <v>#N/A</v>
      </c>
      <c r="AM50" s="83" t="e">
        <f>VLOOKUP($D50,Résultats!$B$2:$AZ$212,AM$2,FALSE)</f>
        <v>#N/A</v>
      </c>
    </row>
    <row r="51" spans="3:40" x14ac:dyDescent="0.25">
      <c r="C51" s="84" t="s">
        <v>27</v>
      </c>
      <c r="D51" s="85" t="s">
        <v>53</v>
      </c>
      <c r="E51" s="31" t="e">
        <f>VLOOKUP($D51,Résultats!$B$2:$AZ$212,E$2,FALSE)</f>
        <v>#N/A</v>
      </c>
      <c r="F51" s="31" t="e">
        <f>VLOOKUP($D51,Résultats!$B$2:$AZ$212,F$2,FALSE)</f>
        <v>#N/A</v>
      </c>
      <c r="G51" s="31" t="e">
        <f>VLOOKUP($D51,Résultats!$B$2:$AZ$212,G$2,FALSE)</f>
        <v>#N/A</v>
      </c>
      <c r="H51" s="31" t="e">
        <f>VLOOKUP($D51,Résultats!$B$2:$AZ$212,H$2,FALSE)</f>
        <v>#N/A</v>
      </c>
      <c r="I51" s="31" t="e">
        <f>VLOOKUP($D51,Résultats!$B$2:$AZ$212,I$2,FALSE)</f>
        <v>#N/A</v>
      </c>
      <c r="J51" s="31" t="e">
        <f>VLOOKUP($D51,Résultats!$B$2:$AZ$212,J$2,FALSE)</f>
        <v>#N/A</v>
      </c>
      <c r="K51" s="31" t="e">
        <f>VLOOKUP($D51,Résultats!$B$2:$AZ$212,K$2,FALSE)</f>
        <v>#N/A</v>
      </c>
      <c r="L51" s="31" t="e">
        <f>VLOOKUP($D51,Résultats!$B$2:$AZ$212,L$2,FALSE)</f>
        <v>#N/A</v>
      </c>
      <c r="M51" s="31" t="e">
        <f>VLOOKUP($D51,Résultats!$B$2:$AZ$212,M$2,FALSE)</f>
        <v>#N/A</v>
      </c>
      <c r="N51" s="31" t="e">
        <f>VLOOKUP($D51,Résultats!$B$2:$AZ$212,N$2,FALSE)</f>
        <v>#N/A</v>
      </c>
      <c r="O51" s="31" t="e">
        <f>VLOOKUP($D51,Résultats!$B$2:$AZ$212,O$2,FALSE)</f>
        <v>#N/A</v>
      </c>
      <c r="P51" s="31" t="e">
        <f>VLOOKUP($D51,Résultats!$B$2:$AZ$212,P$2,FALSE)</f>
        <v>#N/A</v>
      </c>
      <c r="Q51" s="31" t="e">
        <f>VLOOKUP($D51,Résultats!$B$2:$AZ$212,Q$2,FALSE)</f>
        <v>#N/A</v>
      </c>
      <c r="R51" s="31" t="e">
        <f>VLOOKUP($D51,Résultats!$B$2:$AZ$212,R$2,FALSE)</f>
        <v>#N/A</v>
      </c>
      <c r="S51" s="31" t="e">
        <f>VLOOKUP($D51,Résultats!$B$2:$AZ$212,S$2,FALSE)</f>
        <v>#N/A</v>
      </c>
      <c r="T51" s="31" t="e">
        <f>VLOOKUP($D51,Résultats!$B$2:$AZ$212,T$2,FALSE)</f>
        <v>#N/A</v>
      </c>
      <c r="U51" s="31" t="e">
        <f>VLOOKUP($D51,Résultats!$B$2:$AZ$212,U$2,FALSE)</f>
        <v>#N/A</v>
      </c>
      <c r="V51" s="31" t="e">
        <f>VLOOKUP($D51,Résultats!$B$2:$AZ$212,V$2,FALSE)</f>
        <v>#N/A</v>
      </c>
      <c r="W51" s="31" t="e">
        <f>VLOOKUP($D51,Résultats!$B$2:$AZ$212,W$2,FALSE)</f>
        <v>#N/A</v>
      </c>
      <c r="X51" s="31" t="e">
        <f>VLOOKUP($D51,Résultats!$B$2:$AZ$212,X$2,FALSE)</f>
        <v>#N/A</v>
      </c>
      <c r="Y51" s="31" t="e">
        <f>VLOOKUP($D51,Résultats!$B$2:$AZ$212,Y$2,FALSE)</f>
        <v>#N/A</v>
      </c>
      <c r="Z51" s="31" t="e">
        <f>VLOOKUP($D51,Résultats!$B$2:$AZ$212,Z$2,FALSE)</f>
        <v>#N/A</v>
      </c>
      <c r="AA51" s="31" t="e">
        <f>VLOOKUP($D51,Résultats!$B$2:$AZ$212,AA$2,FALSE)</f>
        <v>#N/A</v>
      </c>
      <c r="AB51" s="31" t="e">
        <f>VLOOKUP($D51,Résultats!$B$2:$AZ$212,AB$2,FALSE)</f>
        <v>#N/A</v>
      </c>
      <c r="AC51" s="31" t="e">
        <f>VLOOKUP($D51,Résultats!$B$2:$AZ$212,AC$2,FALSE)</f>
        <v>#N/A</v>
      </c>
      <c r="AD51" s="31" t="e">
        <f>VLOOKUP($D51,Résultats!$B$2:$AZ$212,AD$2,FALSE)</f>
        <v>#N/A</v>
      </c>
      <c r="AE51" s="31" t="e">
        <f>VLOOKUP($D51,Résultats!$B$2:$AZ$212,AE$2,FALSE)</f>
        <v>#N/A</v>
      </c>
      <c r="AF51" s="31" t="e">
        <f>VLOOKUP($D51,Résultats!$B$2:$AZ$212,AF$2,FALSE)</f>
        <v>#N/A</v>
      </c>
      <c r="AG51" s="31" t="e">
        <f>VLOOKUP($D51,Résultats!$B$2:$AZ$212,AG$2,FALSE)</f>
        <v>#N/A</v>
      </c>
      <c r="AH51" s="31" t="e">
        <f>VLOOKUP($D51,Résultats!$B$2:$AZ$212,AH$2,FALSE)</f>
        <v>#N/A</v>
      </c>
      <c r="AI51" s="31" t="e">
        <f>VLOOKUP($D51,Résultats!$B$2:$AZ$212,AI$2,FALSE)</f>
        <v>#N/A</v>
      </c>
      <c r="AJ51" s="31" t="e">
        <f>VLOOKUP($D51,Résultats!$B$2:$AZ$212,AJ$2,FALSE)</f>
        <v>#N/A</v>
      </c>
      <c r="AK51" s="31" t="e">
        <f>VLOOKUP($D51,Résultats!$B$2:$AZ$212,AK$2,FALSE)</f>
        <v>#N/A</v>
      </c>
      <c r="AL51" s="31" t="e">
        <f>VLOOKUP($D51,Résultats!$B$2:$AZ$212,AL$2,FALSE)</f>
        <v>#N/A</v>
      </c>
      <c r="AM51" s="31" t="e">
        <f>VLOOKUP($D51,Résultats!$B$2:$AZ$212,AM$2,FALSE)</f>
        <v>#N/A</v>
      </c>
    </row>
    <row r="52" spans="3:40" x14ac:dyDescent="0.25">
      <c r="C52" s="56" t="s">
        <v>28</v>
      </c>
      <c r="D52" s="76" t="s">
        <v>54</v>
      </c>
      <c r="E52" s="31" t="e">
        <f>VLOOKUP($D52,Résultats!$B$2:$AZ$212,E$2,FALSE)</f>
        <v>#N/A</v>
      </c>
      <c r="F52" s="31" t="e">
        <f>VLOOKUP($D52,Résultats!$B$2:$AZ$212,F$2,FALSE)</f>
        <v>#N/A</v>
      </c>
      <c r="G52" s="31" t="e">
        <f>VLOOKUP($D52,Résultats!$B$2:$AZ$212,G$2,FALSE)</f>
        <v>#N/A</v>
      </c>
      <c r="H52" s="31" t="e">
        <f>VLOOKUP($D52,Résultats!$B$2:$AZ$212,H$2,FALSE)</f>
        <v>#N/A</v>
      </c>
      <c r="I52" s="31" t="e">
        <f>VLOOKUP($D52,Résultats!$B$2:$AZ$212,I$2,FALSE)</f>
        <v>#N/A</v>
      </c>
      <c r="J52" s="31" t="e">
        <f>VLOOKUP($D52,Résultats!$B$2:$AZ$212,J$2,FALSE)</f>
        <v>#N/A</v>
      </c>
      <c r="K52" s="31" t="e">
        <f>VLOOKUP($D52,Résultats!$B$2:$AZ$212,K$2,FALSE)</f>
        <v>#N/A</v>
      </c>
      <c r="L52" s="31" t="e">
        <f>VLOOKUP($D52,Résultats!$B$2:$AZ$212,L$2,FALSE)</f>
        <v>#N/A</v>
      </c>
      <c r="M52" s="31" t="e">
        <f>VLOOKUP($D52,Résultats!$B$2:$AZ$212,M$2,FALSE)</f>
        <v>#N/A</v>
      </c>
      <c r="N52" s="31" t="e">
        <f>VLOOKUP($D52,Résultats!$B$2:$AZ$212,N$2,FALSE)</f>
        <v>#N/A</v>
      </c>
      <c r="O52" s="31" t="e">
        <f>VLOOKUP($D52,Résultats!$B$2:$AZ$212,O$2,FALSE)</f>
        <v>#N/A</v>
      </c>
      <c r="P52" s="31" t="e">
        <f>VLOOKUP($D52,Résultats!$B$2:$AZ$212,P$2,FALSE)</f>
        <v>#N/A</v>
      </c>
      <c r="Q52" s="31" t="e">
        <f>VLOOKUP($D52,Résultats!$B$2:$AZ$212,Q$2,FALSE)</f>
        <v>#N/A</v>
      </c>
      <c r="R52" s="31" t="e">
        <f>VLOOKUP($D52,Résultats!$B$2:$AZ$212,R$2,FALSE)</f>
        <v>#N/A</v>
      </c>
      <c r="S52" s="31" t="e">
        <f>VLOOKUP($D52,Résultats!$B$2:$AZ$212,S$2,FALSE)</f>
        <v>#N/A</v>
      </c>
      <c r="T52" s="31" t="e">
        <f>VLOOKUP($D52,Résultats!$B$2:$AZ$212,T$2,FALSE)</f>
        <v>#N/A</v>
      </c>
      <c r="U52" s="31" t="e">
        <f>VLOOKUP($D52,Résultats!$B$2:$AZ$212,U$2,FALSE)</f>
        <v>#N/A</v>
      </c>
      <c r="V52" s="31" t="e">
        <f>VLOOKUP($D52,Résultats!$B$2:$AZ$212,V$2,FALSE)</f>
        <v>#N/A</v>
      </c>
      <c r="W52" s="31" t="e">
        <f>VLOOKUP($D52,Résultats!$B$2:$AZ$212,W$2,FALSE)</f>
        <v>#N/A</v>
      </c>
      <c r="X52" s="31" t="e">
        <f>VLOOKUP($D52,Résultats!$B$2:$AZ$212,X$2,FALSE)</f>
        <v>#N/A</v>
      </c>
      <c r="Y52" s="31" t="e">
        <f>VLOOKUP($D52,Résultats!$B$2:$AZ$212,Y$2,FALSE)</f>
        <v>#N/A</v>
      </c>
      <c r="Z52" s="31" t="e">
        <f>VLOOKUP($D52,Résultats!$B$2:$AZ$212,Z$2,FALSE)</f>
        <v>#N/A</v>
      </c>
      <c r="AA52" s="31" t="e">
        <f>VLOOKUP($D52,Résultats!$B$2:$AZ$212,AA$2,FALSE)</f>
        <v>#N/A</v>
      </c>
      <c r="AB52" s="31" t="e">
        <f>VLOOKUP($D52,Résultats!$B$2:$AZ$212,AB$2,FALSE)</f>
        <v>#N/A</v>
      </c>
      <c r="AC52" s="31" t="e">
        <f>VLOOKUP($D52,Résultats!$B$2:$AZ$212,AC$2,FALSE)</f>
        <v>#N/A</v>
      </c>
      <c r="AD52" s="31" t="e">
        <f>VLOOKUP($D52,Résultats!$B$2:$AZ$212,AD$2,FALSE)</f>
        <v>#N/A</v>
      </c>
      <c r="AE52" s="31" t="e">
        <f>VLOOKUP($D52,Résultats!$B$2:$AZ$212,AE$2,FALSE)</f>
        <v>#N/A</v>
      </c>
      <c r="AF52" s="31" t="e">
        <f>VLOOKUP($D52,Résultats!$B$2:$AZ$212,AF$2,FALSE)</f>
        <v>#N/A</v>
      </c>
      <c r="AG52" s="31" t="e">
        <f>VLOOKUP($D52,Résultats!$B$2:$AZ$212,AG$2,FALSE)</f>
        <v>#N/A</v>
      </c>
      <c r="AH52" s="31" t="e">
        <f>VLOOKUP($D52,Résultats!$B$2:$AZ$212,AH$2,FALSE)</f>
        <v>#N/A</v>
      </c>
      <c r="AI52" s="31" t="e">
        <f>VLOOKUP($D52,Résultats!$B$2:$AZ$212,AI$2,FALSE)</f>
        <v>#N/A</v>
      </c>
      <c r="AJ52" s="31" t="e">
        <f>VLOOKUP($D52,Résultats!$B$2:$AZ$212,AJ$2,FALSE)</f>
        <v>#N/A</v>
      </c>
      <c r="AK52" s="31" t="e">
        <f>VLOOKUP($D52,Résultats!$B$2:$AZ$212,AK$2,FALSE)</f>
        <v>#N/A</v>
      </c>
      <c r="AL52" s="31" t="e">
        <f>VLOOKUP($D52,Résultats!$B$2:$AZ$212,AL$2,FALSE)</f>
        <v>#N/A</v>
      </c>
      <c r="AM52" s="31" t="e">
        <f>VLOOKUP($D52,Résultats!$B$2:$AZ$212,AM$2,FALSE)</f>
        <v>#N/A</v>
      </c>
    </row>
    <row r="53" spans="3:40" x14ac:dyDescent="0.25">
      <c r="C53" s="56" t="s">
        <v>29</v>
      </c>
      <c r="D53" s="76" t="s">
        <v>55</v>
      </c>
      <c r="E53" s="31" t="e">
        <f>VLOOKUP($D53,Résultats!$B$2:$AZ$212,E$2,FALSE)</f>
        <v>#N/A</v>
      </c>
      <c r="F53" s="31" t="e">
        <f>VLOOKUP($D53,Résultats!$B$2:$AZ$212,F$2,FALSE)</f>
        <v>#N/A</v>
      </c>
      <c r="G53" s="31" t="e">
        <f>VLOOKUP($D53,Résultats!$B$2:$AZ$212,G$2,FALSE)</f>
        <v>#N/A</v>
      </c>
      <c r="H53" s="31" t="e">
        <f>VLOOKUP($D53,Résultats!$B$2:$AZ$212,H$2,FALSE)</f>
        <v>#N/A</v>
      </c>
      <c r="I53" s="31" t="e">
        <f>VLOOKUP($D53,Résultats!$B$2:$AZ$212,I$2,FALSE)</f>
        <v>#N/A</v>
      </c>
      <c r="J53" s="31" t="e">
        <f>VLOOKUP($D53,Résultats!$B$2:$AZ$212,J$2,FALSE)</f>
        <v>#N/A</v>
      </c>
      <c r="K53" s="31" t="e">
        <f>VLOOKUP($D53,Résultats!$B$2:$AZ$212,K$2,FALSE)</f>
        <v>#N/A</v>
      </c>
      <c r="L53" s="31" t="e">
        <f>VLOOKUP($D53,Résultats!$B$2:$AZ$212,L$2,FALSE)</f>
        <v>#N/A</v>
      </c>
      <c r="M53" s="31" t="e">
        <f>VLOOKUP($D53,Résultats!$B$2:$AZ$212,M$2,FALSE)</f>
        <v>#N/A</v>
      </c>
      <c r="N53" s="31" t="e">
        <f>VLOOKUP($D53,Résultats!$B$2:$AZ$212,N$2,FALSE)</f>
        <v>#N/A</v>
      </c>
      <c r="O53" s="31" t="e">
        <f>VLOOKUP($D53,Résultats!$B$2:$AZ$212,O$2,FALSE)</f>
        <v>#N/A</v>
      </c>
      <c r="P53" s="31" t="e">
        <f>VLOOKUP($D53,Résultats!$B$2:$AZ$212,P$2,FALSE)</f>
        <v>#N/A</v>
      </c>
      <c r="Q53" s="31" t="e">
        <f>VLOOKUP($D53,Résultats!$B$2:$AZ$212,Q$2,FALSE)</f>
        <v>#N/A</v>
      </c>
      <c r="R53" s="31" t="e">
        <f>VLOOKUP($D53,Résultats!$B$2:$AZ$212,R$2,FALSE)</f>
        <v>#N/A</v>
      </c>
      <c r="S53" s="31" t="e">
        <f>VLOOKUP($D53,Résultats!$B$2:$AZ$212,S$2,FALSE)</f>
        <v>#N/A</v>
      </c>
      <c r="T53" s="31" t="e">
        <f>VLOOKUP($D53,Résultats!$B$2:$AZ$212,T$2,FALSE)</f>
        <v>#N/A</v>
      </c>
      <c r="U53" s="31" t="e">
        <f>VLOOKUP($D53,Résultats!$B$2:$AZ$212,U$2,FALSE)</f>
        <v>#N/A</v>
      </c>
      <c r="V53" s="31" t="e">
        <f>VLOOKUP($D53,Résultats!$B$2:$AZ$212,V$2,FALSE)</f>
        <v>#N/A</v>
      </c>
      <c r="W53" s="31" t="e">
        <f>VLOOKUP($D53,Résultats!$B$2:$AZ$212,W$2,FALSE)</f>
        <v>#N/A</v>
      </c>
      <c r="X53" s="31" t="e">
        <f>VLOOKUP($D53,Résultats!$B$2:$AZ$212,X$2,FALSE)</f>
        <v>#N/A</v>
      </c>
      <c r="Y53" s="31" t="e">
        <f>VLOOKUP($D53,Résultats!$B$2:$AZ$212,Y$2,FALSE)</f>
        <v>#N/A</v>
      </c>
      <c r="Z53" s="31" t="e">
        <f>VLOOKUP($D53,Résultats!$B$2:$AZ$212,Z$2,FALSE)</f>
        <v>#N/A</v>
      </c>
      <c r="AA53" s="31" t="e">
        <f>VLOOKUP($D53,Résultats!$B$2:$AZ$212,AA$2,FALSE)</f>
        <v>#N/A</v>
      </c>
      <c r="AB53" s="31" t="e">
        <f>VLOOKUP($D53,Résultats!$B$2:$AZ$212,AB$2,FALSE)</f>
        <v>#N/A</v>
      </c>
      <c r="AC53" s="31" t="e">
        <f>VLOOKUP($D53,Résultats!$B$2:$AZ$212,AC$2,FALSE)</f>
        <v>#N/A</v>
      </c>
      <c r="AD53" s="31" t="e">
        <f>VLOOKUP($D53,Résultats!$B$2:$AZ$212,AD$2,FALSE)</f>
        <v>#N/A</v>
      </c>
      <c r="AE53" s="31" t="e">
        <f>VLOOKUP($D53,Résultats!$B$2:$AZ$212,AE$2,FALSE)</f>
        <v>#N/A</v>
      </c>
      <c r="AF53" s="31" t="e">
        <f>VLOOKUP($D53,Résultats!$B$2:$AZ$212,AF$2,FALSE)</f>
        <v>#N/A</v>
      </c>
      <c r="AG53" s="31" t="e">
        <f>VLOOKUP($D53,Résultats!$B$2:$AZ$212,AG$2,FALSE)</f>
        <v>#N/A</v>
      </c>
      <c r="AH53" s="31" t="e">
        <f>VLOOKUP($D53,Résultats!$B$2:$AZ$212,AH$2,FALSE)</f>
        <v>#N/A</v>
      </c>
      <c r="AI53" s="31" t="e">
        <f>VLOOKUP($D53,Résultats!$B$2:$AZ$212,AI$2,FALSE)</f>
        <v>#N/A</v>
      </c>
      <c r="AJ53" s="31" t="e">
        <f>VLOOKUP($D53,Résultats!$B$2:$AZ$212,AJ$2,FALSE)</f>
        <v>#N/A</v>
      </c>
      <c r="AK53" s="31" t="e">
        <f>VLOOKUP($D53,Résultats!$B$2:$AZ$212,AK$2,FALSE)</f>
        <v>#N/A</v>
      </c>
      <c r="AL53" s="31" t="e">
        <f>VLOOKUP($D53,Résultats!$B$2:$AZ$212,AL$2,FALSE)</f>
        <v>#N/A</v>
      </c>
      <c r="AM53" s="31" t="e">
        <f>VLOOKUP($D53,Résultats!$B$2:$AZ$212,AM$2,FALSE)</f>
        <v>#N/A</v>
      </c>
    </row>
    <row r="54" spans="3:40" x14ac:dyDescent="0.25">
      <c r="C54" s="56" t="s">
        <v>30</v>
      </c>
      <c r="D54" s="76" t="s">
        <v>56</v>
      </c>
      <c r="E54" s="31" t="e">
        <f>VLOOKUP($D54,Résultats!$B$2:$AZ$212,E$2,FALSE)</f>
        <v>#N/A</v>
      </c>
      <c r="F54" s="31" t="e">
        <f>VLOOKUP($D54,Résultats!$B$2:$AZ$212,F$2,FALSE)</f>
        <v>#N/A</v>
      </c>
      <c r="G54" s="31" t="e">
        <f>VLOOKUP($D54,Résultats!$B$2:$AZ$212,G$2,FALSE)</f>
        <v>#N/A</v>
      </c>
      <c r="H54" s="31" t="e">
        <f>VLOOKUP($D54,Résultats!$B$2:$AZ$212,H$2,FALSE)</f>
        <v>#N/A</v>
      </c>
      <c r="I54" s="31" t="e">
        <f>VLOOKUP($D54,Résultats!$B$2:$AZ$212,I$2,FALSE)</f>
        <v>#N/A</v>
      </c>
      <c r="J54" s="31" t="e">
        <f>VLOOKUP($D54,Résultats!$B$2:$AZ$212,J$2,FALSE)</f>
        <v>#N/A</v>
      </c>
      <c r="K54" s="31" t="e">
        <f>VLOOKUP($D54,Résultats!$B$2:$AZ$212,K$2,FALSE)</f>
        <v>#N/A</v>
      </c>
      <c r="L54" s="31" t="e">
        <f>VLOOKUP($D54,Résultats!$B$2:$AZ$212,L$2,FALSE)</f>
        <v>#N/A</v>
      </c>
      <c r="M54" s="31" t="e">
        <f>VLOOKUP($D54,Résultats!$B$2:$AZ$212,M$2,FALSE)</f>
        <v>#N/A</v>
      </c>
      <c r="N54" s="31" t="e">
        <f>VLOOKUP($D54,Résultats!$B$2:$AZ$212,N$2,FALSE)</f>
        <v>#N/A</v>
      </c>
      <c r="O54" s="31" t="e">
        <f>VLOOKUP($D54,Résultats!$B$2:$AZ$212,O$2,FALSE)</f>
        <v>#N/A</v>
      </c>
      <c r="P54" s="31" t="e">
        <f>VLOOKUP($D54,Résultats!$B$2:$AZ$212,P$2,FALSE)</f>
        <v>#N/A</v>
      </c>
      <c r="Q54" s="31" t="e">
        <f>VLOOKUP($D54,Résultats!$B$2:$AZ$212,Q$2,FALSE)</f>
        <v>#N/A</v>
      </c>
      <c r="R54" s="31" t="e">
        <f>VLOOKUP($D54,Résultats!$B$2:$AZ$212,R$2,FALSE)</f>
        <v>#N/A</v>
      </c>
      <c r="S54" s="31" t="e">
        <f>VLOOKUP($D54,Résultats!$B$2:$AZ$212,S$2,FALSE)</f>
        <v>#N/A</v>
      </c>
      <c r="T54" s="31" t="e">
        <f>VLOOKUP($D54,Résultats!$B$2:$AZ$212,T$2,FALSE)</f>
        <v>#N/A</v>
      </c>
      <c r="U54" s="31" t="e">
        <f>VLOOKUP($D54,Résultats!$B$2:$AZ$212,U$2,FALSE)</f>
        <v>#N/A</v>
      </c>
      <c r="V54" s="31" t="e">
        <f>VLOOKUP($D54,Résultats!$B$2:$AZ$212,V$2,FALSE)</f>
        <v>#N/A</v>
      </c>
      <c r="W54" s="31" t="e">
        <f>VLOOKUP($D54,Résultats!$B$2:$AZ$212,W$2,FALSE)</f>
        <v>#N/A</v>
      </c>
      <c r="X54" s="31" t="e">
        <f>VLOOKUP($D54,Résultats!$B$2:$AZ$212,X$2,FALSE)</f>
        <v>#N/A</v>
      </c>
      <c r="Y54" s="31" t="e">
        <f>VLOOKUP($D54,Résultats!$B$2:$AZ$212,Y$2,FALSE)</f>
        <v>#N/A</v>
      </c>
      <c r="Z54" s="31" t="e">
        <f>VLOOKUP($D54,Résultats!$B$2:$AZ$212,Z$2,FALSE)</f>
        <v>#N/A</v>
      </c>
      <c r="AA54" s="31" t="e">
        <f>VLOOKUP($D54,Résultats!$B$2:$AZ$212,AA$2,FALSE)</f>
        <v>#N/A</v>
      </c>
      <c r="AB54" s="31" t="e">
        <f>VLOOKUP($D54,Résultats!$B$2:$AZ$212,AB$2,FALSE)</f>
        <v>#N/A</v>
      </c>
      <c r="AC54" s="31" t="e">
        <f>VLOOKUP($D54,Résultats!$B$2:$AZ$212,AC$2,FALSE)</f>
        <v>#N/A</v>
      </c>
      <c r="AD54" s="31" t="e">
        <f>VLOOKUP($D54,Résultats!$B$2:$AZ$212,AD$2,FALSE)</f>
        <v>#N/A</v>
      </c>
      <c r="AE54" s="31" t="e">
        <f>VLOOKUP($D54,Résultats!$B$2:$AZ$212,AE$2,FALSE)</f>
        <v>#N/A</v>
      </c>
      <c r="AF54" s="31" t="e">
        <f>VLOOKUP($D54,Résultats!$B$2:$AZ$212,AF$2,FALSE)</f>
        <v>#N/A</v>
      </c>
      <c r="AG54" s="31" t="e">
        <f>VLOOKUP($D54,Résultats!$B$2:$AZ$212,AG$2,FALSE)</f>
        <v>#N/A</v>
      </c>
      <c r="AH54" s="31" t="e">
        <f>VLOOKUP($D54,Résultats!$B$2:$AZ$212,AH$2,FALSE)</f>
        <v>#N/A</v>
      </c>
      <c r="AI54" s="31" t="e">
        <f>VLOOKUP($D54,Résultats!$B$2:$AZ$212,AI$2,FALSE)</f>
        <v>#N/A</v>
      </c>
      <c r="AJ54" s="31" t="e">
        <f>VLOOKUP($D54,Résultats!$B$2:$AZ$212,AJ$2,FALSE)</f>
        <v>#N/A</v>
      </c>
      <c r="AK54" s="31" t="e">
        <f>VLOOKUP($D54,Résultats!$B$2:$AZ$212,AK$2,FALSE)</f>
        <v>#N/A</v>
      </c>
      <c r="AL54" s="31" t="e">
        <f>VLOOKUP($D54,Résultats!$B$2:$AZ$212,AL$2,FALSE)</f>
        <v>#N/A</v>
      </c>
      <c r="AM54" s="31" t="e">
        <f>VLOOKUP($D54,Résultats!$B$2:$AZ$212,AM$2,FALSE)</f>
        <v>#N/A</v>
      </c>
    </row>
    <row r="55" spans="3:40" x14ac:dyDescent="0.25">
      <c r="C55" s="56" t="s">
        <v>31</v>
      </c>
      <c r="D55" s="76" t="s">
        <v>57</v>
      </c>
      <c r="E55" s="31" t="e">
        <f>VLOOKUP($D55,Résultats!$B$2:$AZ$212,E$2,FALSE)</f>
        <v>#N/A</v>
      </c>
      <c r="F55" s="31" t="e">
        <f>VLOOKUP($D55,Résultats!$B$2:$AZ$212,F$2,FALSE)</f>
        <v>#N/A</v>
      </c>
      <c r="G55" s="31" t="e">
        <f>VLOOKUP($D55,Résultats!$B$2:$AZ$212,G$2,FALSE)</f>
        <v>#N/A</v>
      </c>
      <c r="H55" s="31" t="e">
        <f>VLOOKUP($D55,Résultats!$B$2:$AZ$212,H$2,FALSE)</f>
        <v>#N/A</v>
      </c>
      <c r="I55" s="31" t="e">
        <f>VLOOKUP($D55,Résultats!$B$2:$AZ$212,I$2,FALSE)</f>
        <v>#N/A</v>
      </c>
      <c r="J55" s="31" t="e">
        <f>VLOOKUP($D55,Résultats!$B$2:$AZ$212,J$2,FALSE)</f>
        <v>#N/A</v>
      </c>
      <c r="K55" s="31" t="e">
        <f>VLOOKUP($D55,Résultats!$B$2:$AZ$212,K$2,FALSE)</f>
        <v>#N/A</v>
      </c>
      <c r="L55" s="31" t="e">
        <f>VLOOKUP($D55,Résultats!$B$2:$AZ$212,L$2,FALSE)</f>
        <v>#N/A</v>
      </c>
      <c r="M55" s="31" t="e">
        <f>VLOOKUP($D55,Résultats!$B$2:$AZ$212,M$2,FALSE)</f>
        <v>#N/A</v>
      </c>
      <c r="N55" s="31" t="e">
        <f>VLOOKUP($D55,Résultats!$B$2:$AZ$212,N$2,FALSE)</f>
        <v>#N/A</v>
      </c>
      <c r="O55" s="31" t="e">
        <f>VLOOKUP($D55,Résultats!$B$2:$AZ$212,O$2,FALSE)</f>
        <v>#N/A</v>
      </c>
      <c r="P55" s="31" t="e">
        <f>VLOOKUP($D55,Résultats!$B$2:$AZ$212,P$2,FALSE)</f>
        <v>#N/A</v>
      </c>
      <c r="Q55" s="31" t="e">
        <f>VLOOKUP($D55,Résultats!$B$2:$AZ$212,Q$2,FALSE)</f>
        <v>#N/A</v>
      </c>
      <c r="R55" s="31" t="e">
        <f>VLOOKUP($D55,Résultats!$B$2:$AZ$212,R$2,FALSE)</f>
        <v>#N/A</v>
      </c>
      <c r="S55" s="31" t="e">
        <f>VLOOKUP($D55,Résultats!$B$2:$AZ$212,S$2,FALSE)</f>
        <v>#N/A</v>
      </c>
      <c r="T55" s="31" t="e">
        <f>VLOOKUP($D55,Résultats!$B$2:$AZ$212,T$2,FALSE)</f>
        <v>#N/A</v>
      </c>
      <c r="U55" s="31" t="e">
        <f>VLOOKUP($D55,Résultats!$B$2:$AZ$212,U$2,FALSE)</f>
        <v>#N/A</v>
      </c>
      <c r="V55" s="31" t="e">
        <f>VLOOKUP($D55,Résultats!$B$2:$AZ$212,V$2,FALSE)</f>
        <v>#N/A</v>
      </c>
      <c r="W55" s="31" t="e">
        <f>VLOOKUP($D55,Résultats!$B$2:$AZ$212,W$2,FALSE)</f>
        <v>#N/A</v>
      </c>
      <c r="X55" s="31" t="e">
        <f>VLOOKUP($D55,Résultats!$B$2:$AZ$212,X$2,FALSE)</f>
        <v>#N/A</v>
      </c>
      <c r="Y55" s="31" t="e">
        <f>VLOOKUP($D55,Résultats!$B$2:$AZ$212,Y$2,FALSE)</f>
        <v>#N/A</v>
      </c>
      <c r="Z55" s="31" t="e">
        <f>VLOOKUP($D55,Résultats!$B$2:$AZ$212,Z$2,FALSE)</f>
        <v>#N/A</v>
      </c>
      <c r="AA55" s="31" t="e">
        <f>VLOOKUP($D55,Résultats!$B$2:$AZ$212,AA$2,FALSE)</f>
        <v>#N/A</v>
      </c>
      <c r="AB55" s="31" t="e">
        <f>VLOOKUP($D55,Résultats!$B$2:$AZ$212,AB$2,FALSE)</f>
        <v>#N/A</v>
      </c>
      <c r="AC55" s="31" t="e">
        <f>VLOOKUP($D55,Résultats!$B$2:$AZ$212,AC$2,FALSE)</f>
        <v>#N/A</v>
      </c>
      <c r="AD55" s="31" t="e">
        <f>VLOOKUP($D55,Résultats!$B$2:$AZ$212,AD$2,FALSE)</f>
        <v>#N/A</v>
      </c>
      <c r="AE55" s="31" t="e">
        <f>VLOOKUP($D55,Résultats!$B$2:$AZ$212,AE$2,FALSE)</f>
        <v>#N/A</v>
      </c>
      <c r="AF55" s="31" t="e">
        <f>VLOOKUP($D55,Résultats!$B$2:$AZ$212,AF$2,FALSE)</f>
        <v>#N/A</v>
      </c>
      <c r="AG55" s="31" t="e">
        <f>VLOOKUP($D55,Résultats!$B$2:$AZ$212,AG$2,FALSE)</f>
        <v>#N/A</v>
      </c>
      <c r="AH55" s="31" t="e">
        <f>VLOOKUP($D55,Résultats!$B$2:$AZ$212,AH$2,FALSE)</f>
        <v>#N/A</v>
      </c>
      <c r="AI55" s="31" t="e">
        <f>VLOOKUP($D55,Résultats!$B$2:$AZ$212,AI$2,FALSE)</f>
        <v>#N/A</v>
      </c>
      <c r="AJ55" s="31" t="e">
        <f>VLOOKUP($D55,Résultats!$B$2:$AZ$212,AJ$2,FALSE)</f>
        <v>#N/A</v>
      </c>
      <c r="AK55" s="31" t="e">
        <f>VLOOKUP($D55,Résultats!$B$2:$AZ$212,AK$2,FALSE)</f>
        <v>#N/A</v>
      </c>
      <c r="AL55" s="31" t="e">
        <f>VLOOKUP($D55,Résultats!$B$2:$AZ$212,AL$2,FALSE)</f>
        <v>#N/A</v>
      </c>
      <c r="AM55" s="31" t="e">
        <f>VLOOKUP($D55,Résultats!$B$2:$AZ$212,AM$2,FALSE)</f>
        <v>#N/A</v>
      </c>
    </row>
    <row r="56" spans="3:40" x14ac:dyDescent="0.25">
      <c r="C56" s="56" t="s">
        <v>32</v>
      </c>
      <c r="D56" s="76" t="s">
        <v>58</v>
      </c>
      <c r="E56" s="31" t="e">
        <f>VLOOKUP($D56,Résultats!$B$2:$AZ$212,E$2,FALSE)</f>
        <v>#N/A</v>
      </c>
      <c r="F56" s="31" t="e">
        <f>VLOOKUP($D56,Résultats!$B$2:$AZ$212,F$2,FALSE)</f>
        <v>#N/A</v>
      </c>
      <c r="G56" s="31" t="e">
        <f>VLOOKUP($D56,Résultats!$B$2:$AZ$212,G$2,FALSE)</f>
        <v>#N/A</v>
      </c>
      <c r="H56" s="31" t="e">
        <f>VLOOKUP($D56,Résultats!$B$2:$AZ$212,H$2,FALSE)</f>
        <v>#N/A</v>
      </c>
      <c r="I56" s="31" t="e">
        <f>VLOOKUP($D56,Résultats!$B$2:$AZ$212,I$2,FALSE)</f>
        <v>#N/A</v>
      </c>
      <c r="J56" s="31" t="e">
        <f>VLOOKUP($D56,Résultats!$B$2:$AZ$212,J$2,FALSE)</f>
        <v>#N/A</v>
      </c>
      <c r="K56" s="31" t="e">
        <f>VLOOKUP($D56,Résultats!$B$2:$AZ$212,K$2,FALSE)</f>
        <v>#N/A</v>
      </c>
      <c r="L56" s="31" t="e">
        <f>VLOOKUP($D56,Résultats!$B$2:$AZ$212,L$2,FALSE)</f>
        <v>#N/A</v>
      </c>
      <c r="M56" s="31" t="e">
        <f>VLOOKUP($D56,Résultats!$B$2:$AZ$212,M$2,FALSE)</f>
        <v>#N/A</v>
      </c>
      <c r="N56" s="31" t="e">
        <f>VLOOKUP($D56,Résultats!$B$2:$AZ$212,N$2,FALSE)</f>
        <v>#N/A</v>
      </c>
      <c r="O56" s="31" t="e">
        <f>VLOOKUP($D56,Résultats!$B$2:$AZ$212,O$2,FALSE)</f>
        <v>#N/A</v>
      </c>
      <c r="P56" s="31" t="e">
        <f>VLOOKUP($D56,Résultats!$B$2:$AZ$212,P$2,FALSE)</f>
        <v>#N/A</v>
      </c>
      <c r="Q56" s="31" t="e">
        <f>VLOOKUP($D56,Résultats!$B$2:$AZ$212,Q$2,FALSE)</f>
        <v>#N/A</v>
      </c>
      <c r="R56" s="31" t="e">
        <f>VLOOKUP($D56,Résultats!$B$2:$AZ$212,R$2,FALSE)</f>
        <v>#N/A</v>
      </c>
      <c r="S56" s="31" t="e">
        <f>VLOOKUP($D56,Résultats!$B$2:$AZ$212,S$2,FALSE)</f>
        <v>#N/A</v>
      </c>
      <c r="T56" s="31" t="e">
        <f>VLOOKUP($D56,Résultats!$B$2:$AZ$212,T$2,FALSE)</f>
        <v>#N/A</v>
      </c>
      <c r="U56" s="31" t="e">
        <f>VLOOKUP($D56,Résultats!$B$2:$AZ$212,U$2,FALSE)</f>
        <v>#N/A</v>
      </c>
      <c r="V56" s="31" t="e">
        <f>VLOOKUP($D56,Résultats!$B$2:$AZ$212,V$2,FALSE)</f>
        <v>#N/A</v>
      </c>
      <c r="W56" s="31" t="e">
        <f>VLOOKUP($D56,Résultats!$B$2:$AZ$212,W$2,FALSE)</f>
        <v>#N/A</v>
      </c>
      <c r="X56" s="31" t="e">
        <f>VLOOKUP($D56,Résultats!$B$2:$AZ$212,X$2,FALSE)</f>
        <v>#N/A</v>
      </c>
      <c r="Y56" s="31" t="e">
        <f>VLOOKUP($D56,Résultats!$B$2:$AZ$212,Y$2,FALSE)</f>
        <v>#N/A</v>
      </c>
      <c r="Z56" s="31" t="e">
        <f>VLOOKUP($D56,Résultats!$B$2:$AZ$212,Z$2,FALSE)</f>
        <v>#N/A</v>
      </c>
      <c r="AA56" s="31" t="e">
        <f>VLOOKUP($D56,Résultats!$B$2:$AZ$212,AA$2,FALSE)</f>
        <v>#N/A</v>
      </c>
      <c r="AB56" s="31" t="e">
        <f>VLOOKUP($D56,Résultats!$B$2:$AZ$212,AB$2,FALSE)</f>
        <v>#N/A</v>
      </c>
      <c r="AC56" s="31" t="e">
        <f>VLOOKUP($D56,Résultats!$B$2:$AZ$212,AC$2,FALSE)</f>
        <v>#N/A</v>
      </c>
      <c r="AD56" s="31" t="e">
        <f>VLOOKUP($D56,Résultats!$B$2:$AZ$212,AD$2,FALSE)</f>
        <v>#N/A</v>
      </c>
      <c r="AE56" s="31" t="e">
        <f>VLOOKUP($D56,Résultats!$B$2:$AZ$212,AE$2,FALSE)</f>
        <v>#N/A</v>
      </c>
      <c r="AF56" s="31" t="e">
        <f>VLOOKUP($D56,Résultats!$B$2:$AZ$212,AF$2,FALSE)</f>
        <v>#N/A</v>
      </c>
      <c r="AG56" s="31" t="e">
        <f>VLOOKUP($D56,Résultats!$B$2:$AZ$212,AG$2,FALSE)</f>
        <v>#N/A</v>
      </c>
      <c r="AH56" s="31" t="e">
        <f>VLOOKUP($D56,Résultats!$B$2:$AZ$212,AH$2,FALSE)</f>
        <v>#N/A</v>
      </c>
      <c r="AI56" s="31" t="e">
        <f>VLOOKUP($D56,Résultats!$B$2:$AZ$212,AI$2,FALSE)</f>
        <v>#N/A</v>
      </c>
      <c r="AJ56" s="31" t="e">
        <f>VLOOKUP($D56,Résultats!$B$2:$AZ$212,AJ$2,FALSE)</f>
        <v>#N/A</v>
      </c>
      <c r="AK56" s="31" t="e">
        <f>VLOOKUP($D56,Résultats!$B$2:$AZ$212,AK$2,FALSE)</f>
        <v>#N/A</v>
      </c>
      <c r="AL56" s="31" t="e">
        <f>VLOOKUP($D56,Résultats!$B$2:$AZ$212,AL$2,FALSE)</f>
        <v>#N/A</v>
      </c>
      <c r="AM56" s="31" t="e">
        <f>VLOOKUP($D56,Résultats!$B$2:$AZ$212,AM$2,FALSE)</f>
        <v>#N/A</v>
      </c>
    </row>
    <row r="57" spans="3:40" x14ac:dyDescent="0.25">
      <c r="C57" s="56" t="s">
        <v>33</v>
      </c>
      <c r="D57" s="76" t="s">
        <v>59</v>
      </c>
      <c r="E57" s="31" t="e">
        <f>VLOOKUP($D57,Résultats!$B$2:$AZ$212,E$2,FALSE)</f>
        <v>#N/A</v>
      </c>
      <c r="F57" s="31" t="e">
        <f>VLOOKUP($D57,Résultats!$B$2:$AZ$212,F$2,FALSE)</f>
        <v>#N/A</v>
      </c>
      <c r="G57" s="31" t="e">
        <f>VLOOKUP($D57,Résultats!$B$2:$AZ$212,G$2,FALSE)</f>
        <v>#N/A</v>
      </c>
      <c r="H57" s="31" t="e">
        <f>VLOOKUP($D57,Résultats!$B$2:$AZ$212,H$2,FALSE)</f>
        <v>#N/A</v>
      </c>
      <c r="I57" s="31" t="e">
        <f>VLOOKUP($D57,Résultats!$B$2:$AZ$212,I$2,FALSE)</f>
        <v>#N/A</v>
      </c>
      <c r="J57" s="31" t="e">
        <f>VLOOKUP($D57,Résultats!$B$2:$AZ$212,J$2,FALSE)</f>
        <v>#N/A</v>
      </c>
      <c r="K57" s="31" t="e">
        <f>VLOOKUP($D57,Résultats!$B$2:$AZ$212,K$2,FALSE)</f>
        <v>#N/A</v>
      </c>
      <c r="L57" s="31" t="e">
        <f>VLOOKUP($D57,Résultats!$B$2:$AZ$212,L$2,FALSE)</f>
        <v>#N/A</v>
      </c>
      <c r="M57" s="31" t="e">
        <f>VLOOKUP($D57,Résultats!$B$2:$AZ$212,M$2,FALSE)</f>
        <v>#N/A</v>
      </c>
      <c r="N57" s="31" t="e">
        <f>VLOOKUP($D57,Résultats!$B$2:$AZ$212,N$2,FALSE)</f>
        <v>#N/A</v>
      </c>
      <c r="O57" s="31" t="e">
        <f>VLOOKUP($D57,Résultats!$B$2:$AZ$212,O$2,FALSE)</f>
        <v>#N/A</v>
      </c>
      <c r="P57" s="31" t="e">
        <f>VLOOKUP($D57,Résultats!$B$2:$AZ$212,P$2,FALSE)</f>
        <v>#N/A</v>
      </c>
      <c r="Q57" s="31" t="e">
        <f>VLOOKUP($D57,Résultats!$B$2:$AZ$212,Q$2,FALSE)</f>
        <v>#N/A</v>
      </c>
      <c r="R57" s="31" t="e">
        <f>VLOOKUP($D57,Résultats!$B$2:$AZ$212,R$2,FALSE)</f>
        <v>#N/A</v>
      </c>
      <c r="S57" s="31" t="e">
        <f>VLOOKUP($D57,Résultats!$B$2:$AZ$212,S$2,FALSE)</f>
        <v>#N/A</v>
      </c>
      <c r="T57" s="31" t="e">
        <f>VLOOKUP($D57,Résultats!$B$2:$AZ$212,T$2,FALSE)</f>
        <v>#N/A</v>
      </c>
      <c r="U57" s="31" t="e">
        <f>VLOOKUP($D57,Résultats!$B$2:$AZ$212,U$2,FALSE)</f>
        <v>#N/A</v>
      </c>
      <c r="V57" s="31" t="e">
        <f>VLOOKUP($D57,Résultats!$B$2:$AZ$212,V$2,FALSE)</f>
        <v>#N/A</v>
      </c>
      <c r="W57" s="31" t="e">
        <f>VLOOKUP($D57,Résultats!$B$2:$AZ$212,W$2,FALSE)</f>
        <v>#N/A</v>
      </c>
      <c r="X57" s="31" t="e">
        <f>VLOOKUP($D57,Résultats!$B$2:$AZ$212,X$2,FALSE)</f>
        <v>#N/A</v>
      </c>
      <c r="Y57" s="31" t="e">
        <f>VLOOKUP($D57,Résultats!$B$2:$AZ$212,Y$2,FALSE)</f>
        <v>#N/A</v>
      </c>
      <c r="Z57" s="31" t="e">
        <f>VLOOKUP($D57,Résultats!$B$2:$AZ$212,Z$2,FALSE)</f>
        <v>#N/A</v>
      </c>
      <c r="AA57" s="31" t="e">
        <f>VLOOKUP($D57,Résultats!$B$2:$AZ$212,AA$2,FALSE)</f>
        <v>#N/A</v>
      </c>
      <c r="AB57" s="31" t="e">
        <f>VLOOKUP($D57,Résultats!$B$2:$AZ$212,AB$2,FALSE)</f>
        <v>#N/A</v>
      </c>
      <c r="AC57" s="31" t="e">
        <f>VLOOKUP($D57,Résultats!$B$2:$AZ$212,AC$2,FALSE)</f>
        <v>#N/A</v>
      </c>
      <c r="AD57" s="31" t="e">
        <f>VLOOKUP($D57,Résultats!$B$2:$AZ$212,AD$2,FALSE)</f>
        <v>#N/A</v>
      </c>
      <c r="AE57" s="31" t="e">
        <f>VLOOKUP($D57,Résultats!$B$2:$AZ$212,AE$2,FALSE)</f>
        <v>#N/A</v>
      </c>
      <c r="AF57" s="31" t="e">
        <f>VLOOKUP($D57,Résultats!$B$2:$AZ$212,AF$2,FALSE)</f>
        <v>#N/A</v>
      </c>
      <c r="AG57" s="31" t="e">
        <f>VLOOKUP($D57,Résultats!$B$2:$AZ$212,AG$2,FALSE)</f>
        <v>#N/A</v>
      </c>
      <c r="AH57" s="31" t="e">
        <f>VLOOKUP($D57,Résultats!$B$2:$AZ$212,AH$2,FALSE)</f>
        <v>#N/A</v>
      </c>
      <c r="AI57" s="31" t="e">
        <f>VLOOKUP($D57,Résultats!$B$2:$AZ$212,AI$2,FALSE)</f>
        <v>#N/A</v>
      </c>
      <c r="AJ57" s="31" t="e">
        <f>VLOOKUP($D57,Résultats!$B$2:$AZ$212,AJ$2,FALSE)</f>
        <v>#N/A</v>
      </c>
      <c r="AK57" s="31" t="e">
        <f>VLOOKUP($D57,Résultats!$B$2:$AZ$212,AK$2,FALSE)</f>
        <v>#N/A</v>
      </c>
      <c r="AL57" s="31" t="e">
        <f>VLOOKUP($D57,Résultats!$B$2:$AZ$212,AL$2,FALSE)</f>
        <v>#N/A</v>
      </c>
      <c r="AM57" s="31" t="e">
        <f>VLOOKUP($D57,Résultats!$B$2:$AZ$212,AM$2,FALSE)</f>
        <v>#N/A</v>
      </c>
    </row>
    <row r="58" spans="3:40" x14ac:dyDescent="0.25">
      <c r="C58" s="86" t="s">
        <v>95</v>
      </c>
      <c r="D58" s="74" t="s">
        <v>61</v>
      </c>
      <c r="E58" s="83" t="e">
        <f>VLOOKUP($D58,Résultats!$B$2:$AZ$212,E$2,FALSE)</f>
        <v>#N/A</v>
      </c>
      <c r="F58" s="83" t="e">
        <f>VLOOKUP($D58,Résultats!$B$2:$AZ$212,F$2,FALSE)</f>
        <v>#N/A</v>
      </c>
      <c r="G58" s="83" t="e">
        <f>VLOOKUP($D58,Résultats!$B$2:$AZ$212,G$2,FALSE)</f>
        <v>#N/A</v>
      </c>
      <c r="H58" s="83" t="e">
        <f>VLOOKUP($D58,Résultats!$B$2:$AZ$212,H$2,FALSE)</f>
        <v>#N/A</v>
      </c>
      <c r="I58" s="83" t="e">
        <f>VLOOKUP($D58,Résultats!$B$2:$AZ$212,I$2,FALSE)</f>
        <v>#N/A</v>
      </c>
      <c r="J58" s="83" t="e">
        <f>VLOOKUP($D58,Résultats!$B$2:$AZ$212,J$2,FALSE)</f>
        <v>#N/A</v>
      </c>
      <c r="K58" s="83" t="e">
        <f>VLOOKUP($D58,Résultats!$B$2:$AZ$212,K$2,FALSE)</f>
        <v>#N/A</v>
      </c>
      <c r="L58" s="83" t="e">
        <f>VLOOKUP($D58,Résultats!$B$2:$AZ$212,L$2,FALSE)</f>
        <v>#N/A</v>
      </c>
      <c r="M58" s="83" t="e">
        <f>VLOOKUP($D58,Résultats!$B$2:$AZ$212,M$2,FALSE)</f>
        <v>#N/A</v>
      </c>
      <c r="N58" s="83" t="e">
        <f>VLOOKUP($D58,Résultats!$B$2:$AZ$212,N$2,FALSE)</f>
        <v>#N/A</v>
      </c>
      <c r="O58" s="83" t="e">
        <f>VLOOKUP($D58,Résultats!$B$2:$AZ$212,O$2,FALSE)</f>
        <v>#N/A</v>
      </c>
      <c r="P58" s="83" t="e">
        <f>VLOOKUP($D58,Résultats!$B$2:$AZ$212,P$2,FALSE)</f>
        <v>#N/A</v>
      </c>
      <c r="Q58" s="83" t="e">
        <f>VLOOKUP($D58,Résultats!$B$2:$AZ$212,Q$2,FALSE)</f>
        <v>#N/A</v>
      </c>
      <c r="R58" s="83" t="e">
        <f>VLOOKUP($D58,Résultats!$B$2:$AZ$212,R$2,FALSE)</f>
        <v>#N/A</v>
      </c>
      <c r="S58" s="83" t="e">
        <f>VLOOKUP($D58,Résultats!$B$2:$AZ$212,S$2,FALSE)</f>
        <v>#N/A</v>
      </c>
      <c r="T58" s="83" t="e">
        <f>VLOOKUP($D58,Résultats!$B$2:$AZ$212,T$2,FALSE)</f>
        <v>#N/A</v>
      </c>
      <c r="U58" s="83" t="e">
        <f>VLOOKUP($D58,Résultats!$B$2:$AZ$212,U$2,FALSE)</f>
        <v>#N/A</v>
      </c>
      <c r="V58" s="83" t="e">
        <f>VLOOKUP($D58,Résultats!$B$2:$AZ$212,V$2,FALSE)</f>
        <v>#N/A</v>
      </c>
      <c r="W58" s="83" t="e">
        <f>VLOOKUP($D58,Résultats!$B$2:$AZ$212,W$2,FALSE)</f>
        <v>#N/A</v>
      </c>
      <c r="X58" s="83" t="e">
        <f>VLOOKUP($D58,Résultats!$B$2:$AZ$212,X$2,FALSE)</f>
        <v>#N/A</v>
      </c>
      <c r="Y58" s="83" t="e">
        <f>VLOOKUP($D58,Résultats!$B$2:$AZ$212,Y$2,FALSE)</f>
        <v>#N/A</v>
      </c>
      <c r="Z58" s="83" t="e">
        <f>VLOOKUP($D58,Résultats!$B$2:$AZ$212,Z$2,FALSE)</f>
        <v>#N/A</v>
      </c>
      <c r="AA58" s="83" t="e">
        <f>VLOOKUP($D58,Résultats!$B$2:$AZ$212,AA$2,FALSE)</f>
        <v>#N/A</v>
      </c>
      <c r="AB58" s="83" t="e">
        <f>VLOOKUP($D58,Résultats!$B$2:$AZ$212,AB$2,FALSE)</f>
        <v>#N/A</v>
      </c>
      <c r="AC58" s="83" t="e">
        <f>VLOOKUP($D58,Résultats!$B$2:$AZ$212,AC$2,FALSE)</f>
        <v>#N/A</v>
      </c>
      <c r="AD58" s="83" t="e">
        <f>VLOOKUP($D58,Résultats!$B$2:$AZ$212,AD$2,FALSE)</f>
        <v>#N/A</v>
      </c>
      <c r="AE58" s="83" t="e">
        <f>VLOOKUP($D58,Résultats!$B$2:$AZ$212,AE$2,FALSE)</f>
        <v>#N/A</v>
      </c>
      <c r="AF58" s="83" t="e">
        <f>VLOOKUP($D58,Résultats!$B$2:$AZ$212,AF$2,FALSE)</f>
        <v>#N/A</v>
      </c>
      <c r="AG58" s="83" t="e">
        <f>VLOOKUP($D58,Résultats!$B$2:$AZ$212,AG$2,FALSE)</f>
        <v>#N/A</v>
      </c>
      <c r="AH58" s="83" t="e">
        <f>VLOOKUP($D58,Résultats!$B$2:$AZ$212,AH$2,FALSE)</f>
        <v>#N/A</v>
      </c>
      <c r="AI58" s="83" t="e">
        <f>VLOOKUP($D58,Résultats!$B$2:$AZ$212,AI$2,FALSE)</f>
        <v>#N/A</v>
      </c>
      <c r="AJ58" s="83" t="e">
        <f>VLOOKUP($D58,Résultats!$B$2:$AZ$212,AJ$2,FALSE)</f>
        <v>#N/A</v>
      </c>
      <c r="AK58" s="83" t="e">
        <f>VLOOKUP($D58,Résultats!$B$2:$AZ$212,AK$2,FALSE)</f>
        <v>#N/A</v>
      </c>
      <c r="AL58" s="83" t="e">
        <f>VLOOKUP($D58,Résultats!$B$2:$AZ$212,AL$2,FALSE)</f>
        <v>#N/A</v>
      </c>
      <c r="AM58" s="83" t="e">
        <f>VLOOKUP($D58,Résultats!$B$2:$AZ$212,AM$2,FALSE)</f>
        <v>#N/A</v>
      </c>
      <c r="AN58" s="21"/>
    </row>
    <row r="59" spans="3:40" x14ac:dyDescent="0.25">
      <c r="C59" s="56" t="s">
        <v>27</v>
      </c>
      <c r="D59" s="76" t="s">
        <v>46</v>
      </c>
      <c r="E59" s="87" t="e">
        <f>VLOOKUP($D59,Résultats!$B$2:$AZ$212,E$2,FALSE)</f>
        <v>#N/A</v>
      </c>
      <c r="F59" s="87" t="e">
        <f>VLOOKUP($D59,Résultats!$B$2:$AZ$212,F$2,FALSE)</f>
        <v>#N/A</v>
      </c>
      <c r="G59" s="87" t="e">
        <f>VLOOKUP($D59,Résultats!$B$2:$AZ$212,G$2,FALSE)</f>
        <v>#N/A</v>
      </c>
      <c r="H59" s="87" t="e">
        <f>VLOOKUP($D59,Résultats!$B$2:$AZ$212,H$2,FALSE)</f>
        <v>#N/A</v>
      </c>
      <c r="I59" s="87" t="e">
        <f>VLOOKUP($D59,Résultats!$B$2:$AZ$212,I$2,FALSE)</f>
        <v>#N/A</v>
      </c>
      <c r="J59" s="87" t="e">
        <f>VLOOKUP($D59,Résultats!$B$2:$AZ$212,J$2,FALSE)</f>
        <v>#N/A</v>
      </c>
      <c r="K59" s="87" t="e">
        <f>VLOOKUP($D59,Résultats!$B$2:$AZ$212,K$2,FALSE)</f>
        <v>#N/A</v>
      </c>
      <c r="L59" s="87" t="e">
        <f>VLOOKUP($D59,Résultats!$B$2:$AZ$212,L$2,FALSE)</f>
        <v>#N/A</v>
      </c>
      <c r="M59" s="87" t="e">
        <f>VLOOKUP($D59,Résultats!$B$2:$AZ$212,M$2,FALSE)</f>
        <v>#N/A</v>
      </c>
      <c r="N59" s="87" t="e">
        <f>VLOOKUP($D59,Résultats!$B$2:$AZ$212,N$2,FALSE)</f>
        <v>#N/A</v>
      </c>
      <c r="O59" s="87" t="e">
        <f>VLOOKUP($D59,Résultats!$B$2:$AZ$212,O$2,FALSE)</f>
        <v>#N/A</v>
      </c>
      <c r="P59" s="87" t="e">
        <f>VLOOKUP($D59,Résultats!$B$2:$AZ$212,P$2,FALSE)</f>
        <v>#N/A</v>
      </c>
      <c r="Q59" s="87" t="e">
        <f>VLOOKUP($D59,Résultats!$B$2:$AZ$212,Q$2,FALSE)</f>
        <v>#N/A</v>
      </c>
      <c r="R59" s="87" t="e">
        <f>VLOOKUP($D59,Résultats!$B$2:$AZ$212,R$2,FALSE)</f>
        <v>#N/A</v>
      </c>
      <c r="S59" s="87" t="e">
        <f>VLOOKUP($D59,Résultats!$B$2:$AZ$212,S$2,FALSE)</f>
        <v>#N/A</v>
      </c>
      <c r="T59" s="87" t="e">
        <f>VLOOKUP($D59,Résultats!$B$2:$AZ$212,T$2,FALSE)</f>
        <v>#N/A</v>
      </c>
      <c r="U59" s="87" t="e">
        <f>VLOOKUP($D59,Résultats!$B$2:$AZ$212,U$2,FALSE)</f>
        <v>#N/A</v>
      </c>
      <c r="V59" s="87" t="e">
        <f>VLOOKUP($D59,Résultats!$B$2:$AZ$212,V$2,FALSE)</f>
        <v>#N/A</v>
      </c>
      <c r="W59" s="87" t="e">
        <f>VLOOKUP($D59,Résultats!$B$2:$AZ$212,W$2,FALSE)</f>
        <v>#N/A</v>
      </c>
      <c r="X59" s="87" t="e">
        <f>VLOOKUP($D59,Résultats!$B$2:$AZ$212,X$2,FALSE)</f>
        <v>#N/A</v>
      </c>
      <c r="Y59" s="87" t="e">
        <f>VLOOKUP($D59,Résultats!$B$2:$AZ$212,Y$2,FALSE)</f>
        <v>#N/A</v>
      </c>
      <c r="Z59" s="87" t="e">
        <f>VLOOKUP($D59,Résultats!$B$2:$AZ$212,Z$2,FALSE)</f>
        <v>#N/A</v>
      </c>
      <c r="AA59" s="87" t="e">
        <f>VLOOKUP($D59,Résultats!$B$2:$AZ$212,AA$2,FALSE)</f>
        <v>#N/A</v>
      </c>
      <c r="AB59" s="87" t="e">
        <f>VLOOKUP($D59,Résultats!$B$2:$AZ$212,AB$2,FALSE)</f>
        <v>#N/A</v>
      </c>
      <c r="AC59" s="87" t="e">
        <f>VLOOKUP($D59,Résultats!$B$2:$AZ$212,AC$2,FALSE)</f>
        <v>#N/A</v>
      </c>
      <c r="AD59" s="87" t="e">
        <f>VLOOKUP($D59,Résultats!$B$2:$AZ$212,AD$2,FALSE)</f>
        <v>#N/A</v>
      </c>
      <c r="AE59" s="87" t="e">
        <f>VLOOKUP($D59,Résultats!$B$2:$AZ$212,AE$2,FALSE)</f>
        <v>#N/A</v>
      </c>
      <c r="AF59" s="87" t="e">
        <f>VLOOKUP($D59,Résultats!$B$2:$AZ$212,AF$2,FALSE)</f>
        <v>#N/A</v>
      </c>
      <c r="AG59" s="87" t="e">
        <f>VLOOKUP($D59,Résultats!$B$2:$AZ$212,AG$2,FALSE)</f>
        <v>#N/A</v>
      </c>
      <c r="AH59" s="87" t="e">
        <f>VLOOKUP($D59,Résultats!$B$2:$AZ$212,AH$2,FALSE)</f>
        <v>#N/A</v>
      </c>
      <c r="AI59" s="87" t="e">
        <f>VLOOKUP($D59,Résultats!$B$2:$AZ$212,AI$2,FALSE)</f>
        <v>#N/A</v>
      </c>
      <c r="AJ59" s="87" t="e">
        <f>VLOOKUP($D59,Résultats!$B$2:$AZ$212,AJ$2,FALSE)</f>
        <v>#N/A</v>
      </c>
      <c r="AK59" s="87" t="e">
        <f>VLOOKUP($D59,Résultats!$B$2:$AZ$212,AK$2,FALSE)</f>
        <v>#N/A</v>
      </c>
      <c r="AL59" s="87" t="e">
        <f>VLOOKUP($D59,Résultats!$B$2:$AZ$212,AL$2,FALSE)</f>
        <v>#N/A</v>
      </c>
      <c r="AM59" s="87" t="e">
        <f>VLOOKUP($D59,Résultats!$B$2:$AZ$212,AM$2,FALSE)</f>
        <v>#N/A</v>
      </c>
    </row>
    <row r="60" spans="3:40" x14ac:dyDescent="0.25">
      <c r="C60" s="56" t="s">
        <v>28</v>
      </c>
      <c r="D60" s="76" t="s">
        <v>47</v>
      </c>
      <c r="E60" s="87" t="e">
        <f>VLOOKUP($D60,Résultats!$B$2:$AZ$212,E$2,FALSE)</f>
        <v>#N/A</v>
      </c>
      <c r="F60" s="87" t="e">
        <f>VLOOKUP($D60,Résultats!$B$2:$AZ$212,F$2,FALSE)</f>
        <v>#N/A</v>
      </c>
      <c r="G60" s="87" t="e">
        <f>VLOOKUP($D60,Résultats!$B$2:$AZ$212,G$2,FALSE)</f>
        <v>#N/A</v>
      </c>
      <c r="H60" s="87" t="e">
        <f>VLOOKUP($D60,Résultats!$B$2:$AZ$212,H$2,FALSE)</f>
        <v>#N/A</v>
      </c>
      <c r="I60" s="87" t="e">
        <f>VLOOKUP($D60,Résultats!$B$2:$AZ$212,I$2,FALSE)</f>
        <v>#N/A</v>
      </c>
      <c r="J60" s="87" t="e">
        <f>VLOOKUP($D60,Résultats!$B$2:$AZ$212,J$2,FALSE)</f>
        <v>#N/A</v>
      </c>
      <c r="K60" s="87" t="e">
        <f>VLOOKUP($D60,Résultats!$B$2:$AZ$212,K$2,FALSE)</f>
        <v>#N/A</v>
      </c>
      <c r="L60" s="87" t="e">
        <f>VLOOKUP($D60,Résultats!$B$2:$AZ$212,L$2,FALSE)</f>
        <v>#N/A</v>
      </c>
      <c r="M60" s="87" t="e">
        <f>VLOOKUP($D60,Résultats!$B$2:$AZ$212,M$2,FALSE)</f>
        <v>#N/A</v>
      </c>
      <c r="N60" s="87" t="e">
        <f>VLOOKUP($D60,Résultats!$B$2:$AZ$212,N$2,FALSE)</f>
        <v>#N/A</v>
      </c>
      <c r="O60" s="87" t="e">
        <f>VLOOKUP($D60,Résultats!$B$2:$AZ$212,O$2,FALSE)</f>
        <v>#N/A</v>
      </c>
      <c r="P60" s="87" t="e">
        <f>VLOOKUP($D60,Résultats!$B$2:$AZ$212,P$2,FALSE)</f>
        <v>#N/A</v>
      </c>
      <c r="Q60" s="87" t="e">
        <f>VLOOKUP($D60,Résultats!$B$2:$AZ$212,Q$2,FALSE)</f>
        <v>#N/A</v>
      </c>
      <c r="R60" s="87" t="e">
        <f>VLOOKUP($D60,Résultats!$B$2:$AZ$212,R$2,FALSE)</f>
        <v>#N/A</v>
      </c>
      <c r="S60" s="87" t="e">
        <f>VLOOKUP($D60,Résultats!$B$2:$AZ$212,S$2,FALSE)</f>
        <v>#N/A</v>
      </c>
      <c r="T60" s="87" t="e">
        <f>VLOOKUP($D60,Résultats!$B$2:$AZ$212,T$2,FALSE)</f>
        <v>#N/A</v>
      </c>
      <c r="U60" s="87" t="e">
        <f>VLOOKUP($D60,Résultats!$B$2:$AZ$212,U$2,FALSE)</f>
        <v>#N/A</v>
      </c>
      <c r="V60" s="87" t="e">
        <f>VLOOKUP($D60,Résultats!$B$2:$AZ$212,V$2,FALSE)</f>
        <v>#N/A</v>
      </c>
      <c r="W60" s="87" t="e">
        <f>VLOOKUP($D60,Résultats!$B$2:$AZ$212,W$2,FALSE)</f>
        <v>#N/A</v>
      </c>
      <c r="X60" s="87" t="e">
        <f>VLOOKUP($D60,Résultats!$B$2:$AZ$212,X$2,FALSE)</f>
        <v>#N/A</v>
      </c>
      <c r="Y60" s="87" t="e">
        <f>VLOOKUP($D60,Résultats!$B$2:$AZ$212,Y$2,FALSE)</f>
        <v>#N/A</v>
      </c>
      <c r="Z60" s="87" t="e">
        <f>VLOOKUP($D60,Résultats!$B$2:$AZ$212,Z$2,FALSE)</f>
        <v>#N/A</v>
      </c>
      <c r="AA60" s="87" t="e">
        <f>VLOOKUP($D60,Résultats!$B$2:$AZ$212,AA$2,FALSE)</f>
        <v>#N/A</v>
      </c>
      <c r="AB60" s="87" t="e">
        <f>VLOOKUP($D60,Résultats!$B$2:$AZ$212,AB$2,FALSE)</f>
        <v>#N/A</v>
      </c>
      <c r="AC60" s="87" t="e">
        <f>VLOOKUP($D60,Résultats!$B$2:$AZ$212,AC$2,FALSE)</f>
        <v>#N/A</v>
      </c>
      <c r="AD60" s="87" t="e">
        <f>VLOOKUP($D60,Résultats!$B$2:$AZ$212,AD$2,FALSE)</f>
        <v>#N/A</v>
      </c>
      <c r="AE60" s="87" t="e">
        <f>VLOOKUP($D60,Résultats!$B$2:$AZ$212,AE$2,FALSE)</f>
        <v>#N/A</v>
      </c>
      <c r="AF60" s="87" t="e">
        <f>VLOOKUP($D60,Résultats!$B$2:$AZ$212,AF$2,FALSE)</f>
        <v>#N/A</v>
      </c>
      <c r="AG60" s="87" t="e">
        <f>VLOOKUP($D60,Résultats!$B$2:$AZ$212,AG$2,FALSE)</f>
        <v>#N/A</v>
      </c>
      <c r="AH60" s="87" t="e">
        <f>VLOOKUP($D60,Résultats!$B$2:$AZ$212,AH$2,FALSE)</f>
        <v>#N/A</v>
      </c>
      <c r="AI60" s="87" t="e">
        <f>VLOOKUP($D60,Résultats!$B$2:$AZ$212,AI$2,FALSE)</f>
        <v>#N/A</v>
      </c>
      <c r="AJ60" s="87" t="e">
        <f>VLOOKUP($D60,Résultats!$B$2:$AZ$212,AJ$2,FALSE)</f>
        <v>#N/A</v>
      </c>
      <c r="AK60" s="87" t="e">
        <f>VLOOKUP($D60,Résultats!$B$2:$AZ$212,AK$2,FALSE)</f>
        <v>#N/A</v>
      </c>
      <c r="AL60" s="87" t="e">
        <f>VLOOKUP($D60,Résultats!$B$2:$AZ$212,AL$2,FALSE)</f>
        <v>#N/A</v>
      </c>
      <c r="AM60" s="87" t="e">
        <f>VLOOKUP($D60,Résultats!$B$2:$AZ$212,AM$2,FALSE)</f>
        <v>#N/A</v>
      </c>
    </row>
    <row r="61" spans="3:40" x14ac:dyDescent="0.25">
      <c r="C61" s="56" t="s">
        <v>29</v>
      </c>
      <c r="D61" s="76" t="s">
        <v>48</v>
      </c>
      <c r="E61" s="87" t="e">
        <f>VLOOKUP($D61,Résultats!$B$2:$AZ$212,E$2,FALSE)</f>
        <v>#N/A</v>
      </c>
      <c r="F61" s="87" t="e">
        <f>VLOOKUP($D61,Résultats!$B$2:$AZ$212,F$2,FALSE)</f>
        <v>#N/A</v>
      </c>
      <c r="G61" s="87" t="e">
        <f>VLOOKUP($D61,Résultats!$B$2:$AZ$212,G$2,FALSE)</f>
        <v>#N/A</v>
      </c>
      <c r="H61" s="87" t="e">
        <f>VLOOKUP($D61,Résultats!$B$2:$AZ$212,H$2,FALSE)</f>
        <v>#N/A</v>
      </c>
      <c r="I61" s="87" t="e">
        <f>VLOOKUP($D61,Résultats!$B$2:$AZ$212,I$2,FALSE)</f>
        <v>#N/A</v>
      </c>
      <c r="J61" s="87" t="e">
        <f>VLOOKUP($D61,Résultats!$B$2:$AZ$212,J$2,FALSE)</f>
        <v>#N/A</v>
      </c>
      <c r="K61" s="87" t="e">
        <f>VLOOKUP($D61,Résultats!$B$2:$AZ$212,K$2,FALSE)</f>
        <v>#N/A</v>
      </c>
      <c r="L61" s="87" t="e">
        <f>VLOOKUP($D61,Résultats!$B$2:$AZ$212,L$2,FALSE)</f>
        <v>#N/A</v>
      </c>
      <c r="M61" s="87" t="e">
        <f>VLOOKUP($D61,Résultats!$B$2:$AZ$212,M$2,FALSE)</f>
        <v>#N/A</v>
      </c>
      <c r="N61" s="87" t="e">
        <f>VLOOKUP($D61,Résultats!$B$2:$AZ$212,N$2,FALSE)</f>
        <v>#N/A</v>
      </c>
      <c r="O61" s="87" t="e">
        <f>VLOOKUP($D61,Résultats!$B$2:$AZ$212,O$2,FALSE)</f>
        <v>#N/A</v>
      </c>
      <c r="P61" s="87" t="e">
        <f>VLOOKUP($D61,Résultats!$B$2:$AZ$212,P$2,FALSE)</f>
        <v>#N/A</v>
      </c>
      <c r="Q61" s="87" t="e">
        <f>VLOOKUP($D61,Résultats!$B$2:$AZ$212,Q$2,FALSE)</f>
        <v>#N/A</v>
      </c>
      <c r="R61" s="87" t="e">
        <f>VLOOKUP($D61,Résultats!$B$2:$AZ$212,R$2,FALSE)</f>
        <v>#N/A</v>
      </c>
      <c r="S61" s="87" t="e">
        <f>VLOOKUP($D61,Résultats!$B$2:$AZ$212,S$2,FALSE)</f>
        <v>#N/A</v>
      </c>
      <c r="T61" s="87" t="e">
        <f>VLOOKUP($D61,Résultats!$B$2:$AZ$212,T$2,FALSE)</f>
        <v>#N/A</v>
      </c>
      <c r="U61" s="87" t="e">
        <f>VLOOKUP($D61,Résultats!$B$2:$AZ$212,U$2,FALSE)</f>
        <v>#N/A</v>
      </c>
      <c r="V61" s="87" t="e">
        <f>VLOOKUP($D61,Résultats!$B$2:$AZ$212,V$2,FALSE)</f>
        <v>#N/A</v>
      </c>
      <c r="W61" s="87" t="e">
        <f>VLOOKUP($D61,Résultats!$B$2:$AZ$212,W$2,FALSE)</f>
        <v>#N/A</v>
      </c>
      <c r="X61" s="87" t="e">
        <f>VLOOKUP($D61,Résultats!$B$2:$AZ$212,X$2,FALSE)</f>
        <v>#N/A</v>
      </c>
      <c r="Y61" s="87" t="e">
        <f>VLOOKUP($D61,Résultats!$B$2:$AZ$212,Y$2,FALSE)</f>
        <v>#N/A</v>
      </c>
      <c r="Z61" s="87" t="e">
        <f>VLOOKUP($D61,Résultats!$B$2:$AZ$212,Z$2,FALSE)</f>
        <v>#N/A</v>
      </c>
      <c r="AA61" s="87" t="e">
        <f>VLOOKUP($D61,Résultats!$B$2:$AZ$212,AA$2,FALSE)</f>
        <v>#N/A</v>
      </c>
      <c r="AB61" s="87" t="e">
        <f>VLOOKUP($D61,Résultats!$B$2:$AZ$212,AB$2,FALSE)</f>
        <v>#N/A</v>
      </c>
      <c r="AC61" s="87" t="e">
        <f>VLOOKUP($D61,Résultats!$B$2:$AZ$212,AC$2,FALSE)</f>
        <v>#N/A</v>
      </c>
      <c r="AD61" s="87" t="e">
        <f>VLOOKUP($D61,Résultats!$B$2:$AZ$212,AD$2,FALSE)</f>
        <v>#N/A</v>
      </c>
      <c r="AE61" s="87" t="e">
        <f>VLOOKUP($D61,Résultats!$B$2:$AZ$212,AE$2,FALSE)</f>
        <v>#N/A</v>
      </c>
      <c r="AF61" s="87" t="e">
        <f>VLOOKUP($D61,Résultats!$B$2:$AZ$212,AF$2,FALSE)</f>
        <v>#N/A</v>
      </c>
      <c r="AG61" s="87" t="e">
        <f>VLOOKUP($D61,Résultats!$B$2:$AZ$212,AG$2,FALSE)</f>
        <v>#N/A</v>
      </c>
      <c r="AH61" s="87" t="e">
        <f>VLOOKUP($D61,Résultats!$B$2:$AZ$212,AH$2,FALSE)</f>
        <v>#N/A</v>
      </c>
      <c r="AI61" s="87" t="e">
        <f>VLOOKUP($D61,Résultats!$B$2:$AZ$212,AI$2,FALSE)</f>
        <v>#N/A</v>
      </c>
      <c r="AJ61" s="87" t="e">
        <f>VLOOKUP($D61,Résultats!$B$2:$AZ$212,AJ$2,FALSE)</f>
        <v>#N/A</v>
      </c>
      <c r="AK61" s="87" t="e">
        <f>VLOOKUP($D61,Résultats!$B$2:$AZ$212,AK$2,FALSE)</f>
        <v>#N/A</v>
      </c>
      <c r="AL61" s="87" t="e">
        <f>VLOOKUP($D61,Résultats!$B$2:$AZ$212,AL$2,FALSE)</f>
        <v>#N/A</v>
      </c>
      <c r="AM61" s="87" t="e">
        <f>VLOOKUP($D61,Résultats!$B$2:$AZ$212,AM$2,FALSE)</f>
        <v>#N/A</v>
      </c>
    </row>
    <row r="62" spans="3:40" x14ac:dyDescent="0.25">
      <c r="C62" s="56" t="s">
        <v>30</v>
      </c>
      <c r="D62" s="76" t="s">
        <v>49</v>
      </c>
      <c r="E62" s="87" t="e">
        <f>VLOOKUP($D62,Résultats!$B$2:$AZ$212,E$2,FALSE)</f>
        <v>#N/A</v>
      </c>
      <c r="F62" s="87" t="e">
        <f>VLOOKUP($D62,Résultats!$B$2:$AZ$212,F$2,FALSE)</f>
        <v>#N/A</v>
      </c>
      <c r="G62" s="87" t="e">
        <f>VLOOKUP($D62,Résultats!$B$2:$AZ$212,G$2,FALSE)</f>
        <v>#N/A</v>
      </c>
      <c r="H62" s="87" t="e">
        <f>VLOOKUP($D62,Résultats!$B$2:$AZ$212,H$2,FALSE)</f>
        <v>#N/A</v>
      </c>
      <c r="I62" s="87" t="e">
        <f>VLOOKUP($D62,Résultats!$B$2:$AZ$212,I$2,FALSE)</f>
        <v>#N/A</v>
      </c>
      <c r="J62" s="87" t="e">
        <f>VLOOKUP($D62,Résultats!$B$2:$AZ$212,J$2,FALSE)</f>
        <v>#N/A</v>
      </c>
      <c r="K62" s="87" t="e">
        <f>VLOOKUP($D62,Résultats!$B$2:$AZ$212,K$2,FALSE)</f>
        <v>#N/A</v>
      </c>
      <c r="L62" s="87" t="e">
        <f>VLOOKUP($D62,Résultats!$B$2:$AZ$212,L$2,FALSE)</f>
        <v>#N/A</v>
      </c>
      <c r="M62" s="87" t="e">
        <f>VLOOKUP($D62,Résultats!$B$2:$AZ$212,M$2,FALSE)</f>
        <v>#N/A</v>
      </c>
      <c r="N62" s="87" t="e">
        <f>VLOOKUP($D62,Résultats!$B$2:$AZ$212,N$2,FALSE)</f>
        <v>#N/A</v>
      </c>
      <c r="O62" s="87" t="e">
        <f>VLOOKUP($D62,Résultats!$B$2:$AZ$212,O$2,FALSE)</f>
        <v>#N/A</v>
      </c>
      <c r="P62" s="87" t="e">
        <f>VLOOKUP($D62,Résultats!$B$2:$AZ$212,P$2,FALSE)</f>
        <v>#N/A</v>
      </c>
      <c r="Q62" s="87" t="e">
        <f>VLOOKUP($D62,Résultats!$B$2:$AZ$212,Q$2,FALSE)</f>
        <v>#N/A</v>
      </c>
      <c r="R62" s="87" t="e">
        <f>VLOOKUP($D62,Résultats!$B$2:$AZ$212,R$2,FALSE)</f>
        <v>#N/A</v>
      </c>
      <c r="S62" s="87" t="e">
        <f>VLOOKUP($D62,Résultats!$B$2:$AZ$212,S$2,FALSE)</f>
        <v>#N/A</v>
      </c>
      <c r="T62" s="87" t="e">
        <f>VLOOKUP($D62,Résultats!$B$2:$AZ$212,T$2,FALSE)</f>
        <v>#N/A</v>
      </c>
      <c r="U62" s="87" t="e">
        <f>VLOOKUP($D62,Résultats!$B$2:$AZ$212,U$2,FALSE)</f>
        <v>#N/A</v>
      </c>
      <c r="V62" s="87" t="e">
        <f>VLOOKUP($D62,Résultats!$B$2:$AZ$212,V$2,FALSE)</f>
        <v>#N/A</v>
      </c>
      <c r="W62" s="87" t="e">
        <f>VLOOKUP($D62,Résultats!$B$2:$AZ$212,W$2,FALSE)</f>
        <v>#N/A</v>
      </c>
      <c r="X62" s="87" t="e">
        <f>VLOOKUP($D62,Résultats!$B$2:$AZ$212,X$2,FALSE)</f>
        <v>#N/A</v>
      </c>
      <c r="Y62" s="87" t="e">
        <f>VLOOKUP($D62,Résultats!$B$2:$AZ$212,Y$2,FALSE)</f>
        <v>#N/A</v>
      </c>
      <c r="Z62" s="87" t="e">
        <f>VLOOKUP($D62,Résultats!$B$2:$AZ$212,Z$2,FALSE)</f>
        <v>#N/A</v>
      </c>
      <c r="AA62" s="87" t="e">
        <f>VLOOKUP($D62,Résultats!$B$2:$AZ$212,AA$2,FALSE)</f>
        <v>#N/A</v>
      </c>
      <c r="AB62" s="87" t="e">
        <f>VLOOKUP($D62,Résultats!$B$2:$AZ$212,AB$2,FALSE)</f>
        <v>#N/A</v>
      </c>
      <c r="AC62" s="87" t="e">
        <f>VLOOKUP($D62,Résultats!$B$2:$AZ$212,AC$2,FALSE)</f>
        <v>#N/A</v>
      </c>
      <c r="AD62" s="87" t="e">
        <f>VLOOKUP($D62,Résultats!$B$2:$AZ$212,AD$2,FALSE)</f>
        <v>#N/A</v>
      </c>
      <c r="AE62" s="87" t="e">
        <f>VLOOKUP($D62,Résultats!$B$2:$AZ$212,AE$2,FALSE)</f>
        <v>#N/A</v>
      </c>
      <c r="AF62" s="87" t="e">
        <f>VLOOKUP($D62,Résultats!$B$2:$AZ$212,AF$2,FALSE)</f>
        <v>#N/A</v>
      </c>
      <c r="AG62" s="87" t="e">
        <f>VLOOKUP($D62,Résultats!$B$2:$AZ$212,AG$2,FALSE)</f>
        <v>#N/A</v>
      </c>
      <c r="AH62" s="87" t="e">
        <f>VLOOKUP($D62,Résultats!$B$2:$AZ$212,AH$2,FALSE)</f>
        <v>#N/A</v>
      </c>
      <c r="AI62" s="87" t="e">
        <f>VLOOKUP($D62,Résultats!$B$2:$AZ$212,AI$2,FALSE)</f>
        <v>#N/A</v>
      </c>
      <c r="AJ62" s="87" t="e">
        <f>VLOOKUP($D62,Résultats!$B$2:$AZ$212,AJ$2,FALSE)</f>
        <v>#N/A</v>
      </c>
      <c r="AK62" s="87" t="e">
        <f>VLOOKUP($D62,Résultats!$B$2:$AZ$212,AK$2,FALSE)</f>
        <v>#N/A</v>
      </c>
      <c r="AL62" s="87" t="e">
        <f>VLOOKUP($D62,Résultats!$B$2:$AZ$212,AL$2,FALSE)</f>
        <v>#N/A</v>
      </c>
      <c r="AM62" s="87" t="e">
        <f>VLOOKUP($D62,Résultats!$B$2:$AZ$212,AM$2,FALSE)</f>
        <v>#N/A</v>
      </c>
    </row>
    <row r="63" spans="3:40" x14ac:dyDescent="0.25">
      <c r="C63" s="56" t="s">
        <v>31</v>
      </c>
      <c r="D63" s="76" t="s">
        <v>50</v>
      </c>
      <c r="E63" s="87" t="e">
        <f>VLOOKUP($D63,Résultats!$B$2:$AZ$212,E$2,FALSE)</f>
        <v>#N/A</v>
      </c>
      <c r="F63" s="87" t="e">
        <f>VLOOKUP($D63,Résultats!$B$2:$AZ$212,F$2,FALSE)</f>
        <v>#N/A</v>
      </c>
      <c r="G63" s="87" t="e">
        <f>VLOOKUP($D63,Résultats!$B$2:$AZ$212,G$2,FALSE)</f>
        <v>#N/A</v>
      </c>
      <c r="H63" s="87" t="e">
        <f>VLOOKUP($D63,Résultats!$B$2:$AZ$212,H$2,FALSE)</f>
        <v>#N/A</v>
      </c>
      <c r="I63" s="87" t="e">
        <f>VLOOKUP($D63,Résultats!$B$2:$AZ$212,I$2,FALSE)</f>
        <v>#N/A</v>
      </c>
      <c r="J63" s="87" t="e">
        <f>VLOOKUP($D63,Résultats!$B$2:$AZ$212,J$2,FALSE)</f>
        <v>#N/A</v>
      </c>
      <c r="K63" s="87" t="e">
        <f>VLOOKUP($D63,Résultats!$B$2:$AZ$212,K$2,FALSE)</f>
        <v>#N/A</v>
      </c>
      <c r="L63" s="87" t="e">
        <f>VLOOKUP($D63,Résultats!$B$2:$AZ$212,L$2,FALSE)</f>
        <v>#N/A</v>
      </c>
      <c r="M63" s="87" t="e">
        <f>VLOOKUP($D63,Résultats!$B$2:$AZ$212,M$2,FALSE)</f>
        <v>#N/A</v>
      </c>
      <c r="N63" s="87" t="e">
        <f>VLOOKUP($D63,Résultats!$B$2:$AZ$212,N$2,FALSE)</f>
        <v>#N/A</v>
      </c>
      <c r="O63" s="87" t="e">
        <f>VLOOKUP($D63,Résultats!$B$2:$AZ$212,O$2,FALSE)</f>
        <v>#N/A</v>
      </c>
      <c r="P63" s="87" t="e">
        <f>VLOOKUP($D63,Résultats!$B$2:$AZ$212,P$2,FALSE)</f>
        <v>#N/A</v>
      </c>
      <c r="Q63" s="87" t="e">
        <f>VLOOKUP($D63,Résultats!$B$2:$AZ$212,Q$2,FALSE)</f>
        <v>#N/A</v>
      </c>
      <c r="R63" s="87" t="e">
        <f>VLOOKUP($D63,Résultats!$B$2:$AZ$212,R$2,FALSE)</f>
        <v>#N/A</v>
      </c>
      <c r="S63" s="87" t="e">
        <f>VLOOKUP($D63,Résultats!$B$2:$AZ$212,S$2,FALSE)</f>
        <v>#N/A</v>
      </c>
      <c r="T63" s="87" t="e">
        <f>VLOOKUP($D63,Résultats!$B$2:$AZ$212,T$2,FALSE)</f>
        <v>#N/A</v>
      </c>
      <c r="U63" s="87" t="e">
        <f>VLOOKUP($D63,Résultats!$B$2:$AZ$212,U$2,FALSE)</f>
        <v>#N/A</v>
      </c>
      <c r="V63" s="87" t="e">
        <f>VLOOKUP($D63,Résultats!$B$2:$AZ$212,V$2,FALSE)</f>
        <v>#N/A</v>
      </c>
      <c r="W63" s="87" t="e">
        <f>VLOOKUP($D63,Résultats!$B$2:$AZ$212,W$2,FALSE)</f>
        <v>#N/A</v>
      </c>
      <c r="X63" s="87" t="e">
        <f>VLOOKUP($D63,Résultats!$B$2:$AZ$212,X$2,FALSE)</f>
        <v>#N/A</v>
      </c>
      <c r="Y63" s="87" t="e">
        <f>VLOOKUP($D63,Résultats!$B$2:$AZ$212,Y$2,FALSE)</f>
        <v>#N/A</v>
      </c>
      <c r="Z63" s="87" t="e">
        <f>VLOOKUP($D63,Résultats!$B$2:$AZ$212,Z$2,FALSE)</f>
        <v>#N/A</v>
      </c>
      <c r="AA63" s="87" t="e">
        <f>VLOOKUP($D63,Résultats!$B$2:$AZ$212,AA$2,FALSE)</f>
        <v>#N/A</v>
      </c>
      <c r="AB63" s="87" t="e">
        <f>VLOOKUP($D63,Résultats!$B$2:$AZ$212,AB$2,FALSE)</f>
        <v>#N/A</v>
      </c>
      <c r="AC63" s="87" t="e">
        <f>VLOOKUP($D63,Résultats!$B$2:$AZ$212,AC$2,FALSE)</f>
        <v>#N/A</v>
      </c>
      <c r="AD63" s="87" t="e">
        <f>VLOOKUP($D63,Résultats!$B$2:$AZ$212,AD$2,FALSE)</f>
        <v>#N/A</v>
      </c>
      <c r="AE63" s="87" t="e">
        <f>VLOOKUP($D63,Résultats!$B$2:$AZ$212,AE$2,FALSE)</f>
        <v>#N/A</v>
      </c>
      <c r="AF63" s="87" t="e">
        <f>VLOOKUP($D63,Résultats!$B$2:$AZ$212,AF$2,FALSE)</f>
        <v>#N/A</v>
      </c>
      <c r="AG63" s="87" t="e">
        <f>VLOOKUP($D63,Résultats!$B$2:$AZ$212,AG$2,FALSE)</f>
        <v>#N/A</v>
      </c>
      <c r="AH63" s="87" t="e">
        <f>VLOOKUP($D63,Résultats!$B$2:$AZ$212,AH$2,FALSE)</f>
        <v>#N/A</v>
      </c>
      <c r="AI63" s="87" t="e">
        <f>VLOOKUP($D63,Résultats!$B$2:$AZ$212,AI$2,FALSE)</f>
        <v>#N/A</v>
      </c>
      <c r="AJ63" s="87" t="e">
        <f>VLOOKUP($D63,Résultats!$B$2:$AZ$212,AJ$2,FALSE)</f>
        <v>#N/A</v>
      </c>
      <c r="AK63" s="87" t="e">
        <f>VLOOKUP($D63,Résultats!$B$2:$AZ$212,AK$2,FALSE)</f>
        <v>#N/A</v>
      </c>
      <c r="AL63" s="87" t="e">
        <f>VLOOKUP($D63,Résultats!$B$2:$AZ$212,AL$2,FALSE)</f>
        <v>#N/A</v>
      </c>
      <c r="AM63" s="87" t="e">
        <f>VLOOKUP($D63,Résultats!$B$2:$AZ$212,AM$2,FALSE)</f>
        <v>#N/A</v>
      </c>
    </row>
    <row r="64" spans="3:40" x14ac:dyDescent="0.25">
      <c r="C64" s="56" t="s">
        <v>32</v>
      </c>
      <c r="D64" s="76" t="s">
        <v>51</v>
      </c>
      <c r="E64" s="87" t="e">
        <f>VLOOKUP($D64,Résultats!$B$2:$AZ$212,E$2,FALSE)</f>
        <v>#N/A</v>
      </c>
      <c r="F64" s="87" t="e">
        <f>VLOOKUP($D64,Résultats!$B$2:$AZ$212,F$2,FALSE)</f>
        <v>#N/A</v>
      </c>
      <c r="G64" s="87" t="e">
        <f>VLOOKUP($D64,Résultats!$B$2:$AZ$212,G$2,FALSE)</f>
        <v>#N/A</v>
      </c>
      <c r="H64" s="87" t="e">
        <f>VLOOKUP($D64,Résultats!$B$2:$AZ$212,H$2,FALSE)</f>
        <v>#N/A</v>
      </c>
      <c r="I64" s="87" t="e">
        <f>VLOOKUP($D64,Résultats!$B$2:$AZ$212,I$2,FALSE)</f>
        <v>#N/A</v>
      </c>
      <c r="J64" s="87" t="e">
        <f>VLOOKUP($D64,Résultats!$B$2:$AZ$212,J$2,FALSE)</f>
        <v>#N/A</v>
      </c>
      <c r="K64" s="87" t="e">
        <f>VLOOKUP($D64,Résultats!$B$2:$AZ$212,K$2,FALSE)</f>
        <v>#N/A</v>
      </c>
      <c r="L64" s="87" t="e">
        <f>VLOOKUP($D64,Résultats!$B$2:$AZ$212,L$2,FALSE)</f>
        <v>#N/A</v>
      </c>
      <c r="M64" s="87" t="e">
        <f>VLOOKUP($D64,Résultats!$B$2:$AZ$212,M$2,FALSE)</f>
        <v>#N/A</v>
      </c>
      <c r="N64" s="87" t="e">
        <f>VLOOKUP($D64,Résultats!$B$2:$AZ$212,N$2,FALSE)</f>
        <v>#N/A</v>
      </c>
      <c r="O64" s="87" t="e">
        <f>VLOOKUP($D64,Résultats!$B$2:$AZ$212,O$2,FALSE)</f>
        <v>#N/A</v>
      </c>
      <c r="P64" s="87" t="e">
        <f>VLOOKUP($D64,Résultats!$B$2:$AZ$212,P$2,FALSE)</f>
        <v>#N/A</v>
      </c>
      <c r="Q64" s="87" t="e">
        <f>VLOOKUP($D64,Résultats!$B$2:$AZ$212,Q$2,FALSE)</f>
        <v>#N/A</v>
      </c>
      <c r="R64" s="87" t="e">
        <f>VLOOKUP($D64,Résultats!$B$2:$AZ$212,R$2,FALSE)</f>
        <v>#N/A</v>
      </c>
      <c r="S64" s="87" t="e">
        <f>VLOOKUP($D64,Résultats!$B$2:$AZ$212,S$2,FALSE)</f>
        <v>#N/A</v>
      </c>
      <c r="T64" s="87" t="e">
        <f>VLOOKUP($D64,Résultats!$B$2:$AZ$212,T$2,FALSE)</f>
        <v>#N/A</v>
      </c>
      <c r="U64" s="87" t="e">
        <f>VLOOKUP($D64,Résultats!$B$2:$AZ$212,U$2,FALSE)</f>
        <v>#N/A</v>
      </c>
      <c r="V64" s="87" t="e">
        <f>VLOOKUP($D64,Résultats!$B$2:$AZ$212,V$2,FALSE)</f>
        <v>#N/A</v>
      </c>
      <c r="W64" s="87" t="e">
        <f>VLOOKUP($D64,Résultats!$B$2:$AZ$212,W$2,FALSE)</f>
        <v>#N/A</v>
      </c>
      <c r="X64" s="87" t="e">
        <f>VLOOKUP($D64,Résultats!$B$2:$AZ$212,X$2,FALSE)</f>
        <v>#N/A</v>
      </c>
      <c r="Y64" s="87" t="e">
        <f>VLOOKUP($D64,Résultats!$B$2:$AZ$212,Y$2,FALSE)</f>
        <v>#N/A</v>
      </c>
      <c r="Z64" s="87" t="e">
        <f>VLOOKUP($D64,Résultats!$B$2:$AZ$212,Z$2,FALSE)</f>
        <v>#N/A</v>
      </c>
      <c r="AA64" s="87" t="e">
        <f>VLOOKUP($D64,Résultats!$B$2:$AZ$212,AA$2,FALSE)</f>
        <v>#N/A</v>
      </c>
      <c r="AB64" s="87" t="e">
        <f>VLOOKUP($D64,Résultats!$B$2:$AZ$212,AB$2,FALSE)</f>
        <v>#N/A</v>
      </c>
      <c r="AC64" s="87" t="e">
        <f>VLOOKUP($D64,Résultats!$B$2:$AZ$212,AC$2,FALSE)</f>
        <v>#N/A</v>
      </c>
      <c r="AD64" s="87" t="e">
        <f>VLOOKUP($D64,Résultats!$B$2:$AZ$212,AD$2,FALSE)</f>
        <v>#N/A</v>
      </c>
      <c r="AE64" s="87" t="e">
        <f>VLOOKUP($D64,Résultats!$B$2:$AZ$212,AE$2,FALSE)</f>
        <v>#N/A</v>
      </c>
      <c r="AF64" s="87" t="e">
        <f>VLOOKUP($D64,Résultats!$B$2:$AZ$212,AF$2,FALSE)</f>
        <v>#N/A</v>
      </c>
      <c r="AG64" s="87" t="e">
        <f>VLOOKUP($D64,Résultats!$B$2:$AZ$212,AG$2,FALSE)</f>
        <v>#N/A</v>
      </c>
      <c r="AH64" s="87" t="e">
        <f>VLOOKUP($D64,Résultats!$B$2:$AZ$212,AH$2,FALSE)</f>
        <v>#N/A</v>
      </c>
      <c r="AI64" s="87" t="e">
        <f>VLOOKUP($D64,Résultats!$B$2:$AZ$212,AI$2,FALSE)</f>
        <v>#N/A</v>
      </c>
      <c r="AJ64" s="87" t="e">
        <f>VLOOKUP($D64,Résultats!$B$2:$AZ$212,AJ$2,FALSE)</f>
        <v>#N/A</v>
      </c>
      <c r="AK64" s="87" t="e">
        <f>VLOOKUP($D64,Résultats!$B$2:$AZ$212,AK$2,FALSE)</f>
        <v>#N/A</v>
      </c>
      <c r="AL64" s="87" t="e">
        <f>VLOOKUP($D64,Résultats!$B$2:$AZ$212,AL$2,FALSE)</f>
        <v>#N/A</v>
      </c>
      <c r="AM64" s="87" t="e">
        <f>VLOOKUP($D64,Résultats!$B$2:$AZ$212,AM$2,FALSE)</f>
        <v>#N/A</v>
      </c>
    </row>
    <row r="65" spans="2:39" x14ac:dyDescent="0.25">
      <c r="C65" s="56" t="s">
        <v>33</v>
      </c>
      <c r="D65" s="76" t="s">
        <v>52</v>
      </c>
      <c r="E65" s="87" t="e">
        <f>VLOOKUP($D65,Résultats!$B$2:$AZ$212,E$2,FALSE)</f>
        <v>#N/A</v>
      </c>
      <c r="F65" s="87" t="e">
        <f>VLOOKUP($D65,Résultats!$B$2:$AZ$212,F$2,FALSE)</f>
        <v>#N/A</v>
      </c>
      <c r="G65" s="87" t="e">
        <f>VLOOKUP($D65,Résultats!$B$2:$AZ$212,G$2,FALSE)</f>
        <v>#N/A</v>
      </c>
      <c r="H65" s="87" t="e">
        <f>VLOOKUP($D65,Résultats!$B$2:$AZ$212,H$2,FALSE)</f>
        <v>#N/A</v>
      </c>
      <c r="I65" s="87" t="e">
        <f>VLOOKUP($D65,Résultats!$B$2:$AZ$212,I$2,FALSE)</f>
        <v>#N/A</v>
      </c>
      <c r="J65" s="87" t="e">
        <f>VLOOKUP($D65,Résultats!$B$2:$AZ$212,J$2,FALSE)</f>
        <v>#N/A</v>
      </c>
      <c r="K65" s="87" t="e">
        <f>VLOOKUP($D65,Résultats!$B$2:$AZ$212,K$2,FALSE)</f>
        <v>#N/A</v>
      </c>
      <c r="L65" s="87" t="e">
        <f>VLOOKUP($D65,Résultats!$B$2:$AZ$212,L$2,FALSE)</f>
        <v>#N/A</v>
      </c>
      <c r="M65" s="87" t="e">
        <f>VLOOKUP($D65,Résultats!$B$2:$AZ$212,M$2,FALSE)</f>
        <v>#N/A</v>
      </c>
      <c r="N65" s="87" t="e">
        <f>VLOOKUP($D65,Résultats!$B$2:$AZ$212,N$2,FALSE)</f>
        <v>#N/A</v>
      </c>
      <c r="O65" s="87" t="e">
        <f>VLOOKUP($D65,Résultats!$B$2:$AZ$212,O$2,FALSE)</f>
        <v>#N/A</v>
      </c>
      <c r="P65" s="87" t="e">
        <f>VLOOKUP($D65,Résultats!$B$2:$AZ$212,P$2,FALSE)</f>
        <v>#N/A</v>
      </c>
      <c r="Q65" s="87" t="e">
        <f>VLOOKUP($D65,Résultats!$B$2:$AZ$212,Q$2,FALSE)</f>
        <v>#N/A</v>
      </c>
      <c r="R65" s="87" t="e">
        <f>VLOOKUP($D65,Résultats!$B$2:$AZ$212,R$2,FALSE)</f>
        <v>#N/A</v>
      </c>
      <c r="S65" s="87" t="e">
        <f>VLOOKUP($D65,Résultats!$B$2:$AZ$212,S$2,FALSE)</f>
        <v>#N/A</v>
      </c>
      <c r="T65" s="87" t="e">
        <f>VLOOKUP($D65,Résultats!$B$2:$AZ$212,T$2,FALSE)</f>
        <v>#N/A</v>
      </c>
      <c r="U65" s="87" t="e">
        <f>VLOOKUP($D65,Résultats!$B$2:$AZ$212,U$2,FALSE)</f>
        <v>#N/A</v>
      </c>
      <c r="V65" s="87" t="e">
        <f>VLOOKUP($D65,Résultats!$B$2:$AZ$212,V$2,FALSE)</f>
        <v>#N/A</v>
      </c>
      <c r="W65" s="87" t="e">
        <f>VLOOKUP($D65,Résultats!$B$2:$AZ$212,W$2,FALSE)</f>
        <v>#N/A</v>
      </c>
      <c r="X65" s="87" t="e">
        <f>VLOOKUP($D65,Résultats!$B$2:$AZ$212,X$2,FALSE)</f>
        <v>#N/A</v>
      </c>
      <c r="Y65" s="87" t="e">
        <f>VLOOKUP($D65,Résultats!$B$2:$AZ$212,Y$2,FALSE)</f>
        <v>#N/A</v>
      </c>
      <c r="Z65" s="87" t="e">
        <f>VLOOKUP($D65,Résultats!$B$2:$AZ$212,Z$2,FALSE)</f>
        <v>#N/A</v>
      </c>
      <c r="AA65" s="87" t="e">
        <f>VLOOKUP($D65,Résultats!$B$2:$AZ$212,AA$2,FALSE)</f>
        <v>#N/A</v>
      </c>
      <c r="AB65" s="87" t="e">
        <f>VLOOKUP($D65,Résultats!$B$2:$AZ$212,AB$2,FALSE)</f>
        <v>#N/A</v>
      </c>
      <c r="AC65" s="87" t="e">
        <f>VLOOKUP($D65,Résultats!$B$2:$AZ$212,AC$2,FALSE)</f>
        <v>#N/A</v>
      </c>
      <c r="AD65" s="87" t="e">
        <f>VLOOKUP($D65,Résultats!$B$2:$AZ$212,AD$2,FALSE)</f>
        <v>#N/A</v>
      </c>
      <c r="AE65" s="87" t="e">
        <f>VLOOKUP($D65,Résultats!$B$2:$AZ$212,AE$2,FALSE)</f>
        <v>#N/A</v>
      </c>
      <c r="AF65" s="87" t="e">
        <f>VLOOKUP($D65,Résultats!$B$2:$AZ$212,AF$2,FALSE)</f>
        <v>#N/A</v>
      </c>
      <c r="AG65" s="87" t="e">
        <f>VLOOKUP($D65,Résultats!$B$2:$AZ$212,AG$2,FALSE)</f>
        <v>#N/A</v>
      </c>
      <c r="AH65" s="87" t="e">
        <f>VLOOKUP($D65,Résultats!$B$2:$AZ$212,AH$2,FALSE)</f>
        <v>#N/A</v>
      </c>
      <c r="AI65" s="87" t="e">
        <f>VLOOKUP($D65,Résultats!$B$2:$AZ$212,AI$2,FALSE)</f>
        <v>#N/A</v>
      </c>
      <c r="AJ65" s="87" t="e">
        <f>VLOOKUP($D65,Résultats!$B$2:$AZ$212,AJ$2,FALSE)</f>
        <v>#N/A</v>
      </c>
      <c r="AK65" s="87" t="e">
        <f>VLOOKUP($D65,Résultats!$B$2:$AZ$212,AK$2,FALSE)</f>
        <v>#N/A</v>
      </c>
      <c r="AL65" s="87" t="e">
        <f>VLOOKUP($D65,Résultats!$B$2:$AZ$212,AL$2,FALSE)</f>
        <v>#N/A</v>
      </c>
      <c r="AM65" s="87" t="e">
        <f>VLOOKUP($D65,Résultats!$B$2:$AZ$212,AM$2,FALSE)</f>
        <v>#N/A</v>
      </c>
    </row>
    <row r="68" spans="2:39" x14ac:dyDescent="0.25">
      <c r="C68" s="12"/>
      <c r="D68" s="12"/>
      <c r="E68" s="115">
        <v>2016</v>
      </c>
      <c r="F68" s="115">
        <v>2017</v>
      </c>
      <c r="G68" s="115">
        <v>2018</v>
      </c>
      <c r="H68" s="115">
        <v>2019</v>
      </c>
      <c r="I68" s="115">
        <v>2020</v>
      </c>
      <c r="J68" s="26">
        <v>2021</v>
      </c>
      <c r="K68" s="4">
        <v>2022</v>
      </c>
      <c r="L68" s="4">
        <v>2023</v>
      </c>
      <c r="M68" s="4">
        <v>2024</v>
      </c>
      <c r="N68" s="115">
        <v>2025</v>
      </c>
      <c r="O68" s="26">
        <v>2026</v>
      </c>
      <c r="P68" s="4">
        <v>2027</v>
      </c>
      <c r="Q68" s="4">
        <v>2028</v>
      </c>
      <c r="R68" s="4">
        <v>2029</v>
      </c>
      <c r="S68" s="115">
        <v>2030</v>
      </c>
      <c r="T68" s="115">
        <v>2031</v>
      </c>
      <c r="U68" s="115">
        <v>2032</v>
      </c>
      <c r="V68" s="115">
        <v>2033</v>
      </c>
      <c r="W68" s="115">
        <v>2034</v>
      </c>
      <c r="X68" s="116">
        <v>2035</v>
      </c>
      <c r="Y68" s="116">
        <v>2036</v>
      </c>
      <c r="Z68" s="116">
        <v>2037</v>
      </c>
      <c r="AA68" s="116">
        <v>2038</v>
      </c>
      <c r="AB68" s="116">
        <v>2039</v>
      </c>
      <c r="AC68" s="116">
        <v>2040</v>
      </c>
      <c r="AD68" s="116">
        <v>2041</v>
      </c>
      <c r="AE68" s="116">
        <v>2042</v>
      </c>
      <c r="AF68" s="116">
        <v>2043</v>
      </c>
      <c r="AG68" s="116">
        <v>2044</v>
      </c>
      <c r="AH68" s="116">
        <v>2045</v>
      </c>
      <c r="AI68" s="116">
        <v>2046</v>
      </c>
      <c r="AJ68" s="116">
        <v>2047</v>
      </c>
      <c r="AK68" s="116">
        <v>2048</v>
      </c>
      <c r="AL68" s="116">
        <v>2049</v>
      </c>
      <c r="AM68" s="116">
        <v>2050</v>
      </c>
    </row>
    <row r="69" spans="2:39" x14ac:dyDescent="0.25">
      <c r="B69" s="23" t="s">
        <v>164</v>
      </c>
      <c r="C69" s="72" t="s">
        <v>133</v>
      </c>
      <c r="D69" s="72" t="s">
        <v>64</v>
      </c>
      <c r="E69" s="73" t="e">
        <f t="shared" ref="E69:F69" si="11">E26</f>
        <v>#N/A</v>
      </c>
      <c r="F69" s="73" t="e">
        <f t="shared" si="11"/>
        <v>#N/A</v>
      </c>
      <c r="G69" s="73" t="e">
        <f t="shared" ref="G69:AM69" si="12">G26</f>
        <v>#N/A</v>
      </c>
      <c r="H69" s="73" t="e">
        <f t="shared" si="12"/>
        <v>#N/A</v>
      </c>
      <c r="I69" s="73" t="e">
        <f t="shared" si="12"/>
        <v>#N/A</v>
      </c>
      <c r="J69" s="73" t="e">
        <f t="shared" si="12"/>
        <v>#N/A</v>
      </c>
      <c r="K69" s="73" t="e">
        <f t="shared" si="12"/>
        <v>#N/A</v>
      </c>
      <c r="L69" s="73" t="e">
        <f t="shared" si="12"/>
        <v>#N/A</v>
      </c>
      <c r="M69" s="73" t="e">
        <f t="shared" si="12"/>
        <v>#N/A</v>
      </c>
      <c r="N69" s="73" t="e">
        <f t="shared" si="12"/>
        <v>#N/A</v>
      </c>
      <c r="O69" s="73" t="e">
        <f t="shared" si="12"/>
        <v>#N/A</v>
      </c>
      <c r="P69" s="73" t="e">
        <f t="shared" si="12"/>
        <v>#N/A</v>
      </c>
      <c r="Q69" s="73" t="e">
        <f t="shared" si="12"/>
        <v>#N/A</v>
      </c>
      <c r="R69" s="73" t="e">
        <f t="shared" si="12"/>
        <v>#N/A</v>
      </c>
      <c r="S69" s="73" t="e">
        <f t="shared" si="12"/>
        <v>#N/A</v>
      </c>
      <c r="T69" s="73" t="e">
        <f t="shared" si="12"/>
        <v>#N/A</v>
      </c>
      <c r="U69" s="73" t="e">
        <f t="shared" si="12"/>
        <v>#N/A</v>
      </c>
      <c r="V69" s="73" t="e">
        <f t="shared" si="12"/>
        <v>#N/A</v>
      </c>
      <c r="W69" s="73" t="e">
        <f t="shared" si="12"/>
        <v>#N/A</v>
      </c>
      <c r="X69" s="73" t="e">
        <f t="shared" si="12"/>
        <v>#N/A</v>
      </c>
      <c r="Y69" s="73" t="e">
        <f t="shared" si="12"/>
        <v>#N/A</v>
      </c>
      <c r="Z69" s="73" t="e">
        <f t="shared" si="12"/>
        <v>#N/A</v>
      </c>
      <c r="AA69" s="73" t="e">
        <f t="shared" si="12"/>
        <v>#N/A</v>
      </c>
      <c r="AB69" s="73" t="e">
        <f t="shared" si="12"/>
        <v>#N/A</v>
      </c>
      <c r="AC69" s="73" t="e">
        <f t="shared" si="12"/>
        <v>#N/A</v>
      </c>
      <c r="AD69" s="73" t="e">
        <f t="shared" si="12"/>
        <v>#N/A</v>
      </c>
      <c r="AE69" s="73" t="e">
        <f t="shared" si="12"/>
        <v>#N/A</v>
      </c>
      <c r="AF69" s="73" t="e">
        <f t="shared" si="12"/>
        <v>#N/A</v>
      </c>
      <c r="AG69" s="73" t="e">
        <f t="shared" si="12"/>
        <v>#N/A</v>
      </c>
      <c r="AH69" s="73" t="e">
        <f t="shared" si="12"/>
        <v>#N/A</v>
      </c>
      <c r="AI69" s="73" t="e">
        <f t="shared" si="12"/>
        <v>#N/A</v>
      </c>
      <c r="AJ69" s="73" t="e">
        <f t="shared" si="12"/>
        <v>#N/A</v>
      </c>
      <c r="AK69" s="73" t="e">
        <f t="shared" si="12"/>
        <v>#N/A</v>
      </c>
      <c r="AL69" s="73" t="e">
        <f t="shared" si="12"/>
        <v>#N/A</v>
      </c>
      <c r="AM69" s="73" t="e">
        <f t="shared" si="12"/>
        <v>#N/A</v>
      </c>
    </row>
    <row r="70" spans="2:39" x14ac:dyDescent="0.25">
      <c r="C70" s="74" t="s">
        <v>94</v>
      </c>
      <c r="D70" s="74" t="s">
        <v>166</v>
      </c>
      <c r="E70" s="147" t="e">
        <f t="shared" ref="E70:F77" si="13">E27/E$26</f>
        <v>#N/A</v>
      </c>
      <c r="F70" s="147" t="e">
        <f t="shared" si="13"/>
        <v>#N/A</v>
      </c>
      <c r="G70" s="147" t="e">
        <f t="shared" ref="G70:AM77" si="14">G27/G$26</f>
        <v>#N/A</v>
      </c>
      <c r="H70" s="147" t="e">
        <f t="shared" si="14"/>
        <v>#N/A</v>
      </c>
      <c r="I70" s="147" t="e">
        <f t="shared" si="14"/>
        <v>#N/A</v>
      </c>
      <c r="J70" s="146" t="e">
        <f t="shared" si="14"/>
        <v>#N/A</v>
      </c>
      <c r="K70" s="89" t="e">
        <f t="shared" si="14"/>
        <v>#N/A</v>
      </c>
      <c r="L70" s="89" t="e">
        <f t="shared" si="14"/>
        <v>#N/A</v>
      </c>
      <c r="M70" s="89" t="e">
        <f t="shared" si="14"/>
        <v>#N/A</v>
      </c>
      <c r="N70" s="147" t="e">
        <f t="shared" si="14"/>
        <v>#N/A</v>
      </c>
      <c r="O70" s="146" t="e">
        <f t="shared" si="14"/>
        <v>#N/A</v>
      </c>
      <c r="P70" s="89" t="e">
        <f t="shared" si="14"/>
        <v>#N/A</v>
      </c>
      <c r="Q70" s="89" t="e">
        <f t="shared" si="14"/>
        <v>#N/A</v>
      </c>
      <c r="R70" s="89" t="e">
        <f t="shared" si="14"/>
        <v>#N/A</v>
      </c>
      <c r="S70" s="147" t="e">
        <f t="shared" si="14"/>
        <v>#N/A</v>
      </c>
      <c r="T70" s="147" t="e">
        <f t="shared" si="14"/>
        <v>#N/A</v>
      </c>
      <c r="U70" s="147" t="e">
        <f t="shared" si="14"/>
        <v>#N/A</v>
      </c>
      <c r="V70" s="147" t="e">
        <f t="shared" si="14"/>
        <v>#N/A</v>
      </c>
      <c r="W70" s="147" t="e">
        <f t="shared" si="14"/>
        <v>#N/A</v>
      </c>
      <c r="X70" s="141" t="e">
        <f t="shared" si="14"/>
        <v>#N/A</v>
      </c>
      <c r="Y70" s="141" t="e">
        <f t="shared" si="14"/>
        <v>#N/A</v>
      </c>
      <c r="Z70" s="141" t="e">
        <f t="shared" si="14"/>
        <v>#N/A</v>
      </c>
      <c r="AA70" s="141" t="e">
        <f t="shared" si="14"/>
        <v>#N/A</v>
      </c>
      <c r="AB70" s="141" t="e">
        <f t="shared" si="14"/>
        <v>#N/A</v>
      </c>
      <c r="AC70" s="141" t="e">
        <f t="shared" si="14"/>
        <v>#N/A</v>
      </c>
      <c r="AD70" s="141" t="e">
        <f t="shared" si="14"/>
        <v>#N/A</v>
      </c>
      <c r="AE70" s="141" t="e">
        <f t="shared" si="14"/>
        <v>#N/A</v>
      </c>
      <c r="AF70" s="141" t="e">
        <f t="shared" si="14"/>
        <v>#N/A</v>
      </c>
      <c r="AG70" s="141" t="e">
        <f t="shared" si="14"/>
        <v>#N/A</v>
      </c>
      <c r="AH70" s="141" t="e">
        <f t="shared" si="14"/>
        <v>#N/A</v>
      </c>
      <c r="AI70" s="141" t="e">
        <f t="shared" si="14"/>
        <v>#N/A</v>
      </c>
      <c r="AJ70" s="141" t="e">
        <f t="shared" si="14"/>
        <v>#N/A</v>
      </c>
      <c r="AK70" s="141" t="e">
        <f t="shared" si="14"/>
        <v>#N/A</v>
      </c>
      <c r="AL70" s="141" t="e">
        <f t="shared" si="14"/>
        <v>#N/A</v>
      </c>
      <c r="AM70" s="141" t="e">
        <f t="shared" si="14"/>
        <v>#N/A</v>
      </c>
    </row>
    <row r="71" spans="2:39" x14ac:dyDescent="0.25">
      <c r="C71" s="56" t="s">
        <v>27</v>
      </c>
      <c r="D71" s="76" t="s">
        <v>167</v>
      </c>
      <c r="E71" s="134" t="e">
        <f t="shared" si="13"/>
        <v>#N/A</v>
      </c>
      <c r="F71" s="134" t="e">
        <f t="shared" si="13"/>
        <v>#N/A</v>
      </c>
      <c r="G71" s="134" t="e">
        <f t="shared" si="14"/>
        <v>#N/A</v>
      </c>
      <c r="H71" s="134" t="e">
        <f t="shared" si="14"/>
        <v>#N/A</v>
      </c>
      <c r="I71" s="134" t="e">
        <f t="shared" si="14"/>
        <v>#N/A</v>
      </c>
      <c r="J71" s="133" t="e">
        <f t="shared" si="14"/>
        <v>#N/A</v>
      </c>
      <c r="K71" s="90" t="e">
        <f t="shared" si="14"/>
        <v>#N/A</v>
      </c>
      <c r="L71" s="90" t="e">
        <f t="shared" si="14"/>
        <v>#N/A</v>
      </c>
      <c r="M71" s="90" t="e">
        <f t="shared" si="14"/>
        <v>#N/A</v>
      </c>
      <c r="N71" s="134" t="e">
        <f t="shared" si="14"/>
        <v>#N/A</v>
      </c>
      <c r="O71" s="133" t="e">
        <f t="shared" si="14"/>
        <v>#N/A</v>
      </c>
      <c r="P71" s="90" t="e">
        <f t="shared" si="14"/>
        <v>#N/A</v>
      </c>
      <c r="Q71" s="90" t="e">
        <f t="shared" si="14"/>
        <v>#N/A</v>
      </c>
      <c r="R71" s="90" t="e">
        <f t="shared" si="14"/>
        <v>#N/A</v>
      </c>
      <c r="S71" s="134" t="e">
        <f t="shared" si="14"/>
        <v>#N/A</v>
      </c>
      <c r="T71" s="134" t="e">
        <f t="shared" si="14"/>
        <v>#N/A</v>
      </c>
      <c r="U71" s="134" t="e">
        <f t="shared" si="14"/>
        <v>#N/A</v>
      </c>
      <c r="V71" s="134" t="e">
        <f t="shared" si="14"/>
        <v>#N/A</v>
      </c>
      <c r="W71" s="134" t="e">
        <f t="shared" si="14"/>
        <v>#N/A</v>
      </c>
      <c r="X71" s="139" t="e">
        <f t="shared" si="14"/>
        <v>#N/A</v>
      </c>
      <c r="Y71" s="139" t="e">
        <f t="shared" si="14"/>
        <v>#N/A</v>
      </c>
      <c r="Z71" s="139" t="e">
        <f t="shared" si="14"/>
        <v>#N/A</v>
      </c>
      <c r="AA71" s="139" t="e">
        <f t="shared" si="14"/>
        <v>#N/A</v>
      </c>
      <c r="AB71" s="139" t="e">
        <f t="shared" si="14"/>
        <v>#N/A</v>
      </c>
      <c r="AC71" s="139" t="e">
        <f t="shared" si="14"/>
        <v>#N/A</v>
      </c>
      <c r="AD71" s="139" t="e">
        <f t="shared" si="14"/>
        <v>#N/A</v>
      </c>
      <c r="AE71" s="139" t="e">
        <f t="shared" si="14"/>
        <v>#N/A</v>
      </c>
      <c r="AF71" s="139" t="e">
        <f t="shared" si="14"/>
        <v>#N/A</v>
      </c>
      <c r="AG71" s="139" t="e">
        <f t="shared" si="14"/>
        <v>#N/A</v>
      </c>
      <c r="AH71" s="139" t="e">
        <f t="shared" si="14"/>
        <v>#N/A</v>
      </c>
      <c r="AI71" s="139" t="e">
        <f t="shared" si="14"/>
        <v>#N/A</v>
      </c>
      <c r="AJ71" s="139" t="e">
        <f t="shared" si="14"/>
        <v>#N/A</v>
      </c>
      <c r="AK71" s="139" t="e">
        <f t="shared" si="14"/>
        <v>#N/A</v>
      </c>
      <c r="AL71" s="139" t="e">
        <f t="shared" si="14"/>
        <v>#N/A</v>
      </c>
      <c r="AM71" s="139" t="e">
        <f t="shared" si="14"/>
        <v>#N/A</v>
      </c>
    </row>
    <row r="72" spans="2:39" x14ac:dyDescent="0.25">
      <c r="C72" s="56" t="s">
        <v>28</v>
      </c>
      <c r="D72" s="76" t="s">
        <v>168</v>
      </c>
      <c r="E72" s="134" t="e">
        <f t="shared" si="13"/>
        <v>#N/A</v>
      </c>
      <c r="F72" s="134" t="e">
        <f t="shared" si="13"/>
        <v>#N/A</v>
      </c>
      <c r="G72" s="134" t="e">
        <f t="shared" si="14"/>
        <v>#N/A</v>
      </c>
      <c r="H72" s="134" t="e">
        <f t="shared" si="14"/>
        <v>#N/A</v>
      </c>
      <c r="I72" s="134" t="e">
        <f t="shared" si="14"/>
        <v>#N/A</v>
      </c>
      <c r="J72" s="133" t="e">
        <f t="shared" si="14"/>
        <v>#N/A</v>
      </c>
      <c r="K72" s="90" t="e">
        <f t="shared" si="14"/>
        <v>#N/A</v>
      </c>
      <c r="L72" s="90" t="e">
        <f t="shared" si="14"/>
        <v>#N/A</v>
      </c>
      <c r="M72" s="90" t="e">
        <f t="shared" si="14"/>
        <v>#N/A</v>
      </c>
      <c r="N72" s="134" t="e">
        <f t="shared" si="14"/>
        <v>#N/A</v>
      </c>
      <c r="O72" s="133" t="e">
        <f t="shared" si="14"/>
        <v>#N/A</v>
      </c>
      <c r="P72" s="90" t="e">
        <f t="shared" si="14"/>
        <v>#N/A</v>
      </c>
      <c r="Q72" s="90" t="e">
        <f t="shared" si="14"/>
        <v>#N/A</v>
      </c>
      <c r="R72" s="90" t="e">
        <f t="shared" si="14"/>
        <v>#N/A</v>
      </c>
      <c r="S72" s="134" t="e">
        <f t="shared" si="14"/>
        <v>#N/A</v>
      </c>
      <c r="T72" s="134" t="e">
        <f t="shared" si="14"/>
        <v>#N/A</v>
      </c>
      <c r="U72" s="134" t="e">
        <f t="shared" si="14"/>
        <v>#N/A</v>
      </c>
      <c r="V72" s="134" t="e">
        <f t="shared" si="14"/>
        <v>#N/A</v>
      </c>
      <c r="W72" s="134" t="e">
        <f t="shared" si="14"/>
        <v>#N/A</v>
      </c>
      <c r="X72" s="139" t="e">
        <f t="shared" si="14"/>
        <v>#N/A</v>
      </c>
      <c r="Y72" s="139" t="e">
        <f t="shared" si="14"/>
        <v>#N/A</v>
      </c>
      <c r="Z72" s="139" t="e">
        <f t="shared" si="14"/>
        <v>#N/A</v>
      </c>
      <c r="AA72" s="139" t="e">
        <f t="shared" si="14"/>
        <v>#N/A</v>
      </c>
      <c r="AB72" s="139" t="e">
        <f t="shared" si="14"/>
        <v>#N/A</v>
      </c>
      <c r="AC72" s="139" t="e">
        <f t="shared" si="14"/>
        <v>#N/A</v>
      </c>
      <c r="AD72" s="139" t="e">
        <f t="shared" si="14"/>
        <v>#N/A</v>
      </c>
      <c r="AE72" s="139" t="e">
        <f t="shared" si="14"/>
        <v>#N/A</v>
      </c>
      <c r="AF72" s="139" t="e">
        <f t="shared" si="14"/>
        <v>#N/A</v>
      </c>
      <c r="AG72" s="139" t="e">
        <f t="shared" si="14"/>
        <v>#N/A</v>
      </c>
      <c r="AH72" s="139" t="e">
        <f t="shared" si="14"/>
        <v>#N/A</v>
      </c>
      <c r="AI72" s="139" t="e">
        <f t="shared" si="14"/>
        <v>#N/A</v>
      </c>
      <c r="AJ72" s="139" t="e">
        <f t="shared" si="14"/>
        <v>#N/A</v>
      </c>
      <c r="AK72" s="139" t="e">
        <f t="shared" si="14"/>
        <v>#N/A</v>
      </c>
      <c r="AL72" s="139" t="e">
        <f t="shared" si="14"/>
        <v>#N/A</v>
      </c>
      <c r="AM72" s="139" t="e">
        <f t="shared" si="14"/>
        <v>#N/A</v>
      </c>
    </row>
    <row r="73" spans="2:39" x14ac:dyDescent="0.25">
      <c r="C73" s="56" t="s">
        <v>29</v>
      </c>
      <c r="D73" s="76" t="s">
        <v>169</v>
      </c>
      <c r="E73" s="134" t="e">
        <f t="shared" si="13"/>
        <v>#N/A</v>
      </c>
      <c r="F73" s="134" t="e">
        <f t="shared" si="13"/>
        <v>#N/A</v>
      </c>
      <c r="G73" s="134" t="e">
        <f t="shared" si="14"/>
        <v>#N/A</v>
      </c>
      <c r="H73" s="134" t="e">
        <f t="shared" si="14"/>
        <v>#N/A</v>
      </c>
      <c r="I73" s="134" t="e">
        <f t="shared" si="14"/>
        <v>#N/A</v>
      </c>
      <c r="J73" s="133" t="e">
        <f t="shared" si="14"/>
        <v>#N/A</v>
      </c>
      <c r="K73" s="90" t="e">
        <f t="shared" si="14"/>
        <v>#N/A</v>
      </c>
      <c r="L73" s="90" t="e">
        <f t="shared" si="14"/>
        <v>#N/A</v>
      </c>
      <c r="M73" s="90" t="e">
        <f t="shared" si="14"/>
        <v>#N/A</v>
      </c>
      <c r="N73" s="134" t="e">
        <f t="shared" si="14"/>
        <v>#N/A</v>
      </c>
      <c r="O73" s="133" t="e">
        <f t="shared" si="14"/>
        <v>#N/A</v>
      </c>
      <c r="P73" s="90" t="e">
        <f t="shared" si="14"/>
        <v>#N/A</v>
      </c>
      <c r="Q73" s="90" t="e">
        <f t="shared" si="14"/>
        <v>#N/A</v>
      </c>
      <c r="R73" s="90" t="e">
        <f t="shared" si="14"/>
        <v>#N/A</v>
      </c>
      <c r="S73" s="134" t="e">
        <f t="shared" si="14"/>
        <v>#N/A</v>
      </c>
      <c r="T73" s="134" t="e">
        <f t="shared" si="14"/>
        <v>#N/A</v>
      </c>
      <c r="U73" s="134" t="e">
        <f t="shared" si="14"/>
        <v>#N/A</v>
      </c>
      <c r="V73" s="134" t="e">
        <f t="shared" si="14"/>
        <v>#N/A</v>
      </c>
      <c r="W73" s="134" t="e">
        <f t="shared" si="14"/>
        <v>#N/A</v>
      </c>
      <c r="X73" s="139" t="e">
        <f t="shared" si="14"/>
        <v>#N/A</v>
      </c>
      <c r="Y73" s="139" t="e">
        <f t="shared" si="14"/>
        <v>#N/A</v>
      </c>
      <c r="Z73" s="139" t="e">
        <f t="shared" si="14"/>
        <v>#N/A</v>
      </c>
      <c r="AA73" s="139" t="e">
        <f t="shared" si="14"/>
        <v>#N/A</v>
      </c>
      <c r="AB73" s="139" t="e">
        <f t="shared" si="14"/>
        <v>#N/A</v>
      </c>
      <c r="AC73" s="139" t="e">
        <f t="shared" si="14"/>
        <v>#N/A</v>
      </c>
      <c r="AD73" s="139" t="e">
        <f t="shared" si="14"/>
        <v>#N/A</v>
      </c>
      <c r="AE73" s="139" t="e">
        <f t="shared" si="14"/>
        <v>#N/A</v>
      </c>
      <c r="AF73" s="139" t="e">
        <f t="shared" si="14"/>
        <v>#N/A</v>
      </c>
      <c r="AG73" s="139" t="e">
        <f t="shared" si="14"/>
        <v>#N/A</v>
      </c>
      <c r="AH73" s="139" t="e">
        <f t="shared" si="14"/>
        <v>#N/A</v>
      </c>
      <c r="AI73" s="139" t="e">
        <f t="shared" si="14"/>
        <v>#N/A</v>
      </c>
      <c r="AJ73" s="139" t="e">
        <f t="shared" si="14"/>
        <v>#N/A</v>
      </c>
      <c r="AK73" s="139" t="e">
        <f t="shared" si="14"/>
        <v>#N/A</v>
      </c>
      <c r="AL73" s="139" t="e">
        <f t="shared" si="14"/>
        <v>#N/A</v>
      </c>
      <c r="AM73" s="139" t="e">
        <f t="shared" si="14"/>
        <v>#N/A</v>
      </c>
    </row>
    <row r="74" spans="2:39" x14ac:dyDescent="0.25">
      <c r="C74" s="56" t="s">
        <v>30</v>
      </c>
      <c r="D74" s="76" t="s">
        <v>170</v>
      </c>
      <c r="E74" s="134" t="e">
        <f t="shared" si="13"/>
        <v>#N/A</v>
      </c>
      <c r="F74" s="134" t="e">
        <f t="shared" si="13"/>
        <v>#N/A</v>
      </c>
      <c r="G74" s="134" t="e">
        <f t="shared" si="14"/>
        <v>#N/A</v>
      </c>
      <c r="H74" s="134" t="e">
        <f t="shared" si="14"/>
        <v>#N/A</v>
      </c>
      <c r="I74" s="134" t="e">
        <f t="shared" si="14"/>
        <v>#N/A</v>
      </c>
      <c r="J74" s="133" t="e">
        <f t="shared" si="14"/>
        <v>#N/A</v>
      </c>
      <c r="K74" s="90" t="e">
        <f t="shared" si="14"/>
        <v>#N/A</v>
      </c>
      <c r="L74" s="90" t="e">
        <f t="shared" si="14"/>
        <v>#N/A</v>
      </c>
      <c r="M74" s="90" t="e">
        <f t="shared" si="14"/>
        <v>#N/A</v>
      </c>
      <c r="N74" s="134" t="e">
        <f t="shared" si="14"/>
        <v>#N/A</v>
      </c>
      <c r="O74" s="133" t="e">
        <f t="shared" si="14"/>
        <v>#N/A</v>
      </c>
      <c r="P74" s="90" t="e">
        <f t="shared" si="14"/>
        <v>#N/A</v>
      </c>
      <c r="Q74" s="90" t="e">
        <f t="shared" si="14"/>
        <v>#N/A</v>
      </c>
      <c r="R74" s="90" t="e">
        <f t="shared" si="14"/>
        <v>#N/A</v>
      </c>
      <c r="S74" s="134" t="e">
        <f t="shared" si="14"/>
        <v>#N/A</v>
      </c>
      <c r="T74" s="134" t="e">
        <f t="shared" si="14"/>
        <v>#N/A</v>
      </c>
      <c r="U74" s="134" t="e">
        <f t="shared" si="14"/>
        <v>#N/A</v>
      </c>
      <c r="V74" s="134" t="e">
        <f t="shared" si="14"/>
        <v>#N/A</v>
      </c>
      <c r="W74" s="134" t="e">
        <f t="shared" si="14"/>
        <v>#N/A</v>
      </c>
      <c r="X74" s="139" t="e">
        <f t="shared" si="14"/>
        <v>#N/A</v>
      </c>
      <c r="Y74" s="139" t="e">
        <f t="shared" si="14"/>
        <v>#N/A</v>
      </c>
      <c r="Z74" s="139" t="e">
        <f t="shared" si="14"/>
        <v>#N/A</v>
      </c>
      <c r="AA74" s="139" t="e">
        <f t="shared" si="14"/>
        <v>#N/A</v>
      </c>
      <c r="AB74" s="139" t="e">
        <f t="shared" si="14"/>
        <v>#N/A</v>
      </c>
      <c r="AC74" s="139" t="e">
        <f t="shared" si="14"/>
        <v>#N/A</v>
      </c>
      <c r="AD74" s="139" t="e">
        <f t="shared" si="14"/>
        <v>#N/A</v>
      </c>
      <c r="AE74" s="139" t="e">
        <f t="shared" si="14"/>
        <v>#N/A</v>
      </c>
      <c r="AF74" s="139" t="e">
        <f t="shared" si="14"/>
        <v>#N/A</v>
      </c>
      <c r="AG74" s="139" t="e">
        <f t="shared" si="14"/>
        <v>#N/A</v>
      </c>
      <c r="AH74" s="139" t="e">
        <f t="shared" si="14"/>
        <v>#N/A</v>
      </c>
      <c r="AI74" s="139" t="e">
        <f t="shared" si="14"/>
        <v>#N/A</v>
      </c>
      <c r="AJ74" s="139" t="e">
        <f t="shared" si="14"/>
        <v>#N/A</v>
      </c>
      <c r="AK74" s="139" t="e">
        <f t="shared" si="14"/>
        <v>#N/A</v>
      </c>
      <c r="AL74" s="139" t="e">
        <f t="shared" si="14"/>
        <v>#N/A</v>
      </c>
      <c r="AM74" s="139" t="e">
        <f t="shared" si="14"/>
        <v>#N/A</v>
      </c>
    </row>
    <row r="75" spans="2:39" x14ac:dyDescent="0.25">
      <c r="C75" s="56" t="s">
        <v>31</v>
      </c>
      <c r="D75" s="76" t="s">
        <v>171</v>
      </c>
      <c r="E75" s="134" t="e">
        <f t="shared" si="13"/>
        <v>#N/A</v>
      </c>
      <c r="F75" s="134" t="e">
        <f t="shared" si="13"/>
        <v>#N/A</v>
      </c>
      <c r="G75" s="134" t="e">
        <f t="shared" si="14"/>
        <v>#N/A</v>
      </c>
      <c r="H75" s="134" t="e">
        <f t="shared" si="14"/>
        <v>#N/A</v>
      </c>
      <c r="I75" s="134" t="e">
        <f t="shared" si="14"/>
        <v>#N/A</v>
      </c>
      <c r="J75" s="133" t="e">
        <f t="shared" si="14"/>
        <v>#N/A</v>
      </c>
      <c r="K75" s="90" t="e">
        <f t="shared" si="14"/>
        <v>#N/A</v>
      </c>
      <c r="L75" s="90" t="e">
        <f t="shared" si="14"/>
        <v>#N/A</v>
      </c>
      <c r="M75" s="90" t="e">
        <f t="shared" si="14"/>
        <v>#N/A</v>
      </c>
      <c r="N75" s="134" t="e">
        <f t="shared" si="14"/>
        <v>#N/A</v>
      </c>
      <c r="O75" s="133" t="e">
        <f t="shared" si="14"/>
        <v>#N/A</v>
      </c>
      <c r="P75" s="90" t="e">
        <f t="shared" si="14"/>
        <v>#N/A</v>
      </c>
      <c r="Q75" s="90" t="e">
        <f t="shared" si="14"/>
        <v>#N/A</v>
      </c>
      <c r="R75" s="90" t="e">
        <f t="shared" si="14"/>
        <v>#N/A</v>
      </c>
      <c r="S75" s="134" t="e">
        <f t="shared" si="14"/>
        <v>#N/A</v>
      </c>
      <c r="T75" s="134" t="e">
        <f t="shared" si="14"/>
        <v>#N/A</v>
      </c>
      <c r="U75" s="134" t="e">
        <f t="shared" si="14"/>
        <v>#N/A</v>
      </c>
      <c r="V75" s="134" t="e">
        <f t="shared" si="14"/>
        <v>#N/A</v>
      </c>
      <c r="W75" s="134" t="e">
        <f t="shared" si="14"/>
        <v>#N/A</v>
      </c>
      <c r="X75" s="139" t="e">
        <f t="shared" si="14"/>
        <v>#N/A</v>
      </c>
      <c r="Y75" s="139" t="e">
        <f t="shared" si="14"/>
        <v>#N/A</v>
      </c>
      <c r="Z75" s="139" t="e">
        <f t="shared" si="14"/>
        <v>#N/A</v>
      </c>
      <c r="AA75" s="139" t="e">
        <f t="shared" si="14"/>
        <v>#N/A</v>
      </c>
      <c r="AB75" s="139" t="e">
        <f t="shared" si="14"/>
        <v>#N/A</v>
      </c>
      <c r="AC75" s="139" t="e">
        <f t="shared" si="14"/>
        <v>#N/A</v>
      </c>
      <c r="AD75" s="139" t="e">
        <f t="shared" si="14"/>
        <v>#N/A</v>
      </c>
      <c r="AE75" s="139" t="e">
        <f t="shared" si="14"/>
        <v>#N/A</v>
      </c>
      <c r="AF75" s="139" t="e">
        <f t="shared" si="14"/>
        <v>#N/A</v>
      </c>
      <c r="AG75" s="139" t="e">
        <f t="shared" si="14"/>
        <v>#N/A</v>
      </c>
      <c r="AH75" s="139" t="e">
        <f t="shared" si="14"/>
        <v>#N/A</v>
      </c>
      <c r="AI75" s="139" t="e">
        <f t="shared" si="14"/>
        <v>#N/A</v>
      </c>
      <c r="AJ75" s="139" t="e">
        <f t="shared" si="14"/>
        <v>#N/A</v>
      </c>
      <c r="AK75" s="139" t="e">
        <f t="shared" si="14"/>
        <v>#N/A</v>
      </c>
      <c r="AL75" s="139" t="e">
        <f t="shared" si="14"/>
        <v>#N/A</v>
      </c>
      <c r="AM75" s="139" t="e">
        <f t="shared" si="14"/>
        <v>#N/A</v>
      </c>
    </row>
    <row r="76" spans="2:39" x14ac:dyDescent="0.25">
      <c r="C76" s="56" t="s">
        <v>32</v>
      </c>
      <c r="D76" s="76" t="s">
        <v>172</v>
      </c>
      <c r="E76" s="134" t="e">
        <f t="shared" si="13"/>
        <v>#N/A</v>
      </c>
      <c r="F76" s="134" t="e">
        <f t="shared" si="13"/>
        <v>#N/A</v>
      </c>
      <c r="G76" s="134" t="e">
        <f t="shared" si="14"/>
        <v>#N/A</v>
      </c>
      <c r="H76" s="134" t="e">
        <f t="shared" si="14"/>
        <v>#N/A</v>
      </c>
      <c r="I76" s="134" t="e">
        <f t="shared" si="14"/>
        <v>#N/A</v>
      </c>
      <c r="J76" s="133" t="e">
        <f t="shared" si="14"/>
        <v>#N/A</v>
      </c>
      <c r="K76" s="90" t="e">
        <f t="shared" si="14"/>
        <v>#N/A</v>
      </c>
      <c r="L76" s="90" t="e">
        <f t="shared" si="14"/>
        <v>#N/A</v>
      </c>
      <c r="M76" s="90" t="e">
        <f t="shared" si="14"/>
        <v>#N/A</v>
      </c>
      <c r="N76" s="134" t="e">
        <f t="shared" si="14"/>
        <v>#N/A</v>
      </c>
      <c r="O76" s="133" t="e">
        <f t="shared" si="14"/>
        <v>#N/A</v>
      </c>
      <c r="P76" s="90" t="e">
        <f t="shared" si="14"/>
        <v>#N/A</v>
      </c>
      <c r="Q76" s="90" t="e">
        <f t="shared" si="14"/>
        <v>#N/A</v>
      </c>
      <c r="R76" s="90" t="e">
        <f t="shared" si="14"/>
        <v>#N/A</v>
      </c>
      <c r="S76" s="134" t="e">
        <f t="shared" si="14"/>
        <v>#N/A</v>
      </c>
      <c r="T76" s="134" t="e">
        <f t="shared" si="14"/>
        <v>#N/A</v>
      </c>
      <c r="U76" s="134" t="e">
        <f t="shared" si="14"/>
        <v>#N/A</v>
      </c>
      <c r="V76" s="134" t="e">
        <f t="shared" si="14"/>
        <v>#N/A</v>
      </c>
      <c r="W76" s="134" t="e">
        <f t="shared" si="14"/>
        <v>#N/A</v>
      </c>
      <c r="X76" s="139" t="e">
        <f t="shared" si="14"/>
        <v>#N/A</v>
      </c>
      <c r="Y76" s="139" t="e">
        <f t="shared" si="14"/>
        <v>#N/A</v>
      </c>
      <c r="Z76" s="139" t="e">
        <f t="shared" si="14"/>
        <v>#N/A</v>
      </c>
      <c r="AA76" s="139" t="e">
        <f t="shared" si="14"/>
        <v>#N/A</v>
      </c>
      <c r="AB76" s="139" t="e">
        <f t="shared" si="14"/>
        <v>#N/A</v>
      </c>
      <c r="AC76" s="139" t="e">
        <f t="shared" si="14"/>
        <v>#N/A</v>
      </c>
      <c r="AD76" s="139" t="e">
        <f t="shared" si="14"/>
        <v>#N/A</v>
      </c>
      <c r="AE76" s="139" t="e">
        <f t="shared" si="14"/>
        <v>#N/A</v>
      </c>
      <c r="AF76" s="139" t="e">
        <f t="shared" si="14"/>
        <v>#N/A</v>
      </c>
      <c r="AG76" s="139" t="e">
        <f t="shared" si="14"/>
        <v>#N/A</v>
      </c>
      <c r="AH76" s="139" t="e">
        <f t="shared" si="14"/>
        <v>#N/A</v>
      </c>
      <c r="AI76" s="139" t="e">
        <f t="shared" si="14"/>
        <v>#N/A</v>
      </c>
      <c r="AJ76" s="139" t="e">
        <f t="shared" si="14"/>
        <v>#N/A</v>
      </c>
      <c r="AK76" s="139" t="e">
        <f t="shared" si="14"/>
        <v>#N/A</v>
      </c>
      <c r="AL76" s="139" t="e">
        <f t="shared" si="14"/>
        <v>#N/A</v>
      </c>
      <c r="AM76" s="139" t="e">
        <f t="shared" si="14"/>
        <v>#N/A</v>
      </c>
    </row>
    <row r="77" spans="2:39" x14ac:dyDescent="0.25">
      <c r="C77" s="56" t="s">
        <v>33</v>
      </c>
      <c r="D77" s="76" t="s">
        <v>173</v>
      </c>
      <c r="E77" s="149" t="e">
        <f t="shared" si="13"/>
        <v>#N/A</v>
      </c>
      <c r="F77" s="149" t="e">
        <f t="shared" si="13"/>
        <v>#N/A</v>
      </c>
      <c r="G77" s="149" t="e">
        <f t="shared" si="14"/>
        <v>#N/A</v>
      </c>
      <c r="H77" s="149" t="e">
        <f t="shared" si="14"/>
        <v>#N/A</v>
      </c>
      <c r="I77" s="149" t="e">
        <f t="shared" si="14"/>
        <v>#N/A</v>
      </c>
      <c r="J77" s="148" t="e">
        <f t="shared" si="14"/>
        <v>#N/A</v>
      </c>
      <c r="K77" s="91" t="e">
        <f t="shared" si="14"/>
        <v>#N/A</v>
      </c>
      <c r="L77" s="91" t="e">
        <f t="shared" si="14"/>
        <v>#N/A</v>
      </c>
      <c r="M77" s="91" t="e">
        <f t="shared" si="14"/>
        <v>#N/A</v>
      </c>
      <c r="N77" s="149" t="e">
        <f t="shared" si="14"/>
        <v>#N/A</v>
      </c>
      <c r="O77" s="148" t="e">
        <f t="shared" ref="O77:AM85" si="15">O34/O$26</f>
        <v>#N/A</v>
      </c>
      <c r="P77" s="91" t="e">
        <f t="shared" si="15"/>
        <v>#N/A</v>
      </c>
      <c r="Q77" s="91" t="e">
        <f t="shared" si="15"/>
        <v>#N/A</v>
      </c>
      <c r="R77" s="91" t="e">
        <f t="shared" si="15"/>
        <v>#N/A</v>
      </c>
      <c r="S77" s="149" t="e">
        <f t="shared" si="15"/>
        <v>#N/A</v>
      </c>
      <c r="T77" s="149" t="e">
        <f t="shared" si="15"/>
        <v>#N/A</v>
      </c>
      <c r="U77" s="149" t="e">
        <f t="shared" si="15"/>
        <v>#N/A</v>
      </c>
      <c r="V77" s="149" t="e">
        <f t="shared" si="15"/>
        <v>#N/A</v>
      </c>
      <c r="W77" s="149" t="e">
        <f t="shared" si="15"/>
        <v>#N/A</v>
      </c>
      <c r="X77" s="142" t="e">
        <f t="shared" si="15"/>
        <v>#N/A</v>
      </c>
      <c r="Y77" s="142" t="e">
        <f t="shared" si="15"/>
        <v>#N/A</v>
      </c>
      <c r="Z77" s="142" t="e">
        <f t="shared" si="15"/>
        <v>#N/A</v>
      </c>
      <c r="AA77" s="142" t="e">
        <f t="shared" si="15"/>
        <v>#N/A</v>
      </c>
      <c r="AB77" s="142" t="e">
        <f t="shared" si="15"/>
        <v>#N/A</v>
      </c>
      <c r="AC77" s="142" t="e">
        <f t="shared" si="15"/>
        <v>#N/A</v>
      </c>
      <c r="AD77" s="142" t="e">
        <f t="shared" si="15"/>
        <v>#N/A</v>
      </c>
      <c r="AE77" s="142" t="e">
        <f t="shared" si="15"/>
        <v>#N/A</v>
      </c>
      <c r="AF77" s="142" t="e">
        <f t="shared" si="15"/>
        <v>#N/A</v>
      </c>
      <c r="AG77" s="142" t="e">
        <f t="shared" si="15"/>
        <v>#N/A</v>
      </c>
      <c r="AH77" s="142" t="e">
        <f t="shared" si="15"/>
        <v>#N/A</v>
      </c>
      <c r="AI77" s="142" t="e">
        <f t="shared" si="15"/>
        <v>#N/A</v>
      </c>
      <c r="AJ77" s="142" t="e">
        <f t="shared" si="15"/>
        <v>#N/A</v>
      </c>
      <c r="AK77" s="142" t="e">
        <f t="shared" si="15"/>
        <v>#N/A</v>
      </c>
      <c r="AL77" s="142" t="e">
        <f t="shared" si="15"/>
        <v>#N/A</v>
      </c>
      <c r="AM77" s="142" t="e">
        <f t="shared" si="15"/>
        <v>#N/A</v>
      </c>
    </row>
    <row r="78" spans="2:39" x14ac:dyDescent="0.25">
      <c r="C78" s="74" t="s">
        <v>95</v>
      </c>
      <c r="D78" s="74" t="s">
        <v>174</v>
      </c>
      <c r="E78" s="147" t="e">
        <f t="shared" ref="E78:F78" si="16">E35/E$26</f>
        <v>#N/A</v>
      </c>
      <c r="F78" s="147" t="e">
        <f t="shared" si="16"/>
        <v>#N/A</v>
      </c>
      <c r="G78" s="147" t="e">
        <f t="shared" ref="G78:S85" si="17">G35/G$26</f>
        <v>#N/A</v>
      </c>
      <c r="H78" s="147" t="e">
        <f t="shared" si="17"/>
        <v>#N/A</v>
      </c>
      <c r="I78" s="147" t="e">
        <f t="shared" si="17"/>
        <v>#N/A</v>
      </c>
      <c r="J78" s="146" t="e">
        <f t="shared" si="17"/>
        <v>#N/A</v>
      </c>
      <c r="K78" s="89" t="e">
        <f t="shared" si="17"/>
        <v>#N/A</v>
      </c>
      <c r="L78" s="89" t="e">
        <f t="shared" si="17"/>
        <v>#N/A</v>
      </c>
      <c r="M78" s="89" t="e">
        <f t="shared" si="17"/>
        <v>#N/A</v>
      </c>
      <c r="N78" s="147" t="e">
        <f t="shared" si="17"/>
        <v>#N/A</v>
      </c>
      <c r="O78" s="146" t="e">
        <f t="shared" si="17"/>
        <v>#N/A</v>
      </c>
      <c r="P78" s="89" t="e">
        <f t="shared" si="17"/>
        <v>#N/A</v>
      </c>
      <c r="Q78" s="89" t="e">
        <f t="shared" si="17"/>
        <v>#N/A</v>
      </c>
      <c r="R78" s="89" t="e">
        <f t="shared" si="17"/>
        <v>#N/A</v>
      </c>
      <c r="S78" s="147" t="e">
        <f t="shared" si="17"/>
        <v>#N/A</v>
      </c>
      <c r="T78" s="147" t="e">
        <f t="shared" si="15"/>
        <v>#N/A</v>
      </c>
      <c r="U78" s="147" t="e">
        <f t="shared" si="15"/>
        <v>#N/A</v>
      </c>
      <c r="V78" s="147" t="e">
        <f t="shared" si="15"/>
        <v>#N/A</v>
      </c>
      <c r="W78" s="147" t="e">
        <f t="shared" si="15"/>
        <v>#N/A</v>
      </c>
      <c r="X78" s="141" t="e">
        <f t="shared" si="15"/>
        <v>#N/A</v>
      </c>
      <c r="Y78" s="141" t="e">
        <f t="shared" si="15"/>
        <v>#N/A</v>
      </c>
      <c r="Z78" s="141" t="e">
        <f t="shared" si="15"/>
        <v>#N/A</v>
      </c>
      <c r="AA78" s="141" t="e">
        <f t="shared" si="15"/>
        <v>#N/A</v>
      </c>
      <c r="AB78" s="141" t="e">
        <f t="shared" si="15"/>
        <v>#N/A</v>
      </c>
      <c r="AC78" s="141" t="e">
        <f t="shared" si="15"/>
        <v>#N/A</v>
      </c>
      <c r="AD78" s="141" t="e">
        <f t="shared" si="15"/>
        <v>#N/A</v>
      </c>
      <c r="AE78" s="141" t="e">
        <f t="shared" si="15"/>
        <v>#N/A</v>
      </c>
      <c r="AF78" s="141" t="e">
        <f t="shared" si="15"/>
        <v>#N/A</v>
      </c>
      <c r="AG78" s="141" t="e">
        <f t="shared" si="15"/>
        <v>#N/A</v>
      </c>
      <c r="AH78" s="141" t="e">
        <f t="shared" si="15"/>
        <v>#N/A</v>
      </c>
      <c r="AI78" s="141" t="e">
        <f t="shared" si="15"/>
        <v>#N/A</v>
      </c>
      <c r="AJ78" s="141" t="e">
        <f t="shared" si="15"/>
        <v>#N/A</v>
      </c>
      <c r="AK78" s="141" t="e">
        <f t="shared" si="15"/>
        <v>#N/A</v>
      </c>
      <c r="AL78" s="141" t="e">
        <f t="shared" si="15"/>
        <v>#N/A</v>
      </c>
      <c r="AM78" s="141" t="e">
        <f t="shared" si="15"/>
        <v>#N/A</v>
      </c>
    </row>
    <row r="79" spans="2:39" x14ac:dyDescent="0.25">
      <c r="C79" s="56" t="s">
        <v>27</v>
      </c>
      <c r="D79" s="3" t="s">
        <v>175</v>
      </c>
      <c r="E79" s="134" t="e">
        <f t="shared" ref="E79:F79" si="18">E36/E$26</f>
        <v>#N/A</v>
      </c>
      <c r="F79" s="134" t="e">
        <f t="shared" si="18"/>
        <v>#N/A</v>
      </c>
      <c r="G79" s="134" t="e">
        <f t="shared" si="17"/>
        <v>#N/A</v>
      </c>
      <c r="H79" s="134" t="e">
        <f t="shared" si="17"/>
        <v>#N/A</v>
      </c>
      <c r="I79" s="134" t="e">
        <f t="shared" si="17"/>
        <v>#N/A</v>
      </c>
      <c r="J79" s="133" t="e">
        <f t="shared" si="17"/>
        <v>#N/A</v>
      </c>
      <c r="K79" s="90" t="e">
        <f t="shared" si="17"/>
        <v>#N/A</v>
      </c>
      <c r="L79" s="90" t="e">
        <f t="shared" si="17"/>
        <v>#N/A</v>
      </c>
      <c r="M79" s="90" t="e">
        <f t="shared" si="17"/>
        <v>#N/A</v>
      </c>
      <c r="N79" s="134" t="e">
        <f t="shared" si="17"/>
        <v>#N/A</v>
      </c>
      <c r="O79" s="133" t="e">
        <f t="shared" si="17"/>
        <v>#N/A</v>
      </c>
      <c r="P79" s="90" t="e">
        <f t="shared" si="17"/>
        <v>#N/A</v>
      </c>
      <c r="Q79" s="90" t="e">
        <f t="shared" si="17"/>
        <v>#N/A</v>
      </c>
      <c r="R79" s="90" t="e">
        <f t="shared" si="17"/>
        <v>#N/A</v>
      </c>
      <c r="S79" s="134" t="e">
        <f t="shared" si="17"/>
        <v>#N/A</v>
      </c>
      <c r="T79" s="134" t="e">
        <f t="shared" si="15"/>
        <v>#N/A</v>
      </c>
      <c r="U79" s="134" t="e">
        <f t="shared" si="15"/>
        <v>#N/A</v>
      </c>
      <c r="V79" s="134" t="e">
        <f t="shared" si="15"/>
        <v>#N/A</v>
      </c>
      <c r="W79" s="134" t="e">
        <f t="shared" si="15"/>
        <v>#N/A</v>
      </c>
      <c r="X79" s="139" t="e">
        <f t="shared" si="15"/>
        <v>#N/A</v>
      </c>
      <c r="Y79" s="139" t="e">
        <f t="shared" si="15"/>
        <v>#N/A</v>
      </c>
      <c r="Z79" s="139" t="e">
        <f t="shared" si="15"/>
        <v>#N/A</v>
      </c>
      <c r="AA79" s="139" t="e">
        <f t="shared" si="15"/>
        <v>#N/A</v>
      </c>
      <c r="AB79" s="139" t="e">
        <f t="shared" si="15"/>
        <v>#N/A</v>
      </c>
      <c r="AC79" s="139" t="e">
        <f t="shared" si="15"/>
        <v>#N/A</v>
      </c>
      <c r="AD79" s="139" t="e">
        <f t="shared" si="15"/>
        <v>#N/A</v>
      </c>
      <c r="AE79" s="139" t="e">
        <f t="shared" si="15"/>
        <v>#N/A</v>
      </c>
      <c r="AF79" s="139" t="e">
        <f t="shared" si="15"/>
        <v>#N/A</v>
      </c>
      <c r="AG79" s="139" t="e">
        <f t="shared" si="15"/>
        <v>#N/A</v>
      </c>
      <c r="AH79" s="139" t="e">
        <f t="shared" si="15"/>
        <v>#N/A</v>
      </c>
      <c r="AI79" s="139" t="e">
        <f t="shared" si="15"/>
        <v>#N/A</v>
      </c>
      <c r="AJ79" s="139" t="e">
        <f t="shared" si="15"/>
        <v>#N/A</v>
      </c>
      <c r="AK79" s="139" t="e">
        <f t="shared" si="15"/>
        <v>#N/A</v>
      </c>
      <c r="AL79" s="139" t="e">
        <f t="shared" si="15"/>
        <v>#N/A</v>
      </c>
      <c r="AM79" s="139" t="e">
        <f t="shared" si="15"/>
        <v>#N/A</v>
      </c>
    </row>
    <row r="80" spans="2:39" x14ac:dyDescent="0.25">
      <c r="C80" s="56" t="s">
        <v>28</v>
      </c>
      <c r="D80" s="3" t="s">
        <v>176</v>
      </c>
      <c r="E80" s="134" t="e">
        <f t="shared" ref="E80:F80" si="19">E37/E$26</f>
        <v>#N/A</v>
      </c>
      <c r="F80" s="134" t="e">
        <f t="shared" si="19"/>
        <v>#N/A</v>
      </c>
      <c r="G80" s="134" t="e">
        <f t="shared" si="17"/>
        <v>#N/A</v>
      </c>
      <c r="H80" s="134" t="e">
        <f t="shared" si="17"/>
        <v>#N/A</v>
      </c>
      <c r="I80" s="134" t="e">
        <f t="shared" si="17"/>
        <v>#N/A</v>
      </c>
      <c r="J80" s="133" t="e">
        <f t="shared" si="17"/>
        <v>#N/A</v>
      </c>
      <c r="K80" s="90" t="e">
        <f t="shared" si="17"/>
        <v>#N/A</v>
      </c>
      <c r="L80" s="90" t="e">
        <f t="shared" si="17"/>
        <v>#N/A</v>
      </c>
      <c r="M80" s="90" t="e">
        <f t="shared" si="17"/>
        <v>#N/A</v>
      </c>
      <c r="N80" s="134" t="e">
        <f t="shared" si="17"/>
        <v>#N/A</v>
      </c>
      <c r="O80" s="133" t="e">
        <f t="shared" si="17"/>
        <v>#N/A</v>
      </c>
      <c r="P80" s="90" t="e">
        <f t="shared" si="17"/>
        <v>#N/A</v>
      </c>
      <c r="Q80" s="90" t="e">
        <f t="shared" si="17"/>
        <v>#N/A</v>
      </c>
      <c r="R80" s="90" t="e">
        <f t="shared" si="17"/>
        <v>#N/A</v>
      </c>
      <c r="S80" s="134" t="e">
        <f t="shared" si="17"/>
        <v>#N/A</v>
      </c>
      <c r="T80" s="134" t="e">
        <f t="shared" si="15"/>
        <v>#N/A</v>
      </c>
      <c r="U80" s="134" t="e">
        <f t="shared" si="15"/>
        <v>#N/A</v>
      </c>
      <c r="V80" s="134" t="e">
        <f t="shared" si="15"/>
        <v>#N/A</v>
      </c>
      <c r="W80" s="134" t="e">
        <f t="shared" si="15"/>
        <v>#N/A</v>
      </c>
      <c r="X80" s="139" t="e">
        <f t="shared" si="15"/>
        <v>#N/A</v>
      </c>
      <c r="Y80" s="139" t="e">
        <f t="shared" si="15"/>
        <v>#N/A</v>
      </c>
      <c r="Z80" s="139" t="e">
        <f t="shared" si="15"/>
        <v>#N/A</v>
      </c>
      <c r="AA80" s="139" t="e">
        <f t="shared" si="15"/>
        <v>#N/A</v>
      </c>
      <c r="AB80" s="139" t="e">
        <f t="shared" si="15"/>
        <v>#N/A</v>
      </c>
      <c r="AC80" s="139" t="e">
        <f t="shared" si="15"/>
        <v>#N/A</v>
      </c>
      <c r="AD80" s="139" t="e">
        <f t="shared" si="15"/>
        <v>#N/A</v>
      </c>
      <c r="AE80" s="139" t="e">
        <f t="shared" si="15"/>
        <v>#N/A</v>
      </c>
      <c r="AF80" s="139" t="e">
        <f t="shared" si="15"/>
        <v>#N/A</v>
      </c>
      <c r="AG80" s="139" t="e">
        <f t="shared" si="15"/>
        <v>#N/A</v>
      </c>
      <c r="AH80" s="139" t="e">
        <f t="shared" si="15"/>
        <v>#N/A</v>
      </c>
      <c r="AI80" s="139" t="e">
        <f t="shared" si="15"/>
        <v>#N/A</v>
      </c>
      <c r="AJ80" s="139" t="e">
        <f t="shared" si="15"/>
        <v>#N/A</v>
      </c>
      <c r="AK80" s="139" t="e">
        <f t="shared" si="15"/>
        <v>#N/A</v>
      </c>
      <c r="AL80" s="139" t="e">
        <f t="shared" si="15"/>
        <v>#N/A</v>
      </c>
      <c r="AM80" s="139" t="e">
        <f t="shared" si="15"/>
        <v>#N/A</v>
      </c>
    </row>
    <row r="81" spans="2:39" x14ac:dyDescent="0.25">
      <c r="C81" s="56" t="s">
        <v>29</v>
      </c>
      <c r="D81" s="3" t="s">
        <v>177</v>
      </c>
      <c r="E81" s="134" t="e">
        <f t="shared" ref="E81:F81" si="20">E38/E$26</f>
        <v>#N/A</v>
      </c>
      <c r="F81" s="134" t="e">
        <f t="shared" si="20"/>
        <v>#N/A</v>
      </c>
      <c r="G81" s="134" t="e">
        <f t="shared" si="17"/>
        <v>#N/A</v>
      </c>
      <c r="H81" s="134" t="e">
        <f t="shared" si="17"/>
        <v>#N/A</v>
      </c>
      <c r="I81" s="134" t="e">
        <f t="shared" si="17"/>
        <v>#N/A</v>
      </c>
      <c r="J81" s="133" t="e">
        <f t="shared" si="17"/>
        <v>#N/A</v>
      </c>
      <c r="K81" s="90" t="e">
        <f t="shared" si="17"/>
        <v>#N/A</v>
      </c>
      <c r="L81" s="90" t="e">
        <f t="shared" si="17"/>
        <v>#N/A</v>
      </c>
      <c r="M81" s="90" t="e">
        <f t="shared" si="17"/>
        <v>#N/A</v>
      </c>
      <c r="N81" s="134" t="e">
        <f t="shared" si="17"/>
        <v>#N/A</v>
      </c>
      <c r="O81" s="133" t="e">
        <f t="shared" si="17"/>
        <v>#N/A</v>
      </c>
      <c r="P81" s="90" t="e">
        <f t="shared" si="17"/>
        <v>#N/A</v>
      </c>
      <c r="Q81" s="90" t="e">
        <f t="shared" si="17"/>
        <v>#N/A</v>
      </c>
      <c r="R81" s="90" t="e">
        <f t="shared" si="17"/>
        <v>#N/A</v>
      </c>
      <c r="S81" s="134" t="e">
        <f t="shared" si="17"/>
        <v>#N/A</v>
      </c>
      <c r="T81" s="134" t="e">
        <f t="shared" si="15"/>
        <v>#N/A</v>
      </c>
      <c r="U81" s="134" t="e">
        <f t="shared" si="15"/>
        <v>#N/A</v>
      </c>
      <c r="V81" s="134" t="e">
        <f t="shared" si="15"/>
        <v>#N/A</v>
      </c>
      <c r="W81" s="134" t="e">
        <f t="shared" si="15"/>
        <v>#N/A</v>
      </c>
      <c r="X81" s="139" t="e">
        <f t="shared" si="15"/>
        <v>#N/A</v>
      </c>
      <c r="Y81" s="139" t="e">
        <f t="shared" si="15"/>
        <v>#N/A</v>
      </c>
      <c r="Z81" s="139" t="e">
        <f t="shared" si="15"/>
        <v>#N/A</v>
      </c>
      <c r="AA81" s="139" t="e">
        <f t="shared" si="15"/>
        <v>#N/A</v>
      </c>
      <c r="AB81" s="139" t="e">
        <f t="shared" si="15"/>
        <v>#N/A</v>
      </c>
      <c r="AC81" s="139" t="e">
        <f t="shared" si="15"/>
        <v>#N/A</v>
      </c>
      <c r="AD81" s="139" t="e">
        <f t="shared" si="15"/>
        <v>#N/A</v>
      </c>
      <c r="AE81" s="139" t="e">
        <f t="shared" si="15"/>
        <v>#N/A</v>
      </c>
      <c r="AF81" s="139" t="e">
        <f t="shared" si="15"/>
        <v>#N/A</v>
      </c>
      <c r="AG81" s="139" t="e">
        <f t="shared" si="15"/>
        <v>#N/A</v>
      </c>
      <c r="AH81" s="139" t="e">
        <f t="shared" si="15"/>
        <v>#N/A</v>
      </c>
      <c r="AI81" s="139" t="e">
        <f t="shared" si="15"/>
        <v>#N/A</v>
      </c>
      <c r="AJ81" s="139" t="e">
        <f t="shared" si="15"/>
        <v>#N/A</v>
      </c>
      <c r="AK81" s="139" t="e">
        <f t="shared" si="15"/>
        <v>#N/A</v>
      </c>
      <c r="AL81" s="139" t="e">
        <f t="shared" si="15"/>
        <v>#N/A</v>
      </c>
      <c r="AM81" s="139" t="e">
        <f t="shared" si="15"/>
        <v>#N/A</v>
      </c>
    </row>
    <row r="82" spans="2:39" x14ac:dyDescent="0.25">
      <c r="C82" s="56" t="s">
        <v>30</v>
      </c>
      <c r="D82" s="3" t="s">
        <v>178</v>
      </c>
      <c r="E82" s="134" t="e">
        <f t="shared" ref="E82:F82" si="21">E39/E$26</f>
        <v>#N/A</v>
      </c>
      <c r="F82" s="134" t="e">
        <f t="shared" si="21"/>
        <v>#N/A</v>
      </c>
      <c r="G82" s="134" t="e">
        <f t="shared" si="17"/>
        <v>#N/A</v>
      </c>
      <c r="H82" s="134" t="e">
        <f t="shared" si="17"/>
        <v>#N/A</v>
      </c>
      <c r="I82" s="134" t="e">
        <f t="shared" si="17"/>
        <v>#N/A</v>
      </c>
      <c r="J82" s="133" t="e">
        <f t="shared" si="17"/>
        <v>#N/A</v>
      </c>
      <c r="K82" s="90" t="e">
        <f t="shared" si="17"/>
        <v>#N/A</v>
      </c>
      <c r="L82" s="90" t="e">
        <f t="shared" si="17"/>
        <v>#N/A</v>
      </c>
      <c r="M82" s="90" t="e">
        <f t="shared" si="17"/>
        <v>#N/A</v>
      </c>
      <c r="N82" s="134" t="e">
        <f t="shared" si="17"/>
        <v>#N/A</v>
      </c>
      <c r="O82" s="133" t="e">
        <f t="shared" si="17"/>
        <v>#N/A</v>
      </c>
      <c r="P82" s="90" t="e">
        <f t="shared" si="17"/>
        <v>#N/A</v>
      </c>
      <c r="Q82" s="90" t="e">
        <f t="shared" si="17"/>
        <v>#N/A</v>
      </c>
      <c r="R82" s="90" t="e">
        <f t="shared" si="17"/>
        <v>#N/A</v>
      </c>
      <c r="S82" s="134" t="e">
        <f t="shared" si="17"/>
        <v>#N/A</v>
      </c>
      <c r="T82" s="134" t="e">
        <f t="shared" si="15"/>
        <v>#N/A</v>
      </c>
      <c r="U82" s="134" t="e">
        <f t="shared" si="15"/>
        <v>#N/A</v>
      </c>
      <c r="V82" s="134" t="e">
        <f t="shared" si="15"/>
        <v>#N/A</v>
      </c>
      <c r="W82" s="134" t="e">
        <f t="shared" si="15"/>
        <v>#N/A</v>
      </c>
      <c r="X82" s="139" t="e">
        <f t="shared" si="15"/>
        <v>#N/A</v>
      </c>
      <c r="Y82" s="139" t="e">
        <f t="shared" si="15"/>
        <v>#N/A</v>
      </c>
      <c r="Z82" s="139" t="e">
        <f t="shared" si="15"/>
        <v>#N/A</v>
      </c>
      <c r="AA82" s="139" t="e">
        <f t="shared" si="15"/>
        <v>#N/A</v>
      </c>
      <c r="AB82" s="139" t="e">
        <f t="shared" si="15"/>
        <v>#N/A</v>
      </c>
      <c r="AC82" s="139" t="e">
        <f t="shared" si="15"/>
        <v>#N/A</v>
      </c>
      <c r="AD82" s="139" t="e">
        <f t="shared" si="15"/>
        <v>#N/A</v>
      </c>
      <c r="AE82" s="139" t="e">
        <f t="shared" si="15"/>
        <v>#N/A</v>
      </c>
      <c r="AF82" s="139" t="e">
        <f t="shared" si="15"/>
        <v>#N/A</v>
      </c>
      <c r="AG82" s="139" t="e">
        <f t="shared" si="15"/>
        <v>#N/A</v>
      </c>
      <c r="AH82" s="139" t="e">
        <f t="shared" si="15"/>
        <v>#N/A</v>
      </c>
      <c r="AI82" s="139" t="e">
        <f t="shared" si="15"/>
        <v>#N/A</v>
      </c>
      <c r="AJ82" s="139" t="e">
        <f t="shared" si="15"/>
        <v>#N/A</v>
      </c>
      <c r="AK82" s="139" t="e">
        <f t="shared" si="15"/>
        <v>#N/A</v>
      </c>
      <c r="AL82" s="139" t="e">
        <f t="shared" si="15"/>
        <v>#N/A</v>
      </c>
      <c r="AM82" s="139" t="e">
        <f t="shared" si="15"/>
        <v>#N/A</v>
      </c>
    </row>
    <row r="83" spans="2:39" x14ac:dyDescent="0.25">
      <c r="C83" s="56" t="s">
        <v>31</v>
      </c>
      <c r="D83" s="3" t="s">
        <v>179</v>
      </c>
      <c r="E83" s="134" t="e">
        <f t="shared" ref="E83:F83" si="22">E40/E$26</f>
        <v>#N/A</v>
      </c>
      <c r="F83" s="134" t="e">
        <f t="shared" si="22"/>
        <v>#N/A</v>
      </c>
      <c r="G83" s="134" t="e">
        <f t="shared" si="17"/>
        <v>#N/A</v>
      </c>
      <c r="H83" s="134" t="e">
        <f t="shared" si="17"/>
        <v>#N/A</v>
      </c>
      <c r="I83" s="134" t="e">
        <f t="shared" si="17"/>
        <v>#N/A</v>
      </c>
      <c r="J83" s="133" t="e">
        <f t="shared" si="17"/>
        <v>#N/A</v>
      </c>
      <c r="K83" s="90" t="e">
        <f t="shared" si="17"/>
        <v>#N/A</v>
      </c>
      <c r="L83" s="90" t="e">
        <f t="shared" si="17"/>
        <v>#N/A</v>
      </c>
      <c r="M83" s="90" t="e">
        <f t="shared" si="17"/>
        <v>#N/A</v>
      </c>
      <c r="N83" s="134" t="e">
        <f t="shared" si="17"/>
        <v>#N/A</v>
      </c>
      <c r="O83" s="133" t="e">
        <f t="shared" si="17"/>
        <v>#N/A</v>
      </c>
      <c r="P83" s="90" t="e">
        <f t="shared" si="17"/>
        <v>#N/A</v>
      </c>
      <c r="Q83" s="90" t="e">
        <f t="shared" si="17"/>
        <v>#N/A</v>
      </c>
      <c r="R83" s="90" t="e">
        <f t="shared" si="17"/>
        <v>#N/A</v>
      </c>
      <c r="S83" s="134" t="e">
        <f t="shared" si="17"/>
        <v>#N/A</v>
      </c>
      <c r="T83" s="134" t="e">
        <f t="shared" si="15"/>
        <v>#N/A</v>
      </c>
      <c r="U83" s="134" t="e">
        <f t="shared" si="15"/>
        <v>#N/A</v>
      </c>
      <c r="V83" s="134" t="e">
        <f t="shared" si="15"/>
        <v>#N/A</v>
      </c>
      <c r="W83" s="134" t="e">
        <f t="shared" si="15"/>
        <v>#N/A</v>
      </c>
      <c r="X83" s="139" t="e">
        <f t="shared" si="15"/>
        <v>#N/A</v>
      </c>
      <c r="Y83" s="139" t="e">
        <f t="shared" si="15"/>
        <v>#N/A</v>
      </c>
      <c r="Z83" s="139" t="e">
        <f t="shared" si="15"/>
        <v>#N/A</v>
      </c>
      <c r="AA83" s="139" t="e">
        <f t="shared" si="15"/>
        <v>#N/A</v>
      </c>
      <c r="AB83" s="139" t="e">
        <f t="shared" si="15"/>
        <v>#N/A</v>
      </c>
      <c r="AC83" s="139" t="e">
        <f t="shared" si="15"/>
        <v>#N/A</v>
      </c>
      <c r="AD83" s="139" t="e">
        <f t="shared" si="15"/>
        <v>#N/A</v>
      </c>
      <c r="AE83" s="139" t="e">
        <f t="shared" si="15"/>
        <v>#N/A</v>
      </c>
      <c r="AF83" s="139" t="e">
        <f t="shared" si="15"/>
        <v>#N/A</v>
      </c>
      <c r="AG83" s="139" t="e">
        <f t="shared" si="15"/>
        <v>#N/A</v>
      </c>
      <c r="AH83" s="139" t="e">
        <f t="shared" si="15"/>
        <v>#N/A</v>
      </c>
      <c r="AI83" s="139" t="e">
        <f t="shared" si="15"/>
        <v>#N/A</v>
      </c>
      <c r="AJ83" s="139" t="e">
        <f t="shared" si="15"/>
        <v>#N/A</v>
      </c>
      <c r="AK83" s="139" t="e">
        <f t="shared" si="15"/>
        <v>#N/A</v>
      </c>
      <c r="AL83" s="139" t="e">
        <f t="shared" si="15"/>
        <v>#N/A</v>
      </c>
      <c r="AM83" s="139" t="e">
        <f t="shared" si="15"/>
        <v>#N/A</v>
      </c>
    </row>
    <row r="84" spans="2:39" x14ac:dyDescent="0.25">
      <c r="C84" s="56" t="s">
        <v>32</v>
      </c>
      <c r="D84" s="3" t="s">
        <v>180</v>
      </c>
      <c r="E84" s="134" t="e">
        <f t="shared" ref="E84:F84" si="23">E41/E$26</f>
        <v>#N/A</v>
      </c>
      <c r="F84" s="134" t="e">
        <f t="shared" si="23"/>
        <v>#N/A</v>
      </c>
      <c r="G84" s="134" t="e">
        <f t="shared" si="17"/>
        <v>#N/A</v>
      </c>
      <c r="H84" s="134" t="e">
        <f t="shared" si="17"/>
        <v>#N/A</v>
      </c>
      <c r="I84" s="134" t="e">
        <f t="shared" si="17"/>
        <v>#N/A</v>
      </c>
      <c r="J84" s="133" t="e">
        <f t="shared" si="17"/>
        <v>#N/A</v>
      </c>
      <c r="K84" s="90" t="e">
        <f t="shared" si="17"/>
        <v>#N/A</v>
      </c>
      <c r="L84" s="90" t="e">
        <f t="shared" si="17"/>
        <v>#N/A</v>
      </c>
      <c r="M84" s="90" t="e">
        <f t="shared" si="17"/>
        <v>#N/A</v>
      </c>
      <c r="N84" s="134" t="e">
        <f t="shared" si="17"/>
        <v>#N/A</v>
      </c>
      <c r="O84" s="133" t="e">
        <f t="shared" si="17"/>
        <v>#N/A</v>
      </c>
      <c r="P84" s="90" t="e">
        <f t="shared" si="17"/>
        <v>#N/A</v>
      </c>
      <c r="Q84" s="90" t="e">
        <f t="shared" si="17"/>
        <v>#N/A</v>
      </c>
      <c r="R84" s="90" t="e">
        <f t="shared" si="17"/>
        <v>#N/A</v>
      </c>
      <c r="S84" s="134" t="e">
        <f t="shared" si="17"/>
        <v>#N/A</v>
      </c>
      <c r="T84" s="134" t="e">
        <f t="shared" si="15"/>
        <v>#N/A</v>
      </c>
      <c r="U84" s="134" t="e">
        <f t="shared" si="15"/>
        <v>#N/A</v>
      </c>
      <c r="V84" s="134" t="e">
        <f t="shared" si="15"/>
        <v>#N/A</v>
      </c>
      <c r="W84" s="134" t="e">
        <f t="shared" si="15"/>
        <v>#N/A</v>
      </c>
      <c r="X84" s="139" t="e">
        <f t="shared" si="15"/>
        <v>#N/A</v>
      </c>
      <c r="Y84" s="139" t="e">
        <f t="shared" si="15"/>
        <v>#N/A</v>
      </c>
      <c r="Z84" s="139" t="e">
        <f t="shared" si="15"/>
        <v>#N/A</v>
      </c>
      <c r="AA84" s="139" t="e">
        <f t="shared" si="15"/>
        <v>#N/A</v>
      </c>
      <c r="AB84" s="139" t="e">
        <f t="shared" si="15"/>
        <v>#N/A</v>
      </c>
      <c r="AC84" s="139" t="e">
        <f t="shared" si="15"/>
        <v>#N/A</v>
      </c>
      <c r="AD84" s="139" t="e">
        <f t="shared" si="15"/>
        <v>#N/A</v>
      </c>
      <c r="AE84" s="139" t="e">
        <f t="shared" si="15"/>
        <v>#N/A</v>
      </c>
      <c r="AF84" s="139" t="e">
        <f t="shared" si="15"/>
        <v>#N/A</v>
      </c>
      <c r="AG84" s="139" t="e">
        <f t="shared" si="15"/>
        <v>#N/A</v>
      </c>
      <c r="AH84" s="139" t="e">
        <f t="shared" si="15"/>
        <v>#N/A</v>
      </c>
      <c r="AI84" s="139" t="e">
        <f t="shared" si="15"/>
        <v>#N/A</v>
      </c>
      <c r="AJ84" s="139" t="e">
        <f t="shared" si="15"/>
        <v>#N/A</v>
      </c>
      <c r="AK84" s="139" t="e">
        <f t="shared" si="15"/>
        <v>#N/A</v>
      </c>
      <c r="AL84" s="139" t="e">
        <f t="shared" si="15"/>
        <v>#N/A</v>
      </c>
      <c r="AM84" s="139" t="e">
        <f t="shared" si="15"/>
        <v>#N/A</v>
      </c>
    </row>
    <row r="85" spans="2:39" x14ac:dyDescent="0.25">
      <c r="C85" s="78" t="s">
        <v>33</v>
      </c>
      <c r="D85" s="7" t="s">
        <v>181</v>
      </c>
      <c r="E85" s="136" t="e">
        <f t="shared" ref="E85:F85" si="24">E42/E$26</f>
        <v>#N/A</v>
      </c>
      <c r="F85" s="136" t="e">
        <f t="shared" si="24"/>
        <v>#N/A</v>
      </c>
      <c r="G85" s="136" t="e">
        <f t="shared" si="17"/>
        <v>#N/A</v>
      </c>
      <c r="H85" s="136" t="e">
        <f t="shared" si="17"/>
        <v>#N/A</v>
      </c>
      <c r="I85" s="136" t="e">
        <f t="shared" si="17"/>
        <v>#N/A</v>
      </c>
      <c r="J85" s="135" t="e">
        <f t="shared" si="17"/>
        <v>#N/A</v>
      </c>
      <c r="K85" s="92" t="e">
        <f t="shared" si="17"/>
        <v>#N/A</v>
      </c>
      <c r="L85" s="92" t="e">
        <f t="shared" si="17"/>
        <v>#N/A</v>
      </c>
      <c r="M85" s="92" t="e">
        <f t="shared" si="17"/>
        <v>#N/A</v>
      </c>
      <c r="N85" s="136" t="e">
        <f t="shared" si="17"/>
        <v>#N/A</v>
      </c>
      <c r="O85" s="135" t="e">
        <f t="shared" si="17"/>
        <v>#N/A</v>
      </c>
      <c r="P85" s="92" t="e">
        <f t="shared" si="17"/>
        <v>#N/A</v>
      </c>
      <c r="Q85" s="92" t="e">
        <f t="shared" si="17"/>
        <v>#N/A</v>
      </c>
      <c r="R85" s="92" t="e">
        <f t="shared" si="17"/>
        <v>#N/A</v>
      </c>
      <c r="S85" s="136" t="e">
        <f t="shared" si="17"/>
        <v>#N/A</v>
      </c>
      <c r="T85" s="136" t="e">
        <f t="shared" si="15"/>
        <v>#N/A</v>
      </c>
      <c r="U85" s="136" t="e">
        <f t="shared" si="15"/>
        <v>#N/A</v>
      </c>
      <c r="V85" s="136" t="e">
        <f t="shared" si="15"/>
        <v>#N/A</v>
      </c>
      <c r="W85" s="136" t="e">
        <f t="shared" si="15"/>
        <v>#N/A</v>
      </c>
      <c r="X85" s="140" t="e">
        <f t="shared" si="15"/>
        <v>#N/A</v>
      </c>
      <c r="Y85" s="140" t="e">
        <f t="shared" si="15"/>
        <v>#N/A</v>
      </c>
      <c r="Z85" s="140" t="e">
        <f t="shared" si="15"/>
        <v>#N/A</v>
      </c>
      <c r="AA85" s="140" t="e">
        <f t="shared" si="15"/>
        <v>#N/A</v>
      </c>
      <c r="AB85" s="140" t="e">
        <f t="shared" si="15"/>
        <v>#N/A</v>
      </c>
      <c r="AC85" s="140" t="e">
        <f t="shared" si="15"/>
        <v>#N/A</v>
      </c>
      <c r="AD85" s="140" t="e">
        <f t="shared" si="15"/>
        <v>#N/A</v>
      </c>
      <c r="AE85" s="140" t="e">
        <f t="shared" si="15"/>
        <v>#N/A</v>
      </c>
      <c r="AF85" s="140" t="e">
        <f t="shared" si="15"/>
        <v>#N/A</v>
      </c>
      <c r="AG85" s="140" t="e">
        <f t="shared" si="15"/>
        <v>#N/A</v>
      </c>
      <c r="AH85" s="140" t="e">
        <f t="shared" si="15"/>
        <v>#N/A</v>
      </c>
      <c r="AI85" s="140" t="e">
        <f t="shared" si="15"/>
        <v>#N/A</v>
      </c>
      <c r="AJ85" s="140" t="e">
        <f t="shared" si="15"/>
        <v>#N/A</v>
      </c>
      <c r="AK85" s="140" t="e">
        <f t="shared" si="15"/>
        <v>#N/A</v>
      </c>
      <c r="AL85" s="140" t="e">
        <f t="shared" si="15"/>
        <v>#N/A</v>
      </c>
      <c r="AM85" s="140" t="e">
        <f t="shared" si="15"/>
        <v>#N/A</v>
      </c>
    </row>
    <row r="86" spans="2:39" x14ac:dyDescent="0.25">
      <c r="C86" s="56"/>
      <c r="D86" s="3"/>
      <c r="E86" s="134"/>
      <c r="F86" s="134"/>
      <c r="G86" s="134"/>
      <c r="H86" s="134"/>
      <c r="I86" s="134"/>
      <c r="J86" s="133"/>
      <c r="K86" s="90"/>
      <c r="L86" s="90"/>
      <c r="M86" s="90"/>
      <c r="N86" s="134"/>
      <c r="O86" s="133"/>
      <c r="P86" s="90"/>
      <c r="Q86" s="90"/>
      <c r="R86" s="90"/>
      <c r="S86" s="134"/>
      <c r="T86" s="134"/>
      <c r="U86" s="134"/>
      <c r="V86" s="134"/>
      <c r="W86" s="134"/>
      <c r="X86" s="139"/>
      <c r="Y86" s="139"/>
      <c r="Z86" s="139"/>
      <c r="AA86" s="139"/>
      <c r="AB86" s="139"/>
      <c r="AC86" s="139"/>
      <c r="AD86" s="139"/>
      <c r="AE86" s="139"/>
      <c r="AF86" s="139"/>
      <c r="AG86" s="139"/>
      <c r="AH86" s="139"/>
      <c r="AI86" s="139"/>
      <c r="AJ86" s="139"/>
      <c r="AK86" s="139"/>
      <c r="AL86" s="139"/>
      <c r="AM86" s="139"/>
    </row>
    <row r="87" spans="2:39" x14ac:dyDescent="0.25">
      <c r="B87" s="23" t="s">
        <v>165</v>
      </c>
      <c r="C87" s="80" t="s">
        <v>134</v>
      </c>
      <c r="D87" s="80" t="s">
        <v>45</v>
      </c>
      <c r="E87" s="123" t="e">
        <f t="shared" ref="E87:AM87" si="25">E44</f>
        <v>#N/A</v>
      </c>
      <c r="F87" s="123" t="e">
        <f t="shared" si="25"/>
        <v>#N/A</v>
      </c>
      <c r="G87" s="123" t="e">
        <f t="shared" si="25"/>
        <v>#N/A</v>
      </c>
      <c r="H87" s="123" t="e">
        <f t="shared" si="25"/>
        <v>#N/A</v>
      </c>
      <c r="I87" s="123" t="e">
        <f t="shared" si="25"/>
        <v>#N/A</v>
      </c>
      <c r="J87" s="122" t="e">
        <f t="shared" si="25"/>
        <v>#N/A</v>
      </c>
      <c r="K87" s="73" t="e">
        <f t="shared" si="25"/>
        <v>#N/A</v>
      </c>
      <c r="L87" s="73" t="e">
        <f t="shared" si="25"/>
        <v>#N/A</v>
      </c>
      <c r="M87" s="73" t="e">
        <f t="shared" si="25"/>
        <v>#N/A</v>
      </c>
      <c r="N87" s="123" t="e">
        <f t="shared" si="25"/>
        <v>#N/A</v>
      </c>
      <c r="O87" s="122" t="e">
        <f t="shared" si="25"/>
        <v>#N/A</v>
      </c>
      <c r="P87" s="73" t="e">
        <f t="shared" si="25"/>
        <v>#N/A</v>
      </c>
      <c r="Q87" s="73" t="e">
        <f t="shared" si="25"/>
        <v>#N/A</v>
      </c>
      <c r="R87" s="73" t="e">
        <f t="shared" si="25"/>
        <v>#N/A</v>
      </c>
      <c r="S87" s="123" t="e">
        <f t="shared" si="25"/>
        <v>#N/A</v>
      </c>
      <c r="T87" s="123" t="e">
        <f t="shared" si="25"/>
        <v>#N/A</v>
      </c>
      <c r="U87" s="123" t="e">
        <f t="shared" si="25"/>
        <v>#N/A</v>
      </c>
      <c r="V87" s="123" t="e">
        <f t="shared" si="25"/>
        <v>#N/A</v>
      </c>
      <c r="W87" s="123" t="e">
        <f t="shared" si="25"/>
        <v>#N/A</v>
      </c>
      <c r="X87" s="127" t="e">
        <f t="shared" si="25"/>
        <v>#N/A</v>
      </c>
      <c r="Y87" s="127" t="e">
        <f t="shared" si="25"/>
        <v>#N/A</v>
      </c>
      <c r="Z87" s="127" t="e">
        <f t="shared" si="25"/>
        <v>#N/A</v>
      </c>
      <c r="AA87" s="127" t="e">
        <f t="shared" si="25"/>
        <v>#N/A</v>
      </c>
      <c r="AB87" s="127" t="e">
        <f t="shared" si="25"/>
        <v>#N/A</v>
      </c>
      <c r="AC87" s="127" t="e">
        <f t="shared" si="25"/>
        <v>#N/A</v>
      </c>
      <c r="AD87" s="127" t="e">
        <f t="shared" si="25"/>
        <v>#N/A</v>
      </c>
      <c r="AE87" s="127" t="e">
        <f t="shared" si="25"/>
        <v>#N/A</v>
      </c>
      <c r="AF87" s="127" t="e">
        <f t="shared" si="25"/>
        <v>#N/A</v>
      </c>
      <c r="AG87" s="127" t="e">
        <f t="shared" si="25"/>
        <v>#N/A</v>
      </c>
      <c r="AH87" s="127" t="e">
        <f t="shared" si="25"/>
        <v>#N/A</v>
      </c>
      <c r="AI87" s="127" t="e">
        <f t="shared" si="25"/>
        <v>#N/A</v>
      </c>
      <c r="AJ87" s="127" t="e">
        <f t="shared" si="25"/>
        <v>#N/A</v>
      </c>
      <c r="AK87" s="127" t="e">
        <f t="shared" si="25"/>
        <v>#N/A</v>
      </c>
      <c r="AL87" s="127" t="e">
        <f t="shared" si="25"/>
        <v>#N/A</v>
      </c>
      <c r="AM87" s="127" t="e">
        <f t="shared" si="25"/>
        <v>#N/A</v>
      </c>
    </row>
    <row r="88" spans="2:39" x14ac:dyDescent="0.25">
      <c r="C88" s="56" t="s">
        <v>8</v>
      </c>
      <c r="D88" s="76" t="s">
        <v>182</v>
      </c>
      <c r="E88" s="134" t="e">
        <f t="shared" ref="E88:AM91" si="26">E45/E$44</f>
        <v>#N/A</v>
      </c>
      <c r="F88" s="134" t="e">
        <f t="shared" si="26"/>
        <v>#N/A</v>
      </c>
      <c r="G88" s="134" t="e">
        <f t="shared" si="26"/>
        <v>#N/A</v>
      </c>
      <c r="H88" s="134" t="e">
        <f t="shared" si="26"/>
        <v>#N/A</v>
      </c>
      <c r="I88" s="134" t="e">
        <f t="shared" si="26"/>
        <v>#N/A</v>
      </c>
      <c r="J88" s="133" t="e">
        <f t="shared" si="26"/>
        <v>#N/A</v>
      </c>
      <c r="K88" s="90" t="e">
        <f t="shared" si="26"/>
        <v>#N/A</v>
      </c>
      <c r="L88" s="90" t="e">
        <f t="shared" si="26"/>
        <v>#N/A</v>
      </c>
      <c r="M88" s="90" t="e">
        <f t="shared" si="26"/>
        <v>#N/A</v>
      </c>
      <c r="N88" s="134" t="e">
        <f t="shared" si="26"/>
        <v>#N/A</v>
      </c>
      <c r="O88" s="133" t="e">
        <f t="shared" si="26"/>
        <v>#N/A</v>
      </c>
      <c r="P88" s="90" t="e">
        <f t="shared" si="26"/>
        <v>#N/A</v>
      </c>
      <c r="Q88" s="90" t="e">
        <f t="shared" si="26"/>
        <v>#N/A</v>
      </c>
      <c r="R88" s="90" t="e">
        <f t="shared" si="26"/>
        <v>#N/A</v>
      </c>
      <c r="S88" s="134" t="e">
        <f t="shared" si="26"/>
        <v>#N/A</v>
      </c>
      <c r="T88" s="134" t="e">
        <f t="shared" si="26"/>
        <v>#N/A</v>
      </c>
      <c r="U88" s="134" t="e">
        <f t="shared" si="26"/>
        <v>#N/A</v>
      </c>
      <c r="V88" s="134" t="e">
        <f t="shared" si="26"/>
        <v>#N/A</v>
      </c>
      <c r="W88" s="134" t="e">
        <f t="shared" si="26"/>
        <v>#N/A</v>
      </c>
      <c r="X88" s="139" t="e">
        <f t="shared" si="26"/>
        <v>#N/A</v>
      </c>
      <c r="Y88" s="139" t="e">
        <f t="shared" si="26"/>
        <v>#N/A</v>
      </c>
      <c r="Z88" s="139" t="e">
        <f t="shared" si="26"/>
        <v>#N/A</v>
      </c>
      <c r="AA88" s="139" t="e">
        <f t="shared" si="26"/>
        <v>#N/A</v>
      </c>
      <c r="AB88" s="139" t="e">
        <f t="shared" si="26"/>
        <v>#N/A</v>
      </c>
      <c r="AC88" s="139" t="e">
        <f t="shared" si="26"/>
        <v>#N/A</v>
      </c>
      <c r="AD88" s="139" t="e">
        <f t="shared" si="26"/>
        <v>#N/A</v>
      </c>
      <c r="AE88" s="139" t="e">
        <f t="shared" si="26"/>
        <v>#N/A</v>
      </c>
      <c r="AF88" s="139" t="e">
        <f t="shared" si="26"/>
        <v>#N/A</v>
      </c>
      <c r="AG88" s="139" t="e">
        <f t="shared" si="26"/>
        <v>#N/A</v>
      </c>
      <c r="AH88" s="139" t="e">
        <f t="shared" si="26"/>
        <v>#N/A</v>
      </c>
      <c r="AI88" s="139" t="e">
        <f t="shared" si="26"/>
        <v>#N/A</v>
      </c>
      <c r="AJ88" s="139" t="e">
        <f t="shared" si="26"/>
        <v>#N/A</v>
      </c>
      <c r="AK88" s="139" t="e">
        <f t="shared" si="26"/>
        <v>#N/A</v>
      </c>
      <c r="AL88" s="139" t="e">
        <f t="shared" si="26"/>
        <v>#N/A</v>
      </c>
      <c r="AM88" s="139" t="e">
        <f t="shared" si="26"/>
        <v>#N/A</v>
      </c>
    </row>
    <row r="89" spans="2:39" x14ac:dyDescent="0.25">
      <c r="C89" s="56" t="s">
        <v>6</v>
      </c>
      <c r="D89" s="3" t="s">
        <v>183</v>
      </c>
      <c r="E89" s="134" t="e">
        <f t="shared" si="26"/>
        <v>#N/A</v>
      </c>
      <c r="F89" s="134" t="e">
        <f t="shared" si="26"/>
        <v>#N/A</v>
      </c>
      <c r="G89" s="134" t="e">
        <f t="shared" si="26"/>
        <v>#N/A</v>
      </c>
      <c r="H89" s="134" t="e">
        <f t="shared" si="26"/>
        <v>#N/A</v>
      </c>
      <c r="I89" s="134" t="e">
        <f t="shared" si="26"/>
        <v>#N/A</v>
      </c>
      <c r="J89" s="133" t="e">
        <f t="shared" si="26"/>
        <v>#N/A</v>
      </c>
      <c r="K89" s="90" t="e">
        <f t="shared" si="26"/>
        <v>#N/A</v>
      </c>
      <c r="L89" s="90" t="e">
        <f t="shared" si="26"/>
        <v>#N/A</v>
      </c>
      <c r="M89" s="90" t="e">
        <f t="shared" si="26"/>
        <v>#N/A</v>
      </c>
      <c r="N89" s="134" t="e">
        <f t="shared" si="26"/>
        <v>#N/A</v>
      </c>
      <c r="O89" s="133" t="e">
        <f t="shared" si="26"/>
        <v>#N/A</v>
      </c>
      <c r="P89" s="90" t="e">
        <f t="shared" si="26"/>
        <v>#N/A</v>
      </c>
      <c r="Q89" s="90" t="e">
        <f t="shared" si="26"/>
        <v>#N/A</v>
      </c>
      <c r="R89" s="90" t="e">
        <f t="shared" si="26"/>
        <v>#N/A</v>
      </c>
      <c r="S89" s="134" t="e">
        <f t="shared" si="26"/>
        <v>#N/A</v>
      </c>
      <c r="T89" s="134" t="e">
        <f t="shared" si="26"/>
        <v>#N/A</v>
      </c>
      <c r="U89" s="134" t="e">
        <f t="shared" si="26"/>
        <v>#N/A</v>
      </c>
      <c r="V89" s="134" t="e">
        <f t="shared" si="26"/>
        <v>#N/A</v>
      </c>
      <c r="W89" s="134" t="e">
        <f t="shared" si="26"/>
        <v>#N/A</v>
      </c>
      <c r="X89" s="139" t="e">
        <f t="shared" si="26"/>
        <v>#N/A</v>
      </c>
      <c r="Y89" s="139" t="e">
        <f t="shared" si="26"/>
        <v>#N/A</v>
      </c>
      <c r="Z89" s="139" t="e">
        <f t="shared" si="26"/>
        <v>#N/A</v>
      </c>
      <c r="AA89" s="139" t="e">
        <f t="shared" si="26"/>
        <v>#N/A</v>
      </c>
      <c r="AB89" s="139" t="e">
        <f t="shared" si="26"/>
        <v>#N/A</v>
      </c>
      <c r="AC89" s="139" t="e">
        <f t="shared" si="26"/>
        <v>#N/A</v>
      </c>
      <c r="AD89" s="139" t="e">
        <f t="shared" si="26"/>
        <v>#N/A</v>
      </c>
      <c r="AE89" s="139" t="e">
        <f t="shared" si="26"/>
        <v>#N/A</v>
      </c>
      <c r="AF89" s="139" t="e">
        <f t="shared" si="26"/>
        <v>#N/A</v>
      </c>
      <c r="AG89" s="139" t="e">
        <f t="shared" si="26"/>
        <v>#N/A</v>
      </c>
      <c r="AH89" s="139" t="e">
        <f t="shared" si="26"/>
        <v>#N/A</v>
      </c>
      <c r="AI89" s="139" t="e">
        <f t="shared" si="26"/>
        <v>#N/A</v>
      </c>
      <c r="AJ89" s="139" t="e">
        <f t="shared" si="26"/>
        <v>#N/A</v>
      </c>
      <c r="AK89" s="139" t="e">
        <f t="shared" si="26"/>
        <v>#N/A</v>
      </c>
      <c r="AL89" s="139" t="e">
        <f t="shared" si="26"/>
        <v>#N/A</v>
      </c>
      <c r="AM89" s="139" t="e">
        <f t="shared" si="26"/>
        <v>#N/A</v>
      </c>
    </row>
    <row r="90" spans="2:39" x14ac:dyDescent="0.25">
      <c r="C90" s="56" t="s">
        <v>34</v>
      </c>
      <c r="D90" s="3" t="s">
        <v>159</v>
      </c>
      <c r="E90" s="134" t="e">
        <f t="shared" si="26"/>
        <v>#N/A</v>
      </c>
      <c r="F90" s="134" t="e">
        <f t="shared" si="26"/>
        <v>#N/A</v>
      </c>
      <c r="G90" s="134" t="e">
        <f t="shared" si="26"/>
        <v>#N/A</v>
      </c>
      <c r="H90" s="134" t="e">
        <f t="shared" si="26"/>
        <v>#N/A</v>
      </c>
      <c r="I90" s="134" t="e">
        <f t="shared" si="26"/>
        <v>#N/A</v>
      </c>
      <c r="J90" s="133" t="e">
        <f t="shared" si="26"/>
        <v>#N/A</v>
      </c>
      <c r="K90" s="90" t="e">
        <f t="shared" si="26"/>
        <v>#N/A</v>
      </c>
      <c r="L90" s="90" t="e">
        <f t="shared" si="26"/>
        <v>#N/A</v>
      </c>
      <c r="M90" s="90" t="e">
        <f t="shared" si="26"/>
        <v>#N/A</v>
      </c>
      <c r="N90" s="134" t="e">
        <f t="shared" si="26"/>
        <v>#N/A</v>
      </c>
      <c r="O90" s="133" t="e">
        <f t="shared" si="26"/>
        <v>#N/A</v>
      </c>
      <c r="P90" s="90" t="e">
        <f t="shared" si="26"/>
        <v>#N/A</v>
      </c>
      <c r="Q90" s="90" t="e">
        <f t="shared" si="26"/>
        <v>#N/A</v>
      </c>
      <c r="R90" s="90" t="e">
        <f t="shared" si="26"/>
        <v>#N/A</v>
      </c>
      <c r="S90" s="134" t="e">
        <f t="shared" si="26"/>
        <v>#N/A</v>
      </c>
      <c r="T90" s="134" t="e">
        <f t="shared" si="26"/>
        <v>#N/A</v>
      </c>
      <c r="U90" s="134" t="e">
        <f t="shared" si="26"/>
        <v>#N/A</v>
      </c>
      <c r="V90" s="134" t="e">
        <f t="shared" si="26"/>
        <v>#N/A</v>
      </c>
      <c r="W90" s="134" t="e">
        <f t="shared" si="26"/>
        <v>#N/A</v>
      </c>
      <c r="X90" s="139" t="e">
        <f t="shared" si="26"/>
        <v>#N/A</v>
      </c>
      <c r="Y90" s="139" t="e">
        <f t="shared" si="26"/>
        <v>#N/A</v>
      </c>
      <c r="Z90" s="139" t="e">
        <f t="shared" si="26"/>
        <v>#N/A</v>
      </c>
      <c r="AA90" s="139" t="e">
        <f t="shared" si="26"/>
        <v>#N/A</v>
      </c>
      <c r="AB90" s="139" t="e">
        <f t="shared" si="26"/>
        <v>#N/A</v>
      </c>
      <c r="AC90" s="139" t="e">
        <f t="shared" si="26"/>
        <v>#N/A</v>
      </c>
      <c r="AD90" s="139" t="e">
        <f t="shared" si="26"/>
        <v>#N/A</v>
      </c>
      <c r="AE90" s="139" t="e">
        <f t="shared" si="26"/>
        <v>#N/A</v>
      </c>
      <c r="AF90" s="139" t="e">
        <f t="shared" si="26"/>
        <v>#N/A</v>
      </c>
      <c r="AG90" s="139" t="e">
        <f t="shared" si="26"/>
        <v>#N/A</v>
      </c>
      <c r="AH90" s="139" t="e">
        <f t="shared" si="26"/>
        <v>#N/A</v>
      </c>
      <c r="AI90" s="139" t="e">
        <f t="shared" si="26"/>
        <v>#N/A</v>
      </c>
      <c r="AJ90" s="139" t="e">
        <f t="shared" si="26"/>
        <v>#N/A</v>
      </c>
      <c r="AK90" s="139" t="e">
        <f t="shared" si="26"/>
        <v>#N/A</v>
      </c>
      <c r="AL90" s="139" t="e">
        <f t="shared" si="26"/>
        <v>#N/A</v>
      </c>
      <c r="AM90" s="139" t="e">
        <f t="shared" si="26"/>
        <v>#N/A</v>
      </c>
    </row>
    <row r="91" spans="2:39" x14ac:dyDescent="0.25">
      <c r="C91" s="56" t="s">
        <v>35</v>
      </c>
      <c r="D91" s="3" t="s">
        <v>184</v>
      </c>
      <c r="E91" s="134" t="e">
        <f t="shared" si="26"/>
        <v>#N/A</v>
      </c>
      <c r="F91" s="134" t="e">
        <f t="shared" si="26"/>
        <v>#N/A</v>
      </c>
      <c r="G91" s="134" t="e">
        <f t="shared" si="26"/>
        <v>#N/A</v>
      </c>
      <c r="H91" s="134" t="e">
        <f t="shared" si="26"/>
        <v>#N/A</v>
      </c>
      <c r="I91" s="134" t="e">
        <f t="shared" si="26"/>
        <v>#N/A</v>
      </c>
      <c r="J91" s="133" t="e">
        <f t="shared" si="26"/>
        <v>#N/A</v>
      </c>
      <c r="K91" s="90" t="e">
        <f t="shared" si="26"/>
        <v>#N/A</v>
      </c>
      <c r="L91" s="90" t="e">
        <f t="shared" si="26"/>
        <v>#N/A</v>
      </c>
      <c r="M91" s="90" t="e">
        <f t="shared" si="26"/>
        <v>#N/A</v>
      </c>
      <c r="N91" s="134" t="e">
        <f t="shared" si="26"/>
        <v>#N/A</v>
      </c>
      <c r="O91" s="133" t="e">
        <f t="shared" si="26"/>
        <v>#N/A</v>
      </c>
      <c r="P91" s="90" t="e">
        <f t="shared" si="26"/>
        <v>#N/A</v>
      </c>
      <c r="Q91" s="90" t="e">
        <f t="shared" si="26"/>
        <v>#N/A</v>
      </c>
      <c r="R91" s="90" t="e">
        <f t="shared" si="26"/>
        <v>#N/A</v>
      </c>
      <c r="S91" s="134" t="e">
        <f t="shared" si="26"/>
        <v>#N/A</v>
      </c>
      <c r="T91" s="134" t="e">
        <f t="shared" si="26"/>
        <v>#N/A</v>
      </c>
      <c r="U91" s="134" t="e">
        <f t="shared" si="26"/>
        <v>#N/A</v>
      </c>
      <c r="V91" s="134" t="e">
        <f t="shared" si="26"/>
        <v>#N/A</v>
      </c>
      <c r="W91" s="134" t="e">
        <f t="shared" si="26"/>
        <v>#N/A</v>
      </c>
      <c r="X91" s="139" t="e">
        <f t="shared" si="26"/>
        <v>#N/A</v>
      </c>
      <c r="Y91" s="139" t="e">
        <f t="shared" si="26"/>
        <v>#N/A</v>
      </c>
      <c r="Z91" s="139" t="e">
        <f t="shared" si="26"/>
        <v>#N/A</v>
      </c>
      <c r="AA91" s="139" t="e">
        <f t="shared" si="26"/>
        <v>#N/A</v>
      </c>
      <c r="AB91" s="139" t="e">
        <f t="shared" si="26"/>
        <v>#N/A</v>
      </c>
      <c r="AC91" s="139" t="e">
        <f t="shared" si="26"/>
        <v>#N/A</v>
      </c>
      <c r="AD91" s="139" t="e">
        <f t="shared" si="26"/>
        <v>#N/A</v>
      </c>
      <c r="AE91" s="139" t="e">
        <f t="shared" si="26"/>
        <v>#N/A</v>
      </c>
      <c r="AF91" s="139" t="e">
        <f t="shared" si="26"/>
        <v>#N/A</v>
      </c>
      <c r="AG91" s="139" t="e">
        <f t="shared" si="26"/>
        <v>#N/A</v>
      </c>
      <c r="AH91" s="139" t="e">
        <f t="shared" si="26"/>
        <v>#N/A</v>
      </c>
      <c r="AI91" s="139" t="e">
        <f t="shared" si="26"/>
        <v>#N/A</v>
      </c>
      <c r="AJ91" s="139" t="e">
        <f t="shared" si="26"/>
        <v>#N/A</v>
      </c>
      <c r="AK91" s="139" t="e">
        <f t="shared" si="26"/>
        <v>#N/A</v>
      </c>
      <c r="AL91" s="139" t="e">
        <f t="shared" si="26"/>
        <v>#N/A</v>
      </c>
      <c r="AM91" s="139" t="e">
        <f t="shared" si="26"/>
        <v>#N/A</v>
      </c>
    </row>
    <row r="92" spans="2:39" x14ac:dyDescent="0.25">
      <c r="C92" s="80" t="s">
        <v>134</v>
      </c>
      <c r="D92" s="80" t="s">
        <v>45</v>
      </c>
      <c r="E92" s="81" t="e">
        <f>E44</f>
        <v>#N/A</v>
      </c>
      <c r="F92" s="81" t="e">
        <f t="shared" ref="F92:AM92" si="27">F44</f>
        <v>#N/A</v>
      </c>
      <c r="G92" s="81" t="e">
        <f t="shared" si="27"/>
        <v>#N/A</v>
      </c>
      <c r="H92" s="81" t="e">
        <f t="shared" si="27"/>
        <v>#N/A</v>
      </c>
      <c r="I92" s="81" t="e">
        <f t="shared" si="27"/>
        <v>#N/A</v>
      </c>
      <c r="J92" s="81" t="e">
        <f t="shared" si="27"/>
        <v>#N/A</v>
      </c>
      <c r="K92" s="81" t="e">
        <f t="shared" si="27"/>
        <v>#N/A</v>
      </c>
      <c r="L92" s="81" t="e">
        <f t="shared" si="27"/>
        <v>#N/A</v>
      </c>
      <c r="M92" s="81" t="e">
        <f t="shared" si="27"/>
        <v>#N/A</v>
      </c>
      <c r="N92" s="81" t="e">
        <f t="shared" si="27"/>
        <v>#N/A</v>
      </c>
      <c r="O92" s="81" t="e">
        <f t="shared" si="27"/>
        <v>#N/A</v>
      </c>
      <c r="P92" s="81" t="e">
        <f t="shared" si="27"/>
        <v>#N/A</v>
      </c>
      <c r="Q92" s="81" t="e">
        <f t="shared" si="27"/>
        <v>#N/A</v>
      </c>
      <c r="R92" s="81" t="e">
        <f t="shared" si="27"/>
        <v>#N/A</v>
      </c>
      <c r="S92" s="81" t="e">
        <f t="shared" si="27"/>
        <v>#N/A</v>
      </c>
      <c r="T92" s="81" t="e">
        <f t="shared" si="27"/>
        <v>#N/A</v>
      </c>
      <c r="U92" s="81" t="e">
        <f t="shared" si="27"/>
        <v>#N/A</v>
      </c>
      <c r="V92" s="81" t="e">
        <f t="shared" si="27"/>
        <v>#N/A</v>
      </c>
      <c r="W92" s="81" t="e">
        <f t="shared" si="27"/>
        <v>#N/A</v>
      </c>
      <c r="X92" s="81" t="e">
        <f t="shared" si="27"/>
        <v>#N/A</v>
      </c>
      <c r="Y92" s="81" t="e">
        <f t="shared" si="27"/>
        <v>#N/A</v>
      </c>
      <c r="Z92" s="81" t="e">
        <f t="shared" si="27"/>
        <v>#N/A</v>
      </c>
      <c r="AA92" s="81" t="e">
        <f t="shared" si="27"/>
        <v>#N/A</v>
      </c>
      <c r="AB92" s="81" t="e">
        <f t="shared" si="27"/>
        <v>#N/A</v>
      </c>
      <c r="AC92" s="81" t="e">
        <f t="shared" si="27"/>
        <v>#N/A</v>
      </c>
      <c r="AD92" s="81" t="e">
        <f t="shared" si="27"/>
        <v>#N/A</v>
      </c>
      <c r="AE92" s="81" t="e">
        <f t="shared" si="27"/>
        <v>#N/A</v>
      </c>
      <c r="AF92" s="81" t="e">
        <f t="shared" si="27"/>
        <v>#N/A</v>
      </c>
      <c r="AG92" s="81" t="e">
        <f t="shared" si="27"/>
        <v>#N/A</v>
      </c>
      <c r="AH92" s="81" t="e">
        <f t="shared" si="27"/>
        <v>#N/A</v>
      </c>
      <c r="AI92" s="81" t="e">
        <f t="shared" si="27"/>
        <v>#N/A</v>
      </c>
      <c r="AJ92" s="81" t="e">
        <f t="shared" si="27"/>
        <v>#N/A</v>
      </c>
      <c r="AK92" s="81" t="e">
        <f t="shared" si="27"/>
        <v>#N/A</v>
      </c>
      <c r="AL92" s="81" t="e">
        <f t="shared" si="27"/>
        <v>#N/A</v>
      </c>
      <c r="AM92" s="81" t="e">
        <f t="shared" si="27"/>
        <v>#N/A</v>
      </c>
    </row>
    <row r="93" spans="2:39" x14ac:dyDescent="0.25">
      <c r="C93" s="82" t="s">
        <v>94</v>
      </c>
      <c r="D93" s="3" t="s">
        <v>159</v>
      </c>
      <c r="E93" s="151" t="e">
        <f t="shared" ref="E93:AM100" si="28">E50/E$49</f>
        <v>#N/A</v>
      </c>
      <c r="F93" s="151" t="e">
        <f t="shared" si="28"/>
        <v>#N/A</v>
      </c>
      <c r="G93" s="151" t="e">
        <f t="shared" si="28"/>
        <v>#N/A</v>
      </c>
      <c r="H93" s="151" t="e">
        <f t="shared" si="28"/>
        <v>#N/A</v>
      </c>
      <c r="I93" s="151" t="e">
        <f t="shared" si="28"/>
        <v>#N/A</v>
      </c>
      <c r="J93" s="150" t="e">
        <f t="shared" si="28"/>
        <v>#N/A</v>
      </c>
      <c r="K93" s="93" t="e">
        <f t="shared" si="28"/>
        <v>#N/A</v>
      </c>
      <c r="L93" s="93" t="e">
        <f t="shared" si="28"/>
        <v>#N/A</v>
      </c>
      <c r="M93" s="93" t="e">
        <f t="shared" si="28"/>
        <v>#N/A</v>
      </c>
      <c r="N93" s="151" t="e">
        <f t="shared" si="28"/>
        <v>#N/A</v>
      </c>
      <c r="O93" s="150" t="e">
        <f t="shared" si="28"/>
        <v>#N/A</v>
      </c>
      <c r="P93" s="93" t="e">
        <f t="shared" si="28"/>
        <v>#N/A</v>
      </c>
      <c r="Q93" s="93" t="e">
        <f t="shared" si="28"/>
        <v>#N/A</v>
      </c>
      <c r="R93" s="93" t="e">
        <f t="shared" si="28"/>
        <v>#N/A</v>
      </c>
      <c r="S93" s="151" t="e">
        <f t="shared" si="28"/>
        <v>#N/A</v>
      </c>
      <c r="T93" s="151" t="e">
        <f t="shared" si="28"/>
        <v>#N/A</v>
      </c>
      <c r="U93" s="151" t="e">
        <f t="shared" si="28"/>
        <v>#N/A</v>
      </c>
      <c r="V93" s="151" t="e">
        <f t="shared" si="28"/>
        <v>#N/A</v>
      </c>
      <c r="W93" s="151" t="e">
        <f t="shared" si="28"/>
        <v>#N/A</v>
      </c>
      <c r="X93" s="143" t="e">
        <f t="shared" si="28"/>
        <v>#N/A</v>
      </c>
      <c r="Y93" s="143" t="e">
        <f t="shared" si="28"/>
        <v>#N/A</v>
      </c>
      <c r="Z93" s="143" t="e">
        <f t="shared" si="28"/>
        <v>#N/A</v>
      </c>
      <c r="AA93" s="143" t="e">
        <f t="shared" si="28"/>
        <v>#N/A</v>
      </c>
      <c r="AB93" s="143" t="e">
        <f t="shared" si="28"/>
        <v>#N/A</v>
      </c>
      <c r="AC93" s="143" t="e">
        <f t="shared" si="28"/>
        <v>#N/A</v>
      </c>
      <c r="AD93" s="143" t="e">
        <f t="shared" si="28"/>
        <v>#N/A</v>
      </c>
      <c r="AE93" s="143" t="e">
        <f t="shared" si="28"/>
        <v>#N/A</v>
      </c>
      <c r="AF93" s="143" t="e">
        <f t="shared" si="28"/>
        <v>#N/A</v>
      </c>
      <c r="AG93" s="143" t="e">
        <f t="shared" si="28"/>
        <v>#N/A</v>
      </c>
      <c r="AH93" s="143" t="e">
        <f t="shared" si="28"/>
        <v>#N/A</v>
      </c>
      <c r="AI93" s="143" t="e">
        <f t="shared" si="28"/>
        <v>#N/A</v>
      </c>
      <c r="AJ93" s="143" t="e">
        <f t="shared" si="28"/>
        <v>#N/A</v>
      </c>
      <c r="AK93" s="143" t="e">
        <f t="shared" si="28"/>
        <v>#N/A</v>
      </c>
      <c r="AL93" s="143" t="e">
        <f t="shared" si="28"/>
        <v>#N/A</v>
      </c>
      <c r="AM93" s="143" t="e">
        <f t="shared" si="28"/>
        <v>#N/A</v>
      </c>
    </row>
    <row r="94" spans="2:39" x14ac:dyDescent="0.25">
      <c r="C94" s="84" t="s">
        <v>27</v>
      </c>
      <c r="D94" s="85" t="s">
        <v>185</v>
      </c>
      <c r="E94" s="134" t="e">
        <f t="shared" si="28"/>
        <v>#N/A</v>
      </c>
      <c r="F94" s="134" t="e">
        <f t="shared" si="28"/>
        <v>#N/A</v>
      </c>
      <c r="G94" s="134" t="e">
        <f t="shared" si="28"/>
        <v>#N/A</v>
      </c>
      <c r="H94" s="134" t="e">
        <f t="shared" si="28"/>
        <v>#N/A</v>
      </c>
      <c r="I94" s="134" t="e">
        <f t="shared" si="28"/>
        <v>#N/A</v>
      </c>
      <c r="J94" s="133" t="e">
        <f t="shared" si="28"/>
        <v>#N/A</v>
      </c>
      <c r="K94" s="90" t="e">
        <f t="shared" si="28"/>
        <v>#N/A</v>
      </c>
      <c r="L94" s="90" t="e">
        <f t="shared" si="28"/>
        <v>#N/A</v>
      </c>
      <c r="M94" s="90" t="e">
        <f t="shared" si="28"/>
        <v>#N/A</v>
      </c>
      <c r="N94" s="134" t="e">
        <f t="shared" si="28"/>
        <v>#N/A</v>
      </c>
      <c r="O94" s="133" t="e">
        <f t="shared" si="28"/>
        <v>#N/A</v>
      </c>
      <c r="P94" s="90" t="e">
        <f t="shared" si="28"/>
        <v>#N/A</v>
      </c>
      <c r="Q94" s="90" t="e">
        <f t="shared" si="28"/>
        <v>#N/A</v>
      </c>
      <c r="R94" s="90" t="e">
        <f t="shared" si="28"/>
        <v>#N/A</v>
      </c>
      <c r="S94" s="134" t="e">
        <f t="shared" si="28"/>
        <v>#N/A</v>
      </c>
      <c r="T94" s="134" t="e">
        <f t="shared" si="28"/>
        <v>#N/A</v>
      </c>
      <c r="U94" s="134" t="e">
        <f t="shared" si="28"/>
        <v>#N/A</v>
      </c>
      <c r="V94" s="134" t="e">
        <f t="shared" si="28"/>
        <v>#N/A</v>
      </c>
      <c r="W94" s="134" t="e">
        <f t="shared" si="28"/>
        <v>#N/A</v>
      </c>
      <c r="X94" s="139" t="e">
        <f t="shared" si="28"/>
        <v>#N/A</v>
      </c>
      <c r="Y94" s="139" t="e">
        <f t="shared" si="28"/>
        <v>#N/A</v>
      </c>
      <c r="Z94" s="139" t="e">
        <f t="shared" si="28"/>
        <v>#N/A</v>
      </c>
      <c r="AA94" s="139" t="e">
        <f t="shared" si="28"/>
        <v>#N/A</v>
      </c>
      <c r="AB94" s="139" t="e">
        <f t="shared" si="28"/>
        <v>#N/A</v>
      </c>
      <c r="AC94" s="139" t="e">
        <f t="shared" si="28"/>
        <v>#N/A</v>
      </c>
      <c r="AD94" s="139" t="e">
        <f t="shared" si="28"/>
        <v>#N/A</v>
      </c>
      <c r="AE94" s="139" t="e">
        <f t="shared" si="28"/>
        <v>#N/A</v>
      </c>
      <c r="AF94" s="139" t="e">
        <f t="shared" si="28"/>
        <v>#N/A</v>
      </c>
      <c r="AG94" s="139" t="e">
        <f t="shared" si="28"/>
        <v>#N/A</v>
      </c>
      <c r="AH94" s="139" t="e">
        <f t="shared" si="28"/>
        <v>#N/A</v>
      </c>
      <c r="AI94" s="139" t="e">
        <f t="shared" si="28"/>
        <v>#N/A</v>
      </c>
      <c r="AJ94" s="139" t="e">
        <f t="shared" si="28"/>
        <v>#N/A</v>
      </c>
      <c r="AK94" s="139" t="e">
        <f t="shared" si="28"/>
        <v>#N/A</v>
      </c>
      <c r="AL94" s="139" t="e">
        <f t="shared" si="28"/>
        <v>#N/A</v>
      </c>
      <c r="AM94" s="139" t="e">
        <f t="shared" si="28"/>
        <v>#N/A</v>
      </c>
    </row>
    <row r="95" spans="2:39" x14ac:dyDescent="0.25">
      <c r="C95" s="56" t="s">
        <v>28</v>
      </c>
      <c r="D95" s="76" t="s">
        <v>186</v>
      </c>
      <c r="E95" s="134" t="e">
        <f t="shared" si="28"/>
        <v>#N/A</v>
      </c>
      <c r="F95" s="134" t="e">
        <f t="shared" si="28"/>
        <v>#N/A</v>
      </c>
      <c r="G95" s="134" t="e">
        <f t="shared" si="28"/>
        <v>#N/A</v>
      </c>
      <c r="H95" s="134" t="e">
        <f t="shared" si="28"/>
        <v>#N/A</v>
      </c>
      <c r="I95" s="134" t="e">
        <f t="shared" si="28"/>
        <v>#N/A</v>
      </c>
      <c r="J95" s="133" t="e">
        <f t="shared" si="28"/>
        <v>#N/A</v>
      </c>
      <c r="K95" s="90" t="e">
        <f t="shared" si="28"/>
        <v>#N/A</v>
      </c>
      <c r="L95" s="90" t="e">
        <f t="shared" si="28"/>
        <v>#N/A</v>
      </c>
      <c r="M95" s="90" t="e">
        <f t="shared" si="28"/>
        <v>#N/A</v>
      </c>
      <c r="N95" s="134" t="e">
        <f t="shared" si="28"/>
        <v>#N/A</v>
      </c>
      <c r="O95" s="133" t="e">
        <f t="shared" si="28"/>
        <v>#N/A</v>
      </c>
      <c r="P95" s="90" t="e">
        <f t="shared" si="28"/>
        <v>#N/A</v>
      </c>
      <c r="Q95" s="90" t="e">
        <f t="shared" si="28"/>
        <v>#N/A</v>
      </c>
      <c r="R95" s="90" t="e">
        <f t="shared" si="28"/>
        <v>#N/A</v>
      </c>
      <c r="S95" s="134" t="e">
        <f t="shared" si="28"/>
        <v>#N/A</v>
      </c>
      <c r="T95" s="134" t="e">
        <f t="shared" si="28"/>
        <v>#N/A</v>
      </c>
      <c r="U95" s="134" t="e">
        <f t="shared" si="28"/>
        <v>#N/A</v>
      </c>
      <c r="V95" s="134" t="e">
        <f t="shared" si="28"/>
        <v>#N/A</v>
      </c>
      <c r="W95" s="134" t="e">
        <f t="shared" si="28"/>
        <v>#N/A</v>
      </c>
      <c r="X95" s="139" t="e">
        <f t="shared" si="28"/>
        <v>#N/A</v>
      </c>
      <c r="Y95" s="139" t="e">
        <f t="shared" si="28"/>
        <v>#N/A</v>
      </c>
      <c r="Z95" s="139" t="e">
        <f t="shared" si="28"/>
        <v>#N/A</v>
      </c>
      <c r="AA95" s="139" t="e">
        <f t="shared" si="28"/>
        <v>#N/A</v>
      </c>
      <c r="AB95" s="139" t="e">
        <f t="shared" si="28"/>
        <v>#N/A</v>
      </c>
      <c r="AC95" s="139" t="e">
        <f t="shared" si="28"/>
        <v>#N/A</v>
      </c>
      <c r="AD95" s="139" t="e">
        <f t="shared" si="28"/>
        <v>#N/A</v>
      </c>
      <c r="AE95" s="139" t="e">
        <f t="shared" si="28"/>
        <v>#N/A</v>
      </c>
      <c r="AF95" s="139" t="e">
        <f t="shared" si="28"/>
        <v>#N/A</v>
      </c>
      <c r="AG95" s="139" t="e">
        <f t="shared" si="28"/>
        <v>#N/A</v>
      </c>
      <c r="AH95" s="139" t="e">
        <f t="shared" si="28"/>
        <v>#N/A</v>
      </c>
      <c r="AI95" s="139" t="e">
        <f t="shared" si="28"/>
        <v>#N/A</v>
      </c>
      <c r="AJ95" s="139" t="e">
        <f t="shared" si="28"/>
        <v>#N/A</v>
      </c>
      <c r="AK95" s="139" t="e">
        <f t="shared" si="28"/>
        <v>#N/A</v>
      </c>
      <c r="AL95" s="139" t="e">
        <f t="shared" si="28"/>
        <v>#N/A</v>
      </c>
      <c r="AM95" s="139" t="e">
        <f t="shared" si="28"/>
        <v>#N/A</v>
      </c>
    </row>
    <row r="96" spans="2:39" x14ac:dyDescent="0.25">
      <c r="C96" s="56" t="s">
        <v>29</v>
      </c>
      <c r="D96" s="76" t="s">
        <v>187</v>
      </c>
      <c r="E96" s="134" t="e">
        <f t="shared" si="28"/>
        <v>#N/A</v>
      </c>
      <c r="F96" s="134" t="e">
        <f t="shared" si="28"/>
        <v>#N/A</v>
      </c>
      <c r="G96" s="134" t="e">
        <f t="shared" si="28"/>
        <v>#N/A</v>
      </c>
      <c r="H96" s="134" t="e">
        <f t="shared" si="28"/>
        <v>#N/A</v>
      </c>
      <c r="I96" s="134" t="e">
        <f t="shared" si="28"/>
        <v>#N/A</v>
      </c>
      <c r="J96" s="133" t="e">
        <f t="shared" si="28"/>
        <v>#N/A</v>
      </c>
      <c r="K96" s="90" t="e">
        <f t="shared" si="28"/>
        <v>#N/A</v>
      </c>
      <c r="L96" s="90" t="e">
        <f t="shared" si="28"/>
        <v>#N/A</v>
      </c>
      <c r="M96" s="90" t="e">
        <f t="shared" si="28"/>
        <v>#N/A</v>
      </c>
      <c r="N96" s="134" t="e">
        <f t="shared" si="28"/>
        <v>#N/A</v>
      </c>
      <c r="O96" s="133" t="e">
        <f t="shared" si="28"/>
        <v>#N/A</v>
      </c>
      <c r="P96" s="90" t="e">
        <f t="shared" si="28"/>
        <v>#N/A</v>
      </c>
      <c r="Q96" s="90" t="e">
        <f t="shared" si="28"/>
        <v>#N/A</v>
      </c>
      <c r="R96" s="90" t="e">
        <f t="shared" si="28"/>
        <v>#N/A</v>
      </c>
      <c r="S96" s="134" t="e">
        <f t="shared" si="28"/>
        <v>#N/A</v>
      </c>
      <c r="T96" s="134" t="e">
        <f t="shared" si="28"/>
        <v>#N/A</v>
      </c>
      <c r="U96" s="134" t="e">
        <f t="shared" si="28"/>
        <v>#N/A</v>
      </c>
      <c r="V96" s="134" t="e">
        <f t="shared" si="28"/>
        <v>#N/A</v>
      </c>
      <c r="W96" s="134" t="e">
        <f t="shared" si="28"/>
        <v>#N/A</v>
      </c>
      <c r="X96" s="139" t="e">
        <f t="shared" si="28"/>
        <v>#N/A</v>
      </c>
      <c r="Y96" s="139" t="e">
        <f t="shared" si="28"/>
        <v>#N/A</v>
      </c>
      <c r="Z96" s="139" t="e">
        <f t="shared" si="28"/>
        <v>#N/A</v>
      </c>
      <c r="AA96" s="139" t="e">
        <f t="shared" si="28"/>
        <v>#N/A</v>
      </c>
      <c r="AB96" s="139" t="e">
        <f t="shared" si="28"/>
        <v>#N/A</v>
      </c>
      <c r="AC96" s="139" t="e">
        <f t="shared" si="28"/>
        <v>#N/A</v>
      </c>
      <c r="AD96" s="139" t="e">
        <f t="shared" si="28"/>
        <v>#N/A</v>
      </c>
      <c r="AE96" s="139" t="e">
        <f t="shared" si="28"/>
        <v>#N/A</v>
      </c>
      <c r="AF96" s="139" t="e">
        <f t="shared" si="28"/>
        <v>#N/A</v>
      </c>
      <c r="AG96" s="139" t="e">
        <f t="shared" si="28"/>
        <v>#N/A</v>
      </c>
      <c r="AH96" s="139" t="e">
        <f t="shared" si="28"/>
        <v>#N/A</v>
      </c>
      <c r="AI96" s="139" t="e">
        <f t="shared" si="28"/>
        <v>#N/A</v>
      </c>
      <c r="AJ96" s="139" t="e">
        <f t="shared" si="28"/>
        <v>#N/A</v>
      </c>
      <c r="AK96" s="139" t="e">
        <f t="shared" si="28"/>
        <v>#N/A</v>
      </c>
      <c r="AL96" s="139" t="e">
        <f t="shared" si="28"/>
        <v>#N/A</v>
      </c>
      <c r="AM96" s="139" t="e">
        <f t="shared" si="28"/>
        <v>#N/A</v>
      </c>
    </row>
    <row r="97" spans="3:40" x14ac:dyDescent="0.25">
      <c r="C97" s="56" t="s">
        <v>30</v>
      </c>
      <c r="D97" s="76" t="s">
        <v>188</v>
      </c>
      <c r="E97" s="134" t="e">
        <f t="shared" si="28"/>
        <v>#N/A</v>
      </c>
      <c r="F97" s="134" t="e">
        <f t="shared" si="28"/>
        <v>#N/A</v>
      </c>
      <c r="G97" s="134" t="e">
        <f t="shared" si="28"/>
        <v>#N/A</v>
      </c>
      <c r="H97" s="134" t="e">
        <f t="shared" si="28"/>
        <v>#N/A</v>
      </c>
      <c r="I97" s="134" t="e">
        <f t="shared" si="28"/>
        <v>#N/A</v>
      </c>
      <c r="J97" s="133" t="e">
        <f t="shared" si="28"/>
        <v>#N/A</v>
      </c>
      <c r="K97" s="90" t="e">
        <f t="shared" si="28"/>
        <v>#N/A</v>
      </c>
      <c r="L97" s="90" t="e">
        <f t="shared" si="28"/>
        <v>#N/A</v>
      </c>
      <c r="M97" s="90" t="e">
        <f t="shared" si="28"/>
        <v>#N/A</v>
      </c>
      <c r="N97" s="134" t="e">
        <f t="shared" si="28"/>
        <v>#N/A</v>
      </c>
      <c r="O97" s="133" t="e">
        <f t="shared" si="28"/>
        <v>#N/A</v>
      </c>
      <c r="P97" s="90" t="e">
        <f t="shared" si="28"/>
        <v>#N/A</v>
      </c>
      <c r="Q97" s="90" t="e">
        <f t="shared" si="28"/>
        <v>#N/A</v>
      </c>
      <c r="R97" s="90" t="e">
        <f t="shared" si="28"/>
        <v>#N/A</v>
      </c>
      <c r="S97" s="134" t="e">
        <f t="shared" si="28"/>
        <v>#N/A</v>
      </c>
      <c r="T97" s="134" t="e">
        <f t="shared" si="28"/>
        <v>#N/A</v>
      </c>
      <c r="U97" s="134" t="e">
        <f t="shared" si="28"/>
        <v>#N/A</v>
      </c>
      <c r="V97" s="134" t="e">
        <f t="shared" si="28"/>
        <v>#N/A</v>
      </c>
      <c r="W97" s="134" t="e">
        <f t="shared" si="28"/>
        <v>#N/A</v>
      </c>
      <c r="X97" s="139" t="e">
        <f t="shared" si="28"/>
        <v>#N/A</v>
      </c>
      <c r="Y97" s="139" t="e">
        <f t="shared" si="28"/>
        <v>#N/A</v>
      </c>
      <c r="Z97" s="139" t="e">
        <f t="shared" si="28"/>
        <v>#N/A</v>
      </c>
      <c r="AA97" s="139" t="e">
        <f t="shared" si="28"/>
        <v>#N/A</v>
      </c>
      <c r="AB97" s="139" t="e">
        <f t="shared" si="28"/>
        <v>#N/A</v>
      </c>
      <c r="AC97" s="139" t="e">
        <f t="shared" si="28"/>
        <v>#N/A</v>
      </c>
      <c r="AD97" s="139" t="e">
        <f t="shared" si="28"/>
        <v>#N/A</v>
      </c>
      <c r="AE97" s="139" t="e">
        <f t="shared" si="28"/>
        <v>#N/A</v>
      </c>
      <c r="AF97" s="139" t="e">
        <f t="shared" si="28"/>
        <v>#N/A</v>
      </c>
      <c r="AG97" s="139" t="e">
        <f t="shared" si="28"/>
        <v>#N/A</v>
      </c>
      <c r="AH97" s="139" t="e">
        <f t="shared" si="28"/>
        <v>#N/A</v>
      </c>
      <c r="AI97" s="139" t="e">
        <f t="shared" si="28"/>
        <v>#N/A</v>
      </c>
      <c r="AJ97" s="139" t="e">
        <f t="shared" si="28"/>
        <v>#N/A</v>
      </c>
      <c r="AK97" s="139" t="e">
        <f t="shared" si="28"/>
        <v>#N/A</v>
      </c>
      <c r="AL97" s="139" t="e">
        <f t="shared" si="28"/>
        <v>#N/A</v>
      </c>
      <c r="AM97" s="139" t="e">
        <f t="shared" si="28"/>
        <v>#N/A</v>
      </c>
    </row>
    <row r="98" spans="3:40" x14ac:dyDescent="0.25">
      <c r="C98" s="56" t="s">
        <v>31</v>
      </c>
      <c r="D98" s="76" t="s">
        <v>189</v>
      </c>
      <c r="E98" s="134" t="e">
        <f t="shared" si="28"/>
        <v>#N/A</v>
      </c>
      <c r="F98" s="134" t="e">
        <f t="shared" si="28"/>
        <v>#N/A</v>
      </c>
      <c r="G98" s="134" t="e">
        <f t="shared" si="28"/>
        <v>#N/A</v>
      </c>
      <c r="H98" s="134" t="e">
        <f t="shared" si="28"/>
        <v>#N/A</v>
      </c>
      <c r="I98" s="134" t="e">
        <f t="shared" si="28"/>
        <v>#N/A</v>
      </c>
      <c r="J98" s="133" t="e">
        <f t="shared" si="28"/>
        <v>#N/A</v>
      </c>
      <c r="K98" s="90" t="e">
        <f t="shared" si="28"/>
        <v>#N/A</v>
      </c>
      <c r="L98" s="90" t="e">
        <f t="shared" si="28"/>
        <v>#N/A</v>
      </c>
      <c r="M98" s="90" t="e">
        <f t="shared" si="28"/>
        <v>#N/A</v>
      </c>
      <c r="N98" s="134" t="e">
        <f t="shared" si="28"/>
        <v>#N/A</v>
      </c>
      <c r="O98" s="133" t="e">
        <f t="shared" si="28"/>
        <v>#N/A</v>
      </c>
      <c r="P98" s="90" t="e">
        <f t="shared" si="28"/>
        <v>#N/A</v>
      </c>
      <c r="Q98" s="90" t="e">
        <f t="shared" si="28"/>
        <v>#N/A</v>
      </c>
      <c r="R98" s="90" t="e">
        <f t="shared" si="28"/>
        <v>#N/A</v>
      </c>
      <c r="S98" s="134" t="e">
        <f t="shared" si="28"/>
        <v>#N/A</v>
      </c>
      <c r="T98" s="134" t="e">
        <f t="shared" si="28"/>
        <v>#N/A</v>
      </c>
      <c r="U98" s="134" t="e">
        <f t="shared" si="28"/>
        <v>#N/A</v>
      </c>
      <c r="V98" s="134" t="e">
        <f t="shared" si="28"/>
        <v>#N/A</v>
      </c>
      <c r="W98" s="134" t="e">
        <f t="shared" si="28"/>
        <v>#N/A</v>
      </c>
      <c r="X98" s="139" t="e">
        <f t="shared" si="28"/>
        <v>#N/A</v>
      </c>
      <c r="Y98" s="139" t="e">
        <f t="shared" si="28"/>
        <v>#N/A</v>
      </c>
      <c r="Z98" s="139" t="e">
        <f t="shared" si="28"/>
        <v>#N/A</v>
      </c>
      <c r="AA98" s="139" t="e">
        <f t="shared" si="28"/>
        <v>#N/A</v>
      </c>
      <c r="AB98" s="139" t="e">
        <f t="shared" si="28"/>
        <v>#N/A</v>
      </c>
      <c r="AC98" s="139" t="e">
        <f t="shared" si="28"/>
        <v>#N/A</v>
      </c>
      <c r="AD98" s="139" t="e">
        <f t="shared" si="28"/>
        <v>#N/A</v>
      </c>
      <c r="AE98" s="139" t="e">
        <f t="shared" si="28"/>
        <v>#N/A</v>
      </c>
      <c r="AF98" s="139" t="e">
        <f t="shared" si="28"/>
        <v>#N/A</v>
      </c>
      <c r="AG98" s="139" t="e">
        <f t="shared" si="28"/>
        <v>#N/A</v>
      </c>
      <c r="AH98" s="139" t="e">
        <f t="shared" si="28"/>
        <v>#N/A</v>
      </c>
      <c r="AI98" s="139" t="e">
        <f t="shared" si="28"/>
        <v>#N/A</v>
      </c>
      <c r="AJ98" s="139" t="e">
        <f t="shared" si="28"/>
        <v>#N/A</v>
      </c>
      <c r="AK98" s="139" t="e">
        <f t="shared" si="28"/>
        <v>#N/A</v>
      </c>
      <c r="AL98" s="139" t="e">
        <f t="shared" si="28"/>
        <v>#N/A</v>
      </c>
      <c r="AM98" s="139" t="e">
        <f t="shared" si="28"/>
        <v>#N/A</v>
      </c>
    </row>
    <row r="99" spans="3:40" x14ac:dyDescent="0.25">
      <c r="C99" s="56" t="s">
        <v>32</v>
      </c>
      <c r="D99" s="76" t="s">
        <v>190</v>
      </c>
      <c r="E99" s="134" t="e">
        <f t="shared" si="28"/>
        <v>#N/A</v>
      </c>
      <c r="F99" s="134" t="e">
        <f t="shared" si="28"/>
        <v>#N/A</v>
      </c>
      <c r="G99" s="134" t="e">
        <f t="shared" si="28"/>
        <v>#N/A</v>
      </c>
      <c r="H99" s="134" t="e">
        <f t="shared" si="28"/>
        <v>#N/A</v>
      </c>
      <c r="I99" s="134" t="e">
        <f t="shared" si="28"/>
        <v>#N/A</v>
      </c>
      <c r="J99" s="133" t="e">
        <f t="shared" si="28"/>
        <v>#N/A</v>
      </c>
      <c r="K99" s="90" t="e">
        <f t="shared" si="28"/>
        <v>#N/A</v>
      </c>
      <c r="L99" s="90" t="e">
        <f t="shared" si="28"/>
        <v>#N/A</v>
      </c>
      <c r="M99" s="90" t="e">
        <f t="shared" si="28"/>
        <v>#N/A</v>
      </c>
      <c r="N99" s="134" t="e">
        <f t="shared" si="28"/>
        <v>#N/A</v>
      </c>
      <c r="O99" s="133" t="e">
        <f t="shared" si="28"/>
        <v>#N/A</v>
      </c>
      <c r="P99" s="90" t="e">
        <f t="shared" si="28"/>
        <v>#N/A</v>
      </c>
      <c r="Q99" s="90" t="e">
        <f t="shared" si="28"/>
        <v>#N/A</v>
      </c>
      <c r="R99" s="90" t="e">
        <f t="shared" si="28"/>
        <v>#N/A</v>
      </c>
      <c r="S99" s="134" t="e">
        <f t="shared" si="28"/>
        <v>#N/A</v>
      </c>
      <c r="T99" s="134" t="e">
        <f t="shared" si="28"/>
        <v>#N/A</v>
      </c>
      <c r="U99" s="134" t="e">
        <f t="shared" si="28"/>
        <v>#N/A</v>
      </c>
      <c r="V99" s="134" t="e">
        <f t="shared" si="28"/>
        <v>#N/A</v>
      </c>
      <c r="W99" s="134" t="e">
        <f t="shared" si="28"/>
        <v>#N/A</v>
      </c>
      <c r="X99" s="139" t="e">
        <f t="shared" si="28"/>
        <v>#N/A</v>
      </c>
      <c r="Y99" s="139" t="e">
        <f t="shared" si="28"/>
        <v>#N/A</v>
      </c>
      <c r="Z99" s="139" t="e">
        <f t="shared" si="28"/>
        <v>#N/A</v>
      </c>
      <c r="AA99" s="139" t="e">
        <f t="shared" si="28"/>
        <v>#N/A</v>
      </c>
      <c r="AB99" s="139" t="e">
        <f t="shared" si="28"/>
        <v>#N/A</v>
      </c>
      <c r="AC99" s="139" t="e">
        <f t="shared" si="28"/>
        <v>#N/A</v>
      </c>
      <c r="AD99" s="139" t="e">
        <f t="shared" si="28"/>
        <v>#N/A</v>
      </c>
      <c r="AE99" s="139" t="e">
        <f t="shared" si="28"/>
        <v>#N/A</v>
      </c>
      <c r="AF99" s="139" t="e">
        <f t="shared" si="28"/>
        <v>#N/A</v>
      </c>
      <c r="AG99" s="139" t="e">
        <f t="shared" si="28"/>
        <v>#N/A</v>
      </c>
      <c r="AH99" s="139" t="e">
        <f t="shared" si="28"/>
        <v>#N/A</v>
      </c>
      <c r="AI99" s="139" t="e">
        <f t="shared" si="28"/>
        <v>#N/A</v>
      </c>
      <c r="AJ99" s="139" t="e">
        <f t="shared" si="28"/>
        <v>#N/A</v>
      </c>
      <c r="AK99" s="139" t="e">
        <f t="shared" si="28"/>
        <v>#N/A</v>
      </c>
      <c r="AL99" s="139" t="e">
        <f t="shared" si="28"/>
        <v>#N/A</v>
      </c>
      <c r="AM99" s="139" t="e">
        <f t="shared" si="28"/>
        <v>#N/A</v>
      </c>
    </row>
    <row r="100" spans="3:40" x14ac:dyDescent="0.25">
      <c r="C100" s="56" t="s">
        <v>33</v>
      </c>
      <c r="D100" s="76" t="s">
        <v>191</v>
      </c>
      <c r="E100" s="134" t="e">
        <f t="shared" si="28"/>
        <v>#N/A</v>
      </c>
      <c r="F100" s="134" t="e">
        <f t="shared" si="28"/>
        <v>#N/A</v>
      </c>
      <c r="G100" s="134" t="e">
        <f t="shared" si="28"/>
        <v>#N/A</v>
      </c>
      <c r="H100" s="134" t="e">
        <f t="shared" si="28"/>
        <v>#N/A</v>
      </c>
      <c r="I100" s="134" t="e">
        <f t="shared" si="28"/>
        <v>#N/A</v>
      </c>
      <c r="J100" s="133" t="e">
        <f t="shared" si="28"/>
        <v>#N/A</v>
      </c>
      <c r="K100" s="90" t="e">
        <f t="shared" si="28"/>
        <v>#N/A</v>
      </c>
      <c r="L100" s="90" t="e">
        <f t="shared" si="28"/>
        <v>#N/A</v>
      </c>
      <c r="M100" s="90" t="e">
        <f t="shared" si="28"/>
        <v>#N/A</v>
      </c>
      <c r="N100" s="134" t="e">
        <f t="shared" si="28"/>
        <v>#N/A</v>
      </c>
      <c r="O100" s="133" t="e">
        <f t="shared" ref="O100:AM108" si="29">O57/O$49</f>
        <v>#N/A</v>
      </c>
      <c r="P100" s="90" t="e">
        <f t="shared" si="29"/>
        <v>#N/A</v>
      </c>
      <c r="Q100" s="90" t="e">
        <f t="shared" si="29"/>
        <v>#N/A</v>
      </c>
      <c r="R100" s="90" t="e">
        <f t="shared" si="29"/>
        <v>#N/A</v>
      </c>
      <c r="S100" s="134" t="e">
        <f t="shared" si="29"/>
        <v>#N/A</v>
      </c>
      <c r="T100" s="134" t="e">
        <f t="shared" si="29"/>
        <v>#N/A</v>
      </c>
      <c r="U100" s="134" t="e">
        <f t="shared" si="29"/>
        <v>#N/A</v>
      </c>
      <c r="V100" s="134" t="e">
        <f t="shared" si="29"/>
        <v>#N/A</v>
      </c>
      <c r="W100" s="134" t="e">
        <f t="shared" si="29"/>
        <v>#N/A</v>
      </c>
      <c r="X100" s="139" t="e">
        <f t="shared" si="29"/>
        <v>#N/A</v>
      </c>
      <c r="Y100" s="139" t="e">
        <f t="shared" si="29"/>
        <v>#N/A</v>
      </c>
      <c r="Z100" s="139" t="e">
        <f t="shared" si="29"/>
        <v>#N/A</v>
      </c>
      <c r="AA100" s="139" t="e">
        <f t="shared" si="29"/>
        <v>#N/A</v>
      </c>
      <c r="AB100" s="139" t="e">
        <f t="shared" si="29"/>
        <v>#N/A</v>
      </c>
      <c r="AC100" s="139" t="e">
        <f t="shared" si="29"/>
        <v>#N/A</v>
      </c>
      <c r="AD100" s="139" t="e">
        <f t="shared" si="29"/>
        <v>#N/A</v>
      </c>
      <c r="AE100" s="139" t="e">
        <f t="shared" si="29"/>
        <v>#N/A</v>
      </c>
      <c r="AF100" s="139" t="e">
        <f t="shared" si="29"/>
        <v>#N/A</v>
      </c>
      <c r="AG100" s="139" t="e">
        <f t="shared" si="29"/>
        <v>#N/A</v>
      </c>
      <c r="AH100" s="139" t="e">
        <f t="shared" si="29"/>
        <v>#N/A</v>
      </c>
      <c r="AI100" s="139" t="e">
        <f t="shared" si="29"/>
        <v>#N/A</v>
      </c>
      <c r="AJ100" s="139" t="e">
        <f t="shared" si="29"/>
        <v>#N/A</v>
      </c>
      <c r="AK100" s="139" t="e">
        <f t="shared" si="29"/>
        <v>#N/A</v>
      </c>
      <c r="AL100" s="139" t="e">
        <f t="shared" si="29"/>
        <v>#N/A</v>
      </c>
      <c r="AM100" s="139" t="e">
        <f t="shared" si="29"/>
        <v>#N/A</v>
      </c>
    </row>
    <row r="101" spans="3:40" x14ac:dyDescent="0.25">
      <c r="C101" s="86" t="s">
        <v>95</v>
      </c>
      <c r="D101" s="74" t="s">
        <v>183</v>
      </c>
      <c r="E101" s="151" t="e">
        <f t="shared" ref="E101:AM108" si="30">E58/E$49</f>
        <v>#N/A</v>
      </c>
      <c r="F101" s="151" t="e">
        <f t="shared" si="30"/>
        <v>#N/A</v>
      </c>
      <c r="G101" s="151" t="e">
        <f t="shared" si="30"/>
        <v>#N/A</v>
      </c>
      <c r="H101" s="151" t="e">
        <f t="shared" si="30"/>
        <v>#N/A</v>
      </c>
      <c r="I101" s="151" t="e">
        <f t="shared" si="30"/>
        <v>#N/A</v>
      </c>
      <c r="J101" s="150" t="e">
        <f t="shared" si="30"/>
        <v>#N/A</v>
      </c>
      <c r="K101" s="93" t="e">
        <f t="shared" si="30"/>
        <v>#N/A</v>
      </c>
      <c r="L101" s="93" t="e">
        <f t="shared" si="30"/>
        <v>#N/A</v>
      </c>
      <c r="M101" s="93" t="e">
        <f t="shared" si="30"/>
        <v>#N/A</v>
      </c>
      <c r="N101" s="151" t="e">
        <f t="shared" si="30"/>
        <v>#N/A</v>
      </c>
      <c r="O101" s="150" t="e">
        <f t="shared" si="30"/>
        <v>#N/A</v>
      </c>
      <c r="P101" s="93" t="e">
        <f t="shared" si="30"/>
        <v>#N/A</v>
      </c>
      <c r="Q101" s="93" t="e">
        <f t="shared" si="30"/>
        <v>#N/A</v>
      </c>
      <c r="R101" s="93" t="e">
        <f t="shared" si="30"/>
        <v>#N/A</v>
      </c>
      <c r="S101" s="151" t="e">
        <f t="shared" si="30"/>
        <v>#N/A</v>
      </c>
      <c r="T101" s="151" t="e">
        <f t="shared" si="29"/>
        <v>#N/A</v>
      </c>
      <c r="U101" s="151" t="e">
        <f t="shared" si="29"/>
        <v>#N/A</v>
      </c>
      <c r="V101" s="151" t="e">
        <f t="shared" si="29"/>
        <v>#N/A</v>
      </c>
      <c r="W101" s="151" t="e">
        <f t="shared" si="29"/>
        <v>#N/A</v>
      </c>
      <c r="X101" s="143" t="e">
        <f t="shared" si="30"/>
        <v>#N/A</v>
      </c>
      <c r="Y101" s="143" t="e">
        <f t="shared" si="29"/>
        <v>#N/A</v>
      </c>
      <c r="Z101" s="143" t="e">
        <f t="shared" si="29"/>
        <v>#N/A</v>
      </c>
      <c r="AA101" s="143" t="e">
        <f t="shared" si="29"/>
        <v>#N/A</v>
      </c>
      <c r="AB101" s="143" t="e">
        <f t="shared" si="29"/>
        <v>#N/A</v>
      </c>
      <c r="AC101" s="143" t="e">
        <f t="shared" si="30"/>
        <v>#N/A</v>
      </c>
      <c r="AD101" s="143" t="e">
        <f t="shared" si="29"/>
        <v>#N/A</v>
      </c>
      <c r="AE101" s="143" t="e">
        <f t="shared" si="29"/>
        <v>#N/A</v>
      </c>
      <c r="AF101" s="143" t="e">
        <f t="shared" si="29"/>
        <v>#N/A</v>
      </c>
      <c r="AG101" s="143" t="e">
        <f t="shared" si="29"/>
        <v>#N/A</v>
      </c>
      <c r="AH101" s="143" t="e">
        <f t="shared" si="30"/>
        <v>#N/A</v>
      </c>
      <c r="AI101" s="143" t="e">
        <f t="shared" si="29"/>
        <v>#N/A</v>
      </c>
      <c r="AJ101" s="143" t="e">
        <f t="shared" si="29"/>
        <v>#N/A</v>
      </c>
      <c r="AK101" s="143" t="e">
        <f t="shared" si="29"/>
        <v>#N/A</v>
      </c>
      <c r="AL101" s="143" t="e">
        <f t="shared" si="29"/>
        <v>#N/A</v>
      </c>
      <c r="AM101" s="143" t="e">
        <f t="shared" si="30"/>
        <v>#N/A</v>
      </c>
      <c r="AN101" s="160"/>
    </row>
    <row r="102" spans="3:40" x14ac:dyDescent="0.25">
      <c r="C102" s="56" t="s">
        <v>27</v>
      </c>
      <c r="D102" s="76" t="s">
        <v>192</v>
      </c>
      <c r="E102" s="153" t="e">
        <f t="shared" si="30"/>
        <v>#N/A</v>
      </c>
      <c r="F102" s="153" t="e">
        <f t="shared" si="30"/>
        <v>#N/A</v>
      </c>
      <c r="G102" s="153" t="e">
        <f t="shared" si="30"/>
        <v>#N/A</v>
      </c>
      <c r="H102" s="153" t="e">
        <f t="shared" si="30"/>
        <v>#N/A</v>
      </c>
      <c r="I102" s="153" t="e">
        <f t="shared" si="30"/>
        <v>#N/A</v>
      </c>
      <c r="J102" s="152" t="e">
        <f t="shared" si="30"/>
        <v>#N/A</v>
      </c>
      <c r="K102" s="94" t="e">
        <f t="shared" si="30"/>
        <v>#N/A</v>
      </c>
      <c r="L102" s="94" t="e">
        <f t="shared" si="30"/>
        <v>#N/A</v>
      </c>
      <c r="M102" s="94" t="e">
        <f t="shared" si="30"/>
        <v>#N/A</v>
      </c>
      <c r="N102" s="153" t="e">
        <f t="shared" si="30"/>
        <v>#N/A</v>
      </c>
      <c r="O102" s="152" t="e">
        <f t="shared" si="30"/>
        <v>#N/A</v>
      </c>
      <c r="P102" s="94" t="e">
        <f t="shared" si="30"/>
        <v>#N/A</v>
      </c>
      <c r="Q102" s="94" t="e">
        <f t="shared" si="30"/>
        <v>#N/A</v>
      </c>
      <c r="R102" s="94" t="e">
        <f t="shared" si="30"/>
        <v>#N/A</v>
      </c>
      <c r="S102" s="153" t="e">
        <f t="shared" si="30"/>
        <v>#N/A</v>
      </c>
      <c r="T102" s="153" t="e">
        <f t="shared" si="29"/>
        <v>#N/A</v>
      </c>
      <c r="U102" s="153" t="e">
        <f t="shared" si="29"/>
        <v>#N/A</v>
      </c>
      <c r="V102" s="153" t="e">
        <f t="shared" si="29"/>
        <v>#N/A</v>
      </c>
      <c r="W102" s="153" t="e">
        <f t="shared" si="29"/>
        <v>#N/A</v>
      </c>
      <c r="X102" s="144" t="e">
        <f t="shared" si="30"/>
        <v>#N/A</v>
      </c>
      <c r="Y102" s="144" t="e">
        <f t="shared" si="29"/>
        <v>#N/A</v>
      </c>
      <c r="Z102" s="144" t="e">
        <f t="shared" si="29"/>
        <v>#N/A</v>
      </c>
      <c r="AA102" s="144" t="e">
        <f t="shared" si="29"/>
        <v>#N/A</v>
      </c>
      <c r="AB102" s="144" t="e">
        <f t="shared" si="29"/>
        <v>#N/A</v>
      </c>
      <c r="AC102" s="144" t="e">
        <f t="shared" si="30"/>
        <v>#N/A</v>
      </c>
      <c r="AD102" s="144" t="e">
        <f t="shared" si="29"/>
        <v>#N/A</v>
      </c>
      <c r="AE102" s="144" t="e">
        <f t="shared" si="29"/>
        <v>#N/A</v>
      </c>
      <c r="AF102" s="144" t="e">
        <f t="shared" si="29"/>
        <v>#N/A</v>
      </c>
      <c r="AG102" s="144" t="e">
        <f t="shared" si="29"/>
        <v>#N/A</v>
      </c>
      <c r="AH102" s="144" t="e">
        <f t="shared" si="30"/>
        <v>#N/A</v>
      </c>
      <c r="AI102" s="144" t="e">
        <f t="shared" si="29"/>
        <v>#N/A</v>
      </c>
      <c r="AJ102" s="144" t="e">
        <f t="shared" si="29"/>
        <v>#N/A</v>
      </c>
      <c r="AK102" s="144" t="e">
        <f t="shared" si="29"/>
        <v>#N/A</v>
      </c>
      <c r="AL102" s="144" t="e">
        <f t="shared" si="29"/>
        <v>#N/A</v>
      </c>
      <c r="AM102" s="144" t="e">
        <f t="shared" si="30"/>
        <v>#N/A</v>
      </c>
    </row>
    <row r="103" spans="3:40" x14ac:dyDescent="0.25">
      <c r="C103" s="56" t="s">
        <v>28</v>
      </c>
      <c r="D103" s="76" t="s">
        <v>193</v>
      </c>
      <c r="E103" s="153" t="e">
        <f t="shared" si="30"/>
        <v>#N/A</v>
      </c>
      <c r="F103" s="153" t="e">
        <f t="shared" si="30"/>
        <v>#N/A</v>
      </c>
      <c r="G103" s="153" t="e">
        <f t="shared" si="30"/>
        <v>#N/A</v>
      </c>
      <c r="H103" s="153" t="e">
        <f t="shared" si="30"/>
        <v>#N/A</v>
      </c>
      <c r="I103" s="153" t="e">
        <f t="shared" si="30"/>
        <v>#N/A</v>
      </c>
      <c r="J103" s="152" t="e">
        <f t="shared" si="30"/>
        <v>#N/A</v>
      </c>
      <c r="K103" s="94" t="e">
        <f t="shared" si="30"/>
        <v>#N/A</v>
      </c>
      <c r="L103" s="94" t="e">
        <f t="shared" si="30"/>
        <v>#N/A</v>
      </c>
      <c r="M103" s="94" t="e">
        <f t="shared" si="30"/>
        <v>#N/A</v>
      </c>
      <c r="N103" s="153" t="e">
        <f t="shared" si="30"/>
        <v>#N/A</v>
      </c>
      <c r="O103" s="152" t="e">
        <f t="shared" si="30"/>
        <v>#N/A</v>
      </c>
      <c r="P103" s="94" t="e">
        <f t="shared" si="30"/>
        <v>#N/A</v>
      </c>
      <c r="Q103" s="94" t="e">
        <f t="shared" si="30"/>
        <v>#N/A</v>
      </c>
      <c r="R103" s="94" t="e">
        <f t="shared" si="30"/>
        <v>#N/A</v>
      </c>
      <c r="S103" s="153" t="e">
        <f t="shared" si="30"/>
        <v>#N/A</v>
      </c>
      <c r="T103" s="153" t="e">
        <f t="shared" si="29"/>
        <v>#N/A</v>
      </c>
      <c r="U103" s="153" t="e">
        <f t="shared" si="29"/>
        <v>#N/A</v>
      </c>
      <c r="V103" s="153" t="e">
        <f t="shared" si="29"/>
        <v>#N/A</v>
      </c>
      <c r="W103" s="153" t="e">
        <f t="shared" si="29"/>
        <v>#N/A</v>
      </c>
      <c r="X103" s="144" t="e">
        <f t="shared" si="30"/>
        <v>#N/A</v>
      </c>
      <c r="Y103" s="144" t="e">
        <f t="shared" si="29"/>
        <v>#N/A</v>
      </c>
      <c r="Z103" s="144" t="e">
        <f t="shared" si="29"/>
        <v>#N/A</v>
      </c>
      <c r="AA103" s="144" t="e">
        <f t="shared" si="29"/>
        <v>#N/A</v>
      </c>
      <c r="AB103" s="144" t="e">
        <f t="shared" si="29"/>
        <v>#N/A</v>
      </c>
      <c r="AC103" s="144" t="e">
        <f t="shared" si="30"/>
        <v>#N/A</v>
      </c>
      <c r="AD103" s="144" t="e">
        <f t="shared" si="29"/>
        <v>#N/A</v>
      </c>
      <c r="AE103" s="144" t="e">
        <f t="shared" si="29"/>
        <v>#N/A</v>
      </c>
      <c r="AF103" s="144" t="e">
        <f t="shared" si="29"/>
        <v>#N/A</v>
      </c>
      <c r="AG103" s="144" t="e">
        <f t="shared" si="29"/>
        <v>#N/A</v>
      </c>
      <c r="AH103" s="144" t="e">
        <f t="shared" si="30"/>
        <v>#N/A</v>
      </c>
      <c r="AI103" s="144" t="e">
        <f t="shared" si="29"/>
        <v>#N/A</v>
      </c>
      <c r="AJ103" s="144" t="e">
        <f t="shared" si="29"/>
        <v>#N/A</v>
      </c>
      <c r="AK103" s="144" t="e">
        <f t="shared" si="29"/>
        <v>#N/A</v>
      </c>
      <c r="AL103" s="144" t="e">
        <f t="shared" si="29"/>
        <v>#N/A</v>
      </c>
      <c r="AM103" s="144" t="e">
        <f t="shared" si="30"/>
        <v>#N/A</v>
      </c>
    </row>
    <row r="104" spans="3:40" x14ac:dyDescent="0.25">
      <c r="C104" s="56" t="s">
        <v>29</v>
      </c>
      <c r="D104" s="76" t="s">
        <v>194</v>
      </c>
      <c r="E104" s="153" t="e">
        <f t="shared" si="30"/>
        <v>#N/A</v>
      </c>
      <c r="F104" s="153" t="e">
        <f t="shared" si="30"/>
        <v>#N/A</v>
      </c>
      <c r="G104" s="153" t="e">
        <f t="shared" si="30"/>
        <v>#N/A</v>
      </c>
      <c r="H104" s="153" t="e">
        <f t="shared" si="30"/>
        <v>#N/A</v>
      </c>
      <c r="I104" s="153" t="e">
        <f t="shared" si="30"/>
        <v>#N/A</v>
      </c>
      <c r="J104" s="152" t="e">
        <f t="shared" si="30"/>
        <v>#N/A</v>
      </c>
      <c r="K104" s="94" t="e">
        <f t="shared" si="30"/>
        <v>#N/A</v>
      </c>
      <c r="L104" s="94" t="e">
        <f t="shared" si="30"/>
        <v>#N/A</v>
      </c>
      <c r="M104" s="94" t="e">
        <f t="shared" si="30"/>
        <v>#N/A</v>
      </c>
      <c r="N104" s="153" t="e">
        <f t="shared" si="30"/>
        <v>#N/A</v>
      </c>
      <c r="O104" s="152" t="e">
        <f t="shared" si="30"/>
        <v>#N/A</v>
      </c>
      <c r="P104" s="94" t="e">
        <f t="shared" si="30"/>
        <v>#N/A</v>
      </c>
      <c r="Q104" s="94" t="e">
        <f t="shared" si="30"/>
        <v>#N/A</v>
      </c>
      <c r="R104" s="94" t="e">
        <f t="shared" si="30"/>
        <v>#N/A</v>
      </c>
      <c r="S104" s="153" t="e">
        <f t="shared" si="30"/>
        <v>#N/A</v>
      </c>
      <c r="T104" s="153" t="e">
        <f t="shared" si="29"/>
        <v>#N/A</v>
      </c>
      <c r="U104" s="153" t="e">
        <f t="shared" si="29"/>
        <v>#N/A</v>
      </c>
      <c r="V104" s="153" t="e">
        <f t="shared" si="29"/>
        <v>#N/A</v>
      </c>
      <c r="W104" s="153" t="e">
        <f t="shared" si="29"/>
        <v>#N/A</v>
      </c>
      <c r="X104" s="144" t="e">
        <f t="shared" si="30"/>
        <v>#N/A</v>
      </c>
      <c r="Y104" s="144" t="e">
        <f t="shared" si="29"/>
        <v>#N/A</v>
      </c>
      <c r="Z104" s="144" t="e">
        <f t="shared" si="29"/>
        <v>#N/A</v>
      </c>
      <c r="AA104" s="144" t="e">
        <f t="shared" si="29"/>
        <v>#N/A</v>
      </c>
      <c r="AB104" s="144" t="e">
        <f t="shared" si="29"/>
        <v>#N/A</v>
      </c>
      <c r="AC104" s="144" t="e">
        <f t="shared" si="30"/>
        <v>#N/A</v>
      </c>
      <c r="AD104" s="144" t="e">
        <f t="shared" si="29"/>
        <v>#N/A</v>
      </c>
      <c r="AE104" s="144" t="e">
        <f t="shared" si="29"/>
        <v>#N/A</v>
      </c>
      <c r="AF104" s="144" t="e">
        <f t="shared" si="29"/>
        <v>#N/A</v>
      </c>
      <c r="AG104" s="144" t="e">
        <f t="shared" si="29"/>
        <v>#N/A</v>
      </c>
      <c r="AH104" s="144" t="e">
        <f t="shared" si="30"/>
        <v>#N/A</v>
      </c>
      <c r="AI104" s="144" t="e">
        <f t="shared" si="29"/>
        <v>#N/A</v>
      </c>
      <c r="AJ104" s="144" t="e">
        <f t="shared" si="29"/>
        <v>#N/A</v>
      </c>
      <c r="AK104" s="144" t="e">
        <f t="shared" si="29"/>
        <v>#N/A</v>
      </c>
      <c r="AL104" s="144" t="e">
        <f t="shared" si="29"/>
        <v>#N/A</v>
      </c>
      <c r="AM104" s="144" t="e">
        <f t="shared" si="30"/>
        <v>#N/A</v>
      </c>
    </row>
    <row r="105" spans="3:40" x14ac:dyDescent="0.25">
      <c r="C105" s="56" t="s">
        <v>30</v>
      </c>
      <c r="D105" s="76" t="s">
        <v>195</v>
      </c>
      <c r="E105" s="153" t="e">
        <f t="shared" si="30"/>
        <v>#N/A</v>
      </c>
      <c r="F105" s="153" t="e">
        <f t="shared" si="30"/>
        <v>#N/A</v>
      </c>
      <c r="G105" s="153" t="e">
        <f t="shared" si="30"/>
        <v>#N/A</v>
      </c>
      <c r="H105" s="153" t="e">
        <f t="shared" si="30"/>
        <v>#N/A</v>
      </c>
      <c r="I105" s="153" t="e">
        <f t="shared" si="30"/>
        <v>#N/A</v>
      </c>
      <c r="J105" s="152" t="e">
        <f t="shared" si="30"/>
        <v>#N/A</v>
      </c>
      <c r="K105" s="94" t="e">
        <f t="shared" si="30"/>
        <v>#N/A</v>
      </c>
      <c r="L105" s="94" t="e">
        <f t="shared" si="30"/>
        <v>#N/A</v>
      </c>
      <c r="M105" s="94" t="e">
        <f t="shared" si="30"/>
        <v>#N/A</v>
      </c>
      <c r="N105" s="153" t="e">
        <f t="shared" si="30"/>
        <v>#N/A</v>
      </c>
      <c r="O105" s="152" t="e">
        <f t="shared" si="30"/>
        <v>#N/A</v>
      </c>
      <c r="P105" s="94" t="e">
        <f t="shared" si="30"/>
        <v>#N/A</v>
      </c>
      <c r="Q105" s="94" t="e">
        <f t="shared" si="30"/>
        <v>#N/A</v>
      </c>
      <c r="R105" s="94" t="e">
        <f t="shared" si="30"/>
        <v>#N/A</v>
      </c>
      <c r="S105" s="153" t="e">
        <f t="shared" si="30"/>
        <v>#N/A</v>
      </c>
      <c r="T105" s="153" t="e">
        <f t="shared" si="29"/>
        <v>#N/A</v>
      </c>
      <c r="U105" s="153" t="e">
        <f t="shared" si="29"/>
        <v>#N/A</v>
      </c>
      <c r="V105" s="153" t="e">
        <f t="shared" si="29"/>
        <v>#N/A</v>
      </c>
      <c r="W105" s="153" t="e">
        <f t="shared" si="29"/>
        <v>#N/A</v>
      </c>
      <c r="X105" s="144" t="e">
        <f t="shared" si="30"/>
        <v>#N/A</v>
      </c>
      <c r="Y105" s="144" t="e">
        <f t="shared" si="29"/>
        <v>#N/A</v>
      </c>
      <c r="Z105" s="144" t="e">
        <f t="shared" si="29"/>
        <v>#N/A</v>
      </c>
      <c r="AA105" s="144" t="e">
        <f t="shared" si="29"/>
        <v>#N/A</v>
      </c>
      <c r="AB105" s="144" t="e">
        <f t="shared" si="29"/>
        <v>#N/A</v>
      </c>
      <c r="AC105" s="144" t="e">
        <f t="shared" si="30"/>
        <v>#N/A</v>
      </c>
      <c r="AD105" s="144" t="e">
        <f t="shared" si="29"/>
        <v>#N/A</v>
      </c>
      <c r="AE105" s="144" t="e">
        <f t="shared" si="29"/>
        <v>#N/A</v>
      </c>
      <c r="AF105" s="144" t="e">
        <f t="shared" si="29"/>
        <v>#N/A</v>
      </c>
      <c r="AG105" s="144" t="e">
        <f t="shared" si="29"/>
        <v>#N/A</v>
      </c>
      <c r="AH105" s="144" t="e">
        <f t="shared" si="30"/>
        <v>#N/A</v>
      </c>
      <c r="AI105" s="144" t="e">
        <f t="shared" si="29"/>
        <v>#N/A</v>
      </c>
      <c r="AJ105" s="144" t="e">
        <f t="shared" si="29"/>
        <v>#N/A</v>
      </c>
      <c r="AK105" s="144" t="e">
        <f t="shared" si="29"/>
        <v>#N/A</v>
      </c>
      <c r="AL105" s="144" t="e">
        <f t="shared" si="29"/>
        <v>#N/A</v>
      </c>
      <c r="AM105" s="144" t="e">
        <f t="shared" si="30"/>
        <v>#N/A</v>
      </c>
    </row>
    <row r="106" spans="3:40" x14ac:dyDescent="0.25">
      <c r="C106" s="56" t="s">
        <v>31</v>
      </c>
      <c r="D106" s="76" t="s">
        <v>196</v>
      </c>
      <c r="E106" s="153" t="e">
        <f t="shared" si="30"/>
        <v>#N/A</v>
      </c>
      <c r="F106" s="153" t="e">
        <f t="shared" si="30"/>
        <v>#N/A</v>
      </c>
      <c r="G106" s="153" t="e">
        <f t="shared" si="30"/>
        <v>#N/A</v>
      </c>
      <c r="H106" s="153" t="e">
        <f t="shared" si="30"/>
        <v>#N/A</v>
      </c>
      <c r="I106" s="153" t="e">
        <f t="shared" si="30"/>
        <v>#N/A</v>
      </c>
      <c r="J106" s="152" t="e">
        <f t="shared" si="30"/>
        <v>#N/A</v>
      </c>
      <c r="K106" s="94" t="e">
        <f t="shared" si="30"/>
        <v>#N/A</v>
      </c>
      <c r="L106" s="94" t="e">
        <f t="shared" si="30"/>
        <v>#N/A</v>
      </c>
      <c r="M106" s="94" t="e">
        <f t="shared" si="30"/>
        <v>#N/A</v>
      </c>
      <c r="N106" s="153" t="e">
        <f t="shared" si="30"/>
        <v>#N/A</v>
      </c>
      <c r="O106" s="152" t="e">
        <f t="shared" si="30"/>
        <v>#N/A</v>
      </c>
      <c r="P106" s="94" t="e">
        <f t="shared" si="30"/>
        <v>#N/A</v>
      </c>
      <c r="Q106" s="94" t="e">
        <f t="shared" si="30"/>
        <v>#N/A</v>
      </c>
      <c r="R106" s="94" t="e">
        <f t="shared" si="30"/>
        <v>#N/A</v>
      </c>
      <c r="S106" s="153" t="e">
        <f t="shared" si="30"/>
        <v>#N/A</v>
      </c>
      <c r="T106" s="153" t="e">
        <f t="shared" si="29"/>
        <v>#N/A</v>
      </c>
      <c r="U106" s="153" t="e">
        <f t="shared" si="29"/>
        <v>#N/A</v>
      </c>
      <c r="V106" s="153" t="e">
        <f t="shared" si="29"/>
        <v>#N/A</v>
      </c>
      <c r="W106" s="153" t="e">
        <f t="shared" si="29"/>
        <v>#N/A</v>
      </c>
      <c r="X106" s="144" t="e">
        <f t="shared" si="30"/>
        <v>#N/A</v>
      </c>
      <c r="Y106" s="144" t="e">
        <f t="shared" si="29"/>
        <v>#N/A</v>
      </c>
      <c r="Z106" s="144" t="e">
        <f t="shared" si="29"/>
        <v>#N/A</v>
      </c>
      <c r="AA106" s="144" t="e">
        <f t="shared" si="29"/>
        <v>#N/A</v>
      </c>
      <c r="AB106" s="144" t="e">
        <f t="shared" si="29"/>
        <v>#N/A</v>
      </c>
      <c r="AC106" s="144" t="e">
        <f t="shared" si="30"/>
        <v>#N/A</v>
      </c>
      <c r="AD106" s="144" t="e">
        <f t="shared" si="29"/>
        <v>#N/A</v>
      </c>
      <c r="AE106" s="144" t="e">
        <f t="shared" si="29"/>
        <v>#N/A</v>
      </c>
      <c r="AF106" s="144" t="e">
        <f t="shared" si="29"/>
        <v>#N/A</v>
      </c>
      <c r="AG106" s="144" t="e">
        <f t="shared" si="29"/>
        <v>#N/A</v>
      </c>
      <c r="AH106" s="144" t="e">
        <f t="shared" si="30"/>
        <v>#N/A</v>
      </c>
      <c r="AI106" s="144" t="e">
        <f t="shared" si="29"/>
        <v>#N/A</v>
      </c>
      <c r="AJ106" s="144" t="e">
        <f t="shared" si="29"/>
        <v>#N/A</v>
      </c>
      <c r="AK106" s="144" t="e">
        <f t="shared" si="29"/>
        <v>#N/A</v>
      </c>
      <c r="AL106" s="144" t="e">
        <f t="shared" si="29"/>
        <v>#N/A</v>
      </c>
      <c r="AM106" s="144" t="e">
        <f t="shared" si="30"/>
        <v>#N/A</v>
      </c>
    </row>
    <row r="107" spans="3:40" x14ac:dyDescent="0.25">
      <c r="C107" s="56" t="s">
        <v>32</v>
      </c>
      <c r="D107" s="76" t="s">
        <v>197</v>
      </c>
      <c r="E107" s="153" t="e">
        <f t="shared" si="30"/>
        <v>#N/A</v>
      </c>
      <c r="F107" s="153" t="e">
        <f t="shared" si="30"/>
        <v>#N/A</v>
      </c>
      <c r="G107" s="153" t="e">
        <f t="shared" si="30"/>
        <v>#N/A</v>
      </c>
      <c r="H107" s="153" t="e">
        <f t="shared" si="30"/>
        <v>#N/A</v>
      </c>
      <c r="I107" s="153" t="e">
        <f t="shared" si="30"/>
        <v>#N/A</v>
      </c>
      <c r="J107" s="152" t="e">
        <f t="shared" si="30"/>
        <v>#N/A</v>
      </c>
      <c r="K107" s="94" t="e">
        <f t="shared" si="30"/>
        <v>#N/A</v>
      </c>
      <c r="L107" s="94" t="e">
        <f t="shared" si="30"/>
        <v>#N/A</v>
      </c>
      <c r="M107" s="94" t="e">
        <f t="shared" si="30"/>
        <v>#N/A</v>
      </c>
      <c r="N107" s="153" t="e">
        <f t="shared" si="30"/>
        <v>#N/A</v>
      </c>
      <c r="O107" s="152" t="e">
        <f t="shared" si="30"/>
        <v>#N/A</v>
      </c>
      <c r="P107" s="94" t="e">
        <f t="shared" si="30"/>
        <v>#N/A</v>
      </c>
      <c r="Q107" s="94" t="e">
        <f t="shared" si="30"/>
        <v>#N/A</v>
      </c>
      <c r="R107" s="94" t="e">
        <f t="shared" si="30"/>
        <v>#N/A</v>
      </c>
      <c r="S107" s="153" t="e">
        <f t="shared" si="30"/>
        <v>#N/A</v>
      </c>
      <c r="T107" s="153" t="e">
        <f t="shared" si="29"/>
        <v>#N/A</v>
      </c>
      <c r="U107" s="153" t="e">
        <f t="shared" si="29"/>
        <v>#N/A</v>
      </c>
      <c r="V107" s="153" t="e">
        <f t="shared" si="29"/>
        <v>#N/A</v>
      </c>
      <c r="W107" s="153" t="e">
        <f t="shared" si="29"/>
        <v>#N/A</v>
      </c>
      <c r="X107" s="144" t="e">
        <f t="shared" si="30"/>
        <v>#N/A</v>
      </c>
      <c r="Y107" s="144" t="e">
        <f t="shared" si="29"/>
        <v>#N/A</v>
      </c>
      <c r="Z107" s="144" t="e">
        <f t="shared" si="29"/>
        <v>#N/A</v>
      </c>
      <c r="AA107" s="144" t="e">
        <f t="shared" si="29"/>
        <v>#N/A</v>
      </c>
      <c r="AB107" s="144" t="e">
        <f t="shared" si="29"/>
        <v>#N/A</v>
      </c>
      <c r="AC107" s="144" t="e">
        <f t="shared" si="30"/>
        <v>#N/A</v>
      </c>
      <c r="AD107" s="144" t="e">
        <f t="shared" si="29"/>
        <v>#N/A</v>
      </c>
      <c r="AE107" s="144" t="e">
        <f t="shared" si="29"/>
        <v>#N/A</v>
      </c>
      <c r="AF107" s="144" t="e">
        <f t="shared" si="29"/>
        <v>#N/A</v>
      </c>
      <c r="AG107" s="144" t="e">
        <f t="shared" si="29"/>
        <v>#N/A</v>
      </c>
      <c r="AH107" s="144" t="e">
        <f t="shared" si="30"/>
        <v>#N/A</v>
      </c>
      <c r="AI107" s="144" t="e">
        <f t="shared" si="29"/>
        <v>#N/A</v>
      </c>
      <c r="AJ107" s="144" t="e">
        <f t="shared" si="29"/>
        <v>#N/A</v>
      </c>
      <c r="AK107" s="144" t="e">
        <f t="shared" si="29"/>
        <v>#N/A</v>
      </c>
      <c r="AL107" s="144" t="e">
        <f t="shared" si="29"/>
        <v>#N/A</v>
      </c>
      <c r="AM107" s="144" t="e">
        <f t="shared" si="30"/>
        <v>#N/A</v>
      </c>
    </row>
    <row r="108" spans="3:40" x14ac:dyDescent="0.25">
      <c r="C108" s="78" t="s">
        <v>33</v>
      </c>
      <c r="D108" s="88" t="s">
        <v>198</v>
      </c>
      <c r="E108" s="155" t="e">
        <f t="shared" si="30"/>
        <v>#N/A</v>
      </c>
      <c r="F108" s="155" t="e">
        <f t="shared" si="30"/>
        <v>#N/A</v>
      </c>
      <c r="G108" s="155" t="e">
        <f t="shared" si="30"/>
        <v>#N/A</v>
      </c>
      <c r="H108" s="155" t="e">
        <f t="shared" si="30"/>
        <v>#N/A</v>
      </c>
      <c r="I108" s="155" t="e">
        <f t="shared" si="30"/>
        <v>#N/A</v>
      </c>
      <c r="J108" s="154" t="e">
        <f t="shared" si="30"/>
        <v>#N/A</v>
      </c>
      <c r="K108" s="95" t="e">
        <f t="shared" si="30"/>
        <v>#N/A</v>
      </c>
      <c r="L108" s="95" t="e">
        <f t="shared" si="30"/>
        <v>#N/A</v>
      </c>
      <c r="M108" s="95" t="e">
        <f t="shared" si="30"/>
        <v>#N/A</v>
      </c>
      <c r="N108" s="155" t="e">
        <f t="shared" si="30"/>
        <v>#N/A</v>
      </c>
      <c r="O108" s="154" t="e">
        <f t="shared" si="30"/>
        <v>#N/A</v>
      </c>
      <c r="P108" s="95" t="e">
        <f t="shared" si="30"/>
        <v>#N/A</v>
      </c>
      <c r="Q108" s="95" t="e">
        <f t="shared" si="30"/>
        <v>#N/A</v>
      </c>
      <c r="R108" s="95" t="e">
        <f t="shared" si="30"/>
        <v>#N/A</v>
      </c>
      <c r="S108" s="155" t="e">
        <f t="shared" si="30"/>
        <v>#N/A</v>
      </c>
      <c r="T108" s="155" t="e">
        <f t="shared" si="29"/>
        <v>#N/A</v>
      </c>
      <c r="U108" s="155" t="e">
        <f t="shared" si="29"/>
        <v>#N/A</v>
      </c>
      <c r="V108" s="155" t="e">
        <f t="shared" si="29"/>
        <v>#N/A</v>
      </c>
      <c r="W108" s="155" t="e">
        <f t="shared" si="29"/>
        <v>#N/A</v>
      </c>
      <c r="X108" s="145" t="e">
        <f t="shared" si="30"/>
        <v>#N/A</v>
      </c>
      <c r="Y108" s="145" t="e">
        <f t="shared" si="29"/>
        <v>#N/A</v>
      </c>
      <c r="Z108" s="145" t="e">
        <f t="shared" si="29"/>
        <v>#N/A</v>
      </c>
      <c r="AA108" s="145" t="e">
        <f t="shared" si="29"/>
        <v>#N/A</v>
      </c>
      <c r="AB108" s="145" t="e">
        <f t="shared" si="29"/>
        <v>#N/A</v>
      </c>
      <c r="AC108" s="145" t="e">
        <f t="shared" si="30"/>
        <v>#N/A</v>
      </c>
      <c r="AD108" s="145" t="e">
        <f t="shared" si="29"/>
        <v>#N/A</v>
      </c>
      <c r="AE108" s="145" t="e">
        <f t="shared" si="29"/>
        <v>#N/A</v>
      </c>
      <c r="AF108" s="145" t="e">
        <f t="shared" si="29"/>
        <v>#N/A</v>
      </c>
      <c r="AG108" s="145" t="e">
        <f t="shared" si="29"/>
        <v>#N/A</v>
      </c>
      <c r="AH108" s="145" t="e">
        <f t="shared" si="30"/>
        <v>#N/A</v>
      </c>
      <c r="AI108" s="145" t="e">
        <f t="shared" si="29"/>
        <v>#N/A</v>
      </c>
      <c r="AJ108" s="145" t="e">
        <f t="shared" si="29"/>
        <v>#N/A</v>
      </c>
      <c r="AK108" s="145" t="e">
        <f t="shared" si="29"/>
        <v>#N/A</v>
      </c>
      <c r="AL108" s="145" t="e">
        <f t="shared" si="29"/>
        <v>#N/A</v>
      </c>
      <c r="AM108" s="145" t="e">
        <f t="shared" si="30"/>
        <v>#N/A</v>
      </c>
    </row>
  </sheetData>
  <pageMargins left="0.7" right="0.7" top="0.75" bottom="0.75" header="0.3" footer="0.3"/>
  <pageSetup paperSize="9" scale="6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AL25"/>
  <sheetViews>
    <sheetView zoomScale="80" zoomScaleNormal="80" workbookViewId="0">
      <selection activeCell="W4" sqref="W4"/>
    </sheetView>
  </sheetViews>
  <sheetFormatPr baseColWidth="10" defaultRowHeight="15" x14ac:dyDescent="0.25"/>
  <cols>
    <col min="2" max="2" width="19.7109375" customWidth="1"/>
    <col min="3" max="3" width="26.140625" customWidth="1"/>
    <col min="4" max="4" width="23" customWidth="1"/>
    <col min="5" max="6" width="13.5703125" customWidth="1"/>
    <col min="7" max="22" width="7.140625" bestFit="1" customWidth="1"/>
    <col min="23" max="23" width="7.85546875" customWidth="1"/>
    <col min="29" max="29" width="11.42578125" customWidth="1"/>
    <col min="32" max="32" width="10.85546875" customWidth="1"/>
    <col min="33" max="33" width="16.28515625" customWidth="1"/>
    <col min="34" max="34" width="13.140625" customWidth="1"/>
    <col min="35" max="35" width="12.7109375" customWidth="1"/>
    <col min="36" max="36" width="14.85546875" customWidth="1"/>
    <col min="37" max="37" width="12.85546875" customWidth="1"/>
    <col min="38" max="38" width="13.5703125" customWidth="1"/>
  </cols>
  <sheetData>
    <row r="1" spans="1:38" ht="23.25" x14ac:dyDescent="0.35">
      <c r="A1" s="1" t="s">
        <v>217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38" s="3" customFormat="1" ht="23.25" x14ac:dyDescent="0.35">
      <c r="A2" s="68"/>
      <c r="D2" s="7"/>
      <c r="E2" s="234">
        <f>'T energie vecteurs'!E5</f>
        <v>4</v>
      </c>
      <c r="F2" s="234">
        <f>E2+9</f>
        <v>13</v>
      </c>
      <c r="G2" s="234">
        <f>F2+3</f>
        <v>16</v>
      </c>
      <c r="H2" s="234">
        <f t="shared" ref="H2:S2" si="0">G2+1</f>
        <v>17</v>
      </c>
      <c r="I2" s="234">
        <f t="shared" si="0"/>
        <v>18</v>
      </c>
      <c r="J2" s="234">
        <f t="shared" si="0"/>
        <v>19</v>
      </c>
      <c r="K2" s="234">
        <f t="shared" si="0"/>
        <v>20</v>
      </c>
      <c r="L2" s="234">
        <f t="shared" si="0"/>
        <v>21</v>
      </c>
      <c r="M2" s="234">
        <f t="shared" si="0"/>
        <v>22</v>
      </c>
      <c r="N2" s="234">
        <f t="shared" si="0"/>
        <v>23</v>
      </c>
      <c r="O2" s="234">
        <f t="shared" si="0"/>
        <v>24</v>
      </c>
      <c r="P2" s="234">
        <f t="shared" si="0"/>
        <v>25</v>
      </c>
      <c r="Q2" s="234">
        <f t="shared" si="0"/>
        <v>26</v>
      </c>
      <c r="R2" s="234">
        <f t="shared" si="0"/>
        <v>27</v>
      </c>
      <c r="S2" s="234">
        <f t="shared" si="0"/>
        <v>28</v>
      </c>
      <c r="T2" s="234">
        <f>S2+5</f>
        <v>33</v>
      </c>
      <c r="U2" s="234">
        <f>T2+5</f>
        <v>38</v>
      </c>
      <c r="V2" s="234">
        <f>U2+5</f>
        <v>43</v>
      </c>
      <c r="W2" s="234">
        <f>V2+5</f>
        <v>48</v>
      </c>
    </row>
    <row r="3" spans="1:38" ht="23.25" x14ac:dyDescent="0.35">
      <c r="A3" s="236"/>
      <c r="B3" s="3"/>
      <c r="C3" s="64"/>
      <c r="D3" s="12"/>
      <c r="E3" s="71">
        <v>2006</v>
      </c>
      <c r="F3" s="71">
        <v>2015</v>
      </c>
      <c r="G3" s="26">
        <v>2018</v>
      </c>
      <c r="H3" s="4">
        <v>2019</v>
      </c>
      <c r="I3" s="106">
        <v>2020</v>
      </c>
      <c r="J3" s="114">
        <v>2021</v>
      </c>
      <c r="K3" s="33">
        <v>2022</v>
      </c>
      <c r="L3" s="4">
        <v>2023</v>
      </c>
      <c r="M3" s="33">
        <v>2024</v>
      </c>
      <c r="N3" s="106">
        <v>2025</v>
      </c>
      <c r="O3" s="114">
        <v>2026</v>
      </c>
      <c r="P3" s="4">
        <v>2027</v>
      </c>
      <c r="Q3" s="33">
        <v>2028</v>
      </c>
      <c r="R3" s="33">
        <v>2029</v>
      </c>
      <c r="S3" s="106">
        <v>2030</v>
      </c>
      <c r="T3" s="116">
        <v>2035</v>
      </c>
      <c r="U3" s="116">
        <v>2040</v>
      </c>
      <c r="V3" s="4">
        <v>2045</v>
      </c>
      <c r="W3" s="116">
        <v>2050</v>
      </c>
      <c r="X3" s="3"/>
      <c r="AG3" s="14"/>
      <c r="AH3" s="100"/>
      <c r="AI3" s="100"/>
      <c r="AJ3" s="100"/>
      <c r="AK3" s="100"/>
      <c r="AL3" s="100"/>
    </row>
    <row r="4" spans="1:38" ht="23.25" x14ac:dyDescent="0.35">
      <c r="A4" s="191" t="str">
        <f>Résultats!B1</f>
        <v>TEND</v>
      </c>
      <c r="B4" s="235" t="s">
        <v>218</v>
      </c>
      <c r="C4" s="5" t="s">
        <v>210</v>
      </c>
      <c r="D4" s="13" t="s">
        <v>81</v>
      </c>
      <c r="E4" s="22" t="e">
        <f>VLOOKUP($D4,Résultats!$B$2:$AX$212,E$2,FALSE)</f>
        <v>#N/A</v>
      </c>
      <c r="F4" s="22" t="e">
        <f>VLOOKUP($D4,Résultats!$B$2:$AX$212,F$2,FALSE)</f>
        <v>#N/A</v>
      </c>
      <c r="G4" s="129" t="e">
        <f>VLOOKUP($D4,Résultats!$B$2:$AX$212,G$2,FALSE)/1000000</f>
        <v>#N/A</v>
      </c>
      <c r="H4" s="22" t="e">
        <f>VLOOKUP($D4,Résultats!$B$2:$AX$212,H$2,FALSE)/1000000</f>
        <v>#N/A</v>
      </c>
      <c r="I4" s="130" t="e">
        <f>VLOOKUP($D4,Résultats!$B$2:$AX$212,I$2,FALSE)/1000000</f>
        <v>#N/A</v>
      </c>
      <c r="J4" s="129" t="e">
        <f>VLOOKUP($D4,Résultats!$B$2:$AX$212,J$2,FALSE)/1000000</f>
        <v>#N/A</v>
      </c>
      <c r="K4" s="22" t="e">
        <f>VLOOKUP($D4,Résultats!$B$2:$AX$212,K$2,FALSE)/1000000</f>
        <v>#N/A</v>
      </c>
      <c r="L4" s="22" t="e">
        <f>VLOOKUP($D4,Résultats!$B$2:$AX$212,L$2,FALSE)/1000000</f>
        <v>#N/A</v>
      </c>
      <c r="M4" s="22" t="e">
        <f>VLOOKUP($D4,Résultats!$B$2:$AX$212,M$2,FALSE)/1000000</f>
        <v>#N/A</v>
      </c>
      <c r="N4" s="130" t="e">
        <f>VLOOKUP($D4,Résultats!$B$2:$AX$212,N$2,FALSE)/1000000</f>
        <v>#N/A</v>
      </c>
      <c r="O4" s="129" t="e">
        <f>VLOOKUP($D4,Résultats!$B$2:$AX$212,O$2,FALSE)/1000000</f>
        <v>#N/A</v>
      </c>
      <c r="P4" s="22" t="e">
        <f>VLOOKUP($D4,Résultats!$B$2:$AX$212,P$2,FALSE)/1000000</f>
        <v>#N/A</v>
      </c>
      <c r="Q4" s="22" t="e">
        <f>VLOOKUP($D4,Résultats!$B$2:$AX$212,Q$2,FALSE)/1000000</f>
        <v>#N/A</v>
      </c>
      <c r="R4" s="22" t="e">
        <f>VLOOKUP($D4,Résultats!$B$2:$AX$212,R$2,FALSE)/1000000</f>
        <v>#N/A</v>
      </c>
      <c r="S4" s="130" t="e">
        <f>VLOOKUP($D4,Résultats!$B$2:$AX$212,S$2,FALSE)/1000000</f>
        <v>#N/A</v>
      </c>
      <c r="T4" s="137" t="e">
        <f>VLOOKUP($D4,Résultats!$B$2:$AX$212,T$2,FALSE)/1000000</f>
        <v>#N/A</v>
      </c>
      <c r="U4" s="137" t="e">
        <f>VLOOKUP($D4,Résultats!$B$2:$AX$212,U$2,FALSE)/1000000</f>
        <v>#N/A</v>
      </c>
      <c r="V4" s="22" t="e">
        <f>VLOOKUP($D4,Résultats!$B$2:$AX$212,V$2,FALSE)/1000000</f>
        <v>#N/A</v>
      </c>
      <c r="W4" s="137" t="e">
        <f>VLOOKUP($D4,Résultats!$B$2:$AX$212,W$2,FALSE)/1000000</f>
        <v>#N/A</v>
      </c>
      <c r="X4" s="3"/>
      <c r="AG4" s="14"/>
      <c r="AH4" s="100"/>
      <c r="AI4" s="100"/>
      <c r="AJ4" s="100"/>
      <c r="AK4" s="100"/>
      <c r="AL4" s="100"/>
    </row>
    <row r="5" spans="1:38" x14ac:dyDescent="0.25">
      <c r="A5" s="3"/>
      <c r="B5" s="237"/>
      <c r="C5" s="56" t="s">
        <v>27</v>
      </c>
      <c r="D5" s="16" t="s">
        <v>82</v>
      </c>
      <c r="E5" s="31" t="e">
        <f>VLOOKUP($D5,Résultats!$B$2:$AX$212,E$2,FALSE)</f>
        <v>#N/A</v>
      </c>
      <c r="F5" s="31" t="e">
        <f>VLOOKUP($D5,Résultats!$B$2:$AX$212,F$2,FALSE)</f>
        <v>#N/A</v>
      </c>
      <c r="G5" s="124" t="e">
        <f>VLOOKUP($D5,Résultats!$B$2:$AX$212,G$2,FALSE)/1000000</f>
        <v>#N/A</v>
      </c>
      <c r="H5" s="31" t="e">
        <f>VLOOKUP($D5,Résultats!$B$2:$AX$212,H$2,FALSE)/1000000</f>
        <v>#N/A</v>
      </c>
      <c r="I5" s="125" t="e">
        <f>VLOOKUP($D5,Résultats!$B$2:$AX$212,I$2,FALSE)/1000000</f>
        <v>#N/A</v>
      </c>
      <c r="J5" s="124" t="e">
        <f>VLOOKUP($D5,Résultats!$B$2:$AX$212,J$2,FALSE)/1000000</f>
        <v>#N/A</v>
      </c>
      <c r="K5" s="31" t="e">
        <f>VLOOKUP($D5,Résultats!$B$2:$AX$212,K$2,FALSE)/1000000</f>
        <v>#N/A</v>
      </c>
      <c r="L5" s="31" t="e">
        <f>VLOOKUP($D5,Résultats!$B$2:$AX$212,L$2,FALSE)/1000000</f>
        <v>#N/A</v>
      </c>
      <c r="M5" s="31" t="e">
        <f>VLOOKUP($D5,Résultats!$B$2:$AX$212,M$2,FALSE)/1000000</f>
        <v>#N/A</v>
      </c>
      <c r="N5" s="125" t="e">
        <f>VLOOKUP($D5,Résultats!$B$2:$AX$212,N$2,FALSE)/1000000</f>
        <v>#N/A</v>
      </c>
      <c r="O5" s="124" t="e">
        <f>VLOOKUP($D5,Résultats!$B$2:$AX$212,O$2,FALSE)/1000000</f>
        <v>#N/A</v>
      </c>
      <c r="P5" s="31" t="e">
        <f>VLOOKUP($D5,Résultats!$B$2:$AX$212,P$2,FALSE)/1000000</f>
        <v>#N/A</v>
      </c>
      <c r="Q5" s="31" t="e">
        <f>VLOOKUP($D5,Résultats!$B$2:$AX$212,Q$2,FALSE)/1000000</f>
        <v>#N/A</v>
      </c>
      <c r="R5" s="31" t="e">
        <f>VLOOKUP($D5,Résultats!$B$2:$AX$212,R$2,FALSE)/1000000</f>
        <v>#N/A</v>
      </c>
      <c r="S5" s="125" t="e">
        <f>VLOOKUP($D5,Résultats!$B$2:$AX$212,S$2,FALSE)/1000000</f>
        <v>#N/A</v>
      </c>
      <c r="T5" s="128" t="e">
        <f>VLOOKUP($D5,Résultats!$B$2:$AX$212,T$2,FALSE)/1000000</f>
        <v>#N/A</v>
      </c>
      <c r="U5" s="128" t="e">
        <f>VLOOKUP($D5,Résultats!$B$2:$AX$212,U$2,FALSE)/1000000</f>
        <v>#N/A</v>
      </c>
      <c r="V5" s="31" t="e">
        <f>VLOOKUP($D5,Résultats!$B$2:$AX$212,V$2,FALSE)/1000000</f>
        <v>#N/A</v>
      </c>
      <c r="W5" s="128" t="e">
        <f>VLOOKUP($D5,Résultats!$B$2:$AX$212,W$2,FALSE)/1000000</f>
        <v>#N/A</v>
      </c>
      <c r="X5" s="3"/>
      <c r="AG5" s="14"/>
      <c r="AH5" s="42"/>
      <c r="AI5" s="42"/>
      <c r="AJ5" s="42"/>
      <c r="AK5" s="42"/>
      <c r="AL5" s="42"/>
    </row>
    <row r="6" spans="1:38" x14ac:dyDescent="0.25">
      <c r="A6" s="3"/>
      <c r="B6" s="237"/>
      <c r="C6" s="56" t="s">
        <v>28</v>
      </c>
      <c r="D6" s="16" t="s">
        <v>83</v>
      </c>
      <c r="E6" s="31" t="e">
        <f>VLOOKUP($D6,Résultats!$B$2:$AX$212,E$2,FALSE)</f>
        <v>#N/A</v>
      </c>
      <c r="F6" s="31" t="e">
        <f>VLOOKUP($D6,Résultats!$B$2:$AX$212,F$2,FALSE)</f>
        <v>#N/A</v>
      </c>
      <c r="G6" s="124" t="e">
        <f>VLOOKUP($D6,Résultats!$B$2:$AX$212,G$2,FALSE)/1000000</f>
        <v>#N/A</v>
      </c>
      <c r="H6" s="31" t="e">
        <f>VLOOKUP($D6,Résultats!$B$2:$AX$212,H$2,FALSE)/1000000</f>
        <v>#N/A</v>
      </c>
      <c r="I6" s="125" t="e">
        <f>VLOOKUP($D6,Résultats!$B$2:$AX$212,I$2,FALSE)/1000000</f>
        <v>#N/A</v>
      </c>
      <c r="J6" s="124" t="e">
        <f>VLOOKUP($D6,Résultats!$B$2:$AX$212,J$2,FALSE)/1000000</f>
        <v>#N/A</v>
      </c>
      <c r="K6" s="31" t="e">
        <f>VLOOKUP($D6,Résultats!$B$2:$AX$212,K$2,FALSE)/1000000</f>
        <v>#N/A</v>
      </c>
      <c r="L6" s="31" t="e">
        <f>VLOOKUP($D6,Résultats!$B$2:$AX$212,L$2,FALSE)/1000000</f>
        <v>#N/A</v>
      </c>
      <c r="M6" s="31" t="e">
        <f>VLOOKUP($D6,Résultats!$B$2:$AX$212,M$2,FALSE)/1000000</f>
        <v>#N/A</v>
      </c>
      <c r="N6" s="125" t="e">
        <f>VLOOKUP($D6,Résultats!$B$2:$AX$212,N$2,FALSE)/1000000</f>
        <v>#N/A</v>
      </c>
      <c r="O6" s="124" t="e">
        <f>VLOOKUP($D6,Résultats!$B$2:$AX$212,O$2,FALSE)/1000000</f>
        <v>#N/A</v>
      </c>
      <c r="P6" s="31" t="e">
        <f>VLOOKUP($D6,Résultats!$B$2:$AX$212,P$2,FALSE)/1000000</f>
        <v>#N/A</v>
      </c>
      <c r="Q6" s="31" t="e">
        <f>VLOOKUP($D6,Résultats!$B$2:$AX$212,Q$2,FALSE)/1000000</f>
        <v>#N/A</v>
      </c>
      <c r="R6" s="31" t="e">
        <f>VLOOKUP($D6,Résultats!$B$2:$AX$212,R$2,FALSE)/1000000</f>
        <v>#N/A</v>
      </c>
      <c r="S6" s="125" t="e">
        <f>VLOOKUP($D6,Résultats!$B$2:$AX$212,S$2,FALSE)/1000000</f>
        <v>#N/A</v>
      </c>
      <c r="T6" s="128" t="e">
        <f>VLOOKUP($D6,Résultats!$B$2:$AX$212,T$2,FALSE)/1000000</f>
        <v>#N/A</v>
      </c>
      <c r="U6" s="128" t="e">
        <f>VLOOKUP($D6,Résultats!$B$2:$AX$212,U$2,FALSE)/1000000</f>
        <v>#N/A</v>
      </c>
      <c r="V6" s="31" t="e">
        <f>VLOOKUP($D6,Résultats!$B$2:$AX$212,V$2,FALSE)/1000000</f>
        <v>#N/A</v>
      </c>
      <c r="W6" s="128" t="e">
        <f>VLOOKUP($D6,Résultats!$B$2:$AX$212,W$2,FALSE)/1000000</f>
        <v>#N/A</v>
      </c>
      <c r="X6" s="3"/>
    </row>
    <row r="7" spans="1:38" x14ac:dyDescent="0.25">
      <c r="A7" s="3"/>
      <c r="B7" s="237"/>
      <c r="C7" s="56" t="s">
        <v>29</v>
      </c>
      <c r="D7" s="16" t="s">
        <v>84</v>
      </c>
      <c r="E7" s="31" t="e">
        <f>VLOOKUP($D7,Résultats!$B$2:$AX$212,E$2,FALSE)</f>
        <v>#N/A</v>
      </c>
      <c r="F7" s="31" t="e">
        <f>VLOOKUP($D7,Résultats!$B$2:$AX$212,F$2,FALSE)</f>
        <v>#N/A</v>
      </c>
      <c r="G7" s="124" t="e">
        <f>VLOOKUP($D7,Résultats!$B$2:$AX$212,G$2,FALSE)/1000000</f>
        <v>#N/A</v>
      </c>
      <c r="H7" s="31" t="e">
        <f>VLOOKUP($D7,Résultats!$B$2:$AX$212,H$2,FALSE)/1000000</f>
        <v>#N/A</v>
      </c>
      <c r="I7" s="125" t="e">
        <f>VLOOKUP($D7,Résultats!$B$2:$AX$212,I$2,FALSE)/1000000</f>
        <v>#N/A</v>
      </c>
      <c r="J7" s="124" t="e">
        <f>VLOOKUP($D7,Résultats!$B$2:$AX$212,J$2,FALSE)/1000000</f>
        <v>#N/A</v>
      </c>
      <c r="K7" s="31" t="e">
        <f>VLOOKUP($D7,Résultats!$B$2:$AX$212,K$2,FALSE)/1000000</f>
        <v>#N/A</v>
      </c>
      <c r="L7" s="31" t="e">
        <f>VLOOKUP($D7,Résultats!$B$2:$AX$212,L$2,FALSE)/1000000</f>
        <v>#N/A</v>
      </c>
      <c r="M7" s="31" t="e">
        <f>VLOOKUP($D7,Résultats!$B$2:$AX$212,M$2,FALSE)/1000000</f>
        <v>#N/A</v>
      </c>
      <c r="N7" s="125" t="e">
        <f>VLOOKUP($D7,Résultats!$B$2:$AX$212,N$2,FALSE)/1000000</f>
        <v>#N/A</v>
      </c>
      <c r="O7" s="124" t="e">
        <f>VLOOKUP($D7,Résultats!$B$2:$AX$212,O$2,FALSE)/1000000</f>
        <v>#N/A</v>
      </c>
      <c r="P7" s="31" t="e">
        <f>VLOOKUP($D7,Résultats!$B$2:$AX$212,P$2,FALSE)/1000000</f>
        <v>#N/A</v>
      </c>
      <c r="Q7" s="31" t="e">
        <f>VLOOKUP($D7,Résultats!$B$2:$AX$212,Q$2,FALSE)/1000000</f>
        <v>#N/A</v>
      </c>
      <c r="R7" s="31" t="e">
        <f>VLOOKUP($D7,Résultats!$B$2:$AX$212,R$2,FALSE)/1000000</f>
        <v>#N/A</v>
      </c>
      <c r="S7" s="125" t="e">
        <f>VLOOKUP($D7,Résultats!$B$2:$AX$212,S$2,FALSE)/1000000</f>
        <v>#N/A</v>
      </c>
      <c r="T7" s="128" t="e">
        <f>VLOOKUP($D7,Résultats!$B$2:$AX$212,T$2,FALSE)/1000000</f>
        <v>#N/A</v>
      </c>
      <c r="U7" s="128" t="e">
        <f>VLOOKUP($D7,Résultats!$B$2:$AX$212,U$2,FALSE)/1000000</f>
        <v>#N/A</v>
      </c>
      <c r="V7" s="31" t="e">
        <f>VLOOKUP($D7,Résultats!$B$2:$AX$212,V$2,FALSE)/1000000</f>
        <v>#N/A</v>
      </c>
      <c r="W7" s="128" t="e">
        <f>VLOOKUP($D7,Résultats!$B$2:$AX$212,W$2,FALSE)/1000000</f>
        <v>#N/A</v>
      </c>
      <c r="X7" s="3"/>
    </row>
    <row r="8" spans="1:38" x14ac:dyDescent="0.25">
      <c r="A8" s="3"/>
      <c r="B8" s="237"/>
      <c r="C8" s="56" t="s">
        <v>30</v>
      </c>
      <c r="D8" s="16" t="s">
        <v>85</v>
      </c>
      <c r="E8" s="31" t="e">
        <f>VLOOKUP($D8,Résultats!$B$2:$AX$212,E$2,FALSE)</f>
        <v>#N/A</v>
      </c>
      <c r="F8" s="31" t="e">
        <f>VLOOKUP($D8,Résultats!$B$2:$AX$212,F$2,FALSE)</f>
        <v>#N/A</v>
      </c>
      <c r="G8" s="124" t="e">
        <f>VLOOKUP($D8,Résultats!$B$2:$AX$212,G$2,FALSE)/1000000</f>
        <v>#N/A</v>
      </c>
      <c r="H8" s="31" t="e">
        <f>VLOOKUP($D8,Résultats!$B$2:$AX$212,H$2,FALSE)/1000000</f>
        <v>#N/A</v>
      </c>
      <c r="I8" s="125" t="e">
        <f>VLOOKUP($D8,Résultats!$B$2:$AX$212,I$2,FALSE)/1000000</f>
        <v>#N/A</v>
      </c>
      <c r="J8" s="124" t="e">
        <f>VLOOKUP($D8,Résultats!$B$2:$AX$212,J$2,FALSE)/1000000</f>
        <v>#N/A</v>
      </c>
      <c r="K8" s="31" t="e">
        <f>VLOOKUP($D8,Résultats!$B$2:$AX$212,K$2,FALSE)/1000000</f>
        <v>#N/A</v>
      </c>
      <c r="L8" s="31" t="e">
        <f>VLOOKUP($D8,Résultats!$B$2:$AX$212,L$2,FALSE)/1000000</f>
        <v>#N/A</v>
      </c>
      <c r="M8" s="31" t="e">
        <f>VLOOKUP($D8,Résultats!$B$2:$AX$212,M$2,FALSE)/1000000</f>
        <v>#N/A</v>
      </c>
      <c r="N8" s="125" t="e">
        <f>VLOOKUP($D8,Résultats!$B$2:$AX$212,N$2,FALSE)/1000000</f>
        <v>#N/A</v>
      </c>
      <c r="O8" s="124" t="e">
        <f>VLOOKUP($D8,Résultats!$B$2:$AX$212,O$2,FALSE)/1000000</f>
        <v>#N/A</v>
      </c>
      <c r="P8" s="31" t="e">
        <f>VLOOKUP($D8,Résultats!$B$2:$AX$212,P$2,FALSE)/1000000</f>
        <v>#N/A</v>
      </c>
      <c r="Q8" s="31" t="e">
        <f>VLOOKUP($D8,Résultats!$B$2:$AX$212,Q$2,FALSE)/1000000</f>
        <v>#N/A</v>
      </c>
      <c r="R8" s="31" t="e">
        <f>VLOOKUP($D8,Résultats!$B$2:$AX$212,R$2,FALSE)/1000000</f>
        <v>#N/A</v>
      </c>
      <c r="S8" s="125" t="e">
        <f>VLOOKUP($D8,Résultats!$B$2:$AX$212,S$2,FALSE)/1000000</f>
        <v>#N/A</v>
      </c>
      <c r="T8" s="128" t="e">
        <f>VLOOKUP($D8,Résultats!$B$2:$AX$212,T$2,FALSE)/1000000</f>
        <v>#N/A</v>
      </c>
      <c r="U8" s="128" t="e">
        <f>VLOOKUP($D8,Résultats!$B$2:$AX$212,U$2,FALSE)/1000000</f>
        <v>#N/A</v>
      </c>
      <c r="V8" s="31" t="e">
        <f>VLOOKUP($D8,Résultats!$B$2:$AX$212,V$2,FALSE)/1000000</f>
        <v>#N/A</v>
      </c>
      <c r="W8" s="128" t="e">
        <f>VLOOKUP($D8,Résultats!$B$2:$AX$212,W$2,FALSE)/1000000</f>
        <v>#N/A</v>
      </c>
      <c r="X8" s="3"/>
    </row>
    <row r="9" spans="1:38" x14ac:dyDescent="0.25">
      <c r="A9" s="3"/>
      <c r="B9" s="237"/>
      <c r="C9" s="56" t="s">
        <v>31</v>
      </c>
      <c r="D9" s="16" t="s">
        <v>86</v>
      </c>
      <c r="E9" s="31" t="e">
        <f>VLOOKUP($D9,Résultats!$B$2:$AX$212,E$2,FALSE)</f>
        <v>#N/A</v>
      </c>
      <c r="F9" s="31" t="e">
        <f>VLOOKUP($D9,Résultats!$B$2:$AX$212,F$2,FALSE)</f>
        <v>#N/A</v>
      </c>
      <c r="G9" s="124" t="e">
        <f>VLOOKUP($D9,Résultats!$B$2:$AX$212,G$2,FALSE)/1000000</f>
        <v>#N/A</v>
      </c>
      <c r="H9" s="31" t="e">
        <f>VLOOKUP($D9,Résultats!$B$2:$AX$212,H$2,FALSE)/1000000</f>
        <v>#N/A</v>
      </c>
      <c r="I9" s="125" t="e">
        <f>VLOOKUP($D9,Résultats!$B$2:$AX$212,I$2,FALSE)/1000000</f>
        <v>#N/A</v>
      </c>
      <c r="J9" s="124" t="e">
        <f>VLOOKUP($D9,Résultats!$B$2:$AX$212,J$2,FALSE)/1000000</f>
        <v>#N/A</v>
      </c>
      <c r="K9" s="31" t="e">
        <f>VLOOKUP($D9,Résultats!$B$2:$AX$212,K$2,FALSE)/1000000</f>
        <v>#N/A</v>
      </c>
      <c r="L9" s="31" t="e">
        <f>VLOOKUP($D9,Résultats!$B$2:$AX$212,L$2,FALSE)/1000000</f>
        <v>#N/A</v>
      </c>
      <c r="M9" s="31" t="e">
        <f>VLOOKUP($D9,Résultats!$B$2:$AX$212,M$2,FALSE)/1000000</f>
        <v>#N/A</v>
      </c>
      <c r="N9" s="125" t="e">
        <f>VLOOKUP($D9,Résultats!$B$2:$AX$212,N$2,FALSE)/1000000</f>
        <v>#N/A</v>
      </c>
      <c r="O9" s="124" t="e">
        <f>VLOOKUP($D9,Résultats!$B$2:$AX$212,O$2,FALSE)/1000000</f>
        <v>#N/A</v>
      </c>
      <c r="P9" s="31" t="e">
        <f>VLOOKUP($D9,Résultats!$B$2:$AX$212,P$2,FALSE)/1000000</f>
        <v>#N/A</v>
      </c>
      <c r="Q9" s="31" t="e">
        <f>VLOOKUP($D9,Résultats!$B$2:$AX$212,Q$2,FALSE)/1000000</f>
        <v>#N/A</v>
      </c>
      <c r="R9" s="31" t="e">
        <f>VLOOKUP($D9,Résultats!$B$2:$AX$212,R$2,FALSE)/1000000</f>
        <v>#N/A</v>
      </c>
      <c r="S9" s="125" t="e">
        <f>VLOOKUP($D9,Résultats!$B$2:$AX$212,S$2,FALSE)/1000000</f>
        <v>#N/A</v>
      </c>
      <c r="T9" s="128" t="e">
        <f>VLOOKUP($D9,Résultats!$B$2:$AX$212,T$2,FALSE)/1000000</f>
        <v>#N/A</v>
      </c>
      <c r="U9" s="128" t="e">
        <f>VLOOKUP($D9,Résultats!$B$2:$AX$212,U$2,FALSE)/1000000</f>
        <v>#N/A</v>
      </c>
      <c r="V9" s="31" t="e">
        <f>VLOOKUP($D9,Résultats!$B$2:$AX$212,V$2,FALSE)/1000000</f>
        <v>#N/A</v>
      </c>
      <c r="W9" s="128" t="e">
        <f>VLOOKUP($D9,Résultats!$B$2:$AX$212,W$2,FALSE)/1000000</f>
        <v>#N/A</v>
      </c>
      <c r="X9" s="3"/>
    </row>
    <row r="10" spans="1:38" x14ac:dyDescent="0.25">
      <c r="A10" s="3"/>
      <c r="B10" s="237"/>
      <c r="C10" s="56" t="s">
        <v>32</v>
      </c>
      <c r="D10" s="16" t="s">
        <v>87</v>
      </c>
      <c r="E10" s="31" t="e">
        <f>VLOOKUP($D10,Résultats!$B$2:$AX$212,E$2,FALSE)</f>
        <v>#N/A</v>
      </c>
      <c r="F10" s="31" t="e">
        <f>VLOOKUP($D10,Résultats!$B$2:$AX$212,F$2,FALSE)</f>
        <v>#N/A</v>
      </c>
      <c r="G10" s="124" t="e">
        <f>VLOOKUP($D10,Résultats!$B$2:$AX$212,G$2,FALSE)/1000000</f>
        <v>#N/A</v>
      </c>
      <c r="H10" s="31" t="e">
        <f>VLOOKUP($D10,Résultats!$B$2:$AX$212,H$2,FALSE)/1000000</f>
        <v>#N/A</v>
      </c>
      <c r="I10" s="125" t="e">
        <f>VLOOKUP($D10,Résultats!$B$2:$AX$212,I$2,FALSE)/1000000</f>
        <v>#N/A</v>
      </c>
      <c r="J10" s="124" t="e">
        <f>VLOOKUP($D10,Résultats!$B$2:$AX$212,J$2,FALSE)/1000000</f>
        <v>#N/A</v>
      </c>
      <c r="K10" s="31" t="e">
        <f>VLOOKUP($D10,Résultats!$B$2:$AX$212,K$2,FALSE)/1000000</f>
        <v>#N/A</v>
      </c>
      <c r="L10" s="31" t="e">
        <f>VLOOKUP($D10,Résultats!$B$2:$AX$212,L$2,FALSE)/1000000</f>
        <v>#N/A</v>
      </c>
      <c r="M10" s="31" t="e">
        <f>VLOOKUP($D10,Résultats!$B$2:$AX$212,M$2,FALSE)/1000000</f>
        <v>#N/A</v>
      </c>
      <c r="N10" s="125" t="e">
        <f>VLOOKUP($D10,Résultats!$B$2:$AX$212,N$2,FALSE)/1000000</f>
        <v>#N/A</v>
      </c>
      <c r="O10" s="124" t="e">
        <f>VLOOKUP($D10,Résultats!$B$2:$AX$212,O$2,FALSE)/1000000</f>
        <v>#N/A</v>
      </c>
      <c r="P10" s="31" t="e">
        <f>VLOOKUP($D10,Résultats!$B$2:$AX$212,P$2,FALSE)/1000000</f>
        <v>#N/A</v>
      </c>
      <c r="Q10" s="31" t="e">
        <f>VLOOKUP($D10,Résultats!$B$2:$AX$212,Q$2,FALSE)/1000000</f>
        <v>#N/A</v>
      </c>
      <c r="R10" s="31" t="e">
        <f>VLOOKUP($D10,Résultats!$B$2:$AX$212,R$2,FALSE)/1000000</f>
        <v>#N/A</v>
      </c>
      <c r="S10" s="125" t="e">
        <f>VLOOKUP($D10,Résultats!$B$2:$AX$212,S$2,FALSE)/1000000</f>
        <v>#N/A</v>
      </c>
      <c r="T10" s="128" t="e">
        <f>VLOOKUP($D10,Résultats!$B$2:$AX$212,T$2,FALSE)/1000000</f>
        <v>#N/A</v>
      </c>
      <c r="U10" s="128" t="e">
        <f>VLOOKUP($D10,Résultats!$B$2:$AX$212,U$2,FALSE)/1000000</f>
        <v>#N/A</v>
      </c>
      <c r="V10" s="31" t="e">
        <f>VLOOKUP($D10,Résultats!$B$2:$AX$212,V$2,FALSE)/1000000</f>
        <v>#N/A</v>
      </c>
      <c r="W10" s="128" t="e">
        <f>VLOOKUP($D10,Résultats!$B$2:$AX$212,W$2,FALSE)/1000000</f>
        <v>#N/A</v>
      </c>
      <c r="X10" s="3"/>
    </row>
    <row r="11" spans="1:38" x14ac:dyDescent="0.25">
      <c r="A11" s="3"/>
      <c r="B11" s="237"/>
      <c r="C11" s="78" t="s">
        <v>33</v>
      </c>
      <c r="D11" s="32" t="s">
        <v>88</v>
      </c>
      <c r="E11" s="20" t="e">
        <f>VLOOKUP($D11,Résultats!$B$2:$AX$212,E$2,FALSE)</f>
        <v>#N/A</v>
      </c>
      <c r="F11" s="20" t="e">
        <f>VLOOKUP($D11,Résultats!$B$2:$AX$212,F$2,FALSE)</f>
        <v>#N/A</v>
      </c>
      <c r="G11" s="111" t="e">
        <f>VLOOKUP($D11,Résultats!$B$2:$AX$212,G$2,FALSE)/1000000</f>
        <v>#N/A</v>
      </c>
      <c r="H11" s="20" t="e">
        <f>VLOOKUP($D11,Résultats!$B$2:$AX$212,H$2,FALSE)/1000000</f>
        <v>#N/A</v>
      </c>
      <c r="I11" s="112" t="e">
        <f>VLOOKUP($D11,Résultats!$B$2:$AX$212,I$2,FALSE)/1000000</f>
        <v>#N/A</v>
      </c>
      <c r="J11" s="111" t="e">
        <f>VLOOKUP($D11,Résultats!$B$2:$AX$212,J$2,FALSE)/1000000</f>
        <v>#N/A</v>
      </c>
      <c r="K11" s="20" t="e">
        <f>VLOOKUP($D11,Résultats!$B$2:$AX$212,K$2,FALSE)/1000000</f>
        <v>#N/A</v>
      </c>
      <c r="L11" s="20" t="e">
        <f>VLOOKUP($D11,Résultats!$B$2:$AX$212,L$2,FALSE)/1000000</f>
        <v>#N/A</v>
      </c>
      <c r="M11" s="20" t="e">
        <f>VLOOKUP($D11,Résultats!$B$2:$AX$212,M$2,FALSE)/1000000</f>
        <v>#N/A</v>
      </c>
      <c r="N11" s="112" t="e">
        <f>VLOOKUP($D11,Résultats!$B$2:$AX$212,N$2,FALSE)/1000000</f>
        <v>#N/A</v>
      </c>
      <c r="O11" s="111" t="e">
        <f>VLOOKUP($D11,Résultats!$B$2:$AX$212,O$2,FALSE)/1000000</f>
        <v>#N/A</v>
      </c>
      <c r="P11" s="20" t="e">
        <f>VLOOKUP($D11,Résultats!$B$2:$AX$212,P$2,FALSE)/1000000</f>
        <v>#N/A</v>
      </c>
      <c r="Q11" s="20" t="e">
        <f>VLOOKUP($D11,Résultats!$B$2:$AX$212,Q$2,FALSE)/1000000</f>
        <v>#N/A</v>
      </c>
      <c r="R11" s="20" t="e">
        <f>VLOOKUP($D11,Résultats!$B$2:$AX$212,R$2,FALSE)/1000000</f>
        <v>#N/A</v>
      </c>
      <c r="S11" s="112" t="e">
        <f>VLOOKUP($D11,Résultats!$B$2:$AX$212,S$2,FALSE)/1000000</f>
        <v>#N/A</v>
      </c>
      <c r="T11" s="120" t="e">
        <f>VLOOKUP($D11,Résultats!$B$2:$AX$212,T$2,FALSE)/1000000</f>
        <v>#N/A</v>
      </c>
      <c r="U11" s="120" t="e">
        <f>VLOOKUP($D11,Résultats!$B$2:$AX$212,U$2,FALSE)/1000000</f>
        <v>#N/A</v>
      </c>
      <c r="V11" s="20" t="e">
        <f>VLOOKUP($D11,Résultats!$B$2:$AX$212,V$2,FALSE)/1000000</f>
        <v>#N/A</v>
      </c>
      <c r="W11" s="120" t="e">
        <f>VLOOKUP($D11,Résultats!$B$2:$AX$212,W$2,FALSE)/1000000</f>
        <v>#N/A</v>
      </c>
      <c r="X11" s="3"/>
    </row>
    <row r="12" spans="1:38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8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8" x14ac:dyDescent="0.25">
      <c r="A14" s="3"/>
      <c r="B14" s="3"/>
      <c r="C14" s="64"/>
      <c r="D14" s="12"/>
      <c r="E14" s="30">
        <v>2006</v>
      </c>
      <c r="F14" s="30">
        <v>2015</v>
      </c>
      <c r="G14" s="26">
        <v>2018</v>
      </c>
      <c r="H14" s="4">
        <v>2019</v>
      </c>
      <c r="I14" s="106">
        <v>2020</v>
      </c>
      <c r="J14" s="114">
        <v>2021</v>
      </c>
      <c r="K14" s="33">
        <v>2022</v>
      </c>
      <c r="L14" s="4">
        <v>2023</v>
      </c>
      <c r="M14" s="33">
        <v>2024</v>
      </c>
      <c r="N14" s="106">
        <v>2025</v>
      </c>
      <c r="O14" s="114">
        <v>2026</v>
      </c>
      <c r="P14" s="4">
        <v>2027</v>
      </c>
      <c r="Q14" s="33">
        <v>2028</v>
      </c>
      <c r="R14" s="33">
        <v>2029</v>
      </c>
      <c r="S14" s="106">
        <v>2030</v>
      </c>
      <c r="T14" s="4">
        <v>2035</v>
      </c>
      <c r="U14" s="116">
        <v>2040</v>
      </c>
      <c r="V14" s="4">
        <v>2045</v>
      </c>
      <c r="W14" s="116">
        <v>2050</v>
      </c>
      <c r="X14" s="3"/>
    </row>
    <row r="15" spans="1:38" ht="15.75" thickBot="1" x14ac:dyDescent="0.3">
      <c r="A15" s="3"/>
      <c r="B15" s="238" t="s">
        <v>219</v>
      </c>
      <c r="C15" s="5" t="s">
        <v>44</v>
      </c>
      <c r="D15" s="13" t="s">
        <v>81</v>
      </c>
      <c r="E15" s="22" t="e">
        <f>E4/100</f>
        <v>#N/A</v>
      </c>
      <c r="F15" s="22" t="e">
        <f>F4/100</f>
        <v>#N/A</v>
      </c>
      <c r="G15" s="129" t="e">
        <f>G4*1000/100</f>
        <v>#N/A</v>
      </c>
      <c r="H15" s="22" t="e">
        <f t="shared" ref="H15:W15" si="1">H4*1000/100</f>
        <v>#N/A</v>
      </c>
      <c r="I15" s="130" t="e">
        <f t="shared" si="1"/>
        <v>#N/A</v>
      </c>
      <c r="J15" s="129" t="e">
        <f t="shared" si="1"/>
        <v>#N/A</v>
      </c>
      <c r="K15" s="22" t="e">
        <f t="shared" si="1"/>
        <v>#N/A</v>
      </c>
      <c r="L15" s="22" t="e">
        <f t="shared" si="1"/>
        <v>#N/A</v>
      </c>
      <c r="M15" s="22" t="e">
        <f t="shared" si="1"/>
        <v>#N/A</v>
      </c>
      <c r="N15" s="130" t="e">
        <f t="shared" si="1"/>
        <v>#N/A</v>
      </c>
      <c r="O15" s="129" t="e">
        <f t="shared" si="1"/>
        <v>#N/A</v>
      </c>
      <c r="P15" s="22" t="e">
        <f t="shared" si="1"/>
        <v>#N/A</v>
      </c>
      <c r="Q15" s="22" t="e">
        <f t="shared" si="1"/>
        <v>#N/A</v>
      </c>
      <c r="R15" s="22" t="e">
        <f t="shared" si="1"/>
        <v>#N/A</v>
      </c>
      <c r="S15" s="130" t="e">
        <f t="shared" si="1"/>
        <v>#N/A</v>
      </c>
      <c r="T15" s="22" t="e">
        <f t="shared" si="1"/>
        <v>#N/A</v>
      </c>
      <c r="U15" s="137" t="e">
        <f t="shared" si="1"/>
        <v>#N/A</v>
      </c>
      <c r="V15" s="22" t="e">
        <f t="shared" si="1"/>
        <v>#N/A</v>
      </c>
      <c r="W15" s="137" t="e">
        <f t="shared" si="1"/>
        <v>#N/A</v>
      </c>
      <c r="X15" s="3"/>
      <c r="Y15" s="51" t="s">
        <v>220</v>
      </c>
    </row>
    <row r="16" spans="1:38" x14ac:dyDescent="0.25">
      <c r="A16" s="3"/>
      <c r="B16" s="237"/>
      <c r="C16" s="56" t="s">
        <v>27</v>
      </c>
      <c r="D16" s="16" t="s">
        <v>82</v>
      </c>
      <c r="E16" s="96" t="e">
        <f>E5/E$4</f>
        <v>#N/A</v>
      </c>
      <c r="F16" s="96" t="e">
        <f>F5/F$4</f>
        <v>#N/A</v>
      </c>
      <c r="G16" s="131" t="e">
        <f>G5/G$4</f>
        <v>#N/A</v>
      </c>
      <c r="H16" s="96" t="e">
        <f t="shared" ref="H16:W16" si="2">H5/H$4</f>
        <v>#N/A</v>
      </c>
      <c r="I16" s="132" t="e">
        <f t="shared" si="2"/>
        <v>#N/A</v>
      </c>
      <c r="J16" s="131" t="e">
        <f t="shared" si="2"/>
        <v>#N/A</v>
      </c>
      <c r="K16" s="96" t="e">
        <f t="shared" si="2"/>
        <v>#N/A</v>
      </c>
      <c r="L16" s="96" t="e">
        <f t="shared" si="2"/>
        <v>#N/A</v>
      </c>
      <c r="M16" s="96" t="e">
        <f t="shared" si="2"/>
        <v>#N/A</v>
      </c>
      <c r="N16" s="132" t="e">
        <f t="shared" si="2"/>
        <v>#N/A</v>
      </c>
      <c r="O16" s="131" t="e">
        <f t="shared" si="2"/>
        <v>#N/A</v>
      </c>
      <c r="P16" s="96" t="e">
        <f t="shared" si="2"/>
        <v>#N/A</v>
      </c>
      <c r="Q16" s="96" t="e">
        <f t="shared" si="2"/>
        <v>#N/A</v>
      </c>
      <c r="R16" s="96" t="e">
        <f t="shared" si="2"/>
        <v>#N/A</v>
      </c>
      <c r="S16" s="132" t="e">
        <f t="shared" si="2"/>
        <v>#N/A</v>
      </c>
      <c r="T16" s="96" t="e">
        <f t="shared" si="2"/>
        <v>#N/A</v>
      </c>
      <c r="U16" s="138" t="e">
        <f t="shared" si="2"/>
        <v>#N/A</v>
      </c>
      <c r="V16" s="96" t="e">
        <f t="shared" si="2"/>
        <v>#N/A</v>
      </c>
      <c r="W16" s="138" t="e">
        <f t="shared" si="2"/>
        <v>#N/A</v>
      </c>
      <c r="X16" s="3"/>
      <c r="Y16" s="156"/>
      <c r="Z16" s="157">
        <v>2020</v>
      </c>
      <c r="AA16" s="157">
        <v>2030</v>
      </c>
      <c r="AB16" s="158">
        <v>2050</v>
      </c>
    </row>
    <row r="17" spans="1:28" x14ac:dyDescent="0.25">
      <c r="A17" s="3"/>
      <c r="B17" s="237"/>
      <c r="C17" s="56" t="s">
        <v>28</v>
      </c>
      <c r="D17" s="16" t="s">
        <v>83</v>
      </c>
      <c r="E17" s="90" t="e">
        <f t="shared" ref="E17:G22" si="3">E6/E$4</f>
        <v>#N/A</v>
      </c>
      <c r="F17" s="90" t="e">
        <f t="shared" si="3"/>
        <v>#N/A</v>
      </c>
      <c r="G17" s="133" t="e">
        <f t="shared" si="3"/>
        <v>#N/A</v>
      </c>
      <c r="H17" s="90" t="e">
        <f t="shared" ref="H17:W17" si="4">H6/H$4</f>
        <v>#N/A</v>
      </c>
      <c r="I17" s="134" t="e">
        <f t="shared" si="4"/>
        <v>#N/A</v>
      </c>
      <c r="J17" s="133" t="e">
        <f t="shared" si="4"/>
        <v>#N/A</v>
      </c>
      <c r="K17" s="90" t="e">
        <f t="shared" si="4"/>
        <v>#N/A</v>
      </c>
      <c r="L17" s="90" t="e">
        <f t="shared" si="4"/>
        <v>#N/A</v>
      </c>
      <c r="M17" s="90" t="e">
        <f t="shared" si="4"/>
        <v>#N/A</v>
      </c>
      <c r="N17" s="134" t="e">
        <f t="shared" si="4"/>
        <v>#N/A</v>
      </c>
      <c r="O17" s="133" t="e">
        <f t="shared" si="4"/>
        <v>#N/A</v>
      </c>
      <c r="P17" s="90" t="e">
        <f t="shared" si="4"/>
        <v>#N/A</v>
      </c>
      <c r="Q17" s="90" t="e">
        <f t="shared" si="4"/>
        <v>#N/A</v>
      </c>
      <c r="R17" s="90" t="e">
        <f t="shared" si="4"/>
        <v>#N/A</v>
      </c>
      <c r="S17" s="134" t="e">
        <f t="shared" si="4"/>
        <v>#N/A</v>
      </c>
      <c r="T17" s="90" t="e">
        <f t="shared" si="4"/>
        <v>#N/A</v>
      </c>
      <c r="U17" s="139" t="e">
        <f t="shared" si="4"/>
        <v>#N/A</v>
      </c>
      <c r="V17" s="90" t="e">
        <f t="shared" si="4"/>
        <v>#N/A</v>
      </c>
      <c r="W17" s="139" t="e">
        <f t="shared" si="4"/>
        <v>#N/A</v>
      </c>
      <c r="X17" s="3"/>
      <c r="Y17" s="159" t="s">
        <v>136</v>
      </c>
      <c r="Z17" s="160" t="e">
        <f>I16+I17</f>
        <v>#N/A</v>
      </c>
      <c r="AA17" s="160" t="e">
        <f>S16+S17</f>
        <v>#N/A</v>
      </c>
      <c r="AB17" s="161" t="e">
        <f>W16+W17</f>
        <v>#N/A</v>
      </c>
    </row>
    <row r="18" spans="1:28" x14ac:dyDescent="0.25">
      <c r="A18" s="3"/>
      <c r="B18" s="237"/>
      <c r="C18" s="56" t="s">
        <v>29</v>
      </c>
      <c r="D18" s="16" t="s">
        <v>84</v>
      </c>
      <c r="E18" s="90" t="e">
        <f t="shared" si="3"/>
        <v>#N/A</v>
      </c>
      <c r="F18" s="90" t="e">
        <f t="shared" si="3"/>
        <v>#N/A</v>
      </c>
      <c r="G18" s="133" t="e">
        <f t="shared" si="3"/>
        <v>#N/A</v>
      </c>
      <c r="H18" s="90" t="e">
        <f t="shared" ref="H18:W18" si="5">H7/H$4</f>
        <v>#N/A</v>
      </c>
      <c r="I18" s="134" t="e">
        <f t="shared" si="5"/>
        <v>#N/A</v>
      </c>
      <c r="J18" s="133" t="e">
        <f t="shared" si="5"/>
        <v>#N/A</v>
      </c>
      <c r="K18" s="90" t="e">
        <f t="shared" si="5"/>
        <v>#N/A</v>
      </c>
      <c r="L18" s="90" t="e">
        <f t="shared" si="5"/>
        <v>#N/A</v>
      </c>
      <c r="M18" s="90" t="e">
        <f t="shared" si="5"/>
        <v>#N/A</v>
      </c>
      <c r="N18" s="134" t="e">
        <f t="shared" si="5"/>
        <v>#N/A</v>
      </c>
      <c r="O18" s="133" t="e">
        <f t="shared" si="5"/>
        <v>#N/A</v>
      </c>
      <c r="P18" s="90" t="e">
        <f t="shared" si="5"/>
        <v>#N/A</v>
      </c>
      <c r="Q18" s="90" t="e">
        <f t="shared" si="5"/>
        <v>#N/A</v>
      </c>
      <c r="R18" s="90" t="e">
        <f t="shared" si="5"/>
        <v>#N/A</v>
      </c>
      <c r="S18" s="134" t="e">
        <f t="shared" si="5"/>
        <v>#N/A</v>
      </c>
      <c r="T18" s="90" t="e">
        <f t="shared" si="5"/>
        <v>#N/A</v>
      </c>
      <c r="U18" s="139" t="e">
        <f t="shared" si="5"/>
        <v>#N/A</v>
      </c>
      <c r="V18" s="90" t="e">
        <f t="shared" si="5"/>
        <v>#N/A</v>
      </c>
      <c r="W18" s="139" t="e">
        <f t="shared" si="5"/>
        <v>#N/A</v>
      </c>
      <c r="X18" s="3"/>
      <c r="Y18" s="159" t="s">
        <v>137</v>
      </c>
      <c r="Z18" s="160" t="e">
        <f>I18+I19+I20</f>
        <v>#N/A</v>
      </c>
      <c r="AA18" s="160" t="e">
        <f>S18+S19+S20</f>
        <v>#N/A</v>
      </c>
      <c r="AB18" s="161" t="e">
        <f>W18+W19+W20</f>
        <v>#N/A</v>
      </c>
    </row>
    <row r="19" spans="1:28" ht="15.75" thickBot="1" x14ac:dyDescent="0.3">
      <c r="A19" s="3"/>
      <c r="B19" s="237"/>
      <c r="C19" s="56" t="s">
        <v>30</v>
      </c>
      <c r="D19" s="16" t="s">
        <v>85</v>
      </c>
      <c r="E19" s="90" t="e">
        <f t="shared" si="3"/>
        <v>#N/A</v>
      </c>
      <c r="F19" s="90" t="e">
        <f t="shared" si="3"/>
        <v>#N/A</v>
      </c>
      <c r="G19" s="133" t="e">
        <f t="shared" si="3"/>
        <v>#N/A</v>
      </c>
      <c r="H19" s="90" t="e">
        <f t="shared" ref="H19:W19" si="6">H8/H$4</f>
        <v>#N/A</v>
      </c>
      <c r="I19" s="134" t="e">
        <f t="shared" si="6"/>
        <v>#N/A</v>
      </c>
      <c r="J19" s="133" t="e">
        <f t="shared" si="6"/>
        <v>#N/A</v>
      </c>
      <c r="K19" s="90" t="e">
        <f t="shared" si="6"/>
        <v>#N/A</v>
      </c>
      <c r="L19" s="90" t="e">
        <f t="shared" si="6"/>
        <v>#N/A</v>
      </c>
      <c r="M19" s="90" t="e">
        <f t="shared" si="6"/>
        <v>#N/A</v>
      </c>
      <c r="N19" s="134" t="e">
        <f t="shared" si="6"/>
        <v>#N/A</v>
      </c>
      <c r="O19" s="133" t="e">
        <f t="shared" si="6"/>
        <v>#N/A</v>
      </c>
      <c r="P19" s="90" t="e">
        <f t="shared" si="6"/>
        <v>#N/A</v>
      </c>
      <c r="Q19" s="90" t="e">
        <f t="shared" si="6"/>
        <v>#N/A</v>
      </c>
      <c r="R19" s="90" t="e">
        <f t="shared" si="6"/>
        <v>#N/A</v>
      </c>
      <c r="S19" s="134" t="e">
        <f t="shared" si="6"/>
        <v>#N/A</v>
      </c>
      <c r="T19" s="90" t="e">
        <f t="shared" si="6"/>
        <v>#N/A</v>
      </c>
      <c r="U19" s="139" t="e">
        <f t="shared" si="6"/>
        <v>#N/A</v>
      </c>
      <c r="V19" s="90" t="e">
        <f t="shared" si="6"/>
        <v>#N/A</v>
      </c>
      <c r="W19" s="139" t="e">
        <f t="shared" si="6"/>
        <v>#N/A</v>
      </c>
      <c r="X19" s="3"/>
      <c r="Y19" s="162" t="s">
        <v>142</v>
      </c>
      <c r="Z19" s="163" t="e">
        <f>I21+I22</f>
        <v>#N/A</v>
      </c>
      <c r="AA19" s="163" t="e">
        <f>S21+S22</f>
        <v>#N/A</v>
      </c>
      <c r="AB19" s="164" t="e">
        <f>W21+W22</f>
        <v>#N/A</v>
      </c>
    </row>
    <row r="20" spans="1:28" x14ac:dyDescent="0.25">
      <c r="A20" s="3"/>
      <c r="B20" s="237"/>
      <c r="C20" s="56" t="s">
        <v>31</v>
      </c>
      <c r="D20" s="16" t="s">
        <v>86</v>
      </c>
      <c r="E20" s="90" t="e">
        <f t="shared" si="3"/>
        <v>#N/A</v>
      </c>
      <c r="F20" s="90" t="e">
        <f t="shared" si="3"/>
        <v>#N/A</v>
      </c>
      <c r="G20" s="133" t="e">
        <f t="shared" si="3"/>
        <v>#N/A</v>
      </c>
      <c r="H20" s="90" t="e">
        <f t="shared" ref="H20:W20" si="7">H9/H$4</f>
        <v>#N/A</v>
      </c>
      <c r="I20" s="134" t="e">
        <f t="shared" si="7"/>
        <v>#N/A</v>
      </c>
      <c r="J20" s="133" t="e">
        <f t="shared" si="7"/>
        <v>#N/A</v>
      </c>
      <c r="K20" s="90" t="e">
        <f t="shared" si="7"/>
        <v>#N/A</v>
      </c>
      <c r="L20" s="90" t="e">
        <f t="shared" si="7"/>
        <v>#N/A</v>
      </c>
      <c r="M20" s="90" t="e">
        <f t="shared" si="7"/>
        <v>#N/A</v>
      </c>
      <c r="N20" s="134" t="e">
        <f t="shared" si="7"/>
        <v>#N/A</v>
      </c>
      <c r="O20" s="133" t="e">
        <f t="shared" si="7"/>
        <v>#N/A</v>
      </c>
      <c r="P20" s="90" t="e">
        <f t="shared" si="7"/>
        <v>#N/A</v>
      </c>
      <c r="Q20" s="90" t="e">
        <f t="shared" si="7"/>
        <v>#N/A</v>
      </c>
      <c r="R20" s="90" t="e">
        <f t="shared" si="7"/>
        <v>#N/A</v>
      </c>
      <c r="S20" s="134" t="e">
        <f t="shared" si="7"/>
        <v>#N/A</v>
      </c>
      <c r="T20" s="90" t="e">
        <f t="shared" si="7"/>
        <v>#N/A</v>
      </c>
      <c r="U20" s="139" t="e">
        <f t="shared" si="7"/>
        <v>#N/A</v>
      </c>
      <c r="V20" s="90" t="e">
        <f t="shared" si="7"/>
        <v>#N/A</v>
      </c>
      <c r="W20" s="139" t="e">
        <f t="shared" si="7"/>
        <v>#N/A</v>
      </c>
      <c r="X20" s="3"/>
      <c r="Y20" s="223" t="s">
        <v>210</v>
      </c>
      <c r="Z20" s="224" t="e">
        <f>SUM(Z17:Z19)</f>
        <v>#N/A</v>
      </c>
      <c r="AA20" s="224" t="e">
        <f t="shared" ref="AA20:AB20" si="8">SUM(AA17:AA19)</f>
        <v>#N/A</v>
      </c>
      <c r="AB20" s="224" t="e">
        <f t="shared" si="8"/>
        <v>#N/A</v>
      </c>
    </row>
    <row r="21" spans="1:28" x14ac:dyDescent="0.25">
      <c r="A21" s="3"/>
      <c r="B21" s="237"/>
      <c r="C21" s="56" t="s">
        <v>32</v>
      </c>
      <c r="D21" s="16" t="s">
        <v>87</v>
      </c>
      <c r="E21" s="90" t="e">
        <f t="shared" si="3"/>
        <v>#N/A</v>
      </c>
      <c r="F21" s="90" t="e">
        <f t="shared" si="3"/>
        <v>#N/A</v>
      </c>
      <c r="G21" s="133" t="e">
        <f t="shared" si="3"/>
        <v>#N/A</v>
      </c>
      <c r="H21" s="90" t="e">
        <f t="shared" ref="H21:W21" si="9">H10/H$4</f>
        <v>#N/A</v>
      </c>
      <c r="I21" s="134" t="e">
        <f t="shared" si="9"/>
        <v>#N/A</v>
      </c>
      <c r="J21" s="133" t="e">
        <f t="shared" si="9"/>
        <v>#N/A</v>
      </c>
      <c r="K21" s="90" t="e">
        <f t="shared" si="9"/>
        <v>#N/A</v>
      </c>
      <c r="L21" s="90" t="e">
        <f t="shared" si="9"/>
        <v>#N/A</v>
      </c>
      <c r="M21" s="90" t="e">
        <f t="shared" si="9"/>
        <v>#N/A</v>
      </c>
      <c r="N21" s="134" t="e">
        <f t="shared" si="9"/>
        <v>#N/A</v>
      </c>
      <c r="O21" s="133" t="e">
        <f t="shared" si="9"/>
        <v>#N/A</v>
      </c>
      <c r="P21" s="90" t="e">
        <f t="shared" si="9"/>
        <v>#N/A</v>
      </c>
      <c r="Q21" s="90" t="e">
        <f t="shared" si="9"/>
        <v>#N/A</v>
      </c>
      <c r="R21" s="90" t="e">
        <f t="shared" si="9"/>
        <v>#N/A</v>
      </c>
      <c r="S21" s="134" t="e">
        <f t="shared" si="9"/>
        <v>#N/A</v>
      </c>
      <c r="T21" s="90" t="e">
        <f t="shared" si="9"/>
        <v>#N/A</v>
      </c>
      <c r="U21" s="139" t="e">
        <f t="shared" si="9"/>
        <v>#N/A</v>
      </c>
      <c r="V21" s="90" t="e">
        <f t="shared" si="9"/>
        <v>#N/A</v>
      </c>
      <c r="W21" s="139" t="e">
        <f t="shared" si="9"/>
        <v>#N/A</v>
      </c>
      <c r="X21" s="3"/>
    </row>
    <row r="22" spans="1:28" x14ac:dyDescent="0.25">
      <c r="A22" s="3"/>
      <c r="B22" s="237"/>
      <c r="C22" s="78" t="s">
        <v>33</v>
      </c>
      <c r="D22" s="32" t="s">
        <v>88</v>
      </c>
      <c r="E22" s="92" t="e">
        <f t="shared" si="3"/>
        <v>#N/A</v>
      </c>
      <c r="F22" s="92" t="e">
        <f t="shared" si="3"/>
        <v>#N/A</v>
      </c>
      <c r="G22" s="135" t="e">
        <f t="shared" si="3"/>
        <v>#N/A</v>
      </c>
      <c r="H22" s="92" t="e">
        <f t="shared" ref="H22:W22" si="10">H11/H$4</f>
        <v>#N/A</v>
      </c>
      <c r="I22" s="136" t="e">
        <f t="shared" si="10"/>
        <v>#N/A</v>
      </c>
      <c r="J22" s="135" t="e">
        <f t="shared" si="10"/>
        <v>#N/A</v>
      </c>
      <c r="K22" s="92" t="e">
        <f t="shared" si="10"/>
        <v>#N/A</v>
      </c>
      <c r="L22" s="92" t="e">
        <f t="shared" si="10"/>
        <v>#N/A</v>
      </c>
      <c r="M22" s="92" t="e">
        <f t="shared" si="10"/>
        <v>#N/A</v>
      </c>
      <c r="N22" s="136" t="e">
        <f t="shared" si="10"/>
        <v>#N/A</v>
      </c>
      <c r="O22" s="135" t="e">
        <f t="shared" si="10"/>
        <v>#N/A</v>
      </c>
      <c r="P22" s="92" t="e">
        <f t="shared" si="10"/>
        <v>#N/A</v>
      </c>
      <c r="Q22" s="92" t="e">
        <f t="shared" si="10"/>
        <v>#N/A</v>
      </c>
      <c r="R22" s="92" t="e">
        <f t="shared" si="10"/>
        <v>#N/A</v>
      </c>
      <c r="S22" s="136" t="e">
        <f t="shared" si="10"/>
        <v>#N/A</v>
      </c>
      <c r="T22" s="92" t="e">
        <f t="shared" si="10"/>
        <v>#N/A</v>
      </c>
      <c r="U22" s="140" t="e">
        <f t="shared" si="10"/>
        <v>#N/A</v>
      </c>
      <c r="V22" s="92" t="e">
        <f t="shared" si="10"/>
        <v>#N/A</v>
      </c>
      <c r="W22" s="140" t="e">
        <f t="shared" si="10"/>
        <v>#N/A</v>
      </c>
      <c r="X22" s="3"/>
    </row>
    <row r="23" spans="1:28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8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8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4:B10"/>
  <sheetViews>
    <sheetView workbookViewId="0">
      <selection activeCell="P29" sqref="P29"/>
    </sheetView>
  </sheetViews>
  <sheetFormatPr baseColWidth="10" defaultRowHeight="15" x14ac:dyDescent="0.25"/>
  <sheetData>
    <row r="4" spans="2:2" x14ac:dyDescent="0.25">
      <c r="B4" t="str">
        <f>Résultats!B1&amp;" : Energie finale par usage et énergie primaire (Mtep)"</f>
        <v>TEND : Energie finale par usage et énergie primaire (Mtep)</v>
      </c>
    </row>
    <row r="5" spans="2:2" x14ac:dyDescent="0.25">
      <c r="B5" t="str">
        <f>Résultats!B1&amp;" : Ventilation du mix electrique (%)"</f>
        <v>TEND : Ventilation du mix electrique (%)</v>
      </c>
    </row>
    <row r="6" spans="2:2" x14ac:dyDescent="0.25">
      <c r="B6" t="str">
        <f>Résultats!B1&amp;" : Ventilation du mix carburant (%)"</f>
        <v>TEND : Ventilation du mix carburant (%)</v>
      </c>
    </row>
    <row r="7" spans="2:2" x14ac:dyDescent="0.25">
      <c r="B7" t="str">
        <f>Résultats!B1&amp;" : Ventilation du mix gaz (%)"</f>
        <v>TEND : Ventilation du mix gaz (%)</v>
      </c>
    </row>
    <row r="8" spans="2:2" x14ac:dyDescent="0.25">
      <c r="B8" t="str">
        <f>Résultats!B1&amp;" : Emissions CO2 (Mt.eqCO2)"</f>
        <v>TEND : Emissions CO2 (Mt.eqCO2)</v>
      </c>
    </row>
    <row r="9" spans="2:2" x14ac:dyDescent="0.25">
      <c r="B9" t="str">
        <f>Résultats!B1&amp;" : Ventilation du parc auto (%)"</f>
        <v>TEND : Ventilation du parc auto (%)</v>
      </c>
    </row>
    <row r="10" spans="2:2" x14ac:dyDescent="0.25">
      <c r="B10" t="str">
        <f>Résultats!B1&amp;" : Ventilation du parc de logements (%)"</f>
        <v>TEND : Ventilation du parc de logements (%)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7</vt:i4>
      </vt:variant>
      <vt:variant>
        <vt:lpstr>Graphiques</vt:lpstr>
      </vt:variant>
      <vt:variant>
        <vt:i4>7</vt:i4>
      </vt:variant>
      <vt:variant>
        <vt:lpstr>Plages nommées</vt:lpstr>
      </vt:variant>
      <vt:variant>
        <vt:i4>1</vt:i4>
      </vt:variant>
    </vt:vector>
  </HeadingPairs>
  <TitlesOfParts>
    <vt:vector size="15" baseType="lpstr">
      <vt:lpstr>Résultats</vt:lpstr>
      <vt:lpstr>T energie vecteurs</vt:lpstr>
      <vt:lpstr>T energie usages</vt:lpstr>
      <vt:lpstr>T CO2</vt:lpstr>
      <vt:lpstr>T parc auto</vt:lpstr>
      <vt:lpstr>T logement</vt:lpstr>
      <vt:lpstr>Table Graphs</vt:lpstr>
      <vt:lpstr>Graphique8</vt:lpstr>
      <vt:lpstr>Graphique9</vt:lpstr>
      <vt:lpstr>Graphique10</vt:lpstr>
      <vt:lpstr>Graphique11</vt:lpstr>
      <vt:lpstr>Graphique12</vt:lpstr>
      <vt:lpstr>Graphique13</vt:lpstr>
      <vt:lpstr>Graphique14</vt:lpstr>
      <vt:lpstr>'T parc auto'!Zone_d_impression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GISSELA LANDA RIVERA</dc:creator>
  <cp:lastModifiedBy>CALLONNEC Gaël</cp:lastModifiedBy>
  <cp:lastPrinted>2018-11-29T16:44:02Z</cp:lastPrinted>
  <dcterms:created xsi:type="dcterms:W3CDTF">2016-06-15T08:53:28Z</dcterms:created>
  <dcterms:modified xsi:type="dcterms:W3CDTF">2025-12-04T09:54:07Z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2025-03-13T10:37:52Z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1f0fdedd-8d82-4f74-8cf9-d75270dcc93d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