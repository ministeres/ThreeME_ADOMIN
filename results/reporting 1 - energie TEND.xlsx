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worksheets/sheet4.xml" ContentType="application/vnd.openxmlformats-officedocument.spreadsheetml.worksheet+xml"/>
  <Override PartName="/xl/chartsheets/sheet5.xml" ContentType="application/vnd.openxmlformats-officedocument.spreadsheetml.chartsheet+xml"/>
  <Override PartName="/xl/worksheets/sheet5.xml" ContentType="application/vnd.openxmlformats-officedocument.spreadsheetml.worksheet+xml"/>
  <Override PartName="/xl/chartsheets/sheet6.xml" ContentType="application/vnd.openxmlformats-officedocument.spreadsheetml.chartsheet+xml"/>
  <Override PartName="/xl/worksheets/sheet6.xml" ContentType="application/vnd.openxmlformats-officedocument.spreadsheetml.worksheet+xml"/>
  <Override PartName="/xl/chartsheets/sheet7.xml" ContentType="application/vnd.openxmlformats-officedocument.spreadsheetml.chart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3.xml" ContentType="application/vnd.openxmlformats-officedocument.spreadsheetml.comments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ThreeME\results\"/>
    </mc:Choice>
  </mc:AlternateContent>
  <xr:revisionPtr revIDLastSave="0" documentId="13_ncr:1_{CEBBE4B6-D02A-4D43-95C9-1BF6FB8771FB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Résultats" sheetId="2" r:id="rId1"/>
    <sheet name="T energie vecteurs" sheetId="13" r:id="rId2"/>
    <sheet name="T energie usages" sheetId="16" r:id="rId3"/>
    <sheet name="Graphique1" sheetId="27" r:id="rId4"/>
    <sheet name="Graphique2" sheetId="22" r:id="rId5"/>
    <sheet name="Graphique3" sheetId="23" r:id="rId6"/>
    <sheet name="Graphique4" sheetId="24" r:id="rId7"/>
    <sheet name="T CO2" sheetId="10" r:id="rId8"/>
    <sheet name="Graphique5" sheetId="26" r:id="rId9"/>
    <sheet name="T parc auto" sheetId="25" r:id="rId10"/>
    <sheet name="Graphique6" sheetId="19" r:id="rId11"/>
    <sheet name="T logement" sheetId="14" r:id="rId12"/>
    <sheet name="Graphique7" sheetId="20" r:id="rId13"/>
    <sheet name="Table Graphs" sheetId="28" r:id="rId14"/>
  </sheets>
  <externalReferences>
    <externalReference r:id="rId15"/>
  </externalReferences>
  <definedNames>
    <definedName name="_xlnm.Print_Area" localSheetId="9">'T parc auto'!$C$26:$AM$109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8" i="16" l="1"/>
  <c r="K105" i="16"/>
  <c r="K92" i="16"/>
  <c r="K79" i="16"/>
  <c r="K66" i="16"/>
  <c r="K53" i="16"/>
  <c r="K40" i="16"/>
  <c r="K27" i="16"/>
  <c r="K14" i="16"/>
  <c r="K58" i="16" l="1"/>
  <c r="J58" i="16"/>
  <c r="I58" i="16"/>
  <c r="H58" i="16"/>
  <c r="K57" i="16"/>
  <c r="J57" i="16"/>
  <c r="I57" i="16"/>
  <c r="H57" i="16"/>
  <c r="K56" i="16"/>
  <c r="J56" i="16"/>
  <c r="I56" i="16"/>
  <c r="H56" i="16"/>
  <c r="K54" i="16"/>
  <c r="J54" i="16"/>
  <c r="I54" i="16"/>
  <c r="H54" i="16"/>
  <c r="J53" i="16"/>
  <c r="I53" i="16"/>
  <c r="H53" i="16"/>
  <c r="K52" i="16"/>
  <c r="J52" i="16"/>
  <c r="I52" i="16"/>
  <c r="H52" i="16"/>
  <c r="K51" i="16"/>
  <c r="J51" i="16"/>
  <c r="I51" i="16"/>
  <c r="H51" i="16"/>
  <c r="K45" i="16"/>
  <c r="J45" i="16"/>
  <c r="I45" i="16"/>
  <c r="H45" i="16"/>
  <c r="K44" i="16"/>
  <c r="J44" i="16"/>
  <c r="I44" i="16"/>
  <c r="H44" i="16"/>
  <c r="K43" i="16"/>
  <c r="J43" i="16"/>
  <c r="I43" i="16"/>
  <c r="H43" i="16"/>
  <c r="K41" i="16"/>
  <c r="J41" i="16"/>
  <c r="I41" i="16"/>
  <c r="H41" i="16"/>
  <c r="J40" i="16"/>
  <c r="I40" i="16"/>
  <c r="H40" i="16"/>
  <c r="K39" i="16"/>
  <c r="J39" i="16"/>
  <c r="I39" i="16"/>
  <c r="H39" i="16"/>
  <c r="K38" i="16"/>
  <c r="J38" i="16"/>
  <c r="I38" i="16"/>
  <c r="I37" i="16" s="1"/>
  <c r="H38" i="16"/>
  <c r="R58" i="16"/>
  <c r="Q58" i="16"/>
  <c r="P58" i="16"/>
  <c r="O58" i="16"/>
  <c r="R57" i="16"/>
  <c r="P57" i="16"/>
  <c r="O57" i="16"/>
  <c r="R56" i="16"/>
  <c r="Q56" i="16"/>
  <c r="Q55" i="16" s="1"/>
  <c r="P56" i="16"/>
  <c r="P55" i="16" s="1"/>
  <c r="O56" i="16"/>
  <c r="R54" i="16"/>
  <c r="Q54" i="16"/>
  <c r="P54" i="16"/>
  <c r="O54" i="16"/>
  <c r="R53" i="16"/>
  <c r="Q53" i="16"/>
  <c r="P53" i="16"/>
  <c r="O53" i="16"/>
  <c r="R50" i="16"/>
  <c r="Q50" i="16"/>
  <c r="P50" i="16"/>
  <c r="O50" i="16"/>
  <c r="R45" i="16"/>
  <c r="Q45" i="16"/>
  <c r="P45" i="16"/>
  <c r="O45" i="16"/>
  <c r="R44" i="16"/>
  <c r="P44" i="16"/>
  <c r="O44" i="16"/>
  <c r="R43" i="16"/>
  <c r="Q43" i="16"/>
  <c r="Q42" i="16" s="1"/>
  <c r="P43" i="16"/>
  <c r="O43" i="16"/>
  <c r="R41" i="16"/>
  <c r="Q41" i="16"/>
  <c r="P41" i="16"/>
  <c r="O41" i="16"/>
  <c r="R40" i="16"/>
  <c r="Q40" i="16"/>
  <c r="P40" i="16"/>
  <c r="O40" i="16"/>
  <c r="R37" i="16"/>
  <c r="Q37" i="16"/>
  <c r="P37" i="16"/>
  <c r="O37" i="16"/>
  <c r="R123" i="16"/>
  <c r="Q123" i="16"/>
  <c r="P123" i="16"/>
  <c r="O123" i="16"/>
  <c r="R122" i="16"/>
  <c r="P122" i="16"/>
  <c r="O122" i="16"/>
  <c r="R121" i="16"/>
  <c r="Q121" i="16"/>
  <c r="P121" i="16"/>
  <c r="O121" i="16"/>
  <c r="R119" i="16"/>
  <c r="Q119" i="16"/>
  <c r="P119" i="16"/>
  <c r="O119" i="16"/>
  <c r="R118" i="16"/>
  <c r="Q118" i="16"/>
  <c r="P118" i="16"/>
  <c r="O118" i="16"/>
  <c r="R115" i="16"/>
  <c r="Q115" i="16"/>
  <c r="P115" i="16"/>
  <c r="O115" i="16"/>
  <c r="R110" i="16"/>
  <c r="Q110" i="16"/>
  <c r="P110" i="16"/>
  <c r="O110" i="16"/>
  <c r="R109" i="16"/>
  <c r="P109" i="16"/>
  <c r="O109" i="16"/>
  <c r="R108" i="16"/>
  <c r="Q108" i="16"/>
  <c r="P108" i="16"/>
  <c r="O108" i="16"/>
  <c r="R106" i="16"/>
  <c r="Q106" i="16"/>
  <c r="P106" i="16"/>
  <c r="O106" i="16"/>
  <c r="R105" i="16"/>
  <c r="Q105" i="16"/>
  <c r="P105" i="16"/>
  <c r="O105" i="16"/>
  <c r="R102" i="16"/>
  <c r="Q102" i="16"/>
  <c r="P102" i="16"/>
  <c r="O102" i="16"/>
  <c r="R97" i="16"/>
  <c r="Q97" i="16"/>
  <c r="P97" i="16"/>
  <c r="O97" i="16"/>
  <c r="R96" i="16"/>
  <c r="P96" i="16"/>
  <c r="O96" i="16"/>
  <c r="R95" i="16"/>
  <c r="Q95" i="16"/>
  <c r="P95" i="16"/>
  <c r="O95" i="16"/>
  <c r="R93" i="16"/>
  <c r="Q93" i="16"/>
  <c r="P93" i="16"/>
  <c r="O93" i="16"/>
  <c r="R92" i="16"/>
  <c r="Q92" i="16"/>
  <c r="P92" i="16"/>
  <c r="O92" i="16"/>
  <c r="R89" i="16"/>
  <c r="Q89" i="16"/>
  <c r="P89" i="16"/>
  <c r="O89" i="16"/>
  <c r="R84" i="16"/>
  <c r="Q84" i="16"/>
  <c r="P84" i="16"/>
  <c r="O84" i="16"/>
  <c r="R83" i="16"/>
  <c r="P83" i="16"/>
  <c r="O83" i="16"/>
  <c r="R82" i="16"/>
  <c r="Q82" i="16"/>
  <c r="P82" i="16"/>
  <c r="O82" i="16"/>
  <c r="R80" i="16"/>
  <c r="Q80" i="16"/>
  <c r="P80" i="16"/>
  <c r="O80" i="16"/>
  <c r="R79" i="16"/>
  <c r="Q79" i="16"/>
  <c r="P79" i="16"/>
  <c r="O79" i="16"/>
  <c r="R76" i="16"/>
  <c r="Q76" i="16"/>
  <c r="P76" i="16"/>
  <c r="O76" i="16"/>
  <c r="R71" i="16"/>
  <c r="Q71" i="16"/>
  <c r="P71" i="16"/>
  <c r="O71" i="16"/>
  <c r="R70" i="16"/>
  <c r="P70" i="16"/>
  <c r="O70" i="16"/>
  <c r="R69" i="16"/>
  <c r="Q69" i="16"/>
  <c r="P69" i="16"/>
  <c r="O69" i="16"/>
  <c r="R67" i="16"/>
  <c r="Q67" i="16"/>
  <c r="P67" i="16"/>
  <c r="O67" i="16"/>
  <c r="R66" i="16"/>
  <c r="Q66" i="16"/>
  <c r="P66" i="16"/>
  <c r="O66" i="16"/>
  <c r="R63" i="16"/>
  <c r="Q63" i="16"/>
  <c r="P63" i="16"/>
  <c r="O63" i="16"/>
  <c r="R32" i="16"/>
  <c r="Q32" i="16"/>
  <c r="P32" i="16"/>
  <c r="O32" i="16"/>
  <c r="R31" i="16"/>
  <c r="P31" i="16"/>
  <c r="O31" i="16"/>
  <c r="R30" i="16"/>
  <c r="Q30" i="16"/>
  <c r="P30" i="16"/>
  <c r="O30" i="16"/>
  <c r="R28" i="16"/>
  <c r="Q28" i="16"/>
  <c r="P28" i="16"/>
  <c r="O28" i="16"/>
  <c r="R27" i="16"/>
  <c r="Q27" i="16"/>
  <c r="P27" i="16"/>
  <c r="O27" i="16"/>
  <c r="R24" i="16"/>
  <c r="Q24" i="16"/>
  <c r="P24" i="16"/>
  <c r="O24" i="16"/>
  <c r="R19" i="16"/>
  <c r="Q19" i="16"/>
  <c r="P19" i="16"/>
  <c r="O19" i="16"/>
  <c r="R18" i="16"/>
  <c r="P18" i="16"/>
  <c r="O18" i="16"/>
  <c r="R17" i="16"/>
  <c r="Q17" i="16"/>
  <c r="P17" i="16"/>
  <c r="O17" i="16"/>
  <c r="R15" i="16"/>
  <c r="Q15" i="16"/>
  <c r="P15" i="16"/>
  <c r="O15" i="16"/>
  <c r="R14" i="16"/>
  <c r="Q14" i="16"/>
  <c r="P14" i="16"/>
  <c r="O14" i="16"/>
  <c r="R11" i="16"/>
  <c r="Q11" i="16"/>
  <c r="P11" i="16"/>
  <c r="O11" i="16"/>
  <c r="K110" i="16"/>
  <c r="J110" i="16"/>
  <c r="I110" i="16"/>
  <c r="H110" i="16"/>
  <c r="K109" i="16"/>
  <c r="J109" i="16"/>
  <c r="I109" i="16"/>
  <c r="H109" i="16"/>
  <c r="K108" i="16"/>
  <c r="J108" i="16"/>
  <c r="I108" i="16"/>
  <c r="H108" i="16"/>
  <c r="K106" i="16"/>
  <c r="J106" i="16"/>
  <c r="I106" i="16"/>
  <c r="H106" i="16"/>
  <c r="J105" i="16"/>
  <c r="I105" i="16"/>
  <c r="H105" i="16"/>
  <c r="K104" i="16"/>
  <c r="J104" i="16"/>
  <c r="I104" i="16"/>
  <c r="H104" i="16"/>
  <c r="K103" i="16"/>
  <c r="J103" i="16"/>
  <c r="I103" i="16"/>
  <c r="H103" i="16"/>
  <c r="I50" i="16" l="1"/>
  <c r="I55" i="16"/>
  <c r="H37" i="16"/>
  <c r="L41" i="16"/>
  <c r="L45" i="16"/>
  <c r="L53" i="16"/>
  <c r="L57" i="16"/>
  <c r="L51" i="16"/>
  <c r="L54" i="16"/>
  <c r="L58" i="16"/>
  <c r="R42" i="16"/>
  <c r="R46" i="16" s="1"/>
  <c r="Q46" i="16"/>
  <c r="S45" i="16"/>
  <c r="S54" i="16"/>
  <c r="O55" i="16"/>
  <c r="O59" i="16" s="1"/>
  <c r="S40" i="16"/>
  <c r="S44" i="16"/>
  <c r="K50" i="16"/>
  <c r="L56" i="16"/>
  <c r="L52" i="16"/>
  <c r="J55" i="16"/>
  <c r="K55" i="16"/>
  <c r="K59" i="16" s="1"/>
  <c r="H42" i="16"/>
  <c r="J37" i="16"/>
  <c r="L38" i="16"/>
  <c r="K37" i="16"/>
  <c r="L40" i="16"/>
  <c r="I42" i="16"/>
  <c r="I46" i="16" s="1"/>
  <c r="L39" i="16"/>
  <c r="J42" i="16"/>
  <c r="K42" i="16"/>
  <c r="L44" i="16"/>
  <c r="J50" i="16"/>
  <c r="J59" i="16" s="1"/>
  <c r="P42" i="16"/>
  <c r="P46" i="16"/>
  <c r="S43" i="16"/>
  <c r="P59" i="16"/>
  <c r="Q59" i="16"/>
  <c r="L43" i="16"/>
  <c r="R55" i="16"/>
  <c r="S58" i="16"/>
  <c r="S53" i="16"/>
  <c r="S37" i="16"/>
  <c r="O42" i="16"/>
  <c r="S57" i="16"/>
  <c r="S41" i="16"/>
  <c r="S50" i="16"/>
  <c r="H50" i="16"/>
  <c r="S56" i="16"/>
  <c r="H55" i="16"/>
  <c r="Q16" i="16"/>
  <c r="Q120" i="16"/>
  <c r="Q107" i="16"/>
  <c r="Q94" i="16"/>
  <c r="Q81" i="16"/>
  <c r="Q68" i="16"/>
  <c r="Q29" i="16"/>
  <c r="I59" i="16" l="1"/>
  <c r="H46" i="16"/>
  <c r="K46" i="16"/>
  <c r="L42" i="16"/>
  <c r="S55" i="16"/>
  <c r="S42" i="16"/>
  <c r="L37" i="16"/>
  <c r="L55" i="16"/>
  <c r="J46" i="16"/>
  <c r="R59" i="16"/>
  <c r="O46" i="16"/>
  <c r="S46" i="16" s="1"/>
  <c r="S59" i="16"/>
  <c r="L50" i="16"/>
  <c r="H59" i="16"/>
  <c r="L59" i="16" s="1"/>
  <c r="O68" i="16"/>
  <c r="O72" i="16" s="1"/>
  <c r="P81" i="16"/>
  <c r="P85" i="16" s="1"/>
  <c r="P16" i="16"/>
  <c r="P20" i="16" s="1"/>
  <c r="P68" i="16"/>
  <c r="P72" i="16" s="1"/>
  <c r="O107" i="16"/>
  <c r="O111" i="16" s="1"/>
  <c r="P120" i="16"/>
  <c r="P124" i="16" s="1"/>
  <c r="O94" i="16"/>
  <c r="O98" i="16" s="1"/>
  <c r="P107" i="16"/>
  <c r="P111" i="16" s="1"/>
  <c r="O81" i="16"/>
  <c r="O85" i="16" s="1"/>
  <c r="P94" i="16"/>
  <c r="P98" i="16" s="1"/>
  <c r="O120" i="16"/>
  <c r="O124" i="16" s="1"/>
  <c r="S84" i="16"/>
  <c r="T84" i="16" s="1"/>
  <c r="S15" i="16"/>
  <c r="R16" i="16"/>
  <c r="R20" i="16" s="1"/>
  <c r="P29" i="16"/>
  <c r="P33" i="16" s="1"/>
  <c r="Q98" i="16"/>
  <c r="Q85" i="16"/>
  <c r="R29" i="16"/>
  <c r="R33" i="16" s="1"/>
  <c r="Q111" i="16"/>
  <c r="S119" i="16"/>
  <c r="S123" i="16"/>
  <c r="S93" i="16"/>
  <c r="S97" i="16"/>
  <c r="Q124" i="16"/>
  <c r="S106" i="16"/>
  <c r="R107" i="16"/>
  <c r="S110" i="16"/>
  <c r="S121" i="16"/>
  <c r="S109" i="16"/>
  <c r="S122" i="16"/>
  <c r="S19" i="16"/>
  <c r="S18" i="16"/>
  <c r="O16" i="16"/>
  <c r="O20" i="16" s="1"/>
  <c r="Q20" i="16"/>
  <c r="S17" i="16"/>
  <c r="S14" i="16"/>
  <c r="S11" i="16"/>
  <c r="S105" i="16"/>
  <c r="S118" i="16"/>
  <c r="S82" i="16"/>
  <c r="T82" i="16" s="1"/>
  <c r="R94" i="16"/>
  <c r="R98" i="16" s="1"/>
  <c r="S66" i="16"/>
  <c r="S67" i="16"/>
  <c r="S70" i="16"/>
  <c r="S71" i="16"/>
  <c r="S83" i="16"/>
  <c r="T83" i="16" s="1"/>
  <c r="S96" i="16"/>
  <c r="S108" i="16"/>
  <c r="R68" i="16"/>
  <c r="S80" i="16"/>
  <c r="T80" i="16" s="1"/>
  <c r="R120" i="16"/>
  <c r="R124" i="16" s="1"/>
  <c r="S115" i="16"/>
  <c r="S102" i="16"/>
  <c r="S79" i="16"/>
  <c r="T79" i="16" s="1"/>
  <c r="S92" i="16"/>
  <c r="S27" i="16"/>
  <c r="Q72" i="16"/>
  <c r="S95" i="16"/>
  <c r="S89" i="16"/>
  <c r="R81" i="16"/>
  <c r="S76" i="16"/>
  <c r="T76" i="16" s="1"/>
  <c r="S69" i="16"/>
  <c r="S63" i="16"/>
  <c r="S32" i="16"/>
  <c r="S31" i="16"/>
  <c r="O29" i="16"/>
  <c r="O33" i="16" s="1"/>
  <c r="S30" i="16"/>
  <c r="S28" i="16"/>
  <c r="Q33" i="16"/>
  <c r="S24" i="16"/>
  <c r="L46" i="16" l="1"/>
  <c r="S68" i="16"/>
  <c r="S107" i="16"/>
  <c r="S81" i="16"/>
  <c r="S94" i="16"/>
  <c r="R111" i="16"/>
  <c r="S111" i="16" s="1"/>
  <c r="S120" i="16"/>
  <c r="S124" i="16"/>
  <c r="S20" i="16"/>
  <c r="S29" i="16"/>
  <c r="S16" i="16"/>
  <c r="S21" i="16" s="1"/>
  <c r="S98" i="16"/>
  <c r="R72" i="16"/>
  <c r="S72" i="16" s="1"/>
  <c r="R85" i="16"/>
  <c r="S85" i="16" s="1"/>
  <c r="S33" i="16"/>
  <c r="F128" i="16" l="1"/>
  <c r="D1" i="2" l="1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Y1" i="2" s="1"/>
  <c r="Z1" i="2" s="1"/>
  <c r="AA1" i="2" s="1"/>
  <c r="AB1" i="2" s="1"/>
  <c r="AC1" i="2" s="1"/>
  <c r="AD1" i="2" s="1"/>
  <c r="AE1" i="2" s="1"/>
  <c r="AF1" i="2" s="1"/>
  <c r="AG1" i="2" s="1"/>
  <c r="AH1" i="2" s="1"/>
  <c r="AI1" i="2" s="1"/>
  <c r="AJ1" i="2" s="1"/>
  <c r="AK1" i="2" s="1"/>
  <c r="AL1" i="2" s="1"/>
  <c r="AM1" i="2" s="1"/>
  <c r="AN1" i="2" s="1"/>
  <c r="AO1" i="2" s="1"/>
  <c r="AP1" i="2" s="1"/>
  <c r="AQ1" i="2" s="1"/>
  <c r="AR1" i="2" s="1"/>
  <c r="AS1" i="2" s="1"/>
  <c r="AT1" i="2" s="1"/>
  <c r="AU1" i="2" s="1"/>
  <c r="AV1" i="2" s="1"/>
  <c r="AW1" i="2" s="1"/>
  <c r="E15" i="10" l="1"/>
  <c r="G16" i="10"/>
  <c r="F15" i="10"/>
  <c r="D15" i="10"/>
  <c r="C15" i="10"/>
  <c r="B15" i="10"/>
  <c r="E13" i="10"/>
  <c r="C13" i="10"/>
  <c r="F12" i="10"/>
  <c r="E12" i="10"/>
  <c r="C12" i="10"/>
  <c r="B12" i="10"/>
  <c r="E10" i="10"/>
  <c r="C10" i="10"/>
  <c r="B10" i="10"/>
  <c r="B9" i="10"/>
  <c r="E8" i="10"/>
  <c r="C8" i="10"/>
  <c r="E28" i="10"/>
  <c r="G29" i="10"/>
  <c r="F28" i="10"/>
  <c r="D28" i="10"/>
  <c r="C28" i="10"/>
  <c r="B28" i="10"/>
  <c r="E26" i="10"/>
  <c r="C26" i="10"/>
  <c r="F25" i="10"/>
  <c r="E25" i="10"/>
  <c r="C25" i="10"/>
  <c r="B25" i="10"/>
  <c r="E23" i="10"/>
  <c r="C23" i="10"/>
  <c r="B23" i="10"/>
  <c r="B22" i="10"/>
  <c r="E21" i="10"/>
  <c r="C21" i="10"/>
  <c r="G42" i="10"/>
  <c r="F41" i="10"/>
  <c r="E41" i="10"/>
  <c r="D41" i="10"/>
  <c r="C41" i="10"/>
  <c r="B41" i="10"/>
  <c r="E39" i="10"/>
  <c r="C39" i="10"/>
  <c r="F38" i="10"/>
  <c r="E38" i="10"/>
  <c r="C38" i="10"/>
  <c r="B38" i="10"/>
  <c r="E36" i="10"/>
  <c r="C36" i="10"/>
  <c r="B36" i="10"/>
  <c r="B35" i="10"/>
  <c r="E34" i="10"/>
  <c r="C34" i="10"/>
  <c r="G55" i="10"/>
  <c r="F54" i="10"/>
  <c r="E54" i="10"/>
  <c r="D54" i="10"/>
  <c r="C54" i="10"/>
  <c r="B54" i="10"/>
  <c r="E52" i="10"/>
  <c r="C52" i="10"/>
  <c r="F51" i="10"/>
  <c r="E51" i="10"/>
  <c r="C51" i="10"/>
  <c r="B51" i="10"/>
  <c r="E49" i="10"/>
  <c r="C49" i="10"/>
  <c r="B49" i="10"/>
  <c r="B48" i="10"/>
  <c r="E47" i="10"/>
  <c r="C47" i="10"/>
  <c r="G68" i="10"/>
  <c r="F67" i="10"/>
  <c r="E67" i="10"/>
  <c r="D67" i="10"/>
  <c r="C67" i="10"/>
  <c r="B67" i="10"/>
  <c r="E65" i="10"/>
  <c r="C65" i="10"/>
  <c r="F64" i="10"/>
  <c r="E64" i="10"/>
  <c r="C64" i="10"/>
  <c r="B64" i="10"/>
  <c r="E62" i="10"/>
  <c r="C62" i="10"/>
  <c r="B62" i="10"/>
  <c r="B61" i="10"/>
  <c r="E60" i="10"/>
  <c r="C60" i="10"/>
  <c r="E80" i="10"/>
  <c r="G81" i="10"/>
  <c r="F80" i="10"/>
  <c r="D80" i="10"/>
  <c r="C80" i="10"/>
  <c r="B80" i="10"/>
  <c r="E78" i="10"/>
  <c r="C78" i="10"/>
  <c r="F77" i="10"/>
  <c r="E77" i="10"/>
  <c r="C77" i="10"/>
  <c r="B77" i="10"/>
  <c r="E75" i="10"/>
  <c r="C75" i="10"/>
  <c r="B75" i="10"/>
  <c r="B74" i="10"/>
  <c r="E73" i="10"/>
  <c r="C73" i="10"/>
  <c r="G54" i="10" l="1"/>
  <c r="B10" i="28" l="1"/>
  <c r="B9" i="28"/>
  <c r="B8" i="28"/>
  <c r="B7" i="28"/>
  <c r="B6" i="28"/>
  <c r="B5" i="28"/>
  <c r="B4" i="28"/>
  <c r="A4" i="14" l="1"/>
  <c r="A4" i="25"/>
  <c r="A26" i="25"/>
  <c r="A3" i="10"/>
  <c r="A4" i="16"/>
  <c r="A31" i="13"/>
  <c r="A4" i="13"/>
  <c r="B19" i="10" l="1"/>
  <c r="F19" i="10"/>
  <c r="B24" i="10"/>
  <c r="F24" i="10"/>
  <c r="F27" i="10" l="1"/>
  <c r="B27" i="10"/>
  <c r="E24" i="10"/>
  <c r="C24" i="10"/>
  <c r="E2" i="25" l="1"/>
  <c r="E45" i="25" l="1"/>
  <c r="E47" i="25"/>
  <c r="E49" i="25"/>
  <c r="E51" i="25"/>
  <c r="E53" i="25"/>
  <c r="E55" i="25"/>
  <c r="E57" i="25"/>
  <c r="E59" i="25"/>
  <c r="E61" i="25"/>
  <c r="E63" i="25"/>
  <c r="E65" i="25"/>
  <c r="E44" i="25"/>
  <c r="E48" i="25"/>
  <c r="E52" i="25"/>
  <c r="E56" i="25"/>
  <c r="E60" i="25"/>
  <c r="E62" i="25"/>
  <c r="E46" i="25"/>
  <c r="E50" i="25"/>
  <c r="E54" i="25"/>
  <c r="E58" i="25"/>
  <c r="E64" i="25"/>
  <c r="E26" i="25"/>
  <c r="E69" i="25" s="1"/>
  <c r="E27" i="25"/>
  <c r="E33" i="25"/>
  <c r="E36" i="25"/>
  <c r="E41" i="25"/>
  <c r="E30" i="25"/>
  <c r="E31" i="25"/>
  <c r="E38" i="25"/>
  <c r="E40" i="25"/>
  <c r="E42" i="25"/>
  <c r="E32" i="25"/>
  <c r="E34" i="25"/>
  <c r="E35" i="25"/>
  <c r="E28" i="25"/>
  <c r="E29" i="25"/>
  <c r="E39" i="25"/>
  <c r="E37" i="25"/>
  <c r="F2" i="25"/>
  <c r="E99" i="25" l="1"/>
  <c r="E103" i="25"/>
  <c r="E97" i="25"/>
  <c r="E108" i="25"/>
  <c r="E93" i="25"/>
  <c r="E100" i="25"/>
  <c r="E78" i="25"/>
  <c r="E83" i="25"/>
  <c r="E80" i="25"/>
  <c r="E102" i="25"/>
  <c r="E82" i="25"/>
  <c r="E106" i="25"/>
  <c r="E98" i="25"/>
  <c r="E84" i="25"/>
  <c r="E77" i="25"/>
  <c r="E81" i="25"/>
  <c r="E107" i="25"/>
  <c r="E95" i="25"/>
  <c r="E72" i="25"/>
  <c r="E75" i="25"/>
  <c r="E74" i="25"/>
  <c r="E76" i="25"/>
  <c r="E101" i="25"/>
  <c r="E105" i="25"/>
  <c r="E104" i="25"/>
  <c r="E96" i="25"/>
  <c r="E89" i="25"/>
  <c r="E91" i="25"/>
  <c r="E71" i="25"/>
  <c r="E85" i="25"/>
  <c r="E73" i="25"/>
  <c r="E70" i="25"/>
  <c r="E4" i="25"/>
  <c r="E92" i="25"/>
  <c r="E87" i="25"/>
  <c r="E94" i="25"/>
  <c r="E79" i="25"/>
  <c r="E90" i="25"/>
  <c r="F44" i="25"/>
  <c r="F46" i="25"/>
  <c r="F48" i="25"/>
  <c r="F50" i="25"/>
  <c r="F52" i="25"/>
  <c r="F54" i="25"/>
  <c r="F56" i="25"/>
  <c r="F58" i="25"/>
  <c r="F60" i="25"/>
  <c r="F62" i="25"/>
  <c r="F64" i="25"/>
  <c r="F45" i="25"/>
  <c r="F47" i="25"/>
  <c r="F49" i="25"/>
  <c r="F51" i="25"/>
  <c r="F53" i="25"/>
  <c r="F55" i="25"/>
  <c r="F57" i="25"/>
  <c r="F59" i="25"/>
  <c r="F61" i="25"/>
  <c r="F63" i="25"/>
  <c r="F65" i="25"/>
  <c r="F40" i="25"/>
  <c r="F28" i="25"/>
  <c r="F36" i="25"/>
  <c r="F27" i="25"/>
  <c r="F39" i="25"/>
  <c r="F30" i="25"/>
  <c r="F38" i="25"/>
  <c r="F29" i="25"/>
  <c r="G2" i="25"/>
  <c r="F26" i="25"/>
  <c r="F69" i="25" s="1"/>
  <c r="F34" i="25"/>
  <c r="F35" i="25"/>
  <c r="F37" i="25"/>
  <c r="F33" i="25"/>
  <c r="F41" i="25"/>
  <c r="F32" i="25"/>
  <c r="F42" i="25"/>
  <c r="F31" i="25"/>
  <c r="E88" i="25"/>
  <c r="E2" i="14"/>
  <c r="F2" i="14" s="1"/>
  <c r="G2" i="14" s="1"/>
  <c r="B63" i="10"/>
  <c r="B72" i="10"/>
  <c r="F63" i="10"/>
  <c r="C63" i="10"/>
  <c r="B6" i="10"/>
  <c r="F6" i="10"/>
  <c r="B32" i="10"/>
  <c r="F32" i="10"/>
  <c r="B45" i="10"/>
  <c r="F45" i="10"/>
  <c r="B58" i="10"/>
  <c r="F58" i="10"/>
  <c r="F71" i="10"/>
  <c r="F90" i="25" l="1"/>
  <c r="F89" i="25"/>
  <c r="F88" i="25"/>
  <c r="F100" i="25"/>
  <c r="F108" i="25"/>
  <c r="F104" i="25"/>
  <c r="F96" i="25"/>
  <c r="F102" i="25"/>
  <c r="F91" i="25"/>
  <c r="F106" i="25"/>
  <c r="F98" i="25"/>
  <c r="F103" i="25"/>
  <c r="F95" i="25"/>
  <c r="F74" i="25"/>
  <c r="F76" i="25"/>
  <c r="F73" i="25"/>
  <c r="F75" i="25"/>
  <c r="F78" i="25"/>
  <c r="F72" i="25"/>
  <c r="F70" i="25"/>
  <c r="F105" i="25"/>
  <c r="F97" i="25"/>
  <c r="F84" i="25"/>
  <c r="F77" i="25"/>
  <c r="F81" i="25"/>
  <c r="F79" i="25"/>
  <c r="F4" i="25"/>
  <c r="F87" i="25"/>
  <c r="F92" i="25"/>
  <c r="F101" i="25"/>
  <c r="F93" i="25"/>
  <c r="F71" i="25"/>
  <c r="F85" i="25"/>
  <c r="F80" i="25"/>
  <c r="G52" i="25"/>
  <c r="G48" i="25"/>
  <c r="G65" i="25"/>
  <c r="G51" i="25"/>
  <c r="G34" i="25"/>
  <c r="G40" i="25"/>
  <c r="G63" i="25"/>
  <c r="G39" i="25"/>
  <c r="G32" i="25"/>
  <c r="G56" i="25"/>
  <c r="G53" i="25"/>
  <c r="G59" i="25"/>
  <c r="G38" i="25"/>
  <c r="G29" i="25"/>
  <c r="G26" i="25"/>
  <c r="G69" i="25" s="1"/>
  <c r="G60" i="25"/>
  <c r="G58" i="25"/>
  <c r="G33" i="25"/>
  <c r="G31" i="25"/>
  <c r="G37" i="25"/>
  <c r="G64" i="25"/>
  <c r="G61" i="25"/>
  <c r="G30" i="25"/>
  <c r="G36" i="25"/>
  <c r="G35" i="25"/>
  <c r="G28" i="25"/>
  <c r="G41" i="25"/>
  <c r="G49" i="25"/>
  <c r="G50" i="25"/>
  <c r="G27" i="25"/>
  <c r="G55" i="25"/>
  <c r="G44" i="25"/>
  <c r="G57" i="25"/>
  <c r="G62" i="25"/>
  <c r="G42" i="25"/>
  <c r="G54" i="25"/>
  <c r="G47" i="25"/>
  <c r="G45" i="25"/>
  <c r="G46" i="25"/>
  <c r="H2" i="25"/>
  <c r="F82" i="25"/>
  <c r="F83" i="25"/>
  <c r="F94" i="25"/>
  <c r="F107" i="25"/>
  <c r="F99" i="25"/>
  <c r="H2" i="14"/>
  <c r="G11" i="14"/>
  <c r="G7" i="14"/>
  <c r="G10" i="14"/>
  <c r="G6" i="14"/>
  <c r="G9" i="14"/>
  <c r="G5" i="14"/>
  <c r="G4" i="14"/>
  <c r="G15" i="14" s="1"/>
  <c r="G8" i="14"/>
  <c r="E50" i="13"/>
  <c r="E46" i="13"/>
  <c r="E41" i="13"/>
  <c r="E37" i="13"/>
  <c r="E35" i="13"/>
  <c r="E49" i="13"/>
  <c r="E51" i="13"/>
  <c r="E47" i="13"/>
  <c r="E42" i="13"/>
  <c r="E38" i="13"/>
  <c r="E40" i="13"/>
  <c r="E52" i="13"/>
  <c r="E48" i="13"/>
  <c r="E43" i="13"/>
  <c r="E39" i="13"/>
  <c r="E44" i="13"/>
  <c r="E34" i="13"/>
  <c r="F37" i="10"/>
  <c r="C37" i="10"/>
  <c r="F11" i="10"/>
  <c r="B37" i="10"/>
  <c r="B66" i="10"/>
  <c r="B50" i="10"/>
  <c r="F66" i="10"/>
  <c r="G80" i="10"/>
  <c r="E11" i="13"/>
  <c r="B76" i="10"/>
  <c r="B71" i="10"/>
  <c r="G41" i="10"/>
  <c r="F50" i="10"/>
  <c r="E63" i="10"/>
  <c r="E15" i="13"/>
  <c r="E37" i="10"/>
  <c r="E76" i="10"/>
  <c r="E20" i="13"/>
  <c r="E24" i="13"/>
  <c r="E12" i="13"/>
  <c r="E16" i="13"/>
  <c r="E21" i="13"/>
  <c r="E25" i="13"/>
  <c r="E8" i="13"/>
  <c r="E13" i="13"/>
  <c r="E17" i="13"/>
  <c r="E22" i="13"/>
  <c r="E26" i="13"/>
  <c r="G28" i="10"/>
  <c r="F76" i="10"/>
  <c r="E11" i="10"/>
  <c r="E50" i="10"/>
  <c r="B11" i="10"/>
  <c r="E9" i="13"/>
  <c r="E14" i="13"/>
  <c r="E18" i="13"/>
  <c r="E23" i="13"/>
  <c r="G67" i="10"/>
  <c r="C76" i="10"/>
  <c r="C50" i="10"/>
  <c r="C11" i="10"/>
  <c r="F5" i="13"/>
  <c r="E5" i="14"/>
  <c r="E4" i="14"/>
  <c r="G15" i="10"/>
  <c r="G89" i="25" l="1"/>
  <c r="G88" i="25"/>
  <c r="G90" i="25"/>
  <c r="G84" i="25"/>
  <c r="G74" i="25"/>
  <c r="G85" i="25"/>
  <c r="G93" i="25"/>
  <c r="G6" i="25" s="1"/>
  <c r="G97" i="25"/>
  <c r="G73" i="25"/>
  <c r="G105" i="25"/>
  <c r="G100" i="25"/>
  <c r="G98" i="25"/>
  <c r="G70" i="25"/>
  <c r="G71" i="25"/>
  <c r="G78" i="25"/>
  <c r="G79" i="25"/>
  <c r="G104" i="25"/>
  <c r="G76" i="25"/>
  <c r="G96" i="25"/>
  <c r="G106" i="25"/>
  <c r="G108" i="25"/>
  <c r="G72" i="25"/>
  <c r="G99" i="25"/>
  <c r="G83" i="25"/>
  <c r="G91" i="25"/>
  <c r="G107" i="25"/>
  <c r="G101" i="25"/>
  <c r="G7" i="25" s="1"/>
  <c r="G81" i="25"/>
  <c r="G75" i="25"/>
  <c r="G77" i="25"/>
  <c r="G95" i="25"/>
  <c r="H47" i="25"/>
  <c r="H52" i="25"/>
  <c r="H26" i="25"/>
  <c r="H69" i="25" s="1"/>
  <c r="H42" i="25"/>
  <c r="H55" i="25"/>
  <c r="H59" i="25"/>
  <c r="H63" i="25"/>
  <c r="H31" i="25"/>
  <c r="H36" i="25"/>
  <c r="I2" i="25"/>
  <c r="H49" i="25"/>
  <c r="H54" i="25"/>
  <c r="H40" i="25"/>
  <c r="H61" i="25"/>
  <c r="H39" i="25"/>
  <c r="H51" i="25"/>
  <c r="H50" i="25"/>
  <c r="H33" i="25"/>
  <c r="H62" i="25"/>
  <c r="H27" i="25"/>
  <c r="H41" i="25"/>
  <c r="H44" i="25"/>
  <c r="H48" i="25"/>
  <c r="H53" i="25"/>
  <c r="H30" i="25"/>
  <c r="H32" i="25"/>
  <c r="H56" i="25"/>
  <c r="H60" i="25"/>
  <c r="H64" i="25"/>
  <c r="H35" i="25"/>
  <c r="H29" i="25"/>
  <c r="H45" i="25"/>
  <c r="H34" i="25"/>
  <c r="H57" i="25"/>
  <c r="H65" i="25"/>
  <c r="H37" i="25"/>
  <c r="H46" i="25"/>
  <c r="H38" i="25"/>
  <c r="H58" i="25"/>
  <c r="H28" i="25"/>
  <c r="G4" i="25"/>
  <c r="G5" i="25" s="1"/>
  <c r="G92" i="25"/>
  <c r="G87" i="25"/>
  <c r="G80" i="25"/>
  <c r="G103" i="25"/>
  <c r="G102" i="25"/>
  <c r="G82" i="25"/>
  <c r="G94" i="25"/>
  <c r="G5" i="13"/>
  <c r="G40" i="13" s="1"/>
  <c r="E9" i="10"/>
  <c r="E33" i="13"/>
  <c r="G21" i="14"/>
  <c r="G16" i="14"/>
  <c r="G18" i="14"/>
  <c r="G20" i="14"/>
  <c r="G22" i="14"/>
  <c r="G19" i="14"/>
  <c r="G17" i="14"/>
  <c r="I2" i="14"/>
  <c r="H4" i="14"/>
  <c r="H15" i="14" s="1"/>
  <c r="H8" i="14"/>
  <c r="H5" i="14"/>
  <c r="H7" i="14"/>
  <c r="H11" i="14"/>
  <c r="H6" i="14"/>
  <c r="H10" i="14"/>
  <c r="H9" i="14"/>
  <c r="F51" i="13"/>
  <c r="F47" i="13"/>
  <c r="F42" i="13"/>
  <c r="F38" i="13"/>
  <c r="F41" i="13"/>
  <c r="F37" i="13"/>
  <c r="F35" i="13"/>
  <c r="F52" i="13"/>
  <c r="F48" i="13"/>
  <c r="F43" i="13"/>
  <c r="F39" i="13"/>
  <c r="F40" i="13"/>
  <c r="F34" i="13"/>
  <c r="F49" i="13"/>
  <c r="F44" i="13"/>
  <c r="F50" i="13"/>
  <c r="F46" i="13"/>
  <c r="E36" i="13"/>
  <c r="E45" i="13"/>
  <c r="F14" i="10"/>
  <c r="F40" i="10"/>
  <c r="E6" i="14"/>
  <c r="E17" i="14" s="1"/>
  <c r="E11" i="14"/>
  <c r="E22" i="14" s="1"/>
  <c r="E7" i="14"/>
  <c r="E18" i="14" s="1"/>
  <c r="E8" i="14"/>
  <c r="E19" i="14" s="1"/>
  <c r="F10" i="14"/>
  <c r="E9" i="14"/>
  <c r="E20" i="14" s="1"/>
  <c r="E10" i="14"/>
  <c r="E21" i="14" s="1"/>
  <c r="B40" i="10"/>
  <c r="J14" i="16"/>
  <c r="B53" i="10"/>
  <c r="F53" i="10"/>
  <c r="F79" i="10"/>
  <c r="H17" i="16"/>
  <c r="H14" i="16"/>
  <c r="I14" i="16"/>
  <c r="C9" i="10" s="1"/>
  <c r="K13" i="16"/>
  <c r="I17" i="16"/>
  <c r="J13" i="16"/>
  <c r="J15" i="16"/>
  <c r="K19" i="16"/>
  <c r="H19" i="16"/>
  <c r="B79" i="10"/>
  <c r="E7" i="13"/>
  <c r="E19" i="13"/>
  <c r="E10" i="13"/>
  <c r="E16" i="14"/>
  <c r="B14" i="10"/>
  <c r="E15" i="14"/>
  <c r="H13" i="16"/>
  <c r="J19" i="16"/>
  <c r="H15" i="16"/>
  <c r="I19" i="16"/>
  <c r="J17" i="16"/>
  <c r="K18" i="16"/>
  <c r="I13" i="16"/>
  <c r="I12" i="16"/>
  <c r="C7" i="10" s="1"/>
  <c r="J12" i="16"/>
  <c r="K17" i="16"/>
  <c r="I18" i="16"/>
  <c r="F20" i="13"/>
  <c r="F11" i="13"/>
  <c r="H12" i="16"/>
  <c r="J18" i="16"/>
  <c r="F26" i="13"/>
  <c r="F25" i="13"/>
  <c r="F23" i="13"/>
  <c r="K12" i="16"/>
  <c r="E7" i="10" s="1"/>
  <c r="F13" i="13"/>
  <c r="F9" i="13"/>
  <c r="F12" i="13"/>
  <c r="I15" i="16"/>
  <c r="F22" i="13"/>
  <c r="F15" i="13"/>
  <c r="F8" i="13"/>
  <c r="F14" i="13"/>
  <c r="F16" i="13"/>
  <c r="H18" i="16"/>
  <c r="F24" i="13"/>
  <c r="F17" i="13"/>
  <c r="F18" i="13"/>
  <c r="F21" i="13"/>
  <c r="L14" i="16" l="1"/>
  <c r="H108" i="25"/>
  <c r="G21" i="13"/>
  <c r="G8" i="25"/>
  <c r="H72" i="25"/>
  <c r="H91" i="25"/>
  <c r="H82" i="25"/>
  <c r="H5" i="13"/>
  <c r="H51" i="13" s="1"/>
  <c r="H88" i="25"/>
  <c r="H105" i="25"/>
  <c r="H101" i="25"/>
  <c r="H7" i="25" s="1"/>
  <c r="H99" i="25"/>
  <c r="H89" i="25"/>
  <c r="G16" i="13"/>
  <c r="G12" i="13"/>
  <c r="G25" i="13"/>
  <c r="G48" i="13"/>
  <c r="G46" i="13"/>
  <c r="G24" i="13"/>
  <c r="G20" i="13"/>
  <c r="G15" i="13"/>
  <c r="G11" i="13"/>
  <c r="G38" i="13"/>
  <c r="G39" i="13"/>
  <c r="G23" i="13"/>
  <c r="G18" i="13"/>
  <c r="G14" i="13"/>
  <c r="G9" i="13"/>
  <c r="G47" i="13"/>
  <c r="G35" i="13"/>
  <c r="G26" i="13"/>
  <c r="G22" i="13"/>
  <c r="G17" i="13"/>
  <c r="G13" i="13"/>
  <c r="G8" i="13"/>
  <c r="G37" i="13"/>
  <c r="G44" i="13"/>
  <c r="H106" i="25"/>
  <c r="G34" i="13"/>
  <c r="G42" i="13"/>
  <c r="G41" i="13"/>
  <c r="G43" i="13"/>
  <c r="G49" i="13"/>
  <c r="H81" i="25"/>
  <c r="H100" i="25"/>
  <c r="H78" i="25"/>
  <c r="H75" i="25"/>
  <c r="H4" i="25"/>
  <c r="H5" i="25" s="1"/>
  <c r="H92" i="25"/>
  <c r="H87" i="25"/>
  <c r="H76" i="25"/>
  <c r="H104" i="25"/>
  <c r="I53" i="25"/>
  <c r="I57" i="25"/>
  <c r="I61" i="25"/>
  <c r="I65" i="25"/>
  <c r="I48" i="25"/>
  <c r="I36" i="25"/>
  <c r="I35" i="25"/>
  <c r="I28" i="25"/>
  <c r="I38" i="25"/>
  <c r="I58" i="25"/>
  <c r="I45" i="25"/>
  <c r="I50" i="25"/>
  <c r="I41" i="25"/>
  <c r="J2" i="25"/>
  <c r="I51" i="25"/>
  <c r="I59" i="25"/>
  <c r="I46" i="25"/>
  <c r="I34" i="25"/>
  <c r="I37" i="25"/>
  <c r="I56" i="25"/>
  <c r="I47" i="25"/>
  <c r="I30" i="25"/>
  <c r="I44" i="25"/>
  <c r="I54" i="25"/>
  <c r="I62" i="25"/>
  <c r="I49" i="25"/>
  <c r="I39" i="25"/>
  <c r="I33" i="25"/>
  <c r="I55" i="25"/>
  <c r="I63" i="25"/>
  <c r="I27" i="25"/>
  <c r="I42" i="25"/>
  <c r="I52" i="25"/>
  <c r="I64" i="25"/>
  <c r="I31" i="25"/>
  <c r="I40" i="25"/>
  <c r="I26" i="25"/>
  <c r="I69" i="25" s="1"/>
  <c r="I60" i="25"/>
  <c r="I32" i="25"/>
  <c r="I29" i="25"/>
  <c r="H102" i="25"/>
  <c r="H95" i="25"/>
  <c r="H77" i="25"/>
  <c r="H107" i="25"/>
  <c r="H73" i="25"/>
  <c r="H84" i="25"/>
  <c r="H93" i="25"/>
  <c r="H6" i="25" s="1"/>
  <c r="H83" i="25"/>
  <c r="H79" i="25"/>
  <c r="H98" i="25"/>
  <c r="H90" i="25"/>
  <c r="G52" i="13"/>
  <c r="G51" i="13"/>
  <c r="G50" i="13"/>
  <c r="H71" i="25"/>
  <c r="H80" i="25"/>
  <c r="H103" i="25"/>
  <c r="H96" i="25"/>
  <c r="H70" i="25"/>
  <c r="H94" i="25"/>
  <c r="H97" i="25"/>
  <c r="H74" i="25"/>
  <c r="H85" i="25"/>
  <c r="H22" i="14"/>
  <c r="H20" i="14"/>
  <c r="H18" i="14"/>
  <c r="J2" i="14"/>
  <c r="I5" i="14"/>
  <c r="I9" i="14"/>
  <c r="I4" i="14"/>
  <c r="I15" i="14" s="1"/>
  <c r="I8" i="14"/>
  <c r="I7" i="14"/>
  <c r="I11" i="14"/>
  <c r="I10" i="14"/>
  <c r="I6" i="14"/>
  <c r="H21" i="14"/>
  <c r="H16" i="14"/>
  <c r="I5" i="13"/>
  <c r="E22" i="10" s="1"/>
  <c r="H50" i="13"/>
  <c r="H46" i="13"/>
  <c r="H44" i="13"/>
  <c r="H40" i="13"/>
  <c r="H52" i="13"/>
  <c r="H11" i="13"/>
  <c r="H15" i="13"/>
  <c r="H20" i="13"/>
  <c r="H24" i="13"/>
  <c r="H8" i="13"/>
  <c r="H17" i="13"/>
  <c r="H22" i="13"/>
  <c r="H26" i="13"/>
  <c r="H16" i="13"/>
  <c r="H17" i="14"/>
  <c r="H19" i="14"/>
  <c r="E53" i="13"/>
  <c r="F36" i="13"/>
  <c r="F45" i="13"/>
  <c r="F33" i="13"/>
  <c r="F6" i="14"/>
  <c r="F4" i="14"/>
  <c r="F15" i="14" s="1"/>
  <c r="F8" i="14"/>
  <c r="F11" i="14"/>
  <c r="F9" i="14"/>
  <c r="F7" i="14"/>
  <c r="F5" i="14"/>
  <c r="J11" i="16"/>
  <c r="K11" i="16"/>
  <c r="H16" i="16"/>
  <c r="E27" i="13"/>
  <c r="F7" i="13"/>
  <c r="I16" i="16"/>
  <c r="I11" i="16"/>
  <c r="L17" i="16"/>
  <c r="L19" i="16"/>
  <c r="L13" i="16"/>
  <c r="K16" i="16"/>
  <c r="H11" i="16"/>
  <c r="L12" i="16"/>
  <c r="F19" i="13"/>
  <c r="L15" i="16"/>
  <c r="J16" i="16"/>
  <c r="L18" i="16"/>
  <c r="F10" i="13"/>
  <c r="L16" i="16" l="1"/>
  <c r="H37" i="13"/>
  <c r="H34" i="13"/>
  <c r="H43" i="13"/>
  <c r="H21" i="13"/>
  <c r="H48" i="13"/>
  <c r="H13" i="13"/>
  <c r="H39" i="13"/>
  <c r="H41" i="13"/>
  <c r="H23" i="13"/>
  <c r="H49" i="13"/>
  <c r="H12" i="13"/>
  <c r="H18" i="13"/>
  <c r="H38" i="13"/>
  <c r="H25" i="13"/>
  <c r="H14" i="13"/>
  <c r="H42" i="13"/>
  <c r="H9" i="13"/>
  <c r="H7" i="13" s="1"/>
  <c r="H47" i="13"/>
  <c r="G7" i="13"/>
  <c r="H35" i="13"/>
  <c r="H8" i="25"/>
  <c r="I103" i="25"/>
  <c r="G19" i="13"/>
  <c r="G10" i="13"/>
  <c r="G45" i="13"/>
  <c r="G33" i="13"/>
  <c r="I90" i="25"/>
  <c r="I89" i="25"/>
  <c r="G36" i="13"/>
  <c r="I107" i="25"/>
  <c r="I106" i="25"/>
  <c r="I95" i="25"/>
  <c r="I98" i="25"/>
  <c r="I105" i="25"/>
  <c r="I84" i="25"/>
  <c r="I81" i="25"/>
  <c r="I91" i="25"/>
  <c r="I96" i="25"/>
  <c r="I72" i="25"/>
  <c r="I83" i="25"/>
  <c r="I85" i="25"/>
  <c r="I76" i="25"/>
  <c r="I97" i="25"/>
  <c r="I99" i="25"/>
  <c r="I102" i="25"/>
  <c r="I93" i="25"/>
  <c r="I71" i="25"/>
  <c r="I108" i="25"/>
  <c r="I75" i="25"/>
  <c r="I74" i="25"/>
  <c r="I70" i="25"/>
  <c r="I82" i="25"/>
  <c r="I4" i="25"/>
  <c r="I5" i="25" s="1"/>
  <c r="I92" i="25"/>
  <c r="I87" i="25"/>
  <c r="I80" i="25"/>
  <c r="I94" i="25"/>
  <c r="I88" i="25"/>
  <c r="I78" i="25"/>
  <c r="I104" i="25"/>
  <c r="I73" i="25"/>
  <c r="I77" i="25"/>
  <c r="J46" i="25"/>
  <c r="J50" i="25"/>
  <c r="J52" i="25"/>
  <c r="J56" i="25"/>
  <c r="J60" i="25"/>
  <c r="J64" i="25"/>
  <c r="J33" i="25"/>
  <c r="J36" i="25"/>
  <c r="J34" i="25"/>
  <c r="J47" i="25"/>
  <c r="J44" i="25"/>
  <c r="J53" i="25"/>
  <c r="J57" i="25"/>
  <c r="J61" i="25"/>
  <c r="J65" i="25"/>
  <c r="J37" i="25"/>
  <c r="J35" i="25"/>
  <c r="J31" i="25"/>
  <c r="J41" i="25"/>
  <c r="J28" i="25"/>
  <c r="J27" i="25"/>
  <c r="J40" i="25"/>
  <c r="J45" i="25"/>
  <c r="J88" i="25" s="1"/>
  <c r="J51" i="25"/>
  <c r="J59" i="25"/>
  <c r="J29" i="25"/>
  <c r="J32" i="25"/>
  <c r="J42" i="25"/>
  <c r="K2" i="25"/>
  <c r="J48" i="25"/>
  <c r="J26" i="25"/>
  <c r="J69" i="25" s="1"/>
  <c r="J54" i="25"/>
  <c r="J58" i="25"/>
  <c r="J62" i="25"/>
  <c r="J39" i="25"/>
  <c r="J49" i="25"/>
  <c r="J55" i="25"/>
  <c r="J63" i="25"/>
  <c r="J30" i="25"/>
  <c r="J38" i="25"/>
  <c r="I101" i="25"/>
  <c r="I79" i="25"/>
  <c r="I100" i="25"/>
  <c r="H26" i="16"/>
  <c r="J28" i="16"/>
  <c r="K31" i="16"/>
  <c r="H28" i="16"/>
  <c r="H25" i="16"/>
  <c r="J30" i="16"/>
  <c r="H30" i="16"/>
  <c r="I25" i="16"/>
  <c r="I30" i="16"/>
  <c r="K26" i="16"/>
  <c r="K25" i="16"/>
  <c r="H27" i="16"/>
  <c r="K30" i="16"/>
  <c r="I28" i="16"/>
  <c r="K32" i="16"/>
  <c r="K28" i="16"/>
  <c r="I32" i="16"/>
  <c r="J32" i="16"/>
  <c r="J26" i="16"/>
  <c r="J27" i="16"/>
  <c r="I26" i="16"/>
  <c r="J25" i="16"/>
  <c r="I21" i="14"/>
  <c r="I27" i="16"/>
  <c r="C22" i="10" s="1"/>
  <c r="H31" i="16"/>
  <c r="H32" i="16"/>
  <c r="I31" i="16"/>
  <c r="J31" i="16"/>
  <c r="I22" i="14"/>
  <c r="I17" i="14"/>
  <c r="I18" i="14"/>
  <c r="I19" i="14"/>
  <c r="K2" i="14"/>
  <c r="J6" i="14"/>
  <c r="J10" i="14"/>
  <c r="J5" i="14"/>
  <c r="J9" i="14"/>
  <c r="J4" i="14"/>
  <c r="J15" i="14" s="1"/>
  <c r="J8" i="14"/>
  <c r="J11" i="14"/>
  <c r="J7" i="14"/>
  <c r="J5" i="13"/>
  <c r="I51" i="13"/>
  <c r="I47" i="13"/>
  <c r="I42" i="13"/>
  <c r="I38" i="13"/>
  <c r="I34" i="13"/>
  <c r="I50" i="13"/>
  <c r="I46" i="13"/>
  <c r="I52" i="13"/>
  <c r="I48" i="13"/>
  <c r="I43" i="13"/>
  <c r="I39" i="13"/>
  <c r="I49" i="13"/>
  <c r="I44" i="13"/>
  <c r="I40" i="13"/>
  <c r="I35" i="13"/>
  <c r="I41" i="13"/>
  <c r="I37" i="13"/>
  <c r="I8" i="13"/>
  <c r="I9" i="13"/>
  <c r="I11" i="13"/>
  <c r="I12" i="13"/>
  <c r="I13" i="13"/>
  <c r="I14" i="13"/>
  <c r="I15" i="13"/>
  <c r="I16" i="13"/>
  <c r="I17" i="13"/>
  <c r="I18" i="13"/>
  <c r="I20" i="13"/>
  <c r="I21" i="13"/>
  <c r="I22" i="13"/>
  <c r="I23" i="13"/>
  <c r="I24" i="13"/>
  <c r="I25" i="13"/>
  <c r="I26" i="13"/>
  <c r="I20" i="14"/>
  <c r="I16" i="14"/>
  <c r="F53" i="13"/>
  <c r="F17" i="14"/>
  <c r="F22" i="14"/>
  <c r="F21" i="14"/>
  <c r="F16" i="14"/>
  <c r="F19" i="14"/>
  <c r="F18" i="14"/>
  <c r="F20" i="14"/>
  <c r="E6" i="10"/>
  <c r="E14" i="10" s="1"/>
  <c r="J20" i="16"/>
  <c r="K20" i="16"/>
  <c r="H20" i="16"/>
  <c r="L11" i="16"/>
  <c r="I20" i="16"/>
  <c r="F27" i="13"/>
  <c r="C6" i="10"/>
  <c r="H33" i="13" l="1"/>
  <c r="H45" i="13"/>
  <c r="I16" i="25"/>
  <c r="H10" i="13"/>
  <c r="H36" i="13"/>
  <c r="G53" i="13"/>
  <c r="G27" i="13"/>
  <c r="H19" i="13"/>
  <c r="J106" i="25"/>
  <c r="J91" i="25"/>
  <c r="J105" i="25"/>
  <c r="J73" i="25"/>
  <c r="J82" i="25"/>
  <c r="I17" i="25"/>
  <c r="I18" i="25"/>
  <c r="D9" i="10"/>
  <c r="D7" i="10"/>
  <c r="D13" i="10"/>
  <c r="D12" i="10"/>
  <c r="D10" i="10"/>
  <c r="D8" i="10"/>
  <c r="J104" i="25"/>
  <c r="C20" i="10"/>
  <c r="C19" i="10" s="1"/>
  <c r="C27" i="10" s="1"/>
  <c r="E20" i="10"/>
  <c r="E19" i="10" s="1"/>
  <c r="E27" i="10" s="1"/>
  <c r="J98" i="25"/>
  <c r="J101" i="25"/>
  <c r="J7" i="25" s="1"/>
  <c r="J102" i="25"/>
  <c r="J108" i="25"/>
  <c r="J95" i="25"/>
  <c r="J75" i="25"/>
  <c r="J84" i="25"/>
  <c r="J4" i="25"/>
  <c r="J5" i="25" s="1"/>
  <c r="J87" i="25"/>
  <c r="J92" i="25"/>
  <c r="J76" i="25"/>
  <c r="I13" i="25"/>
  <c r="I14" i="25"/>
  <c r="I6" i="25"/>
  <c r="J72" i="25"/>
  <c r="J83" i="25"/>
  <c r="J74" i="25"/>
  <c r="J90" i="25"/>
  <c r="J107" i="25"/>
  <c r="J93" i="25"/>
  <c r="J6" i="25" s="1"/>
  <c r="I7" i="25"/>
  <c r="I15" i="25"/>
  <c r="K45" i="25"/>
  <c r="K49" i="25"/>
  <c r="K26" i="25"/>
  <c r="K69" i="25" s="1"/>
  <c r="K54" i="25"/>
  <c r="K58" i="25"/>
  <c r="K62" i="25"/>
  <c r="K30" i="25"/>
  <c r="K29" i="25"/>
  <c r="K41" i="25"/>
  <c r="K32" i="25"/>
  <c r="L2" i="25"/>
  <c r="K31" i="25"/>
  <c r="K44" i="25"/>
  <c r="K61" i="25"/>
  <c r="K36" i="25"/>
  <c r="K46" i="25"/>
  <c r="K50" i="25"/>
  <c r="K51" i="25"/>
  <c r="K55" i="25"/>
  <c r="K59" i="25"/>
  <c r="K63" i="25"/>
  <c r="K34" i="25"/>
  <c r="K33" i="25"/>
  <c r="K39" i="25"/>
  <c r="K48" i="25"/>
  <c r="K65" i="25"/>
  <c r="K47" i="25"/>
  <c r="K27" i="25"/>
  <c r="K52" i="25"/>
  <c r="K56" i="25"/>
  <c r="K60" i="25"/>
  <c r="K64" i="25"/>
  <c r="K38" i="25"/>
  <c r="K37" i="25"/>
  <c r="K35" i="25"/>
  <c r="K42" i="25"/>
  <c r="K53" i="25"/>
  <c r="K57" i="25"/>
  <c r="K28" i="25"/>
  <c r="K40" i="25"/>
  <c r="J70" i="25"/>
  <c r="J78" i="25"/>
  <c r="J100" i="25"/>
  <c r="J77" i="25"/>
  <c r="J103" i="25"/>
  <c r="J89" i="25"/>
  <c r="J81" i="25"/>
  <c r="J97" i="25"/>
  <c r="J85" i="25"/>
  <c r="J94" i="25"/>
  <c r="J71" i="25"/>
  <c r="J80" i="25"/>
  <c r="J96" i="25"/>
  <c r="J79" i="25"/>
  <c r="J99" i="25"/>
  <c r="H24" i="16"/>
  <c r="I24" i="16"/>
  <c r="L31" i="16"/>
  <c r="J24" i="16"/>
  <c r="L28" i="16"/>
  <c r="H29" i="16"/>
  <c r="L30" i="16"/>
  <c r="L26" i="16"/>
  <c r="K29" i="16"/>
  <c r="L25" i="16"/>
  <c r="J29" i="16"/>
  <c r="I29" i="16"/>
  <c r="L32" i="16"/>
  <c r="K24" i="16"/>
  <c r="Z19" i="14"/>
  <c r="L27" i="16"/>
  <c r="Z17" i="14"/>
  <c r="J22" i="14"/>
  <c r="Z18" i="14"/>
  <c r="J19" i="14"/>
  <c r="J18" i="14"/>
  <c r="J20" i="14"/>
  <c r="J16" i="14"/>
  <c r="I7" i="13"/>
  <c r="AK34" i="13"/>
  <c r="I33" i="13"/>
  <c r="AF33" i="13" s="1"/>
  <c r="I36" i="13"/>
  <c r="AA35" i="13" s="1"/>
  <c r="I19" i="13"/>
  <c r="I10" i="13"/>
  <c r="K5" i="13"/>
  <c r="J52" i="13"/>
  <c r="J48" i="13"/>
  <c r="J43" i="13"/>
  <c r="J39" i="13"/>
  <c r="J34" i="13"/>
  <c r="J49" i="13"/>
  <c r="J44" i="13"/>
  <c r="J40" i="13"/>
  <c r="J35" i="13"/>
  <c r="J50" i="13"/>
  <c r="J46" i="13"/>
  <c r="J41" i="13"/>
  <c r="J37" i="13"/>
  <c r="J51" i="13"/>
  <c r="J47" i="13"/>
  <c r="J42" i="13"/>
  <c r="J38" i="13"/>
  <c r="J8" i="13"/>
  <c r="J9" i="13"/>
  <c r="J11" i="13"/>
  <c r="J12" i="13"/>
  <c r="J13" i="13"/>
  <c r="J14" i="13"/>
  <c r="J15" i="13"/>
  <c r="J16" i="13"/>
  <c r="J17" i="13"/>
  <c r="J18" i="13"/>
  <c r="J20" i="13"/>
  <c r="J21" i="13"/>
  <c r="J22" i="13"/>
  <c r="J23" i="13"/>
  <c r="J24" i="13"/>
  <c r="J25" i="13"/>
  <c r="J26" i="13"/>
  <c r="J21" i="14"/>
  <c r="L2" i="14"/>
  <c r="K7" i="14"/>
  <c r="K11" i="14"/>
  <c r="K6" i="14"/>
  <c r="K10" i="14"/>
  <c r="K5" i="14"/>
  <c r="K9" i="14"/>
  <c r="K4" i="14"/>
  <c r="K15" i="14" s="1"/>
  <c r="K8" i="14"/>
  <c r="AK33" i="13"/>
  <c r="I45" i="13"/>
  <c r="J17" i="14"/>
  <c r="L20" i="16"/>
  <c r="C14" i="10"/>
  <c r="K91" i="25" l="1"/>
  <c r="K108" i="25"/>
  <c r="H53" i="13"/>
  <c r="K83" i="25"/>
  <c r="K70" i="25"/>
  <c r="K100" i="25"/>
  <c r="H27" i="13"/>
  <c r="K79" i="25"/>
  <c r="K71" i="25"/>
  <c r="K96" i="25"/>
  <c r="K107" i="25"/>
  <c r="K106" i="25"/>
  <c r="K103" i="25"/>
  <c r="K98" i="25"/>
  <c r="K73" i="25"/>
  <c r="K99" i="25"/>
  <c r="K94" i="25"/>
  <c r="K105" i="25"/>
  <c r="K104" i="25"/>
  <c r="K95" i="25"/>
  <c r="K93" i="25"/>
  <c r="K6" i="25" s="1"/>
  <c r="K101" i="25"/>
  <c r="K7" i="25" s="1"/>
  <c r="I19" i="25"/>
  <c r="K81" i="25"/>
  <c r="K84" i="25"/>
  <c r="K102" i="25"/>
  <c r="J8" i="25"/>
  <c r="K85" i="25"/>
  <c r="K78" i="25"/>
  <c r="K76" i="25"/>
  <c r="K80" i="25"/>
  <c r="K90" i="25"/>
  <c r="K82" i="25"/>
  <c r="K77" i="25"/>
  <c r="K75" i="25"/>
  <c r="H33" i="16"/>
  <c r="K74" i="25"/>
  <c r="K4" i="25"/>
  <c r="K5" i="25" s="1"/>
  <c r="K87" i="25"/>
  <c r="K92" i="25"/>
  <c r="K88" i="25"/>
  <c r="K89" i="25"/>
  <c r="K72" i="25"/>
  <c r="K97" i="25"/>
  <c r="L44" i="25"/>
  <c r="L48" i="25"/>
  <c r="L31" i="25"/>
  <c r="L52" i="25"/>
  <c r="L56" i="25"/>
  <c r="L60" i="25"/>
  <c r="L64" i="25"/>
  <c r="L38" i="25"/>
  <c r="L32" i="25"/>
  <c r="L27" i="25"/>
  <c r="L40" i="25"/>
  <c r="L55" i="25"/>
  <c r="L63" i="25"/>
  <c r="L45" i="25"/>
  <c r="L49" i="25"/>
  <c r="L35" i="25"/>
  <c r="L53" i="25"/>
  <c r="L57" i="25"/>
  <c r="L61" i="25"/>
  <c r="L65" i="25"/>
  <c r="L29" i="25"/>
  <c r="L36" i="25"/>
  <c r="L33" i="25"/>
  <c r="L28" i="25"/>
  <c r="L51" i="25"/>
  <c r="L59" i="25"/>
  <c r="L42" i="25"/>
  <c r="L46" i="25"/>
  <c r="L50" i="25"/>
  <c r="L39" i="25"/>
  <c r="L54" i="25"/>
  <c r="L58" i="25"/>
  <c r="L62" i="25"/>
  <c r="L30" i="25"/>
  <c r="L37" i="25"/>
  <c r="L41" i="25"/>
  <c r="M2" i="25"/>
  <c r="L47" i="25"/>
  <c r="L34" i="25"/>
  <c r="L26" i="25"/>
  <c r="L69" i="25" s="1"/>
  <c r="I8" i="25"/>
  <c r="J33" i="16"/>
  <c r="I33" i="16"/>
  <c r="L24" i="16"/>
  <c r="K33" i="16"/>
  <c r="L29" i="16"/>
  <c r="AF34" i="13"/>
  <c r="AF35" i="13" s="1"/>
  <c r="AA36" i="13"/>
  <c r="Z20" i="14"/>
  <c r="I53" i="13"/>
  <c r="AA38" i="13"/>
  <c r="K20" i="14"/>
  <c r="K19" i="14"/>
  <c r="AK35" i="13"/>
  <c r="K16" i="14"/>
  <c r="K18" i="14"/>
  <c r="AA37" i="13"/>
  <c r="K21" i="14"/>
  <c r="I27" i="13"/>
  <c r="AA8" i="13" s="1"/>
  <c r="AA33" i="13"/>
  <c r="AA34" i="13"/>
  <c r="K22" i="14"/>
  <c r="J45" i="13"/>
  <c r="J7" i="13"/>
  <c r="M2" i="14"/>
  <c r="L4" i="14"/>
  <c r="L15" i="14" s="1"/>
  <c r="L8" i="14"/>
  <c r="L7" i="14"/>
  <c r="L11" i="14"/>
  <c r="L6" i="14"/>
  <c r="L10" i="14"/>
  <c r="L5" i="14"/>
  <c r="L9" i="14"/>
  <c r="J36" i="13"/>
  <c r="J33" i="13"/>
  <c r="K17" i="14"/>
  <c r="J19" i="13"/>
  <c r="J10" i="13"/>
  <c r="L5" i="13"/>
  <c r="K49" i="13"/>
  <c r="K44" i="13"/>
  <c r="K40" i="13"/>
  <c r="K35" i="13"/>
  <c r="K50" i="13"/>
  <c r="K46" i="13"/>
  <c r="K41" i="13"/>
  <c r="K37" i="13"/>
  <c r="K52" i="13"/>
  <c r="K48" i="13"/>
  <c r="K43" i="13"/>
  <c r="K39" i="13"/>
  <c r="K51" i="13"/>
  <c r="K47" i="13"/>
  <c r="K42" i="13"/>
  <c r="K38" i="13"/>
  <c r="K34" i="13"/>
  <c r="K8" i="13"/>
  <c r="K9" i="13"/>
  <c r="K11" i="13"/>
  <c r="K12" i="13"/>
  <c r="K13" i="13"/>
  <c r="K14" i="13"/>
  <c r="K15" i="13"/>
  <c r="K16" i="13"/>
  <c r="K17" i="13"/>
  <c r="K18" i="13"/>
  <c r="K20" i="13"/>
  <c r="K21" i="13"/>
  <c r="K22" i="13"/>
  <c r="K23" i="13"/>
  <c r="K24" i="13"/>
  <c r="K25" i="13"/>
  <c r="K26" i="13"/>
  <c r="G10" i="10"/>
  <c r="G9" i="10"/>
  <c r="G13" i="10"/>
  <c r="G12" i="10"/>
  <c r="D11" i="10"/>
  <c r="G7" i="10"/>
  <c r="D6" i="10"/>
  <c r="G8" i="10"/>
  <c r="L93" i="25" l="1"/>
  <c r="L6" i="25" s="1"/>
  <c r="K8" i="25"/>
  <c r="L105" i="25"/>
  <c r="L101" i="25"/>
  <c r="L7" i="25" s="1"/>
  <c r="L97" i="25"/>
  <c r="L104" i="25"/>
  <c r="L89" i="25"/>
  <c r="L90" i="25"/>
  <c r="L88" i="25"/>
  <c r="L102" i="25"/>
  <c r="L91" i="25"/>
  <c r="L100" i="25"/>
  <c r="L94" i="25"/>
  <c r="L108" i="25"/>
  <c r="L96" i="25"/>
  <c r="D21" i="10"/>
  <c r="G21" i="10" s="1"/>
  <c r="D26" i="10"/>
  <c r="G26" i="10" s="1"/>
  <c r="D22" i="10"/>
  <c r="G22" i="10" s="1"/>
  <c r="L9" i="10" s="1"/>
  <c r="D25" i="10"/>
  <c r="D23" i="10"/>
  <c r="G23" i="10" s="1"/>
  <c r="L10" i="10" s="1"/>
  <c r="D20" i="10"/>
  <c r="G20" i="10" s="1"/>
  <c r="M44" i="25"/>
  <c r="M54" i="25"/>
  <c r="M58" i="25"/>
  <c r="M62" i="25"/>
  <c r="M50" i="25"/>
  <c r="M36" i="25"/>
  <c r="M30" i="25"/>
  <c r="M27" i="25"/>
  <c r="M37" i="25"/>
  <c r="M28" i="25"/>
  <c r="N2" i="25"/>
  <c r="M48" i="25"/>
  <c r="M45" i="25"/>
  <c r="M57" i="25"/>
  <c r="M65" i="25"/>
  <c r="M26" i="25"/>
  <c r="M69" i="25" s="1"/>
  <c r="M51" i="25"/>
  <c r="M55" i="25"/>
  <c r="M59" i="25"/>
  <c r="M63" i="25"/>
  <c r="M46" i="25"/>
  <c r="M31" i="25"/>
  <c r="M38" i="25"/>
  <c r="M33" i="25"/>
  <c r="M42" i="25"/>
  <c r="M34" i="25"/>
  <c r="M52" i="25"/>
  <c r="M56" i="25"/>
  <c r="M60" i="25"/>
  <c r="M64" i="25"/>
  <c r="M35" i="25"/>
  <c r="M39" i="25"/>
  <c r="M40" i="25"/>
  <c r="M41" i="25"/>
  <c r="M53" i="25"/>
  <c r="M61" i="25"/>
  <c r="M32" i="25"/>
  <c r="M47" i="25"/>
  <c r="M29" i="25"/>
  <c r="M49" i="25"/>
  <c r="L72" i="25"/>
  <c r="L106" i="25"/>
  <c r="L75" i="25"/>
  <c r="L99" i="25"/>
  <c r="L4" i="25"/>
  <c r="L5" i="25" s="1"/>
  <c r="L92" i="25"/>
  <c r="L87" i="25"/>
  <c r="L84" i="25"/>
  <c r="L71" i="25"/>
  <c r="L78" i="25"/>
  <c r="L98" i="25"/>
  <c r="L81" i="25"/>
  <c r="L95" i="25"/>
  <c r="L77" i="25"/>
  <c r="L80" i="25"/>
  <c r="L85" i="25"/>
  <c r="L76" i="25"/>
  <c r="L83" i="25"/>
  <c r="L107" i="25"/>
  <c r="L74" i="25"/>
  <c r="L73" i="25"/>
  <c r="L82" i="25"/>
  <c r="L79" i="25"/>
  <c r="L70" i="25"/>
  <c r="L103" i="25"/>
  <c r="L33" i="16"/>
  <c r="L17" i="14"/>
  <c r="L21" i="14"/>
  <c r="L20" i="14"/>
  <c r="L16" i="14"/>
  <c r="L18" i="14"/>
  <c r="J53" i="13"/>
  <c r="L19" i="14"/>
  <c r="L22" i="14"/>
  <c r="AA39" i="13"/>
  <c r="K7" i="13"/>
  <c r="J27" i="13"/>
  <c r="K33" i="13"/>
  <c r="K19" i="13"/>
  <c r="K10" i="13"/>
  <c r="K36" i="13"/>
  <c r="M5" i="13"/>
  <c r="L50" i="13"/>
  <c r="L46" i="13"/>
  <c r="L41" i="13"/>
  <c r="L37" i="13"/>
  <c r="L49" i="13"/>
  <c r="L51" i="13"/>
  <c r="L47" i="13"/>
  <c r="L42" i="13"/>
  <c r="L38" i="13"/>
  <c r="L52" i="13"/>
  <c r="L48" i="13"/>
  <c r="L43" i="13"/>
  <c r="L39" i="13"/>
  <c r="L34" i="13"/>
  <c r="L44" i="13"/>
  <c r="L40" i="13"/>
  <c r="L35" i="13"/>
  <c r="L11" i="13"/>
  <c r="L15" i="13"/>
  <c r="L20" i="13"/>
  <c r="L24" i="13"/>
  <c r="L9" i="13"/>
  <c r="L14" i="13"/>
  <c r="L18" i="13"/>
  <c r="L23" i="13"/>
  <c r="L12" i="13"/>
  <c r="L16" i="13"/>
  <c r="L21" i="13"/>
  <c r="L25" i="13"/>
  <c r="L8" i="13"/>
  <c r="L13" i="13"/>
  <c r="L17" i="13"/>
  <c r="L22" i="13"/>
  <c r="L26" i="13"/>
  <c r="K45" i="13"/>
  <c r="N2" i="14"/>
  <c r="M5" i="14"/>
  <c r="M9" i="14"/>
  <c r="M4" i="14"/>
  <c r="M15" i="14" s="1"/>
  <c r="M8" i="14"/>
  <c r="M7" i="14"/>
  <c r="M11" i="14"/>
  <c r="M6" i="14"/>
  <c r="M10" i="14"/>
  <c r="D14" i="10"/>
  <c r="G6" i="10"/>
  <c r="G11" i="10"/>
  <c r="L8" i="25" l="1"/>
  <c r="M88" i="25"/>
  <c r="M90" i="25"/>
  <c r="M95" i="25"/>
  <c r="M89" i="25"/>
  <c r="M82" i="25"/>
  <c r="M76" i="25"/>
  <c r="D19" i="10"/>
  <c r="G19" i="10" s="1"/>
  <c r="L8" i="10" s="1"/>
  <c r="D24" i="10"/>
  <c r="G24" i="10" s="1"/>
  <c r="L11" i="10" s="1"/>
  <c r="M91" i="25"/>
  <c r="G25" i="10"/>
  <c r="M104" i="25"/>
  <c r="M99" i="25"/>
  <c r="M106" i="25"/>
  <c r="M70" i="25"/>
  <c r="M105" i="25"/>
  <c r="M72" i="25"/>
  <c r="M96" i="25"/>
  <c r="M78" i="25"/>
  <c r="M81" i="25"/>
  <c r="M102" i="25"/>
  <c r="M108" i="25"/>
  <c r="N53" i="25"/>
  <c r="N56" i="25"/>
  <c r="N60" i="25"/>
  <c r="N64" i="25"/>
  <c r="N33" i="25"/>
  <c r="N32" i="25"/>
  <c r="N42" i="25"/>
  <c r="N47" i="25"/>
  <c r="N50" i="25"/>
  <c r="N62" i="25"/>
  <c r="N27" i="25"/>
  <c r="N31" i="25"/>
  <c r="N34" i="25"/>
  <c r="N52" i="25"/>
  <c r="N59" i="25"/>
  <c r="N29" i="25"/>
  <c r="N40" i="25"/>
  <c r="N41" i="25"/>
  <c r="N28" i="25"/>
  <c r="N44" i="25"/>
  <c r="N26" i="25"/>
  <c r="N69" i="25" s="1"/>
  <c r="N57" i="25"/>
  <c r="N61" i="25"/>
  <c r="N65" i="25"/>
  <c r="N37" i="25"/>
  <c r="N36" i="25"/>
  <c r="N49" i="25"/>
  <c r="N30" i="25"/>
  <c r="N35" i="25"/>
  <c r="N51" i="25"/>
  <c r="N54" i="25"/>
  <c r="N58" i="25"/>
  <c r="N46" i="25"/>
  <c r="N38" i="25"/>
  <c r="N45" i="25"/>
  <c r="N55" i="25"/>
  <c r="N63" i="25"/>
  <c r="N48" i="25"/>
  <c r="N39" i="25"/>
  <c r="O2" i="25"/>
  <c r="M73" i="25"/>
  <c r="M101" i="25"/>
  <c r="M7" i="25" s="1"/>
  <c r="M84" i="25"/>
  <c r="M107" i="25"/>
  <c r="M77" i="25"/>
  <c r="M74" i="25"/>
  <c r="M98" i="25"/>
  <c r="M100" i="25"/>
  <c r="M71" i="25"/>
  <c r="M79" i="25"/>
  <c r="M97" i="25"/>
  <c r="M75" i="25"/>
  <c r="M83" i="25"/>
  <c r="M103" i="25"/>
  <c r="M85" i="25"/>
  <c r="M94" i="25"/>
  <c r="M80" i="25"/>
  <c r="M93" i="25"/>
  <c r="M6" i="25" s="1"/>
  <c r="M4" i="25"/>
  <c r="M5" i="25" s="1"/>
  <c r="M92" i="25"/>
  <c r="M87" i="25"/>
  <c r="L7" i="13"/>
  <c r="M21" i="14"/>
  <c r="M17" i="14"/>
  <c r="M22" i="14"/>
  <c r="M18" i="14"/>
  <c r="K53" i="13"/>
  <c r="K27" i="13"/>
  <c r="M19" i="14"/>
  <c r="L33" i="13"/>
  <c r="M20" i="14"/>
  <c r="L19" i="13"/>
  <c r="L36" i="13"/>
  <c r="N5" i="13"/>
  <c r="E35" i="10" s="1"/>
  <c r="M51" i="13"/>
  <c r="M47" i="13"/>
  <c r="M42" i="13"/>
  <c r="M38" i="13"/>
  <c r="M41" i="13"/>
  <c r="M52" i="13"/>
  <c r="M48" i="13"/>
  <c r="M43" i="13"/>
  <c r="M39" i="13"/>
  <c r="M34" i="13"/>
  <c r="M37" i="13"/>
  <c r="M49" i="13"/>
  <c r="M44" i="13"/>
  <c r="M40" i="13"/>
  <c r="M35" i="13"/>
  <c r="M50" i="13"/>
  <c r="M46" i="13"/>
  <c r="M8" i="13"/>
  <c r="M9" i="13"/>
  <c r="M11" i="13"/>
  <c r="M12" i="13"/>
  <c r="M13" i="13"/>
  <c r="M14" i="13"/>
  <c r="M15" i="13"/>
  <c r="M16" i="13"/>
  <c r="M17" i="13"/>
  <c r="M18" i="13"/>
  <c r="M20" i="13"/>
  <c r="M21" i="13"/>
  <c r="M22" i="13"/>
  <c r="M23" i="13"/>
  <c r="M24" i="13"/>
  <c r="M25" i="13"/>
  <c r="M26" i="13"/>
  <c r="M16" i="14"/>
  <c r="O2" i="14"/>
  <c r="N6" i="14"/>
  <c r="N10" i="14"/>
  <c r="N5" i="14"/>
  <c r="N9" i="14"/>
  <c r="N4" i="14"/>
  <c r="N15" i="14" s="1"/>
  <c r="N8" i="14"/>
  <c r="N11" i="14"/>
  <c r="N7" i="14"/>
  <c r="L10" i="13"/>
  <c r="L45" i="13"/>
  <c r="G14" i="10"/>
  <c r="L12" i="10" l="1"/>
  <c r="D27" i="10"/>
  <c r="G27" i="10" s="1"/>
  <c r="N97" i="25"/>
  <c r="M8" i="25"/>
  <c r="N101" i="25"/>
  <c r="N7" i="25" s="1"/>
  <c r="N78" i="25"/>
  <c r="N106" i="25"/>
  <c r="N98" i="25"/>
  <c r="N89" i="25"/>
  <c r="N108" i="25"/>
  <c r="N93" i="25"/>
  <c r="N6" i="25" s="1"/>
  <c r="N96" i="25"/>
  <c r="N107" i="25"/>
  <c r="N77" i="25"/>
  <c r="O45" i="25"/>
  <c r="O49" i="25"/>
  <c r="O52" i="25"/>
  <c r="O28" i="25"/>
  <c r="O29" i="25"/>
  <c r="O41" i="25"/>
  <c r="O40" i="25"/>
  <c r="O57" i="25"/>
  <c r="O61" i="25"/>
  <c r="O65" i="25"/>
  <c r="P2" i="25"/>
  <c r="O26" i="25"/>
  <c r="O69" i="25" s="1"/>
  <c r="O55" i="25"/>
  <c r="O63" i="25"/>
  <c r="O106" i="25" s="1"/>
  <c r="O51" i="25"/>
  <c r="O44" i="25"/>
  <c r="O32" i="25"/>
  <c r="O56" i="25"/>
  <c r="O64" i="25"/>
  <c r="O46" i="25"/>
  <c r="O50" i="25"/>
  <c r="O53" i="25"/>
  <c r="O30" i="25"/>
  <c r="O33" i="25"/>
  <c r="O35" i="25"/>
  <c r="O54" i="25"/>
  <c r="O97" i="25" s="1"/>
  <c r="O58" i="25"/>
  <c r="O62" i="25"/>
  <c r="O36" i="25"/>
  <c r="O47" i="25"/>
  <c r="O27" i="25"/>
  <c r="O34" i="25"/>
  <c r="O37" i="25"/>
  <c r="O42" i="25"/>
  <c r="O59" i="25"/>
  <c r="O39" i="25"/>
  <c r="O48" i="25"/>
  <c r="O38" i="25"/>
  <c r="O31" i="25"/>
  <c r="O60" i="25"/>
  <c r="N73" i="25"/>
  <c r="N4" i="25"/>
  <c r="N5" i="25" s="1"/>
  <c r="N92" i="25"/>
  <c r="N87" i="25"/>
  <c r="N74" i="25"/>
  <c r="N82" i="25"/>
  <c r="N88" i="25"/>
  <c r="N104" i="25"/>
  <c r="N71" i="25"/>
  <c r="N102" i="25"/>
  <c r="N70" i="25"/>
  <c r="N85" i="25"/>
  <c r="N103" i="25"/>
  <c r="N80" i="25"/>
  <c r="N83" i="25"/>
  <c r="N76" i="25"/>
  <c r="N72" i="25"/>
  <c r="N90" i="25"/>
  <c r="N91" i="25"/>
  <c r="N81" i="25"/>
  <c r="N94" i="25"/>
  <c r="N79" i="25"/>
  <c r="N100" i="25"/>
  <c r="N84" i="25"/>
  <c r="N95" i="25"/>
  <c r="N105" i="25"/>
  <c r="N75" i="25"/>
  <c r="N99" i="25"/>
  <c r="L27" i="13"/>
  <c r="M45" i="13"/>
  <c r="M7" i="13"/>
  <c r="N18" i="14"/>
  <c r="N20" i="14"/>
  <c r="P2" i="14"/>
  <c r="O7" i="14"/>
  <c r="O11" i="14"/>
  <c r="O6" i="14"/>
  <c r="O10" i="14"/>
  <c r="O5" i="14"/>
  <c r="O9" i="14"/>
  <c r="O4" i="14"/>
  <c r="O15" i="14" s="1"/>
  <c r="O8" i="14"/>
  <c r="M19" i="13"/>
  <c r="M10" i="13"/>
  <c r="O5" i="13"/>
  <c r="N52" i="13"/>
  <c r="N48" i="13"/>
  <c r="N43" i="13"/>
  <c r="N39" i="13"/>
  <c r="N34" i="13"/>
  <c r="N49" i="13"/>
  <c r="N44" i="13"/>
  <c r="N40" i="13"/>
  <c r="N35" i="13"/>
  <c r="N51" i="13"/>
  <c r="N47" i="13"/>
  <c r="N42" i="13"/>
  <c r="N38" i="13"/>
  <c r="N50" i="13"/>
  <c r="N46" i="13"/>
  <c r="N41" i="13"/>
  <c r="N37" i="13"/>
  <c r="N8" i="13"/>
  <c r="N9" i="13"/>
  <c r="N11" i="13"/>
  <c r="N12" i="13"/>
  <c r="N13" i="13"/>
  <c r="N14" i="13"/>
  <c r="N15" i="13"/>
  <c r="N16" i="13"/>
  <c r="N17" i="13"/>
  <c r="N18" i="13"/>
  <c r="N20" i="13"/>
  <c r="N21" i="13"/>
  <c r="N22" i="13"/>
  <c r="N23" i="13"/>
  <c r="N24" i="13"/>
  <c r="N25" i="13"/>
  <c r="N26" i="13"/>
  <c r="H71" i="16"/>
  <c r="H70" i="16"/>
  <c r="I70" i="16"/>
  <c r="I69" i="16"/>
  <c r="H66" i="16"/>
  <c r="K70" i="16"/>
  <c r="K69" i="16"/>
  <c r="K65" i="16"/>
  <c r="K67" i="16"/>
  <c r="J67" i="16"/>
  <c r="J65" i="16"/>
  <c r="J66" i="16"/>
  <c r="K64" i="16"/>
  <c r="E33" i="10" s="1"/>
  <c r="J69" i="16"/>
  <c r="I71" i="16"/>
  <c r="I65" i="16"/>
  <c r="J64" i="16"/>
  <c r="H69" i="16"/>
  <c r="H67" i="16"/>
  <c r="J71" i="16"/>
  <c r="K71" i="16"/>
  <c r="I66" i="16"/>
  <c r="C35" i="10" s="1"/>
  <c r="I67" i="16"/>
  <c r="H65" i="16"/>
  <c r="H64" i="16"/>
  <c r="I64" i="16"/>
  <c r="C33" i="10" s="1"/>
  <c r="J70" i="16"/>
  <c r="N17" i="14"/>
  <c r="N22" i="14"/>
  <c r="N16" i="14"/>
  <c r="M36" i="13"/>
  <c r="L53" i="13"/>
  <c r="N19" i="14"/>
  <c r="N21" i="14"/>
  <c r="M33" i="13"/>
  <c r="O89" i="25" l="1"/>
  <c r="N8" i="25"/>
  <c r="O76" i="25"/>
  <c r="O82" i="25"/>
  <c r="O85" i="25"/>
  <c r="O77" i="25"/>
  <c r="O80" i="25"/>
  <c r="O91" i="25"/>
  <c r="O74" i="25"/>
  <c r="O81" i="25"/>
  <c r="O73" i="25"/>
  <c r="O96" i="25"/>
  <c r="O108" i="25"/>
  <c r="O70" i="25"/>
  <c r="O99" i="25"/>
  <c r="O90" i="25"/>
  <c r="O79" i="25"/>
  <c r="O78" i="25"/>
  <c r="O75" i="25"/>
  <c r="O93" i="25"/>
  <c r="O6" i="25" s="1"/>
  <c r="O98" i="25"/>
  <c r="O104" i="25"/>
  <c r="O103" i="25"/>
  <c r="O105" i="25"/>
  <c r="O100" i="25"/>
  <c r="O102" i="25"/>
  <c r="O101" i="25"/>
  <c r="O7" i="25" s="1"/>
  <c r="O107" i="25"/>
  <c r="O94" i="25"/>
  <c r="O83" i="25"/>
  <c r="O95" i="25"/>
  <c r="O84" i="25"/>
  <c r="O72" i="25"/>
  <c r="O88" i="25"/>
  <c r="P45" i="25"/>
  <c r="P49" i="25"/>
  <c r="P31" i="25"/>
  <c r="P27" i="25"/>
  <c r="P51" i="25"/>
  <c r="P36" i="25"/>
  <c r="P29" i="25"/>
  <c r="P55" i="25"/>
  <c r="P59" i="25"/>
  <c r="P63" i="25"/>
  <c r="P60" i="25"/>
  <c r="Q2" i="25"/>
  <c r="P65" i="25"/>
  <c r="P44" i="25"/>
  <c r="P38" i="25"/>
  <c r="P54" i="25"/>
  <c r="P46" i="25"/>
  <c r="P50" i="25"/>
  <c r="P35" i="25"/>
  <c r="P30" i="25"/>
  <c r="P53" i="25"/>
  <c r="P32" i="25"/>
  <c r="P37" i="25"/>
  <c r="P56" i="25"/>
  <c r="P64" i="25"/>
  <c r="P26" i="25"/>
  <c r="P69" i="25" s="1"/>
  <c r="P52" i="25"/>
  <c r="P58" i="25"/>
  <c r="P47" i="25"/>
  <c r="P28" i="25"/>
  <c r="P39" i="25"/>
  <c r="P34" i="25"/>
  <c r="P33" i="25"/>
  <c r="P41" i="25"/>
  <c r="P40" i="25"/>
  <c r="P57" i="25"/>
  <c r="P61" i="25"/>
  <c r="P48" i="25"/>
  <c r="P42" i="25"/>
  <c r="P62" i="25"/>
  <c r="O4" i="25"/>
  <c r="O5" i="25" s="1"/>
  <c r="O87" i="25"/>
  <c r="O92" i="25"/>
  <c r="O71" i="25"/>
  <c r="M27" i="13"/>
  <c r="M53" i="13"/>
  <c r="N7" i="13"/>
  <c r="N36" i="13"/>
  <c r="O19" i="14"/>
  <c r="O20" i="14"/>
  <c r="I68" i="16"/>
  <c r="O16" i="14"/>
  <c r="O18" i="14"/>
  <c r="I63" i="16"/>
  <c r="L67" i="16"/>
  <c r="K68" i="16"/>
  <c r="N33" i="13"/>
  <c r="O21" i="14"/>
  <c r="Q2" i="14"/>
  <c r="P4" i="14"/>
  <c r="P15" i="14" s="1"/>
  <c r="P8" i="14"/>
  <c r="P7" i="14"/>
  <c r="P11" i="14"/>
  <c r="P6" i="14"/>
  <c r="P10" i="14"/>
  <c r="P9" i="14"/>
  <c r="P5" i="14"/>
  <c r="L70" i="16"/>
  <c r="N19" i="13"/>
  <c r="N10" i="13"/>
  <c r="P5" i="13"/>
  <c r="O49" i="13"/>
  <c r="O44" i="13"/>
  <c r="O40" i="13"/>
  <c r="O35" i="13"/>
  <c r="O52" i="13"/>
  <c r="O48" i="13"/>
  <c r="O50" i="13"/>
  <c r="O46" i="13"/>
  <c r="O41" i="13"/>
  <c r="O37" i="13"/>
  <c r="O51" i="13"/>
  <c r="O47" i="13"/>
  <c r="O42" i="13"/>
  <c r="O38" i="13"/>
  <c r="O43" i="13"/>
  <c r="O39" i="13"/>
  <c r="O34" i="13"/>
  <c r="O8" i="13"/>
  <c r="O9" i="13"/>
  <c r="O11" i="13"/>
  <c r="O12" i="13"/>
  <c r="O13" i="13"/>
  <c r="O14" i="13"/>
  <c r="O15" i="13"/>
  <c r="O16" i="13"/>
  <c r="O17" i="13"/>
  <c r="O18" i="13"/>
  <c r="O20" i="13"/>
  <c r="O21" i="13"/>
  <c r="O22" i="13"/>
  <c r="O23" i="13"/>
  <c r="O24" i="13"/>
  <c r="O25" i="13"/>
  <c r="O26" i="13"/>
  <c r="O17" i="14"/>
  <c r="L64" i="16"/>
  <c r="H63" i="16"/>
  <c r="H68" i="16"/>
  <c r="L69" i="16"/>
  <c r="J68" i="16"/>
  <c r="L65" i="16"/>
  <c r="J63" i="16"/>
  <c r="E32" i="10"/>
  <c r="E40" i="10" s="1"/>
  <c r="K63" i="16"/>
  <c r="L66" i="16"/>
  <c r="L71" i="16"/>
  <c r="N45" i="13"/>
  <c r="O22" i="14"/>
  <c r="P91" i="25" l="1"/>
  <c r="P105" i="25"/>
  <c r="P95" i="25"/>
  <c r="P104" i="25"/>
  <c r="P100" i="25"/>
  <c r="P107" i="25"/>
  <c r="P71" i="25"/>
  <c r="P93" i="25"/>
  <c r="P6" i="25" s="1"/>
  <c r="P90" i="25"/>
  <c r="P101" i="25"/>
  <c r="P7" i="25" s="1"/>
  <c r="P97" i="25"/>
  <c r="P99" i="25"/>
  <c r="P84" i="25"/>
  <c r="P106" i="25"/>
  <c r="P96" i="25"/>
  <c r="P76" i="25"/>
  <c r="P89" i="25"/>
  <c r="P108" i="25"/>
  <c r="P102" i="25"/>
  <c r="P94" i="25"/>
  <c r="O8" i="25"/>
  <c r="P103" i="25"/>
  <c r="P98" i="25"/>
  <c r="I72" i="16"/>
  <c r="P77" i="25"/>
  <c r="P73" i="25"/>
  <c r="P70" i="25"/>
  <c r="P85" i="25"/>
  <c r="P83" i="25"/>
  <c r="P82" i="25"/>
  <c r="P80" i="25"/>
  <c r="P78" i="25"/>
  <c r="P81" i="25"/>
  <c r="Q51" i="25"/>
  <c r="Q46" i="25"/>
  <c r="Q54" i="25"/>
  <c r="Q58" i="25"/>
  <c r="Q62" i="25"/>
  <c r="Q32" i="25"/>
  <c r="Q31" i="25"/>
  <c r="Q37" i="25"/>
  <c r="Q30" i="25"/>
  <c r="Q29" i="25"/>
  <c r="R2" i="25"/>
  <c r="Q49" i="25"/>
  <c r="Q61" i="25"/>
  <c r="Q34" i="25"/>
  <c r="Q52" i="25"/>
  <c r="Q47" i="25"/>
  <c r="Q55" i="25"/>
  <c r="Q59" i="25"/>
  <c r="Q63" i="25"/>
  <c r="Q36" i="25"/>
  <c r="Q35" i="25"/>
  <c r="Q39" i="25"/>
  <c r="Q38" i="25"/>
  <c r="Q40" i="25"/>
  <c r="Q45" i="25"/>
  <c r="Q65" i="25"/>
  <c r="Q50" i="25"/>
  <c r="Q53" i="25"/>
  <c r="Q48" i="25"/>
  <c r="Q56" i="25"/>
  <c r="Q60" i="25"/>
  <c r="Q64" i="25"/>
  <c r="Q26" i="25"/>
  <c r="Q69" i="25" s="1"/>
  <c r="Q27" i="25"/>
  <c r="Q33" i="25"/>
  <c r="Q41" i="25"/>
  <c r="Q44" i="25"/>
  <c r="Q57" i="25"/>
  <c r="Q28" i="25"/>
  <c r="Q42" i="25"/>
  <c r="P72" i="25"/>
  <c r="P74" i="25"/>
  <c r="P75" i="25"/>
  <c r="P4" i="25"/>
  <c r="P5" i="25" s="1"/>
  <c r="P87" i="25"/>
  <c r="P92" i="25"/>
  <c r="P79" i="25"/>
  <c r="P88" i="25"/>
  <c r="N53" i="13"/>
  <c r="P17" i="14"/>
  <c r="K72" i="16"/>
  <c r="N27" i="13"/>
  <c r="J72" i="16"/>
  <c r="O10" i="13"/>
  <c r="L68" i="16"/>
  <c r="O7" i="13"/>
  <c r="L63" i="16"/>
  <c r="H72" i="16"/>
  <c r="P16" i="14"/>
  <c r="P22" i="14"/>
  <c r="R2" i="14"/>
  <c r="Q5" i="14"/>
  <c r="Q9" i="14"/>
  <c r="Q4" i="14"/>
  <c r="Q15" i="14" s="1"/>
  <c r="Q8" i="14"/>
  <c r="Q7" i="14"/>
  <c r="Q11" i="14"/>
  <c r="Q6" i="14"/>
  <c r="Q10" i="14"/>
  <c r="O19" i="13"/>
  <c r="O36" i="13"/>
  <c r="P20" i="14"/>
  <c r="P18" i="14"/>
  <c r="C32" i="10"/>
  <c r="O45" i="13"/>
  <c r="Q5" i="13"/>
  <c r="P50" i="13"/>
  <c r="P46" i="13"/>
  <c r="P41" i="13"/>
  <c r="P37" i="13"/>
  <c r="P44" i="13"/>
  <c r="P40" i="13"/>
  <c r="P51" i="13"/>
  <c r="P47" i="13"/>
  <c r="P42" i="13"/>
  <c r="P38" i="13"/>
  <c r="P35" i="13"/>
  <c r="P52" i="13"/>
  <c r="P48" i="13"/>
  <c r="P43" i="13"/>
  <c r="P39" i="13"/>
  <c r="P34" i="13"/>
  <c r="P49" i="13"/>
  <c r="P12" i="13"/>
  <c r="P16" i="13"/>
  <c r="P21" i="13"/>
  <c r="P25" i="13"/>
  <c r="P11" i="13"/>
  <c r="P15" i="13"/>
  <c r="P20" i="13"/>
  <c r="P24" i="13"/>
  <c r="P8" i="13"/>
  <c r="P9" i="13"/>
  <c r="P14" i="13"/>
  <c r="P18" i="13"/>
  <c r="P23" i="13"/>
  <c r="P13" i="13"/>
  <c r="P17" i="13"/>
  <c r="P22" i="13"/>
  <c r="P26" i="13"/>
  <c r="O33" i="13"/>
  <c r="P21" i="14"/>
  <c r="P19" i="14"/>
  <c r="P8" i="25" l="1"/>
  <c r="Q96" i="25"/>
  <c r="Q107" i="25"/>
  <c r="Q85" i="25"/>
  <c r="D35" i="10"/>
  <c r="G35" i="10" s="1"/>
  <c r="D36" i="10"/>
  <c r="G36" i="10" s="1"/>
  <c r="D34" i="10"/>
  <c r="G34" i="10" s="1"/>
  <c r="D33" i="10"/>
  <c r="G33" i="10" s="1"/>
  <c r="D39" i="10"/>
  <c r="G39" i="10" s="1"/>
  <c r="D38" i="10"/>
  <c r="G38" i="10" s="1"/>
  <c r="Q71" i="25"/>
  <c r="Q76" i="25"/>
  <c r="Q84" i="25"/>
  <c r="Q83" i="25"/>
  <c r="Q79" i="25"/>
  <c r="Q90" i="25"/>
  <c r="Q80" i="25"/>
  <c r="Q101" i="25"/>
  <c r="Q7" i="25" s="1"/>
  <c r="Q103" i="25"/>
  <c r="Q93" i="25"/>
  <c r="Q6" i="25" s="1"/>
  <c r="Q81" i="25"/>
  <c r="Q106" i="25"/>
  <c r="Q95" i="25"/>
  <c r="R44" i="25"/>
  <c r="R48" i="25"/>
  <c r="R54" i="25"/>
  <c r="R58" i="25"/>
  <c r="R62" i="25"/>
  <c r="R29" i="25"/>
  <c r="R36" i="25"/>
  <c r="R40" i="25"/>
  <c r="R53" i="25"/>
  <c r="R42" i="25"/>
  <c r="S2" i="25"/>
  <c r="R45" i="25"/>
  <c r="R49" i="25"/>
  <c r="R55" i="25"/>
  <c r="R59" i="25"/>
  <c r="R63" i="25"/>
  <c r="R33" i="25"/>
  <c r="R28" i="25"/>
  <c r="R52" i="25"/>
  <c r="R27" i="25"/>
  <c r="R30" i="25"/>
  <c r="R34" i="25"/>
  <c r="R41" i="25"/>
  <c r="R26" i="25"/>
  <c r="R69" i="25" s="1"/>
  <c r="R61" i="25"/>
  <c r="R32" i="25"/>
  <c r="R51" i="25"/>
  <c r="R31" i="25"/>
  <c r="R46" i="25"/>
  <c r="R50" i="25"/>
  <c r="R56" i="25"/>
  <c r="R60" i="25"/>
  <c r="R64" i="25"/>
  <c r="R37" i="25"/>
  <c r="R35" i="25"/>
  <c r="R38" i="25"/>
  <c r="R47" i="25"/>
  <c r="R57" i="25"/>
  <c r="R65" i="25"/>
  <c r="R39" i="25"/>
  <c r="Q74" i="25"/>
  <c r="Q97" i="25"/>
  <c r="Q100" i="25"/>
  <c r="Q70" i="25"/>
  <c r="Q99" i="25"/>
  <c r="Q108" i="25"/>
  <c r="Q82" i="25"/>
  <c r="Q102" i="25"/>
  <c r="Q77" i="25"/>
  <c r="Q72" i="25"/>
  <c r="Q75" i="25"/>
  <c r="Q89" i="25"/>
  <c r="Q4" i="25"/>
  <c r="Q5" i="25" s="1"/>
  <c r="Q92" i="25"/>
  <c r="Q87" i="25"/>
  <c r="Q91" i="25"/>
  <c r="Q88" i="25"/>
  <c r="Q78" i="25"/>
  <c r="Q98" i="25"/>
  <c r="Q104" i="25"/>
  <c r="Q73" i="25"/>
  <c r="Q105" i="25"/>
  <c r="Q94" i="25"/>
  <c r="Q17" i="14"/>
  <c r="L72" i="16"/>
  <c r="P7" i="13"/>
  <c r="P33" i="13"/>
  <c r="O27" i="13"/>
  <c r="O53" i="13"/>
  <c r="C40" i="10"/>
  <c r="P19" i="13"/>
  <c r="P36" i="13"/>
  <c r="R5" i="13"/>
  <c r="Q51" i="13"/>
  <c r="Q47" i="13"/>
  <c r="Q42" i="13"/>
  <c r="Q38" i="13"/>
  <c r="Q37" i="13"/>
  <c r="Q52" i="13"/>
  <c r="Q48" i="13"/>
  <c r="Q43" i="13"/>
  <c r="Q39" i="13"/>
  <c r="Q34" i="13"/>
  <c r="Q50" i="13"/>
  <c r="Q46" i="13"/>
  <c r="Q41" i="13"/>
  <c r="Q49" i="13"/>
  <c r="Q44" i="13"/>
  <c r="Q40" i="13"/>
  <c r="Q35" i="13"/>
  <c r="Q8" i="13"/>
  <c r="Q9" i="13"/>
  <c r="Q11" i="13"/>
  <c r="Q12" i="13"/>
  <c r="Q13" i="13"/>
  <c r="Q14" i="13"/>
  <c r="Q15" i="13"/>
  <c r="Q16" i="13"/>
  <c r="Q17" i="13"/>
  <c r="Q18" i="13"/>
  <c r="Q20" i="13"/>
  <c r="Q21" i="13"/>
  <c r="Q22" i="13"/>
  <c r="Q23" i="13"/>
  <c r="Q24" i="13"/>
  <c r="Q25" i="13"/>
  <c r="Q26" i="13"/>
  <c r="Q22" i="14"/>
  <c r="Q20" i="14"/>
  <c r="Q18" i="14"/>
  <c r="Q16" i="14"/>
  <c r="P10" i="13"/>
  <c r="P45" i="13"/>
  <c r="Q21" i="14"/>
  <c r="Q19" i="14"/>
  <c r="S2" i="14"/>
  <c r="R6" i="14"/>
  <c r="R10" i="14"/>
  <c r="R5" i="14"/>
  <c r="R9" i="14"/>
  <c r="R4" i="14"/>
  <c r="R15" i="14" s="1"/>
  <c r="R8" i="14"/>
  <c r="R11" i="14"/>
  <c r="R7" i="14"/>
  <c r="R90" i="25" l="1"/>
  <c r="R104" i="25"/>
  <c r="R100" i="25"/>
  <c r="R91" i="25"/>
  <c r="R82" i="25"/>
  <c r="R107" i="25"/>
  <c r="R103" i="25"/>
  <c r="R93" i="25"/>
  <c r="R6" i="25" s="1"/>
  <c r="R89" i="25"/>
  <c r="R106" i="25"/>
  <c r="R88" i="25"/>
  <c r="R108" i="25"/>
  <c r="R99" i="25"/>
  <c r="R98" i="25"/>
  <c r="R81" i="25"/>
  <c r="R74" i="25"/>
  <c r="D32" i="10"/>
  <c r="G32" i="10" s="1"/>
  <c r="R80" i="25"/>
  <c r="Q8" i="25"/>
  <c r="R75" i="25"/>
  <c r="R77" i="25"/>
  <c r="R71" i="25"/>
  <c r="R85" i="25"/>
  <c r="R72" i="25"/>
  <c r="R73" i="25"/>
  <c r="R76" i="25"/>
  <c r="R96" i="25"/>
  <c r="R105" i="25"/>
  <c r="R4" i="25"/>
  <c r="R5" i="25" s="1"/>
  <c r="R92" i="25"/>
  <c r="R87" i="25"/>
  <c r="R70" i="25"/>
  <c r="R83" i="25"/>
  <c r="R101" i="25"/>
  <c r="R7" i="25" s="1"/>
  <c r="R78" i="25"/>
  <c r="R94" i="25"/>
  <c r="R84" i="25"/>
  <c r="R95" i="25"/>
  <c r="R102" i="25"/>
  <c r="S48" i="25"/>
  <c r="S51" i="25"/>
  <c r="S26" i="25"/>
  <c r="S69" i="25" s="1"/>
  <c r="S57" i="25"/>
  <c r="S61" i="25"/>
  <c r="S65" i="25"/>
  <c r="S29" i="25"/>
  <c r="S41" i="25"/>
  <c r="S40" i="25"/>
  <c r="S44" i="25"/>
  <c r="S60" i="25"/>
  <c r="S36" i="25"/>
  <c r="T2" i="25"/>
  <c r="S45" i="25"/>
  <c r="S49" i="25"/>
  <c r="S52" i="25"/>
  <c r="S54" i="25"/>
  <c r="S58" i="25"/>
  <c r="S62" i="25"/>
  <c r="S30" i="25"/>
  <c r="S33" i="25"/>
  <c r="S28" i="25"/>
  <c r="S32" i="25"/>
  <c r="S63" i="25"/>
  <c r="S37" i="25"/>
  <c r="S31" i="25"/>
  <c r="X2" i="25"/>
  <c r="S47" i="25"/>
  <c r="S64" i="25"/>
  <c r="S39" i="25"/>
  <c r="S46" i="25"/>
  <c r="S50" i="25"/>
  <c r="S53" i="25"/>
  <c r="S55" i="25"/>
  <c r="S59" i="25"/>
  <c r="S34" i="25"/>
  <c r="S35" i="25"/>
  <c r="S27" i="25"/>
  <c r="S56" i="25"/>
  <c r="S38" i="25"/>
  <c r="S42" i="25"/>
  <c r="R79" i="25"/>
  <c r="R97" i="25"/>
  <c r="Q7" i="13"/>
  <c r="P53" i="13"/>
  <c r="P27" i="13"/>
  <c r="R22" i="14"/>
  <c r="R16" i="14"/>
  <c r="Q45" i="13"/>
  <c r="D37" i="10"/>
  <c r="G37" i="10" s="1"/>
  <c r="Q10" i="13"/>
  <c r="S5" i="13"/>
  <c r="E48" i="10" s="1"/>
  <c r="R52" i="13"/>
  <c r="R48" i="13"/>
  <c r="R43" i="13"/>
  <c r="R39" i="13"/>
  <c r="R34" i="13"/>
  <c r="R51" i="13"/>
  <c r="R47" i="13"/>
  <c r="R49" i="13"/>
  <c r="R44" i="13"/>
  <c r="R40" i="13"/>
  <c r="R35" i="13"/>
  <c r="R50" i="13"/>
  <c r="R46" i="13"/>
  <c r="R41" i="13"/>
  <c r="R37" i="13"/>
  <c r="R42" i="13"/>
  <c r="R38" i="13"/>
  <c r="R8" i="13"/>
  <c r="R9" i="13"/>
  <c r="R11" i="13"/>
  <c r="R12" i="13"/>
  <c r="R13" i="13"/>
  <c r="R14" i="13"/>
  <c r="R15" i="13"/>
  <c r="R16" i="13"/>
  <c r="R17" i="13"/>
  <c r="R18" i="13"/>
  <c r="R20" i="13"/>
  <c r="R21" i="13"/>
  <c r="R22" i="13"/>
  <c r="R23" i="13"/>
  <c r="R24" i="13"/>
  <c r="R25" i="13"/>
  <c r="R26" i="13"/>
  <c r="R19" i="14"/>
  <c r="R21" i="14"/>
  <c r="R17" i="14"/>
  <c r="Q33" i="13"/>
  <c r="Q19" i="13"/>
  <c r="R18" i="14"/>
  <c r="R20" i="14"/>
  <c r="T2" i="14"/>
  <c r="S7" i="14"/>
  <c r="S11" i="14"/>
  <c r="S5" i="14"/>
  <c r="S9" i="14"/>
  <c r="S10" i="14"/>
  <c r="S4" i="14"/>
  <c r="S15" i="14" s="1"/>
  <c r="S8" i="14"/>
  <c r="S6" i="14"/>
  <c r="Q36" i="13"/>
  <c r="S99" i="25" l="1"/>
  <c r="R8" i="25"/>
  <c r="S89" i="25"/>
  <c r="S90" i="25"/>
  <c r="S102" i="25"/>
  <c r="S75" i="25"/>
  <c r="S88" i="25"/>
  <c r="S105" i="25"/>
  <c r="S72" i="25"/>
  <c r="S81" i="25"/>
  <c r="S77" i="25"/>
  <c r="S93" i="25"/>
  <c r="S6" i="25" s="1"/>
  <c r="S73" i="25"/>
  <c r="S70" i="25"/>
  <c r="S82" i="25"/>
  <c r="S85" i="25"/>
  <c r="S78" i="25"/>
  <c r="S96" i="25"/>
  <c r="S107" i="25"/>
  <c r="S80" i="25"/>
  <c r="S76" i="25"/>
  <c r="S106" i="25"/>
  <c r="S79" i="25"/>
  <c r="S84" i="25"/>
  <c r="S95" i="25"/>
  <c r="S100" i="25"/>
  <c r="S97" i="25"/>
  <c r="X50" i="25"/>
  <c r="X45" i="25"/>
  <c r="X31" i="25"/>
  <c r="X34" i="25"/>
  <c r="X42" i="25"/>
  <c r="X56" i="25"/>
  <c r="X60" i="25"/>
  <c r="X64" i="25"/>
  <c r="X46" i="25"/>
  <c r="X27" i="25"/>
  <c r="AC2" i="25"/>
  <c r="X49" i="25"/>
  <c r="X54" i="25"/>
  <c r="X58" i="25"/>
  <c r="X37" i="25"/>
  <c r="X30" i="25"/>
  <c r="X55" i="25"/>
  <c r="X63" i="25"/>
  <c r="Y2" i="25"/>
  <c r="X51" i="25"/>
  <c r="X47" i="25"/>
  <c r="X35" i="25"/>
  <c r="X38" i="25"/>
  <c r="X28" i="25"/>
  <c r="X57" i="25"/>
  <c r="X61" i="25"/>
  <c r="X65" i="25"/>
  <c r="X29" i="25"/>
  <c r="X36" i="25"/>
  <c r="X52" i="25"/>
  <c r="X39" i="25"/>
  <c r="X48" i="25"/>
  <c r="X62" i="25"/>
  <c r="X32" i="25"/>
  <c r="X33" i="25"/>
  <c r="X59" i="25"/>
  <c r="X102" i="25" s="1"/>
  <c r="X41" i="25"/>
  <c r="X40" i="25"/>
  <c r="X44" i="25"/>
  <c r="X53" i="25"/>
  <c r="X26" i="25"/>
  <c r="X69" i="25" s="1"/>
  <c r="S103" i="25"/>
  <c r="S98" i="25"/>
  <c r="S74" i="25"/>
  <c r="S71" i="25"/>
  <c r="S101" i="25"/>
  <c r="S4" i="25"/>
  <c r="S5" i="25" s="1"/>
  <c r="S87" i="25"/>
  <c r="S92" i="25"/>
  <c r="S108" i="25"/>
  <c r="S94" i="25"/>
  <c r="T44" i="25"/>
  <c r="T47" i="25"/>
  <c r="T51" i="25"/>
  <c r="T31" i="25"/>
  <c r="T55" i="25"/>
  <c r="T59" i="25"/>
  <c r="T63" i="25"/>
  <c r="T34" i="25"/>
  <c r="T37" i="25"/>
  <c r="T33" i="25"/>
  <c r="T26" i="25"/>
  <c r="T69" i="25" s="1"/>
  <c r="U2" i="25"/>
  <c r="T28" i="25"/>
  <c r="T48" i="25"/>
  <c r="T52" i="25"/>
  <c r="T35" i="25"/>
  <c r="T56" i="25"/>
  <c r="T60" i="25"/>
  <c r="T64" i="25"/>
  <c r="T38" i="25"/>
  <c r="T42" i="25"/>
  <c r="T40" i="25"/>
  <c r="T57" i="25"/>
  <c r="T61" i="25"/>
  <c r="T65" i="25"/>
  <c r="T36" i="25"/>
  <c r="T32" i="25"/>
  <c r="T45" i="25"/>
  <c r="T49" i="25"/>
  <c r="T53" i="25"/>
  <c r="T39" i="25"/>
  <c r="T46" i="25"/>
  <c r="T50" i="25"/>
  <c r="T27" i="25"/>
  <c r="T54" i="25"/>
  <c r="T58" i="25"/>
  <c r="T62" i="25"/>
  <c r="T30" i="25"/>
  <c r="T29" i="25"/>
  <c r="T41" i="25"/>
  <c r="S83" i="25"/>
  <c r="S104" i="25"/>
  <c r="S91" i="25"/>
  <c r="D40" i="10"/>
  <c r="G40" i="10" s="1"/>
  <c r="R7" i="13"/>
  <c r="Q53" i="13"/>
  <c r="Q27" i="13"/>
  <c r="S19" i="14"/>
  <c r="S16" i="14"/>
  <c r="S22" i="14"/>
  <c r="R45" i="13"/>
  <c r="R33" i="13"/>
  <c r="S21" i="14"/>
  <c r="S18" i="14"/>
  <c r="R19" i="13"/>
  <c r="R10" i="13"/>
  <c r="T5" i="13"/>
  <c r="E61" i="10" s="1"/>
  <c r="S49" i="13"/>
  <c r="S44" i="13"/>
  <c r="S40" i="13"/>
  <c r="S35" i="13"/>
  <c r="S43" i="13"/>
  <c r="S39" i="13"/>
  <c r="S50" i="13"/>
  <c r="S46" i="13"/>
  <c r="S41" i="13"/>
  <c r="S37" i="13"/>
  <c r="S51" i="13"/>
  <c r="S47" i="13"/>
  <c r="S42" i="13"/>
  <c r="S38" i="13"/>
  <c r="S52" i="13"/>
  <c r="S48" i="13"/>
  <c r="S34" i="13"/>
  <c r="J78" i="16"/>
  <c r="H80" i="16"/>
  <c r="I77" i="16"/>
  <c r="C46" i="10" s="1"/>
  <c r="J77" i="16"/>
  <c r="H77" i="16"/>
  <c r="S22" i="13"/>
  <c r="J82" i="16"/>
  <c r="S11" i="13"/>
  <c r="J79" i="16"/>
  <c r="S26" i="13"/>
  <c r="S8" i="13"/>
  <c r="J83" i="16"/>
  <c r="H82" i="16"/>
  <c r="S16" i="13"/>
  <c r="S17" i="13"/>
  <c r="I84" i="16"/>
  <c r="J80" i="16"/>
  <c r="I78" i="16"/>
  <c r="I79" i="16"/>
  <c r="C48" i="10" s="1"/>
  <c r="K84" i="16"/>
  <c r="S25" i="13"/>
  <c r="K82" i="16"/>
  <c r="S9" i="13"/>
  <c r="K80" i="16"/>
  <c r="S12" i="13"/>
  <c r="S14" i="13"/>
  <c r="I80" i="16"/>
  <c r="S18" i="13"/>
  <c r="S24" i="13"/>
  <c r="H78" i="16"/>
  <c r="H83" i="16"/>
  <c r="H84" i="16"/>
  <c r="S20" i="13"/>
  <c r="K83" i="16"/>
  <c r="K78" i="16"/>
  <c r="S13" i="13"/>
  <c r="K77" i="16"/>
  <c r="E46" i="10" s="1"/>
  <c r="S15" i="13"/>
  <c r="S21" i="13"/>
  <c r="H79" i="16"/>
  <c r="J84" i="16"/>
  <c r="I82" i="16"/>
  <c r="I83" i="16"/>
  <c r="S23" i="13"/>
  <c r="S17" i="14"/>
  <c r="S20" i="14"/>
  <c r="U2" i="14"/>
  <c r="T7" i="14"/>
  <c r="T11" i="14"/>
  <c r="T4" i="14"/>
  <c r="T15" i="14" s="1"/>
  <c r="T8" i="14"/>
  <c r="T5" i="14"/>
  <c r="T10" i="14"/>
  <c r="T9" i="14"/>
  <c r="T6" i="14"/>
  <c r="R36" i="13"/>
  <c r="T89" i="25" l="1"/>
  <c r="J17" i="25"/>
  <c r="J16" i="25"/>
  <c r="X105" i="25"/>
  <c r="J13" i="25"/>
  <c r="AL34" i="13"/>
  <c r="T105" i="25"/>
  <c r="X96" i="25"/>
  <c r="T93" i="25"/>
  <c r="T6" i="25" s="1"/>
  <c r="T82" i="25"/>
  <c r="X94" i="25"/>
  <c r="J18" i="25"/>
  <c r="T72" i="25"/>
  <c r="T75" i="25"/>
  <c r="T91" i="25"/>
  <c r="T88" i="25"/>
  <c r="T96" i="25"/>
  <c r="T103" i="25"/>
  <c r="T90" i="25"/>
  <c r="X100" i="25"/>
  <c r="X98" i="25"/>
  <c r="X97" i="25"/>
  <c r="T97" i="25"/>
  <c r="T101" i="25"/>
  <c r="T7" i="25" s="1"/>
  <c r="T100" i="25"/>
  <c r="T107" i="25"/>
  <c r="J14" i="25"/>
  <c r="X108" i="25"/>
  <c r="T84" i="25"/>
  <c r="X95" i="25"/>
  <c r="X104" i="25"/>
  <c r="X106" i="25"/>
  <c r="X101" i="25"/>
  <c r="X7" i="25" s="1"/>
  <c r="T104" i="25"/>
  <c r="T81" i="25"/>
  <c r="T78" i="25"/>
  <c r="T77" i="25"/>
  <c r="T74" i="25"/>
  <c r="X76" i="25"/>
  <c r="X82" i="25"/>
  <c r="X81" i="25"/>
  <c r="X80" i="25"/>
  <c r="X103" i="25"/>
  <c r="X74" i="25"/>
  <c r="T95" i="25"/>
  <c r="T106" i="25"/>
  <c r="T94" i="25"/>
  <c r="X83" i="25"/>
  <c r="X75" i="25"/>
  <c r="X99" i="25"/>
  <c r="X4" i="25"/>
  <c r="X5" i="25" s="1"/>
  <c r="X87" i="25"/>
  <c r="X92" i="25"/>
  <c r="X78" i="25"/>
  <c r="X70" i="25"/>
  <c r="X88" i="25"/>
  <c r="U44" i="25"/>
  <c r="U45" i="25"/>
  <c r="U49" i="25"/>
  <c r="U53" i="25"/>
  <c r="U57" i="25"/>
  <c r="U61" i="25"/>
  <c r="U65" i="25"/>
  <c r="U27" i="25"/>
  <c r="U38" i="25"/>
  <c r="U29" i="25"/>
  <c r="U46" i="25"/>
  <c r="U50" i="25"/>
  <c r="U54" i="25"/>
  <c r="U58" i="25"/>
  <c r="U62" i="25"/>
  <c r="U28" i="25"/>
  <c r="U31" i="25"/>
  <c r="U41" i="25"/>
  <c r="U37" i="25"/>
  <c r="U33" i="25"/>
  <c r="V2" i="25"/>
  <c r="U56" i="25"/>
  <c r="U64" i="25"/>
  <c r="U26" i="25"/>
  <c r="U69" i="25" s="1"/>
  <c r="Z2" i="25"/>
  <c r="U47" i="25"/>
  <c r="U51" i="25"/>
  <c r="U55" i="25"/>
  <c r="U59" i="25"/>
  <c r="U63" i="25"/>
  <c r="U32" i="25"/>
  <c r="U35" i="25"/>
  <c r="U40" i="25"/>
  <c r="U42" i="25"/>
  <c r="U48" i="25"/>
  <c r="U52" i="25"/>
  <c r="U60" i="25"/>
  <c r="U36" i="25"/>
  <c r="U30" i="25"/>
  <c r="U34" i="25"/>
  <c r="U39" i="25"/>
  <c r="Y44" i="25"/>
  <c r="Y53" i="25"/>
  <c r="Y57" i="25"/>
  <c r="Y61" i="25"/>
  <c r="Y65" i="25"/>
  <c r="Y36" i="25"/>
  <c r="Y26" i="25"/>
  <c r="Y69" i="25" s="1"/>
  <c r="Y46" i="25"/>
  <c r="Y39" i="25"/>
  <c r="Y50" i="25"/>
  <c r="Y54" i="25"/>
  <c r="Y58" i="25"/>
  <c r="Y62" i="25"/>
  <c r="Y27" i="25"/>
  <c r="Y45" i="25"/>
  <c r="Y31" i="25"/>
  <c r="Y29" i="25"/>
  <c r="Y42" i="25"/>
  <c r="Y37" i="25"/>
  <c r="Y51" i="25"/>
  <c r="Y55" i="25"/>
  <c r="Y59" i="25"/>
  <c r="Y63" i="25"/>
  <c r="Y28" i="25"/>
  <c r="Y47" i="25"/>
  <c r="Y90" i="25" s="1"/>
  <c r="Y35" i="25"/>
  <c r="Y48" i="25"/>
  <c r="Y30" i="25"/>
  <c r="Y40" i="25"/>
  <c r="AD2" i="25"/>
  <c r="Y52" i="25"/>
  <c r="Y56" i="25"/>
  <c r="Y60" i="25"/>
  <c r="Y64" i="25"/>
  <c r="Y32" i="25"/>
  <c r="Y49" i="25"/>
  <c r="Y34" i="25"/>
  <c r="Y33" i="25"/>
  <c r="Y38" i="25"/>
  <c r="Y41" i="25"/>
  <c r="AC52" i="25"/>
  <c r="AC47" i="25"/>
  <c r="AC55" i="25"/>
  <c r="AC59" i="25"/>
  <c r="AC63" i="25"/>
  <c r="AC32" i="25"/>
  <c r="AC30" i="25"/>
  <c r="AC33" i="25"/>
  <c r="AC37" i="25"/>
  <c r="AC44" i="25"/>
  <c r="AC53" i="25"/>
  <c r="AC48" i="25"/>
  <c r="AC56" i="25"/>
  <c r="AC60" i="25"/>
  <c r="AC64" i="25"/>
  <c r="AC36" i="25"/>
  <c r="AC38" i="25"/>
  <c r="AC40" i="25"/>
  <c r="AC42" i="25"/>
  <c r="AC50" i="25"/>
  <c r="AC45" i="25"/>
  <c r="AC49" i="25"/>
  <c r="AC57" i="25"/>
  <c r="AC61" i="25"/>
  <c r="AC65" i="25"/>
  <c r="AC31" i="25"/>
  <c r="AC39" i="25"/>
  <c r="AC27" i="25"/>
  <c r="AC34" i="25"/>
  <c r="AH2" i="25"/>
  <c r="AC51" i="25"/>
  <c r="AC46" i="25"/>
  <c r="AC54" i="25"/>
  <c r="AC58" i="25"/>
  <c r="AC101" i="25" s="1"/>
  <c r="AC7" i="25" s="1"/>
  <c r="AC62" i="25"/>
  <c r="AC28" i="25"/>
  <c r="AC35" i="25"/>
  <c r="AC41" i="25"/>
  <c r="AC29" i="25"/>
  <c r="AC26" i="25"/>
  <c r="AC69" i="25" s="1"/>
  <c r="T73" i="25"/>
  <c r="T70" i="25"/>
  <c r="T79" i="25"/>
  <c r="T83" i="25"/>
  <c r="T76" i="25"/>
  <c r="T102" i="25"/>
  <c r="J15" i="25"/>
  <c r="S7" i="25"/>
  <c r="S8" i="25" s="1"/>
  <c r="X84" i="25"/>
  <c r="X79" i="25"/>
  <c r="X90" i="25"/>
  <c r="X89" i="25"/>
  <c r="X85" i="25"/>
  <c r="X93" i="25"/>
  <c r="X6" i="25" s="1"/>
  <c r="T108" i="25"/>
  <c r="T85" i="25"/>
  <c r="T99" i="25"/>
  <c r="T71" i="25"/>
  <c r="T80" i="25"/>
  <c r="T98" i="25"/>
  <c r="T4" i="25"/>
  <c r="T5" i="25" s="1"/>
  <c r="T87" i="25"/>
  <c r="T92" i="25"/>
  <c r="X91" i="25"/>
  <c r="X72" i="25"/>
  <c r="X71" i="25"/>
  <c r="X73" i="25"/>
  <c r="X107" i="25"/>
  <c r="X77" i="25"/>
  <c r="T20" i="14"/>
  <c r="AA17" i="14"/>
  <c r="I81" i="16"/>
  <c r="L79" i="16"/>
  <c r="S33" i="13"/>
  <c r="AG33" i="13" s="1"/>
  <c r="T21" i="14"/>
  <c r="T22" i="14"/>
  <c r="T16" i="14"/>
  <c r="T18" i="14"/>
  <c r="L84" i="16"/>
  <c r="R27" i="13"/>
  <c r="T17" i="14"/>
  <c r="AA19" i="14"/>
  <c r="H76" i="16"/>
  <c r="L77" i="16"/>
  <c r="S36" i="13"/>
  <c r="AB33" i="13" s="1"/>
  <c r="R53" i="13"/>
  <c r="T19" i="14"/>
  <c r="V2" i="14"/>
  <c r="U7" i="14"/>
  <c r="U11" i="14"/>
  <c r="U6" i="14"/>
  <c r="U4" i="14"/>
  <c r="U15" i="14" s="1"/>
  <c r="U8" i="14"/>
  <c r="U5" i="14"/>
  <c r="U9" i="14"/>
  <c r="U10" i="14"/>
  <c r="S10" i="13"/>
  <c r="J76" i="16"/>
  <c r="AA18" i="14"/>
  <c r="H81" i="16"/>
  <c r="L82" i="16"/>
  <c r="L83" i="16"/>
  <c r="S7" i="13"/>
  <c r="J81" i="16"/>
  <c r="I76" i="16"/>
  <c r="AL33" i="13"/>
  <c r="S45" i="13"/>
  <c r="U5" i="13"/>
  <c r="T44" i="13"/>
  <c r="T46" i="13"/>
  <c r="T42" i="13"/>
  <c r="T43" i="13"/>
  <c r="J97" i="16"/>
  <c r="I90" i="16"/>
  <c r="C59" i="10" s="1"/>
  <c r="J91" i="16"/>
  <c r="K93" i="16"/>
  <c r="I96" i="16"/>
  <c r="T17" i="13"/>
  <c r="H91" i="16"/>
  <c r="H90" i="16"/>
  <c r="T12" i="13"/>
  <c r="H96" i="16"/>
  <c r="T18" i="13"/>
  <c r="T15" i="13"/>
  <c r="T35" i="13"/>
  <c r="T47" i="13"/>
  <c r="I97" i="16"/>
  <c r="K91" i="16"/>
  <c r="H95" i="16"/>
  <c r="H93" i="16"/>
  <c r="H92" i="16"/>
  <c r="T13" i="13"/>
  <c r="T40" i="13"/>
  <c r="T41" i="13"/>
  <c r="T38" i="13"/>
  <c r="T52" i="13"/>
  <c r="J92" i="16"/>
  <c r="K97" i="16"/>
  <c r="K90" i="16"/>
  <c r="E59" i="10" s="1"/>
  <c r="J95" i="16"/>
  <c r="J90" i="16"/>
  <c r="T21" i="13"/>
  <c r="J96" i="16"/>
  <c r="T23" i="13"/>
  <c r="T11" i="13"/>
  <c r="T22" i="13"/>
  <c r="T25" i="13"/>
  <c r="T39" i="13"/>
  <c r="T14" i="13"/>
  <c r="T16" i="13"/>
  <c r="T34" i="13"/>
  <c r="T37" i="13"/>
  <c r="T51" i="13"/>
  <c r="T48" i="13"/>
  <c r="K95" i="16"/>
  <c r="I91" i="16"/>
  <c r="I95" i="16"/>
  <c r="I93" i="16"/>
  <c r="I92" i="16"/>
  <c r="C61" i="10" s="1"/>
  <c r="T20" i="13"/>
  <c r="H97" i="16"/>
  <c r="T26" i="13"/>
  <c r="J93" i="16"/>
  <c r="T24" i="13"/>
  <c r="T9" i="13"/>
  <c r="T49" i="13"/>
  <c r="T50" i="13"/>
  <c r="K96" i="16"/>
  <c r="T8" i="13"/>
  <c r="E45" i="10"/>
  <c r="E53" i="10" s="1"/>
  <c r="K76" i="16"/>
  <c r="S19" i="13"/>
  <c r="L78" i="16"/>
  <c r="K81" i="16"/>
  <c r="L80" i="16"/>
  <c r="AL35" i="13" l="1"/>
  <c r="Y80" i="25"/>
  <c r="T8" i="25"/>
  <c r="J102" i="16"/>
  <c r="U98" i="25"/>
  <c r="J19" i="25"/>
  <c r="X8" i="25"/>
  <c r="U105" i="25"/>
  <c r="U106" i="25"/>
  <c r="U95" i="25"/>
  <c r="U94" i="25"/>
  <c r="Y85" i="25"/>
  <c r="U107" i="25"/>
  <c r="Y83" i="25"/>
  <c r="U108" i="25"/>
  <c r="Y81" i="25"/>
  <c r="U78" i="25"/>
  <c r="Y76" i="25"/>
  <c r="Y78" i="25"/>
  <c r="Y70" i="25"/>
  <c r="U75" i="25"/>
  <c r="Y77" i="25"/>
  <c r="Y75" i="25"/>
  <c r="U77" i="25"/>
  <c r="U73" i="25"/>
  <c r="Y91" i="25"/>
  <c r="U93" i="25"/>
  <c r="U6" i="25" s="1"/>
  <c r="Y72" i="25"/>
  <c r="U79" i="25"/>
  <c r="U85" i="25"/>
  <c r="U99" i="25"/>
  <c r="U101" i="25"/>
  <c r="U7" i="25" s="1"/>
  <c r="AC89" i="25"/>
  <c r="Y84" i="25"/>
  <c r="Y73" i="25"/>
  <c r="Y71" i="25"/>
  <c r="U82" i="25"/>
  <c r="U103" i="25"/>
  <c r="U102" i="25"/>
  <c r="U97" i="25"/>
  <c r="U100" i="25"/>
  <c r="AC104" i="25"/>
  <c r="AC93" i="25"/>
  <c r="AC6" i="25" s="1"/>
  <c r="AC8" i="25" s="1"/>
  <c r="AC91" i="25"/>
  <c r="Y74" i="25"/>
  <c r="U83" i="25"/>
  <c r="U74" i="25"/>
  <c r="U81" i="25"/>
  <c r="Y88" i="25"/>
  <c r="Y79" i="25"/>
  <c r="AC71" i="25"/>
  <c r="AC102" i="25"/>
  <c r="Y89" i="25"/>
  <c r="AC70" i="25"/>
  <c r="AC79" i="25"/>
  <c r="AC76" i="25"/>
  <c r="Y94" i="25"/>
  <c r="Y101" i="25"/>
  <c r="Y7" i="25" s="1"/>
  <c r="Y104" i="25"/>
  <c r="Z45" i="25"/>
  <c r="Z49" i="25"/>
  <c r="Z52" i="25"/>
  <c r="Z56" i="25"/>
  <c r="Z60" i="25"/>
  <c r="Z64" i="25"/>
  <c r="Z37" i="25"/>
  <c r="Z36" i="25"/>
  <c r="Z30" i="25"/>
  <c r="Z42" i="25"/>
  <c r="AA2" i="25"/>
  <c r="Z34" i="25"/>
  <c r="AE2" i="25"/>
  <c r="Z50" i="25"/>
  <c r="Z93" i="25" s="1"/>
  <c r="Z6" i="25" s="1"/>
  <c r="Z46" i="25"/>
  <c r="Z26" i="25"/>
  <c r="Z69" i="25" s="1"/>
  <c r="Z53" i="25"/>
  <c r="Z57" i="25"/>
  <c r="Z61" i="25"/>
  <c r="Z65" i="25"/>
  <c r="Z27" i="25"/>
  <c r="Z44" i="25"/>
  <c r="Z38" i="25"/>
  <c r="Z47" i="25"/>
  <c r="Z48" i="25"/>
  <c r="Z51" i="25"/>
  <c r="Z55" i="25"/>
  <c r="Z59" i="25"/>
  <c r="Z63" i="25"/>
  <c r="Z33" i="25"/>
  <c r="Z32" i="25"/>
  <c r="Z40" i="25"/>
  <c r="Z39" i="25"/>
  <c r="Z54" i="25"/>
  <c r="Z28" i="25"/>
  <c r="Z35" i="25"/>
  <c r="Z58" i="25"/>
  <c r="Z62" i="25"/>
  <c r="Z105" i="25" s="1"/>
  <c r="Z31" i="25"/>
  <c r="Z29" i="25"/>
  <c r="Z41" i="25"/>
  <c r="V48" i="25"/>
  <c r="V54" i="25"/>
  <c r="V58" i="25"/>
  <c r="V62" i="25"/>
  <c r="V50" i="25"/>
  <c r="V29" i="25"/>
  <c r="V32" i="25"/>
  <c r="V42" i="25"/>
  <c r="V27" i="25"/>
  <c r="V45" i="25"/>
  <c r="V49" i="25"/>
  <c r="V55" i="25"/>
  <c r="V59" i="25"/>
  <c r="V63" i="25"/>
  <c r="V51" i="25"/>
  <c r="V33" i="25"/>
  <c r="V36" i="25"/>
  <c r="V41" i="25"/>
  <c r="V35" i="25"/>
  <c r="V46" i="25"/>
  <c r="V26" i="25"/>
  <c r="V69" i="25" s="1"/>
  <c r="V56" i="25"/>
  <c r="V60" i="25"/>
  <c r="V64" i="25"/>
  <c r="V52" i="25"/>
  <c r="V37" i="25"/>
  <c r="V31" i="25"/>
  <c r="V30" i="25"/>
  <c r="V34" i="25"/>
  <c r="V47" i="25"/>
  <c r="V44" i="25"/>
  <c r="V57" i="25"/>
  <c r="V61" i="25"/>
  <c r="V65" i="25"/>
  <c r="V53" i="25"/>
  <c r="V28" i="25"/>
  <c r="V40" i="25"/>
  <c r="V38" i="25"/>
  <c r="V39" i="25"/>
  <c r="W2" i="25"/>
  <c r="AC72" i="25"/>
  <c r="AC105" i="25"/>
  <c r="AC94" i="25"/>
  <c r="AC82" i="25"/>
  <c r="AC100" i="25"/>
  <c r="AC85" i="25"/>
  <c r="AC107" i="25"/>
  <c r="AC96" i="25"/>
  <c r="AC73" i="25"/>
  <c r="AC98" i="25"/>
  <c r="Y95" i="25"/>
  <c r="Y106" i="25"/>
  <c r="Y97" i="25"/>
  <c r="Y100" i="25"/>
  <c r="U76" i="25"/>
  <c r="U71" i="25"/>
  <c r="U70" i="25"/>
  <c r="U96" i="25"/>
  <c r="AC84" i="25"/>
  <c r="AH55" i="25"/>
  <c r="AH59" i="25"/>
  <c r="AH63" i="25"/>
  <c r="AH48" i="25"/>
  <c r="AH50" i="25"/>
  <c r="AH28" i="25"/>
  <c r="AH35" i="25"/>
  <c r="AH49" i="25"/>
  <c r="AH31" i="25"/>
  <c r="AH30" i="25"/>
  <c r="AH44" i="25"/>
  <c r="AH56" i="25"/>
  <c r="AH60" i="25"/>
  <c r="AH64" i="25"/>
  <c r="AH29" i="25"/>
  <c r="AH51" i="25"/>
  <c r="AH32" i="25"/>
  <c r="AH40" i="25"/>
  <c r="AH34" i="25"/>
  <c r="AH42" i="25"/>
  <c r="AH26" i="25"/>
  <c r="AH69" i="25" s="1"/>
  <c r="AH57" i="25"/>
  <c r="AH61" i="25"/>
  <c r="AH65" i="25"/>
  <c r="AH33" i="25"/>
  <c r="AH52" i="25"/>
  <c r="AH36" i="25"/>
  <c r="AH27" i="25"/>
  <c r="AH54" i="25"/>
  <c r="AH58" i="25"/>
  <c r="AH62" i="25"/>
  <c r="AH46" i="25"/>
  <c r="AH37" i="25"/>
  <c r="AH53" i="25"/>
  <c r="AH45" i="25"/>
  <c r="AH88" i="25" s="1"/>
  <c r="AH38" i="25"/>
  <c r="AH47" i="25"/>
  <c r="AH41" i="25"/>
  <c r="AH39" i="25"/>
  <c r="AM2" i="25"/>
  <c r="AC74" i="25"/>
  <c r="AC83" i="25"/>
  <c r="AC103" i="25"/>
  <c r="AC4" i="25"/>
  <c r="AC5" i="25" s="1"/>
  <c r="AC87" i="25"/>
  <c r="AC92" i="25"/>
  <c r="AC75" i="25"/>
  <c r="AC90" i="25"/>
  <c r="Y107" i="25"/>
  <c r="AD44" i="25"/>
  <c r="AD53" i="25"/>
  <c r="AD47" i="25"/>
  <c r="AD55" i="25"/>
  <c r="AD59" i="25"/>
  <c r="AD63" i="25"/>
  <c r="AD29" i="25"/>
  <c r="AD32" i="25"/>
  <c r="AD42" i="25"/>
  <c r="AD38" i="25"/>
  <c r="AI2" i="25"/>
  <c r="AD50" i="25"/>
  <c r="AD26" i="25"/>
  <c r="AD69" i="25" s="1"/>
  <c r="AD48" i="25"/>
  <c r="AD56" i="25"/>
  <c r="AD60" i="25"/>
  <c r="AD64" i="25"/>
  <c r="AD33" i="25"/>
  <c r="AD36" i="25"/>
  <c r="AD34" i="25"/>
  <c r="AD39" i="25"/>
  <c r="AD51" i="25"/>
  <c r="AD45" i="25"/>
  <c r="AD49" i="25"/>
  <c r="AD57" i="25"/>
  <c r="AD61" i="25"/>
  <c r="AD65" i="25"/>
  <c r="AD37" i="25"/>
  <c r="AD31" i="25"/>
  <c r="AD41" i="25"/>
  <c r="AD35" i="25"/>
  <c r="AD52" i="25"/>
  <c r="AD46" i="25"/>
  <c r="AD54" i="25"/>
  <c r="AD58" i="25"/>
  <c r="AD62" i="25"/>
  <c r="AD27" i="25"/>
  <c r="AD28" i="25"/>
  <c r="AD40" i="25"/>
  <c r="AD30" i="25"/>
  <c r="Y102" i="25"/>
  <c r="Y93" i="25"/>
  <c r="Y6" i="25" s="1"/>
  <c r="Y8" i="25" s="1"/>
  <c r="Y96" i="25"/>
  <c r="U91" i="25"/>
  <c r="U80" i="25"/>
  <c r="U89" i="25"/>
  <c r="Y99" i="25"/>
  <c r="U4" i="25"/>
  <c r="U5" i="25" s="1"/>
  <c r="U92" i="25"/>
  <c r="U87" i="25"/>
  <c r="AC78" i="25"/>
  <c r="AC97" i="25"/>
  <c r="AC77" i="25"/>
  <c r="AC108" i="25"/>
  <c r="AC88" i="25"/>
  <c r="AC81" i="25"/>
  <c r="AC99" i="25"/>
  <c r="AC80" i="25"/>
  <c r="AC106" i="25"/>
  <c r="AC95" i="25"/>
  <c r="Y103" i="25"/>
  <c r="Y98" i="25"/>
  <c r="Y105" i="25"/>
  <c r="Y82" i="25"/>
  <c r="Y108" i="25"/>
  <c r="Y4" i="25"/>
  <c r="Y5" i="25" s="1"/>
  <c r="Y92" i="25"/>
  <c r="Y87" i="25"/>
  <c r="U90" i="25"/>
  <c r="U84" i="25"/>
  <c r="U72" i="25"/>
  <c r="U104" i="25"/>
  <c r="U88" i="25"/>
  <c r="I85" i="16"/>
  <c r="AA20" i="14"/>
  <c r="AG34" i="13"/>
  <c r="AG35" i="13" s="1"/>
  <c r="U21" i="14"/>
  <c r="AB35" i="13"/>
  <c r="S27" i="13"/>
  <c r="AB8" i="13" s="1"/>
  <c r="AB37" i="13"/>
  <c r="S53" i="13"/>
  <c r="AB36" i="13"/>
  <c r="U16" i="14"/>
  <c r="U19" i="14"/>
  <c r="U20" i="14"/>
  <c r="T7" i="13"/>
  <c r="U22" i="14"/>
  <c r="U18" i="14"/>
  <c r="AB38" i="13"/>
  <c r="U17" i="14"/>
  <c r="K85" i="16"/>
  <c r="T33" i="13"/>
  <c r="AB34" i="13"/>
  <c r="L97" i="16"/>
  <c r="I94" i="16"/>
  <c r="L93" i="16"/>
  <c r="L96" i="16"/>
  <c r="L81" i="16"/>
  <c r="T19" i="13"/>
  <c r="T36" i="13"/>
  <c r="T10" i="13"/>
  <c r="J89" i="16"/>
  <c r="H94" i="16"/>
  <c r="L95" i="16"/>
  <c r="H85" i="16"/>
  <c r="L76" i="16"/>
  <c r="K94" i="16"/>
  <c r="J94" i="16"/>
  <c r="L90" i="16"/>
  <c r="H89" i="16"/>
  <c r="V5" i="13"/>
  <c r="U50" i="13"/>
  <c r="U46" i="13"/>
  <c r="U41" i="13"/>
  <c r="U37" i="13"/>
  <c r="U35" i="13"/>
  <c r="U51" i="13"/>
  <c r="U47" i="13"/>
  <c r="U42" i="13"/>
  <c r="U38" i="13"/>
  <c r="U49" i="13"/>
  <c r="U44" i="13"/>
  <c r="U40" i="13"/>
  <c r="U52" i="13"/>
  <c r="U48" i="13"/>
  <c r="U43" i="13"/>
  <c r="U39" i="13"/>
  <c r="U34" i="13"/>
  <c r="U8" i="13"/>
  <c r="U11" i="13"/>
  <c r="U13" i="13"/>
  <c r="U15" i="13"/>
  <c r="U17" i="13"/>
  <c r="U20" i="13"/>
  <c r="U22" i="13"/>
  <c r="U24" i="13"/>
  <c r="U26" i="13"/>
  <c r="U9" i="13"/>
  <c r="U12" i="13"/>
  <c r="U14" i="13"/>
  <c r="U16" i="13"/>
  <c r="U18" i="13"/>
  <c r="U21" i="13"/>
  <c r="U23" i="13"/>
  <c r="U25" i="13"/>
  <c r="W2" i="14"/>
  <c r="V4" i="14"/>
  <c r="V15" i="14" s="1"/>
  <c r="V8" i="14"/>
  <c r="V7" i="14"/>
  <c r="V5" i="14"/>
  <c r="V9" i="14"/>
  <c r="V11" i="14"/>
  <c r="V6" i="14"/>
  <c r="V10" i="14"/>
  <c r="C58" i="10"/>
  <c r="C66" i="10" s="1"/>
  <c r="I89" i="16"/>
  <c r="T45" i="13"/>
  <c r="E58" i="10"/>
  <c r="E66" i="10" s="1"/>
  <c r="K89" i="16"/>
  <c r="L92" i="16"/>
  <c r="L91" i="16"/>
  <c r="C45" i="10"/>
  <c r="J85" i="16"/>
  <c r="AH96" i="25" l="1"/>
  <c r="AH100" i="25"/>
  <c r="K107" i="16"/>
  <c r="L105" i="16"/>
  <c r="L109" i="16"/>
  <c r="L106" i="16"/>
  <c r="L108" i="16"/>
  <c r="H107" i="16"/>
  <c r="L110" i="16"/>
  <c r="L103" i="16"/>
  <c r="H102" i="16"/>
  <c r="J107" i="16"/>
  <c r="J111" i="16" s="1"/>
  <c r="I102" i="16"/>
  <c r="K102" i="16"/>
  <c r="L104" i="16"/>
  <c r="I107" i="16"/>
  <c r="AH80" i="25"/>
  <c r="K98" i="16"/>
  <c r="U33" i="13"/>
  <c r="Z98" i="25"/>
  <c r="AH101" i="25"/>
  <c r="AH7" i="25" s="1"/>
  <c r="AH108" i="25"/>
  <c r="AH99" i="25"/>
  <c r="AD105" i="25"/>
  <c r="AH76" i="25"/>
  <c r="AD70" i="25"/>
  <c r="V96" i="25"/>
  <c r="AD89" i="25"/>
  <c r="AD82" i="25"/>
  <c r="AD74" i="25"/>
  <c r="Z72" i="25"/>
  <c r="AD95" i="25"/>
  <c r="V100" i="25"/>
  <c r="Z78" i="25"/>
  <c r="V108" i="25"/>
  <c r="Z74" i="25"/>
  <c r="AH105" i="25"/>
  <c r="Z71" i="25"/>
  <c r="Z81" i="25"/>
  <c r="Z94" i="25"/>
  <c r="V77" i="25"/>
  <c r="Z97" i="25"/>
  <c r="Z82" i="25"/>
  <c r="V103" i="25"/>
  <c r="V104" i="25"/>
  <c r="AH94" i="25"/>
  <c r="V94" i="25"/>
  <c r="Z83" i="25"/>
  <c r="Z75" i="25"/>
  <c r="Z104" i="25"/>
  <c r="AH95" i="25"/>
  <c r="V83" i="25"/>
  <c r="V95" i="25"/>
  <c r="V102" i="25"/>
  <c r="Z76" i="25"/>
  <c r="Z100" i="25"/>
  <c r="Z107" i="25"/>
  <c r="Z84" i="25"/>
  <c r="U8" i="25"/>
  <c r="AD100" i="25"/>
  <c r="AH84" i="25"/>
  <c r="AD71" i="25"/>
  <c r="AH82" i="25"/>
  <c r="AD101" i="25"/>
  <c r="AD7" i="25" s="1"/>
  <c r="AH81" i="25"/>
  <c r="AH90" i="25"/>
  <c r="AH97" i="25"/>
  <c r="V107" i="25"/>
  <c r="Z101" i="25"/>
  <c r="Z7" i="25" s="1"/>
  <c r="Z8" i="25" s="1"/>
  <c r="AH89" i="25"/>
  <c r="Z102" i="25"/>
  <c r="AD73" i="25"/>
  <c r="AD80" i="25"/>
  <c r="V71" i="25"/>
  <c r="Z106" i="25"/>
  <c r="Z96" i="25"/>
  <c r="Z103" i="25"/>
  <c r="AD83" i="25"/>
  <c r="AD78" i="25"/>
  <c r="AD88" i="25"/>
  <c r="AD90" i="25"/>
  <c r="AH91" i="25"/>
  <c r="V82" i="25"/>
  <c r="Z108" i="25"/>
  <c r="D52" i="10"/>
  <c r="G52" i="10" s="1"/>
  <c r="D46" i="10"/>
  <c r="D49" i="10"/>
  <c r="G49" i="10" s="1"/>
  <c r="M10" i="10" s="1"/>
  <c r="D51" i="10"/>
  <c r="D48" i="10"/>
  <c r="D47" i="10"/>
  <c r="G47" i="10" s="1"/>
  <c r="V74" i="25"/>
  <c r="Z90" i="25"/>
  <c r="Z99" i="25"/>
  <c r="AD97" i="25"/>
  <c r="AD84" i="25"/>
  <c r="AD104" i="25"/>
  <c r="AD94" i="25"/>
  <c r="AD76" i="25"/>
  <c r="AD91" i="25"/>
  <c r="AD81" i="25"/>
  <c r="AD106" i="25"/>
  <c r="AD96" i="25"/>
  <c r="AH104" i="25"/>
  <c r="V81" i="25"/>
  <c r="V99" i="25"/>
  <c r="Z95" i="25"/>
  <c r="AD77" i="25"/>
  <c r="AH103" i="25"/>
  <c r="AH93" i="25"/>
  <c r="AH6" i="25" s="1"/>
  <c r="V73" i="25"/>
  <c r="V98" i="25"/>
  <c r="Z91" i="25"/>
  <c r="Z70" i="25"/>
  <c r="AD107" i="25"/>
  <c r="AD85" i="25"/>
  <c r="AD102" i="25"/>
  <c r="AD4" i="25"/>
  <c r="AD5" i="25" s="1"/>
  <c r="AD92" i="25"/>
  <c r="AD87" i="25"/>
  <c r="AH83" i="25"/>
  <c r="AH107" i="25"/>
  <c r="AH73" i="25"/>
  <c r="AH71" i="25"/>
  <c r="AH102" i="25"/>
  <c r="V79" i="25"/>
  <c r="V70" i="25"/>
  <c r="V93" i="25"/>
  <c r="V6" i="25" s="1"/>
  <c r="V91" i="25"/>
  <c r="Z4" i="25"/>
  <c r="Z5" i="25" s="1"/>
  <c r="Z87" i="25"/>
  <c r="Z92" i="25"/>
  <c r="Z85" i="25"/>
  <c r="AD103" i="25"/>
  <c r="AD93" i="25"/>
  <c r="AD6" i="25" s="1"/>
  <c r="AD75" i="25"/>
  <c r="AD98" i="25"/>
  <c r="AH75" i="25"/>
  <c r="AH74" i="25"/>
  <c r="AH98" i="25"/>
  <c r="W46" i="25"/>
  <c r="W44" i="25"/>
  <c r="W34" i="25"/>
  <c r="W52" i="25"/>
  <c r="W37" i="25"/>
  <c r="W57" i="25"/>
  <c r="W61" i="25"/>
  <c r="W65" i="25"/>
  <c r="W42" i="25"/>
  <c r="W36" i="25"/>
  <c r="W47" i="25"/>
  <c r="W27" i="25"/>
  <c r="W38" i="25"/>
  <c r="W53" i="25"/>
  <c r="W54" i="25"/>
  <c r="W58" i="25"/>
  <c r="W62" i="25"/>
  <c r="W32" i="25"/>
  <c r="W31" i="25"/>
  <c r="W35" i="25"/>
  <c r="AB2" i="25"/>
  <c r="W45" i="25"/>
  <c r="W30" i="25"/>
  <c r="W33" i="25"/>
  <c r="W60" i="25"/>
  <c r="W41" i="25"/>
  <c r="W63" i="25"/>
  <c r="W48" i="25"/>
  <c r="W50" i="25"/>
  <c r="W55" i="25"/>
  <c r="W49" i="25"/>
  <c r="W51" i="25"/>
  <c r="W56" i="25"/>
  <c r="W64" i="25"/>
  <c r="W28" i="25"/>
  <c r="W26" i="25"/>
  <c r="W69" i="25" s="1"/>
  <c r="W29" i="25"/>
  <c r="W59" i="25"/>
  <c r="W39" i="25"/>
  <c r="W40" i="25"/>
  <c r="V89" i="25"/>
  <c r="V76" i="25"/>
  <c r="V85" i="25"/>
  <c r="V105" i="25"/>
  <c r="AE46" i="25"/>
  <c r="AE44" i="25"/>
  <c r="AE52" i="25"/>
  <c r="AE34" i="25"/>
  <c r="AE37" i="25"/>
  <c r="AE42" i="25"/>
  <c r="AE55" i="25"/>
  <c r="AE59" i="25"/>
  <c r="AE63" i="25"/>
  <c r="AE36" i="25"/>
  <c r="AE47" i="25"/>
  <c r="AE27" i="25"/>
  <c r="AE53" i="25"/>
  <c r="AE38" i="25"/>
  <c r="AE32" i="25"/>
  <c r="AE31" i="25"/>
  <c r="AE56" i="25"/>
  <c r="AE60" i="25"/>
  <c r="AE64" i="25"/>
  <c r="AE39" i="25"/>
  <c r="AE48" i="25"/>
  <c r="AE50" i="25"/>
  <c r="AE26" i="25"/>
  <c r="AE69" i="25" s="1"/>
  <c r="AE29" i="25"/>
  <c r="AE41" i="25"/>
  <c r="AE40" i="25"/>
  <c r="AE57" i="25"/>
  <c r="AE61" i="25"/>
  <c r="AE65" i="25"/>
  <c r="AE45" i="25"/>
  <c r="AE49" i="25"/>
  <c r="AE51" i="25"/>
  <c r="AE30" i="25"/>
  <c r="AE33" i="25"/>
  <c r="AE35" i="25"/>
  <c r="AE54" i="25"/>
  <c r="AE58" i="25"/>
  <c r="AE62" i="25"/>
  <c r="AE28" i="25"/>
  <c r="AJ2" i="25"/>
  <c r="Z73" i="25"/>
  <c r="Z88" i="25"/>
  <c r="AD108" i="25"/>
  <c r="AD79" i="25"/>
  <c r="AD99" i="25"/>
  <c r="AI48" i="25"/>
  <c r="AI51" i="25"/>
  <c r="AI26" i="25"/>
  <c r="AI69" i="25" s="1"/>
  <c r="AI57" i="25"/>
  <c r="AI61" i="25"/>
  <c r="AI65" i="25"/>
  <c r="AI29" i="25"/>
  <c r="AI36" i="25"/>
  <c r="AI32" i="25"/>
  <c r="AI45" i="25"/>
  <c r="AI49" i="25"/>
  <c r="AI52" i="25"/>
  <c r="AI54" i="25"/>
  <c r="AI58" i="25"/>
  <c r="AI62" i="25"/>
  <c r="AI30" i="25"/>
  <c r="AI33" i="25"/>
  <c r="AI41" i="25"/>
  <c r="AI39" i="25"/>
  <c r="AI46" i="25"/>
  <c r="AI44" i="25"/>
  <c r="AI53" i="25"/>
  <c r="AI55" i="25"/>
  <c r="AI59" i="25"/>
  <c r="AI63" i="25"/>
  <c r="AI34" i="25"/>
  <c r="AI37" i="25"/>
  <c r="AI35" i="25"/>
  <c r="AI31" i="25"/>
  <c r="AI47" i="25"/>
  <c r="AI50" i="25"/>
  <c r="AI27" i="25"/>
  <c r="AI56" i="25"/>
  <c r="AI60" i="25"/>
  <c r="AI64" i="25"/>
  <c r="AI38" i="25"/>
  <c r="AI28" i="25"/>
  <c r="AI40" i="25"/>
  <c r="AI42" i="25"/>
  <c r="AD72" i="25"/>
  <c r="AM47" i="25"/>
  <c r="AM27" i="25"/>
  <c r="AM38" i="25"/>
  <c r="AM54" i="25"/>
  <c r="AM58" i="25"/>
  <c r="AM62" i="25"/>
  <c r="AM32" i="25"/>
  <c r="AM51" i="25"/>
  <c r="AM28" i="25"/>
  <c r="AM35" i="25"/>
  <c r="AM48" i="25"/>
  <c r="AM26" i="25"/>
  <c r="AM69" i="25" s="1"/>
  <c r="AM29" i="25"/>
  <c r="AM55" i="25"/>
  <c r="AM59" i="25"/>
  <c r="AM63" i="25"/>
  <c r="AM41" i="25"/>
  <c r="AM53" i="25"/>
  <c r="AM36" i="25"/>
  <c r="AM45" i="25"/>
  <c r="AM49" i="25"/>
  <c r="AM30" i="25"/>
  <c r="AM33" i="25"/>
  <c r="AM56" i="25"/>
  <c r="AM60" i="25"/>
  <c r="AM64" i="25"/>
  <c r="AM50" i="25"/>
  <c r="AM31" i="25"/>
  <c r="AM39" i="25"/>
  <c r="AM46" i="25"/>
  <c r="AM44" i="25"/>
  <c r="AM34" i="25"/>
  <c r="AM37" i="25"/>
  <c r="AM57" i="25"/>
  <c r="AM61" i="25"/>
  <c r="AM65" i="25"/>
  <c r="AM42" i="25"/>
  <c r="AM40" i="25"/>
  <c r="AM52" i="25"/>
  <c r="AH70" i="25"/>
  <c r="AH85" i="25"/>
  <c r="V4" i="25"/>
  <c r="V5" i="25" s="1"/>
  <c r="V87" i="25"/>
  <c r="V92" i="25"/>
  <c r="V78" i="25"/>
  <c r="V75" i="25"/>
  <c r="V101" i="25"/>
  <c r="V7" i="25" s="1"/>
  <c r="Z77" i="25"/>
  <c r="Z79" i="25"/>
  <c r="AH79" i="25"/>
  <c r="AH77" i="25"/>
  <c r="AH72" i="25"/>
  <c r="AH4" i="25"/>
  <c r="AH5" i="25" s="1"/>
  <c r="AH92" i="25"/>
  <c r="AH87" i="25"/>
  <c r="AH78" i="25"/>
  <c r="AH106" i="25"/>
  <c r="V90" i="25"/>
  <c r="V80" i="25"/>
  <c r="V84" i="25"/>
  <c r="V106" i="25"/>
  <c r="V88" i="25"/>
  <c r="V72" i="25"/>
  <c r="V97" i="25"/>
  <c r="Z89" i="25"/>
  <c r="AA45" i="25"/>
  <c r="AA49" i="25"/>
  <c r="AA55" i="25"/>
  <c r="AA59" i="25"/>
  <c r="AA63" i="25"/>
  <c r="AA34" i="25"/>
  <c r="AA37" i="25"/>
  <c r="AA36" i="25"/>
  <c r="AA44" i="25"/>
  <c r="AA53" i="25"/>
  <c r="AA46" i="25"/>
  <c r="AA27" i="25"/>
  <c r="AA56" i="25"/>
  <c r="AA60" i="25"/>
  <c r="AA64" i="25"/>
  <c r="AA38" i="25"/>
  <c r="AA50" i="25"/>
  <c r="AA41" i="25"/>
  <c r="AA35" i="25"/>
  <c r="AA32" i="25"/>
  <c r="AF2" i="25"/>
  <c r="AA47" i="25"/>
  <c r="AA48" i="25"/>
  <c r="AA54" i="25"/>
  <c r="AA58" i="25"/>
  <c r="AA62" i="25"/>
  <c r="AA30" i="25"/>
  <c r="AA33" i="25"/>
  <c r="AA28" i="25"/>
  <c r="AA39" i="25"/>
  <c r="AA51" i="25"/>
  <c r="AA26" i="25"/>
  <c r="AA69" i="25" s="1"/>
  <c r="AA29" i="25"/>
  <c r="AA42" i="25"/>
  <c r="AA57" i="25"/>
  <c r="AA52" i="25"/>
  <c r="AA61" i="25"/>
  <c r="AA31" i="25"/>
  <c r="AA65" i="25"/>
  <c r="AA40" i="25"/>
  <c r="Z80" i="25"/>
  <c r="T53" i="13"/>
  <c r="I98" i="16"/>
  <c r="AB39" i="13"/>
  <c r="T27" i="13"/>
  <c r="J98" i="16"/>
  <c r="U36" i="13"/>
  <c r="W5" i="13"/>
  <c r="V51" i="13"/>
  <c r="V47" i="13"/>
  <c r="V42" i="13"/>
  <c r="V38" i="13"/>
  <c r="V50" i="13"/>
  <c r="V46" i="13"/>
  <c r="V41" i="13"/>
  <c r="V37" i="13"/>
  <c r="V52" i="13"/>
  <c r="V48" i="13"/>
  <c r="V43" i="13"/>
  <c r="V39" i="13"/>
  <c r="V34" i="13"/>
  <c r="V49" i="13"/>
  <c r="V44" i="13"/>
  <c r="V40" i="13"/>
  <c r="V35" i="13"/>
  <c r="V8" i="13"/>
  <c r="V11" i="13"/>
  <c r="V13" i="13"/>
  <c r="V15" i="13"/>
  <c r="V17" i="13"/>
  <c r="V20" i="13"/>
  <c r="V22" i="13"/>
  <c r="V24" i="13"/>
  <c r="V26" i="13"/>
  <c r="V16" i="13"/>
  <c r="V25" i="13"/>
  <c r="V14" i="13"/>
  <c r="V9" i="13"/>
  <c r="V18" i="13"/>
  <c r="V12" i="13"/>
  <c r="V21" i="13"/>
  <c r="V23" i="13"/>
  <c r="V21" i="14"/>
  <c r="V16" i="14"/>
  <c r="W4" i="14"/>
  <c r="W15" i="14" s="1"/>
  <c r="W8" i="14"/>
  <c r="W7" i="14"/>
  <c r="W5" i="14"/>
  <c r="W9" i="14"/>
  <c r="W11" i="14"/>
  <c r="W6" i="14"/>
  <c r="W10" i="14"/>
  <c r="U19" i="13"/>
  <c r="U10" i="13"/>
  <c r="L89" i="16"/>
  <c r="H98" i="16"/>
  <c r="L94" i="16"/>
  <c r="V20" i="14"/>
  <c r="V17" i="14"/>
  <c r="V18" i="14"/>
  <c r="U7" i="13"/>
  <c r="U45" i="13"/>
  <c r="L85" i="16"/>
  <c r="C53" i="10"/>
  <c r="V22" i="14"/>
  <c r="V19" i="14"/>
  <c r="AH8" i="25" l="1"/>
  <c r="K111" i="16"/>
  <c r="I111" i="16"/>
  <c r="H111" i="16"/>
  <c r="AI78" i="25"/>
  <c r="AI73" i="25"/>
  <c r="L107" i="16"/>
  <c r="L102" i="16"/>
  <c r="AE71" i="25"/>
  <c r="AI85" i="25"/>
  <c r="AE78" i="25"/>
  <c r="AI80" i="25"/>
  <c r="AI81" i="25"/>
  <c r="AI70" i="25"/>
  <c r="AI82" i="25"/>
  <c r="AD8" i="25"/>
  <c r="AA105" i="25"/>
  <c r="W91" i="25"/>
  <c r="AA72" i="25"/>
  <c r="AI90" i="25"/>
  <c r="W90" i="25"/>
  <c r="AM103" i="25"/>
  <c r="W88" i="25"/>
  <c r="AI107" i="25"/>
  <c r="AA94" i="25"/>
  <c r="AM100" i="25"/>
  <c r="AI105" i="25"/>
  <c r="AA71" i="25"/>
  <c r="AE90" i="25"/>
  <c r="AA83" i="25"/>
  <c r="AA108" i="25"/>
  <c r="AA107" i="25"/>
  <c r="AM77" i="25"/>
  <c r="AI102" i="25"/>
  <c r="AE91" i="25"/>
  <c r="L98" i="16"/>
  <c r="AI98" i="25"/>
  <c r="AE88" i="25"/>
  <c r="AA103" i="25"/>
  <c r="AA100" i="25"/>
  <c r="AM74" i="25"/>
  <c r="AI79" i="25"/>
  <c r="AA96" i="25"/>
  <c r="AI93" i="25"/>
  <c r="AI6" i="25" s="1"/>
  <c r="AE105" i="25"/>
  <c r="AE76" i="25"/>
  <c r="W102" i="25"/>
  <c r="W107" i="25"/>
  <c r="AM79" i="25"/>
  <c r="W83" i="25"/>
  <c r="U53" i="13"/>
  <c r="AA104" i="25"/>
  <c r="AA101" i="25"/>
  <c r="AA7" i="25" s="1"/>
  <c r="AA93" i="25"/>
  <c r="AA6" i="25" s="1"/>
  <c r="AM83" i="25"/>
  <c r="AI83" i="25"/>
  <c r="AI103" i="25"/>
  <c r="AI77" i="25"/>
  <c r="AI96" i="25"/>
  <c r="AI84" i="25"/>
  <c r="AM76" i="25"/>
  <c r="AI72" i="25"/>
  <c r="AA95" i="25"/>
  <c r="AM85" i="25"/>
  <c r="AM80" i="25"/>
  <c r="AM82" i="25"/>
  <c r="AI71" i="25"/>
  <c r="AI99" i="25"/>
  <c r="AI74" i="25"/>
  <c r="AI106" i="25"/>
  <c r="AI76" i="25"/>
  <c r="AI95" i="25"/>
  <c r="AA99" i="25"/>
  <c r="AA106" i="25"/>
  <c r="AM89" i="25"/>
  <c r="AM73" i="25"/>
  <c r="AM78" i="25"/>
  <c r="AM70" i="25"/>
  <c r="AI101" i="25"/>
  <c r="AI7" i="25" s="1"/>
  <c r="AI108" i="25"/>
  <c r="AI94" i="25"/>
  <c r="AA97" i="25"/>
  <c r="AA102" i="25"/>
  <c r="AM84" i="25"/>
  <c r="AM72" i="25"/>
  <c r="AM71" i="25"/>
  <c r="AI97" i="25"/>
  <c r="AI75" i="25"/>
  <c r="AI104" i="25"/>
  <c r="D64" i="10"/>
  <c r="G64" i="10" s="1"/>
  <c r="D65" i="10"/>
  <c r="G65" i="10" s="1"/>
  <c r="D62" i="10"/>
  <c r="G62" i="10" s="1"/>
  <c r="D60" i="10"/>
  <c r="G60" i="10" s="1"/>
  <c r="D59" i="10"/>
  <c r="G59" i="10" s="1"/>
  <c r="D61" i="10"/>
  <c r="G61" i="10" s="1"/>
  <c r="AE101" i="25"/>
  <c r="AE7" i="25" s="1"/>
  <c r="AE73" i="25"/>
  <c r="AE83" i="25"/>
  <c r="AA74" i="25"/>
  <c r="AA85" i="25"/>
  <c r="AA82" i="25"/>
  <c r="AA90" i="25"/>
  <c r="AA84" i="25"/>
  <c r="AA77" i="25"/>
  <c r="AM95" i="25"/>
  <c r="AM104" i="25"/>
  <c r="AM4" i="25"/>
  <c r="AM5" i="25" s="1"/>
  <c r="AM87" i="25"/>
  <c r="AM92" i="25"/>
  <c r="AM93" i="25"/>
  <c r="AM102" i="25"/>
  <c r="AM91" i="25"/>
  <c r="AM75" i="25"/>
  <c r="AM81" i="25"/>
  <c r="AJ51" i="25"/>
  <c r="AJ27" i="25"/>
  <c r="AJ48" i="25"/>
  <c r="AJ57" i="25"/>
  <c r="AJ61" i="25"/>
  <c r="AJ65" i="25"/>
  <c r="AJ26" i="25"/>
  <c r="AJ69" i="25" s="1"/>
  <c r="AJ39" i="25"/>
  <c r="AJ41" i="25"/>
  <c r="AJ32" i="25"/>
  <c r="AJ52" i="25"/>
  <c r="AJ31" i="25"/>
  <c r="AJ54" i="25"/>
  <c r="AJ58" i="25"/>
  <c r="AJ62" i="25"/>
  <c r="AJ30" i="25"/>
  <c r="AJ29" i="25"/>
  <c r="AJ45" i="25"/>
  <c r="AJ33" i="25"/>
  <c r="AJ49" i="25"/>
  <c r="AJ53" i="25"/>
  <c r="AJ35" i="25"/>
  <c r="AJ55" i="25"/>
  <c r="AJ59" i="25"/>
  <c r="AJ63" i="25"/>
  <c r="AJ34" i="25"/>
  <c r="AJ37" i="25"/>
  <c r="AJ28" i="25"/>
  <c r="AJ40" i="25"/>
  <c r="AJ46" i="25"/>
  <c r="AJ38" i="25"/>
  <c r="AJ42" i="25"/>
  <c r="AJ47" i="25"/>
  <c r="AJ50" i="25"/>
  <c r="AJ44" i="25"/>
  <c r="AJ56" i="25"/>
  <c r="AJ60" i="25"/>
  <c r="AJ64" i="25"/>
  <c r="AJ36" i="25"/>
  <c r="AE97" i="25"/>
  <c r="AE94" i="25"/>
  <c r="AE104" i="25"/>
  <c r="AE72" i="25"/>
  <c r="AE82" i="25"/>
  <c r="AE74" i="25"/>
  <c r="AE70" i="25"/>
  <c r="AE102" i="25"/>
  <c r="AE77" i="25"/>
  <c r="W94" i="25"/>
  <c r="W76" i="25"/>
  <c r="W78" i="25"/>
  <c r="W101" i="25"/>
  <c r="W7" i="25" s="1"/>
  <c r="W70" i="25"/>
  <c r="W108" i="25"/>
  <c r="W95" i="25"/>
  <c r="AF46" i="25"/>
  <c r="AF44" i="25"/>
  <c r="AF53" i="25"/>
  <c r="AF27" i="25"/>
  <c r="AF33" i="25"/>
  <c r="AF56" i="25"/>
  <c r="AF60" i="25"/>
  <c r="AF64" i="25"/>
  <c r="AF41" i="25"/>
  <c r="AF28" i="25"/>
  <c r="AF47" i="25"/>
  <c r="AF50" i="25"/>
  <c r="AF26" i="25"/>
  <c r="AF69" i="25" s="1"/>
  <c r="AF30" i="25"/>
  <c r="AF42" i="25"/>
  <c r="AF57" i="25"/>
  <c r="AF61" i="25"/>
  <c r="AF65" i="25"/>
  <c r="AF29" i="25"/>
  <c r="AF39" i="25"/>
  <c r="AK2" i="25"/>
  <c r="AF48" i="25"/>
  <c r="AF51" i="25"/>
  <c r="AF31" i="25"/>
  <c r="AF34" i="25"/>
  <c r="AF54" i="25"/>
  <c r="AF58" i="25"/>
  <c r="AF62" i="25"/>
  <c r="AF36" i="25"/>
  <c r="AF37" i="25"/>
  <c r="AF45" i="25"/>
  <c r="AF49" i="25"/>
  <c r="AF52" i="25"/>
  <c r="AF35" i="25"/>
  <c r="AF38" i="25"/>
  <c r="AF55" i="25"/>
  <c r="AF59" i="25"/>
  <c r="AF63" i="25"/>
  <c r="AF32" i="25"/>
  <c r="AF40" i="25"/>
  <c r="AA4" i="25"/>
  <c r="AA5" i="25" s="1"/>
  <c r="AA87" i="25"/>
  <c r="AA92" i="25"/>
  <c r="AA88" i="25"/>
  <c r="AM107" i="25"/>
  <c r="AM96" i="25"/>
  <c r="AM98" i="25"/>
  <c r="AM105" i="25"/>
  <c r="AI88" i="25"/>
  <c r="AE100" i="25"/>
  <c r="AE107" i="25"/>
  <c r="AE75" i="25"/>
  <c r="AE98" i="25"/>
  <c r="AE95" i="25"/>
  <c r="W82" i="25"/>
  <c r="W71" i="25"/>
  <c r="W106" i="25"/>
  <c r="W73" i="25"/>
  <c r="W74" i="25"/>
  <c r="W97" i="25"/>
  <c r="W104" i="25"/>
  <c r="W77" i="25"/>
  <c r="AA76" i="25"/>
  <c r="AA75" i="25"/>
  <c r="AA81" i="25"/>
  <c r="AA70" i="25"/>
  <c r="AA79" i="25"/>
  <c r="AM101" i="25"/>
  <c r="AM90" i="25"/>
  <c r="AI4" i="25"/>
  <c r="AI5" i="25" s="1"/>
  <c r="AI87" i="25"/>
  <c r="AI92" i="25"/>
  <c r="AI91" i="25"/>
  <c r="AE93" i="25"/>
  <c r="AE6" i="25" s="1"/>
  <c r="AE103" i="25"/>
  <c r="AE81" i="25"/>
  <c r="AE79" i="25"/>
  <c r="AE85" i="25"/>
  <c r="AE4" i="25"/>
  <c r="AE5" i="25" s="1"/>
  <c r="AE87" i="25"/>
  <c r="AE92" i="25"/>
  <c r="W98" i="25"/>
  <c r="W84" i="25"/>
  <c r="W75" i="25"/>
  <c r="W96" i="25"/>
  <c r="W79" i="25"/>
  <c r="W100" i="25"/>
  <c r="W4" i="25"/>
  <c r="W5" i="25" s="1"/>
  <c r="W92" i="25"/>
  <c r="W87" i="25"/>
  <c r="V8" i="25"/>
  <c r="AA73" i="25"/>
  <c r="AA91" i="25"/>
  <c r="AA78" i="25"/>
  <c r="AA89" i="25"/>
  <c r="AA80" i="25"/>
  <c r="AA98" i="25"/>
  <c r="AM108" i="25"/>
  <c r="AM99" i="25"/>
  <c r="AM88" i="25"/>
  <c r="AM106" i="25"/>
  <c r="AM94" i="25"/>
  <c r="AM97" i="25"/>
  <c r="AI89" i="25"/>
  <c r="AI100" i="25"/>
  <c r="AE108" i="25"/>
  <c r="AE84" i="25"/>
  <c r="AE99" i="25"/>
  <c r="AE96" i="25"/>
  <c r="AE106" i="25"/>
  <c r="AE80" i="25"/>
  <c r="AE89" i="25"/>
  <c r="W72" i="25"/>
  <c r="W99" i="25"/>
  <c r="W93" i="25"/>
  <c r="W6" i="25" s="1"/>
  <c r="W103" i="25"/>
  <c r="AB46" i="25"/>
  <c r="AB31" i="25"/>
  <c r="AB55" i="25"/>
  <c r="AB59" i="25"/>
  <c r="AB63" i="25"/>
  <c r="AB34" i="25"/>
  <c r="AB37" i="25"/>
  <c r="AB50" i="25"/>
  <c r="AB41" i="25"/>
  <c r="AB51" i="25"/>
  <c r="AB60" i="25"/>
  <c r="AB38" i="25"/>
  <c r="AB42" i="25"/>
  <c r="AB26" i="25"/>
  <c r="AB69" i="25" s="1"/>
  <c r="AB47" i="25"/>
  <c r="AB35" i="25"/>
  <c r="AB56" i="25"/>
  <c r="AB64" i="25"/>
  <c r="AB52" i="25"/>
  <c r="AB62" i="25"/>
  <c r="AB44" i="25"/>
  <c r="AB48" i="25"/>
  <c r="AB39" i="25"/>
  <c r="AB57" i="25"/>
  <c r="AB61" i="25"/>
  <c r="AB65" i="25"/>
  <c r="AB27" i="25"/>
  <c r="AB53" i="25"/>
  <c r="AB28" i="25"/>
  <c r="AB33" i="25"/>
  <c r="AG2" i="25"/>
  <c r="AB49" i="25"/>
  <c r="AB45" i="25"/>
  <c r="AB54" i="25"/>
  <c r="AB58" i="25"/>
  <c r="AB30" i="25"/>
  <c r="AB40" i="25"/>
  <c r="AB29" i="25"/>
  <c r="AB32" i="25"/>
  <c r="AB36" i="25"/>
  <c r="W105" i="25"/>
  <c r="W81" i="25"/>
  <c r="W85" i="25"/>
  <c r="W80" i="25"/>
  <c r="W89" i="25"/>
  <c r="W20" i="14"/>
  <c r="W21" i="14"/>
  <c r="W22" i="14"/>
  <c r="W19" i="14"/>
  <c r="U27" i="13"/>
  <c r="W16" i="14"/>
  <c r="W17" i="14"/>
  <c r="V36" i="13"/>
  <c r="W39" i="13"/>
  <c r="W34" i="13"/>
  <c r="W46" i="13"/>
  <c r="W51" i="13"/>
  <c r="I123" i="16"/>
  <c r="K123" i="16"/>
  <c r="K117" i="16"/>
  <c r="K122" i="16"/>
  <c r="W26" i="13"/>
  <c r="W21" i="13"/>
  <c r="W11" i="13"/>
  <c r="I119" i="16"/>
  <c r="W16" i="13"/>
  <c r="W9" i="13"/>
  <c r="W20" i="13"/>
  <c r="W23" i="13"/>
  <c r="W18" i="13"/>
  <c r="W52" i="13"/>
  <c r="W49" i="13"/>
  <c r="W41" i="13"/>
  <c r="W37" i="13"/>
  <c r="W38" i="13"/>
  <c r="H117" i="16"/>
  <c r="J123" i="16"/>
  <c r="J121" i="16"/>
  <c r="H116" i="16"/>
  <c r="W25" i="13"/>
  <c r="H123" i="16"/>
  <c r="W8" i="13"/>
  <c r="I116" i="16"/>
  <c r="W15" i="13"/>
  <c r="J118" i="16"/>
  <c r="I117" i="16"/>
  <c r="H121" i="16"/>
  <c r="I118" i="16"/>
  <c r="W14" i="13"/>
  <c r="W43" i="13"/>
  <c r="W40" i="13"/>
  <c r="W50" i="13"/>
  <c r="W42" i="13"/>
  <c r="H119" i="16"/>
  <c r="K121" i="16"/>
  <c r="W22" i="13"/>
  <c r="W17" i="13"/>
  <c r="W48" i="13"/>
  <c r="W44" i="13"/>
  <c r="W47" i="13"/>
  <c r="W35" i="13"/>
  <c r="H118" i="16"/>
  <c r="J117" i="16"/>
  <c r="K119" i="16"/>
  <c r="J116" i="16"/>
  <c r="W24" i="13"/>
  <c r="I121" i="16"/>
  <c r="J122" i="16"/>
  <c r="W13" i="13"/>
  <c r="J119" i="16"/>
  <c r="K116" i="16"/>
  <c r="I122" i="16"/>
  <c r="H122" i="16"/>
  <c r="W12" i="13"/>
  <c r="W18" i="14"/>
  <c r="G48" i="10"/>
  <c r="M9" i="10" s="1"/>
  <c r="V19" i="13"/>
  <c r="V10" i="13"/>
  <c r="D45" i="10"/>
  <c r="G45" i="10" s="1"/>
  <c r="M8" i="10" s="1"/>
  <c r="G46" i="10"/>
  <c r="D50" i="10"/>
  <c r="G50" i="10" s="1"/>
  <c r="M11" i="10" s="1"/>
  <c r="G51" i="10"/>
  <c r="V7" i="13"/>
  <c r="V45" i="13"/>
  <c r="V33" i="13"/>
  <c r="AB88" i="25" l="1"/>
  <c r="L111" i="16"/>
  <c r="Q137" i="16"/>
  <c r="J137" i="16"/>
  <c r="K136" i="16"/>
  <c r="R136" i="16"/>
  <c r="I138" i="16"/>
  <c r="P138" i="16"/>
  <c r="J132" i="16"/>
  <c r="Q132" i="16"/>
  <c r="H131" i="16"/>
  <c r="O131" i="16"/>
  <c r="E74" i="10"/>
  <c r="K133" i="16"/>
  <c r="R133" i="16"/>
  <c r="H133" i="16"/>
  <c r="O133" i="16"/>
  <c r="J136" i="16"/>
  <c r="Q136" i="16"/>
  <c r="J138" i="16"/>
  <c r="Q138" i="16"/>
  <c r="I134" i="16"/>
  <c r="P134" i="16"/>
  <c r="K138" i="16"/>
  <c r="R138" i="16"/>
  <c r="H134" i="16"/>
  <c r="O134" i="16"/>
  <c r="Q131" i="16"/>
  <c r="J131" i="16"/>
  <c r="I137" i="16"/>
  <c r="P137" i="16"/>
  <c r="C74" i="10"/>
  <c r="I133" i="16"/>
  <c r="P133" i="16"/>
  <c r="H132" i="16"/>
  <c r="O132" i="16"/>
  <c r="C72" i="10"/>
  <c r="I131" i="16"/>
  <c r="P131" i="16"/>
  <c r="H138" i="16"/>
  <c r="O138" i="16"/>
  <c r="H137" i="16"/>
  <c r="O137" i="16"/>
  <c r="E72" i="10"/>
  <c r="E71" i="10" s="1"/>
  <c r="R131" i="16"/>
  <c r="K131" i="16"/>
  <c r="H136" i="16"/>
  <c r="O136" i="16"/>
  <c r="I136" i="16"/>
  <c r="P136" i="16"/>
  <c r="K134" i="16"/>
  <c r="R134" i="16"/>
  <c r="J134" i="16"/>
  <c r="Q134" i="16"/>
  <c r="I132" i="16"/>
  <c r="P132" i="16"/>
  <c r="K132" i="16"/>
  <c r="R132" i="16"/>
  <c r="J133" i="16"/>
  <c r="Q133" i="16"/>
  <c r="K137" i="16"/>
  <c r="R137" i="16"/>
  <c r="AI8" i="25"/>
  <c r="K16" i="25"/>
  <c r="AF98" i="25"/>
  <c r="AB104" i="25"/>
  <c r="AB97" i="25"/>
  <c r="AA8" i="25"/>
  <c r="AB72" i="25"/>
  <c r="AF83" i="25"/>
  <c r="AF75" i="25"/>
  <c r="AJ93" i="25"/>
  <c r="AJ6" i="25" s="1"/>
  <c r="AF77" i="25"/>
  <c r="AF81" i="25"/>
  <c r="AF78" i="25"/>
  <c r="AF91" i="25"/>
  <c r="AJ76" i="25"/>
  <c r="W8" i="25"/>
  <c r="AJ81" i="25"/>
  <c r="AJ107" i="25"/>
  <c r="AF80" i="25"/>
  <c r="AJ103" i="25"/>
  <c r="AJ106" i="25"/>
  <c r="AF79" i="25"/>
  <c r="AJ99" i="25"/>
  <c r="AJ102" i="25"/>
  <c r="AJ79" i="25"/>
  <c r="AJ77" i="25"/>
  <c r="AJ80" i="25"/>
  <c r="AB76" i="25"/>
  <c r="AF101" i="25"/>
  <c r="AF7" i="25" s="1"/>
  <c r="AJ78" i="25"/>
  <c r="AB83" i="25"/>
  <c r="AB71" i="25"/>
  <c r="AF106" i="25"/>
  <c r="AJ83" i="25"/>
  <c r="AJ85" i="25"/>
  <c r="AJ71" i="25"/>
  <c r="AJ72" i="25"/>
  <c r="AJ89" i="25"/>
  <c r="AE8" i="25"/>
  <c r="AF88" i="25"/>
  <c r="AB101" i="25"/>
  <c r="AB7" i="25" s="1"/>
  <c r="AF74" i="25"/>
  <c r="AF82" i="25"/>
  <c r="AJ98" i="25"/>
  <c r="AJ105" i="25"/>
  <c r="AB108" i="25"/>
  <c r="AB91" i="25"/>
  <c r="AF72" i="25"/>
  <c r="AF85" i="25"/>
  <c r="AF90" i="25"/>
  <c r="AJ96" i="25"/>
  <c r="AB79" i="25"/>
  <c r="AB73" i="25"/>
  <c r="AF102" i="25"/>
  <c r="AB75" i="25"/>
  <c r="AG51" i="25"/>
  <c r="AG46" i="25"/>
  <c r="AG55" i="25"/>
  <c r="AG59" i="25"/>
  <c r="AG63" i="25"/>
  <c r="AG32" i="25"/>
  <c r="AG35" i="25"/>
  <c r="AG37" i="25"/>
  <c r="AG30" i="25"/>
  <c r="AG40" i="25"/>
  <c r="AG60" i="25"/>
  <c r="AG36" i="25"/>
  <c r="AG33" i="25"/>
  <c r="AG38" i="25"/>
  <c r="AG45" i="25"/>
  <c r="AG31" i="25"/>
  <c r="AG52" i="25"/>
  <c r="AG47" i="25"/>
  <c r="AG56" i="25"/>
  <c r="AG64" i="25"/>
  <c r="AG49" i="25"/>
  <c r="AG58" i="25"/>
  <c r="AG29" i="25"/>
  <c r="AG44" i="25"/>
  <c r="AG53" i="25"/>
  <c r="AG48" i="25"/>
  <c r="AG57" i="25"/>
  <c r="AG61" i="25"/>
  <c r="AG65" i="25"/>
  <c r="AG26" i="25"/>
  <c r="AG69" i="25" s="1"/>
  <c r="AG34" i="25"/>
  <c r="AG42" i="25"/>
  <c r="AG41" i="25"/>
  <c r="AG54" i="25"/>
  <c r="AG62" i="25"/>
  <c r="AG27" i="25"/>
  <c r="AG50" i="25"/>
  <c r="AG28" i="25"/>
  <c r="AG39" i="25"/>
  <c r="AL2" i="25"/>
  <c r="AB70" i="25"/>
  <c r="AB82" i="25"/>
  <c r="AB95" i="25"/>
  <c r="AB90" i="25"/>
  <c r="AB103" i="25"/>
  <c r="AB80" i="25"/>
  <c r="AB98" i="25"/>
  <c r="AF105" i="25"/>
  <c r="AF100" i="25"/>
  <c r="AF93" i="25"/>
  <c r="AF6" i="25" s="1"/>
  <c r="AF107" i="25"/>
  <c r="AF70" i="25"/>
  <c r="AJ4" i="25"/>
  <c r="AJ5" i="25" s="1"/>
  <c r="AJ92" i="25"/>
  <c r="AJ87" i="25"/>
  <c r="AJ95" i="25"/>
  <c r="AJ91" i="25"/>
  <c r="AM6" i="25"/>
  <c r="K14" i="25"/>
  <c r="K13" i="25"/>
  <c r="K17" i="25"/>
  <c r="AB107" i="25"/>
  <c r="AB94" i="25"/>
  <c r="AB77" i="25"/>
  <c r="AB74" i="25"/>
  <c r="AF94" i="25"/>
  <c r="AF103" i="25"/>
  <c r="AF96" i="25"/>
  <c r="AJ88" i="25"/>
  <c r="AJ101" i="25"/>
  <c r="AJ7" i="25" s="1"/>
  <c r="AJ75" i="25"/>
  <c r="AJ108" i="25"/>
  <c r="AJ70" i="25"/>
  <c r="AB4" i="25"/>
  <c r="AB5" i="25" s="1"/>
  <c r="AB87" i="25"/>
  <c r="AB92" i="25"/>
  <c r="AB99" i="25"/>
  <c r="AB85" i="25"/>
  <c r="AB84" i="25"/>
  <c r="AB106" i="25"/>
  <c r="AB89" i="25"/>
  <c r="K18" i="25"/>
  <c r="AF97" i="25"/>
  <c r="AF108" i="25"/>
  <c r="AF73" i="25"/>
  <c r="AF71" i="25"/>
  <c r="AF99" i="25"/>
  <c r="AF4" i="25"/>
  <c r="AF5" i="25" s="1"/>
  <c r="AF92" i="25"/>
  <c r="AF87" i="25"/>
  <c r="AJ90" i="25"/>
  <c r="AJ97" i="25"/>
  <c r="AJ84" i="25"/>
  <c r="AJ104" i="25"/>
  <c r="AJ94" i="25"/>
  <c r="AB96" i="25"/>
  <c r="AB100" i="25"/>
  <c r="AB105" i="25"/>
  <c r="AB78" i="25"/>
  <c r="AB81" i="25"/>
  <c r="AB93" i="25"/>
  <c r="AB6" i="25" s="1"/>
  <c r="AB102" i="25"/>
  <c r="AM7" i="25"/>
  <c r="K15" i="25"/>
  <c r="AF95" i="25"/>
  <c r="AK47" i="25"/>
  <c r="AK51" i="25"/>
  <c r="AK55" i="25"/>
  <c r="AK59" i="25"/>
  <c r="AK63" i="25"/>
  <c r="AK32" i="25"/>
  <c r="AK35" i="25"/>
  <c r="AK41" i="25"/>
  <c r="AK37" i="25"/>
  <c r="AK29" i="25"/>
  <c r="AK44" i="25"/>
  <c r="AK48" i="25"/>
  <c r="AK52" i="25"/>
  <c r="AK56" i="25"/>
  <c r="AK60" i="25"/>
  <c r="AK64" i="25"/>
  <c r="AK36" i="25"/>
  <c r="AK30" i="25"/>
  <c r="AK40" i="25"/>
  <c r="AK42" i="25"/>
  <c r="AK39" i="25"/>
  <c r="AK45" i="25"/>
  <c r="AK49" i="25"/>
  <c r="AK53" i="25"/>
  <c r="AK57" i="25"/>
  <c r="AK61" i="25"/>
  <c r="AK65" i="25"/>
  <c r="AK27" i="25"/>
  <c r="AK38" i="25"/>
  <c r="AK26" i="25"/>
  <c r="AK69" i="25" s="1"/>
  <c r="AK34" i="25"/>
  <c r="AK33" i="25"/>
  <c r="AK46" i="25"/>
  <c r="AK50" i="25"/>
  <c r="AK54" i="25"/>
  <c r="AK58" i="25"/>
  <c r="AK62" i="25"/>
  <c r="AK28" i="25"/>
  <c r="AK31" i="25"/>
  <c r="AF104" i="25"/>
  <c r="AF84" i="25"/>
  <c r="AF76" i="25"/>
  <c r="AF89" i="25"/>
  <c r="AJ73" i="25"/>
  <c r="AJ74" i="25"/>
  <c r="AJ82" i="25"/>
  <c r="AJ100" i="25"/>
  <c r="AM34" i="13"/>
  <c r="K120" i="16"/>
  <c r="I120" i="16"/>
  <c r="J120" i="16"/>
  <c r="D63" i="10"/>
  <c r="G63" i="10" s="1"/>
  <c r="AB19" i="14"/>
  <c r="AB18" i="14"/>
  <c r="D58" i="10"/>
  <c r="V27" i="13"/>
  <c r="V53" i="13"/>
  <c r="M12" i="10"/>
  <c r="L118" i="16"/>
  <c r="W7" i="13"/>
  <c r="L123" i="16"/>
  <c r="AB17" i="14"/>
  <c r="K115" i="16"/>
  <c r="L121" i="16"/>
  <c r="H120" i="16"/>
  <c r="I115" i="16"/>
  <c r="H115" i="16"/>
  <c r="L116" i="16"/>
  <c r="W33" i="13"/>
  <c r="AH33" i="13" s="1"/>
  <c r="W36" i="13"/>
  <c r="AC34" i="13" s="1"/>
  <c r="L119" i="16"/>
  <c r="D53" i="10"/>
  <c r="G53" i="10" s="1"/>
  <c r="L122" i="16"/>
  <c r="J115" i="16"/>
  <c r="L117" i="16"/>
  <c r="W19" i="13"/>
  <c r="W10" i="13"/>
  <c r="AM33" i="13"/>
  <c r="W45" i="13"/>
  <c r="AK101" i="25" l="1"/>
  <c r="AK7" i="25" s="1"/>
  <c r="AK105" i="25"/>
  <c r="AK100" i="25"/>
  <c r="H130" i="16"/>
  <c r="O130" i="16"/>
  <c r="S132" i="16"/>
  <c r="L132" i="16"/>
  <c r="E79" i="10"/>
  <c r="J135" i="16"/>
  <c r="Q135" i="16"/>
  <c r="K130" i="16"/>
  <c r="R130" i="16"/>
  <c r="J130" i="16"/>
  <c r="Q130" i="16"/>
  <c r="L137" i="16"/>
  <c r="S137" i="16"/>
  <c r="I135" i="16"/>
  <c r="P135" i="16"/>
  <c r="H135" i="16"/>
  <c r="O135" i="16"/>
  <c r="L134" i="16"/>
  <c r="S134" i="16"/>
  <c r="I130" i="16"/>
  <c r="P130" i="16"/>
  <c r="L138" i="16"/>
  <c r="S138" i="16"/>
  <c r="K135" i="16"/>
  <c r="R135" i="16"/>
  <c r="L133" i="16"/>
  <c r="S133" i="16"/>
  <c r="L136" i="16"/>
  <c r="S136" i="16"/>
  <c r="S131" i="16"/>
  <c r="L131" i="16"/>
  <c r="AJ8" i="25"/>
  <c r="AK95" i="25"/>
  <c r="AK90" i="25"/>
  <c r="K19" i="25"/>
  <c r="AG97" i="25"/>
  <c r="AK97" i="25"/>
  <c r="AK89" i="25"/>
  <c r="AK108" i="25"/>
  <c r="AG105" i="25"/>
  <c r="AG108" i="25"/>
  <c r="AG104" i="25"/>
  <c r="AB8" i="25"/>
  <c r="AG100" i="25"/>
  <c r="AF8" i="25"/>
  <c r="AG71" i="25"/>
  <c r="AG93" i="25"/>
  <c r="AG6" i="25" s="1"/>
  <c r="AG96" i="25"/>
  <c r="AK88" i="25"/>
  <c r="AK71" i="25"/>
  <c r="AM35" i="13"/>
  <c r="AG99" i="25"/>
  <c r="AG70" i="25"/>
  <c r="AG85" i="25"/>
  <c r="AG107" i="25"/>
  <c r="AG74" i="25"/>
  <c r="AG79" i="25"/>
  <c r="AG80" i="25"/>
  <c r="AG102" i="25"/>
  <c r="AK93" i="25"/>
  <c r="AK6" i="25" s="1"/>
  <c r="AK104" i="25"/>
  <c r="AK99" i="25"/>
  <c r="AK94" i="25"/>
  <c r="AG82" i="25"/>
  <c r="AG77" i="25"/>
  <c r="AG72" i="25"/>
  <c r="AG103" i="25"/>
  <c r="AG78" i="25"/>
  <c r="AG84" i="25"/>
  <c r="AK81" i="25"/>
  <c r="AK82" i="25"/>
  <c r="AK79" i="25"/>
  <c r="AK80" i="25"/>
  <c r="AK106" i="25"/>
  <c r="AG88" i="25"/>
  <c r="AG98" i="25"/>
  <c r="AK72" i="25"/>
  <c r="AK76" i="25"/>
  <c r="AK70" i="25"/>
  <c r="AK96" i="25"/>
  <c r="AK85" i="25"/>
  <c r="AK107" i="25"/>
  <c r="AK91" i="25"/>
  <c r="AK84" i="25"/>
  <c r="AK102" i="25"/>
  <c r="AM8" i="25"/>
  <c r="AG91" i="25"/>
  <c r="AG101" i="25"/>
  <c r="AG7" i="25" s="1"/>
  <c r="AG90" i="25"/>
  <c r="AG81" i="25"/>
  <c r="AG83" i="25"/>
  <c r="AG75" i="25"/>
  <c r="AG89" i="25"/>
  <c r="AK73" i="25"/>
  <c r="AK75" i="25"/>
  <c r="AL48" i="25"/>
  <c r="AL55" i="25"/>
  <c r="AL59" i="25"/>
  <c r="AL63" i="25"/>
  <c r="AL33" i="25"/>
  <c r="AL32" i="25"/>
  <c r="AL27" i="25"/>
  <c r="AL41" i="25"/>
  <c r="AL50" i="25"/>
  <c r="AL45" i="25"/>
  <c r="AL26" i="25"/>
  <c r="AL69" i="25" s="1"/>
  <c r="AL56" i="25"/>
  <c r="AL60" i="25"/>
  <c r="AL64" i="25"/>
  <c r="AL37" i="25"/>
  <c r="AL36" i="25"/>
  <c r="AL31" i="25"/>
  <c r="AL30" i="25"/>
  <c r="AL52" i="25"/>
  <c r="AL35" i="25"/>
  <c r="AL46" i="25"/>
  <c r="AL49" i="25"/>
  <c r="AL57" i="25"/>
  <c r="AL61" i="25"/>
  <c r="AL65" i="25"/>
  <c r="AL44" i="25"/>
  <c r="AL51" i="25"/>
  <c r="AL40" i="25"/>
  <c r="AL38" i="25"/>
  <c r="AL47" i="25"/>
  <c r="AL54" i="25"/>
  <c r="AL58" i="25"/>
  <c r="AL62" i="25"/>
  <c r="AL29" i="25"/>
  <c r="AL28" i="25"/>
  <c r="AL53" i="25"/>
  <c r="AL42" i="25"/>
  <c r="AL39" i="25"/>
  <c r="AL34" i="25"/>
  <c r="AG4" i="25"/>
  <c r="AG5" i="25" s="1"/>
  <c r="AG87" i="25"/>
  <c r="AG92" i="25"/>
  <c r="AK74" i="25"/>
  <c r="AK77" i="25"/>
  <c r="AK83" i="25"/>
  <c r="AK103" i="25"/>
  <c r="AK4" i="25"/>
  <c r="AK5" i="25" s="1"/>
  <c r="AK92" i="25"/>
  <c r="AK87" i="25"/>
  <c r="AK78" i="25"/>
  <c r="AK98" i="25"/>
  <c r="AG95" i="25"/>
  <c r="AG76" i="25"/>
  <c r="AG73" i="25"/>
  <c r="AG106" i="25"/>
  <c r="AG94" i="25"/>
  <c r="L115" i="16"/>
  <c r="I124" i="16"/>
  <c r="L120" i="16"/>
  <c r="AB20" i="14"/>
  <c r="K124" i="16"/>
  <c r="G58" i="10"/>
  <c r="D66" i="10"/>
  <c r="G66" i="10" s="1"/>
  <c r="W27" i="13"/>
  <c r="AC8" i="13" s="1"/>
  <c r="AC36" i="13"/>
  <c r="AC35" i="13"/>
  <c r="W53" i="13"/>
  <c r="J124" i="16"/>
  <c r="AC38" i="13"/>
  <c r="AC33" i="13"/>
  <c r="C71" i="10"/>
  <c r="AC37" i="13"/>
  <c r="AH34" i="13"/>
  <c r="AH35" i="13" s="1"/>
  <c r="H124" i="16"/>
  <c r="AK8" i="25" l="1"/>
  <c r="AL85" i="25"/>
  <c r="L135" i="16"/>
  <c r="S135" i="16"/>
  <c r="I139" i="16"/>
  <c r="P139" i="16"/>
  <c r="L130" i="16"/>
  <c r="S130" i="16"/>
  <c r="J139" i="16"/>
  <c r="Q139" i="16"/>
  <c r="K139" i="16"/>
  <c r="R139" i="16"/>
  <c r="H139" i="16"/>
  <c r="O139" i="16"/>
  <c r="AG8" i="25"/>
  <c r="AL90" i="25"/>
  <c r="AL73" i="25"/>
  <c r="AL81" i="25"/>
  <c r="AL74" i="25"/>
  <c r="AL83" i="25"/>
  <c r="AL71" i="25"/>
  <c r="AL72" i="25"/>
  <c r="AL77" i="25"/>
  <c r="AL80" i="25"/>
  <c r="AL82" i="25"/>
  <c r="AL78" i="25"/>
  <c r="AL105" i="25"/>
  <c r="AL89" i="25"/>
  <c r="AL108" i="25"/>
  <c r="AL96" i="25"/>
  <c r="AL101" i="25"/>
  <c r="AL7" i="25" s="1"/>
  <c r="AL97" i="25"/>
  <c r="AL94" i="25"/>
  <c r="D72" i="10"/>
  <c r="G72" i="10" s="1"/>
  <c r="D75" i="10"/>
  <c r="G75" i="10" s="1"/>
  <c r="N10" i="10" s="1"/>
  <c r="D74" i="10"/>
  <c r="G74" i="10" s="1"/>
  <c r="N9" i="10" s="1"/>
  <c r="D77" i="10"/>
  <c r="D78" i="10"/>
  <c r="G78" i="10" s="1"/>
  <c r="D73" i="10"/>
  <c r="G73" i="10" s="1"/>
  <c r="AL4" i="25"/>
  <c r="AL5" i="25" s="1"/>
  <c r="AL87" i="25"/>
  <c r="AL92" i="25"/>
  <c r="AL107" i="25"/>
  <c r="AL88" i="25"/>
  <c r="AL75" i="25"/>
  <c r="AL98" i="25"/>
  <c r="AL103" i="25"/>
  <c r="AL93" i="25"/>
  <c r="AL6" i="25" s="1"/>
  <c r="AL76" i="25"/>
  <c r="AL91" i="25"/>
  <c r="AL104" i="25"/>
  <c r="AL79" i="25"/>
  <c r="AL99" i="25"/>
  <c r="AL84" i="25"/>
  <c r="AL106" i="25"/>
  <c r="AL100" i="25"/>
  <c r="AL95" i="25"/>
  <c r="AL70" i="25"/>
  <c r="AL102" i="25"/>
  <c r="AC39" i="13"/>
  <c r="L124" i="16"/>
  <c r="C79" i="10"/>
  <c r="L139" i="16" l="1"/>
  <c r="S139" i="16"/>
  <c r="AL8" i="25"/>
  <c r="D76" i="10"/>
  <c r="G76" i="10" s="1"/>
  <c r="N11" i="10" s="1"/>
  <c r="D71" i="10"/>
  <c r="G71" i="10" s="1"/>
  <c r="N8" i="10" s="1"/>
  <c r="G77" i="10"/>
  <c r="N12" i="10" l="1"/>
  <c r="D79" i="10"/>
  <c r="G79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S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3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G16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la différence correspond au consommation de gaz du secteur 2201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S27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35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70" authorId="0" shapeId="0" xr:uid="{00000000-0006-0000-0900-000003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78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sharedStrings.xml><?xml version="1.0" encoding="utf-8"?>
<sst xmlns="http://schemas.openxmlformats.org/spreadsheetml/2006/main" count="1749" uniqueCount="580">
  <si>
    <t>Refined petroleum products</t>
  </si>
  <si>
    <t>Total</t>
  </si>
  <si>
    <t>Oil</t>
  </si>
  <si>
    <t>Biofuels</t>
  </si>
  <si>
    <t>Electric power generation, transmission and distribution</t>
  </si>
  <si>
    <t>Nuclear</t>
  </si>
  <si>
    <t>Fuel</t>
  </si>
  <si>
    <t>Combined gas</t>
  </si>
  <si>
    <t>Coal</t>
  </si>
  <si>
    <t>Wind</t>
  </si>
  <si>
    <t>Solar</t>
  </si>
  <si>
    <t>Hydraulic</t>
  </si>
  <si>
    <t>Cogeneration (CHP)</t>
  </si>
  <si>
    <t>Natural gas</t>
  </si>
  <si>
    <t>Wood</t>
  </si>
  <si>
    <t>Biogas</t>
  </si>
  <si>
    <t>Waste incineration</t>
  </si>
  <si>
    <t>Geothermal</t>
  </si>
  <si>
    <t>Transport</t>
  </si>
  <si>
    <t>Personal vehicles</t>
  </si>
  <si>
    <t xml:space="preserve">Public and freight transport </t>
  </si>
  <si>
    <t>Residential</t>
  </si>
  <si>
    <t>Service</t>
  </si>
  <si>
    <t>Industry and agriculture</t>
  </si>
  <si>
    <t xml:space="preserve">Industry </t>
  </si>
  <si>
    <t>Agriculture</t>
  </si>
  <si>
    <t>Total Final Mtep</t>
  </si>
  <si>
    <t>Class A</t>
  </si>
  <si>
    <t>Class B</t>
  </si>
  <si>
    <t>Class C</t>
  </si>
  <si>
    <t>Class D</t>
  </si>
  <si>
    <t>Class E</t>
  </si>
  <si>
    <t>Class F</t>
  </si>
  <si>
    <t>Class G</t>
  </si>
  <si>
    <t>Electricity</t>
  </si>
  <si>
    <t>Gas</t>
  </si>
  <si>
    <t>coal</t>
  </si>
  <si>
    <t>oil</t>
  </si>
  <si>
    <t>elec</t>
  </si>
  <si>
    <t>gas</t>
  </si>
  <si>
    <t>decarb</t>
  </si>
  <si>
    <t>Total Final MTEC</t>
  </si>
  <si>
    <t>charbon</t>
  </si>
  <si>
    <t>Verif</t>
  </si>
  <si>
    <t>stock of housing and %</t>
  </si>
  <si>
    <t>ER_AUTO_0</t>
  </si>
  <si>
    <t>ER_AUTO_TH_A_0</t>
  </si>
  <si>
    <t>ER_AUTO_TH_B_0</t>
  </si>
  <si>
    <t>ER_AUTO_TH_C_0</t>
  </si>
  <si>
    <t>ER_AUTO_TH_D_0</t>
  </si>
  <si>
    <t>ER_AUTO_TH_E_0</t>
  </si>
  <si>
    <t>ER_AUTO_TH_F_0</t>
  </si>
  <si>
    <t>ER_AUTO_TH_G_0</t>
  </si>
  <si>
    <t>ER_AUTO_ELEC_A_0</t>
  </si>
  <si>
    <t>ER_AUTO_ELEC_B_0</t>
  </si>
  <si>
    <t>ER_AUTO_ELEC_C_0</t>
  </si>
  <si>
    <t>ER_AUTO_ELEC_D_0</t>
  </si>
  <si>
    <t>ER_AUTO_ELEC_E_0</t>
  </si>
  <si>
    <t>ER_AUTO_ELEC_F_0</t>
  </si>
  <si>
    <t>ER_AUTO_ELEC_G_0</t>
  </si>
  <si>
    <t>ER_AUTO_COAL_0</t>
  </si>
  <si>
    <t>ER_AUTO_TH_0</t>
  </si>
  <si>
    <t>ER_AUTO_ELEC_0</t>
  </si>
  <si>
    <t>ER_AUTO_GAS_0</t>
  </si>
  <si>
    <t>ER_NEWAUTO_0</t>
  </si>
  <si>
    <t>ER_NEWAUTO_TH_0</t>
  </si>
  <si>
    <t>ER_NEWAUTO_TH_A_0</t>
  </si>
  <si>
    <t>ER_NEWAUTO_TH_B_0</t>
  </si>
  <si>
    <t>ER_NEWAUTO_TH_C_0</t>
  </si>
  <si>
    <t>ER_NEWAUTO_TH_D_0</t>
  </si>
  <si>
    <t>ER_NEWAUTO_TH_E_0</t>
  </si>
  <si>
    <t>ER_NEWAUTO_TH_F_0</t>
  </si>
  <si>
    <t>ER_NEWAUTO_TH_G_0</t>
  </si>
  <si>
    <t>ER_NEWAUTO_ELEC_0</t>
  </si>
  <si>
    <t>ER_NEWAUTO_ELEC_A_0</t>
  </si>
  <si>
    <t>ER_NEWAUTO_ELEC_B_0</t>
  </si>
  <si>
    <t>ER_NEWAUTO_ELEC_C_0</t>
  </si>
  <si>
    <t>ER_NEWAUTO_ELEC_D_0</t>
  </si>
  <si>
    <t>ER_NEWAUTO_ELEC_E_0</t>
  </si>
  <si>
    <t>ER_NEWAUTO_ELEC_F_0</t>
  </si>
  <si>
    <t>ER_NEWAUTO_ELEC_G_0</t>
  </si>
  <si>
    <t>ER_BUIL_0</t>
  </si>
  <si>
    <t>ER_BUIL_A_0</t>
  </si>
  <si>
    <t>ER_BUIL_B_0</t>
  </si>
  <si>
    <t>ER_BUIL_C_0</t>
  </si>
  <si>
    <t>ER_BUIL_D_0</t>
  </si>
  <si>
    <t>ER_BUIL_E_0</t>
  </si>
  <si>
    <t>ER_BUIL_F_0</t>
  </si>
  <si>
    <t>ER_BUIL_G_0</t>
  </si>
  <si>
    <t>ER_Oil_0</t>
  </si>
  <si>
    <t>ER_elec_0</t>
  </si>
  <si>
    <t>ER_Gas_0</t>
  </si>
  <si>
    <t>ER_coal_0</t>
  </si>
  <si>
    <t>ER_Total_0</t>
  </si>
  <si>
    <t>electric</t>
  </si>
  <si>
    <t>Combustion</t>
  </si>
  <si>
    <t>ER_Elec_2301_0</t>
  </si>
  <si>
    <t>ER_elec_2302_0</t>
  </si>
  <si>
    <t>ER_Elec_2303_0</t>
  </si>
  <si>
    <t>ER_elec_2304_0</t>
  </si>
  <si>
    <t>ER_Elec_2305_0</t>
  </si>
  <si>
    <t>ER_elec_2306_0</t>
  </si>
  <si>
    <t>ER_Elec_2307_0</t>
  </si>
  <si>
    <t>ER_elec_2308_0</t>
  </si>
  <si>
    <t>ER_oil_2201_0</t>
  </si>
  <si>
    <t>ER_oil_2202_0</t>
  </si>
  <si>
    <t>ER_Gas_2401_0</t>
  </si>
  <si>
    <t>ER_Gas_2402_0</t>
  </si>
  <si>
    <t>ER_Gas_2403_0</t>
  </si>
  <si>
    <t>ER_Gas_2404_0</t>
  </si>
  <si>
    <t>ER_Gas_2405_0</t>
  </si>
  <si>
    <t>ER_Gas_2406_0</t>
  </si>
  <si>
    <t>Q_Mtep_ep_2201_0</t>
  </si>
  <si>
    <t>Q_Mtep_ep_2202_0</t>
  </si>
  <si>
    <t>Q_Mtep_ep_2301_0</t>
  </si>
  <si>
    <t>Q_Mtep_ep_2302_0</t>
  </si>
  <si>
    <t>Q_Mtep_ep_2303_0</t>
  </si>
  <si>
    <t>Q_Mtep_ep_2304_0</t>
  </si>
  <si>
    <t>Q_Mtep_ep_2305_0</t>
  </si>
  <si>
    <t>Q_Mtep_ep_2306_0</t>
  </si>
  <si>
    <t>Q_Mtep_ep_2307_0</t>
  </si>
  <si>
    <t>Q_Mtep_ep_2308_0</t>
  </si>
  <si>
    <t>Q_Mtep_ep_2401_0</t>
  </si>
  <si>
    <t>Q_Mtep_ep_2402_0</t>
  </si>
  <si>
    <t>Q_Mtep_ep_2403_0</t>
  </si>
  <si>
    <t>Q_Mtep_ep_2404_0</t>
  </si>
  <si>
    <t>Q_Mtep_ep_2405_0</t>
  </si>
  <si>
    <t>Q_Mtep_ep_2406_0</t>
  </si>
  <si>
    <t>Q_Mtep_ep_21_0</t>
  </si>
  <si>
    <t>Industry non energetic uses</t>
  </si>
  <si>
    <t>gas biogas biomass</t>
  </si>
  <si>
    <t>fuel and biofuel</t>
  </si>
  <si>
    <t>Hors bois domestique non marchand, avec consommation à double usage</t>
  </si>
  <si>
    <t>New vehicle sales</t>
  </si>
  <si>
    <t>stock of vehicles</t>
  </si>
  <si>
    <t>Gas and heat</t>
  </si>
  <si>
    <t>Basse consommation</t>
  </si>
  <si>
    <t xml:space="preserve">Consommation modérée </t>
  </si>
  <si>
    <t>Faiblement émettrices</t>
  </si>
  <si>
    <t>Modérément émettrices</t>
  </si>
  <si>
    <t>Fortement émettrices</t>
  </si>
  <si>
    <t>Electriques</t>
  </si>
  <si>
    <t>Passoires énergétiques</t>
  </si>
  <si>
    <t>nucléaire</t>
  </si>
  <si>
    <t>solaire</t>
  </si>
  <si>
    <t xml:space="preserve">éolien </t>
  </si>
  <si>
    <t>autres renouvelables</t>
  </si>
  <si>
    <t>biocarburants</t>
  </si>
  <si>
    <t>gaz naturel</t>
  </si>
  <si>
    <t>biogaz</t>
  </si>
  <si>
    <t>Energie primaire</t>
  </si>
  <si>
    <t>Automobile - synthèse</t>
  </si>
  <si>
    <t>verif</t>
  </si>
  <si>
    <t>parc automobile (milliers)</t>
  </si>
  <si>
    <t>parc automobile (M)</t>
  </si>
  <si>
    <t>parc véhicules élec (%)</t>
  </si>
  <si>
    <t>parc véhicules thermiques (%)</t>
  </si>
  <si>
    <t>TEND</t>
  </si>
  <si>
    <t>ER_AUTO_0/1000</t>
  </si>
  <si>
    <t>ER_AUTO_ELEC_0/ER_AUTO_0</t>
  </si>
  <si>
    <t>part véhicules thermiques</t>
  </si>
  <si>
    <t>Automobile - detail</t>
  </si>
  <si>
    <t>Ventes (milliers)</t>
  </si>
  <si>
    <t>Parc (milliers)</t>
  </si>
  <si>
    <t>Ventes (%)</t>
  </si>
  <si>
    <t>Parc (%)</t>
  </si>
  <si>
    <t>ER_NEWAUTO_ELEC_0/ER_NEWAUTO_0</t>
  </si>
  <si>
    <t>ER_NEWAUTO_ELEC_A_0/ER_NEWAUTO_0</t>
  </si>
  <si>
    <t>ER_NEWAUTO_ELEC_B_0/ER_NEWAUTO_0</t>
  </si>
  <si>
    <t>ER_NEWAUTO_ELEC_C_0/ER_NEWAUTO_0</t>
  </si>
  <si>
    <t>ER_NEWAUTO_ELEC_D_0/ER_NEWAUTO_0</t>
  </si>
  <si>
    <t>ER_NEWAUTO_ELEC_E_0/ER_NEWAUTO_0</t>
  </si>
  <si>
    <t>ER_NEWAUTO_ELEC_F_0/ER_NEWAUTO_0</t>
  </si>
  <si>
    <t>ER_NEWAUTO_ELEC_G_0/ER_NEWAUTO_0</t>
  </si>
  <si>
    <t>ER_NEWAUTO_TH_0/ER_NEWAUTO_0</t>
  </si>
  <si>
    <t>ER_NEWAUTO_TH_A_0/ER_NEWAUTO_0</t>
  </si>
  <si>
    <t>ER_NEWAUTO_TH_B_0/ER_NEWAUTO_0</t>
  </si>
  <si>
    <t>ER_NEWAUTO_TH_C_0/ER_NEWAUTO_0</t>
  </si>
  <si>
    <t>ER_NEWAUTO_TH_D_0/ER_NEWAUTO_0</t>
  </si>
  <si>
    <t>ER_NEWAUTO_TH_E_0/ER_NEWAUTO_0</t>
  </si>
  <si>
    <t>ER_NEWAUTO_TH_F_0/ER_NEWAUTO_0</t>
  </si>
  <si>
    <t>ER_NEWAUTO_TH_G_0/ER_NEWAUTO_0</t>
  </si>
  <si>
    <t>ER_AUTO_COAL_0/ER_AUTO_0</t>
  </si>
  <si>
    <t>ER_AUTO_TH_0/ER_AUTO_0</t>
  </si>
  <si>
    <t>ER_AUTO_GAS_0/ER_AUTO_0</t>
  </si>
  <si>
    <t>ER_AUTO_ELEC_A_0/ER_AUTO_0</t>
  </si>
  <si>
    <t>ER_AUTO_ELEC_B_0/ER_AUTO_0</t>
  </si>
  <si>
    <t>ER_AUTO_ELEC_C_0/ER_AUTO_0</t>
  </si>
  <si>
    <t>ER_AUTO_ELEC_D_0/ER_AUTO_0</t>
  </si>
  <si>
    <t>ER_AUTO_ELEC_E_0/ER_AUTO_0</t>
  </si>
  <si>
    <t>ER_AUTO_ELEC_F_0/ER_AUTO_0</t>
  </si>
  <si>
    <t>ER_AUTO_ELEC_G_0/ER_AUTO_0</t>
  </si>
  <si>
    <t>ER_AUTO_TH_A_0/ER_AUTO_0</t>
  </si>
  <si>
    <t>ER_AUTO_TH_B_0/ER_AUTO_0</t>
  </si>
  <si>
    <t>ER_AUTO_TH_C_0/ER_AUTO_0</t>
  </si>
  <si>
    <t>ER_AUTO_TH_D_0/ER_AUTO_0</t>
  </si>
  <si>
    <t>ER_AUTO_TH_E_0/ER_AUTO_0</t>
  </si>
  <si>
    <t>ER_AUTO_TH_F_0/ER_AUTO_0</t>
  </si>
  <si>
    <t>ER_AUTO_TH_G_0/ER_AUTO_0</t>
  </si>
  <si>
    <t>Energie primaire (Mtep)</t>
  </si>
  <si>
    <t>Energie finale (Mtep)</t>
  </si>
  <si>
    <t>Consos résultats de ThreeME</t>
  </si>
  <si>
    <t>Consos cibles d'Enerdata</t>
  </si>
  <si>
    <t>Hors bois domestique auto produit (8MTEP entre 2015 et 2030 4 Mtep en 2050)</t>
  </si>
  <si>
    <t>Emissions CO2 (MtCO2)</t>
  </si>
  <si>
    <t>Residentiel</t>
  </si>
  <si>
    <t>Industrie et agriculture</t>
  </si>
  <si>
    <t>Cf. onglet "G emissions"</t>
  </si>
  <si>
    <t>Cf. onglet "G énergie"</t>
  </si>
  <si>
    <t>Cf. onglet "G mix elec"</t>
  </si>
  <si>
    <t xml:space="preserve">Total </t>
  </si>
  <si>
    <t>hydraulique</t>
  </si>
  <si>
    <t>Cf. onglet "G mix carb"</t>
  </si>
  <si>
    <t>Cf. onglet "G mix gaz"</t>
  </si>
  <si>
    <t>carburants fossiles</t>
  </si>
  <si>
    <t>Energie par vecteur énergétique</t>
  </si>
  <si>
    <t>Energie par usage</t>
  </si>
  <si>
    <t>Logement</t>
  </si>
  <si>
    <t>Parc logement (m²)</t>
  </si>
  <si>
    <t>Parc logement (%)</t>
  </si>
  <si>
    <t>Cf. onglet "G parc logt"</t>
  </si>
  <si>
    <t>1) Copier-coller sorties Eviews en B2
2) veillez à ce que les données commencent en 2004
3) modifier le scénario si besoin en B1</t>
  </si>
  <si>
    <t>Différences en 2050 résultant des modifs de chocs</t>
  </si>
  <si>
    <t>Ecarts par rapport à la cible</t>
  </si>
  <si>
    <t>ER_TRANS_PRIVATE_coal_2</t>
  </si>
  <si>
    <t>ER_TRANS_PRIVATE_oil_2</t>
  </si>
  <si>
    <t>ER_TRANS_PRIVATE_elec_2</t>
  </si>
  <si>
    <t>ER_TRANS_PRIVATE_gas_2</t>
  </si>
  <si>
    <t>ER_TRANS_PUBLIC_coal_2</t>
  </si>
  <si>
    <t>ER_TRANS_PUBLIC_oil_2</t>
  </si>
  <si>
    <t>ER_TRANS_PUBLIC_elec_2</t>
  </si>
  <si>
    <t>ER_TRANS_PUBLIC_gas_2</t>
  </si>
  <si>
    <t>ER_RESIDENTIAL_coal_2</t>
  </si>
  <si>
    <t>ER_RESIDENTIAL_oil_2</t>
  </si>
  <si>
    <t>ER_RESIDENTIAL_elec_2</t>
  </si>
  <si>
    <t>ER_RESIDENTIAL_gas_2</t>
  </si>
  <si>
    <t>ER_TERTIARY_coal_2</t>
  </si>
  <si>
    <t>ER_TERTIARY_oil_2</t>
  </si>
  <si>
    <t>ER_TERTIARY_elec_2</t>
  </si>
  <si>
    <t>ER_TERTIARY_gas_2</t>
  </si>
  <si>
    <t>ER_INDUS_coal_2</t>
  </si>
  <si>
    <t>ER_INDUS_oil_2</t>
  </si>
  <si>
    <t>ER_INDUS_elec_2</t>
  </si>
  <si>
    <t>ER_INDUS_gas_2</t>
  </si>
  <si>
    <t>Q_Mtep_indus_21_2</t>
  </si>
  <si>
    <t>Q_Mtep_indus_22_2</t>
  </si>
  <si>
    <t>Q_Mtep_indus_23_2</t>
  </si>
  <si>
    <t>Q_Mtep_indus_24_2</t>
  </si>
  <si>
    <t>ER_AGRICULTURE_coal_2</t>
  </si>
  <si>
    <t>ER_AGRICULTURE_oil_2</t>
  </si>
  <si>
    <t>ER_AGRICULTURE_elec_2</t>
  </si>
  <si>
    <t>ER_AGRICULTURE_gas_2</t>
  </si>
  <si>
    <t>Industry</t>
  </si>
  <si>
    <t>Industry energetic uses</t>
  </si>
  <si>
    <t>Q_MTEP_EP_2402_2</t>
  </si>
  <si>
    <t>Q_MTEP_EP_2403_2</t>
  </si>
  <si>
    <t>Q_MTEP_EP_2404_2</t>
  </si>
  <si>
    <t>Q_MTEP_EP_2405_2</t>
  </si>
  <si>
    <t>Q_MTEP_EP_2406_2</t>
  </si>
  <si>
    <t>Q_MTEP_EP_24_2401_2</t>
  </si>
  <si>
    <t>Q_MTEP_EP_24_2402_2</t>
  </si>
  <si>
    <t>Q_MTEP_EP_24_2403_2</t>
  </si>
  <si>
    <t>Q_MTEP_EP_24_2404_2</t>
  </si>
  <si>
    <t>Q_MTEP_EP_24_2405_2</t>
  </si>
  <si>
    <t>Q_MTEP_EP_24_2406_2</t>
  </si>
  <si>
    <t>Q_MTEP_INDUS_21_2</t>
  </si>
  <si>
    <t>Q_MTEP_INDUS_22_2</t>
  </si>
  <si>
    <t>Q_MTEP_INDUS_23_2</t>
  </si>
  <si>
    <t>Q_MTEP_INDUS_24_2</t>
  </si>
  <si>
    <t>PHIY_EF_TOT_22_2201_2</t>
  </si>
  <si>
    <t>PHIY_EF_TOT_22_2202_2</t>
  </si>
  <si>
    <t>PHIY_EF_TOT_23_2301_2</t>
  </si>
  <si>
    <t>PHIY_EF_TOT_23_2302_2</t>
  </si>
  <si>
    <t>PHIY_EF_TOT_23_2303_2</t>
  </si>
  <si>
    <t>PHIY_EF_TOT_23_2304_2</t>
  </si>
  <si>
    <t>PHIY_EF_TOT_23_2305_2</t>
  </si>
  <si>
    <t>PHIY_EF_TOT_23_2306_2</t>
  </si>
  <si>
    <t>PHIY_EF_TOT_23_2307_2</t>
  </si>
  <si>
    <t>PHIY_EF_TOT_23_2308_2</t>
  </si>
  <si>
    <t>PHIY_EF_TOT_24_2401_2</t>
  </si>
  <si>
    <t>PHIY_EF_TOT_24_2402_2</t>
  </si>
  <si>
    <t>PHIY_EF_TOT_24_2403_2</t>
  </si>
  <si>
    <t>PHIY_EF_TOT_24_2404_2</t>
  </si>
  <si>
    <t>PHIY_EF_TOT_24_2405_2</t>
  </si>
  <si>
    <t>PHIY_EF_TOT_24_2406_2</t>
  </si>
  <si>
    <t>IC_HH_22_H01_2</t>
  </si>
  <si>
    <t>IC_HH_24_H01_2</t>
  </si>
  <si>
    <t>KM_AUTO_H01_2</t>
  </si>
  <si>
    <t>KM_TRAVELER_18_H01_2</t>
  </si>
  <si>
    <t>KM_TRAV_AUTO_LD_H01_2</t>
  </si>
  <si>
    <t>KM_TRAV_AUTO_CD_H01_2</t>
  </si>
  <si>
    <t>KM_TRAVELER_14_H01_2</t>
  </si>
  <si>
    <t>KM_TRAVELER_15_H01_2</t>
  </si>
  <si>
    <t>KM_TRAVELER_CD_H01_2</t>
  </si>
  <si>
    <t>KM_TRAVELER_LD_H01_2</t>
  </si>
  <si>
    <t>KM_AUTO_H01_0</t>
  </si>
  <si>
    <t>KM_TRAVELER_18_H01_0</t>
  </si>
  <si>
    <t>KM_TRAV_AUTO_LD_H01_0</t>
  </si>
  <si>
    <t>KM_TRAV_AUTO_CD_H01_0</t>
  </si>
  <si>
    <t>KM_TRAVELER_14_H01_0</t>
  </si>
  <si>
    <t>KM_TRAVELER_15_H01_0</t>
  </si>
  <si>
    <t>KM_TRAVELER_CD_H01_0</t>
  </si>
  <si>
    <t>KM_TRAVELER_LD_H01_0</t>
  </si>
  <si>
    <t>IC_HH_24_H01_0</t>
  </si>
  <si>
    <t>ER_OIL_1</t>
  </si>
  <si>
    <t>ER_OIL_2201_1</t>
  </si>
  <si>
    <t>ER_OIL_2202_1</t>
  </si>
  <si>
    <t>ER_ELEC_2301_1</t>
  </si>
  <si>
    <t>ER_ELEC_2302_1</t>
  </si>
  <si>
    <t>ER_ELEC_2303_1</t>
  </si>
  <si>
    <t>ER_ELEC_2304_1</t>
  </si>
  <si>
    <t>ER_ELEC_2305_1</t>
  </si>
  <si>
    <t>ER_ELEC_2306_1</t>
  </si>
  <si>
    <t>ER_ELEC_2307_1</t>
  </si>
  <si>
    <t>ER_ELEC_2308_1</t>
  </si>
  <si>
    <t>ER_ELEC_1</t>
  </si>
  <si>
    <t>ER_GAS_1</t>
  </si>
  <si>
    <t>ER_GAS_2401_1</t>
  </si>
  <si>
    <t>ER_GAS_2402_1</t>
  </si>
  <si>
    <t>ER_GAS_2403_1</t>
  </si>
  <si>
    <t>ER_GAS_2404_1</t>
  </si>
  <si>
    <t>ER_GAS_2405_1</t>
  </si>
  <si>
    <t>ER_GAS_2406_1</t>
  </si>
  <si>
    <t>ER_COAL_1</t>
  </si>
  <si>
    <t>ER_TOTAL_1</t>
  </si>
  <si>
    <t>ER_AGRICULTURE_1</t>
  </si>
  <si>
    <t>ER_INDUS_1</t>
  </si>
  <si>
    <t>ER_RESIDENTIAL_1</t>
  </si>
  <si>
    <t>ER_TERTIARY_1</t>
  </si>
  <si>
    <t>ER_TRANS_PRIVATE_1</t>
  </si>
  <si>
    <t>ER_TRANS_PUBLIC_1</t>
  </si>
  <si>
    <t>ER_AUTO_1</t>
  </si>
  <si>
    <t>ER_AUTO_TH_A_1</t>
  </si>
  <si>
    <t>ER_AUTO_TH_B_1</t>
  </si>
  <si>
    <t>ER_AUTO_TH_C_1</t>
  </si>
  <si>
    <t>ER_AUTO_TH_D_1</t>
  </si>
  <si>
    <t>ER_AUTO_TH_E_1</t>
  </si>
  <si>
    <t>ER_AUTO_TH_F_1</t>
  </si>
  <si>
    <t>ER_AUTO_TH_G_1</t>
  </si>
  <si>
    <t>ER_AUTO_ELEC_A_1</t>
  </si>
  <si>
    <t>ER_AUTO_ELEC_B_1</t>
  </si>
  <si>
    <t>ER_AUTO_ELEC_C_1</t>
  </si>
  <si>
    <t>ER_AUTO_ELEC_D_1</t>
  </si>
  <si>
    <t>ER_AUTO_ELEC_E_1</t>
  </si>
  <si>
    <t>ER_AUTO_ELEC_F_1</t>
  </si>
  <si>
    <t>ER_AUTO_ELEC_G_1</t>
  </si>
  <si>
    <t>ER_AUTO_COAL_1</t>
  </si>
  <si>
    <t>ER_AUTO_TH_1</t>
  </si>
  <si>
    <t>ER_AUTO_ELEC_1</t>
  </si>
  <si>
    <t>ER_AUTO_GAS_1</t>
  </si>
  <si>
    <t>ER_NEWAUTO_1</t>
  </si>
  <si>
    <t>ER_NEWAUTO_TH_1</t>
  </si>
  <si>
    <t>ER_NEWAUTO_TH_A_1</t>
  </si>
  <si>
    <t>ER_NEWAUTO_TH_B_1</t>
  </si>
  <si>
    <t>ER_NEWAUTO_TH_C_1</t>
  </si>
  <si>
    <t>ER_NEWAUTO_TH_D_1</t>
  </si>
  <si>
    <t>ER_NEWAUTO_TH_E_1</t>
  </si>
  <si>
    <t>ER_NEWAUTO_TH_F_1</t>
  </si>
  <si>
    <t>ER_NEWAUTO_TH_G_1</t>
  </si>
  <si>
    <t>ER_NEWAUTO_ELEC_1</t>
  </si>
  <si>
    <t>ER_NEWAUTO_ELEC_A_1</t>
  </si>
  <si>
    <t>ER_NEWAUTO_ELEC_B_1</t>
  </si>
  <si>
    <t>ER_NEWAUTO_ELEC_C_1</t>
  </si>
  <si>
    <t>ER_NEWAUTO_ELEC_D_1</t>
  </si>
  <si>
    <t>ER_NEWAUTO_ELEC_E_1</t>
  </si>
  <si>
    <t>ER_NEWAUTO_ELEC_F_1</t>
  </si>
  <si>
    <t>ER_NEWAUTO_ELEC_G_1</t>
  </si>
  <si>
    <t>ER_AGRICULTURE_COAL_1</t>
  </si>
  <si>
    <t>ER_INDUS_COAL_1</t>
  </si>
  <si>
    <t>ER_RESIDENTIAL_COAL_1</t>
  </si>
  <si>
    <t>ER_TERTIARY_COAL_1</t>
  </si>
  <si>
    <t>ER_TRANS_PRIVATE_COAL_1</t>
  </si>
  <si>
    <t>ER_TRANS_PUBLIC_COAL_1</t>
  </si>
  <si>
    <t>ER_AGRICULTURE_OIL_1</t>
  </si>
  <si>
    <t>ER_INDUS_OIL_1</t>
  </si>
  <si>
    <t>ER_RESIDENTIAL_OIL_1</t>
  </si>
  <si>
    <t>ER_TERTIARY_OIL_1</t>
  </si>
  <si>
    <t>ER_TRANS_PRIVATE_OIL_1</t>
  </si>
  <si>
    <t>ER_TRANS_PUBLIC_OIL_1</t>
  </si>
  <si>
    <t>ER_AGRICULTURE_ELEC_1</t>
  </si>
  <si>
    <t>ER_INDUS_ELEC_1</t>
  </si>
  <si>
    <t>ER_RESIDENTIAL_ELEC_1</t>
  </si>
  <si>
    <t>ER_TERTIARY_ELEC_1</t>
  </si>
  <si>
    <t>ER_TRANS_PRIVATE_ELEC_1</t>
  </si>
  <si>
    <t>ER_TRANS_PUBLIC_ELEC_1</t>
  </si>
  <si>
    <t>ER_AGRICULTURE_GAS_1</t>
  </si>
  <si>
    <t>ER_INDUS_GAS_1</t>
  </si>
  <si>
    <t>ER_RESIDENTIAL_GAS_1</t>
  </si>
  <si>
    <t>ER_TERTIARY_GAS_1</t>
  </si>
  <si>
    <t>ER_TRANS_PRIVATE_GAS_1</t>
  </si>
  <si>
    <t>ER_TRANS_PUBLIC_GAS_1</t>
  </si>
  <si>
    <t>ER_BUIL_1</t>
  </si>
  <si>
    <t>ER_BUIL_A_1</t>
  </si>
  <si>
    <t>ER_BUIL_B_1</t>
  </si>
  <si>
    <t>ER_BUIL_C_1</t>
  </si>
  <si>
    <t>ER_BUIL_D_1</t>
  </si>
  <si>
    <t>ER_BUIL_E_1</t>
  </si>
  <si>
    <t>ER_BUIL_F_1</t>
  </si>
  <si>
    <t>ER_BUIL_G_1</t>
  </si>
  <si>
    <t>EMS_DC_04_1</t>
  </si>
  <si>
    <t>EMS_DC_05_1</t>
  </si>
  <si>
    <t>EMS_DC_1</t>
  </si>
  <si>
    <t>EMS_HH_1</t>
  </si>
  <si>
    <t>EMS_HH_21_1</t>
  </si>
  <si>
    <t>EMS_HH_21_H01_1</t>
  </si>
  <si>
    <t>EMS_HH_22_1</t>
  </si>
  <si>
    <t>EMS_HH_22_H01_1</t>
  </si>
  <si>
    <t>EMS_HH_24_1</t>
  </si>
  <si>
    <t>EMS_HH_24_H01_1</t>
  </si>
  <si>
    <t>EMS_SEC_TOT_01_1</t>
  </si>
  <si>
    <t>EMS_SEC_TOT_02_1</t>
  </si>
  <si>
    <t>EMS_SEC_TOT_03_1</t>
  </si>
  <si>
    <t>EMS_SEC_TOT_04_1</t>
  </si>
  <si>
    <t>EMS_SEC_TOT_05_1</t>
  </si>
  <si>
    <t>EMS_SEC_TOT_06_1</t>
  </si>
  <si>
    <t>EMS_SEC_TOT_07_1</t>
  </si>
  <si>
    <t>EMS_SEC_TOT_08_1</t>
  </si>
  <si>
    <t>EMS_SEC_TOT_09_1</t>
  </si>
  <si>
    <t>EMS_SEC_TOT_10_1</t>
  </si>
  <si>
    <t>EMS_SEC_TOT_11_1</t>
  </si>
  <si>
    <t>EMS_SEC_TOT_12_1</t>
  </si>
  <si>
    <t>EMS_SEC_TOT_13_1</t>
  </si>
  <si>
    <t>EMS_SEC_TOT_14_1</t>
  </si>
  <si>
    <t>EMS_SEC_TOT_15_1</t>
  </si>
  <si>
    <t>EMS_SEC_TOT_16_1</t>
  </si>
  <si>
    <t>EMS_SEC_TOT_17_1</t>
  </si>
  <si>
    <t>EMS_SEC_TOT_18_1</t>
  </si>
  <si>
    <t>EMS_SEC_TOT_19_1</t>
  </si>
  <si>
    <t>EMS_SEC_TOT_1</t>
  </si>
  <si>
    <t>EMS_SEC_TOT_20_1</t>
  </si>
  <si>
    <t>EMS_SEC_TOT_21_05_1</t>
  </si>
  <si>
    <t>EMS_SEC_TOT_21_06_1</t>
  </si>
  <si>
    <t>EMS_SEC_TOT_21_07_1</t>
  </si>
  <si>
    <t>EMS_SEC_TOT_21_08_1</t>
  </si>
  <si>
    <t>EMS_SEC_TOT_21_10_1</t>
  </si>
  <si>
    <t>EMS_SEC_TOT_21_12_1</t>
  </si>
  <si>
    <t>EMS_SEC_TOT_21_19_1</t>
  </si>
  <si>
    <t>EMS_SEC_TOT_21_20_1</t>
  </si>
  <si>
    <t>EMS_SEC_TOT_21_2304_1</t>
  </si>
  <si>
    <t>EMS_SEC_TOT_2201_1</t>
  </si>
  <si>
    <t>EMS_SEC_TOT_22_01_1</t>
  </si>
  <si>
    <t>EMS_SEC_TOT_22_02_1</t>
  </si>
  <si>
    <t>EMS_SEC_TOT_22_03_1</t>
  </si>
  <si>
    <t>EMS_SEC_TOT_22_04_1</t>
  </si>
  <si>
    <t>EMS_SEC_TOT_22_05_1</t>
  </si>
  <si>
    <t>EMS_SEC_TOT_22_06_1</t>
  </si>
  <si>
    <t>EMS_SEC_TOT_22_07_1</t>
  </si>
  <si>
    <t>EMS_SEC_TOT_22_08_1</t>
  </si>
  <si>
    <t>EMS_SEC_TOT_22_09_1</t>
  </si>
  <si>
    <t>EMS_SEC_TOT_22_12_1</t>
  </si>
  <si>
    <t>EMS_SEC_TOT_22_13_1</t>
  </si>
  <si>
    <t>EMS_SEC_TOT_22_14_1</t>
  </si>
  <si>
    <t>EMS_SEC_TOT_22_15_1</t>
  </si>
  <si>
    <t>EMS_SEC_TOT_22_16_1</t>
  </si>
  <si>
    <t>EMS_SEC_TOT_22_17_1</t>
  </si>
  <si>
    <t>EMS_SEC_TOT_22_18_1</t>
  </si>
  <si>
    <t>EMS_SEC_TOT_22_19_1</t>
  </si>
  <si>
    <t>EMS_SEC_TOT_22_20_1</t>
  </si>
  <si>
    <t>EMS_SEC_TOT_22_2201_1</t>
  </si>
  <si>
    <t>EMS_SEC_TOT_22_2302_1</t>
  </si>
  <si>
    <t>EMS_SEC_TOT_2302_1</t>
  </si>
  <si>
    <t>EMS_SEC_TOT_2303_1</t>
  </si>
  <si>
    <t>EMS_SEC_TOT_2304_1</t>
  </si>
  <si>
    <t>EMS_SEC_TOT_2401_1</t>
  </si>
  <si>
    <t>EMS_SEC_TOT_24_01_1</t>
  </si>
  <si>
    <t>EMS_SEC_TOT_24_02_1</t>
  </si>
  <si>
    <t>EMS_SEC_TOT_24_03_1</t>
  </si>
  <si>
    <t>EMS_SEC_TOT_24_04_1</t>
  </si>
  <si>
    <t>EMS_SEC_TOT_24_05_1</t>
  </si>
  <si>
    <t>EMS_SEC_TOT_24_06_1</t>
  </si>
  <si>
    <t>EMS_SEC_TOT_24_07_1</t>
  </si>
  <si>
    <t>EMS_SEC_TOT_24_08_1</t>
  </si>
  <si>
    <t>EMS_SEC_TOT_24_09_1</t>
  </si>
  <si>
    <t>EMS_SEC_TOT_24_10_1</t>
  </si>
  <si>
    <t>EMS_SEC_TOT_24_11_1</t>
  </si>
  <si>
    <t>EMS_SEC_TOT_24_12_1</t>
  </si>
  <si>
    <t>EMS_SEC_TOT_24_13_1</t>
  </si>
  <si>
    <t>EMS_SEC_TOT_24_14_1</t>
  </si>
  <si>
    <t>EMS_SEC_TOT_24_15_1</t>
  </si>
  <si>
    <t>EMS_SEC_TOT_24_16_1</t>
  </si>
  <si>
    <t>EMS_SEC_TOT_24_17_1</t>
  </si>
  <si>
    <t>EMS_SEC_TOT_24_18_1</t>
  </si>
  <si>
    <t>EMS_SEC_TOT_24_19_1</t>
  </si>
  <si>
    <t>EMS_SEC_TOT_24_20_1</t>
  </si>
  <si>
    <t>EMS_SEC_TOT_24_2201_1</t>
  </si>
  <si>
    <t>EMS_SEC_TOT_24_2303_1</t>
  </si>
  <si>
    <t>EMS_SEC_TOT_24_2401_1</t>
  </si>
  <si>
    <t>EMS_SECSOU_1</t>
  </si>
  <si>
    <t>EMS_SECSOU_21_1</t>
  </si>
  <si>
    <t>EMS_SECSOU_22_1</t>
  </si>
  <si>
    <t>EMS_SECSOU_24_1</t>
  </si>
  <si>
    <t>EMS_SOU_1</t>
  </si>
  <si>
    <t>EMS_SOU_21_1</t>
  </si>
  <si>
    <t>EMS_SOU_22_1</t>
  </si>
  <si>
    <t>EMS_SOU_24_1</t>
  </si>
  <si>
    <t>EMS_TOT_1</t>
  </si>
  <si>
    <t>Q_MTEP_EP_1</t>
  </si>
  <si>
    <t>Q_MTEP_EP_21_1</t>
  </si>
  <si>
    <t>Q_MTEP_EP_21_21_1</t>
  </si>
  <si>
    <t>Q_MTEP_EP_2201_1</t>
  </si>
  <si>
    <t>Q_MTEP_EP_2202_1</t>
  </si>
  <si>
    <t>Q_MTEP_EP_22_2201_1</t>
  </si>
  <si>
    <t>Q_MTEP_EP_22_2202_1</t>
  </si>
  <si>
    <t>Q_MTEP_EP_2301_1</t>
  </si>
  <si>
    <t>Q_MTEP_EP_2302_1</t>
  </si>
  <si>
    <t>Q_MTEP_EP_2303_1</t>
  </si>
  <si>
    <t>Q_MTEP_EP_2304_1</t>
  </si>
  <si>
    <t>Q_MTEP_EP_2305_1</t>
  </si>
  <si>
    <t>Q_MTEP_EP_2306_1</t>
  </si>
  <si>
    <t>Q_MTEP_EP_2307_1</t>
  </si>
  <si>
    <t>Q_MTEP_EP_2308_1</t>
  </si>
  <si>
    <t>Q_MTEP_EP_23_2301_1</t>
  </si>
  <si>
    <t>Q_MTEP_EP_23_2302_1</t>
  </si>
  <si>
    <t>Q_MTEP_EP_23_2303_1</t>
  </si>
  <si>
    <t>Q_MTEP_EP_23_2304_1</t>
  </si>
  <si>
    <t>Q_MTEP_EP_23_2305_1</t>
  </si>
  <si>
    <t>Q_MTEP_EP_23_2306_1</t>
  </si>
  <si>
    <t>Q_MTEP_EP_23_2307_1</t>
  </si>
  <si>
    <t>Q_MTEP_EP_23_2308_1</t>
  </si>
  <si>
    <t>Q_MTEP_EP_2401_1</t>
  </si>
  <si>
    <t>Q_MTEP_EP_2402_1</t>
  </si>
  <si>
    <t>Q_MTEP_EP_2403_1</t>
  </si>
  <si>
    <t>Q_MTEP_EP_2404_1</t>
  </si>
  <si>
    <t>Q_MTEP_EP_2405_1</t>
  </si>
  <si>
    <t>Q_MTEP_EP_2406_1</t>
  </si>
  <si>
    <t>Q_MTEP_EP_24_2401_1</t>
  </si>
  <si>
    <t>Q_MTEP_EP_24_2402_1</t>
  </si>
  <si>
    <t>Q_MTEP_EP_24_2403_1</t>
  </si>
  <si>
    <t>Q_MTEP_EP_24_2404_1</t>
  </si>
  <si>
    <t>Q_MTEP_EP_24_2405_1</t>
  </si>
  <si>
    <t>Q_MTEP_EP_24_2406_1</t>
  </si>
  <si>
    <t>Q_MTEP_INDUS_21_1</t>
  </si>
  <si>
    <t>Q_MTEP_INDUS_22_1</t>
  </si>
  <si>
    <t>Q_MTEP_INDUS_23_1</t>
  </si>
  <si>
    <t>Q_MTEP_INDUS_24_1</t>
  </si>
  <si>
    <t>PHIY_EF_TOT_22_2201_1</t>
  </si>
  <si>
    <t>PHIY_EF_TOT_22_2202_1</t>
  </si>
  <si>
    <t>PHIY_EF_TOT_23_2301_1</t>
  </si>
  <si>
    <t>PHIY_EF_TOT_23_2302_1</t>
  </si>
  <si>
    <t>PHIY_EF_TOT_23_2303_1</t>
  </si>
  <si>
    <t>PHIY_EF_TOT_23_2304_1</t>
  </si>
  <si>
    <t>PHIY_EF_TOT_23_2305_1</t>
  </si>
  <si>
    <t>PHIY_EF_TOT_23_2306_1</t>
  </si>
  <si>
    <t>PHIY_EF_TOT_23_2307_1</t>
  </si>
  <si>
    <t>PHIY_EF_TOT_23_2308_1</t>
  </si>
  <si>
    <t>PHIY_EF_TOT_24_2401_1</t>
  </si>
  <si>
    <t>PHIY_EF_TOT_24_2402_1</t>
  </si>
  <si>
    <t>PHIY_EF_TOT_24_2403_1</t>
  </si>
  <si>
    <t>PHIY_EF_TOT_24_2404_1</t>
  </si>
  <si>
    <t>PHIY_EF_TOT_24_2405_1</t>
  </si>
  <si>
    <t>PHIY_EF_TOT_24_2406_1</t>
  </si>
  <si>
    <t>IC_HH_22_H01_1</t>
  </si>
  <si>
    <t>ER_TRANS_PRIVATE_coal_1</t>
  </si>
  <si>
    <t>ER_TRANS_PRIVATE_oil_1</t>
  </si>
  <si>
    <t>ER_TRANS_PRIVATE_elec_1</t>
  </si>
  <si>
    <t>ER_TRANS_PRIVATE_gas_1</t>
  </si>
  <si>
    <t>ER_TRANS_PUBLIC_coal_1</t>
  </si>
  <si>
    <t>ER_TRANS_PUBLIC_oil_1</t>
  </si>
  <si>
    <t>ER_TRANS_PUBLIC_elec_1</t>
  </si>
  <si>
    <t>ER_TRANS_PUBLIC_gas_1</t>
  </si>
  <si>
    <t>ER_RESIDENTIAL_coal_1</t>
  </si>
  <si>
    <t>ER_RESIDENTIAL_oil_1</t>
  </si>
  <si>
    <t>ER_RESIDENTIAL_elec_1</t>
  </si>
  <si>
    <t>ER_RESIDENTIAL_gas_1</t>
  </si>
  <si>
    <t>ER_TERTIARY_coal_1</t>
  </si>
  <si>
    <t>ER_TERTIARY_oil_1</t>
  </si>
  <si>
    <t>ER_TERTIARY_elec_1</t>
  </si>
  <si>
    <t>ER_TERTIARY_gas_1</t>
  </si>
  <si>
    <t>ER_INDUS_coal_1</t>
  </si>
  <si>
    <t>ER_INDUS_oil_1</t>
  </si>
  <si>
    <t>ER_INDUS_elec_1</t>
  </si>
  <si>
    <t>ER_INDUS_gas_1</t>
  </si>
  <si>
    <t>Q_Mtep_indus_21_1</t>
  </si>
  <si>
    <t>Q_Mtep_indus_22_1</t>
  </si>
  <si>
    <t>Q_Mtep_indus_23_1</t>
  </si>
  <si>
    <t>Q_Mtep_indus_24_1</t>
  </si>
  <si>
    <t>ER_AGRICULTURE_coal_1</t>
  </si>
  <si>
    <t>ER_AGRICULTURE_oil_1</t>
  </si>
  <si>
    <t>ER_AGRICULTURE_elec_1</t>
  </si>
  <si>
    <t>ER_AGRICULTURE_gas_1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</si>
</sst>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#,##0.0"/>
    <numFmt numFmtId="167" formatCode="0.000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theme="1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  <scheme val="minor"/>
    </font>
    <font>
      <b/>
      <sz val="16"/>
      <color theme="1"/>
      <name val="Calibri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auto="1"/>
      </top>
      <bottom style="dotted">
        <color auto="1"/>
      </bottom>
      <diagonal/>
    </border>
    <border>
      <left/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 style="dotted">
        <color auto="1"/>
      </bottom>
      <diagonal/>
    </border>
    <border>
      <left/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/>
      <top style="dotted">
        <color auto="1"/>
      </top>
      <bottom style="dotted">
        <color auto="1"/>
      </bottom>
      <diagonal/>
    </border>
    <border>
      <left/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15" fillId="0" borderId="0"/>
    <xf numFmtId="0" fontId="19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5" fillId="0" borderId="0"/>
  </cellStyleXfs>
  <cellXfs count="275">
    <xf numFmtId="0" fontId="0" fillId="0" borderId="0" xfId="0"/>
    <xf numFmtId="0" fontId="3" fillId="0" borderId="0" xfId="0" applyFont="1"/>
    <xf numFmtId="0" fontId="0" fillId="2" borderId="1" xfId="0" applyFill="1" applyBorder="1"/>
    <xf numFmtId="0" fontId="0" fillId="2" borderId="0" xfId="0" applyFill="1"/>
    <xf numFmtId="0" fontId="2" fillId="2" borderId="1" xfId="0" applyFont="1" applyFill="1" applyBorder="1" applyAlignment="1">
      <alignment horizontal="right"/>
    </xf>
    <xf numFmtId="0" fontId="2" fillId="2" borderId="1" xfId="0" applyFont="1" applyFill="1" applyBorder="1"/>
    <xf numFmtId="1" fontId="2" fillId="3" borderId="3" xfId="0" applyNumberFormat="1" applyFont="1" applyFill="1" applyBorder="1" applyAlignment="1">
      <alignment horizontal="right"/>
    </xf>
    <xf numFmtId="0" fontId="0" fillId="2" borderId="3" xfId="0" applyFill="1" applyBorder="1"/>
    <xf numFmtId="1" fontId="2" fillId="3" borderId="1" xfId="0" applyNumberFormat="1" applyFont="1" applyFill="1" applyBorder="1" applyAlignment="1">
      <alignment horizontal="right"/>
    </xf>
    <xf numFmtId="1" fontId="2" fillId="4" borderId="1" xfId="0" applyNumberFormat="1" applyFont="1" applyFill="1" applyBorder="1"/>
    <xf numFmtId="0" fontId="0" fillId="0" borderId="3" xfId="0" applyBorder="1"/>
    <xf numFmtId="0" fontId="4" fillId="0" borderId="0" xfId="0" applyFont="1"/>
    <xf numFmtId="0" fontId="5" fillId="0" borderId="0" xfId="0" applyFont="1"/>
    <xf numFmtId="0" fontId="2" fillId="0" borderId="1" xfId="0" applyFont="1" applyBorder="1"/>
    <xf numFmtId="0" fontId="7" fillId="0" borderId="0" xfId="0" applyFont="1" applyAlignment="1">
      <alignment horizontal="left" indent="2"/>
    </xf>
    <xf numFmtId="0" fontId="9" fillId="0" borderId="0" xfId="0" applyFont="1"/>
    <xf numFmtId="0" fontId="10" fillId="0" borderId="0" xfId="0" applyFont="1"/>
    <xf numFmtId="1" fontId="2" fillId="2" borderId="1" xfId="0" applyNumberFormat="1" applyFont="1" applyFill="1" applyBorder="1" applyAlignment="1">
      <alignment horizontal="left"/>
    </xf>
    <xf numFmtId="0" fontId="0" fillId="2" borderId="2" xfId="0" applyFill="1" applyBorder="1"/>
    <xf numFmtId="1" fontId="0" fillId="2" borderId="0" xfId="0" applyNumberFormat="1" applyFill="1" applyAlignment="1">
      <alignment horizontal="right"/>
    </xf>
    <xf numFmtId="1" fontId="0" fillId="2" borderId="3" xfId="0" applyNumberFormat="1" applyFill="1" applyBorder="1" applyAlignment="1">
      <alignment horizontal="right"/>
    </xf>
    <xf numFmtId="3" fontId="0" fillId="0" borderId="0" xfId="0" applyNumberFormat="1"/>
    <xf numFmtId="3" fontId="2" fillId="3" borderId="3" xfId="0" applyNumberFormat="1" applyFont="1" applyFill="1" applyBorder="1" applyAlignment="1">
      <alignment horizontal="right"/>
    </xf>
    <xf numFmtId="0" fontId="2" fillId="0" borderId="0" xfId="0" applyFont="1"/>
    <xf numFmtId="1" fontId="0" fillId="0" borderId="0" xfId="0" applyNumberFormat="1"/>
    <xf numFmtId="0" fontId="2" fillId="2" borderId="0" xfId="0" applyFont="1" applyFill="1" applyAlignment="1">
      <alignment horizontal="right"/>
    </xf>
    <xf numFmtId="0" fontId="2" fillId="2" borderId="4" xfId="0" applyFont="1" applyFill="1" applyBorder="1" applyAlignment="1">
      <alignment horizontal="right"/>
    </xf>
    <xf numFmtId="1" fontId="2" fillId="3" borderId="4" xfId="0" applyNumberFormat="1" applyFont="1" applyFill="1" applyBorder="1" applyAlignment="1">
      <alignment horizontal="right"/>
    </xf>
    <xf numFmtId="1" fontId="0" fillId="2" borderId="5" xfId="0" applyNumberFormat="1" applyFill="1" applyBorder="1" applyAlignment="1">
      <alignment horizontal="right"/>
    </xf>
    <xf numFmtId="1" fontId="2" fillId="4" borderId="4" xfId="0" applyNumberFormat="1" applyFont="1" applyFill="1" applyBorder="1"/>
    <xf numFmtId="0" fontId="6" fillId="0" borderId="1" xfId="0" applyFont="1" applyBorder="1"/>
    <xf numFmtId="3" fontId="0" fillId="2" borderId="0" xfId="0" applyNumberFormat="1" applyFill="1" applyAlignment="1">
      <alignment horizontal="right"/>
    </xf>
    <xf numFmtId="0" fontId="10" fillId="0" borderId="3" xfId="0" applyFont="1" applyBorder="1"/>
    <xf numFmtId="1" fontId="2" fillId="2" borderId="1" xfId="0" applyNumberFormat="1" applyFont="1" applyFill="1" applyBorder="1" applyAlignment="1">
      <alignment horizontal="right"/>
    </xf>
    <xf numFmtId="1" fontId="2" fillId="0" borderId="0" xfId="0" applyNumberFormat="1" applyFont="1" applyAlignment="1">
      <alignment horizontal="right"/>
    </xf>
    <xf numFmtId="1" fontId="11" fillId="5" borderId="1" xfId="0" applyNumberFormat="1" applyFont="1" applyFill="1" applyBorder="1" applyAlignment="1">
      <alignment horizontal="right"/>
    </xf>
    <xf numFmtId="1" fontId="11" fillId="5" borderId="4" xfId="0" applyNumberFormat="1" applyFont="1" applyFill="1" applyBorder="1" applyAlignment="1">
      <alignment horizontal="right"/>
    </xf>
    <xf numFmtId="1" fontId="16" fillId="2" borderId="0" xfId="0" applyNumberFormat="1" applyFont="1" applyFill="1" applyAlignment="1">
      <alignment horizontal="right"/>
    </xf>
    <xf numFmtId="1" fontId="11" fillId="6" borderId="1" xfId="0" applyNumberFormat="1" applyFont="1" applyFill="1" applyBorder="1"/>
    <xf numFmtId="164" fontId="0" fillId="0" borderId="0" xfId="0" applyNumberFormat="1"/>
    <xf numFmtId="1" fontId="11" fillId="6" borderId="4" xfId="0" applyNumberFormat="1" applyFont="1" applyFill="1" applyBorder="1"/>
    <xf numFmtId="1" fontId="16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6" fillId="0" borderId="0" xfId="0" applyFont="1"/>
    <xf numFmtId="0" fontId="2" fillId="0" borderId="0" xfId="0" applyFont="1" applyAlignment="1">
      <alignment horizontal="right"/>
    </xf>
    <xf numFmtId="1" fontId="11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1" fontId="11" fillId="0" borderId="0" xfId="0" applyNumberFormat="1" applyFont="1"/>
    <xf numFmtId="1" fontId="2" fillId="0" borderId="0" xfId="0" applyNumberFormat="1" applyFont="1"/>
    <xf numFmtId="164" fontId="14" fillId="0" borderId="0" xfId="0" applyNumberFormat="1" applyFont="1"/>
    <xf numFmtId="1" fontId="13" fillId="0" borderId="0" xfId="0" applyNumberFormat="1" applyFont="1"/>
    <xf numFmtId="2" fontId="2" fillId="0" borderId="0" xfId="0" applyNumberFormat="1" applyFont="1"/>
    <xf numFmtId="165" fontId="2" fillId="0" borderId="0" xfId="1" applyNumberFormat="1" applyFont="1" applyFill="1" applyBorder="1" applyAlignment="1">
      <alignment horizontal="right"/>
    </xf>
    <xf numFmtId="2" fontId="0" fillId="0" borderId="0" xfId="0" applyNumberFormat="1" applyAlignment="1">
      <alignment horizontal="right"/>
    </xf>
    <xf numFmtId="165" fontId="2" fillId="0" borderId="0" xfId="1" applyNumberFormat="1" applyFont="1" applyFill="1" applyBorder="1"/>
    <xf numFmtId="164" fontId="0" fillId="2" borderId="0" xfId="0" applyNumberFormat="1" applyFill="1" applyAlignment="1">
      <alignment horizontal="right"/>
    </xf>
    <xf numFmtId="0" fontId="7" fillId="2" borderId="0" xfId="0" applyFont="1" applyFill="1" applyAlignment="1">
      <alignment horizontal="left" indent="2"/>
    </xf>
    <xf numFmtId="1" fontId="2" fillId="7" borderId="1" xfId="0" applyNumberFormat="1" applyFont="1" applyFill="1" applyBorder="1" applyAlignment="1">
      <alignment horizontal="right"/>
    </xf>
    <xf numFmtId="1" fontId="2" fillId="8" borderId="1" xfId="0" applyNumberFormat="1" applyFont="1" applyFill="1" applyBorder="1"/>
    <xf numFmtId="2" fontId="0" fillId="2" borderId="0" xfId="0" applyNumberFormat="1" applyFill="1" applyAlignment="1">
      <alignment horizontal="right"/>
    </xf>
    <xf numFmtId="164" fontId="2" fillId="8" borderId="1" xfId="0" applyNumberFormat="1" applyFont="1" applyFill="1" applyBorder="1"/>
    <xf numFmtId="164" fontId="2" fillId="7" borderId="1" xfId="0" applyNumberFormat="1" applyFont="1" applyFill="1" applyBorder="1" applyAlignment="1">
      <alignment horizontal="right"/>
    </xf>
    <xf numFmtId="0" fontId="19" fillId="0" borderId="0" xfId="3" applyFill="1"/>
    <xf numFmtId="2" fontId="2" fillId="2" borderId="3" xfId="0" applyNumberFormat="1" applyFont="1" applyFill="1" applyBorder="1" applyAlignment="1">
      <alignment horizontal="right"/>
    </xf>
    <xf numFmtId="2" fontId="2" fillId="2" borderId="0" xfId="0" applyNumberFormat="1" applyFont="1" applyFill="1" applyAlignment="1">
      <alignment horizontal="right"/>
    </xf>
    <xf numFmtId="0" fontId="4" fillId="2" borderId="0" xfId="0" applyFont="1" applyFill="1"/>
    <xf numFmtId="0" fontId="5" fillId="2" borderId="0" xfId="0" applyFont="1" applyFill="1"/>
    <xf numFmtId="0" fontId="6" fillId="2" borderId="3" xfId="0" applyFont="1" applyFill="1" applyBorder="1"/>
    <xf numFmtId="0" fontId="6" fillId="2" borderId="0" xfId="0" applyFont="1" applyFill="1"/>
    <xf numFmtId="1" fontId="0" fillId="2" borderId="0" xfId="0" applyNumberFormat="1" applyFill="1"/>
    <xf numFmtId="0" fontId="3" fillId="2" borderId="0" xfId="0" applyFont="1" applyFill="1"/>
    <xf numFmtId="164" fontId="0" fillId="2" borderId="0" xfId="0" applyNumberFormat="1" applyFill="1"/>
    <xf numFmtId="1" fontId="2" fillId="8" borderId="4" xfId="0" applyNumberFormat="1" applyFont="1" applyFill="1" applyBorder="1"/>
    <xf numFmtId="0" fontId="6" fillId="2" borderId="1" xfId="0" applyFont="1" applyFill="1" applyBorder="1"/>
    <xf numFmtId="0" fontId="8" fillId="2" borderId="2" xfId="0" applyFont="1" applyFill="1" applyBorder="1"/>
    <xf numFmtId="3" fontId="2" fillId="9" borderId="11" xfId="0" applyNumberFormat="1" applyFont="1" applyFill="1" applyBorder="1" applyAlignment="1">
      <alignment horizontal="right"/>
    </xf>
    <xf numFmtId="0" fontId="0" fillId="2" borderId="12" xfId="0" applyFill="1" applyBorder="1"/>
    <xf numFmtId="3" fontId="2" fillId="3" borderId="13" xfId="0" applyNumberFormat="1" applyFont="1" applyFill="1" applyBorder="1" applyAlignment="1">
      <alignment horizontal="right"/>
    </xf>
    <xf numFmtId="0" fontId="10" fillId="2" borderId="0" xfId="0" applyFont="1" applyFill="1"/>
    <xf numFmtId="3" fontId="0" fillId="2" borderId="13" xfId="0" applyNumberFormat="1" applyFill="1" applyBorder="1" applyAlignment="1">
      <alignment horizontal="right"/>
    </xf>
    <xf numFmtId="0" fontId="7" fillId="2" borderId="3" xfId="0" applyFont="1" applyFill="1" applyBorder="1" applyAlignment="1">
      <alignment horizontal="left" indent="2"/>
    </xf>
    <xf numFmtId="3" fontId="0" fillId="2" borderId="3" xfId="0" applyNumberFormat="1" applyFill="1" applyBorder="1" applyAlignment="1">
      <alignment horizontal="right"/>
    </xf>
    <xf numFmtId="0" fontId="2" fillId="2" borderId="11" xfId="0" applyFont="1" applyFill="1" applyBorder="1"/>
    <xf numFmtId="3" fontId="2" fillId="9" borderId="2" xfId="0" applyNumberFormat="1" applyFont="1" applyFill="1" applyBorder="1" applyAlignment="1">
      <alignment horizontal="right"/>
    </xf>
    <xf numFmtId="0" fontId="2" fillId="2" borderId="0" xfId="0" applyFont="1" applyFill="1"/>
    <xf numFmtId="3" fontId="2" fillId="3" borderId="12" xfId="0" applyNumberFormat="1" applyFont="1" applyFill="1" applyBorder="1" applyAlignment="1">
      <alignment horizontal="right"/>
    </xf>
    <xf numFmtId="0" fontId="7" fillId="2" borderId="14" xfId="0" applyFont="1" applyFill="1" applyBorder="1" applyAlignment="1">
      <alignment horizontal="left" indent="2"/>
    </xf>
    <xf numFmtId="0" fontId="10" fillId="2" borderId="14" xfId="0" applyFont="1" applyFill="1" applyBorder="1"/>
    <xf numFmtId="0" fontId="2" fillId="2" borderId="12" xfId="0" applyFont="1" applyFill="1" applyBorder="1"/>
    <xf numFmtId="3" fontId="0" fillId="2" borderId="0" xfId="1" applyNumberFormat="1" applyFont="1" applyFill="1" applyBorder="1" applyAlignment="1">
      <alignment horizontal="right"/>
    </xf>
    <xf numFmtId="0" fontId="10" fillId="2" borderId="3" xfId="0" applyFont="1" applyFill="1" applyBorder="1"/>
    <xf numFmtId="165" fontId="2" fillId="3" borderId="13" xfId="0" applyNumberFormat="1" applyFont="1" applyFill="1" applyBorder="1" applyAlignment="1">
      <alignment horizontal="right"/>
    </xf>
    <xf numFmtId="165" fontId="0" fillId="2" borderId="0" xfId="0" applyNumberFormat="1" applyFill="1" applyAlignment="1">
      <alignment horizontal="right"/>
    </xf>
    <xf numFmtId="165" fontId="0" fillId="2" borderId="13" xfId="0" applyNumberFormat="1" applyFill="1" applyBorder="1" applyAlignment="1">
      <alignment horizontal="right"/>
    </xf>
    <xf numFmtId="165" fontId="0" fillId="2" borderId="3" xfId="0" applyNumberFormat="1" applyFill="1" applyBorder="1" applyAlignment="1">
      <alignment horizontal="right"/>
    </xf>
    <xf numFmtId="165" fontId="2" fillId="3" borderId="12" xfId="0" applyNumberFormat="1" applyFont="1" applyFill="1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65" fontId="0" fillId="2" borderId="3" xfId="1" applyNumberFormat="1" applyFont="1" applyFill="1" applyBorder="1" applyAlignment="1">
      <alignment horizontal="right"/>
    </xf>
    <xf numFmtId="165" fontId="0" fillId="2" borderId="2" xfId="0" applyNumberFormat="1" applyFill="1" applyBorder="1" applyAlignment="1">
      <alignment horizontal="right"/>
    </xf>
    <xf numFmtId="1" fontId="2" fillId="2" borderId="0" xfId="0" applyNumberFormat="1" applyFont="1" applyFill="1" applyAlignment="1">
      <alignment horizontal="right"/>
    </xf>
    <xf numFmtId="11" fontId="0" fillId="0" borderId="0" xfId="0" applyNumberFormat="1"/>
    <xf numFmtId="0" fontId="2" fillId="2" borderId="1" xfId="0" applyFont="1" applyFill="1" applyBorder="1" applyAlignment="1">
      <alignment horizontal="right" wrapText="1" shrinkToFit="1"/>
    </xf>
    <xf numFmtId="3" fontId="0" fillId="0" borderId="0" xfId="0" applyNumberFormat="1" applyAlignment="1">
      <alignment horizontal="right"/>
    </xf>
    <xf numFmtId="164" fontId="20" fillId="2" borderId="0" xfId="0" applyNumberFormat="1" applyFont="1" applyFill="1"/>
    <xf numFmtId="1" fontId="20" fillId="2" borderId="0" xfId="0" applyNumberFormat="1" applyFont="1" applyFill="1"/>
    <xf numFmtId="1" fontId="2" fillId="2" borderId="0" xfId="0" applyNumberFormat="1" applyFont="1" applyFill="1"/>
    <xf numFmtId="1" fontId="11" fillId="2" borderId="0" xfId="0" applyNumberFormat="1" applyFont="1" applyFill="1"/>
    <xf numFmtId="0" fontId="16" fillId="2" borderId="0" xfId="0" applyFont="1" applyFill="1"/>
    <xf numFmtId="1" fontId="2" fillId="2" borderId="16" xfId="0" applyNumberFormat="1" applyFont="1" applyFill="1" applyBorder="1" applyAlignment="1">
      <alignment horizontal="right"/>
    </xf>
    <xf numFmtId="1" fontId="2" fillId="3" borderId="9" xfId="0" applyNumberFormat="1" applyFont="1" applyFill="1" applyBorder="1" applyAlignment="1">
      <alignment horizontal="right"/>
    </xf>
    <xf numFmtId="1" fontId="2" fillId="3" borderId="10" xfId="0" applyNumberFormat="1" applyFont="1" applyFill="1" applyBorder="1" applyAlignment="1">
      <alignment horizontal="right"/>
    </xf>
    <xf numFmtId="1" fontId="0" fillId="2" borderId="6" xfId="0" applyNumberFormat="1" applyFill="1" applyBorder="1" applyAlignment="1">
      <alignment horizontal="right"/>
    </xf>
    <xf numFmtId="1" fontId="2" fillId="3" borderId="16" xfId="0" applyNumberFormat="1" applyFont="1" applyFill="1" applyBorder="1" applyAlignment="1">
      <alignment horizontal="right"/>
    </xf>
    <xf numFmtId="1" fontId="0" fillId="2" borderId="9" xfId="0" applyNumberFormat="1" applyFill="1" applyBorder="1" applyAlignment="1">
      <alignment horizontal="right"/>
    </xf>
    <xf numFmtId="1" fontId="0" fillId="2" borderId="10" xfId="0" applyNumberFormat="1" applyFill="1" applyBorder="1" applyAlignment="1">
      <alignment horizontal="right"/>
    </xf>
    <xf numFmtId="1" fontId="2" fillId="4" borderId="16" xfId="0" applyNumberFormat="1" applyFont="1" applyFill="1" applyBorder="1"/>
    <xf numFmtId="1" fontId="2" fillId="2" borderId="4" xfId="0" applyNumberFormat="1" applyFont="1" applyFill="1" applyBorder="1" applyAlignment="1">
      <alignment horizontal="right"/>
    </xf>
    <xf numFmtId="0" fontId="2" fillId="2" borderId="16" xfId="0" applyFont="1" applyFill="1" applyBorder="1" applyAlignment="1">
      <alignment horizontal="right"/>
    </xf>
    <xf numFmtId="0" fontId="2" fillId="2" borderId="15" xfId="0" applyFont="1" applyFill="1" applyBorder="1" applyAlignment="1">
      <alignment horizontal="right"/>
    </xf>
    <xf numFmtId="1" fontId="2" fillId="3" borderId="17" xfId="0" applyNumberFormat="1" applyFont="1" applyFill="1" applyBorder="1" applyAlignment="1">
      <alignment horizontal="right"/>
    </xf>
    <xf numFmtId="1" fontId="0" fillId="2" borderId="18" xfId="0" applyNumberFormat="1" applyFill="1" applyBorder="1" applyAlignment="1">
      <alignment horizontal="right"/>
    </xf>
    <xf numFmtId="1" fontId="2" fillId="3" borderId="15" xfId="0" applyNumberFormat="1" applyFont="1" applyFill="1" applyBorder="1" applyAlignment="1">
      <alignment horizontal="right"/>
    </xf>
    <xf numFmtId="1" fontId="0" fillId="2" borderId="17" xfId="0" applyNumberFormat="1" applyFill="1" applyBorder="1" applyAlignment="1">
      <alignment horizontal="right"/>
    </xf>
    <xf numFmtId="1" fontId="2" fillId="4" borderId="15" xfId="0" applyNumberFormat="1" applyFont="1" applyFill="1" applyBorder="1"/>
    <xf numFmtId="3" fontId="2" fillId="9" borderId="19" xfId="0" applyNumberFormat="1" applyFont="1" applyFill="1" applyBorder="1" applyAlignment="1">
      <alignment horizontal="right"/>
    </xf>
    <xf numFmtId="3" fontId="2" fillId="9" borderId="20" xfId="0" applyNumberFormat="1" applyFont="1" applyFill="1" applyBorder="1" applyAlignment="1">
      <alignment horizontal="right"/>
    </xf>
    <xf numFmtId="3" fontId="0" fillId="2" borderId="5" xfId="0" applyNumberFormat="1" applyFill="1" applyBorder="1" applyAlignment="1">
      <alignment horizontal="right"/>
    </xf>
    <xf numFmtId="3" fontId="0" fillId="2" borderId="6" xfId="0" applyNumberFormat="1" applyFill="1" applyBorder="1" applyAlignment="1">
      <alignment horizontal="right"/>
    </xf>
    <xf numFmtId="3" fontId="2" fillId="9" borderId="7" xfId="0" applyNumberFormat="1" applyFont="1" applyFill="1" applyBorder="1" applyAlignment="1">
      <alignment horizontal="right"/>
    </xf>
    <xf numFmtId="3" fontId="2" fillId="9" borderId="25" xfId="0" applyNumberFormat="1" applyFont="1" applyFill="1" applyBorder="1" applyAlignment="1">
      <alignment horizontal="right"/>
    </xf>
    <xf numFmtId="3" fontId="0" fillId="2" borderId="18" xfId="0" applyNumberFormat="1" applyFill="1" applyBorder="1" applyAlignment="1">
      <alignment horizontal="right"/>
    </xf>
    <xf numFmtId="3" fontId="2" fillId="3" borderId="9" xfId="0" applyNumberFormat="1" applyFont="1" applyFill="1" applyBorder="1" applyAlignment="1">
      <alignment horizontal="right"/>
    </xf>
    <xf numFmtId="3" fontId="2" fillId="3" borderId="10" xfId="0" applyNumberFormat="1" applyFont="1" applyFill="1" applyBorder="1" applyAlignment="1">
      <alignment horizontal="right"/>
    </xf>
    <xf numFmtId="165" fontId="0" fillId="2" borderId="8" xfId="0" applyNumberFormat="1" applyFill="1" applyBorder="1" applyAlignment="1">
      <alignment horizontal="right"/>
    </xf>
    <xf numFmtId="165" fontId="0" fillId="2" borderId="7" xfId="0" applyNumberFormat="1" applyFill="1" applyBorder="1" applyAlignment="1">
      <alignment horizontal="right"/>
    </xf>
    <xf numFmtId="165" fontId="0" fillId="2" borderId="5" xfId="0" applyNumberFormat="1" applyFill="1" applyBorder="1" applyAlignment="1">
      <alignment horizontal="right"/>
    </xf>
    <xf numFmtId="165" fontId="0" fillId="2" borderId="6" xfId="0" applyNumberFormat="1" applyFill="1" applyBorder="1" applyAlignment="1">
      <alignment horizontal="right"/>
    </xf>
    <xf numFmtId="165" fontId="0" fillId="2" borderId="9" xfId="0" applyNumberFormat="1" applyFill="1" applyBorder="1" applyAlignment="1">
      <alignment horizontal="right"/>
    </xf>
    <xf numFmtId="165" fontId="0" fillId="2" borderId="10" xfId="0" applyNumberFormat="1" applyFill="1" applyBorder="1" applyAlignment="1">
      <alignment horizontal="right"/>
    </xf>
    <xf numFmtId="3" fontId="2" fillId="3" borderId="17" xfId="0" applyNumberFormat="1" applyFont="1" applyFill="1" applyBorder="1" applyAlignment="1">
      <alignment horizontal="right"/>
    </xf>
    <xf numFmtId="165" fontId="0" fillId="2" borderId="27" xfId="0" applyNumberFormat="1" applyFill="1" applyBorder="1" applyAlignment="1">
      <alignment horizontal="right"/>
    </xf>
    <xf numFmtId="165" fontId="0" fillId="2" borderId="18" xfId="0" applyNumberFormat="1" applyFill="1" applyBorder="1" applyAlignment="1">
      <alignment horizontal="right"/>
    </xf>
    <xf numFmtId="165" fontId="0" fillId="2" borderId="17" xfId="0" applyNumberFormat="1" applyFill="1" applyBorder="1" applyAlignment="1">
      <alignment horizontal="right"/>
    </xf>
    <xf numFmtId="165" fontId="2" fillId="3" borderId="26" xfId="0" applyNumberFormat="1" applyFont="1" applyFill="1" applyBorder="1" applyAlignment="1">
      <alignment horizontal="right"/>
    </xf>
    <xf numFmtId="165" fontId="0" fillId="2" borderId="26" xfId="0" applyNumberFormat="1" applyFill="1" applyBorder="1" applyAlignment="1">
      <alignment horizontal="right"/>
    </xf>
    <xf numFmtId="165" fontId="2" fillId="3" borderId="28" xfId="0" applyNumberFormat="1" applyFont="1" applyFill="1" applyBorder="1" applyAlignment="1">
      <alignment horizontal="right"/>
    </xf>
    <xf numFmtId="165" fontId="0" fillId="2" borderId="18" xfId="1" applyNumberFormat="1" applyFont="1" applyFill="1" applyBorder="1" applyAlignment="1">
      <alignment horizontal="right"/>
    </xf>
    <xf numFmtId="165" fontId="0" fillId="2" borderId="17" xfId="1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165" fontId="2" fillId="3" borderId="22" xfId="0" applyNumberFormat="1" applyFont="1" applyFill="1" applyBorder="1" applyAlignment="1">
      <alignment horizontal="right"/>
    </xf>
    <xf numFmtId="165" fontId="0" fillId="2" borderId="21" xfId="0" applyNumberFormat="1" applyFill="1" applyBorder="1" applyAlignment="1">
      <alignment horizontal="right"/>
    </xf>
    <xf numFmtId="165" fontId="0" fillId="2" borderId="22" xfId="0" applyNumberFormat="1" applyFill="1" applyBorder="1" applyAlignment="1">
      <alignment horizontal="right"/>
    </xf>
    <xf numFmtId="165" fontId="2" fillId="3" borderId="23" xfId="0" applyNumberFormat="1" applyFont="1" applyFill="1" applyBorder="1" applyAlignment="1">
      <alignment horizontal="right"/>
    </xf>
    <xf numFmtId="165" fontId="2" fillId="3" borderId="24" xfId="0" applyNumberFormat="1" applyFont="1" applyFill="1" applyBorder="1" applyAlignment="1">
      <alignment horizontal="right"/>
    </xf>
    <xf numFmtId="165" fontId="0" fillId="2" borderId="5" xfId="1" applyNumberFormat="1" applyFont="1" applyFill="1" applyBorder="1" applyAlignment="1">
      <alignment horizontal="right"/>
    </xf>
    <xf numFmtId="165" fontId="0" fillId="2" borderId="6" xfId="1" applyNumberFormat="1" applyFont="1" applyFill="1" applyBorder="1" applyAlignment="1">
      <alignment horizontal="right"/>
    </xf>
    <xf numFmtId="165" fontId="0" fillId="2" borderId="9" xfId="1" applyNumberFormat="1" applyFont="1" applyFill="1" applyBorder="1" applyAlignment="1">
      <alignment horizontal="right"/>
    </xf>
    <xf numFmtId="165" fontId="0" fillId="2" borderId="10" xfId="1" applyNumberFormat="1" applyFont="1" applyFill="1" applyBorder="1" applyAlignment="1">
      <alignment horizontal="right"/>
    </xf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165" fontId="0" fillId="0" borderId="0" xfId="0" applyNumberFormat="1"/>
    <xf numFmtId="165" fontId="0" fillId="0" borderId="33" xfId="0" applyNumberFormat="1" applyBorder="1"/>
    <xf numFmtId="0" fontId="0" fillId="0" borderId="34" xfId="0" applyBorder="1"/>
    <xf numFmtId="165" fontId="0" fillId="0" borderId="35" xfId="0" applyNumberFormat="1" applyBorder="1"/>
    <xf numFmtId="165" fontId="0" fillId="0" borderId="36" xfId="0" applyNumberFormat="1" applyBorder="1"/>
    <xf numFmtId="165" fontId="2" fillId="3" borderId="21" xfId="0" applyNumberFormat="1" applyFont="1" applyFill="1" applyBorder="1" applyAlignment="1">
      <alignment horizontal="center"/>
    </xf>
    <xf numFmtId="165" fontId="2" fillId="3" borderId="26" xfId="0" applyNumberFormat="1" applyFont="1" applyFill="1" applyBorder="1" applyAlignment="1">
      <alignment horizontal="center"/>
    </xf>
    <xf numFmtId="1" fontId="21" fillId="2" borderId="0" xfId="0" applyNumberFormat="1" applyFont="1" applyFill="1" applyAlignment="1">
      <alignment horizontal="right"/>
    </xf>
    <xf numFmtId="0" fontId="2" fillId="2" borderId="4" xfId="0" applyFont="1" applyFill="1" applyBorder="1" applyAlignment="1">
      <alignment horizontal="right" wrapText="1" shrinkToFit="1"/>
    </xf>
    <xf numFmtId="1" fontId="11" fillId="5" borderId="15" xfId="0" applyNumberFormat="1" applyFont="1" applyFill="1" applyBorder="1" applyAlignment="1">
      <alignment horizontal="right"/>
    </xf>
    <xf numFmtId="1" fontId="16" fillId="2" borderId="5" xfId="0" applyNumberFormat="1" applyFont="1" applyFill="1" applyBorder="1" applyAlignment="1">
      <alignment horizontal="right"/>
    </xf>
    <xf numFmtId="1" fontId="11" fillId="6" borderId="15" xfId="0" applyNumberFormat="1" applyFont="1" applyFill="1" applyBorder="1"/>
    <xf numFmtId="0" fontId="12" fillId="2" borderId="4" xfId="0" applyFont="1" applyFill="1" applyBorder="1"/>
    <xf numFmtId="0" fontId="0" fillId="0" borderId="2" xfId="0" applyBorder="1"/>
    <xf numFmtId="1" fontId="2" fillId="3" borderId="4" xfId="0" applyNumberFormat="1" applyFont="1" applyFill="1" applyBorder="1" applyAlignment="1">
      <alignment horizontal="left"/>
    </xf>
    <xf numFmtId="0" fontId="7" fillId="2" borderId="8" xfId="0" applyFont="1" applyFill="1" applyBorder="1" applyAlignment="1">
      <alignment horizontal="left" indent="2"/>
    </xf>
    <xf numFmtId="0" fontId="7" fillId="2" borderId="5" xfId="0" applyFont="1" applyFill="1" applyBorder="1" applyAlignment="1">
      <alignment horizontal="left" indent="2"/>
    </xf>
    <xf numFmtId="1" fontId="2" fillId="5" borderId="4" xfId="0" applyNumberFormat="1" applyFont="1" applyFill="1" applyBorder="1" applyAlignment="1">
      <alignment horizontal="left"/>
    </xf>
    <xf numFmtId="1" fontId="2" fillId="6" borderId="4" xfId="0" applyNumberFormat="1" applyFont="1" applyFill="1" applyBorder="1"/>
    <xf numFmtId="0" fontId="2" fillId="10" borderId="0" xfId="0" applyFont="1" applyFill="1"/>
    <xf numFmtId="0" fontId="22" fillId="2" borderId="0" xfId="4" applyFill="1" applyBorder="1"/>
    <xf numFmtId="9" fontId="22" fillId="0" borderId="0" xfId="4" applyNumberFormat="1"/>
    <xf numFmtId="166" fontId="2" fillId="9" borderId="2" xfId="0" applyNumberFormat="1" applyFont="1" applyFill="1" applyBorder="1" applyAlignment="1">
      <alignment horizontal="right"/>
    </xf>
    <xf numFmtId="9" fontId="2" fillId="3" borderId="23" xfId="0" applyNumberFormat="1" applyFont="1" applyFill="1" applyBorder="1" applyAlignment="1">
      <alignment horizontal="right"/>
    </xf>
    <xf numFmtId="0" fontId="5" fillId="0" borderId="4" xfId="0" applyFont="1" applyBorder="1"/>
    <xf numFmtId="0" fontId="2" fillId="2" borderId="5" xfId="0" applyFont="1" applyFill="1" applyBorder="1"/>
    <xf numFmtId="0" fontId="7" fillId="2" borderId="38" xfId="0" applyFont="1" applyFill="1" applyBorder="1" applyAlignment="1">
      <alignment vertical="center"/>
    </xf>
    <xf numFmtId="165" fontId="0" fillId="2" borderId="18" xfId="0" applyNumberFormat="1" applyFill="1" applyBorder="1" applyAlignment="1">
      <alignment vertical="center"/>
    </xf>
    <xf numFmtId="165" fontId="0" fillId="2" borderId="37" xfId="0" applyNumberForma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22" fillId="0" borderId="9" xfId="4" applyBorder="1"/>
    <xf numFmtId="165" fontId="22" fillId="2" borderId="17" xfId="4" applyNumberFormat="1" applyFill="1" applyBorder="1" applyAlignment="1">
      <alignment vertical="center"/>
    </xf>
    <xf numFmtId="0" fontId="3" fillId="10" borderId="0" xfId="0" applyFont="1" applyFill="1"/>
    <xf numFmtId="1" fontId="2" fillId="7" borderId="4" xfId="0" applyNumberFormat="1" applyFont="1" applyFill="1" applyBorder="1" applyAlignment="1">
      <alignment horizontal="left"/>
    </xf>
    <xf numFmtId="1" fontId="2" fillId="7" borderId="15" xfId="0" applyNumberFormat="1" applyFont="1" applyFill="1" applyBorder="1" applyAlignment="1">
      <alignment horizontal="right"/>
    </xf>
    <xf numFmtId="164" fontId="2" fillId="8" borderId="15" xfId="0" applyNumberFormat="1" applyFont="1" applyFill="1" applyBorder="1"/>
    <xf numFmtId="0" fontId="22" fillId="2" borderId="0" xfId="4" applyFill="1"/>
    <xf numFmtId="2" fontId="22" fillId="2" borderId="0" xfId="4" applyNumberFormat="1" applyFill="1" applyBorder="1" applyAlignment="1">
      <alignment horizontal="right"/>
    </xf>
    <xf numFmtId="164" fontId="22" fillId="2" borderId="0" xfId="4" applyNumberFormat="1" applyFill="1"/>
    <xf numFmtId="1" fontId="22" fillId="2" borderId="0" xfId="4" applyNumberFormat="1" applyFill="1"/>
    <xf numFmtId="164" fontId="22" fillId="2" borderId="0" xfId="4" applyNumberFormat="1" applyFill="1" applyBorder="1"/>
    <xf numFmtId="2" fontId="2" fillId="2" borderId="0" xfId="0" applyNumberFormat="1" applyFont="1" applyFill="1"/>
    <xf numFmtId="1" fontId="2" fillId="8" borderId="15" xfId="0" applyNumberFormat="1" applyFont="1" applyFill="1" applyBorder="1"/>
    <xf numFmtId="0" fontId="0" fillId="2" borderId="4" xfId="0" applyFill="1" applyBorder="1"/>
    <xf numFmtId="0" fontId="2" fillId="2" borderId="4" xfId="0" applyFont="1" applyFill="1" applyBorder="1"/>
    <xf numFmtId="0" fontId="23" fillId="2" borderId="4" xfId="0" applyFont="1" applyFill="1" applyBorder="1" applyAlignment="1">
      <alignment horizontal="left" vertical="center" wrapText="1"/>
    </xf>
    <xf numFmtId="2" fontId="2" fillId="0" borderId="8" xfId="0" applyNumberFormat="1" applyFont="1" applyBorder="1"/>
    <xf numFmtId="1" fontId="2" fillId="0" borderId="2" xfId="0" applyNumberFormat="1" applyFont="1" applyBorder="1"/>
    <xf numFmtId="1" fontId="2" fillId="0" borderId="7" xfId="0" applyNumberFormat="1" applyFont="1" applyBorder="1"/>
    <xf numFmtId="2" fontId="2" fillId="0" borderId="5" xfId="0" applyNumberFormat="1" applyFont="1" applyBorder="1"/>
    <xf numFmtId="0" fontId="2" fillId="0" borderId="5" xfId="0" applyFont="1" applyBorder="1"/>
    <xf numFmtId="2" fontId="2" fillId="0" borderId="9" xfId="0" applyNumberFormat="1" applyFont="1" applyBorder="1"/>
    <xf numFmtId="1" fontId="0" fillId="0" borderId="6" xfId="0" applyNumberFormat="1" applyBorder="1" applyAlignment="1">
      <alignment horizontal="right"/>
    </xf>
    <xf numFmtId="1" fontId="0" fillId="0" borderId="3" xfId="0" applyNumberFormat="1" applyBorder="1"/>
    <xf numFmtId="1" fontId="0" fillId="0" borderId="10" xfId="0" applyNumberFormat="1" applyBorder="1" applyAlignment="1">
      <alignment horizontal="right"/>
    </xf>
    <xf numFmtId="2" fontId="22" fillId="0" borderId="0" xfId="4" applyNumberFormat="1" applyFill="1" applyBorder="1"/>
    <xf numFmtId="1" fontId="22" fillId="0" borderId="0" xfId="4" applyNumberFormat="1" applyFill="1" applyBorder="1"/>
    <xf numFmtId="1" fontId="22" fillId="0" borderId="0" xfId="4" applyNumberFormat="1" applyFill="1" applyBorder="1" applyAlignment="1">
      <alignment horizontal="right"/>
    </xf>
    <xf numFmtId="9" fontId="0" fillId="0" borderId="0" xfId="0" applyNumberFormat="1" applyAlignment="1">
      <alignment horizontal="right"/>
    </xf>
    <xf numFmtId="9" fontId="0" fillId="0" borderId="6" xfId="0" applyNumberFormat="1" applyBorder="1" applyAlignment="1">
      <alignment horizontal="right"/>
    </xf>
    <xf numFmtId="9" fontId="0" fillId="0" borderId="3" xfId="0" applyNumberFormat="1" applyBorder="1" applyAlignment="1">
      <alignment horizontal="right"/>
    </xf>
    <xf numFmtId="9" fontId="0" fillId="0" borderId="10" xfId="0" applyNumberFormat="1" applyBorder="1" applyAlignment="1">
      <alignment horizontal="right"/>
    </xf>
    <xf numFmtId="9" fontId="22" fillId="0" borderId="0" xfId="4" applyNumberFormat="1" applyFill="1" applyBorder="1" applyAlignment="1">
      <alignment horizontal="right"/>
    </xf>
    <xf numFmtId="0" fontId="24" fillId="2" borderId="0" xfId="0" applyFont="1" applyFill="1"/>
    <xf numFmtId="0" fontId="25" fillId="2" borderId="0" xfId="0" applyFont="1" applyFill="1"/>
    <xf numFmtId="0" fontId="22" fillId="0" borderId="0" xfId="4" applyFill="1" applyBorder="1"/>
    <xf numFmtId="9" fontId="22" fillId="0" borderId="0" xfId="4" applyNumberFormat="1" applyFill="1" applyBorder="1"/>
    <xf numFmtId="0" fontId="0" fillId="0" borderId="8" xfId="0" applyBorder="1"/>
    <xf numFmtId="0" fontId="0" fillId="0" borderId="5" xfId="0" applyBorder="1"/>
    <xf numFmtId="0" fontId="2" fillId="2" borderId="19" xfId="0" applyFont="1" applyFill="1" applyBorder="1"/>
    <xf numFmtId="166" fontId="2" fillId="9" borderId="7" xfId="0" applyNumberFormat="1" applyFont="1" applyFill="1" applyBorder="1" applyAlignment="1">
      <alignment horizontal="right"/>
    </xf>
    <xf numFmtId="9" fontId="2" fillId="3" borderId="28" xfId="0" applyNumberFormat="1" applyFont="1" applyFill="1" applyBorder="1" applyAlignment="1">
      <alignment horizontal="right"/>
    </xf>
    <xf numFmtId="0" fontId="2" fillId="2" borderId="9" xfId="0" applyFont="1" applyFill="1" applyBorder="1"/>
    <xf numFmtId="9" fontId="2" fillId="3" borderId="39" xfId="0" applyNumberFormat="1" applyFont="1" applyFill="1" applyBorder="1" applyAlignment="1">
      <alignment horizontal="right"/>
    </xf>
    <xf numFmtId="9" fontId="2" fillId="3" borderId="40" xfId="0" applyNumberFormat="1" applyFont="1" applyFill="1" applyBorder="1" applyAlignment="1">
      <alignment horizontal="right"/>
    </xf>
    <xf numFmtId="1" fontId="26" fillId="10" borderId="0" xfId="5" applyNumberFormat="1" applyFont="1" applyFill="1" applyAlignment="1">
      <alignment horizontal="left" vertical="center" wrapText="1"/>
    </xf>
    <xf numFmtId="0" fontId="27" fillId="11" borderId="0" xfId="0" applyFont="1" applyFill="1"/>
    <xf numFmtId="0" fontId="2" fillId="0" borderId="6" xfId="0" applyFont="1" applyBorder="1"/>
    <xf numFmtId="0" fontId="9" fillId="2" borderId="0" xfId="0" applyFont="1" applyFill="1"/>
    <xf numFmtId="0" fontId="0" fillId="2" borderId="6" xfId="0" applyFill="1" applyBorder="1"/>
    <xf numFmtId="0" fontId="2" fillId="2" borderId="6" xfId="0" applyFont="1" applyFill="1" applyBorder="1"/>
    <xf numFmtId="0" fontId="2" fillId="5" borderId="41" xfId="0" applyFont="1" applyFill="1" applyBorder="1" applyAlignment="1">
      <alignment horizontal="center" vertical="center"/>
    </xf>
    <xf numFmtId="167" fontId="2" fillId="3" borderId="1" xfId="0" applyNumberFormat="1" applyFont="1" applyFill="1" applyBorder="1" applyAlignment="1">
      <alignment horizontal="right"/>
    </xf>
    <xf numFmtId="164" fontId="21" fillId="2" borderId="0" xfId="0" applyNumberFormat="1" applyFont="1" applyFill="1" applyAlignment="1">
      <alignment horizontal="right"/>
    </xf>
    <xf numFmtId="0" fontId="10" fillId="10" borderId="0" xfId="0" applyFont="1" applyFill="1"/>
    <xf numFmtId="0" fontId="16" fillId="0" borderId="0" xfId="0" applyFont="1"/>
    <xf numFmtId="1" fontId="2" fillId="12" borderId="4" xfId="0" applyNumberFormat="1" applyFont="1" applyFill="1" applyBorder="1" applyAlignment="1">
      <alignment horizontal="left"/>
    </xf>
    <xf numFmtId="0" fontId="0" fillId="12" borderId="0" xfId="0" applyFill="1"/>
    <xf numFmtId="164" fontId="11" fillId="12" borderId="4" xfId="0" quotePrefix="1" applyNumberFormat="1" applyFont="1" applyFill="1" applyBorder="1" applyAlignment="1">
      <alignment horizontal="right"/>
    </xf>
    <xf numFmtId="164" fontId="11" fillId="12" borderId="1" xfId="0" applyNumberFormat="1" applyFont="1" applyFill="1" applyBorder="1" applyAlignment="1">
      <alignment horizontal="right"/>
    </xf>
    <xf numFmtId="164" fontId="11" fillId="12" borderId="15" xfId="0" applyNumberFormat="1" applyFont="1" applyFill="1" applyBorder="1" applyAlignment="1">
      <alignment horizontal="right"/>
    </xf>
    <xf numFmtId="164" fontId="16" fillId="2" borderId="5" xfId="0" applyNumberFormat="1" applyFont="1" applyFill="1" applyBorder="1" applyAlignment="1">
      <alignment horizontal="right"/>
    </xf>
    <xf numFmtId="164" fontId="0" fillId="2" borderId="18" xfId="0" applyNumberFormat="1" applyFill="1" applyBorder="1" applyAlignment="1">
      <alignment horizontal="right"/>
    </xf>
    <xf numFmtId="164" fontId="11" fillId="12" borderId="4" xfId="0" applyNumberFormat="1" applyFont="1" applyFill="1" applyBorder="1" applyAlignment="1">
      <alignment horizontal="right"/>
    </xf>
    <xf numFmtId="164" fontId="16" fillId="2" borderId="0" xfId="0" applyNumberFormat="1" applyFont="1" applyFill="1" applyAlignment="1">
      <alignment horizontal="right"/>
    </xf>
    <xf numFmtId="164" fontId="0" fillId="2" borderId="5" xfId="0" applyNumberFormat="1" applyFill="1" applyBorder="1" applyAlignment="1">
      <alignment horizontal="right"/>
    </xf>
    <xf numFmtId="1" fontId="2" fillId="13" borderId="4" xfId="0" applyNumberFormat="1" applyFont="1" applyFill="1" applyBorder="1"/>
    <xf numFmtId="0" fontId="0" fillId="13" borderId="3" xfId="0" applyFill="1" applyBorder="1"/>
    <xf numFmtId="164" fontId="11" fillId="13" borderId="4" xfId="0" applyNumberFormat="1" applyFont="1" applyFill="1" applyBorder="1"/>
    <xf numFmtId="164" fontId="11" fillId="13" borderId="1" xfId="0" applyNumberFormat="1" applyFont="1" applyFill="1" applyBorder="1"/>
    <xf numFmtId="164" fontId="11" fillId="13" borderId="15" xfId="0" applyNumberFormat="1" applyFont="1" applyFill="1" applyBorder="1"/>
    <xf numFmtId="164" fontId="2" fillId="3" borderId="1" xfId="0" applyNumberFormat="1" applyFont="1" applyFill="1" applyBorder="1" applyAlignment="1">
      <alignment horizontal="right"/>
    </xf>
    <xf numFmtId="164" fontId="2" fillId="3" borderId="15" xfId="0" applyNumberFormat="1" applyFont="1" applyFill="1" applyBorder="1" applyAlignment="1">
      <alignment horizontal="right"/>
    </xf>
    <xf numFmtId="2" fontId="16" fillId="2" borderId="0" xfId="0" applyNumberFormat="1" applyFont="1" applyFill="1" applyAlignment="1">
      <alignment horizontal="right"/>
    </xf>
    <xf numFmtId="1" fontId="16" fillId="2" borderId="18" xfId="0" applyNumberFormat="1" applyFont="1" applyFill="1" applyBorder="1" applyAlignment="1">
      <alignment horizontal="right"/>
    </xf>
    <xf numFmtId="1" fontId="11" fillId="3" borderId="1" xfId="0" applyNumberFormat="1" applyFont="1" applyFill="1" applyBorder="1" applyAlignment="1">
      <alignment horizontal="right"/>
    </xf>
    <xf numFmtId="1" fontId="11" fillId="3" borderId="15" xfId="0" applyNumberFormat="1" applyFont="1" applyFill="1" applyBorder="1" applyAlignment="1">
      <alignment horizontal="right"/>
    </xf>
    <xf numFmtId="1" fontId="11" fillId="4" borderId="1" xfId="0" applyNumberFormat="1" applyFont="1" applyFill="1" applyBorder="1"/>
    <xf numFmtId="1" fontId="11" fillId="4" borderId="15" xfId="0" applyNumberFormat="1" applyFont="1" applyFill="1" applyBorder="1"/>
    <xf numFmtId="2" fontId="2" fillId="3" borderId="1" xfId="0" applyNumberFormat="1" applyFont="1" applyFill="1" applyBorder="1" applyAlignment="1">
      <alignment horizontal="right"/>
    </xf>
    <xf numFmtId="0" fontId="23" fillId="2" borderId="8" xfId="0" applyFont="1" applyFill="1" applyBorder="1" applyAlignment="1">
      <alignment horizontal="left" vertical="center" wrapText="1"/>
    </xf>
    <xf numFmtId="0" fontId="23" fillId="2" borderId="5" xfId="0" applyFont="1" applyFill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 wrapText="1"/>
    </xf>
  </cellXfs>
  <cellStyles count="6">
    <cellStyle name="Lien hypertexte" xfId="3" builtinId="8"/>
    <cellStyle name="Motif 2 2" xfId="2" xr:uid="{00000000-0005-0000-0000-000001000000}"/>
    <cellStyle name="Normal" xfId="0" builtinId="0"/>
    <cellStyle name="Normal 2" xfId="5" xr:uid="{00000000-0005-0000-0000-000003000000}"/>
    <cellStyle name="Pourcentage" xfId="1" builtinId="5"/>
    <cellStyle name="Texte explicatif" xfId="4" builtinId="53"/>
  </cellStyles>
  <dxfs count="0"/>
  <tableStyles count="0" defaultTableStyle="TableStyleMedium2" defaultPivotStyle="PivotStyleLight16"/>
  <colors>
    <mruColors>
      <color rgb="FFFFFF99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4.xml"/><Relationship Id="rId13" Type="http://schemas.openxmlformats.org/officeDocument/2006/relationships/chartsheet" Target="chartsheets/sheet7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4.xml"/><Relationship Id="rId12" Type="http://schemas.openxmlformats.org/officeDocument/2006/relationships/worksheet" Target="worksheets/sheet6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11" Type="http://schemas.openxmlformats.org/officeDocument/2006/relationships/chartsheet" Target="chartsheets/sheet6.xml"/><Relationship Id="rId5" Type="http://schemas.openxmlformats.org/officeDocument/2006/relationships/chartsheet" Target="chartsheets/sheet2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5.xml"/><Relationship Id="rId19" Type="http://schemas.openxmlformats.org/officeDocument/2006/relationships/calcChain" Target="calcChain.xml"/><Relationship Id="rId4" Type="http://schemas.openxmlformats.org/officeDocument/2006/relationships/chartsheet" Target="chartsheets/sheet1.xml"/><Relationship Id="rId9" Type="http://schemas.openxmlformats.org/officeDocument/2006/relationships/chartsheet" Target="chartsheets/sheet5.xml"/><Relationship Id="rId14" Type="http://schemas.openxmlformats.org/officeDocument/2006/relationships/worksheet" Target="worksheets/sheet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Graphs'!$B$4</c:f>
          <c:strCache>
            <c:ptCount val="1"/>
            <c:pt idx="0">
              <c:v>TEND : Energie finale par usage et énergie primaire (Mtep)</c:v>
            </c:pt>
          </c:strCache>
        </c:strRef>
      </c:tx>
      <c:layout>
        <c:manualLayout>
          <c:xMode val="edge"/>
          <c:yMode val="edge"/>
          <c:x val="4.565027119818825E-2"/>
          <c:y val="1.87908408000724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Arial" panose="020B0604020202020204" pitchFamily="34" charset="0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2368481705777662E-2"/>
          <c:y val="9.2178709531540379E-2"/>
          <c:w val="0.72086842510503502"/>
          <c:h val="0.80743011521699826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9E4B-4528-ADD6-F8FC9A686728}"/>
            </c:ext>
          </c:extLst>
        </c:ser>
        <c:ser>
          <c:idx val="0"/>
          <c:order val="1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9E4B-4528-ADD6-F8FC9A686728}"/>
            </c:ext>
          </c:extLst>
        </c:ser>
        <c:ser>
          <c:idx val="2"/>
          <c:order val="2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9E4B-4528-ADD6-F8FC9A686728}"/>
            </c:ext>
          </c:extLst>
        </c:ser>
        <c:ser>
          <c:idx val="3"/>
          <c:order val="3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9E4B-4528-ADD6-F8FC9A686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5744"/>
        <c:axId val="213036528"/>
      </c:barChart>
      <c:lineChart>
        <c:grouping val="standard"/>
        <c:varyColors val="0"/>
        <c:ser>
          <c:idx val="4"/>
          <c:order val="4"/>
          <c:tx>
            <c:strRef>
              <c:f>'T energie vecteurs'!$Z$8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7369058718806952E-3"/>
                  <c:y val="-3.9594284114668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E4B-4528-ADD6-F8FC9A686728}"/>
                </c:ext>
              </c:extLst>
            </c:dLbl>
            <c:dLbl>
              <c:idx val="1"/>
              <c:layout>
                <c:manualLayout>
                  <c:x val="1.3684529359403977E-3"/>
                  <c:y val="-2.70908259731940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E4B-4528-ADD6-F8FC9A68672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vecteurs'!$AA$8:$AC$8</c:f>
              <c:numCache>
                <c:formatCode>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9E4B-4528-ADD6-F8FC9A686728}"/>
            </c:ext>
          </c:extLst>
        </c:ser>
        <c:ser>
          <c:idx val="5"/>
          <c:order val="5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5019613166221479E-17"/>
                  <c:y val="-4.388714733542319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4BD-40DB-A16C-DFF8C658DFE3}"/>
                </c:ext>
              </c:extLst>
            </c:dLbl>
            <c:dLbl>
              <c:idx val="1"/>
              <c:layout>
                <c:manualLayout>
                  <c:x val="-1.3647219379051519E-3"/>
                  <c:y val="-3.761755485893417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4BD-40DB-A16C-DFF8C658DFE3}"/>
                </c:ext>
              </c:extLst>
            </c:dLbl>
            <c:dLbl>
              <c:idx val="2"/>
              <c:layout>
                <c:manualLayout>
                  <c:x val="0"/>
                  <c:y val="-5.015673981191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4BD-40DB-A16C-DFF8C658DFE3}"/>
                </c:ext>
              </c:extLst>
            </c:dLbl>
            <c:spPr>
              <a:solidFill>
                <a:srgbClr val="FFFF99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04BD-40DB-A16C-DFF8C658D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035744"/>
        <c:axId val="213036528"/>
      </c:lineChart>
      <c:catAx>
        <c:axId val="2130357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528"/>
        <c:crosses val="autoZero"/>
        <c:auto val="1"/>
        <c:lblAlgn val="ctr"/>
        <c:lblOffset val="100"/>
        <c:noMultiLvlLbl val="0"/>
      </c:catAx>
      <c:valAx>
        <c:axId val="213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688045232372196"/>
          <c:y val="0.13592261164763317"/>
          <c:w val="0.19311954480613158"/>
          <c:h val="0.348027546713400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17079043396847435"/>
          <c:w val="0.69226941862961444"/>
          <c:h val="0.6323643943840473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vecteurs'!$Z$33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7.8001817348599803E-2"/>
                  <c:y val="-1.46075714542750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16E-4ECA-9D5C-5B4727E02E74}"/>
                </c:ext>
              </c:extLst>
            </c:dLbl>
            <c:dLbl>
              <c:idx val="1"/>
              <c:layout>
                <c:manualLayout>
                  <c:x val="7.9370270284540051E-2"/>
                  <c:y val="-1.66943673763142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16E-4ECA-9D5C-5B4727E02E74}"/>
                </c:ext>
              </c:extLst>
            </c:dLbl>
            <c:dLbl>
              <c:idx val="2"/>
              <c:layout>
                <c:manualLayout>
                  <c:x val="8.2107176156420852E-2"/>
                  <c:y val="-2.92151429085498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vecteurs'!$AA$33:$AC$33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6E-4ECA-9D5C-5B4727E02E74}"/>
            </c:ext>
          </c:extLst>
        </c:ser>
        <c:ser>
          <c:idx val="1"/>
          <c:order val="1"/>
          <c:tx>
            <c:strRef>
              <c:f>'T energie vecteurs'!$Z$34</c:f>
              <c:strCache>
                <c:ptCount val="1"/>
                <c:pt idx="0">
                  <c:v>nucléaire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vecteurs'!$AA$34:$AC$34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6E-4ECA-9D5C-5B4727E02E74}"/>
            </c:ext>
          </c:extLst>
        </c:ser>
        <c:ser>
          <c:idx val="2"/>
          <c:order val="2"/>
          <c:tx>
            <c:strRef>
              <c:f>'T energie vecteurs'!$Z$35</c:f>
              <c:strCache>
                <c:ptCount val="1"/>
                <c:pt idx="0">
                  <c:v>hydraulique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vecteurs'!$AA$35:$AC$35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6E-4ECA-9D5C-5B4727E02E74}"/>
            </c:ext>
          </c:extLst>
        </c:ser>
        <c:ser>
          <c:idx val="3"/>
          <c:order val="3"/>
          <c:tx>
            <c:strRef>
              <c:f>'T energie vecteurs'!$Z$36</c:f>
              <c:strCache>
                <c:ptCount val="1"/>
                <c:pt idx="0">
                  <c:v>solaire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</a:ln>
            <a:effectLst/>
          </c:spPr>
          <c:invertIfNegative val="0"/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16E-4ECA-9D5C-5B4727E02E74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vecteurs'!$AA$36:$AC$36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16E-4ECA-9D5C-5B4727E02E74}"/>
            </c:ext>
          </c:extLst>
        </c:ser>
        <c:ser>
          <c:idx val="4"/>
          <c:order val="4"/>
          <c:tx>
            <c:strRef>
              <c:f>'T energie vecteurs'!$Z$37</c:f>
              <c:strCache>
                <c:ptCount val="1"/>
                <c:pt idx="0">
                  <c:v>éolien 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5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vecteurs'!$AA$37:$AC$37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16E-4ECA-9D5C-5B4727E02E74}"/>
            </c:ext>
          </c:extLst>
        </c:ser>
        <c:ser>
          <c:idx val="5"/>
          <c:order val="5"/>
          <c:tx>
            <c:strRef>
              <c:f>'T energie vecteurs'!$Z$38</c:f>
              <c:strCache>
                <c:ptCount val="1"/>
                <c:pt idx="0">
                  <c:v>autres renouvelables</c:v>
                </c:pt>
              </c:strCache>
            </c:strRef>
          </c:tx>
          <c:spPr>
            <a:solidFill>
              <a:srgbClr val="92D050"/>
            </a:solidFill>
            <a:ln>
              <a:solidFill>
                <a:srgbClr val="92D050"/>
              </a:solidFill>
            </a:ln>
            <a:effectLst>
              <a:glow rad="12700">
                <a:schemeClr val="accent1">
                  <a:alpha val="40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vecteurs'!$AA$38:$AC$38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16E-4ECA-9D5C-5B4727E02E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9912"/>
        <c:axId val="231609520"/>
      </c:barChart>
      <c:catAx>
        <c:axId val="2316099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520"/>
        <c:crosses val="autoZero"/>
        <c:auto val="1"/>
        <c:lblAlgn val="ctr"/>
        <c:lblOffset val="100"/>
        <c:noMultiLvlLbl val="0"/>
      </c:catAx>
      <c:valAx>
        <c:axId val="2316095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Graphs'!$B$5</c:f>
              <c:strCache>
                <c:ptCount val="1"/>
                <c:pt idx="0">
                  <c:v>TEND : Ventilation du mix electrique (%)</c:v>
                </c:pt>
              </c:strCache>
            </c:strRef>
          </c:tx>
          <c:layout>
            <c:manualLayout>
              <c:xMode val="edge"/>
              <c:yMode val="edge"/>
              <c:x val="2.3224558547377074E-2"/>
              <c:y val="5.2149515793284461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</c:legendEntry>
      <c:layout>
        <c:manualLayout>
          <c:xMode val="edge"/>
          <c:yMode val="edge"/>
          <c:x val="0.76142382417816912"/>
          <c:y val="0.18003801760696372"/>
          <c:w val="0.23418248890987423"/>
          <c:h val="0.62626537444194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vecteurs'!$AE$33</c:f>
              <c:strCache>
                <c:ptCount val="1"/>
                <c:pt idx="0">
                  <c:v>carburants fossiles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solidFill>
                <a:schemeClr val="accent3">
                  <a:lumMod val="5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44-4744-9C62-05D9B6E91931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44-4744-9C62-05D9B6E91931}"/>
                </c:ext>
              </c:extLst>
            </c:dLbl>
            <c:dLbl>
              <c:idx val="2"/>
              <c:layout>
                <c:manualLayout>
                  <c:x val="4.1053588078210426E-3"/>
                  <c:y val="2.043544195458258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244-4744-9C62-05D9B6E919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vecteurs'!$AF$32:$AH$32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vecteurs'!$AF$33:$AH$33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44-4744-9C62-05D9B6E91931}"/>
            </c:ext>
          </c:extLst>
        </c:ser>
        <c:ser>
          <c:idx val="1"/>
          <c:order val="1"/>
          <c:tx>
            <c:strRef>
              <c:f>'T energie vecteurs'!$AE$34</c:f>
              <c:strCache>
                <c:ptCount val="1"/>
                <c:pt idx="0">
                  <c:v>biocarburants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solidFill>
                <a:schemeClr val="accent3">
                  <a:lumMod val="60000"/>
                  <a:lumOff val="4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vecteurs'!$AF$32:$AH$32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vecteurs'!$AF$34:$AH$34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44-4744-9C62-05D9B6E919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8736"/>
        <c:axId val="231608344"/>
      </c:barChart>
      <c:catAx>
        <c:axId val="231608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344"/>
        <c:crosses val="autoZero"/>
        <c:auto val="1"/>
        <c:lblAlgn val="ctr"/>
        <c:lblOffset val="100"/>
        <c:noMultiLvlLbl val="0"/>
      </c:catAx>
      <c:valAx>
        <c:axId val="2316083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Graphs'!$B$6</c:f>
              <c:strCache>
                <c:ptCount val="1"/>
                <c:pt idx="0">
                  <c:v>TEND : Ventilation du mix carburant (%)</c:v>
                </c:pt>
              </c:strCache>
            </c:strRef>
          </c:tx>
          <c:layout>
            <c:manualLayout>
              <c:xMode val="edge"/>
              <c:yMode val="edge"/>
              <c:x val="2.3226525402096191E-2"/>
              <c:y val="6.358106917365924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6142382417816912"/>
          <c:y val="0.29042382785002546"/>
          <c:w val="0.23418248890987423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vecteurs'!$AJ$33</c:f>
              <c:strCache>
                <c:ptCount val="1"/>
                <c:pt idx="0">
                  <c:v>gaz naturel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21A-429A-8A28-44CA5ABCCE07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21A-429A-8A28-44CA5ABCCE07}"/>
                </c:ext>
              </c:extLst>
            </c:dLbl>
            <c:dLbl>
              <c:idx val="2"/>
              <c:layout>
                <c:manualLayout>
                  <c:x val="8.484408202830164E-2"/>
                  <c:y val="-2.713119146798161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vecteurs'!$AK$32:$AM$32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vecteurs'!$AK$33:$AM$33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1A-429A-8A28-44CA5ABCCE07}"/>
            </c:ext>
          </c:extLst>
        </c:ser>
        <c:ser>
          <c:idx val="1"/>
          <c:order val="1"/>
          <c:tx>
            <c:strRef>
              <c:f>'T energie vecteurs'!$AJ$34</c:f>
              <c:strCache>
                <c:ptCount val="1"/>
                <c:pt idx="0">
                  <c:v>biogaz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solidFill>
                <a:schemeClr val="tx2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0.10536902887139103"/>
                  <c:y val="2.70862739908040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21A-429A-8A28-44CA5ABCCE07}"/>
                </c:ext>
              </c:extLst>
            </c:dLbl>
            <c:dLbl>
              <c:idx val="1"/>
              <c:layout>
                <c:manualLayout>
                  <c:x val="9.7156470825762162E-2"/>
                  <c:y val="2.70792221527424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21A-429A-8A28-44CA5ABCCE07}"/>
                </c:ext>
              </c:extLst>
            </c:dLbl>
            <c:dLbl>
              <c:idx val="2"/>
              <c:layout>
                <c:manualLayout>
                  <c:x val="7.9316239316239323E-2"/>
                  <c:y val="2.08275217167912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vecteurs'!$AK$32:$AM$32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vecteurs'!$AK$34:$AM$34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1A-429A-8A28-44CA5ABCC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7560"/>
        <c:axId val="231607168"/>
      </c:barChart>
      <c:catAx>
        <c:axId val="23160756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168"/>
        <c:crosses val="autoZero"/>
        <c:auto val="1"/>
        <c:lblAlgn val="ctr"/>
        <c:lblOffset val="100"/>
        <c:noMultiLvlLbl val="0"/>
      </c:catAx>
      <c:valAx>
        <c:axId val="23160716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Graphs'!$B$7</c:f>
              <c:strCache>
                <c:ptCount val="1"/>
                <c:pt idx="0">
                  <c:v>TEND : Ventilation du mix gaz (%)</c:v>
                </c:pt>
              </c:strCache>
            </c:strRef>
          </c:tx>
          <c:layout>
            <c:manualLayout>
              <c:xMode val="edge"/>
              <c:yMode val="edge"/>
              <c:x val="2.0489526833710782E-2"/>
              <c:y val="4.678465348571239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81753037776951432"/>
          <c:y val="0.29042382785002546"/>
          <c:w val="0.13839078339404989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9740912847575234E-2"/>
          <c:y val="0.17593989942704161"/>
          <c:w val="0.73258526136090329"/>
          <c:h val="0.74056220214541801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CO2'!$K$9</c:f>
              <c:strCache>
                <c:ptCount val="1"/>
                <c:pt idx="0">
                  <c:v>Residentiel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CO2'!$L$9:$N$9</c:f>
              <c:numCache>
                <c:formatCode>0</c:formatCode>
                <c:ptCount val="3"/>
                <c:pt idx="0">
                  <c:v>53.865620919853328</c:v>
                </c:pt>
                <c:pt idx="1">
                  <c:v>42.17541259343929</c:v>
                </c:pt>
                <c:pt idx="2">
                  <c:v>43.832727154027943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CF-409C-BDBE-F99B69B3F72E}"/>
            </c:ext>
          </c:extLst>
        </c:ser>
        <c:ser>
          <c:idx val="0"/>
          <c:order val="1"/>
          <c:tx>
            <c:strRef>
              <c:f>'T CO2'!$K$8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CO2'!$L$8:$N$8</c:f>
              <c:numCache>
                <c:formatCode>0</c:formatCode>
                <c:ptCount val="3"/>
                <c:pt idx="0">
                  <c:v>128.05956760481084</c:v>
                </c:pt>
                <c:pt idx="1">
                  <c:v>117.69461974867065</c:v>
                </c:pt>
                <c:pt idx="2">
                  <c:v>97.702171498400304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CF-409C-BDBE-F99B69B3F72E}"/>
            </c:ext>
          </c:extLst>
        </c:ser>
        <c:ser>
          <c:idx val="2"/>
          <c:order val="2"/>
          <c:tx>
            <c:strRef>
              <c:f>'T CO2'!$K$10</c:f>
              <c:strCache>
                <c:ptCount val="1"/>
                <c:pt idx="0">
                  <c:v>Service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CO2'!$L$10:$N$10</c:f>
              <c:numCache>
                <c:formatCode>0</c:formatCode>
                <c:ptCount val="3"/>
                <c:pt idx="0">
                  <c:v>28.815545658120186</c:v>
                </c:pt>
                <c:pt idx="1">
                  <c:v>22.865160760679544</c:v>
                </c:pt>
                <c:pt idx="2">
                  <c:v>18.098869363091438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CF-409C-BDBE-F99B69B3F72E}"/>
            </c:ext>
          </c:extLst>
        </c:ser>
        <c:ser>
          <c:idx val="3"/>
          <c:order val="3"/>
          <c:tx>
            <c:strRef>
              <c:f>'T CO2'!$K$11</c:f>
              <c:strCache>
                <c:ptCount val="1"/>
                <c:pt idx="0">
                  <c:v>Industrie et agriculture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CO2'!$L$11:$N$11</c:f>
              <c:numCache>
                <c:formatCode>0</c:formatCode>
                <c:ptCount val="3"/>
                <c:pt idx="0">
                  <c:v>96.316808187582694</c:v>
                </c:pt>
                <c:pt idx="1">
                  <c:v>106.35887798079183</c:v>
                </c:pt>
                <c:pt idx="2">
                  <c:v>124.06355514389885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CF-409C-BDBE-F99B69B3F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7312"/>
        <c:axId val="213036136"/>
      </c:barChart>
      <c:catAx>
        <c:axId val="2130373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136"/>
        <c:crosses val="autoZero"/>
        <c:auto val="1"/>
        <c:lblAlgn val="ctr"/>
        <c:lblOffset val="100"/>
        <c:noMultiLvlLbl val="0"/>
      </c:catAx>
      <c:valAx>
        <c:axId val="213036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Graphs'!$B$8</c:f>
              <c:strCache>
                <c:ptCount val="1"/>
                <c:pt idx="0">
                  <c:v>TEND : Emissions CO2 (Mt.eqCO2)</c:v>
                </c:pt>
              </c:strCache>
            </c:strRef>
          </c:tx>
          <c:layout>
            <c:manualLayout>
              <c:xMode val="edge"/>
              <c:yMode val="edge"/>
              <c:x val="1.3659715198164822E-2"/>
              <c:y val="2.390465555681330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691366156517532"/>
          <c:y val="0.28558169209001705"/>
          <c:w val="0.16625648083574224"/>
          <c:h val="0.68013604157635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Graphs'!$B$9</c:f>
          <c:strCache>
            <c:ptCount val="1"/>
            <c:pt idx="0">
              <c:v>TEND : Ventilation du parc auto (%)</c:v>
            </c:pt>
          </c:strCache>
        </c:strRef>
      </c:tx>
      <c:layout>
        <c:manualLayout>
          <c:xMode val="edge"/>
          <c:yMode val="edge"/>
          <c:x val="2.7810470205815105E-2"/>
          <c:y val="2.08955228791990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'T parc auto'!$C$18</c:f>
              <c:strCache>
                <c:ptCount val="1"/>
                <c:pt idx="0">
                  <c:v>Fortement émettrices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1.0008066809404825E-16"/>
                  <c:y val="-8.357760863731808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2-44F6-A16A-C8BCAA280A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auto'!$I$18:$K$18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82-44F6-A16A-C8BCAA280A45}"/>
            </c:ext>
          </c:extLst>
        </c:ser>
        <c:ser>
          <c:idx val="2"/>
          <c:order val="1"/>
          <c:tx>
            <c:strRef>
              <c:f>'T parc auto'!$C$17</c:f>
              <c:strCache>
                <c:ptCount val="1"/>
                <c:pt idx="0">
                  <c:v>Modérément émettrices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auto'!$I$17:$K$17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82-44F6-A16A-C8BCAA280A45}"/>
            </c:ext>
          </c:extLst>
        </c:ser>
        <c:ser>
          <c:idx val="1"/>
          <c:order val="2"/>
          <c:tx>
            <c:strRef>
              <c:f>'T parc auto'!$C$16</c:f>
              <c:strCache>
                <c:ptCount val="1"/>
                <c:pt idx="0">
                  <c:v>Faiblement émettrices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auto'!$I$16:$K$16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82-44F6-A16A-C8BCAA280A45}"/>
            </c:ext>
          </c:extLst>
        </c:ser>
        <c:ser>
          <c:idx val="0"/>
          <c:order val="3"/>
          <c:tx>
            <c:strRef>
              <c:f>'T parc auto'!$C$14</c:f>
              <c:strCache>
                <c:ptCount val="1"/>
                <c:pt idx="0">
                  <c:v>Electriques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auto'!$I$14:$K$14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82-44F6-A16A-C8BCAA280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103162901676298"/>
          <c:y val="0.21336550323470299"/>
          <c:w val="0.28077254186433814"/>
          <c:h val="0.688549910883573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Graphs'!$B$10</c:f>
          <c:strCache>
            <c:ptCount val="1"/>
            <c:pt idx="0">
              <c:v>TEND : Ventilation du parc de logements (%)</c:v>
            </c:pt>
          </c:strCache>
        </c:strRef>
      </c:tx>
      <c:layout>
        <c:manualLayout>
          <c:xMode val="edge"/>
          <c:yMode val="edge"/>
          <c:x val="7.517898543132466E-2"/>
          <c:y val="1.6717103152074645E-2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658523898908643E-2"/>
          <c:y val="8.8051017074071342E-2"/>
          <c:w val="0.68257048305485446"/>
          <c:h val="0.82845108449838833"/>
        </c:manualLayout>
      </c:layout>
      <c:barChart>
        <c:barDir val="col"/>
        <c:grouping val="stacked"/>
        <c:varyColors val="0"/>
        <c:ser>
          <c:idx val="2"/>
          <c:order val="0"/>
          <c:tx>
            <c:strRef>
              <c:f>'T logement'!$Y$19</c:f>
              <c:strCache>
                <c:ptCount val="1"/>
                <c:pt idx="0">
                  <c:v>Passoires énergétiques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logement'!$Z$19:$AB$19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7D-4A1E-817A-62C204FE9217}"/>
            </c:ext>
          </c:extLst>
        </c:ser>
        <c:ser>
          <c:idx val="1"/>
          <c:order val="1"/>
          <c:tx>
            <c:strRef>
              <c:f>'T logement'!$Y$18</c:f>
              <c:strCache>
                <c:ptCount val="1"/>
                <c:pt idx="0">
                  <c:v>Consommation modérée 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logement'!$Z$18:$AB$18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7D-4A1E-817A-62C204FE9217}"/>
            </c:ext>
          </c:extLst>
        </c:ser>
        <c:ser>
          <c:idx val="0"/>
          <c:order val="2"/>
          <c:tx>
            <c:strRef>
              <c:f>'T logement'!$Y$17</c:f>
              <c:strCache>
                <c:ptCount val="1"/>
                <c:pt idx="0">
                  <c:v>Basse consommation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logement'!$Z$17:$AB$17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7D-4A1E-817A-62C204FE9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9888"/>
        <c:axId val="311370280"/>
      </c:barChart>
      <c:catAx>
        <c:axId val="3113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70280"/>
        <c:crosses val="autoZero"/>
        <c:auto val="1"/>
        <c:lblAlgn val="ctr"/>
        <c:lblOffset val="100"/>
        <c:noMultiLvlLbl val="0"/>
      </c:catAx>
      <c:valAx>
        <c:axId val="3113702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888"/>
        <c:crosses val="autoZero"/>
        <c:crossBetween val="between"/>
        <c:min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791440886990928"/>
          <c:y val="0.32089954452336433"/>
          <c:w val="0.1938897620111919"/>
          <c:h val="0.494407587904947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8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A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ma.monserand\Documents\GitHub\ThreeME\data\shocks\Bilan%20&#233;nergie%20-%20AMErun2%20-%20AMSrun2.xlsx" TargetMode="External"/><Relationship Id="rId1" Type="http://schemas.openxmlformats.org/officeDocument/2006/relationships/externalLinkPath" Target="/Users/alma.monserand/Documents/GitHub/ThreeME/data/shocks/Bilan%20&#233;nergie%20-%20AMErun2%20-%20AMSrun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ibles THREEME"/>
      <sheetName val="Cibles THREEME AMS"/>
      <sheetName val="Cibles ThreeME v2 "/>
      <sheetName val="Cibles ThreeME v2 AMS"/>
      <sheetName val="Cibles ThreeME v3"/>
      <sheetName val="Cibles ThreeME v3 AMS"/>
      <sheetName val="brouillon"/>
      <sheetName val="Bilan_enerdata_2015"/>
      <sheetName val="Bilan 2015"/>
      <sheetName val="Bilan 2020"/>
      <sheetName val="Bilan 2020 test"/>
      <sheetName val="Bilan 2022 réel"/>
      <sheetName val="Bilan 2023 réel"/>
      <sheetName val="Bilan 2023"/>
      <sheetName val="Bilan 2025"/>
      <sheetName val="Bilan 2028"/>
      <sheetName val="Bilan 2030"/>
      <sheetName val="Bilan 2033"/>
      <sheetName val="Bilan 2035"/>
      <sheetName val="Bilan 2038"/>
      <sheetName val="Bilan 2040"/>
      <sheetName val="Bilan 2045"/>
      <sheetName val="Bilan 2050"/>
      <sheetName val="Bilan 2023 AMS"/>
      <sheetName val="Bilan 2025 AMS"/>
      <sheetName val="Bilan 2028 AMS"/>
      <sheetName val="Bilan 2030 AMS"/>
      <sheetName val="Bilan 2033 AMS"/>
      <sheetName val="Bilan 2035 AMS"/>
      <sheetName val="Bilan 2038 AMS"/>
      <sheetName val="Bilan 2040 AMS"/>
      <sheetName val="Bilan 2045 AMS"/>
      <sheetName val="Bilan 2050 AMS"/>
      <sheetName val="Bilan_E_KP_réel_2022"/>
      <sheetName val="Bilan_E_KP_réel_2023"/>
      <sheetName val="Bilan_E_AME_Met_2020"/>
      <sheetName val="Bilan_E_KP_AME_2020"/>
      <sheetName val="Bilan_E_KP_AME_2023"/>
      <sheetName val="Bilan_E_KP_AME_2025"/>
      <sheetName val="Bilan_E_KP_AME_2028"/>
      <sheetName val="Bilan_E_KP_AME_2030"/>
      <sheetName val="Bilan_E_KP_AME_2033"/>
      <sheetName val="Bilan_E_KP_AME_2035"/>
      <sheetName val="Bilan_E_KP_AME_2038"/>
      <sheetName val="Bilan_E_KP_AME_2040"/>
      <sheetName val="Bilan_E_KP_AME_2043"/>
      <sheetName val="Bilan_E_KP_AME_2045"/>
      <sheetName val="Bilan_E_KP_AME_2050"/>
      <sheetName val="Bilan_E_KP_AME"/>
      <sheetName val="Bilans_E_AMS_KP"/>
      <sheetName val="Bilans_E_AMS_KP_2023"/>
      <sheetName val="Bilans_E_AMS_KP_2025"/>
      <sheetName val="Bilans_E_AMS_KP_2028"/>
      <sheetName val="Bilans_E_AMS_KP_2030"/>
      <sheetName val="Bilans_E_AMS_KP_2033"/>
      <sheetName val="Bilans_E_AMS_KP_2035"/>
      <sheetName val="Bilans_E_AMS_KP_2038"/>
      <sheetName val="Bilans_E_AMS_KP_2040"/>
      <sheetName val="Bilans_E_AMS_KP_2043"/>
      <sheetName val="Bilans_E_AMS_KP_2045"/>
      <sheetName val="Bilans_E_AMS_KP_2050"/>
      <sheetName val="Bilan_E_KP_AMS_2023"/>
      <sheetName val="Bilan_E_KP_AMS_2025"/>
      <sheetName val="Bilan_E_KP_AMS_2028"/>
      <sheetName val="Bilan_E_KP_AMS_2030"/>
      <sheetName val="Bilan_E_KP_AMS_2033"/>
      <sheetName val="Bilan_E_KP_AMS_2035"/>
      <sheetName val="Bilan_E_KP_AMS_2038"/>
      <sheetName val="Bilan_E_KP_AMS_2040"/>
      <sheetName val="Bilan_E_KP_AMS_2043"/>
      <sheetName val="Bilan_E_KP_AMS_2045"/>
      <sheetName val="Bilan_E_KP_AMS_2050"/>
      <sheetName val="Bilan_E_KP_AMS"/>
      <sheetName val="P1_G4-G5"/>
      <sheetName val="P1_G6"/>
      <sheetName val="bilan énergie format SDS"/>
      <sheetName val="Demande Format Medpro"/>
      <sheetName val="Format demande MedPro_2015"/>
      <sheetName val="Corrections Bilan enerdata"/>
      <sheetName val="Modèle tertiaire_2015"/>
      <sheetName val="Modèle tertiaire_2020"/>
      <sheetName val="Modèle tertiaire_2025"/>
      <sheetName val="Modèle tertiaire_2030"/>
      <sheetName val="Modèle tertiaire_2050"/>
      <sheetName val="Modèle résidentiel ch_2015"/>
      <sheetName val="Modèle résidentiel ch_2020"/>
      <sheetName val="Modèle résidentiel ch_2025"/>
      <sheetName val="Modèle résidentiel ch_2030"/>
      <sheetName val="Modèle résidentiel ch_2050"/>
      <sheetName val="Modèle résidentiel hch_2015"/>
      <sheetName val="Modèle résidentiel hch_2020"/>
      <sheetName val="Modèle résidentiel hch_2025"/>
      <sheetName val="Modèle résidentiel hch_2030"/>
      <sheetName val="Modèle résidentiel hch_2050"/>
      <sheetName val="Mix énergie_2015"/>
      <sheetName val="Bilans_E_AMS_Kyoto_2050"/>
      <sheetName val="Bilan 2050 AMS_ancien"/>
      <sheetName val="Bilans_E_AMS_Kyoto"/>
    </sheetNames>
    <sheetDataSet>
      <sheetData sheetId="0"/>
      <sheetData sheetId="1"/>
      <sheetData sheetId="2">
        <row r="22">
          <cell r="D22">
            <v>0.95568230636841967</v>
          </cell>
        </row>
      </sheetData>
      <sheetData sheetId="3"/>
      <sheetData sheetId="4"/>
      <sheetData sheetId="5"/>
      <sheetData sheetId="6"/>
      <sheetData sheetId="7"/>
      <sheetData sheetId="8">
        <row r="13">
          <cell r="T13">
            <v>0.74651762682717104</v>
          </cell>
          <cell r="U13">
            <v>10.069552160228</v>
          </cell>
          <cell r="V13">
            <v>13.6203670581426</v>
          </cell>
          <cell r="W13">
            <v>12.701365476499801</v>
          </cell>
          <cell r="X13">
            <v>0.94471195184866696</v>
          </cell>
        </row>
        <row r="22">
          <cell r="T22">
            <v>0.20215430661253031</v>
          </cell>
          <cell r="U22">
            <v>10.298005677194096</v>
          </cell>
          <cell r="V22">
            <v>11.912749680464922</v>
          </cell>
          <cell r="W22">
            <v>7.2062454679408585</v>
          </cell>
          <cell r="X22">
            <v>7.267406707154804E-2</v>
          </cell>
        </row>
        <row r="30">
          <cell r="T30">
            <v>6.4536710533781398E-3</v>
          </cell>
          <cell r="U30">
            <v>1.2504899941046146</v>
          </cell>
          <cell r="V30">
            <v>1.21184436300186</v>
          </cell>
          <cell r="W30">
            <v>0.710753475039681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2.9897922514510483E-2</v>
          </cell>
          <cell r="U37">
            <v>1.1062928918353545</v>
          </cell>
          <cell r="V37">
            <v>6.0818806018488383</v>
          </cell>
          <cell r="W37">
            <v>0.31568062817324566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5.1467736003962539E-3</v>
          </cell>
          <cell r="U39">
            <v>2.5010085858689085E-5</v>
          </cell>
          <cell r="V39">
            <v>0.10956763115778498</v>
          </cell>
          <cell r="W39">
            <v>7.4926332712814264E-2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2.5168214298503164</v>
          </cell>
          <cell r="W40">
            <v>0.43850634072353678</v>
          </cell>
          <cell r="X40">
            <v>0</v>
          </cell>
        </row>
        <row r="41">
          <cell r="T41">
            <v>0.12266677554967495</v>
          </cell>
          <cell r="U41">
            <v>5.6111288464125664E-2</v>
          </cell>
          <cell r="V41">
            <v>0</v>
          </cell>
          <cell r="W41">
            <v>0</v>
          </cell>
          <cell r="X41">
            <v>2.9416967808253762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39.807000000000002</v>
          </cell>
        </row>
        <row r="43">
          <cell r="T43">
            <v>3.371</v>
          </cell>
          <cell r="U43">
            <v>2.3566094604778201</v>
          </cell>
          <cell r="V43">
            <v>6.6752954110546101</v>
          </cell>
          <cell r="W43">
            <v>3.01546564464017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2.2137192704974398E-3</v>
          </cell>
          <cell r="U46">
            <v>1.0493092649428299</v>
          </cell>
          <cell r="V46">
            <v>3.6764196608413298E-2</v>
          </cell>
          <cell r="W46">
            <v>4.3073392295861899E-2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3.2143188055943388</v>
          </cell>
        </row>
        <row r="53">
          <cell r="E53">
            <v>1.1015862413247299</v>
          </cell>
        </row>
        <row r="54">
          <cell r="E54">
            <v>12.452999999999999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9">
        <row r="13">
          <cell r="L13">
            <v>45.039193999999995</v>
          </cell>
          <cell r="T13">
            <v>8.0414155849497</v>
          </cell>
          <cell r="U13">
            <v>105.150592236873</v>
          </cell>
          <cell r="V13">
            <v>158.3858485003</v>
          </cell>
          <cell r="W13">
            <v>124.730012203676</v>
          </cell>
          <cell r="X13">
            <v>8.3371990700000005</v>
          </cell>
        </row>
        <row r="22">
          <cell r="T22">
            <v>2.7076685555555562</v>
          </cell>
          <cell r="U22">
            <v>116.5874281388889</v>
          </cell>
          <cell r="V22">
            <v>125.05981224999999</v>
          </cell>
          <cell r="W22">
            <v>66.374696373468396</v>
          </cell>
          <cell r="X22">
            <v>2.2477144999999998</v>
          </cell>
        </row>
        <row r="30">
          <cell r="T30">
            <v>0.189373333333333</v>
          </cell>
          <cell r="U30">
            <v>22.254054739303911</v>
          </cell>
          <cell r="V30">
            <v>14.411899999999999</v>
          </cell>
          <cell r="W30">
            <v>9.5887644444444504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1.69047944444444</v>
          </cell>
          <cell r="U37">
            <v>15.5648575</v>
          </cell>
          <cell r="V37">
            <v>69.4067088888889</v>
          </cell>
          <cell r="W37">
            <v>2.8232277777777801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0.29232166666666698</v>
          </cell>
          <cell r="U39">
            <v>1.51127777777778E-2</v>
          </cell>
          <cell r="V39">
            <v>1.04480216638667</v>
          </cell>
          <cell r="W39">
            <v>0.354625058755556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27.426589444444399</v>
          </cell>
          <cell r="W40">
            <v>4.4857555555555599</v>
          </cell>
          <cell r="X40">
            <v>0</v>
          </cell>
        </row>
        <row r="41">
          <cell r="T41">
            <v>1.93666726391606</v>
          </cell>
          <cell r="U41">
            <v>1.0434102222764099</v>
          </cell>
          <cell r="V41">
            <v>0</v>
          </cell>
          <cell r="W41">
            <v>0</v>
          </cell>
          <cell r="X41">
            <v>30.751352031352699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384.06791201745</v>
          </cell>
        </row>
        <row r="43">
          <cell r="T43">
            <v>37.008579624305803</v>
          </cell>
          <cell r="U43">
            <v>30.361762354379302</v>
          </cell>
          <cell r="V43">
            <v>49.863308104442503</v>
          </cell>
          <cell r="W43">
            <v>31.480497483360899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1.5371382629999999E-2</v>
          </cell>
          <cell r="U46">
            <v>8.9862670625500005</v>
          </cell>
          <cell r="V46">
            <v>0.24074954805000001</v>
          </cell>
          <cell r="W46">
            <v>0.35525487623000002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27.795210764186699</v>
          </cell>
        </row>
        <row r="53">
          <cell r="E53">
            <v>12.027936499999999</v>
          </cell>
        </row>
        <row r="54">
          <cell r="E54">
            <v>130.484119421548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0"/>
      <sheetData sheetId="11">
        <row r="13">
          <cell r="T13">
            <v>7.8260000000000005</v>
          </cell>
          <cell r="U13">
            <v>107.64707300000001</v>
          </cell>
          <cell r="V13">
            <v>155.36990600000001</v>
          </cell>
          <cell r="W13">
            <v>133.03417000000002</v>
          </cell>
          <cell r="X13">
            <v>10.823198000000001</v>
          </cell>
        </row>
        <row r="22">
          <cell r="T22">
            <v>2.7474958333333332</v>
          </cell>
          <cell r="U22">
            <v>108.57266219444446</v>
          </cell>
          <cell r="V22">
            <v>110.55954550000001</v>
          </cell>
          <cell r="W22">
            <v>67.887248027777787</v>
          </cell>
          <cell r="X22">
            <v>3.7083049999999997</v>
          </cell>
        </row>
        <row r="30">
          <cell r="T30">
            <v>0.23347250000000003</v>
          </cell>
          <cell r="U30">
            <v>26.203729444444445</v>
          </cell>
          <cell r="V30">
            <v>14.53032638888889</v>
          </cell>
          <cell r="W30">
            <v>9.7167455555555549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1.8437186111111112</v>
          </cell>
          <cell r="U37">
            <v>15.531573611111112</v>
          </cell>
          <cell r="V37">
            <v>69.611392402361105</v>
          </cell>
          <cell r="W37">
            <v>3.2420080555555599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0.29211333333333334</v>
          </cell>
          <cell r="U39">
            <v>2.4585833333333335E-2</v>
          </cell>
          <cell r="V39">
            <v>2.5257802777777778</v>
          </cell>
          <cell r="W39">
            <v>0.34678083333333298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39.547388055555558</v>
          </cell>
          <cell r="W40">
            <v>4.8885494444444442</v>
          </cell>
          <cell r="X40">
            <v>0</v>
          </cell>
        </row>
        <row r="41">
          <cell r="T41">
            <v>2.0636319502888534</v>
          </cell>
          <cell r="U41">
            <v>0.8896092618446092</v>
          </cell>
          <cell r="V41">
            <v>0</v>
          </cell>
          <cell r="W41">
            <v>0</v>
          </cell>
          <cell r="X41">
            <v>35.98692255406236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468.70719657595708</v>
          </cell>
        </row>
        <row r="43">
          <cell r="T43">
            <v>39.452873847389007</v>
          </cell>
          <cell r="U43">
            <v>27.924680978677003</v>
          </cell>
          <cell r="V43">
            <v>40.712038874909005</v>
          </cell>
          <cell r="W43">
            <v>24.208682698433005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1.9208852320000001E-2</v>
          </cell>
          <cell r="U46">
            <v>7.3736578567600004</v>
          </cell>
          <cell r="V46">
            <v>0.30791956671000004</v>
          </cell>
          <cell r="W46">
            <v>0.38187951663999997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44.997299641464451</v>
          </cell>
        </row>
        <row r="53">
          <cell r="E53">
            <v>10.145451250000001</v>
          </cell>
        </row>
        <row r="54">
          <cell r="E54">
            <v>107.81117013444999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2">
        <row r="13">
          <cell r="T13">
            <v>7.6348390000000004</v>
          </cell>
          <cell r="U13">
            <v>103.14419500000001</v>
          </cell>
          <cell r="V13">
            <v>151.42570800000004</v>
          </cell>
          <cell r="W13">
            <v>130.260345</v>
          </cell>
          <cell r="X13">
            <v>10.543191</v>
          </cell>
        </row>
        <row r="22">
          <cell r="T22">
            <v>2.7313033333333334</v>
          </cell>
          <cell r="U22">
            <v>100.79992327777778</v>
          </cell>
          <cell r="V22">
            <v>103.59429425</v>
          </cell>
          <cell r="W22">
            <v>63.657246916666658</v>
          </cell>
          <cell r="X22">
            <v>3.7083049999999997</v>
          </cell>
        </row>
        <row r="30">
          <cell r="T30">
            <v>0.26707805555555558</v>
          </cell>
          <cell r="U30">
            <v>25.961824722222225</v>
          </cell>
          <cell r="V30">
            <v>15.629575833333334</v>
          </cell>
          <cell r="W30">
            <v>9.8594538888888898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1.8475597222222224</v>
          </cell>
          <cell r="U37">
            <v>14.497804722222222</v>
          </cell>
          <cell r="V37">
            <v>70.150979653888882</v>
          </cell>
          <cell r="W37">
            <v>3.2188041666666698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0.29294666666666669</v>
          </cell>
          <cell r="U39">
            <v>2.5632777777777779E-2</v>
          </cell>
          <cell r="V39">
            <v>2.6333313888888892</v>
          </cell>
          <cell r="W39">
            <v>0.353265833333333</v>
          </cell>
          <cell r="X39">
            <v>0</v>
          </cell>
        </row>
        <row r="40">
          <cell r="T40">
            <v>0</v>
          </cell>
          <cell r="U40">
            <v>2.6356574892997744E-4</v>
          </cell>
          <cell r="V40">
            <v>44.439514166666662</v>
          </cell>
          <cell r="W40">
            <v>5.0584755555555549</v>
          </cell>
          <cell r="X40">
            <v>0</v>
          </cell>
        </row>
        <row r="41">
          <cell r="T41">
            <v>2.0636319502888525</v>
          </cell>
          <cell r="U41">
            <v>0.89176663588059402</v>
          </cell>
          <cell r="V41">
            <v>0</v>
          </cell>
          <cell r="W41">
            <v>4.4999999999999929E-2</v>
          </cell>
          <cell r="X41">
            <v>37.735735445533919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452.34819647075807</v>
          </cell>
        </row>
        <row r="43">
          <cell r="T43">
            <v>37.704445299680003</v>
          </cell>
          <cell r="U43">
            <v>26.970422859407002</v>
          </cell>
          <cell r="V43">
            <v>35.382495305294</v>
          </cell>
          <cell r="W43">
            <v>23.957943117617006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1.4204347020000001E-2</v>
          </cell>
          <cell r="U46">
            <v>6.7561224064300012</v>
          </cell>
          <cell r="V46">
            <v>0.23010017802000002</v>
          </cell>
          <cell r="W46">
            <v>0.34274047288000004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37.544340114489998</v>
          </cell>
        </row>
        <row r="53">
          <cell r="E53">
            <v>10.01566775</v>
          </cell>
        </row>
        <row r="54">
          <cell r="E54">
            <v>113.10061663207698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3">
        <row r="13">
          <cell r="L13">
            <v>24.298097404469559</v>
          </cell>
        </row>
      </sheetData>
      <sheetData sheetId="14">
        <row r="13">
          <cell r="L13">
            <v>64.055272794649682</v>
          </cell>
          <cell r="T13">
            <v>8.2455072704191767</v>
          </cell>
          <cell r="U13">
            <v>110.31623789955354</v>
          </cell>
          <cell r="V13">
            <v>168.17343522041736</v>
          </cell>
          <cell r="W13">
            <v>131.53831129097264</v>
          </cell>
          <cell r="X13">
            <v>17.908429224736064</v>
          </cell>
        </row>
        <row r="22">
          <cell r="T22">
            <v>2.4899238027122088</v>
          </cell>
          <cell r="U22">
            <v>112.28992403957399</v>
          </cell>
          <cell r="V22">
            <v>122.23887735132044</v>
          </cell>
          <cell r="W22">
            <v>68.197827273818135</v>
          </cell>
          <cell r="X22">
            <v>6.7841435265203538</v>
          </cell>
        </row>
        <row r="30">
          <cell r="T30">
            <v>0</v>
          </cell>
          <cell r="U30">
            <v>18.717898630882576</v>
          </cell>
          <cell r="V30">
            <v>15.992572069761611</v>
          </cell>
          <cell r="W30">
            <v>5.3259859771970728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0.70706396927287185</v>
          </cell>
          <cell r="U37">
            <v>17.593885172405454</v>
          </cell>
          <cell r="V37">
            <v>72.996556103181632</v>
          </cell>
          <cell r="W37">
            <v>3.9976752731894716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9.0201671928645533E-2</v>
          </cell>
          <cell r="U39">
            <v>3.8289980908217579E-4</v>
          </cell>
          <cell r="V39">
            <v>1.4994987295121316</v>
          </cell>
          <cell r="W39">
            <v>0.94378280475996701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32.811205728954405</v>
          </cell>
          <cell r="W40">
            <v>6.5080361221152287</v>
          </cell>
          <cell r="X40">
            <v>0</v>
          </cell>
        </row>
        <row r="41">
          <cell r="T41">
            <v>2.2606527751608563</v>
          </cell>
          <cell r="U41">
            <v>0.83302892187499988</v>
          </cell>
          <cell r="V41">
            <v>0</v>
          </cell>
          <cell r="W41">
            <v>0</v>
          </cell>
          <cell r="X41">
            <v>39.656272012198485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408.63289173322238</v>
          </cell>
        </row>
        <row r="43">
          <cell r="T43">
            <v>34.492480565946664</v>
          </cell>
          <cell r="U43">
            <v>27.107499244386606</v>
          </cell>
          <cell r="V43">
            <v>41.084750674599483</v>
          </cell>
          <cell r="W43">
            <v>21.278250753083572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7.0843993210285721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41.900781249999994</v>
          </cell>
        </row>
        <row r="53">
          <cell r="E53">
            <v>12.538633041459809</v>
          </cell>
        </row>
        <row r="54">
          <cell r="E54">
            <v>127.25135409198229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5">
        <row r="13">
          <cell r="L13">
            <v>71.534753758802367</v>
          </cell>
        </row>
      </sheetData>
      <sheetData sheetId="16">
        <row r="5">
          <cell r="T5">
            <v>47.147872325239078</v>
          </cell>
          <cell r="U5">
            <v>286.13549908159888</v>
          </cell>
          <cell r="V5">
            <v>451.18068007383562</v>
          </cell>
          <cell r="W5">
            <v>224.79720476317669</v>
          </cell>
          <cell r="X5">
            <v>423.21303469152963</v>
          </cell>
        </row>
        <row r="13">
          <cell r="T13">
            <v>7.7746258142900144</v>
          </cell>
          <cell r="U13">
            <v>109.51907717242362</v>
          </cell>
          <cell r="V13">
            <v>175.94122104806229</v>
          </cell>
          <cell r="W13">
            <v>131.24016316985416</v>
          </cell>
          <cell r="X13">
            <v>30.235692409435519</v>
          </cell>
        </row>
        <row r="22">
          <cell r="T22">
            <v>2.2065468915632476</v>
          </cell>
          <cell r="U22">
            <v>107.57006290409642</v>
          </cell>
          <cell r="V22">
            <v>105.84038447625139</v>
          </cell>
          <cell r="W22">
            <v>63.626820842219111</v>
          </cell>
          <cell r="X22">
            <v>15.340301507466149</v>
          </cell>
        </row>
        <row r="30">
          <cell r="T30">
            <v>0</v>
          </cell>
          <cell r="U30">
            <v>18.104889666565256</v>
          </cell>
          <cell r="V30">
            <v>15.783130887728015</v>
          </cell>
          <cell r="W30">
            <v>4.3528828563662758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1.4487991994826963</v>
          </cell>
          <cell r="U37">
            <v>18.534460646102772</v>
          </cell>
          <cell r="V37">
            <v>78.735270640359559</v>
          </cell>
          <cell r="W37">
            <v>3.5803203712753549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8.4265288301735436E-2</v>
          </cell>
          <cell r="U39">
            <v>3.8267455312152764E-4</v>
          </cell>
          <cell r="V39">
            <v>1.9317269815068459</v>
          </cell>
          <cell r="W39">
            <v>0.83294326034961275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41.43976216997369</v>
          </cell>
          <cell r="W40">
            <v>8.0745890957481183</v>
          </cell>
          <cell r="X40">
            <v>0</v>
          </cell>
        </row>
        <row r="41">
          <cell r="T41">
            <v>2.4657875210358444</v>
          </cell>
          <cell r="U41">
            <v>0.85092246484375</v>
          </cell>
          <cell r="V41">
            <v>0</v>
          </cell>
          <cell r="W41">
            <v>0</v>
          </cell>
          <cell r="X41">
            <v>33.466916874810835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344.1701238998171</v>
          </cell>
        </row>
        <row r="43">
          <cell r="T43">
            <v>33.167847610565538</v>
          </cell>
          <cell r="U43">
            <v>25.052429385041094</v>
          </cell>
          <cell r="V43">
            <v>31.509183869953784</v>
          </cell>
          <cell r="W43">
            <v>13.089485167364064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6.5032741679727843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39.843501953124999</v>
          </cell>
        </row>
        <row r="53">
          <cell r="E53">
            <v>12.411293173801123</v>
          </cell>
        </row>
        <row r="54">
          <cell r="E54">
            <v>120.50577840542185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7">
        <row r="13">
          <cell r="L13">
            <v>60.003896317889257</v>
          </cell>
        </row>
      </sheetData>
      <sheetData sheetId="18">
        <row r="13">
          <cell r="L13">
            <v>50.941346245748719</v>
          </cell>
          <cell r="T13">
            <v>7.1029233048090266</v>
          </cell>
          <cell r="U13">
            <v>109.99437284793218</v>
          </cell>
          <cell r="V13">
            <v>183.08170703950353</v>
          </cell>
          <cell r="W13">
            <v>134.9475862077569</v>
          </cell>
          <cell r="X13">
            <v>46.654707564142761</v>
          </cell>
        </row>
        <row r="22">
          <cell r="T22">
            <v>1.7974129621234143</v>
          </cell>
          <cell r="U22">
            <v>103.53986201693733</v>
          </cell>
          <cell r="V22">
            <v>90.643497547790304</v>
          </cell>
          <cell r="W22">
            <v>64.079034982937259</v>
          </cell>
          <cell r="X22">
            <v>25.624578872483603</v>
          </cell>
        </row>
        <row r="30">
          <cell r="T30">
            <v>0</v>
          </cell>
          <cell r="U30">
            <v>17.877746900135776</v>
          </cell>
          <cell r="V30">
            <v>15.629207143582217</v>
          </cell>
          <cell r="W30">
            <v>3.8620862063760555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2.5129576329044134</v>
          </cell>
          <cell r="U37">
            <v>19.565687098295676</v>
          </cell>
          <cell r="V37">
            <v>86.298448588028648</v>
          </cell>
          <cell r="W37">
            <v>3.3792389882828151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7.8328904674825409E-2</v>
          </cell>
          <cell r="U39">
            <v>3.8067188808088001E-4</v>
          </cell>
          <cell r="V39">
            <v>1.9759423218950023</v>
          </cell>
          <cell r="W39">
            <v>0.77988306826531983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49.305914152356948</v>
          </cell>
          <cell r="W40">
            <v>8.5204805498073064</v>
          </cell>
          <cell r="X40">
            <v>0</v>
          </cell>
        </row>
        <row r="41">
          <cell r="T41">
            <v>2.7366524531426237</v>
          </cell>
          <cell r="U41">
            <v>0.87520713476562495</v>
          </cell>
          <cell r="V41">
            <v>0</v>
          </cell>
          <cell r="W41">
            <v>0</v>
          </cell>
          <cell r="X41">
            <v>28.280041762715456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291.38745921478562</v>
          </cell>
        </row>
        <row r="43">
          <cell r="T43">
            <v>31.378359933180146</v>
          </cell>
          <cell r="U43">
            <v>23.255205938178186</v>
          </cell>
          <cell r="V43">
            <v>24.366054746482678</v>
          </cell>
          <cell r="W43">
            <v>9.1434406229634497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6.2002081056415257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39.800271484375003</v>
          </cell>
        </row>
        <row r="53">
          <cell r="E53">
            <v>12.028714359769619</v>
          </cell>
        </row>
        <row r="54">
          <cell r="E54">
            <v>114.78425758185857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0.87448992412119186</v>
          </cell>
        </row>
      </sheetData>
      <sheetData sheetId="19">
        <row r="13">
          <cell r="L13">
            <v>38.942042128507637</v>
          </cell>
        </row>
      </sheetData>
      <sheetData sheetId="20">
        <row r="13">
          <cell r="L13">
            <v>31.055970799843635</v>
          </cell>
          <cell r="T13">
            <v>6.3643203530837074</v>
          </cell>
          <cell r="U13">
            <v>111.80433548215856</v>
          </cell>
          <cell r="V13">
            <v>187.24843332836184</v>
          </cell>
          <cell r="W13">
            <v>138.68432478978596</v>
          </cell>
          <cell r="X13">
            <v>62.086065361885787</v>
          </cell>
        </row>
        <row r="22">
          <cell r="T22">
            <v>1.3434836260904512</v>
          </cell>
          <cell r="U22">
            <v>100.27567229981769</v>
          </cell>
          <cell r="V22">
            <v>84.522095564657249</v>
          </cell>
          <cell r="W22">
            <v>64.55833796318565</v>
          </cell>
          <cell r="X22">
            <v>32.444304612937295</v>
          </cell>
        </row>
        <row r="30">
          <cell r="T30">
            <v>0</v>
          </cell>
          <cell r="U30">
            <v>17.844652835962791</v>
          </cell>
          <cell r="V30">
            <v>15.504434202631401</v>
          </cell>
          <cell r="W30">
            <v>3.5758270456804375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3.6844952632387193</v>
          </cell>
          <cell r="U37">
            <v>20.699069714826329</v>
          </cell>
          <cell r="V37">
            <v>87.012401530952616</v>
          </cell>
          <cell r="W37">
            <v>3.243340348024236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7.2392521047915395E-2</v>
          </cell>
          <cell r="U39">
            <v>3.7866244598879411E-4</v>
          </cell>
          <cell r="V39">
            <v>2.0231633432731213</v>
          </cell>
          <cell r="W39">
            <v>0.74318365128395913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54.219025663639314</v>
          </cell>
          <cell r="W40">
            <v>8.6788063603893928</v>
          </cell>
          <cell r="X40">
            <v>0</v>
          </cell>
        </row>
        <row r="41">
          <cell r="T41">
            <v>3.0029030850571363</v>
          </cell>
          <cell r="U41">
            <v>0.9136629082031249</v>
          </cell>
          <cell r="V41">
            <v>0</v>
          </cell>
          <cell r="W41">
            <v>0</v>
          </cell>
          <cell r="X41">
            <v>24.125777410294155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249.23385066161848</v>
          </cell>
        </row>
        <row r="43">
          <cell r="T43">
            <v>29.471786733039881</v>
          </cell>
          <cell r="U43">
            <v>21.83935294215906</v>
          </cell>
          <cell r="V43">
            <v>17.698191750553285</v>
          </cell>
          <cell r="W43">
            <v>5.759525486283259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5.4657298257742912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39.745125000000002</v>
          </cell>
        </row>
        <row r="53">
          <cell r="E53">
            <v>11.766175832538266</v>
          </cell>
        </row>
        <row r="54">
          <cell r="E54">
            <v>109.69308299672531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1.8135973700674786</v>
          </cell>
        </row>
      </sheetData>
      <sheetData sheetId="21">
        <row r="13">
          <cell r="L13">
            <v>16.706363002811486</v>
          </cell>
        </row>
      </sheetData>
      <sheetData sheetId="22">
        <row r="13">
          <cell r="L13">
            <v>12.7985093299136</v>
          </cell>
          <cell r="T13">
            <v>5.5235547180923223</v>
          </cell>
          <cell r="U13">
            <v>114.99790196708234</v>
          </cell>
          <cell r="V13">
            <v>194.47767196350526</v>
          </cell>
          <cell r="W13">
            <v>146.08879967332064</v>
          </cell>
          <cell r="X13">
            <v>80.819270278256823</v>
          </cell>
        </row>
        <row r="22">
          <cell r="T22">
            <v>0.82724150114229067</v>
          </cell>
          <cell r="U22">
            <v>93.244653189496177</v>
          </cell>
          <cell r="V22">
            <v>69.950393796181032</v>
          </cell>
          <cell r="W22">
            <v>63.855416891592903</v>
          </cell>
          <cell r="X22">
            <v>36.333214039569555</v>
          </cell>
        </row>
        <row r="30">
          <cell r="T30">
            <v>0</v>
          </cell>
          <cell r="U30">
            <v>17.911870236140274</v>
          </cell>
          <cell r="V30">
            <v>15.182773802844931</v>
          </cell>
          <cell r="W30">
            <v>3.3506823845440552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5.0054618408177598</v>
          </cell>
          <cell r="U37">
            <v>22.791437377983073</v>
          </cell>
          <cell r="V37">
            <v>86.155325304334795</v>
          </cell>
          <cell r="W37">
            <v>3.0090868580403627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6.051975379409523E-2</v>
          </cell>
          <cell r="U39">
            <v>3.7093504340600874E-4</v>
          </cell>
          <cell r="V39">
            <v>2.1206229173139883</v>
          </cell>
          <cell r="W39">
            <v>0.68093940948821108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66.478227859390046</v>
          </cell>
          <cell r="W40">
            <v>8.6055350400994808</v>
          </cell>
          <cell r="X40">
            <v>0</v>
          </cell>
        </row>
        <row r="41">
          <cell r="T41">
            <v>3.2629555410385191</v>
          </cell>
          <cell r="U41">
            <v>1.007010953125</v>
          </cell>
          <cell r="V41">
            <v>0</v>
          </cell>
          <cell r="W41">
            <v>0</v>
          </cell>
          <cell r="X41">
            <v>20.896591906701669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216.8751541495462</v>
          </cell>
        </row>
        <row r="43">
          <cell r="T43">
            <v>27.219719362233906</v>
          </cell>
          <cell r="U43">
            <v>19.397200033553816</v>
          </cell>
          <cell r="V43">
            <v>5.2094674308398901</v>
          </cell>
          <cell r="W43">
            <v>2.3181271880740835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3.6733927919712848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39.599712890625</v>
          </cell>
        </row>
        <row r="53">
          <cell r="E53">
            <v>11.196954266678716</v>
          </cell>
        </row>
        <row r="54">
          <cell r="E54">
            <v>100.05515171814793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3.9154347726113912</v>
          </cell>
        </row>
      </sheetData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300"/>
  <sheetViews>
    <sheetView zoomScale="110" zoomScaleNormal="110" workbookViewId="0">
      <pane xSplit="2" ySplit="1" topLeftCell="AR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1.42578125" defaultRowHeight="15" x14ac:dyDescent="0.25"/>
  <cols>
    <col min="1" max="1" width="39.28515625" customWidth="1"/>
    <col min="2" max="2" width="65.42578125" customWidth="1"/>
    <col min="45" max="50" width="11.7109375" customWidth="1"/>
  </cols>
  <sheetData>
    <row r="1" spans="1:49" ht="51.75" thickBot="1" x14ac:dyDescent="0.3">
      <c r="A1" s="237" t="s">
        <v>221</v>
      </c>
      <c r="B1" s="243" t="s">
        <v>157</v>
      </c>
      <c r="C1" s="238">
        <v>2</v>
      </c>
      <c r="D1" s="238">
        <f>C1+1</f>
        <v>3</v>
      </c>
      <c r="E1" s="238">
        <f t="shared" ref="E1:AS1" si="0">D1+1</f>
        <v>4</v>
      </c>
      <c r="F1" s="238">
        <f t="shared" si="0"/>
        <v>5</v>
      </c>
      <c r="G1" s="238">
        <f t="shared" si="0"/>
        <v>6</v>
      </c>
      <c r="H1" s="238">
        <f t="shared" si="0"/>
        <v>7</v>
      </c>
      <c r="I1" s="238">
        <f t="shared" si="0"/>
        <v>8</v>
      </c>
      <c r="J1" s="238">
        <f t="shared" si="0"/>
        <v>9</v>
      </c>
      <c r="K1" s="238">
        <f t="shared" si="0"/>
        <v>10</v>
      </c>
      <c r="L1" s="238">
        <f t="shared" si="0"/>
        <v>11</v>
      </c>
      <c r="M1" s="238">
        <f t="shared" si="0"/>
        <v>12</v>
      </c>
      <c r="N1" s="238">
        <f t="shared" si="0"/>
        <v>13</v>
      </c>
      <c r="O1" s="238">
        <f>N1+1</f>
        <v>14</v>
      </c>
      <c r="P1" s="238">
        <f t="shared" si="0"/>
        <v>15</v>
      </c>
      <c r="Q1" s="238">
        <f t="shared" si="0"/>
        <v>16</v>
      </c>
      <c r="R1" s="238">
        <f t="shared" si="0"/>
        <v>17</v>
      </c>
      <c r="S1" s="238">
        <f t="shared" si="0"/>
        <v>18</v>
      </c>
      <c r="T1" s="238">
        <f t="shared" si="0"/>
        <v>19</v>
      </c>
      <c r="U1" s="238">
        <f t="shared" si="0"/>
        <v>20</v>
      </c>
      <c r="V1" s="238">
        <f t="shared" si="0"/>
        <v>21</v>
      </c>
      <c r="W1" s="238">
        <f t="shared" si="0"/>
        <v>22</v>
      </c>
      <c r="X1" s="238">
        <f t="shared" si="0"/>
        <v>23</v>
      </c>
      <c r="Y1" s="238">
        <f t="shared" si="0"/>
        <v>24</v>
      </c>
      <c r="Z1" s="238">
        <f t="shared" si="0"/>
        <v>25</v>
      </c>
      <c r="AA1" s="238">
        <f t="shared" si="0"/>
        <v>26</v>
      </c>
      <c r="AB1" s="238">
        <f t="shared" si="0"/>
        <v>27</v>
      </c>
      <c r="AC1" s="238">
        <f t="shared" si="0"/>
        <v>28</v>
      </c>
      <c r="AD1" s="238">
        <f t="shared" si="0"/>
        <v>29</v>
      </c>
      <c r="AE1" s="238">
        <f t="shared" si="0"/>
        <v>30</v>
      </c>
      <c r="AF1" s="238">
        <f t="shared" si="0"/>
        <v>31</v>
      </c>
      <c r="AG1" s="238">
        <f t="shared" si="0"/>
        <v>32</v>
      </c>
      <c r="AH1" s="238">
        <f t="shared" si="0"/>
        <v>33</v>
      </c>
      <c r="AI1" s="238">
        <f t="shared" si="0"/>
        <v>34</v>
      </c>
      <c r="AJ1" s="238">
        <f t="shared" si="0"/>
        <v>35</v>
      </c>
      <c r="AK1" s="238">
        <f t="shared" si="0"/>
        <v>36</v>
      </c>
      <c r="AL1" s="238">
        <f t="shared" si="0"/>
        <v>37</v>
      </c>
      <c r="AM1" s="238">
        <f t="shared" si="0"/>
        <v>38</v>
      </c>
      <c r="AN1" s="238">
        <f t="shared" si="0"/>
        <v>39</v>
      </c>
      <c r="AO1" s="238">
        <f t="shared" si="0"/>
        <v>40</v>
      </c>
      <c r="AP1" s="238">
        <f t="shared" si="0"/>
        <v>41</v>
      </c>
      <c r="AQ1" s="238">
        <f t="shared" si="0"/>
        <v>42</v>
      </c>
      <c r="AR1" s="238">
        <f t="shared" si="0"/>
        <v>43</v>
      </c>
      <c r="AS1" s="238">
        <f t="shared" si="0"/>
        <v>44</v>
      </c>
      <c r="AT1" s="238">
        <f>AS1+1</f>
        <v>45</v>
      </c>
      <c r="AU1" s="238">
        <f>AT1+1</f>
        <v>46</v>
      </c>
      <c r="AV1" s="238">
        <f t="shared" ref="AV1:AW1" si="1">AU1+1</f>
        <v>47</v>
      </c>
      <c r="AW1" s="238">
        <f t="shared" si="1"/>
        <v>48</v>
      </c>
    </row>
    <row r="2" spans="1:49" x14ac:dyDescent="0.25">
      <c r="B2" s="246"/>
      <c r="C2">
        <v>2004</v>
      </c>
      <c r="D2">
        <v>2005</v>
      </c>
      <c r="E2">
        <v>2006</v>
      </c>
      <c r="F2">
        <v>2007</v>
      </c>
      <c r="G2">
        <v>2008</v>
      </c>
      <c r="H2">
        <v>2009</v>
      </c>
      <c r="I2">
        <v>2010</v>
      </c>
      <c r="J2">
        <v>2011</v>
      </c>
      <c r="K2">
        <v>2012</v>
      </c>
      <c r="L2">
        <v>2013</v>
      </c>
      <c r="M2">
        <v>2014</v>
      </c>
      <c r="N2">
        <v>2015</v>
      </c>
      <c r="O2">
        <v>2016</v>
      </c>
      <c r="P2">
        <v>2017</v>
      </c>
      <c r="Q2">
        <v>2018</v>
      </c>
      <c r="R2">
        <v>2019</v>
      </c>
      <c r="S2">
        <v>2020</v>
      </c>
      <c r="T2">
        <v>2021</v>
      </c>
      <c r="U2">
        <v>2022</v>
      </c>
      <c r="V2">
        <v>2023</v>
      </c>
      <c r="W2">
        <v>2024</v>
      </c>
      <c r="X2">
        <v>2025</v>
      </c>
      <c r="Y2">
        <v>2026</v>
      </c>
      <c r="Z2">
        <v>2027</v>
      </c>
      <c r="AA2">
        <v>2028</v>
      </c>
      <c r="AB2">
        <v>2029</v>
      </c>
      <c r="AC2">
        <v>2030</v>
      </c>
      <c r="AD2">
        <v>2031</v>
      </c>
      <c r="AE2">
        <v>2032</v>
      </c>
      <c r="AF2">
        <v>2033</v>
      </c>
      <c r="AG2">
        <v>2034</v>
      </c>
      <c r="AH2">
        <v>2035</v>
      </c>
      <c r="AI2">
        <v>2036</v>
      </c>
      <c r="AJ2">
        <v>2037</v>
      </c>
      <c r="AK2">
        <v>2038</v>
      </c>
      <c r="AL2">
        <v>2039</v>
      </c>
      <c r="AM2">
        <v>2040</v>
      </c>
      <c r="AN2">
        <v>2041</v>
      </c>
      <c r="AO2">
        <v>2042</v>
      </c>
      <c r="AP2">
        <v>2043</v>
      </c>
      <c r="AQ2">
        <v>2044</v>
      </c>
      <c r="AR2">
        <v>2045</v>
      </c>
      <c r="AS2">
        <v>2046</v>
      </c>
      <c r="AT2">
        <v>2047</v>
      </c>
      <c r="AU2">
        <v>2048</v>
      </c>
      <c r="AV2">
        <v>2049</v>
      </c>
      <c r="AW2">
        <v>2050</v>
      </c>
    </row>
    <row r="3" spans="1:49" x14ac:dyDescent="0.25">
      <c r="B3" s="16" t="s">
        <v>304</v>
      </c>
      <c r="C3">
        <v>78.155731330970795</v>
      </c>
      <c r="D3">
        <v>79.410546877677106</v>
      </c>
      <c r="E3">
        <v>80.671195490000002</v>
      </c>
      <c r="F3">
        <v>81.259447370000004</v>
      </c>
      <c r="G3">
        <v>78.379689830000004</v>
      </c>
      <c r="H3">
        <v>76.363288389999994</v>
      </c>
      <c r="I3">
        <v>75.153558779999997</v>
      </c>
      <c r="J3">
        <v>73.687271440000004</v>
      </c>
      <c r="K3">
        <v>71.878835969999997</v>
      </c>
      <c r="L3">
        <v>70.603637489999997</v>
      </c>
      <c r="M3">
        <v>70.650702859999996</v>
      </c>
      <c r="N3">
        <v>71.350403459999995</v>
      </c>
      <c r="O3">
        <v>69.844380139999998</v>
      </c>
      <c r="P3">
        <v>68.247549960000001</v>
      </c>
      <c r="Q3">
        <v>65.991406040000001</v>
      </c>
      <c r="R3">
        <v>64.78089885</v>
      </c>
      <c r="S3">
        <v>63.291786889999997</v>
      </c>
      <c r="T3">
        <v>62.987699429999999</v>
      </c>
      <c r="U3">
        <v>62.352679330000001</v>
      </c>
      <c r="V3">
        <v>61.953478029999999</v>
      </c>
      <c r="W3">
        <v>61.426422440000003</v>
      </c>
      <c r="X3">
        <v>60.566932770000001</v>
      </c>
      <c r="Y3">
        <v>59.993895569999999</v>
      </c>
      <c r="Z3">
        <v>59.675757830000002</v>
      </c>
      <c r="AA3">
        <v>59.452147709999998</v>
      </c>
      <c r="AB3">
        <v>59.286628190000002</v>
      </c>
      <c r="AC3">
        <v>59.191906729999999</v>
      </c>
      <c r="AD3">
        <v>58.6418465</v>
      </c>
      <c r="AE3">
        <v>58.087063309999998</v>
      </c>
      <c r="AF3">
        <v>57.554904720000003</v>
      </c>
      <c r="AG3">
        <v>57.040123139999999</v>
      </c>
      <c r="AH3">
        <v>56.527289719999999</v>
      </c>
      <c r="AI3">
        <v>56.157942349999999</v>
      </c>
      <c r="AJ3">
        <v>55.816709789999997</v>
      </c>
      <c r="AK3">
        <v>55.499900799999999</v>
      </c>
      <c r="AL3">
        <v>55.202815719999997</v>
      </c>
      <c r="AM3">
        <v>54.917837560000002</v>
      </c>
      <c r="AN3">
        <v>54.617906650000002</v>
      </c>
      <c r="AO3">
        <v>54.321785409999997</v>
      </c>
      <c r="AP3">
        <v>54.018325930000003</v>
      </c>
      <c r="AQ3">
        <v>53.719076690000001</v>
      </c>
      <c r="AR3">
        <v>53.413049350000001</v>
      </c>
      <c r="AS3">
        <v>53.290877960000003</v>
      </c>
      <c r="AT3">
        <v>53.186647170000001</v>
      </c>
      <c r="AU3">
        <v>53.093882190000002</v>
      </c>
      <c r="AV3">
        <v>53.010091420000002</v>
      </c>
      <c r="AW3">
        <v>52.95505816</v>
      </c>
    </row>
    <row r="4" spans="1:49" x14ac:dyDescent="0.25">
      <c r="B4" s="16" t="s">
        <v>305</v>
      </c>
      <c r="C4">
        <v>77.477678819662401</v>
      </c>
      <c r="D4">
        <v>78.721608013977402</v>
      </c>
      <c r="E4">
        <v>80.003730169999997</v>
      </c>
      <c r="F4">
        <v>80.256301410000006</v>
      </c>
      <c r="G4">
        <v>77.094314490000002</v>
      </c>
      <c r="H4">
        <v>74.802646969999998</v>
      </c>
      <c r="I4">
        <v>73.315437149999994</v>
      </c>
      <c r="J4">
        <v>71.589921579999995</v>
      </c>
      <c r="K4">
        <v>69.546292089999994</v>
      </c>
      <c r="L4">
        <v>68.032049549999996</v>
      </c>
      <c r="M4">
        <v>67.797940060000002</v>
      </c>
      <c r="N4">
        <v>68.188318140000007</v>
      </c>
      <c r="O4">
        <v>66.699230589999999</v>
      </c>
      <c r="P4">
        <v>65.122545049999999</v>
      </c>
      <c r="Q4">
        <v>62.9163724</v>
      </c>
      <c r="R4">
        <v>61.706361110000003</v>
      </c>
      <c r="S4">
        <v>60.229460510000003</v>
      </c>
      <c r="T4">
        <v>59.779411899999999</v>
      </c>
      <c r="U4">
        <v>59.022844569999997</v>
      </c>
      <c r="V4">
        <v>58.496938579999998</v>
      </c>
      <c r="W4">
        <v>57.847105300000003</v>
      </c>
      <c r="X4">
        <v>56.881315139999998</v>
      </c>
      <c r="Y4">
        <v>56.343331020000001</v>
      </c>
      <c r="Z4">
        <v>56.044744049999998</v>
      </c>
      <c r="AA4">
        <v>55.83494305</v>
      </c>
      <c r="AB4">
        <v>55.678611429999997</v>
      </c>
      <c r="AC4">
        <v>55.588715729999997</v>
      </c>
      <c r="AD4">
        <v>55.075127610000003</v>
      </c>
      <c r="AE4">
        <v>54.557208699999997</v>
      </c>
      <c r="AF4">
        <v>54.060654270000001</v>
      </c>
      <c r="AG4">
        <v>53.580065390000001</v>
      </c>
      <c r="AH4">
        <v>53.10142656</v>
      </c>
      <c r="AI4">
        <v>52.75299656</v>
      </c>
      <c r="AJ4">
        <v>52.430920129999997</v>
      </c>
      <c r="AK4">
        <v>52.131723190000002</v>
      </c>
      <c r="AL4">
        <v>51.851556870000003</v>
      </c>
      <c r="AM4">
        <v>51.582712489999999</v>
      </c>
      <c r="AN4">
        <v>51.289046120000002</v>
      </c>
      <c r="AO4">
        <v>50.998628979999999</v>
      </c>
      <c r="AP4">
        <v>50.700975759999999</v>
      </c>
      <c r="AQ4">
        <v>50.4069073</v>
      </c>
      <c r="AR4">
        <v>50.106089910000001</v>
      </c>
      <c r="AS4">
        <v>49.975411729999998</v>
      </c>
      <c r="AT4">
        <v>49.861272210000003</v>
      </c>
      <c r="AU4">
        <v>49.757577089999998</v>
      </c>
      <c r="AV4">
        <v>49.661970850000003</v>
      </c>
      <c r="AW4">
        <v>49.592960980000001</v>
      </c>
    </row>
    <row r="5" spans="1:49" x14ac:dyDescent="0.25">
      <c r="B5" s="16" t="s">
        <v>306</v>
      </c>
      <c r="C5">
        <v>0.67805251130835598</v>
      </c>
      <c r="D5">
        <v>0.68893886369971102</v>
      </c>
      <c r="E5">
        <v>0.66746531460000003</v>
      </c>
      <c r="F5">
        <v>1.0031459579999999</v>
      </c>
      <c r="G5">
        <v>1.285375334</v>
      </c>
      <c r="H5">
        <v>1.560641422</v>
      </c>
      <c r="I5">
        <v>1.8381216220000001</v>
      </c>
      <c r="J5">
        <v>2.0973498660000001</v>
      </c>
      <c r="K5">
        <v>2.3325438809999999</v>
      </c>
      <c r="L5">
        <v>2.5715879410000002</v>
      </c>
      <c r="M5">
        <v>2.8527627999999998</v>
      </c>
      <c r="N5">
        <v>3.1620853210000002</v>
      </c>
      <c r="O5">
        <v>3.145149558</v>
      </c>
      <c r="P5">
        <v>3.125004906</v>
      </c>
      <c r="Q5">
        <v>3.0750336389999999</v>
      </c>
      <c r="R5">
        <v>3.074537732</v>
      </c>
      <c r="S5">
        <v>3.0623263839999999</v>
      </c>
      <c r="T5">
        <v>3.2082875300000002</v>
      </c>
      <c r="U5">
        <v>3.329834768</v>
      </c>
      <c r="V5">
        <v>3.456539458</v>
      </c>
      <c r="W5">
        <v>3.5793171400000001</v>
      </c>
      <c r="X5">
        <v>3.6856176299999999</v>
      </c>
      <c r="Y5">
        <v>3.650564551</v>
      </c>
      <c r="Z5">
        <v>3.6310137810000001</v>
      </c>
      <c r="AA5">
        <v>3.6172046550000001</v>
      </c>
      <c r="AB5">
        <v>3.608016766</v>
      </c>
      <c r="AC5">
        <v>3.6031909999999998</v>
      </c>
      <c r="AD5">
        <v>3.5667188869999999</v>
      </c>
      <c r="AE5">
        <v>3.5298546069999999</v>
      </c>
      <c r="AF5">
        <v>3.4942504460000001</v>
      </c>
      <c r="AG5">
        <v>3.4600577559999999</v>
      </c>
      <c r="AH5">
        <v>3.4258631570000002</v>
      </c>
      <c r="AI5">
        <v>3.404945788</v>
      </c>
      <c r="AJ5">
        <v>3.385789656</v>
      </c>
      <c r="AK5">
        <v>3.3681776160000001</v>
      </c>
      <c r="AL5">
        <v>3.3512588540000001</v>
      </c>
      <c r="AM5">
        <v>3.3351250669999999</v>
      </c>
      <c r="AN5">
        <v>3.3288605360000001</v>
      </c>
      <c r="AO5">
        <v>3.3231564360000001</v>
      </c>
      <c r="AP5">
        <v>3.3173501779999999</v>
      </c>
      <c r="AQ5">
        <v>3.3121693840000002</v>
      </c>
      <c r="AR5">
        <v>3.3069594439999999</v>
      </c>
      <c r="AS5">
        <v>3.3154662309999998</v>
      </c>
      <c r="AT5">
        <v>3.3253749560000001</v>
      </c>
      <c r="AU5">
        <v>3.3363051019999999</v>
      </c>
      <c r="AV5">
        <v>3.3481205709999999</v>
      </c>
      <c r="AW5">
        <v>3.3620971759999998</v>
      </c>
    </row>
    <row r="6" spans="1:49" x14ac:dyDescent="0.25">
      <c r="B6" s="16" t="s">
        <v>307</v>
      </c>
      <c r="C6">
        <v>28.634797354551999</v>
      </c>
      <c r="D6">
        <v>29.094538288267</v>
      </c>
      <c r="E6">
        <v>29.720948459999999</v>
      </c>
      <c r="F6">
        <v>30.546009600000001</v>
      </c>
      <c r="G6">
        <v>31.213907599999999</v>
      </c>
      <c r="H6">
        <v>29.015633709999999</v>
      </c>
      <c r="I6">
        <v>30.10262462</v>
      </c>
      <c r="J6">
        <v>31.121265319999999</v>
      </c>
      <c r="K6">
        <v>31.45401489</v>
      </c>
      <c r="L6">
        <v>31.290213489999999</v>
      </c>
      <c r="M6">
        <v>31.114837359999999</v>
      </c>
      <c r="N6">
        <v>30.517317890000001</v>
      </c>
      <c r="O6">
        <v>28.795563170000001</v>
      </c>
      <c r="P6">
        <v>28.286111940000001</v>
      </c>
      <c r="Q6">
        <v>28.21865596</v>
      </c>
      <c r="R6">
        <v>27.262972059999999</v>
      </c>
      <c r="S6">
        <v>26.304458520000001</v>
      </c>
      <c r="T6">
        <v>26.226882060000001</v>
      </c>
      <c r="U6">
        <v>26.142681549999999</v>
      </c>
      <c r="V6">
        <v>26.185871680000002</v>
      </c>
      <c r="W6">
        <v>27.136843970000001</v>
      </c>
      <c r="X6">
        <v>28.133397930000001</v>
      </c>
      <c r="Y6">
        <v>28.239222560000002</v>
      </c>
      <c r="Z6">
        <v>28.376088500000002</v>
      </c>
      <c r="AA6">
        <v>28.52407491</v>
      </c>
      <c r="AB6">
        <v>28.751878940000001</v>
      </c>
      <c r="AC6">
        <v>29.003568489999999</v>
      </c>
      <c r="AD6">
        <v>28.707981419999999</v>
      </c>
      <c r="AE6">
        <v>28.4224572</v>
      </c>
      <c r="AF6">
        <v>28.143951479999998</v>
      </c>
      <c r="AG6">
        <v>27.840010580000001</v>
      </c>
      <c r="AH6">
        <v>27.539484160000001</v>
      </c>
      <c r="AI6">
        <v>27.166841000000002</v>
      </c>
      <c r="AJ6">
        <v>26.79265899</v>
      </c>
      <c r="AK6">
        <v>26.40899396</v>
      </c>
      <c r="AL6">
        <v>25.989316120000002</v>
      </c>
      <c r="AM6">
        <v>25.559721039999999</v>
      </c>
      <c r="AN6">
        <v>25.099601400000001</v>
      </c>
      <c r="AO6">
        <v>24.634151209999999</v>
      </c>
      <c r="AP6">
        <v>24.16082201</v>
      </c>
      <c r="AQ6">
        <v>23.684302970000001</v>
      </c>
      <c r="AR6">
        <v>23.201495479999998</v>
      </c>
      <c r="AS6">
        <v>22.596417429999999</v>
      </c>
      <c r="AT6">
        <v>21.98107813</v>
      </c>
      <c r="AU6">
        <v>21.36312787</v>
      </c>
      <c r="AV6">
        <v>20.74207036</v>
      </c>
      <c r="AW6">
        <v>20.125924990000001</v>
      </c>
    </row>
    <row r="7" spans="1:49" x14ac:dyDescent="0.25">
      <c r="B7" s="16" t="s">
        <v>308</v>
      </c>
      <c r="C7">
        <v>0.36749349586970598</v>
      </c>
      <c r="D7">
        <v>0.37339372281503302</v>
      </c>
      <c r="E7">
        <v>0.3814329508</v>
      </c>
      <c r="F7">
        <v>0.37142179040000001</v>
      </c>
      <c r="G7">
        <v>0.35959892729999998</v>
      </c>
      <c r="H7">
        <v>0.31670845619999999</v>
      </c>
      <c r="I7">
        <v>0.31130730680000002</v>
      </c>
      <c r="J7">
        <v>0.30492957570000001</v>
      </c>
      <c r="K7">
        <v>0.29199522090000002</v>
      </c>
      <c r="L7">
        <v>0.27521083870000002</v>
      </c>
      <c r="M7">
        <v>0.25928768769999999</v>
      </c>
      <c r="N7">
        <v>0.24094508589999999</v>
      </c>
      <c r="O7">
        <v>0.2092675682</v>
      </c>
      <c r="P7">
        <v>0.18639376969999999</v>
      </c>
      <c r="Q7">
        <v>0.16524535839999999</v>
      </c>
      <c r="R7">
        <v>0.13792466959999999</v>
      </c>
      <c r="S7">
        <v>0.1102298345</v>
      </c>
      <c r="T7">
        <v>0.14611644570000001</v>
      </c>
      <c r="U7">
        <v>0.1829158253</v>
      </c>
      <c r="V7">
        <v>0.22178127240000001</v>
      </c>
      <c r="W7">
        <v>0.23327060669999999</v>
      </c>
      <c r="X7">
        <v>0.24502068630000001</v>
      </c>
      <c r="Y7">
        <v>0.2444324168</v>
      </c>
      <c r="Z7">
        <v>0.2440877374</v>
      </c>
      <c r="AA7">
        <v>0.2438110325</v>
      </c>
      <c r="AB7">
        <v>0.24419402979999999</v>
      </c>
      <c r="AC7">
        <v>0.24474892779999999</v>
      </c>
      <c r="AD7">
        <v>0.25014031199999998</v>
      </c>
      <c r="AE7">
        <v>0.25561188509999999</v>
      </c>
      <c r="AF7">
        <v>0.26114371510000001</v>
      </c>
      <c r="AG7">
        <v>0.26687290670000002</v>
      </c>
      <c r="AH7">
        <v>0.2726405093</v>
      </c>
      <c r="AI7">
        <v>0.27243406139999998</v>
      </c>
      <c r="AJ7">
        <v>0.27222563249999998</v>
      </c>
      <c r="AK7">
        <v>0.27193345289999998</v>
      </c>
      <c r="AL7">
        <v>0.27144645350000002</v>
      </c>
      <c r="AM7">
        <v>0.27086673010000001</v>
      </c>
      <c r="AN7">
        <v>0.27589320750000002</v>
      </c>
      <c r="AO7">
        <v>0.28088359930000001</v>
      </c>
      <c r="AP7">
        <v>0.2858024388</v>
      </c>
      <c r="AQ7">
        <v>0.29069811839999998</v>
      </c>
      <c r="AR7">
        <v>0.29552775079999999</v>
      </c>
      <c r="AS7">
        <v>0.29737985230000002</v>
      </c>
      <c r="AT7">
        <v>0.29910246909999999</v>
      </c>
      <c r="AU7">
        <v>0.3007896471</v>
      </c>
      <c r="AV7">
        <v>0.30243034629999999</v>
      </c>
      <c r="AW7">
        <v>0.30414069379999997</v>
      </c>
    </row>
    <row r="8" spans="1:49" x14ac:dyDescent="0.25">
      <c r="B8" t="s">
        <v>309</v>
      </c>
      <c r="C8">
        <v>1.4676116307532601</v>
      </c>
      <c r="D8">
        <v>1.4911746101974399</v>
      </c>
      <c r="E8">
        <v>1.5232798439999999</v>
      </c>
      <c r="F8">
        <v>1.567843538</v>
      </c>
      <c r="G8">
        <v>1.6044551520000001</v>
      </c>
      <c r="H8">
        <v>1.493628897</v>
      </c>
      <c r="I8">
        <v>1.551837404</v>
      </c>
      <c r="J8">
        <v>1.6066833899999999</v>
      </c>
      <c r="K8">
        <v>1.626223945</v>
      </c>
      <c r="L8">
        <v>1.620108106</v>
      </c>
      <c r="M8">
        <v>1.6133708630000001</v>
      </c>
      <c r="N8">
        <v>1.584689722</v>
      </c>
      <c r="O8">
        <v>1.6746472210000001</v>
      </c>
      <c r="P8">
        <v>1.8351726370000001</v>
      </c>
      <c r="Q8">
        <v>2.0361493479999999</v>
      </c>
      <c r="R8">
        <v>2.182665021</v>
      </c>
      <c r="S8">
        <v>2.3325231629999998</v>
      </c>
      <c r="T8">
        <v>2.2481714039999998</v>
      </c>
      <c r="U8">
        <v>2.1612200619999999</v>
      </c>
      <c r="V8">
        <v>2.0822868479999999</v>
      </c>
      <c r="W8">
        <v>1.3831138620000001</v>
      </c>
      <c r="X8">
        <v>0.71582934470000004</v>
      </c>
      <c r="Y8">
        <v>0.71947377400000001</v>
      </c>
      <c r="Z8">
        <v>0.72392488840000002</v>
      </c>
      <c r="AA8">
        <v>0.72867715619999995</v>
      </c>
      <c r="AB8">
        <v>0.73545748609999995</v>
      </c>
      <c r="AC8">
        <v>0.74286781420000003</v>
      </c>
      <c r="AD8">
        <v>0.75049085110000002</v>
      </c>
      <c r="AE8">
        <v>0.75836251909999997</v>
      </c>
      <c r="AF8">
        <v>0.76641593779999995</v>
      </c>
      <c r="AG8">
        <v>0.77461728429999999</v>
      </c>
      <c r="AH8">
        <v>0.78292458249999997</v>
      </c>
      <c r="AI8">
        <v>0.79142053859999995</v>
      </c>
      <c r="AJ8">
        <v>0.79994539399999998</v>
      </c>
      <c r="AK8">
        <v>0.80825618610000005</v>
      </c>
      <c r="AL8">
        <v>0.81642311879999996</v>
      </c>
      <c r="AM8">
        <v>0.82433800580000005</v>
      </c>
      <c r="AN8">
        <v>0.83058269380000005</v>
      </c>
      <c r="AO8">
        <v>0.83669890810000003</v>
      </c>
      <c r="AP8">
        <v>0.84258644540000005</v>
      </c>
      <c r="AQ8">
        <v>0.84839376870000005</v>
      </c>
      <c r="AR8">
        <v>0.8539995454</v>
      </c>
      <c r="AS8">
        <v>1.173564453</v>
      </c>
      <c r="AT8">
        <v>1.492795206</v>
      </c>
      <c r="AU8">
        <v>1.8118518290000001</v>
      </c>
      <c r="AV8">
        <v>2.1305473250000002</v>
      </c>
      <c r="AW8">
        <v>2.4496768119999999</v>
      </c>
    </row>
    <row r="9" spans="1:49" x14ac:dyDescent="0.25">
      <c r="B9" t="s">
        <v>310</v>
      </c>
      <c r="C9">
        <v>1.4643633957556199</v>
      </c>
      <c r="D9">
        <v>1.4878742237362399</v>
      </c>
      <c r="E9">
        <v>1.5199084</v>
      </c>
      <c r="F9">
        <v>1.4384208780000001</v>
      </c>
      <c r="G9">
        <v>1.353494135</v>
      </c>
      <c r="H9">
        <v>1.15855603</v>
      </c>
      <c r="I9">
        <v>1.106792196</v>
      </c>
      <c r="J9">
        <v>1.0536484079999999</v>
      </c>
      <c r="K9">
        <v>0.98059867270000001</v>
      </c>
      <c r="L9">
        <v>0.89825673709999998</v>
      </c>
      <c r="M9">
        <v>0.82250062349999997</v>
      </c>
      <c r="N9">
        <v>0.74283405560000004</v>
      </c>
      <c r="O9">
        <v>0.62242682650000003</v>
      </c>
      <c r="P9">
        <v>0.52819568640000003</v>
      </c>
      <c r="Q9">
        <v>0.43706477420000001</v>
      </c>
      <c r="R9">
        <v>0.32796201530000002</v>
      </c>
      <c r="S9">
        <v>0.21726326670000001</v>
      </c>
      <c r="T9">
        <v>0.20928154860000001</v>
      </c>
      <c r="U9">
        <v>0.20105445159999999</v>
      </c>
      <c r="V9">
        <v>0.19356892540000001</v>
      </c>
      <c r="W9">
        <v>0.12733852500000001</v>
      </c>
      <c r="X9">
        <v>6.4117537299999999E-2</v>
      </c>
      <c r="Y9">
        <v>6.4421149999999996E-2</v>
      </c>
      <c r="Z9">
        <v>6.4796613899999994E-2</v>
      </c>
      <c r="AA9">
        <v>6.5198615900000007E-2</v>
      </c>
      <c r="AB9">
        <v>6.5781764600000001E-2</v>
      </c>
      <c r="AC9">
        <v>6.6420797399999995E-2</v>
      </c>
      <c r="AD9">
        <v>6.7085475399999997E-2</v>
      </c>
      <c r="AE9">
        <v>6.7772393900000005E-2</v>
      </c>
      <c r="AF9">
        <v>6.8475560800000002E-2</v>
      </c>
      <c r="AG9">
        <v>6.9190727800000004E-2</v>
      </c>
      <c r="AH9">
        <v>6.99153473E-2</v>
      </c>
      <c r="AI9">
        <v>7.0670866600000007E-2</v>
      </c>
      <c r="AJ9">
        <v>7.1428954599999997E-2</v>
      </c>
      <c r="AK9">
        <v>7.2167917499999998E-2</v>
      </c>
      <c r="AL9">
        <v>7.2893867400000006E-2</v>
      </c>
      <c r="AM9">
        <v>7.3597304500000002E-2</v>
      </c>
      <c r="AN9">
        <v>7.4151779400000006E-2</v>
      </c>
      <c r="AO9">
        <v>7.4694777899999995E-2</v>
      </c>
      <c r="AP9">
        <v>7.5217356400000004E-2</v>
      </c>
      <c r="AQ9">
        <v>7.5732770000000005E-2</v>
      </c>
      <c r="AR9">
        <v>7.6230189200000006E-2</v>
      </c>
      <c r="AS9">
        <v>7.6441509399999996E-2</v>
      </c>
      <c r="AT9">
        <v>7.6619395699999995E-2</v>
      </c>
      <c r="AU9">
        <v>7.6788201400000006E-2</v>
      </c>
      <c r="AV9">
        <v>7.69452105E-2</v>
      </c>
      <c r="AW9">
        <v>7.7119987700000003E-2</v>
      </c>
    </row>
    <row r="10" spans="1:49" x14ac:dyDescent="0.25">
      <c r="B10" t="s">
        <v>311</v>
      </c>
      <c r="C10">
        <v>0.29584764130791702</v>
      </c>
      <c r="D10">
        <v>0.300597570883747</v>
      </c>
      <c r="E10">
        <v>0.30706948579999999</v>
      </c>
      <c r="F10">
        <v>0.65518195349999997</v>
      </c>
      <c r="G10">
        <v>0.98995792029999996</v>
      </c>
      <c r="H10">
        <v>1.191548635</v>
      </c>
      <c r="I10">
        <v>1.487190338</v>
      </c>
      <c r="J10">
        <v>1.761242618</v>
      </c>
      <c r="K10">
        <v>1.964058691</v>
      </c>
      <c r="L10">
        <v>2.086822089</v>
      </c>
      <c r="M10">
        <v>2.1467110690000002</v>
      </c>
      <c r="N10">
        <v>2.1018461610000001</v>
      </c>
      <c r="O10">
        <v>2.237474883</v>
      </c>
      <c r="P10">
        <v>2.467393752</v>
      </c>
      <c r="Q10">
        <v>2.7525566829999999</v>
      </c>
      <c r="R10">
        <v>2.9647271229999999</v>
      </c>
      <c r="S10">
        <v>3.181648209</v>
      </c>
      <c r="T10">
        <v>3.3721893810000001</v>
      </c>
      <c r="U10">
        <v>3.5671219820000002</v>
      </c>
      <c r="V10">
        <v>3.7859225190000001</v>
      </c>
      <c r="W10">
        <v>4.1989585969999998</v>
      </c>
      <c r="X10">
        <v>4.6085331419999997</v>
      </c>
      <c r="Y10">
        <v>4.9523882070000003</v>
      </c>
      <c r="Z10">
        <v>5.3071142099999999</v>
      </c>
      <c r="AA10">
        <v>5.6699063660000002</v>
      </c>
      <c r="AB10">
        <v>5.9436417979999998</v>
      </c>
      <c r="AC10">
        <v>6.2268371050000004</v>
      </c>
      <c r="AD10">
        <v>6.5990168789999997</v>
      </c>
      <c r="AE10">
        <v>6.973095914</v>
      </c>
      <c r="AF10">
        <v>7.348738708</v>
      </c>
      <c r="AG10">
        <v>7.7416016509999999</v>
      </c>
      <c r="AH10">
        <v>8.1357278040000001</v>
      </c>
      <c r="AI10">
        <v>8.5489199619999905</v>
      </c>
      <c r="AJ10">
        <v>8.9636488760000006</v>
      </c>
      <c r="AK10">
        <v>9.3770984899999998</v>
      </c>
      <c r="AL10">
        <v>9.8038785639999997</v>
      </c>
      <c r="AM10">
        <v>10.22854792</v>
      </c>
      <c r="AN10">
        <v>10.649303700000001</v>
      </c>
      <c r="AO10">
        <v>11.06917267</v>
      </c>
      <c r="AP10">
        <v>11.486618229999999</v>
      </c>
      <c r="AQ10">
        <v>11.903437459999999</v>
      </c>
      <c r="AR10">
        <v>12.31777645</v>
      </c>
      <c r="AS10">
        <v>12.701734200000001</v>
      </c>
      <c r="AT10">
        <v>13.08033402</v>
      </c>
      <c r="AU10">
        <v>13.45738671</v>
      </c>
      <c r="AV10">
        <v>13.8322807</v>
      </c>
      <c r="AW10">
        <v>14.210304880000001</v>
      </c>
    </row>
    <row r="11" spans="1:49" x14ac:dyDescent="0.25">
      <c r="B11" t="s">
        <v>312</v>
      </c>
      <c r="C11">
        <v>6.65657192942814E-2</v>
      </c>
      <c r="D11">
        <v>6.7634453448843099E-2</v>
      </c>
      <c r="E11">
        <v>6.9090634299999995E-2</v>
      </c>
      <c r="F11">
        <v>9.4469997799999997E-2</v>
      </c>
      <c r="G11">
        <v>0.12843117840000001</v>
      </c>
      <c r="H11">
        <v>0.15883173980000001</v>
      </c>
      <c r="I11">
        <v>0.21922622319999999</v>
      </c>
      <c r="J11">
        <v>0.30152844699999998</v>
      </c>
      <c r="K11">
        <v>0.40544321659999999</v>
      </c>
      <c r="L11">
        <v>0.53659346959999998</v>
      </c>
      <c r="M11">
        <v>0.70988385300000001</v>
      </c>
      <c r="N11">
        <v>0.92629438210000004</v>
      </c>
      <c r="O11">
        <v>0.98606665500000001</v>
      </c>
      <c r="P11">
        <v>1.08739308</v>
      </c>
      <c r="Q11">
        <v>1.2130658459999999</v>
      </c>
      <c r="R11">
        <v>1.3065704469999999</v>
      </c>
      <c r="S11">
        <v>1.4021686820000001</v>
      </c>
      <c r="T11">
        <v>1.465715772</v>
      </c>
      <c r="U11">
        <v>1.5306676779999999</v>
      </c>
      <c r="V11">
        <v>1.6052740430000001</v>
      </c>
      <c r="W11">
        <v>1.743389906</v>
      </c>
      <c r="X11">
        <v>1.8813883570000001</v>
      </c>
      <c r="Y11">
        <v>2.0345956150000002</v>
      </c>
      <c r="Z11">
        <v>2.1924682099999999</v>
      </c>
      <c r="AA11">
        <v>2.3538791350000001</v>
      </c>
      <c r="AB11">
        <v>2.5234967259999999</v>
      </c>
      <c r="AC11">
        <v>2.6981961459999999</v>
      </c>
      <c r="AD11">
        <v>3.048216831</v>
      </c>
      <c r="AE11">
        <v>3.3989473499999998</v>
      </c>
      <c r="AF11">
        <v>3.7503801449999998</v>
      </c>
      <c r="AG11">
        <v>4.1187602759999997</v>
      </c>
      <c r="AH11">
        <v>4.4879172059999997</v>
      </c>
      <c r="AI11">
        <v>4.8749216730000002</v>
      </c>
      <c r="AJ11">
        <v>5.263379231</v>
      </c>
      <c r="AK11">
        <v>5.651593825</v>
      </c>
      <c r="AL11">
        <v>6.0542316209999996</v>
      </c>
      <c r="AM11">
        <v>6.4559535370000001</v>
      </c>
      <c r="AN11">
        <v>6.8619006660000004</v>
      </c>
      <c r="AO11">
        <v>7.2675773179999998</v>
      </c>
      <c r="AP11">
        <v>7.6718937220000001</v>
      </c>
      <c r="AQ11">
        <v>8.075965686</v>
      </c>
      <c r="AR11">
        <v>8.4784806269999997</v>
      </c>
      <c r="AS11">
        <v>8.6918592629999996</v>
      </c>
      <c r="AT11">
        <v>8.9015434879999997</v>
      </c>
      <c r="AU11">
        <v>9.110174421</v>
      </c>
      <c r="AV11">
        <v>9.3173562380000003</v>
      </c>
      <c r="AW11">
        <v>9.5266549020000006</v>
      </c>
    </row>
    <row r="12" spans="1:49" x14ac:dyDescent="0.25">
      <c r="B12" t="s">
        <v>313</v>
      </c>
      <c r="C12">
        <v>3.32767453113023</v>
      </c>
      <c r="D12">
        <v>3.3811014220943498</v>
      </c>
      <c r="E12">
        <v>3.4538970899999999</v>
      </c>
      <c r="F12">
        <v>3.4247623890000001</v>
      </c>
      <c r="G12">
        <v>3.3763956689999999</v>
      </c>
      <c r="H12">
        <v>3.0280740179999999</v>
      </c>
      <c r="I12">
        <v>3.0308749779999999</v>
      </c>
      <c r="J12">
        <v>3.0230834670000002</v>
      </c>
      <c r="K12">
        <v>2.9478013449999998</v>
      </c>
      <c r="L12">
        <v>2.8291754679999999</v>
      </c>
      <c r="M12">
        <v>2.7142392430000002</v>
      </c>
      <c r="N12">
        <v>2.5683616960000002</v>
      </c>
      <c r="O12">
        <v>2.7340939070000001</v>
      </c>
      <c r="P12">
        <v>3.0150444479999998</v>
      </c>
      <c r="Q12">
        <v>3.363500755</v>
      </c>
      <c r="R12">
        <v>3.622763511</v>
      </c>
      <c r="S12">
        <v>3.8878313449999999</v>
      </c>
      <c r="T12">
        <v>4.1012618429999996</v>
      </c>
      <c r="U12">
        <v>4.3195545339999999</v>
      </c>
      <c r="V12">
        <v>4.5661918000000004</v>
      </c>
      <c r="W12">
        <v>4.481566849</v>
      </c>
      <c r="X12">
        <v>4.4140265300000001</v>
      </c>
      <c r="Y12">
        <v>4.4344799310000003</v>
      </c>
      <c r="Z12">
        <v>4.4598718220000002</v>
      </c>
      <c r="AA12">
        <v>4.4870821000000003</v>
      </c>
      <c r="AB12">
        <v>4.5275859430000001</v>
      </c>
      <c r="AC12">
        <v>4.5719434689999998</v>
      </c>
      <c r="AD12">
        <v>4.6156572760000003</v>
      </c>
      <c r="AE12">
        <v>4.66090319</v>
      </c>
      <c r="AF12">
        <v>4.7072672600000001</v>
      </c>
      <c r="AG12">
        <v>4.7547387800000003</v>
      </c>
      <c r="AH12">
        <v>4.8028587639999998</v>
      </c>
      <c r="AI12">
        <v>4.8533194259999997</v>
      </c>
      <c r="AJ12">
        <v>4.903951062</v>
      </c>
      <c r="AK12">
        <v>4.9532647030000003</v>
      </c>
      <c r="AL12">
        <v>5.0018498259999999</v>
      </c>
      <c r="AM12">
        <v>5.0488867400000004</v>
      </c>
      <c r="AN12">
        <v>5.0858491309999998</v>
      </c>
      <c r="AO12">
        <v>5.1220220029999997</v>
      </c>
      <c r="AP12">
        <v>5.1567927280000001</v>
      </c>
      <c r="AQ12">
        <v>5.1910707800000004</v>
      </c>
      <c r="AR12">
        <v>5.2241143259999996</v>
      </c>
      <c r="AS12">
        <v>5.2381702429999999</v>
      </c>
      <c r="AT12">
        <v>5.2499348499999998</v>
      </c>
      <c r="AU12">
        <v>5.2610772600000004</v>
      </c>
      <c r="AV12">
        <v>5.271411541</v>
      </c>
      <c r="AW12">
        <v>5.2829631729999997</v>
      </c>
    </row>
    <row r="13" spans="1:49" x14ac:dyDescent="0.25">
      <c r="B13" t="s">
        <v>314</v>
      </c>
      <c r="C13">
        <v>0.21556468620722</v>
      </c>
      <c r="D13">
        <v>0.21902564697065</v>
      </c>
      <c r="E13">
        <v>0.223741305</v>
      </c>
      <c r="F13">
        <v>0.25776168570000002</v>
      </c>
      <c r="G13">
        <v>0.29525169309999999</v>
      </c>
      <c r="H13">
        <v>0.30764984010000002</v>
      </c>
      <c r="I13">
        <v>0.35777449189999999</v>
      </c>
      <c r="J13">
        <v>0.4146127315</v>
      </c>
      <c r="K13">
        <v>0.46972302900000001</v>
      </c>
      <c r="L13">
        <v>0.52378694319999997</v>
      </c>
      <c r="M13">
        <v>0.58384027989999998</v>
      </c>
      <c r="N13">
        <v>0.64187913350000003</v>
      </c>
      <c r="O13">
        <v>0.58875423540000005</v>
      </c>
      <c r="P13">
        <v>0.56041000340000002</v>
      </c>
      <c r="Q13">
        <v>0.53971248930000004</v>
      </c>
      <c r="R13">
        <v>0.50111871060000002</v>
      </c>
      <c r="S13">
        <v>0.46213642789999998</v>
      </c>
      <c r="T13">
        <v>0.49022901769999999</v>
      </c>
      <c r="U13">
        <v>0.51897027939999996</v>
      </c>
      <c r="V13">
        <v>0.55119599159999999</v>
      </c>
      <c r="W13">
        <v>0.74466476339999998</v>
      </c>
      <c r="X13">
        <v>0.93276563599999995</v>
      </c>
      <c r="Y13">
        <v>0.97709206839999996</v>
      </c>
      <c r="Z13">
        <v>1.023170986</v>
      </c>
      <c r="AA13">
        <v>1.070399221</v>
      </c>
      <c r="AB13">
        <v>1.120160348</v>
      </c>
      <c r="AC13">
        <v>1.171667843</v>
      </c>
      <c r="AD13">
        <v>1.1927410759999999</v>
      </c>
      <c r="AE13">
        <v>1.214201031</v>
      </c>
      <c r="AF13">
        <v>1.2359488300000001</v>
      </c>
      <c r="AG13">
        <v>1.258573197</v>
      </c>
      <c r="AH13">
        <v>1.2813758209999999</v>
      </c>
      <c r="AI13">
        <v>1.3676175230000001</v>
      </c>
      <c r="AJ13">
        <v>1.454181803</v>
      </c>
      <c r="AK13">
        <v>1.540606159</v>
      </c>
      <c r="AL13">
        <v>1.6303576289999999</v>
      </c>
      <c r="AM13">
        <v>1.71981042</v>
      </c>
      <c r="AN13">
        <v>1.746595184</v>
      </c>
      <c r="AO13">
        <v>1.7731402599999999</v>
      </c>
      <c r="AP13">
        <v>1.7992248420000001</v>
      </c>
      <c r="AQ13">
        <v>1.8251568600000001</v>
      </c>
      <c r="AR13">
        <v>1.850669219</v>
      </c>
      <c r="AS13">
        <v>1.87726006</v>
      </c>
      <c r="AT13">
        <v>1.9030419460000001</v>
      </c>
      <c r="AU13">
        <v>1.928598483</v>
      </c>
      <c r="AV13">
        <v>1.9538531349999999</v>
      </c>
      <c r="AW13">
        <v>1.9795550470000001</v>
      </c>
    </row>
    <row r="14" spans="1:49" x14ac:dyDescent="0.25">
      <c r="B14" t="s">
        <v>315</v>
      </c>
      <c r="C14">
        <v>35.839918454870201</v>
      </c>
      <c r="D14">
        <v>36.415339938413297</v>
      </c>
      <c r="E14">
        <v>37.19936817</v>
      </c>
      <c r="F14">
        <v>38.355871839999999</v>
      </c>
      <c r="G14">
        <v>39.32149227</v>
      </c>
      <c r="H14">
        <v>36.670631329999999</v>
      </c>
      <c r="I14">
        <v>38.16762756</v>
      </c>
      <c r="J14">
        <v>39.586993960000001</v>
      </c>
      <c r="K14">
        <v>40.139859010000002</v>
      </c>
      <c r="L14">
        <v>40.060167139999997</v>
      </c>
      <c r="M14">
        <v>39.964670980000001</v>
      </c>
      <c r="N14">
        <v>39.324168120000003</v>
      </c>
      <c r="O14">
        <v>37.848294469999999</v>
      </c>
      <c r="P14">
        <v>37.966115309999999</v>
      </c>
      <c r="Q14">
        <v>38.725951209999998</v>
      </c>
      <c r="R14">
        <v>38.306703560000003</v>
      </c>
      <c r="S14">
        <v>37.898259449999998</v>
      </c>
      <c r="T14">
        <v>38.259847469999997</v>
      </c>
      <c r="U14">
        <v>38.624186360000003</v>
      </c>
      <c r="V14">
        <v>39.192093079999999</v>
      </c>
      <c r="W14">
        <v>40.049147079999997</v>
      </c>
      <c r="X14">
        <v>40.995079160000003</v>
      </c>
      <c r="Y14">
        <v>41.666105719999997</v>
      </c>
      <c r="Z14">
        <v>42.391522960000003</v>
      </c>
      <c r="AA14">
        <v>43.143028530000002</v>
      </c>
      <c r="AB14">
        <v>43.912197030000002</v>
      </c>
      <c r="AC14">
        <v>44.726250589999999</v>
      </c>
      <c r="AD14">
        <v>45.231330120000003</v>
      </c>
      <c r="AE14">
        <v>45.751351479999997</v>
      </c>
      <c r="AF14">
        <v>46.282321639999999</v>
      </c>
      <c r="AG14">
        <v>46.824365399999998</v>
      </c>
      <c r="AH14">
        <v>47.372844190000002</v>
      </c>
      <c r="AI14">
        <v>47.946145049999998</v>
      </c>
      <c r="AJ14">
        <v>48.521419940000001</v>
      </c>
      <c r="AK14">
        <v>49.08391469</v>
      </c>
      <c r="AL14">
        <v>49.640397200000002</v>
      </c>
      <c r="AM14">
        <v>50.181721699999997</v>
      </c>
      <c r="AN14">
        <v>50.62387777</v>
      </c>
      <c r="AO14">
        <v>51.058340749999999</v>
      </c>
      <c r="AP14">
        <v>51.478957770000001</v>
      </c>
      <c r="AQ14">
        <v>51.894758410000001</v>
      </c>
      <c r="AR14">
        <v>52.298293579999999</v>
      </c>
      <c r="AS14">
        <v>52.652827010000003</v>
      </c>
      <c r="AT14">
        <v>52.984449499999997</v>
      </c>
      <c r="AU14">
        <v>53.309794420000003</v>
      </c>
      <c r="AV14">
        <v>53.626894849999999</v>
      </c>
      <c r="AW14">
        <v>53.956340480000001</v>
      </c>
    </row>
    <row r="15" spans="1:49" x14ac:dyDescent="0.25">
      <c r="B15" t="s">
        <v>316</v>
      </c>
      <c r="C15">
        <v>36.006525643363197</v>
      </c>
      <c r="D15">
        <v>36.584622059208101</v>
      </c>
      <c r="E15">
        <v>37.372061879999997</v>
      </c>
      <c r="F15">
        <v>38.574510330000003</v>
      </c>
      <c r="G15">
        <v>38.442073530000002</v>
      </c>
      <c r="H15">
        <v>37.704926450000002</v>
      </c>
      <c r="I15">
        <v>39.459604400000003</v>
      </c>
      <c r="J15">
        <v>40.292224220000001</v>
      </c>
      <c r="K15">
        <v>39.654875349999998</v>
      </c>
      <c r="L15">
        <v>39.807951369999998</v>
      </c>
      <c r="M15">
        <v>40.965915780000003</v>
      </c>
      <c r="N15">
        <v>42.930192089999998</v>
      </c>
      <c r="O15">
        <v>44.212135140000001</v>
      </c>
      <c r="P15">
        <v>44.502639189999996</v>
      </c>
      <c r="Q15">
        <v>42.70800491</v>
      </c>
      <c r="R15">
        <v>41.569491630000002</v>
      </c>
      <c r="S15">
        <v>40.886772630000003</v>
      </c>
      <c r="T15">
        <v>40.660344899999998</v>
      </c>
      <c r="U15">
        <v>40.506073800000003</v>
      </c>
      <c r="V15">
        <v>40.514110199999998</v>
      </c>
      <c r="W15">
        <v>40.399200129999997</v>
      </c>
      <c r="X15">
        <v>40.296226169999997</v>
      </c>
      <c r="Y15">
        <v>40.497020929999998</v>
      </c>
      <c r="Z15">
        <v>40.881712309999998</v>
      </c>
      <c r="AA15">
        <v>41.375759690000002</v>
      </c>
      <c r="AB15">
        <v>41.965929209999999</v>
      </c>
      <c r="AC15">
        <v>42.650231599999998</v>
      </c>
      <c r="AD15">
        <v>42.994483750000001</v>
      </c>
      <c r="AE15">
        <v>43.346603450000003</v>
      </c>
      <c r="AF15">
        <v>43.700417229999999</v>
      </c>
      <c r="AG15">
        <v>44.084056650000001</v>
      </c>
      <c r="AH15">
        <v>44.493187910000003</v>
      </c>
      <c r="AI15">
        <v>44.84185815</v>
      </c>
      <c r="AJ15">
        <v>45.197838959999999</v>
      </c>
      <c r="AK15">
        <v>45.567741079999998</v>
      </c>
      <c r="AL15">
        <v>45.943752359999998</v>
      </c>
      <c r="AM15">
        <v>46.32169889</v>
      </c>
      <c r="AN15">
        <v>46.48654303</v>
      </c>
      <c r="AO15">
        <v>46.657517249999998</v>
      </c>
      <c r="AP15">
        <v>46.809740759999997</v>
      </c>
      <c r="AQ15">
        <v>46.948736330000003</v>
      </c>
      <c r="AR15">
        <v>47.066086650000003</v>
      </c>
      <c r="AS15">
        <v>47.157438319999997</v>
      </c>
      <c r="AT15">
        <v>47.239507600000003</v>
      </c>
      <c r="AU15">
        <v>47.306258769999999</v>
      </c>
      <c r="AV15">
        <v>47.358149429999997</v>
      </c>
      <c r="AW15">
        <v>47.412546800000001</v>
      </c>
    </row>
    <row r="16" spans="1:49" x14ac:dyDescent="0.25">
      <c r="B16" t="s">
        <v>317</v>
      </c>
      <c r="C16">
        <v>33.108335480742298</v>
      </c>
      <c r="D16">
        <v>33.639900516080203</v>
      </c>
      <c r="E16">
        <v>34.363958760000003</v>
      </c>
      <c r="F16">
        <v>34.406519299999999</v>
      </c>
      <c r="G16">
        <v>33.260694360000002</v>
      </c>
      <c r="H16">
        <v>31.645123340000001</v>
      </c>
      <c r="I16">
        <v>32.125182969999997</v>
      </c>
      <c r="J16">
        <v>31.819863569999999</v>
      </c>
      <c r="K16">
        <v>30.377907029999999</v>
      </c>
      <c r="L16">
        <v>29.58116514</v>
      </c>
      <c r="M16">
        <v>29.529242329999999</v>
      </c>
      <c r="N16">
        <v>30.01764769</v>
      </c>
      <c r="O16">
        <v>30.782689810000001</v>
      </c>
      <c r="P16">
        <v>30.853010789999999</v>
      </c>
      <c r="Q16">
        <v>29.482424479999999</v>
      </c>
      <c r="R16">
        <v>28.573677400000001</v>
      </c>
      <c r="S16">
        <v>27.983827789999999</v>
      </c>
      <c r="T16">
        <v>26.703577689999999</v>
      </c>
      <c r="U16">
        <v>25.454430800000001</v>
      </c>
      <c r="V16">
        <v>24.283622380000001</v>
      </c>
      <c r="W16">
        <v>25.49690859</v>
      </c>
      <c r="X16">
        <v>26.645185569999999</v>
      </c>
      <c r="Y16">
        <v>26.502726580000001</v>
      </c>
      <c r="Z16">
        <v>26.476206390000002</v>
      </c>
      <c r="AA16">
        <v>26.514090020000001</v>
      </c>
      <c r="AB16">
        <v>26.598459779999999</v>
      </c>
      <c r="AC16">
        <v>26.733235149999999</v>
      </c>
      <c r="AD16">
        <v>26.687661909999999</v>
      </c>
      <c r="AE16">
        <v>26.644490099999999</v>
      </c>
      <c r="AF16">
        <v>26.59984463</v>
      </c>
      <c r="AG16">
        <v>26.564465340000002</v>
      </c>
      <c r="AH16">
        <v>26.541457950000002</v>
      </c>
      <c r="AI16">
        <v>26.626345440000001</v>
      </c>
      <c r="AJ16">
        <v>26.714194639999999</v>
      </c>
      <c r="AK16">
        <v>26.808844260000001</v>
      </c>
      <c r="AL16">
        <v>26.90280847</v>
      </c>
      <c r="AM16">
        <v>26.99637242</v>
      </c>
      <c r="AN16">
        <v>26.929849860000001</v>
      </c>
      <c r="AO16">
        <v>26.865887239999999</v>
      </c>
      <c r="AP16">
        <v>26.7901822</v>
      </c>
      <c r="AQ16">
        <v>26.706074090000001</v>
      </c>
      <c r="AR16">
        <v>26.60894381</v>
      </c>
      <c r="AS16">
        <v>26.492072490000002</v>
      </c>
      <c r="AT16">
        <v>26.368736479999999</v>
      </c>
      <c r="AU16">
        <v>26.23568148</v>
      </c>
      <c r="AV16">
        <v>26.093318799999999</v>
      </c>
      <c r="AW16">
        <v>25.951309810000001</v>
      </c>
    </row>
    <row r="17" spans="2:49" x14ac:dyDescent="0.25">
      <c r="B17" t="s">
        <v>318</v>
      </c>
      <c r="C17">
        <v>1.54983431156195</v>
      </c>
      <c r="D17">
        <v>1.57471740274219</v>
      </c>
      <c r="E17">
        <v>1.6086112930000001</v>
      </c>
      <c r="F17">
        <v>2.645540338</v>
      </c>
      <c r="G17">
        <v>3.5527501400000001</v>
      </c>
      <c r="H17">
        <v>4.3113839140000003</v>
      </c>
      <c r="I17">
        <v>5.2912877969999998</v>
      </c>
      <c r="J17">
        <v>6.0966236279999997</v>
      </c>
      <c r="K17">
        <v>6.5642731870000004</v>
      </c>
      <c r="L17">
        <v>7.0131119689999997</v>
      </c>
      <c r="M17">
        <v>7.4745659260000004</v>
      </c>
      <c r="N17">
        <v>7.8734087690000001</v>
      </c>
      <c r="O17">
        <v>8.2024200109999903</v>
      </c>
      <c r="P17">
        <v>8.3506645230000007</v>
      </c>
      <c r="Q17">
        <v>8.1042927030000005</v>
      </c>
      <c r="R17">
        <v>7.976060994</v>
      </c>
      <c r="S17">
        <v>7.9312811950000004</v>
      </c>
      <c r="T17">
        <v>8.0971548070000008</v>
      </c>
      <c r="U17">
        <v>8.2804340449999998</v>
      </c>
      <c r="V17">
        <v>8.5013035539999997</v>
      </c>
      <c r="W17">
        <v>8.5599590269999997</v>
      </c>
      <c r="X17">
        <v>8.61646073</v>
      </c>
      <c r="Y17">
        <v>8.7661986180000007</v>
      </c>
      <c r="Z17">
        <v>8.9574549589999997</v>
      </c>
      <c r="AA17">
        <v>9.1751625440000009</v>
      </c>
      <c r="AB17">
        <v>9.4179179069999996</v>
      </c>
      <c r="AC17">
        <v>9.6853233379999999</v>
      </c>
      <c r="AD17">
        <v>9.8862819139999996</v>
      </c>
      <c r="AE17">
        <v>10.090215690000001</v>
      </c>
      <c r="AF17">
        <v>10.29572536</v>
      </c>
      <c r="AG17">
        <v>10.50967054</v>
      </c>
      <c r="AH17">
        <v>10.73106655</v>
      </c>
      <c r="AI17">
        <v>10.838154149999999</v>
      </c>
      <c r="AJ17">
        <v>10.94726631</v>
      </c>
      <c r="AK17">
        <v>11.060016989999999</v>
      </c>
      <c r="AL17">
        <v>11.173797609999999</v>
      </c>
      <c r="AM17">
        <v>11.28832023</v>
      </c>
      <c r="AN17">
        <v>11.377926950000001</v>
      </c>
      <c r="AO17">
        <v>11.469335429999999</v>
      </c>
      <c r="AP17">
        <v>11.55642211</v>
      </c>
      <c r="AQ17">
        <v>11.64049616</v>
      </c>
      <c r="AR17">
        <v>11.71941923</v>
      </c>
      <c r="AS17">
        <v>11.7442767</v>
      </c>
      <c r="AT17">
        <v>11.766838119999999</v>
      </c>
      <c r="AU17">
        <v>11.7855986</v>
      </c>
      <c r="AV17">
        <v>11.80067017</v>
      </c>
      <c r="AW17">
        <v>11.81637924</v>
      </c>
    </row>
    <row r="18" spans="2:49" x14ac:dyDescent="0.25">
      <c r="B18" t="s">
        <v>319</v>
      </c>
      <c r="C18">
        <v>0.19372928894524399</v>
      </c>
      <c r="D18">
        <v>0.196839675342774</v>
      </c>
      <c r="E18">
        <v>0.20107641170000001</v>
      </c>
      <c r="F18">
        <v>0.19521040200000001</v>
      </c>
      <c r="G18">
        <v>0.1829775491</v>
      </c>
      <c r="H18">
        <v>0.16880199139999999</v>
      </c>
      <c r="I18">
        <v>0.1661577726</v>
      </c>
      <c r="J18">
        <v>0.1595796998</v>
      </c>
      <c r="K18">
        <v>0.14772073429999999</v>
      </c>
      <c r="L18">
        <v>0.13947718179999999</v>
      </c>
      <c r="M18">
        <v>0.13500332670000001</v>
      </c>
      <c r="N18">
        <v>0.1330678381</v>
      </c>
      <c r="O18">
        <v>0.20580874939999999</v>
      </c>
      <c r="P18">
        <v>0.27625535649999999</v>
      </c>
      <c r="Q18">
        <v>0.33130338349999999</v>
      </c>
      <c r="R18">
        <v>0.38677940389999999</v>
      </c>
      <c r="S18">
        <v>0.44356504749999998</v>
      </c>
      <c r="T18">
        <v>0.68700526340000001</v>
      </c>
      <c r="U18">
        <v>0.93522336719999999</v>
      </c>
      <c r="V18">
        <v>1.1923584979999999</v>
      </c>
      <c r="W18">
        <v>0.86559355169999996</v>
      </c>
      <c r="X18">
        <v>0.55738077770000005</v>
      </c>
      <c r="Y18">
        <v>0.5597324333</v>
      </c>
      <c r="Z18">
        <v>0.56461900750000005</v>
      </c>
      <c r="AA18">
        <v>0.57100597310000001</v>
      </c>
      <c r="AB18">
        <v>0.57855883070000003</v>
      </c>
      <c r="AC18">
        <v>0.58739079699999996</v>
      </c>
      <c r="AD18">
        <v>0.61416389449999997</v>
      </c>
      <c r="AE18">
        <v>0.64125862209999995</v>
      </c>
      <c r="AF18">
        <v>0.66859042499999999</v>
      </c>
      <c r="AG18">
        <v>0.69676121680000003</v>
      </c>
      <c r="AH18">
        <v>0.72558282500000004</v>
      </c>
      <c r="AI18">
        <v>0.75951241290000004</v>
      </c>
      <c r="AJ18">
        <v>0.79388224949999997</v>
      </c>
      <c r="AK18">
        <v>0.82882417799999997</v>
      </c>
      <c r="AL18">
        <v>0.86472742550000004</v>
      </c>
      <c r="AM18">
        <v>0.90101732909999999</v>
      </c>
      <c r="AN18">
        <v>0.93073034769999996</v>
      </c>
      <c r="AO18">
        <v>0.96072769680000003</v>
      </c>
      <c r="AP18">
        <v>0.9904930958</v>
      </c>
      <c r="AQ18">
        <v>1.0201142999999999</v>
      </c>
      <c r="AR18">
        <v>1.049380872</v>
      </c>
      <c r="AS18">
        <v>1.07328084</v>
      </c>
      <c r="AT18">
        <v>1.0971317229999999</v>
      </c>
      <c r="AU18">
        <v>1.12077845</v>
      </c>
      <c r="AV18">
        <v>1.1442114249999999</v>
      </c>
      <c r="AW18">
        <v>1.1678382629999999</v>
      </c>
    </row>
    <row r="19" spans="2:49" x14ac:dyDescent="0.25">
      <c r="B19" t="s">
        <v>320</v>
      </c>
      <c r="C19">
        <v>0.57343869527792402</v>
      </c>
      <c r="D19">
        <v>0.58264543901461296</v>
      </c>
      <c r="E19">
        <v>0.5951861786</v>
      </c>
      <c r="F19">
        <v>0.5895984997</v>
      </c>
      <c r="G19">
        <v>0.56391405989999999</v>
      </c>
      <c r="H19">
        <v>0.53082868780000003</v>
      </c>
      <c r="I19">
        <v>0.53316199490000005</v>
      </c>
      <c r="J19">
        <v>0.52248986330000002</v>
      </c>
      <c r="K19">
        <v>0.49351844179999999</v>
      </c>
      <c r="L19">
        <v>0.47547402319999998</v>
      </c>
      <c r="M19">
        <v>0.46960185570000001</v>
      </c>
      <c r="N19">
        <v>0.4723023844</v>
      </c>
      <c r="O19">
        <v>0.71296872229999997</v>
      </c>
      <c r="P19">
        <v>0.94529344110000002</v>
      </c>
      <c r="Q19">
        <v>1.1252393510000001</v>
      </c>
      <c r="R19">
        <v>1.307113347</v>
      </c>
      <c r="S19">
        <v>1.493661913</v>
      </c>
      <c r="T19">
        <v>1.547620293</v>
      </c>
      <c r="U19">
        <v>1.6052257299999999</v>
      </c>
      <c r="V19">
        <v>1.670571585</v>
      </c>
      <c r="W19">
        <v>1.304423831</v>
      </c>
      <c r="X19">
        <v>0.9591093718</v>
      </c>
      <c r="Y19">
        <v>0.96468800070000005</v>
      </c>
      <c r="Z19">
        <v>0.97466007779999997</v>
      </c>
      <c r="AA19">
        <v>0.98725795130000005</v>
      </c>
      <c r="AB19">
        <v>1.001531416</v>
      </c>
      <c r="AC19">
        <v>1.018057429</v>
      </c>
      <c r="AD19">
        <v>1.01948409</v>
      </c>
      <c r="AE19">
        <v>1.021032814</v>
      </c>
      <c r="AF19">
        <v>1.022556096</v>
      </c>
      <c r="AG19">
        <v>1.0245438689999999</v>
      </c>
      <c r="AH19">
        <v>1.027046396</v>
      </c>
      <c r="AI19">
        <v>1.0313930170000001</v>
      </c>
      <c r="AJ19">
        <v>1.0358663130000001</v>
      </c>
      <c r="AK19">
        <v>1.0406157309999999</v>
      </c>
      <c r="AL19">
        <v>1.045414327</v>
      </c>
      <c r="AM19">
        <v>1.0502113070000001</v>
      </c>
      <c r="AN19">
        <v>1.0523895990000001</v>
      </c>
      <c r="AO19">
        <v>1.0546971620000001</v>
      </c>
      <c r="AP19">
        <v>1.0565717969999999</v>
      </c>
      <c r="AQ19">
        <v>1.0581398740000001</v>
      </c>
      <c r="AR19">
        <v>1.059213301</v>
      </c>
      <c r="AS19">
        <v>1.0628858349999999</v>
      </c>
      <c r="AT19">
        <v>1.0663611449999999</v>
      </c>
      <c r="AU19">
        <v>1.069501882</v>
      </c>
      <c r="AV19">
        <v>1.07231688</v>
      </c>
      <c r="AW19">
        <v>1.075198493</v>
      </c>
    </row>
    <row r="20" spans="2:49" x14ac:dyDescent="0.25">
      <c r="B20" t="s">
        <v>321</v>
      </c>
      <c r="C20">
        <v>0.19372928894524399</v>
      </c>
      <c r="D20">
        <v>0.196839675342774</v>
      </c>
      <c r="E20">
        <v>0.20107641170000001</v>
      </c>
      <c r="F20">
        <v>0.20706667030000001</v>
      </c>
      <c r="G20">
        <v>0.2058791157</v>
      </c>
      <c r="H20">
        <v>0.20146485619999999</v>
      </c>
      <c r="I20">
        <v>0.21035344950000001</v>
      </c>
      <c r="J20">
        <v>0.21429590109999999</v>
      </c>
      <c r="K20">
        <v>0.21041898549999999</v>
      </c>
      <c r="L20">
        <v>0.21074334659999999</v>
      </c>
      <c r="M20">
        <v>0.21637267939999999</v>
      </c>
      <c r="N20">
        <v>0.2262238026</v>
      </c>
      <c r="O20">
        <v>0.27041142470000001</v>
      </c>
      <c r="P20">
        <v>0.30979850869999997</v>
      </c>
      <c r="Q20">
        <v>0.33333396259999998</v>
      </c>
      <c r="R20">
        <v>0.35945283690000002</v>
      </c>
      <c r="S20">
        <v>0.38791739289999999</v>
      </c>
      <c r="T20">
        <v>0.45905963220000001</v>
      </c>
      <c r="U20">
        <v>0.53207721720000001</v>
      </c>
      <c r="V20">
        <v>0.60876764969999997</v>
      </c>
      <c r="W20">
        <v>0.48010353220000002</v>
      </c>
      <c r="X20">
        <v>0.3587631557</v>
      </c>
      <c r="Y20">
        <v>0.36462659870000003</v>
      </c>
      <c r="Z20">
        <v>0.37221111060000001</v>
      </c>
      <c r="AA20">
        <v>0.38088630950000002</v>
      </c>
      <c r="AB20">
        <v>0.3904424957</v>
      </c>
      <c r="AC20">
        <v>0.40100438249999998</v>
      </c>
      <c r="AD20">
        <v>0.4018928866</v>
      </c>
      <c r="AE20">
        <v>0.40283263139999997</v>
      </c>
      <c r="AF20">
        <v>0.4037655228</v>
      </c>
      <c r="AG20">
        <v>0.40490795229999998</v>
      </c>
      <c r="AH20">
        <v>0.40625781859999999</v>
      </c>
      <c r="AI20">
        <v>0.40825281870000002</v>
      </c>
      <c r="AJ20">
        <v>0.41030105950000001</v>
      </c>
      <c r="AK20">
        <v>0.41246189059999999</v>
      </c>
      <c r="AL20">
        <v>0.41468219029999998</v>
      </c>
      <c r="AM20">
        <v>0.41690569900000002</v>
      </c>
      <c r="AN20">
        <v>0.41821062860000002</v>
      </c>
      <c r="AO20">
        <v>0.41956961720000002</v>
      </c>
      <c r="AP20">
        <v>0.42075895000000002</v>
      </c>
      <c r="AQ20">
        <v>0.4218284658</v>
      </c>
      <c r="AR20">
        <v>0.42270272180000001</v>
      </c>
      <c r="AS20">
        <v>0.42435962230000002</v>
      </c>
      <c r="AT20">
        <v>0.42593919730000002</v>
      </c>
      <c r="AU20">
        <v>0.42738645559999999</v>
      </c>
      <c r="AV20">
        <v>0.42870474920000001</v>
      </c>
      <c r="AW20">
        <v>0.43005083449999998</v>
      </c>
    </row>
    <row r="21" spans="2:49" x14ac:dyDescent="0.25">
      <c r="B21" t="s">
        <v>322</v>
      </c>
      <c r="C21">
        <v>0.38745857789048899</v>
      </c>
      <c r="D21">
        <v>0.39367935068554899</v>
      </c>
      <c r="E21">
        <v>0.40215282340000003</v>
      </c>
      <c r="F21">
        <v>0.53057511420000003</v>
      </c>
      <c r="G21">
        <v>0.67585829939999997</v>
      </c>
      <c r="H21">
        <v>0.84732366459999997</v>
      </c>
      <c r="I21">
        <v>1.133460412</v>
      </c>
      <c r="J21">
        <v>1.4793715519999999</v>
      </c>
      <c r="K21">
        <v>1.8610369760000001</v>
      </c>
      <c r="L21">
        <v>2.3879797109999998</v>
      </c>
      <c r="M21">
        <v>3.1411296630000001</v>
      </c>
      <c r="N21">
        <v>4.2075416099999998</v>
      </c>
      <c r="O21">
        <v>4.0378364250000001</v>
      </c>
      <c r="P21">
        <v>3.7676165620000002</v>
      </c>
      <c r="Q21">
        <v>3.3314110270000001</v>
      </c>
      <c r="R21">
        <v>2.966407652</v>
      </c>
      <c r="S21">
        <v>2.6465192900000001</v>
      </c>
      <c r="T21">
        <v>3.165927215</v>
      </c>
      <c r="U21">
        <v>3.6986826449999999</v>
      </c>
      <c r="V21">
        <v>4.2574865339999999</v>
      </c>
      <c r="W21">
        <v>3.6922115959999999</v>
      </c>
      <c r="X21">
        <v>3.1593265599999998</v>
      </c>
      <c r="Y21">
        <v>3.339048703</v>
      </c>
      <c r="Z21">
        <v>3.5365607680000002</v>
      </c>
      <c r="AA21">
        <v>3.7473568899999998</v>
      </c>
      <c r="AB21">
        <v>3.9790187750000001</v>
      </c>
      <c r="AC21">
        <v>4.2252204989999997</v>
      </c>
      <c r="AD21">
        <v>4.384999058</v>
      </c>
      <c r="AE21">
        <v>4.5467735960000004</v>
      </c>
      <c r="AF21">
        <v>4.7099351990000002</v>
      </c>
      <c r="AG21">
        <v>4.8837077280000001</v>
      </c>
      <c r="AH21">
        <v>5.0617763739999999</v>
      </c>
      <c r="AI21">
        <v>5.1782003100000003</v>
      </c>
      <c r="AJ21">
        <v>5.2963283959999998</v>
      </c>
      <c r="AK21">
        <v>5.4169780300000001</v>
      </c>
      <c r="AL21">
        <v>5.542322339</v>
      </c>
      <c r="AM21">
        <v>5.6688719030000003</v>
      </c>
      <c r="AN21">
        <v>5.7774356420000004</v>
      </c>
      <c r="AO21">
        <v>5.8873001079999998</v>
      </c>
      <c r="AP21">
        <v>5.9953126110000001</v>
      </c>
      <c r="AQ21">
        <v>6.1020834429999997</v>
      </c>
      <c r="AR21">
        <v>6.2064267219999998</v>
      </c>
      <c r="AS21">
        <v>6.3605628300000001</v>
      </c>
      <c r="AT21">
        <v>6.514500935</v>
      </c>
      <c r="AU21">
        <v>6.6673119060000001</v>
      </c>
      <c r="AV21">
        <v>6.8189274070000003</v>
      </c>
      <c r="AW21">
        <v>6.9717701630000004</v>
      </c>
    </row>
    <row r="22" spans="2:49" x14ac:dyDescent="0.25">
      <c r="B22" t="s">
        <v>323</v>
      </c>
      <c r="C22">
        <v>5.5705789795526002</v>
      </c>
      <c r="D22">
        <v>5.6600164269241402</v>
      </c>
      <c r="E22">
        <v>5.7508898210000003</v>
      </c>
      <c r="F22">
        <v>5.8033766030000002</v>
      </c>
      <c r="G22">
        <v>4.8438632970000004</v>
      </c>
      <c r="H22">
        <v>4.2423983029999999</v>
      </c>
      <c r="I22">
        <v>4.113720421</v>
      </c>
      <c r="J22">
        <v>3.9347963959999999</v>
      </c>
      <c r="K22">
        <v>3.8032346389999998</v>
      </c>
      <c r="L22">
        <v>4.0501238769999999</v>
      </c>
      <c r="M22">
        <v>4.1522313320000004</v>
      </c>
      <c r="N22">
        <v>4.2214297710000004</v>
      </c>
      <c r="O22">
        <v>3.3133953649999999</v>
      </c>
      <c r="P22">
        <v>2.794675877</v>
      </c>
      <c r="Q22">
        <v>2.4634599189999999</v>
      </c>
      <c r="R22">
        <v>2.2489715270000001</v>
      </c>
      <c r="S22">
        <v>2.0619886350000001</v>
      </c>
      <c r="T22">
        <v>2.0383166699999999</v>
      </c>
      <c r="U22">
        <v>2.0048984239999998</v>
      </c>
      <c r="V22">
        <v>1.9928866409999999</v>
      </c>
      <c r="W22">
        <v>1.961734506</v>
      </c>
      <c r="X22">
        <v>1.913407971</v>
      </c>
      <c r="Y22">
        <v>1.9095378510000001</v>
      </c>
      <c r="Z22">
        <v>1.9283783539999999</v>
      </c>
      <c r="AA22">
        <v>1.953086275</v>
      </c>
      <c r="AB22">
        <v>1.9805575049999999</v>
      </c>
      <c r="AC22">
        <v>2.0113827889999998</v>
      </c>
      <c r="AD22">
        <v>2.014229533</v>
      </c>
      <c r="AE22">
        <v>2.019982964</v>
      </c>
      <c r="AF22">
        <v>2.0282615869999998</v>
      </c>
      <c r="AG22">
        <v>2.0379960530000001</v>
      </c>
      <c r="AH22">
        <v>2.0493221419999998</v>
      </c>
      <c r="AI22">
        <v>2.0639733910000002</v>
      </c>
      <c r="AJ22">
        <v>2.078687156</v>
      </c>
      <c r="AK22">
        <v>2.0944053380000001</v>
      </c>
      <c r="AL22">
        <v>2.1106530490000002</v>
      </c>
      <c r="AM22">
        <v>2.1268225140000001</v>
      </c>
      <c r="AN22">
        <v>2.117649192</v>
      </c>
      <c r="AO22">
        <v>2.1050639649999998</v>
      </c>
      <c r="AP22">
        <v>2.0897054439999998</v>
      </c>
      <c r="AQ22">
        <v>2.0727898140000001</v>
      </c>
      <c r="AR22">
        <v>2.0533362340000001</v>
      </c>
      <c r="AS22">
        <v>2.0488901660000001</v>
      </c>
      <c r="AT22">
        <v>2.0461071579999999</v>
      </c>
      <c r="AU22">
        <v>2.043113033</v>
      </c>
      <c r="AV22">
        <v>2.039581407</v>
      </c>
      <c r="AW22">
        <v>2.0365443810000001</v>
      </c>
    </row>
    <row r="23" spans="2:49" x14ac:dyDescent="0.25">
      <c r="B23" t="s">
        <v>324</v>
      </c>
      <c r="C23">
        <v>155.572754408756</v>
      </c>
      <c r="D23">
        <v>158.07052530222199</v>
      </c>
      <c r="E23">
        <v>160.99351540000001</v>
      </c>
      <c r="F23">
        <v>163.99320610000001</v>
      </c>
      <c r="G23">
        <v>160.98711890000001</v>
      </c>
      <c r="H23">
        <v>154.9812445</v>
      </c>
      <c r="I23">
        <v>156.89451120000001</v>
      </c>
      <c r="J23">
        <v>157.50128599999999</v>
      </c>
      <c r="K23">
        <v>155.47680500000001</v>
      </c>
      <c r="L23">
        <v>154.52187989999999</v>
      </c>
      <c r="M23">
        <v>155.733521</v>
      </c>
      <c r="N23">
        <v>157.82619339999999</v>
      </c>
      <c r="O23">
        <v>155.21820510000001</v>
      </c>
      <c r="P23">
        <v>153.5109803</v>
      </c>
      <c r="Q23">
        <v>149.8888221</v>
      </c>
      <c r="R23">
        <v>146.90606560000001</v>
      </c>
      <c r="S23">
        <v>144.13880760000001</v>
      </c>
      <c r="T23">
        <v>143.94620850000001</v>
      </c>
      <c r="U23">
        <v>143.48783789999999</v>
      </c>
      <c r="V23">
        <v>143.652568</v>
      </c>
      <c r="W23">
        <v>143.83650420000001</v>
      </c>
      <c r="X23">
        <v>143.7716461</v>
      </c>
      <c r="Y23">
        <v>144.0665601</v>
      </c>
      <c r="Z23">
        <v>144.87737150000001</v>
      </c>
      <c r="AA23">
        <v>145.9240222</v>
      </c>
      <c r="AB23">
        <v>147.1453119</v>
      </c>
      <c r="AC23">
        <v>148.57977170000001</v>
      </c>
      <c r="AD23">
        <v>148.8818899</v>
      </c>
      <c r="AE23">
        <v>149.2050012</v>
      </c>
      <c r="AF23">
        <v>149.5659052</v>
      </c>
      <c r="AG23">
        <v>149.9865412</v>
      </c>
      <c r="AH23">
        <v>150.442644</v>
      </c>
      <c r="AI23">
        <v>151.0099189</v>
      </c>
      <c r="AJ23">
        <v>151.61465580000001</v>
      </c>
      <c r="AK23">
        <v>152.2459619</v>
      </c>
      <c r="AL23">
        <v>152.8976183</v>
      </c>
      <c r="AM23">
        <v>153.54808070000001</v>
      </c>
      <c r="AN23">
        <v>153.8459766</v>
      </c>
      <c r="AO23">
        <v>154.14270740000001</v>
      </c>
      <c r="AP23">
        <v>154.3967299</v>
      </c>
      <c r="AQ23">
        <v>154.63536120000001</v>
      </c>
      <c r="AR23">
        <v>154.83076579999999</v>
      </c>
      <c r="AS23">
        <v>155.15003350000001</v>
      </c>
      <c r="AT23">
        <v>155.45671139999999</v>
      </c>
      <c r="AU23">
        <v>155.75304840000001</v>
      </c>
      <c r="AV23">
        <v>156.03471709999999</v>
      </c>
      <c r="AW23">
        <v>156.36048980000001</v>
      </c>
    </row>
    <row r="24" spans="2:49" x14ac:dyDescent="0.25">
      <c r="B24" t="s">
        <v>325</v>
      </c>
      <c r="C24">
        <v>2.7703288319169999</v>
      </c>
      <c r="D24">
        <v>2.8148073574016701</v>
      </c>
      <c r="E24">
        <v>2.86</v>
      </c>
      <c r="F24">
        <v>2.958798217</v>
      </c>
      <c r="G24">
        <v>2.852025415</v>
      </c>
      <c r="H24">
        <v>2.9735146659999998</v>
      </c>
      <c r="I24">
        <v>3.0850948690000002</v>
      </c>
      <c r="J24">
        <v>2.9576150889999999</v>
      </c>
      <c r="K24">
        <v>2.876738934</v>
      </c>
      <c r="L24">
        <v>2.8042691629999998</v>
      </c>
      <c r="M24">
        <v>2.9925541170000001</v>
      </c>
      <c r="N24">
        <v>3.159202896</v>
      </c>
      <c r="O24">
        <v>3.2386188499999999</v>
      </c>
      <c r="P24">
        <v>3.2649083110000001</v>
      </c>
      <c r="Q24">
        <v>3.0663534499999998</v>
      </c>
      <c r="R24">
        <v>3.059890555</v>
      </c>
      <c r="S24">
        <v>3.0744835269999999</v>
      </c>
      <c r="T24">
        <v>3.1061050790000002</v>
      </c>
      <c r="U24">
        <v>3.1298840299999999</v>
      </c>
      <c r="V24">
        <v>3.184773753</v>
      </c>
      <c r="W24">
        <v>3.2123802440000002</v>
      </c>
      <c r="X24">
        <v>3.21642597</v>
      </c>
      <c r="Y24">
        <v>3.2474855929999999</v>
      </c>
      <c r="Z24">
        <v>3.291310196</v>
      </c>
      <c r="AA24">
        <v>3.3401322050000002</v>
      </c>
      <c r="AB24">
        <v>3.390049973</v>
      </c>
      <c r="AC24">
        <v>3.4427747829999999</v>
      </c>
      <c r="AD24">
        <v>3.4896074869999998</v>
      </c>
      <c r="AE24">
        <v>3.5415230370000002</v>
      </c>
      <c r="AF24">
        <v>3.5939125179999998</v>
      </c>
      <c r="AG24">
        <v>3.6496538510000001</v>
      </c>
      <c r="AH24">
        <v>3.712827554</v>
      </c>
      <c r="AI24">
        <v>3.7748825639999999</v>
      </c>
      <c r="AJ24">
        <v>3.842453339</v>
      </c>
      <c r="AK24">
        <v>3.9108489949999998</v>
      </c>
      <c r="AL24">
        <v>3.9811225499999998</v>
      </c>
      <c r="AM24">
        <v>4.0523622369999996</v>
      </c>
      <c r="AN24">
        <v>4.1208246080000004</v>
      </c>
      <c r="AO24">
        <v>4.1902723709999998</v>
      </c>
      <c r="AP24">
        <v>4.258333414</v>
      </c>
      <c r="AQ24">
        <v>4.3261156100000004</v>
      </c>
      <c r="AR24">
        <v>4.3931864020000004</v>
      </c>
      <c r="AS24">
        <v>4.4596065869999997</v>
      </c>
      <c r="AT24">
        <v>4.5261485710000002</v>
      </c>
      <c r="AU24">
        <v>4.5937404549999998</v>
      </c>
      <c r="AV24">
        <v>4.6618260840000003</v>
      </c>
      <c r="AW24">
        <v>4.7311859070000004</v>
      </c>
    </row>
    <row r="25" spans="2:49" x14ac:dyDescent="0.25">
      <c r="B25" t="s">
        <v>326</v>
      </c>
      <c r="C25">
        <v>46.663857241186399</v>
      </c>
      <c r="D25">
        <v>47.413060563046002</v>
      </c>
      <c r="E25">
        <v>48.17429259</v>
      </c>
      <c r="F25">
        <v>49.14783971</v>
      </c>
      <c r="G25">
        <v>46.603076719999997</v>
      </c>
      <c r="H25">
        <v>42.483694569999997</v>
      </c>
      <c r="I25">
        <v>42.44975994</v>
      </c>
      <c r="J25">
        <v>42.925521459999999</v>
      </c>
      <c r="K25">
        <v>40.910545390000003</v>
      </c>
      <c r="L25">
        <v>40.488074570000002</v>
      </c>
      <c r="M25">
        <v>40.976276810000002</v>
      </c>
      <c r="N25">
        <v>41.783080290000001</v>
      </c>
      <c r="O25">
        <v>39.471948439999998</v>
      </c>
      <c r="P25">
        <v>37.739794539999998</v>
      </c>
      <c r="Q25">
        <v>35.571786520000003</v>
      </c>
      <c r="R25">
        <v>34.000951309999998</v>
      </c>
      <c r="S25">
        <v>32.684243100000003</v>
      </c>
      <c r="T25">
        <v>32.946760070000003</v>
      </c>
      <c r="U25">
        <v>32.927818680000001</v>
      </c>
      <c r="V25">
        <v>33.362415740000003</v>
      </c>
      <c r="W25">
        <v>33.668180470000003</v>
      </c>
      <c r="X25">
        <v>33.792007740000003</v>
      </c>
      <c r="Y25">
        <v>34.191300409999997</v>
      </c>
      <c r="Z25">
        <v>34.971469800000001</v>
      </c>
      <c r="AA25">
        <v>35.920308089999999</v>
      </c>
      <c r="AB25">
        <v>37.012723889999997</v>
      </c>
      <c r="AC25">
        <v>38.295638199999999</v>
      </c>
      <c r="AD25">
        <v>38.580676050000001</v>
      </c>
      <c r="AE25">
        <v>38.927630479999998</v>
      </c>
      <c r="AF25">
        <v>39.31530162</v>
      </c>
      <c r="AG25">
        <v>39.744887380000002</v>
      </c>
      <c r="AH25">
        <v>40.227563089999997</v>
      </c>
      <c r="AI25">
        <v>40.765876329999998</v>
      </c>
      <c r="AJ25">
        <v>41.321407520000001</v>
      </c>
      <c r="AK25">
        <v>41.895329109999999</v>
      </c>
      <c r="AL25">
        <v>42.483988410000002</v>
      </c>
      <c r="AM25">
        <v>43.073717889999998</v>
      </c>
      <c r="AN25">
        <v>43.46261913</v>
      </c>
      <c r="AO25">
        <v>43.866561930000003</v>
      </c>
      <c r="AP25">
        <v>44.252907870000001</v>
      </c>
      <c r="AQ25">
        <v>44.640568909999999</v>
      </c>
      <c r="AR25">
        <v>45.008182679999997</v>
      </c>
      <c r="AS25">
        <v>45.497323600000001</v>
      </c>
      <c r="AT25">
        <v>45.997321470000003</v>
      </c>
      <c r="AU25">
        <v>46.505017240000001</v>
      </c>
      <c r="AV25">
        <v>47.01632206</v>
      </c>
      <c r="AW25">
        <v>47.559681320000003</v>
      </c>
    </row>
    <row r="26" spans="2:49" x14ac:dyDescent="0.25">
      <c r="B26" t="s">
        <v>327</v>
      </c>
      <c r="C26">
        <v>39.525714811669303</v>
      </c>
      <c r="D26">
        <v>40.160312947925298</v>
      </c>
      <c r="E26">
        <v>40.805099759999997</v>
      </c>
      <c r="F26">
        <v>40.726441729999998</v>
      </c>
      <c r="G26">
        <v>40.377499350000001</v>
      </c>
      <c r="H26">
        <v>40.315173829999999</v>
      </c>
      <c r="I26">
        <v>40.393748799999997</v>
      </c>
      <c r="J26">
        <v>40.254343919999997</v>
      </c>
      <c r="K26">
        <v>39.882716860000002</v>
      </c>
      <c r="L26">
        <v>39.63885002</v>
      </c>
      <c r="M26">
        <v>39.557900779999997</v>
      </c>
      <c r="N26">
        <v>39.69134717</v>
      </c>
      <c r="O26">
        <v>40.052676929999997</v>
      </c>
      <c r="P26">
        <v>40.164665820000003</v>
      </c>
      <c r="Q26">
        <v>39.806866980000002</v>
      </c>
      <c r="R26">
        <v>39.42359115</v>
      </c>
      <c r="S26">
        <v>39.009487180000001</v>
      </c>
      <c r="T26">
        <v>38.438036930000003</v>
      </c>
      <c r="U26">
        <v>38.170984769999997</v>
      </c>
      <c r="V26">
        <v>37.891598549999998</v>
      </c>
      <c r="W26">
        <v>37.67424389</v>
      </c>
      <c r="X26">
        <v>37.47663008</v>
      </c>
      <c r="Y26">
        <v>37.451489359999997</v>
      </c>
      <c r="Z26">
        <v>37.501608529999999</v>
      </c>
      <c r="AA26">
        <v>37.607554790000002</v>
      </c>
      <c r="AB26">
        <v>37.752469900000001</v>
      </c>
      <c r="AC26">
        <v>37.919925990000003</v>
      </c>
      <c r="AD26">
        <v>38.109899990000002</v>
      </c>
      <c r="AE26">
        <v>38.307809730000002</v>
      </c>
      <c r="AF26">
        <v>38.511036259999997</v>
      </c>
      <c r="AG26">
        <v>38.721277200000003</v>
      </c>
      <c r="AH26">
        <v>38.937585849999998</v>
      </c>
      <c r="AI26">
        <v>39.14562789</v>
      </c>
      <c r="AJ26">
        <v>39.352559569999997</v>
      </c>
      <c r="AK26">
        <v>39.560893210000003</v>
      </c>
      <c r="AL26">
        <v>39.765516560000002</v>
      </c>
      <c r="AM26">
        <v>39.965318379999999</v>
      </c>
      <c r="AN26">
        <v>40.14483894</v>
      </c>
      <c r="AO26">
        <v>40.305697000000002</v>
      </c>
      <c r="AP26">
        <v>40.44069657</v>
      </c>
      <c r="AQ26">
        <v>40.549070030000003</v>
      </c>
      <c r="AR26">
        <v>40.629266039999997</v>
      </c>
      <c r="AS26">
        <v>40.673782330000002</v>
      </c>
      <c r="AT26">
        <v>40.686695649999997</v>
      </c>
      <c r="AU26">
        <v>40.665188030000003</v>
      </c>
      <c r="AV26">
        <v>40.610855270000002</v>
      </c>
      <c r="AW26">
        <v>40.542951649999999</v>
      </c>
    </row>
    <row r="27" spans="2:49" x14ac:dyDescent="0.25">
      <c r="B27" t="s">
        <v>328</v>
      </c>
      <c r="C27">
        <v>21.072806770403201</v>
      </c>
      <c r="D27">
        <v>21.411137499294501</v>
      </c>
      <c r="E27">
        <v>21.754900240000001</v>
      </c>
      <c r="F27">
        <v>23.110739779999999</v>
      </c>
      <c r="G27">
        <v>23.886571320000002</v>
      </c>
      <c r="H27">
        <v>23.450434829999999</v>
      </c>
      <c r="I27">
        <v>24.612693230000001</v>
      </c>
      <c r="J27">
        <v>25.45494734</v>
      </c>
      <c r="K27">
        <v>25.801530660000001</v>
      </c>
      <c r="L27">
        <v>26.258351059999999</v>
      </c>
      <c r="M27">
        <v>27.12233204</v>
      </c>
      <c r="N27">
        <v>28.36824786</v>
      </c>
      <c r="O27">
        <v>28.005651889999999</v>
      </c>
      <c r="P27">
        <v>27.604412119999999</v>
      </c>
      <c r="Q27">
        <v>26.85537236</v>
      </c>
      <c r="R27">
        <v>25.884729620000002</v>
      </c>
      <c r="S27">
        <v>25.078245729999999</v>
      </c>
      <c r="T27">
        <v>25.087614769999998</v>
      </c>
      <c r="U27">
        <v>25.060994900000001</v>
      </c>
      <c r="V27">
        <v>25.045869840000002</v>
      </c>
      <c r="W27">
        <v>25.226924530000002</v>
      </c>
      <c r="X27">
        <v>25.450779440000002</v>
      </c>
      <c r="Y27">
        <v>25.608887039999999</v>
      </c>
      <c r="Z27">
        <v>25.720333329999999</v>
      </c>
      <c r="AA27">
        <v>25.800659809999999</v>
      </c>
      <c r="AB27">
        <v>25.854345410000001</v>
      </c>
      <c r="AC27">
        <v>25.884323129999999</v>
      </c>
      <c r="AD27">
        <v>25.894569239999999</v>
      </c>
      <c r="AE27">
        <v>25.88081352</v>
      </c>
      <c r="AF27">
        <v>25.844600660000001</v>
      </c>
      <c r="AG27">
        <v>25.796712540000001</v>
      </c>
      <c r="AH27">
        <v>25.734748060000001</v>
      </c>
      <c r="AI27">
        <v>25.65588838</v>
      </c>
      <c r="AJ27">
        <v>25.564983909999999</v>
      </c>
      <c r="AK27">
        <v>25.46088383</v>
      </c>
      <c r="AL27">
        <v>25.345614210000001</v>
      </c>
      <c r="AM27">
        <v>25.21975102</v>
      </c>
      <c r="AN27">
        <v>24.94870749</v>
      </c>
      <c r="AO27">
        <v>24.651266499999998</v>
      </c>
      <c r="AP27">
        <v>24.349275120000001</v>
      </c>
      <c r="AQ27">
        <v>24.04742658</v>
      </c>
      <c r="AR27">
        <v>23.746736380000002</v>
      </c>
      <c r="AS27">
        <v>23.44882629</v>
      </c>
      <c r="AT27">
        <v>23.152462740000001</v>
      </c>
      <c r="AU27">
        <v>22.858421719999999</v>
      </c>
      <c r="AV27">
        <v>22.566386510000001</v>
      </c>
      <c r="AW27">
        <v>22.27620155</v>
      </c>
    </row>
    <row r="28" spans="2:49" x14ac:dyDescent="0.25">
      <c r="B28" t="s">
        <v>329</v>
      </c>
      <c r="C28">
        <v>23.690458989791001</v>
      </c>
      <c r="D28">
        <v>24.070816971768199</v>
      </c>
      <c r="E28">
        <v>24.457281720000001</v>
      </c>
      <c r="F28">
        <v>24.577122459999998</v>
      </c>
      <c r="G28">
        <v>24.648742169999998</v>
      </c>
      <c r="H28">
        <v>24.847096409999999</v>
      </c>
      <c r="I28">
        <v>24.996639770000002</v>
      </c>
      <c r="J28">
        <v>25.08992628</v>
      </c>
      <c r="K28">
        <v>24.969923699999999</v>
      </c>
      <c r="L28">
        <v>24.781205870000001</v>
      </c>
      <c r="M28">
        <v>24.602239480000001</v>
      </c>
      <c r="N28">
        <v>24.35493318</v>
      </c>
      <c r="O28">
        <v>24.177358640000001</v>
      </c>
      <c r="P28">
        <v>24.194344269999998</v>
      </c>
      <c r="Q28">
        <v>24.217989320000001</v>
      </c>
      <c r="R28">
        <v>24.24067514</v>
      </c>
      <c r="S28">
        <v>24.17973842</v>
      </c>
      <c r="T28">
        <v>23.996150969999999</v>
      </c>
      <c r="U28">
        <v>23.69776547</v>
      </c>
      <c r="V28">
        <v>23.35419808</v>
      </c>
      <c r="W28">
        <v>23.01293085</v>
      </c>
      <c r="X28">
        <v>22.65885321</v>
      </c>
      <c r="Y28">
        <v>22.317804559999999</v>
      </c>
      <c r="Z28">
        <v>21.975155560000001</v>
      </c>
      <c r="AA28">
        <v>21.635111630000001</v>
      </c>
      <c r="AB28">
        <v>21.295590900000001</v>
      </c>
      <c r="AC28">
        <v>20.953969619999999</v>
      </c>
      <c r="AD28">
        <v>20.611086870000001</v>
      </c>
      <c r="AE28">
        <v>20.22968363</v>
      </c>
      <c r="AF28">
        <v>19.835484080000001</v>
      </c>
      <c r="AG28">
        <v>19.44068304</v>
      </c>
      <c r="AH28">
        <v>19.021790769999999</v>
      </c>
      <c r="AI28">
        <v>18.62625757</v>
      </c>
      <c r="AJ28">
        <v>18.250133129999998</v>
      </c>
      <c r="AK28">
        <v>17.887707670000001</v>
      </c>
      <c r="AL28">
        <v>17.537207760000001</v>
      </c>
      <c r="AM28">
        <v>17.197625670000001</v>
      </c>
      <c r="AN28">
        <v>16.859479230000002</v>
      </c>
      <c r="AO28">
        <v>16.525465000000001</v>
      </c>
      <c r="AP28">
        <v>16.19861951</v>
      </c>
      <c r="AQ28">
        <v>15.879991370000001</v>
      </c>
      <c r="AR28">
        <v>15.5700217</v>
      </c>
      <c r="AS28">
        <v>15.26726092</v>
      </c>
      <c r="AT28">
        <v>14.972588399999999</v>
      </c>
      <c r="AU28">
        <v>14.686853259999999</v>
      </c>
      <c r="AV28">
        <v>14.410389869999999</v>
      </c>
      <c r="AW28">
        <v>14.143671919999999</v>
      </c>
    </row>
    <row r="29" spans="2:49" x14ac:dyDescent="0.25">
      <c r="B29" t="s">
        <v>330</v>
      </c>
      <c r="C29">
        <v>22.212930412666701</v>
      </c>
      <c r="D29">
        <v>22.569566195417998</v>
      </c>
      <c r="E29">
        <v>22.941941050000001</v>
      </c>
      <c r="F29">
        <v>23.472264240000001</v>
      </c>
      <c r="G29">
        <v>22.619203939999998</v>
      </c>
      <c r="H29">
        <v>20.911330150000001</v>
      </c>
      <c r="I29">
        <v>21.35657453</v>
      </c>
      <c r="J29">
        <v>20.818931939999999</v>
      </c>
      <c r="K29">
        <v>21.035349419999999</v>
      </c>
      <c r="L29">
        <v>20.551129199999998</v>
      </c>
      <c r="M29">
        <v>20.482217729999999</v>
      </c>
      <c r="N29">
        <v>20.46938205</v>
      </c>
      <c r="O29">
        <v>20.271950360000002</v>
      </c>
      <c r="P29">
        <v>20.54285527</v>
      </c>
      <c r="Q29">
        <v>20.370453449999999</v>
      </c>
      <c r="R29">
        <v>20.296227779999999</v>
      </c>
      <c r="S29">
        <v>20.11260966</v>
      </c>
      <c r="T29">
        <v>20.37154065</v>
      </c>
      <c r="U29">
        <v>20.500390079999999</v>
      </c>
      <c r="V29">
        <v>20.813711999999999</v>
      </c>
      <c r="W29">
        <v>21.04184416</v>
      </c>
      <c r="X29">
        <v>21.176949629999999</v>
      </c>
      <c r="Y29">
        <v>21.249593109999999</v>
      </c>
      <c r="Z29">
        <v>21.417494049999998</v>
      </c>
      <c r="AA29">
        <v>21.62025568</v>
      </c>
      <c r="AB29">
        <v>21.84013187</v>
      </c>
      <c r="AC29">
        <v>22.083139979999999</v>
      </c>
      <c r="AD29">
        <v>22.196050270000001</v>
      </c>
      <c r="AE29">
        <v>22.317540810000001</v>
      </c>
      <c r="AF29">
        <v>22.465570039999999</v>
      </c>
      <c r="AG29">
        <v>22.633327229999999</v>
      </c>
      <c r="AH29">
        <v>22.80812864</v>
      </c>
      <c r="AI29">
        <v>23.041386209999999</v>
      </c>
      <c r="AJ29">
        <v>23.28311837</v>
      </c>
      <c r="AK29">
        <v>23.53029909</v>
      </c>
      <c r="AL29">
        <v>23.78416885</v>
      </c>
      <c r="AM29">
        <v>24.039305460000001</v>
      </c>
      <c r="AN29">
        <v>24.309507249999999</v>
      </c>
      <c r="AO29">
        <v>24.603444580000001</v>
      </c>
      <c r="AP29">
        <v>24.896897419999998</v>
      </c>
      <c r="AQ29">
        <v>25.192188739999999</v>
      </c>
      <c r="AR29">
        <v>25.483372620000001</v>
      </c>
      <c r="AS29">
        <v>25.803233729999999</v>
      </c>
      <c r="AT29">
        <v>26.121494609999999</v>
      </c>
      <c r="AU29">
        <v>26.443827710000001</v>
      </c>
      <c r="AV29">
        <v>26.76893733</v>
      </c>
      <c r="AW29">
        <v>27.106797480000001</v>
      </c>
    </row>
    <row r="30" spans="2:49" x14ac:dyDescent="0.25">
      <c r="B30" t="s">
        <v>331</v>
      </c>
      <c r="C30">
        <v>30998.430217312201</v>
      </c>
      <c r="D30">
        <v>31496.120041177499</v>
      </c>
      <c r="E30">
        <v>32001.800439999999</v>
      </c>
      <c r="F30">
        <v>32688.379000000001</v>
      </c>
      <c r="G30">
        <v>33314.794710000002</v>
      </c>
      <c r="H30">
        <v>34142.844949999999</v>
      </c>
      <c r="I30">
        <v>34863.837440000003</v>
      </c>
      <c r="J30">
        <v>35489.148800000003</v>
      </c>
      <c r="K30">
        <v>35731.31351</v>
      </c>
      <c r="L30">
        <v>35839.916219999999</v>
      </c>
      <c r="M30">
        <v>35948.063869999998</v>
      </c>
      <c r="N30">
        <v>35911.307350000003</v>
      </c>
      <c r="O30">
        <v>35978.501450000003</v>
      </c>
      <c r="P30">
        <v>36321.204380000003</v>
      </c>
      <c r="Q30">
        <v>36708.886160000002</v>
      </c>
      <c r="R30">
        <v>37113.743849999999</v>
      </c>
      <c r="S30">
        <v>37424.567750000002</v>
      </c>
      <c r="T30">
        <v>37524.066039999998</v>
      </c>
      <c r="U30">
        <v>37519.450830000002</v>
      </c>
      <c r="V30">
        <v>37483.140850000003</v>
      </c>
      <c r="W30">
        <v>37459.388160000002</v>
      </c>
      <c r="X30">
        <v>37419.685340000004</v>
      </c>
      <c r="Y30">
        <v>37419.927179999999</v>
      </c>
      <c r="Z30">
        <v>37429.21355</v>
      </c>
      <c r="AA30">
        <v>37458.522810000002</v>
      </c>
      <c r="AB30">
        <v>37502.686009999998</v>
      </c>
      <c r="AC30">
        <v>37553.798929999997</v>
      </c>
      <c r="AD30">
        <v>37611.02594</v>
      </c>
      <c r="AE30">
        <v>37560.368889999998</v>
      </c>
      <c r="AF30">
        <v>37471.115149999998</v>
      </c>
      <c r="AG30">
        <v>37370.417119999998</v>
      </c>
      <c r="AH30">
        <v>37168.246500000001</v>
      </c>
      <c r="AI30">
        <v>37031.581180000001</v>
      </c>
      <c r="AJ30">
        <v>36929.291219999999</v>
      </c>
      <c r="AK30">
        <v>36843.516360000001</v>
      </c>
      <c r="AL30">
        <v>36767.464339999999</v>
      </c>
      <c r="AM30">
        <v>36696.666369999999</v>
      </c>
      <c r="AN30">
        <v>36602.172270000003</v>
      </c>
      <c r="AO30">
        <v>36495.632180000001</v>
      </c>
      <c r="AP30">
        <v>36384.904419999999</v>
      </c>
      <c r="AQ30">
        <v>36272.193030000002</v>
      </c>
      <c r="AR30">
        <v>36158.138299999999</v>
      </c>
      <c r="AS30">
        <v>36033.001709999997</v>
      </c>
      <c r="AT30">
        <v>35903.51253</v>
      </c>
      <c r="AU30">
        <v>35772.307699999998</v>
      </c>
      <c r="AV30">
        <v>35640.555540000001</v>
      </c>
      <c r="AW30">
        <v>35510.102149999999</v>
      </c>
    </row>
    <row r="31" spans="2:49" x14ac:dyDescent="0.25">
      <c r="B31" t="s">
        <v>332</v>
      </c>
      <c r="C31">
        <v>17.998489648965599</v>
      </c>
      <c r="D31">
        <v>18.287461222056098</v>
      </c>
      <c r="E31">
        <v>18.581072330000001</v>
      </c>
      <c r="F31">
        <v>17.559113350000001</v>
      </c>
      <c r="G31">
        <v>38.364433179999999</v>
      </c>
      <c r="H31">
        <v>61.13115603</v>
      </c>
      <c r="I31">
        <v>84.450960309999999</v>
      </c>
      <c r="J31">
        <v>118.28215539999999</v>
      </c>
      <c r="K31">
        <v>150.3876387</v>
      </c>
      <c r="L31">
        <v>178.26326040000001</v>
      </c>
      <c r="M31">
        <v>204.4102522</v>
      </c>
      <c r="N31">
        <v>217.49754279999999</v>
      </c>
      <c r="O31">
        <v>226.53641769999999</v>
      </c>
      <c r="P31">
        <v>229.8555088</v>
      </c>
      <c r="Q31">
        <v>252.00593269999999</v>
      </c>
      <c r="R31">
        <v>278.41039799999999</v>
      </c>
      <c r="S31">
        <v>327.1216068</v>
      </c>
      <c r="T31">
        <v>367.15356850000001</v>
      </c>
      <c r="U31">
        <v>435.53459170000002</v>
      </c>
      <c r="V31">
        <v>516.90959009999995</v>
      </c>
      <c r="W31">
        <v>597.88470080000002</v>
      </c>
      <c r="X31">
        <v>676.78568189999999</v>
      </c>
      <c r="Y31">
        <v>753.3118594</v>
      </c>
      <c r="Z31">
        <v>825.39384770000004</v>
      </c>
      <c r="AA31">
        <v>893.75228900000002</v>
      </c>
      <c r="AB31">
        <v>958.00483080000004</v>
      </c>
      <c r="AC31">
        <v>1017.810259</v>
      </c>
      <c r="AD31">
        <v>1073.2430260000001</v>
      </c>
      <c r="AE31">
        <v>1119.3195049999999</v>
      </c>
      <c r="AF31">
        <v>1159.3527309999999</v>
      </c>
      <c r="AG31">
        <v>1194.87157</v>
      </c>
      <c r="AH31">
        <v>1222.2758839999999</v>
      </c>
      <c r="AI31">
        <v>1249.15635</v>
      </c>
      <c r="AJ31">
        <v>1274.5814350000001</v>
      </c>
      <c r="AK31">
        <v>1298.1333870000001</v>
      </c>
      <c r="AL31">
        <v>1319.793809</v>
      </c>
      <c r="AM31">
        <v>1339.5907319999999</v>
      </c>
      <c r="AN31">
        <v>1357.62329</v>
      </c>
      <c r="AO31">
        <v>1374.4732220000001</v>
      </c>
      <c r="AP31">
        <v>1390.52997</v>
      </c>
      <c r="AQ31">
        <v>1405.974731</v>
      </c>
      <c r="AR31">
        <v>1420.9331669999999</v>
      </c>
      <c r="AS31">
        <v>1435.18074</v>
      </c>
      <c r="AT31">
        <v>1449.0722860000001</v>
      </c>
      <c r="AU31">
        <v>1462.773727</v>
      </c>
      <c r="AV31">
        <v>1476.3936530000001</v>
      </c>
      <c r="AW31">
        <v>1490.0860290000001</v>
      </c>
    </row>
    <row r="32" spans="2:49" x14ac:dyDescent="0.25">
      <c r="B32" t="s">
        <v>333</v>
      </c>
      <c r="C32">
        <v>1571.8931047778699</v>
      </c>
      <c r="D32">
        <v>1597.13035701831</v>
      </c>
      <c r="E32">
        <v>1622.772802</v>
      </c>
      <c r="F32">
        <v>1968.489945</v>
      </c>
      <c r="G32">
        <v>2302.0459810000002</v>
      </c>
      <c r="H32">
        <v>2666.5956369999999</v>
      </c>
      <c r="I32">
        <v>2997.5563950000001</v>
      </c>
      <c r="J32">
        <v>3301.8068330000001</v>
      </c>
      <c r="K32">
        <v>3524.0265209999998</v>
      </c>
      <c r="L32">
        <v>3711.3985120000002</v>
      </c>
      <c r="M32">
        <v>3889.6754420000002</v>
      </c>
      <c r="N32">
        <v>4034.3502239999998</v>
      </c>
      <c r="O32">
        <v>4188.1517430000004</v>
      </c>
      <c r="P32">
        <v>4364.5513659999997</v>
      </c>
      <c r="Q32">
        <v>4546.8092809999998</v>
      </c>
      <c r="R32">
        <v>4725.322709</v>
      </c>
      <c r="S32">
        <v>4891.8303779999997</v>
      </c>
      <c r="T32">
        <v>5003.766482</v>
      </c>
      <c r="U32">
        <v>5111.3984810000002</v>
      </c>
      <c r="V32">
        <v>5209.6418139999996</v>
      </c>
      <c r="W32">
        <v>5294.3492999999999</v>
      </c>
      <c r="X32">
        <v>5360.0526129999998</v>
      </c>
      <c r="Y32">
        <v>5416.2221280000003</v>
      </c>
      <c r="Z32">
        <v>5457.4269539999996</v>
      </c>
      <c r="AA32">
        <v>5485.8675830000002</v>
      </c>
      <c r="AB32">
        <v>5501.2629770000003</v>
      </c>
      <c r="AC32">
        <v>5503.3225929999999</v>
      </c>
      <c r="AD32">
        <v>5493.0591089999998</v>
      </c>
      <c r="AE32">
        <v>5456.8141519999999</v>
      </c>
      <c r="AF32">
        <v>5405.7605940000003</v>
      </c>
      <c r="AG32">
        <v>5344.9034920000004</v>
      </c>
      <c r="AH32">
        <v>5265.2173869999997</v>
      </c>
      <c r="AI32">
        <v>5187.3697060000004</v>
      </c>
      <c r="AJ32">
        <v>5108.6000379999996</v>
      </c>
      <c r="AK32">
        <v>5027.7837840000002</v>
      </c>
      <c r="AL32">
        <v>4944.9819010000001</v>
      </c>
      <c r="AM32">
        <v>4860.444735</v>
      </c>
      <c r="AN32">
        <v>4771.687887</v>
      </c>
      <c r="AO32">
        <v>4680.4536539999999</v>
      </c>
      <c r="AP32">
        <v>4587.9728750000004</v>
      </c>
      <c r="AQ32">
        <v>4494.8765960000001</v>
      </c>
      <c r="AR32">
        <v>4401.5924850000001</v>
      </c>
      <c r="AS32">
        <v>4307.6085949999997</v>
      </c>
      <c r="AT32">
        <v>4213.7849939999996</v>
      </c>
      <c r="AU32">
        <v>4120.5766000000003</v>
      </c>
      <c r="AV32">
        <v>4028.2775609999999</v>
      </c>
      <c r="AW32">
        <v>3937.1975090000001</v>
      </c>
    </row>
    <row r="33" spans="2:49" x14ac:dyDescent="0.25">
      <c r="B33" t="s">
        <v>334</v>
      </c>
      <c r="C33">
        <v>3720.5673609549599</v>
      </c>
      <c r="D33">
        <v>3780.3022733867101</v>
      </c>
      <c r="E33">
        <v>3840.9962489999998</v>
      </c>
      <c r="F33">
        <v>4321.1537740000003</v>
      </c>
      <c r="G33">
        <v>4766.3670229999998</v>
      </c>
      <c r="H33">
        <v>5255.7910039999997</v>
      </c>
      <c r="I33">
        <v>5699.1232069999996</v>
      </c>
      <c r="J33">
        <v>6100.9675880000004</v>
      </c>
      <c r="K33">
        <v>6380.6562169999997</v>
      </c>
      <c r="L33">
        <v>6609.8404440000004</v>
      </c>
      <c r="M33">
        <v>6826.6475280000004</v>
      </c>
      <c r="N33">
        <v>7002.195068</v>
      </c>
      <c r="O33">
        <v>7194.6940039999999</v>
      </c>
      <c r="P33">
        <v>7435.5783289999999</v>
      </c>
      <c r="Q33">
        <v>7677.6506330000002</v>
      </c>
      <c r="R33">
        <v>7913.1414679999998</v>
      </c>
      <c r="S33">
        <v>8116.0926630000004</v>
      </c>
      <c r="T33">
        <v>8244.7592139999997</v>
      </c>
      <c r="U33">
        <v>8344.8294249999999</v>
      </c>
      <c r="V33">
        <v>8421.6888940000008</v>
      </c>
      <c r="W33">
        <v>8480.1168500000003</v>
      </c>
      <c r="X33">
        <v>8512.3946570000007</v>
      </c>
      <c r="Y33">
        <v>8532.4928490000002</v>
      </c>
      <c r="Z33">
        <v>8532.9575220000006</v>
      </c>
      <c r="AA33">
        <v>8516.7250170000007</v>
      </c>
      <c r="AB33">
        <v>8483.4967579999902</v>
      </c>
      <c r="AC33">
        <v>8432.9277889999994</v>
      </c>
      <c r="AD33">
        <v>8366.4979330000006</v>
      </c>
      <c r="AE33">
        <v>8265.3233959999998</v>
      </c>
      <c r="AF33">
        <v>8145.1891349999996</v>
      </c>
      <c r="AG33">
        <v>8013.0956029999998</v>
      </c>
      <c r="AH33">
        <v>7856.7195170000005</v>
      </c>
      <c r="AI33">
        <v>7704.4476070000001</v>
      </c>
      <c r="AJ33">
        <v>7552.3510100000003</v>
      </c>
      <c r="AK33">
        <v>7398.8152980000004</v>
      </c>
      <c r="AL33">
        <v>7243.892124</v>
      </c>
      <c r="AM33">
        <v>7087.911306</v>
      </c>
      <c r="AN33">
        <v>6926.9634349999997</v>
      </c>
      <c r="AO33">
        <v>6763.4552489999996</v>
      </c>
      <c r="AP33">
        <v>6599.0988539999998</v>
      </c>
      <c r="AQ33">
        <v>6434.7718709999999</v>
      </c>
      <c r="AR33">
        <v>6271.0689419999999</v>
      </c>
      <c r="AS33">
        <v>6107.3679890000003</v>
      </c>
      <c r="AT33">
        <v>5944.813365</v>
      </c>
      <c r="AU33">
        <v>5784.0190050000001</v>
      </c>
      <c r="AV33">
        <v>5625.3780989999996</v>
      </c>
      <c r="AW33">
        <v>5469.2876399999996</v>
      </c>
    </row>
    <row r="34" spans="2:49" x14ac:dyDescent="0.25">
      <c r="B34" t="s">
        <v>335</v>
      </c>
      <c r="C34">
        <v>5208.7853750706299</v>
      </c>
      <c r="D34">
        <v>5292.4141090967596</v>
      </c>
      <c r="E34">
        <v>5377.3855290000001</v>
      </c>
      <c r="F34">
        <v>5765.2026539999997</v>
      </c>
      <c r="G34">
        <v>6122.0173930000001</v>
      </c>
      <c r="H34">
        <v>6525.2175889999999</v>
      </c>
      <c r="I34">
        <v>6887.5292010000003</v>
      </c>
      <c r="J34">
        <v>7211.1798740000004</v>
      </c>
      <c r="K34">
        <v>7418.2341079999997</v>
      </c>
      <c r="L34">
        <v>7579.2856760000004</v>
      </c>
      <c r="M34">
        <v>7731.3436430000002</v>
      </c>
      <c r="N34">
        <v>7838.0557150000004</v>
      </c>
      <c r="O34">
        <v>7965.4013839999998</v>
      </c>
      <c r="P34">
        <v>8150.4062459999996</v>
      </c>
      <c r="Q34">
        <v>8332.06986399999</v>
      </c>
      <c r="R34">
        <v>8511.2276170000005</v>
      </c>
      <c r="S34">
        <v>8649.089473</v>
      </c>
      <c r="T34">
        <v>8731.7031889999998</v>
      </c>
      <c r="U34">
        <v>8774.9386599999998</v>
      </c>
      <c r="V34">
        <v>8791.5864020000008</v>
      </c>
      <c r="W34">
        <v>8792.6699499999995</v>
      </c>
      <c r="X34">
        <v>8770.8923630000008</v>
      </c>
      <c r="Y34">
        <v>8739.6543700000002</v>
      </c>
      <c r="Z34">
        <v>8692.0226939999902</v>
      </c>
      <c r="AA34">
        <v>8630.5921820000003</v>
      </c>
      <c r="AB34">
        <v>8555.0682410000009</v>
      </c>
      <c r="AC34">
        <v>8465.1018399999903</v>
      </c>
      <c r="AD34">
        <v>8362.0447399999903</v>
      </c>
      <c r="AE34">
        <v>8228.4127879999996</v>
      </c>
      <c r="AF34">
        <v>8078.8957250000003</v>
      </c>
      <c r="AG34">
        <v>7919.9496360000003</v>
      </c>
      <c r="AH34">
        <v>7740.234332</v>
      </c>
      <c r="AI34">
        <v>7565.8158299999996</v>
      </c>
      <c r="AJ34">
        <v>7392.9764809999997</v>
      </c>
      <c r="AK34">
        <v>7220.1628039999996</v>
      </c>
      <c r="AL34">
        <v>7047.3734059999997</v>
      </c>
      <c r="AM34">
        <v>6874.8733990000001</v>
      </c>
      <c r="AN34">
        <v>6698.7297399999998</v>
      </c>
      <c r="AO34">
        <v>6521.1461040000004</v>
      </c>
      <c r="AP34">
        <v>6343.6909470000001</v>
      </c>
      <c r="AQ34">
        <v>6167.1617489999999</v>
      </c>
      <c r="AR34">
        <v>5992.094419</v>
      </c>
      <c r="AS34">
        <v>5817.9370250000002</v>
      </c>
      <c r="AT34">
        <v>5645.7117390000003</v>
      </c>
      <c r="AU34">
        <v>5475.9659309999997</v>
      </c>
      <c r="AV34">
        <v>5309.0450629999996</v>
      </c>
      <c r="AW34">
        <v>5145.2907619999996</v>
      </c>
    </row>
    <row r="35" spans="2:49" x14ac:dyDescent="0.25">
      <c r="B35" t="s">
        <v>336</v>
      </c>
      <c r="C35">
        <v>13521.9613593495</v>
      </c>
      <c r="D35">
        <v>13739.0608227762</v>
      </c>
      <c r="E35">
        <v>13959.64589</v>
      </c>
      <c r="F35">
        <v>13634.829089999999</v>
      </c>
      <c r="G35">
        <v>13313.87227</v>
      </c>
      <c r="H35">
        <v>13048.25029</v>
      </c>
      <c r="I35">
        <v>12786.174639999999</v>
      </c>
      <c r="J35">
        <v>12523.653829999999</v>
      </c>
      <c r="K35">
        <v>12212.98057</v>
      </c>
      <c r="L35">
        <v>11902.49474</v>
      </c>
      <c r="M35">
        <v>11608.157020000001</v>
      </c>
      <c r="N35">
        <v>11298.060890000001</v>
      </c>
      <c r="O35">
        <v>11022.44973</v>
      </c>
      <c r="P35">
        <v>10830.139429999999</v>
      </c>
      <c r="Q35">
        <v>10644.51664</v>
      </c>
      <c r="R35">
        <v>10465.20918</v>
      </c>
      <c r="S35">
        <v>10256.255010000001</v>
      </c>
      <c r="T35">
        <v>10043.57142</v>
      </c>
      <c r="U35">
        <v>9767.5778470000005</v>
      </c>
      <c r="V35">
        <v>9469.7093220000006</v>
      </c>
      <c r="W35">
        <v>9179.4855889999999</v>
      </c>
      <c r="X35">
        <v>8892.3278680000003</v>
      </c>
      <c r="Y35">
        <v>8614.816793</v>
      </c>
      <c r="Z35">
        <v>8342.7984190000006</v>
      </c>
      <c r="AA35">
        <v>8076.7598379999999</v>
      </c>
      <c r="AB35">
        <v>7815.9478939999999</v>
      </c>
      <c r="AC35">
        <v>7559.5956630000001</v>
      </c>
      <c r="AD35">
        <v>7307.8308390000002</v>
      </c>
      <c r="AE35">
        <v>7051.4391390000001</v>
      </c>
      <c r="AF35">
        <v>6797.3898449999997</v>
      </c>
      <c r="AG35">
        <v>6548.4218410000003</v>
      </c>
      <c r="AH35">
        <v>6298.5575200000003</v>
      </c>
      <c r="AI35">
        <v>6060.0872980000004</v>
      </c>
      <c r="AJ35">
        <v>5830.6763719999999</v>
      </c>
      <c r="AK35">
        <v>5609.1194489999998</v>
      </c>
      <c r="AL35">
        <v>5395.0159659999999</v>
      </c>
      <c r="AM35">
        <v>5188.126937</v>
      </c>
      <c r="AN35">
        <v>4985.3826369999997</v>
      </c>
      <c r="AO35">
        <v>4787.6510669999998</v>
      </c>
      <c r="AP35">
        <v>4595.4980169999999</v>
      </c>
      <c r="AQ35">
        <v>4409.1162329999997</v>
      </c>
      <c r="AR35">
        <v>4228.5761130000001</v>
      </c>
      <c r="AS35">
        <v>4053.4658730000001</v>
      </c>
      <c r="AT35">
        <v>3884.07935</v>
      </c>
      <c r="AU35">
        <v>3720.4985510000001</v>
      </c>
      <c r="AV35">
        <v>3562.714442</v>
      </c>
      <c r="AW35">
        <v>3410.715134</v>
      </c>
    </row>
    <row r="36" spans="2:49" x14ac:dyDescent="0.25">
      <c r="B36" t="s">
        <v>337</v>
      </c>
      <c r="C36">
        <v>4769.5635809194901</v>
      </c>
      <c r="D36">
        <v>4846.1404669702097</v>
      </c>
      <c r="E36">
        <v>4923.9468200000001</v>
      </c>
      <c r="F36">
        <v>4804.4688379999998</v>
      </c>
      <c r="G36">
        <v>4678.9146840000003</v>
      </c>
      <c r="H36">
        <v>4568.0983020000003</v>
      </c>
      <c r="I36">
        <v>4460.6387290000002</v>
      </c>
      <c r="J36">
        <v>4351.3788709999999</v>
      </c>
      <c r="K36">
        <v>4228.1876220000004</v>
      </c>
      <c r="L36">
        <v>4103.5536480000001</v>
      </c>
      <c r="M36">
        <v>3984.586303</v>
      </c>
      <c r="N36">
        <v>3858.8887589999999</v>
      </c>
      <c r="O36">
        <v>3744.7781230000001</v>
      </c>
      <c r="P36">
        <v>3667.6537199999998</v>
      </c>
      <c r="Q36">
        <v>3590.1242590000002</v>
      </c>
      <c r="R36">
        <v>3512.243817</v>
      </c>
      <c r="S36">
        <v>3417.2670509999998</v>
      </c>
      <c r="T36">
        <v>3299.0563769999999</v>
      </c>
      <c r="U36">
        <v>3154.3775690000002</v>
      </c>
      <c r="V36">
        <v>3002.4121620000001</v>
      </c>
      <c r="W36">
        <v>2856.9552020000001</v>
      </c>
      <c r="X36">
        <v>2717.2377310000002</v>
      </c>
      <c r="Y36">
        <v>2584.039624</v>
      </c>
      <c r="Z36">
        <v>2456.7183519999999</v>
      </c>
      <c r="AA36">
        <v>2335.0350830000002</v>
      </c>
      <c r="AB36">
        <v>2218.7157400000001</v>
      </c>
      <c r="AC36">
        <v>2107.4825959999998</v>
      </c>
      <c r="AD36">
        <v>2001.1618169999999</v>
      </c>
      <c r="AE36">
        <v>1898.661861</v>
      </c>
      <c r="AF36">
        <v>1800.561457</v>
      </c>
      <c r="AG36">
        <v>1706.9546969999999</v>
      </c>
      <c r="AH36">
        <v>1617.132096</v>
      </c>
      <c r="AI36">
        <v>1532.0294550000001</v>
      </c>
      <c r="AJ36">
        <v>1451.2308989999999</v>
      </c>
      <c r="AK36">
        <v>1374.4506349999999</v>
      </c>
      <c r="AL36">
        <v>1301.491565</v>
      </c>
      <c r="AM36">
        <v>1232.1813689999999</v>
      </c>
      <c r="AN36">
        <v>1165.787423</v>
      </c>
      <c r="AO36">
        <v>1102.301199</v>
      </c>
      <c r="AP36">
        <v>1041.6867090000001</v>
      </c>
      <c r="AQ36">
        <v>983.87504039999999</v>
      </c>
      <c r="AR36">
        <v>928.78689380000003</v>
      </c>
      <c r="AS36">
        <v>876.31388679999998</v>
      </c>
      <c r="AT36">
        <v>826.38960799999995</v>
      </c>
      <c r="AU36">
        <v>778.93467290000001</v>
      </c>
      <c r="AV36">
        <v>733.86406829999999</v>
      </c>
      <c r="AW36">
        <v>691.092533</v>
      </c>
    </row>
    <row r="37" spans="2:49" x14ac:dyDescent="0.25">
      <c r="B37" t="s">
        <v>338</v>
      </c>
      <c r="C37">
        <v>2185.3248924602099</v>
      </c>
      <c r="D37">
        <v>2220.4109904720199</v>
      </c>
      <c r="E37">
        <v>2256.0604069999999</v>
      </c>
      <c r="F37">
        <v>2172.1709679999999</v>
      </c>
      <c r="G37">
        <v>2084.9096749999999</v>
      </c>
      <c r="H37">
        <v>2003.1508080000001</v>
      </c>
      <c r="I37">
        <v>1924.982295</v>
      </c>
      <c r="J37">
        <v>1846.5021919999999</v>
      </c>
      <c r="K37">
        <v>1767.2411589999999</v>
      </c>
      <c r="L37">
        <v>1687.3592860000001</v>
      </c>
      <c r="M37">
        <v>1611.442912</v>
      </c>
      <c r="N37">
        <v>1541.457539</v>
      </c>
      <c r="O37">
        <v>1475.7242080000001</v>
      </c>
      <c r="P37">
        <v>1427.0595860000001</v>
      </c>
      <c r="Q37">
        <v>1376.813083</v>
      </c>
      <c r="R37">
        <v>1325.0216640000001</v>
      </c>
      <c r="S37">
        <v>1269.7991999999999</v>
      </c>
      <c r="T37">
        <v>1210.040894</v>
      </c>
      <c r="U37">
        <v>1142.8163999999999</v>
      </c>
      <c r="V37">
        <v>1075.5919060000001</v>
      </c>
      <c r="W37">
        <v>1012.321794</v>
      </c>
      <c r="X37">
        <v>952.77345270000001</v>
      </c>
      <c r="Y37">
        <v>896.72795550000001</v>
      </c>
      <c r="Z37">
        <v>843.97925229999998</v>
      </c>
      <c r="AA37">
        <v>794.33341389999998</v>
      </c>
      <c r="AB37">
        <v>747.60791900000004</v>
      </c>
      <c r="AC37">
        <v>703.63098249999996</v>
      </c>
      <c r="AD37">
        <v>662.24092470000005</v>
      </c>
      <c r="AE37">
        <v>623.28557620000004</v>
      </c>
      <c r="AF37">
        <v>586.62171880000005</v>
      </c>
      <c r="AG37">
        <v>552.11455890000002</v>
      </c>
      <c r="AH37">
        <v>519.63723189999996</v>
      </c>
      <c r="AI37">
        <v>489.07033589999998</v>
      </c>
      <c r="AJ37">
        <v>460.30149260000002</v>
      </c>
      <c r="AK37">
        <v>433.22493420000001</v>
      </c>
      <c r="AL37">
        <v>407.7411146</v>
      </c>
      <c r="AM37">
        <v>383.75634309999998</v>
      </c>
      <c r="AN37">
        <v>361.04886720000002</v>
      </c>
      <c r="AO37">
        <v>339.55786319999999</v>
      </c>
      <c r="AP37">
        <v>319.22505699999999</v>
      </c>
      <c r="AQ37">
        <v>299.9946319</v>
      </c>
      <c r="AR37">
        <v>281.81313899999998</v>
      </c>
      <c r="AS37">
        <v>264.62941110000003</v>
      </c>
      <c r="AT37">
        <v>248.3944779</v>
      </c>
      <c r="AU37">
        <v>233.06148540000001</v>
      </c>
      <c r="AV37">
        <v>218.5856167</v>
      </c>
      <c r="AW37">
        <v>204.92401570000001</v>
      </c>
    </row>
    <row r="38" spans="2:49" x14ac:dyDescent="0.25">
      <c r="B38" t="s">
        <v>339</v>
      </c>
      <c r="C38">
        <v>6.9573204344700098E-3</v>
      </c>
      <c r="D38">
        <v>7.06902246445449E-3</v>
      </c>
      <c r="E38">
        <v>7.1825179100000001E-3</v>
      </c>
      <c r="F38">
        <v>1.1181000999999999E-2</v>
      </c>
      <c r="G38">
        <v>2.0421671400000001E-2</v>
      </c>
      <c r="H38">
        <v>5.4293276600000002E-2</v>
      </c>
      <c r="I38">
        <v>0.1056612894</v>
      </c>
      <c r="J38">
        <v>0.1807752983</v>
      </c>
      <c r="K38">
        <v>0.26778038510000002</v>
      </c>
      <c r="L38">
        <v>0.389148153</v>
      </c>
      <c r="M38">
        <v>0.59209260760000004</v>
      </c>
      <c r="N38">
        <v>0.86561175180000005</v>
      </c>
      <c r="O38">
        <v>1.2707631699999999</v>
      </c>
      <c r="P38">
        <v>1.393558267</v>
      </c>
      <c r="Q38">
        <v>1.676524052</v>
      </c>
      <c r="R38">
        <v>2.2615848490000001</v>
      </c>
      <c r="S38">
        <v>3.2860383689999999</v>
      </c>
      <c r="T38">
        <v>4.8607020820000004</v>
      </c>
      <c r="U38">
        <v>9.0541463150000006</v>
      </c>
      <c r="V38">
        <v>16.040790390000002</v>
      </c>
      <c r="W38">
        <v>24.884129300000001</v>
      </c>
      <c r="X38">
        <v>35.783932659999998</v>
      </c>
      <c r="Y38">
        <v>49.277114830000002</v>
      </c>
      <c r="Z38">
        <v>65.517598109999994</v>
      </c>
      <c r="AA38">
        <v>84.813985059999894</v>
      </c>
      <c r="AB38">
        <v>107.3169972</v>
      </c>
      <c r="AC38">
        <v>133.07137449999999</v>
      </c>
      <c r="AD38">
        <v>162.12501549999999</v>
      </c>
      <c r="AE38">
        <v>192.7092126</v>
      </c>
      <c r="AF38">
        <v>225.4387102</v>
      </c>
      <c r="AG38">
        <v>260.56732749999998</v>
      </c>
      <c r="AH38">
        <v>296.01916069999999</v>
      </c>
      <c r="AI38">
        <v>335.04969130000001</v>
      </c>
      <c r="AJ38">
        <v>377.16049659999999</v>
      </c>
      <c r="AK38">
        <v>421.96058879999998</v>
      </c>
      <c r="AL38">
        <v>469.23863089999998</v>
      </c>
      <c r="AM38">
        <v>518.80496919999996</v>
      </c>
      <c r="AN38">
        <v>570.66795400000001</v>
      </c>
      <c r="AO38">
        <v>625.04114790000006</v>
      </c>
      <c r="AP38">
        <v>682.08224840000003</v>
      </c>
      <c r="AQ38">
        <v>741.79611069999999</v>
      </c>
      <c r="AR38">
        <v>804.14165630000002</v>
      </c>
      <c r="AS38">
        <v>868.60478109999997</v>
      </c>
      <c r="AT38">
        <v>935.38320629999998</v>
      </c>
      <c r="AU38">
        <v>1004.539524</v>
      </c>
      <c r="AV38">
        <v>1076.0854879999999</v>
      </c>
      <c r="AW38">
        <v>1150.1031149999999</v>
      </c>
    </row>
    <row r="39" spans="2:49" x14ac:dyDescent="0.25">
      <c r="B39" t="s">
        <v>340</v>
      </c>
      <c r="C39">
        <v>1.59483191497851E-2</v>
      </c>
      <c r="D39">
        <v>1.6204374572364899E-2</v>
      </c>
      <c r="E39">
        <v>1.6464540999999999E-2</v>
      </c>
      <c r="F39">
        <v>2.92104462E-2</v>
      </c>
      <c r="G39">
        <v>5.3714319099999998E-2</v>
      </c>
      <c r="H39">
        <v>0.10712908879999999</v>
      </c>
      <c r="I39">
        <v>0.18432658299999999</v>
      </c>
      <c r="J39">
        <v>0.29321085969999999</v>
      </c>
      <c r="K39">
        <v>0.42090723540000002</v>
      </c>
      <c r="L39">
        <v>0.59076524630000005</v>
      </c>
      <c r="M39">
        <v>0.8445657982</v>
      </c>
      <c r="N39">
        <v>1.169766546</v>
      </c>
      <c r="O39">
        <v>1.6367787250000001</v>
      </c>
      <c r="P39">
        <v>1.985260821</v>
      </c>
      <c r="Q39">
        <v>2.5286564579999999</v>
      </c>
      <c r="R39">
        <v>3.3808901759999999</v>
      </c>
      <c r="S39">
        <v>4.6250835989999999</v>
      </c>
      <c r="T39">
        <v>6.3003862320000001</v>
      </c>
      <c r="U39">
        <v>9.8674294929999995</v>
      </c>
      <c r="V39">
        <v>15.42896651</v>
      </c>
      <c r="W39">
        <v>22.382698619999999</v>
      </c>
      <c r="X39">
        <v>30.841696720000002</v>
      </c>
      <c r="Y39">
        <v>41.203133600000001</v>
      </c>
      <c r="Z39">
        <v>53.527999129999998</v>
      </c>
      <c r="AA39">
        <v>68.009807480000006</v>
      </c>
      <c r="AB39">
        <v>84.71136568</v>
      </c>
      <c r="AC39">
        <v>103.61203070000001</v>
      </c>
      <c r="AD39">
        <v>124.6960916</v>
      </c>
      <c r="AE39">
        <v>146.5698419</v>
      </c>
      <c r="AF39">
        <v>169.7011134</v>
      </c>
      <c r="AG39">
        <v>194.25584190000001</v>
      </c>
      <c r="AH39">
        <v>218.67047830000001</v>
      </c>
      <c r="AI39">
        <v>245.34228540000001</v>
      </c>
      <c r="AJ39">
        <v>273.83239659999998</v>
      </c>
      <c r="AK39">
        <v>303.80455699999999</v>
      </c>
      <c r="AL39">
        <v>335.06638420000002</v>
      </c>
      <c r="AM39">
        <v>367.44781440000003</v>
      </c>
      <c r="AN39">
        <v>400.75874529999999</v>
      </c>
      <c r="AO39">
        <v>435.11197700000002</v>
      </c>
      <c r="AP39">
        <v>470.57489500000003</v>
      </c>
      <c r="AQ39">
        <v>507.1027899</v>
      </c>
      <c r="AR39">
        <v>544.61801290000005</v>
      </c>
      <c r="AS39">
        <v>582.72942360000002</v>
      </c>
      <c r="AT39">
        <v>621.52520719999995</v>
      </c>
      <c r="AU39">
        <v>660.99593960000004</v>
      </c>
      <c r="AV39">
        <v>701.09559779999995</v>
      </c>
      <c r="AW39">
        <v>741.81634359999998</v>
      </c>
    </row>
    <row r="40" spans="2:49" x14ac:dyDescent="0.25">
      <c r="B40" t="s">
        <v>341</v>
      </c>
      <c r="C40">
        <v>6.5291776385026298E-2</v>
      </c>
      <c r="D40">
        <v>6.63400569741113E-2</v>
      </c>
      <c r="E40">
        <v>6.7405168000000001E-2</v>
      </c>
      <c r="F40">
        <v>0.1252421544</v>
      </c>
      <c r="G40">
        <v>0.23080234459999999</v>
      </c>
      <c r="H40">
        <v>0.41142545609999998</v>
      </c>
      <c r="I40">
        <v>0.66383793280000003</v>
      </c>
      <c r="J40">
        <v>1.010366418</v>
      </c>
      <c r="K40">
        <v>1.4206471709999999</v>
      </c>
      <c r="L40">
        <v>1.946315813</v>
      </c>
      <c r="M40">
        <v>2.6552337690000001</v>
      </c>
      <c r="N40">
        <v>3.5161818440000001</v>
      </c>
      <c r="O40">
        <v>4.7094022610000001</v>
      </c>
      <c r="P40">
        <v>6.2406762100000002</v>
      </c>
      <c r="Q40">
        <v>8.2989558540000008</v>
      </c>
      <c r="R40">
        <v>11.021182489999999</v>
      </c>
      <c r="S40">
        <v>14.39199661</v>
      </c>
      <c r="T40">
        <v>18.250196299999999</v>
      </c>
      <c r="U40">
        <v>23.68340851</v>
      </c>
      <c r="V40">
        <v>30.833827280000001</v>
      </c>
      <c r="W40">
        <v>39.493763940000001</v>
      </c>
      <c r="X40">
        <v>49.661466990000001</v>
      </c>
      <c r="Y40">
        <v>61.763593929999999</v>
      </c>
      <c r="Z40">
        <v>75.689323000000002</v>
      </c>
      <c r="AA40">
        <v>91.538263400000005</v>
      </c>
      <c r="AB40">
        <v>109.23093369999999</v>
      </c>
      <c r="AC40">
        <v>128.59061170000001</v>
      </c>
      <c r="AD40">
        <v>149.4620238</v>
      </c>
      <c r="AE40">
        <v>170.13837810000001</v>
      </c>
      <c r="AF40">
        <v>191.18780140000001</v>
      </c>
      <c r="AG40">
        <v>212.75176719999999</v>
      </c>
      <c r="AH40">
        <v>233.14192679999999</v>
      </c>
      <c r="AI40">
        <v>254.8724474</v>
      </c>
      <c r="AJ40">
        <v>277.32579700000002</v>
      </c>
      <c r="AK40">
        <v>300.0653259</v>
      </c>
      <c r="AL40">
        <v>322.84053690000002</v>
      </c>
      <c r="AM40">
        <v>345.4457147</v>
      </c>
      <c r="AN40">
        <v>367.28762440000003</v>
      </c>
      <c r="AO40">
        <v>388.45182920000002</v>
      </c>
      <c r="AP40">
        <v>408.97105110000001</v>
      </c>
      <c r="AQ40">
        <v>428.77233059999998</v>
      </c>
      <c r="AR40">
        <v>447.75771509999998</v>
      </c>
      <c r="AS40">
        <v>465.6018267</v>
      </c>
      <c r="AT40">
        <v>482.35706249999998</v>
      </c>
      <c r="AU40">
        <v>497.99041030000001</v>
      </c>
      <c r="AV40">
        <v>512.44074750000004</v>
      </c>
      <c r="AW40">
        <v>525.66448760000003</v>
      </c>
    </row>
    <row r="41" spans="2:49" x14ac:dyDescent="0.25">
      <c r="B41" t="s">
        <v>342</v>
      </c>
      <c r="C41">
        <v>1.5338215665531501</v>
      </c>
      <c r="D41">
        <v>1.55844756793281</v>
      </c>
      <c r="E41">
        <v>1.5834689479999999</v>
      </c>
      <c r="F41">
        <v>2.9576606559999998</v>
      </c>
      <c r="G41">
        <v>5.4517789270000003</v>
      </c>
      <c r="H41">
        <v>9.5927736190000008</v>
      </c>
      <c r="I41">
        <v>15.352162249999999</v>
      </c>
      <c r="J41">
        <v>23.228014999999999</v>
      </c>
      <c r="K41">
        <v>32.565928110000002</v>
      </c>
      <c r="L41">
        <v>44.463508169999997</v>
      </c>
      <c r="M41">
        <v>60.248992909999998</v>
      </c>
      <c r="N41">
        <v>79.245036529999894</v>
      </c>
      <c r="O41">
        <v>105.4072996</v>
      </c>
      <c r="P41">
        <v>141.65462729999999</v>
      </c>
      <c r="Q41">
        <v>189.5507107</v>
      </c>
      <c r="R41">
        <v>251.4524888</v>
      </c>
      <c r="S41">
        <v>326.12061419999998</v>
      </c>
      <c r="T41">
        <v>409.05441919999998</v>
      </c>
      <c r="U41">
        <v>515.06596349999995</v>
      </c>
      <c r="V41">
        <v>648.39154789999998</v>
      </c>
      <c r="W41">
        <v>808.68933660000005</v>
      </c>
      <c r="X41">
        <v>995.33967170000005</v>
      </c>
      <c r="Y41">
        <v>1216.111654</v>
      </c>
      <c r="Z41">
        <v>1468.2682850000001</v>
      </c>
      <c r="AA41">
        <v>1753.2685289999999</v>
      </c>
      <c r="AB41">
        <v>2069.239478</v>
      </c>
      <c r="AC41">
        <v>2412.6091929999998</v>
      </c>
      <c r="AD41">
        <v>2780.3422839999998</v>
      </c>
      <c r="AE41">
        <v>3141.3505489999998</v>
      </c>
      <c r="AF41">
        <v>3506.4706449999999</v>
      </c>
      <c r="AG41">
        <v>3878.5070230000001</v>
      </c>
      <c r="AH41">
        <v>4227.6053970000003</v>
      </c>
      <c r="AI41">
        <v>4598.9703</v>
      </c>
      <c r="AJ41">
        <v>4981.6866380000001</v>
      </c>
      <c r="AK41">
        <v>5368.3329620000004</v>
      </c>
      <c r="AL41">
        <v>5754.9340499999998</v>
      </c>
      <c r="AM41">
        <v>6138.395966</v>
      </c>
      <c r="AN41">
        <v>6508.9839350000002</v>
      </c>
      <c r="AO41">
        <v>6869.1639139999997</v>
      </c>
      <c r="AP41">
        <v>7220.4879890000002</v>
      </c>
      <c r="AQ41">
        <v>7562.7197040000001</v>
      </c>
      <c r="AR41">
        <v>7895.2332379999998</v>
      </c>
      <c r="AS41">
        <v>8213.5241619999997</v>
      </c>
      <c r="AT41">
        <v>8519.5778829999999</v>
      </c>
      <c r="AU41">
        <v>8813.9565129999901</v>
      </c>
      <c r="AV41">
        <v>9096.7675650000001</v>
      </c>
      <c r="AW41">
        <v>9368.4883279999995</v>
      </c>
    </row>
    <row r="42" spans="2:49" x14ac:dyDescent="0.25">
      <c r="B42" t="s">
        <v>343</v>
      </c>
      <c r="C42">
        <v>0.60453762790594801</v>
      </c>
      <c r="D42">
        <v>0.61424367506521405</v>
      </c>
      <c r="E42">
        <v>0.62410555599999995</v>
      </c>
      <c r="F42">
        <v>1.1669331190000001</v>
      </c>
      <c r="G42">
        <v>2.151079228</v>
      </c>
      <c r="H42">
        <v>3.7750460139999999</v>
      </c>
      <c r="I42">
        <v>6.0313897389999998</v>
      </c>
      <c r="J42">
        <v>9.1142587180000003</v>
      </c>
      <c r="K42" s="100">
        <v>12.77053802</v>
      </c>
      <c r="L42" s="100">
        <v>17.423364599999999</v>
      </c>
      <c r="M42" s="100">
        <v>23.573922769999999</v>
      </c>
      <c r="N42" s="100">
        <v>30.959526270000001</v>
      </c>
      <c r="O42" s="100">
        <v>41.115889979999999</v>
      </c>
      <c r="P42">
        <v>55.424876750000003</v>
      </c>
      <c r="Q42">
        <v>74.267079960000004</v>
      </c>
      <c r="R42">
        <v>98.500366889999995</v>
      </c>
      <c r="S42">
        <v>127.5586196</v>
      </c>
      <c r="T42">
        <v>159.59644170000001</v>
      </c>
      <c r="U42">
        <v>199.36576629999999</v>
      </c>
      <c r="V42">
        <v>248.4591145</v>
      </c>
      <c r="W42">
        <v>307.24829899999997</v>
      </c>
      <c r="X42">
        <v>375.3825885</v>
      </c>
      <c r="Y42">
        <v>455.655867</v>
      </c>
      <c r="Z42">
        <v>546.90499629999999</v>
      </c>
      <c r="AA42">
        <v>649.54787150000004</v>
      </c>
      <c r="AB42">
        <v>762.76803399999994</v>
      </c>
      <c r="AC42">
        <v>885.13406169999996</v>
      </c>
      <c r="AD42">
        <v>1015.427022</v>
      </c>
      <c r="AE42">
        <v>1142.2840169999999</v>
      </c>
      <c r="AF42">
        <v>1269.6782639999999</v>
      </c>
      <c r="AG42">
        <v>1398.596362</v>
      </c>
      <c r="AH42">
        <v>1518.3276350000001</v>
      </c>
      <c r="AI42">
        <v>1645.058894</v>
      </c>
      <c r="AJ42">
        <v>1774.753905</v>
      </c>
      <c r="AK42">
        <v>1904.7022890000001</v>
      </c>
      <c r="AL42">
        <v>2033.4634530000001</v>
      </c>
      <c r="AM42">
        <v>2159.9351569999999</v>
      </c>
      <c r="AN42">
        <v>2280.3380430000002</v>
      </c>
      <c r="AO42">
        <v>2395.5750240000002</v>
      </c>
      <c r="AP42">
        <v>2506.220632</v>
      </c>
      <c r="AQ42">
        <v>2612.2263250000001</v>
      </c>
      <c r="AR42">
        <v>2713.417183</v>
      </c>
      <c r="AS42">
        <v>2808.329009</v>
      </c>
      <c r="AT42">
        <v>2897.7008850000002</v>
      </c>
      <c r="AU42">
        <v>2981.7843280000002</v>
      </c>
      <c r="AV42">
        <v>3060.6813510000002</v>
      </c>
      <c r="AW42">
        <v>3134.6118719999999</v>
      </c>
    </row>
    <row r="43" spans="2:49" x14ac:dyDescent="0.25">
      <c r="B43" t="s">
        <v>344</v>
      </c>
      <c r="C43">
        <v>8.2417488223721705E-3</v>
      </c>
      <c r="D43">
        <v>8.3740727655845504E-3</v>
      </c>
      <c r="E43">
        <v>8.5085212099999998E-3</v>
      </c>
      <c r="F43">
        <v>1.76052981E-2</v>
      </c>
      <c r="G43">
        <v>3.2593036999999998E-2</v>
      </c>
      <c r="H43">
        <v>4.3394411700000003E-2</v>
      </c>
      <c r="I43">
        <v>5.5218313599999999E-2</v>
      </c>
      <c r="J43">
        <v>6.7741049600000006E-2</v>
      </c>
      <c r="K43">
        <v>8.4129765800000006E-2</v>
      </c>
      <c r="L43">
        <v>9.7150903400000002E-2</v>
      </c>
      <c r="M43">
        <v>0.1195760699</v>
      </c>
      <c r="N43">
        <v>0.14698164620000001</v>
      </c>
      <c r="O43">
        <v>0.1853885015</v>
      </c>
      <c r="P43">
        <v>0.40072722910000003</v>
      </c>
      <c r="Q43">
        <v>0.59752195379999995</v>
      </c>
      <c r="R43">
        <v>0.69016332530000002</v>
      </c>
      <c r="S43">
        <v>0.78853820370000005</v>
      </c>
      <c r="T43">
        <v>0.90029368180000002</v>
      </c>
      <c r="U43">
        <v>1.046630792</v>
      </c>
      <c r="V43">
        <v>1.2349555430000001</v>
      </c>
      <c r="W43">
        <v>1.4655147630000001</v>
      </c>
      <c r="X43">
        <v>1.7373701159999999</v>
      </c>
      <c r="Y43">
        <v>2.0623900220000002</v>
      </c>
      <c r="Z43">
        <v>2.4364309770000001</v>
      </c>
      <c r="AA43">
        <v>2.8617558060000001</v>
      </c>
      <c r="AB43">
        <v>3.3355471329999999</v>
      </c>
      <c r="AC43">
        <v>3.8523951429999999</v>
      </c>
      <c r="AD43">
        <v>4.407711527</v>
      </c>
      <c r="AE43">
        <v>4.953950603</v>
      </c>
      <c r="AF43">
        <v>5.507680777</v>
      </c>
      <c r="AG43">
        <v>6.0732203729999998</v>
      </c>
      <c r="AH43">
        <v>6.6048100840000004</v>
      </c>
      <c r="AI43">
        <v>7.1717810670000004</v>
      </c>
      <c r="AJ43">
        <v>7.7575102100000004</v>
      </c>
      <c r="AK43">
        <v>8.3506876390000002</v>
      </c>
      <c r="AL43">
        <v>8.9452676790000005</v>
      </c>
      <c r="AM43">
        <v>9.5365438699999903</v>
      </c>
      <c r="AN43">
        <v>10.109930909999999</v>
      </c>
      <c r="AO43">
        <v>10.669283289999999</v>
      </c>
      <c r="AP43">
        <v>11.21705948</v>
      </c>
      <c r="AQ43">
        <v>11.7529696</v>
      </c>
      <c r="AR43">
        <v>12.27612072</v>
      </c>
      <c r="AS43">
        <v>12.77959242</v>
      </c>
      <c r="AT43">
        <v>13.266510520000001</v>
      </c>
      <c r="AU43">
        <v>13.737807780000001</v>
      </c>
      <c r="AV43">
        <v>14.19371198</v>
      </c>
      <c r="AW43">
        <v>14.635039259999999</v>
      </c>
    </row>
    <row r="44" spans="2:49" x14ac:dyDescent="0.25">
      <c r="B44" t="s">
        <v>345</v>
      </c>
      <c r="C44">
        <v>0.101255771246286</v>
      </c>
      <c r="D44">
        <v>0.10288146540575301</v>
      </c>
      <c r="E44">
        <v>0.1045332606</v>
      </c>
      <c r="F44">
        <v>0.19678972210000001</v>
      </c>
      <c r="G44">
        <v>0.36286137390000001</v>
      </c>
      <c r="H44">
        <v>0.62609469470000001</v>
      </c>
      <c r="I44">
        <v>0.98941568469999996</v>
      </c>
      <c r="J44">
        <v>1.4830844190000001</v>
      </c>
      <c r="K44">
        <v>2.0697403529999998</v>
      </c>
      <c r="L44">
        <v>2.8103990570000001</v>
      </c>
      <c r="M44">
        <v>3.7663772770000001</v>
      </c>
      <c r="N44">
        <v>4.8985145130000003</v>
      </c>
      <c r="O44">
        <v>6.440316932</v>
      </c>
      <c r="P44">
        <v>8.8604649609999999</v>
      </c>
      <c r="Q44">
        <v>11.97701882</v>
      </c>
      <c r="R44">
        <v>15.860319069999999</v>
      </c>
      <c r="S44">
        <v>20.341486530000001</v>
      </c>
      <c r="T44">
        <v>25.052460709999998</v>
      </c>
      <c r="U44">
        <v>29.894510310000001</v>
      </c>
      <c r="V44">
        <v>35.21155401</v>
      </c>
      <c r="W44">
        <v>41.441036439999998</v>
      </c>
      <c r="X44">
        <v>48.474249090000001</v>
      </c>
      <c r="Y44">
        <v>56.587845059999999</v>
      </c>
      <c r="Z44">
        <v>65.571878089999998</v>
      </c>
      <c r="AA44">
        <v>75.417193429999998</v>
      </c>
      <c r="AB44">
        <v>85.979294190000005</v>
      </c>
      <c r="AC44">
        <v>97.057537400000001</v>
      </c>
      <c r="AD44">
        <v>108.48740530000001</v>
      </c>
      <c r="AE44">
        <v>119.1065254</v>
      </c>
      <c r="AF44">
        <v>129.3597244</v>
      </c>
      <c r="AG44">
        <v>139.35417849999999</v>
      </c>
      <c r="AH44">
        <v>148.10312010000001</v>
      </c>
      <c r="AI44">
        <v>157.13920379999999</v>
      </c>
      <c r="AJ44">
        <v>166.0567546</v>
      </c>
      <c r="AK44">
        <v>174.6096556</v>
      </c>
      <c r="AL44">
        <v>182.6861346</v>
      </c>
      <c r="AM44">
        <v>190.21538409999999</v>
      </c>
      <c r="AN44">
        <v>196.8027582</v>
      </c>
      <c r="AO44">
        <v>202.5806426</v>
      </c>
      <c r="AP44">
        <v>207.64811510000001</v>
      </c>
      <c r="AQ44">
        <v>212.05194879999999</v>
      </c>
      <c r="AR44">
        <v>215.8292107</v>
      </c>
      <c r="AS44">
        <v>218.92939670000001</v>
      </c>
      <c r="AT44">
        <v>221.45595710000001</v>
      </c>
      <c r="AU44">
        <v>223.47320210000001</v>
      </c>
      <c r="AV44">
        <v>225.0325737</v>
      </c>
      <c r="AW44">
        <v>226.18934279999999</v>
      </c>
    </row>
    <row r="45" spans="2:49" x14ac:dyDescent="0.25">
      <c r="B45" t="s">
        <v>346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</row>
    <row r="46" spans="2:49" x14ac:dyDescent="0.25">
      <c r="B46" t="s">
        <v>347</v>
      </c>
      <c r="C46">
        <v>30996.0941631817</v>
      </c>
      <c r="D46">
        <v>31493.7464809423</v>
      </c>
      <c r="E46">
        <v>31999.388770000001</v>
      </c>
      <c r="F46">
        <v>32683.874380000001</v>
      </c>
      <c r="G46">
        <v>33306.491459999997</v>
      </c>
      <c r="H46">
        <v>34128.234790000002</v>
      </c>
      <c r="I46">
        <v>34840.455430000002</v>
      </c>
      <c r="J46">
        <v>35453.771339999999</v>
      </c>
      <c r="K46">
        <v>35681.713839999997</v>
      </c>
      <c r="L46">
        <v>35772.19556</v>
      </c>
      <c r="M46">
        <v>35856.263099999996</v>
      </c>
      <c r="N46">
        <v>35790.505729999997</v>
      </c>
      <c r="O46">
        <v>35817.735610000003</v>
      </c>
      <c r="P46">
        <v>36105.244180000002</v>
      </c>
      <c r="Q46">
        <v>36419.989690000002</v>
      </c>
      <c r="R46">
        <v>36730.576849999998</v>
      </c>
      <c r="S46">
        <v>36927.455379999999</v>
      </c>
      <c r="T46">
        <v>36900.051140000003</v>
      </c>
      <c r="U46">
        <v>36731.472970000003</v>
      </c>
      <c r="V46">
        <v>36487.540090000002</v>
      </c>
      <c r="W46">
        <v>36213.783389999997</v>
      </c>
      <c r="X46">
        <v>35882.464370000002</v>
      </c>
      <c r="Y46">
        <v>35537.265579999999</v>
      </c>
      <c r="Z46">
        <v>35151.297039999998</v>
      </c>
      <c r="AA46">
        <v>34733.065410000003</v>
      </c>
      <c r="AB46">
        <v>34280.104359999998</v>
      </c>
      <c r="AC46">
        <v>33789.871720000003</v>
      </c>
      <c r="AD46">
        <v>33266.078390000002</v>
      </c>
      <c r="AE46">
        <v>32643.256420000002</v>
      </c>
      <c r="AF46">
        <v>31973.771209999999</v>
      </c>
      <c r="AG46">
        <v>31280.311399999999</v>
      </c>
      <c r="AH46">
        <v>30519.773969999998</v>
      </c>
      <c r="AI46">
        <v>29787.976579999999</v>
      </c>
      <c r="AJ46">
        <v>29070.71773</v>
      </c>
      <c r="AK46" s="100">
        <v>28361.690289999999</v>
      </c>
      <c r="AL46" s="100">
        <v>27660.28989</v>
      </c>
      <c r="AM46" s="100">
        <v>26966.884819999999</v>
      </c>
      <c r="AN46" s="100">
        <v>26267.223279999998</v>
      </c>
      <c r="AO46" s="100">
        <v>25569.038359999999</v>
      </c>
      <c r="AP46" s="100">
        <v>24877.702430000001</v>
      </c>
      <c r="AQ46" s="100">
        <v>24195.770850000001</v>
      </c>
      <c r="AR46" s="100">
        <v>23524.865160000001</v>
      </c>
      <c r="AS46" s="100">
        <v>22862.503519999998</v>
      </c>
      <c r="AT46" s="100">
        <v>22212.24582</v>
      </c>
      <c r="AU46" s="100">
        <v>21575.829969999999</v>
      </c>
      <c r="AV46" s="100">
        <v>20954.2585</v>
      </c>
      <c r="AW46">
        <v>20348.59362</v>
      </c>
    </row>
    <row r="47" spans="2:49" x14ac:dyDescent="0.25">
      <c r="B47" t="s">
        <v>348</v>
      </c>
      <c r="C47">
        <v>2.3360541304970401</v>
      </c>
      <c r="D47" s="100">
        <v>2.3735602351802898</v>
      </c>
      <c r="E47" s="100">
        <v>2.411668513</v>
      </c>
      <c r="F47">
        <v>4.5046223970000003</v>
      </c>
      <c r="G47">
        <v>8.3032509010000002</v>
      </c>
      <c r="H47">
        <v>14.61015656</v>
      </c>
      <c r="I47">
        <v>23.38201179</v>
      </c>
      <c r="J47">
        <v>35.37745176</v>
      </c>
      <c r="K47">
        <v>49.599671039999997</v>
      </c>
      <c r="L47">
        <v>67.720651939999996</v>
      </c>
      <c r="M47">
        <v>91.800761199999997</v>
      </c>
      <c r="N47" s="100">
        <v>120.8016191</v>
      </c>
      <c r="O47" s="100">
        <v>160.76583919999999</v>
      </c>
      <c r="P47" s="100">
        <v>215.96019150000001</v>
      </c>
      <c r="Q47" s="100">
        <v>288.89646779999998</v>
      </c>
      <c r="R47" s="100">
        <v>383.16699560000001</v>
      </c>
      <c r="S47" s="100">
        <v>497.1123771</v>
      </c>
      <c r="T47" s="100">
        <v>624.01489990000005</v>
      </c>
      <c r="U47" s="100">
        <v>787.97785520000002</v>
      </c>
      <c r="V47" s="100">
        <v>995.60075619999998</v>
      </c>
      <c r="W47" s="100">
        <v>1245.604779</v>
      </c>
      <c r="X47" s="100">
        <v>1537.2209760000001</v>
      </c>
      <c r="Y47" s="100">
        <v>1882.6615979999999</v>
      </c>
      <c r="Z47" s="100">
        <v>2277.9165109999999</v>
      </c>
      <c r="AA47" s="100">
        <v>2725.457406</v>
      </c>
      <c r="AB47" s="100">
        <v>3222.5816500000001</v>
      </c>
      <c r="AC47" s="100">
        <v>3763.9272040000001</v>
      </c>
      <c r="AD47" s="100">
        <v>4344.9475540000003</v>
      </c>
      <c r="AE47" s="100">
        <v>4917.1124749999999</v>
      </c>
      <c r="AF47" s="100">
        <v>5497.3439390000003</v>
      </c>
      <c r="AG47">
        <v>6090.1057199999996</v>
      </c>
      <c r="AH47">
        <v>6648.4725280000002</v>
      </c>
      <c r="AI47">
        <v>7243.6046040000001</v>
      </c>
      <c r="AJ47">
        <v>7858.5734979999997</v>
      </c>
      <c r="AK47">
        <v>8481.8260659999996</v>
      </c>
      <c r="AL47">
        <v>9107.1744569999901</v>
      </c>
      <c r="AM47">
        <v>9729.7815489999903</v>
      </c>
      <c r="AN47">
        <v>10334.948990000001</v>
      </c>
      <c r="AO47">
        <v>10926.59382</v>
      </c>
      <c r="AP47">
        <v>11507.20199</v>
      </c>
      <c r="AQ47">
        <v>12076.42218</v>
      </c>
      <c r="AR47">
        <v>12633.273139999999</v>
      </c>
      <c r="AS47">
        <v>13170.49819</v>
      </c>
      <c r="AT47">
        <v>13691.26671</v>
      </c>
      <c r="AU47">
        <v>14196.477720000001</v>
      </c>
      <c r="AV47">
        <v>14686.29703</v>
      </c>
      <c r="AW47">
        <v>15161.508529999999</v>
      </c>
    </row>
    <row r="48" spans="2:49" x14ac:dyDescent="0.25">
      <c r="B48" t="s">
        <v>349</v>
      </c>
      <c r="C48">
        <v>2.1906436884240502E-2</v>
      </c>
      <c r="D48" s="100">
        <v>2.2258151814254699E-2</v>
      </c>
      <c r="E48" s="100">
        <v>2.2615513600000001E-2</v>
      </c>
      <c r="F48">
        <v>2.180663E-2</v>
      </c>
      <c r="G48">
        <v>4.5645863199999998E-2</v>
      </c>
      <c r="H48">
        <v>7.1732066799999994E-2</v>
      </c>
      <c r="I48" s="100">
        <v>9.8409548299999997E-2</v>
      </c>
      <c r="J48" s="100">
        <v>0.1369360013</v>
      </c>
      <c r="K48" s="100">
        <v>0.1734307289</v>
      </c>
      <c r="L48" s="100">
        <v>0.2051117462</v>
      </c>
      <c r="M48" s="100">
        <v>0.2348306768</v>
      </c>
      <c r="N48" s="100">
        <v>0.24976126360000001</v>
      </c>
      <c r="O48" s="100">
        <v>0.26012711059999999</v>
      </c>
      <c r="P48" s="100">
        <v>0.26405339179999998</v>
      </c>
      <c r="Q48" s="100">
        <v>0.28926101430000001</v>
      </c>
      <c r="R48" s="100">
        <v>0.3192710728</v>
      </c>
      <c r="S48" s="100">
        <v>0.3744710986</v>
      </c>
      <c r="T48" s="100">
        <v>0.41981081190000002</v>
      </c>
      <c r="U48" s="100">
        <v>0.49717475459999999</v>
      </c>
      <c r="V48" s="100">
        <v>0.58920979380000005</v>
      </c>
      <c r="W48" s="100">
        <v>0.68077950730000003</v>
      </c>
      <c r="X48" s="100">
        <v>0.7699868822</v>
      </c>
      <c r="Y48" s="100">
        <v>0.85650169009999999</v>
      </c>
      <c r="Z48" s="100">
        <v>0.93798052519999997</v>
      </c>
      <c r="AA48" s="100">
        <v>1.0152397639999999</v>
      </c>
      <c r="AB48" s="100">
        <v>1.0878471460000001</v>
      </c>
      <c r="AC48" s="100">
        <v>1.1554168810000001</v>
      </c>
      <c r="AD48" s="100">
        <v>1.218034096</v>
      </c>
      <c r="AE48" s="100">
        <v>1.2700546740000001</v>
      </c>
      <c r="AF48" s="100">
        <v>1.3152328259999999</v>
      </c>
      <c r="AG48" s="100">
        <v>1.355300857</v>
      </c>
      <c r="AH48" s="100">
        <v>1.3861823369999999</v>
      </c>
      <c r="AI48" s="100">
        <v>1.4164738160000001</v>
      </c>
      <c r="AJ48" s="100">
        <v>1.445120095</v>
      </c>
      <c r="AK48" s="100">
        <v>1.4716480780000001</v>
      </c>
      <c r="AL48">
        <v>1.4960370409999999</v>
      </c>
      <c r="AM48">
        <v>1.5183189029999999</v>
      </c>
      <c r="AN48">
        <v>1.5386031790000001</v>
      </c>
      <c r="AO48">
        <v>1.5575488580000001</v>
      </c>
      <c r="AP48">
        <v>1.575597157</v>
      </c>
      <c r="AQ48">
        <v>1.5929534240000001</v>
      </c>
      <c r="AR48">
        <v>1.6097600569999999</v>
      </c>
      <c r="AS48">
        <v>1.625762862</v>
      </c>
      <c r="AT48">
        <v>1.641363591</v>
      </c>
      <c r="AU48">
        <v>1.6567501570000001</v>
      </c>
      <c r="AV48">
        <v>1.672045537</v>
      </c>
      <c r="AW48">
        <v>1.687423989</v>
      </c>
    </row>
    <row r="49" spans="2:49" x14ac:dyDescent="0.25">
      <c r="B49" t="s">
        <v>350</v>
      </c>
      <c r="C49">
        <v>2298.5980133353301</v>
      </c>
      <c r="D49">
        <v>2335.5027479420201</v>
      </c>
      <c r="E49">
        <v>2373</v>
      </c>
      <c r="F49">
        <v>2446.6775899999998</v>
      </c>
      <c r="G49">
        <v>2424.2765530000001</v>
      </c>
      <c r="H49">
        <v>2660.3639440000002</v>
      </c>
      <c r="I49">
        <v>2598.8489709999999</v>
      </c>
      <c r="J49">
        <v>2542.8224110000001</v>
      </c>
      <c r="K49">
        <v>2194.0678939999998</v>
      </c>
      <c r="L49">
        <v>2073.8249529999998</v>
      </c>
      <c r="M49">
        <v>2079.3430400000002</v>
      </c>
      <c r="N49">
        <v>1940.3869999999999</v>
      </c>
      <c r="O49">
        <v>2042.316</v>
      </c>
      <c r="P49">
        <v>2141.6280000000002</v>
      </c>
      <c r="Q49">
        <v>2203.7420000000002</v>
      </c>
      <c r="R49">
        <v>2240.3020000000001</v>
      </c>
      <c r="S49">
        <v>2166.5110979999999</v>
      </c>
      <c r="T49">
        <v>1970.7266749999999</v>
      </c>
      <c r="U49">
        <v>2080.0551220000002</v>
      </c>
      <c r="V49">
        <v>2170.7165380000001</v>
      </c>
      <c r="W49">
        <v>2181.1379550000001</v>
      </c>
      <c r="X49">
        <v>2163.7905999999998</v>
      </c>
      <c r="Y49">
        <v>2201.3997960000002</v>
      </c>
      <c r="Z49">
        <v>2210.4585619999998</v>
      </c>
      <c r="AA49">
        <v>2231.027705</v>
      </c>
      <c r="AB49">
        <v>2247.6057150000001</v>
      </c>
      <c r="AC49">
        <v>2257.153272</v>
      </c>
      <c r="AD49">
        <v>2266.2740119999999</v>
      </c>
      <c r="AE49">
        <v>2161.7562400000002</v>
      </c>
      <c r="AF49">
        <v>2120.1797179999999</v>
      </c>
      <c r="AG49">
        <v>2103.4852150000002</v>
      </c>
      <c r="AH49">
        <v>1996.0892100000001</v>
      </c>
      <c r="AI49">
        <v>2049.7021300000001</v>
      </c>
      <c r="AJ49">
        <v>2076.0383449999999</v>
      </c>
      <c r="AK49">
        <v>2086.53638</v>
      </c>
      <c r="AL49">
        <v>2091.213655</v>
      </c>
      <c r="AM49">
        <v>2091.994048</v>
      </c>
      <c r="AN49">
        <v>2076.906277</v>
      </c>
      <c r="AO49">
        <v>2072.1606350000002</v>
      </c>
      <c r="AP49">
        <v>2074.639439</v>
      </c>
      <c r="AQ49">
        <v>2079.1503250000001</v>
      </c>
      <c r="AR49">
        <v>2084.259994</v>
      </c>
      <c r="AS49">
        <v>2079.6279460000001</v>
      </c>
      <c r="AT49">
        <v>2081.1244200000001</v>
      </c>
      <c r="AU49">
        <v>2085.061373</v>
      </c>
      <c r="AV49">
        <v>2090.1303069999999</v>
      </c>
      <c r="AW49">
        <v>2097.081334</v>
      </c>
    </row>
    <row r="50" spans="2:49" x14ac:dyDescent="0.25">
      <c r="B50" t="s">
        <v>351</v>
      </c>
      <c r="C50">
        <v>2297.4487143286601</v>
      </c>
      <c r="D50">
        <v>2334.33499656805</v>
      </c>
      <c r="E50">
        <v>2371.8135000000002</v>
      </c>
      <c r="F50">
        <v>2444.4519949999999</v>
      </c>
      <c r="G50">
        <v>2420.2301710000002</v>
      </c>
      <c r="H50">
        <v>2653.600359</v>
      </c>
      <c r="I50">
        <v>2589.273557</v>
      </c>
      <c r="J50">
        <v>2529.5409610000002</v>
      </c>
      <c r="K50">
        <v>2177.899915</v>
      </c>
      <c r="L50">
        <v>2052.9759899999999</v>
      </c>
      <c r="M50">
        <v>2051.5382949999998</v>
      </c>
      <c r="N50">
        <v>1906.3371</v>
      </c>
      <c r="O50">
        <v>1995.7076910000001</v>
      </c>
      <c r="P50">
        <v>2078.395356</v>
      </c>
      <c r="Q50">
        <v>2120.0077139999999</v>
      </c>
      <c r="R50">
        <v>2131.5866489999999</v>
      </c>
      <c r="S50">
        <v>2033.4073659999999</v>
      </c>
      <c r="T50">
        <v>1818.9685340000001</v>
      </c>
      <c r="U50">
        <v>1881.4246720000001</v>
      </c>
      <c r="V50">
        <v>1916.741998</v>
      </c>
      <c r="W50">
        <v>1872.569182</v>
      </c>
      <c r="X50">
        <v>1798.9035329999999</v>
      </c>
      <c r="Y50">
        <v>1765.53441</v>
      </c>
      <c r="Z50">
        <v>1704.4588490000001</v>
      </c>
      <c r="AA50">
        <v>1649.49172</v>
      </c>
      <c r="AB50">
        <v>1590.160447</v>
      </c>
      <c r="AC50">
        <v>1526.2440919999999</v>
      </c>
      <c r="AD50">
        <v>1463.8461789999999</v>
      </c>
      <c r="AE50">
        <v>1334.006169</v>
      </c>
      <c r="AF50">
        <v>1250.7063430000001</v>
      </c>
      <c r="AG50">
        <v>1187.350261</v>
      </c>
      <c r="AH50">
        <v>1079.4808889999999</v>
      </c>
      <c r="AI50">
        <v>1063.4834350000001</v>
      </c>
      <c r="AJ50">
        <v>1034.975062</v>
      </c>
      <c r="AK50">
        <v>1001.014783</v>
      </c>
      <c r="AL50">
        <v>966.93431829999997</v>
      </c>
      <c r="AM50">
        <v>933.67081099999996</v>
      </c>
      <c r="AN50">
        <v>896.01211660000001</v>
      </c>
      <c r="AO50">
        <v>865.34027319999996</v>
      </c>
      <c r="AP50" s="100">
        <v>839.74421159999997</v>
      </c>
      <c r="AQ50" s="100">
        <v>816.72519780000005</v>
      </c>
      <c r="AR50" s="100">
        <v>795.50466140000003</v>
      </c>
      <c r="AS50" s="100">
        <v>772.08135749999997</v>
      </c>
      <c r="AT50" s="100">
        <v>752.34987690000003</v>
      </c>
      <c r="AU50">
        <v>734.71043889999999</v>
      </c>
      <c r="AV50">
        <v>718.54219430000001</v>
      </c>
      <c r="AW50">
        <v>703.97627620000003</v>
      </c>
    </row>
    <row r="51" spans="2:49" x14ac:dyDescent="0.25">
      <c r="B51" t="s">
        <v>352</v>
      </c>
      <c r="C51" s="100">
        <v>1.1492990066676601</v>
      </c>
      <c r="D51" s="100">
        <v>1.1677513739710099</v>
      </c>
      <c r="E51" s="100">
        <v>1.1865000000000001</v>
      </c>
      <c r="F51" s="100">
        <v>0</v>
      </c>
      <c r="G51" s="100">
        <v>21.771071070000001</v>
      </c>
      <c r="H51" s="100">
        <v>24.876766669999999</v>
      </c>
      <c r="I51" s="100">
        <v>26.682017859999998</v>
      </c>
      <c r="J51" s="100">
        <v>38.47599786</v>
      </c>
      <c r="K51" s="100">
        <v>38.611001909999999</v>
      </c>
      <c r="L51" s="100">
        <v>36.1469418</v>
      </c>
      <c r="M51">
        <v>35.951471159999997</v>
      </c>
      <c r="N51">
        <v>24.329854480000002</v>
      </c>
      <c r="O51">
        <v>21.001239680000001</v>
      </c>
      <c r="P51">
        <v>14.645912040000001</v>
      </c>
      <c r="Q51">
        <v>33.643199320000001</v>
      </c>
      <c r="R51">
        <v>39.004761940000002</v>
      </c>
      <c r="S51">
        <v>62.631728649999999</v>
      </c>
      <c r="T51">
        <v>56.388042130000002</v>
      </c>
      <c r="U51">
        <v>88.778443629999998</v>
      </c>
      <c r="V51">
        <v>106.9946803</v>
      </c>
      <c r="W51">
        <v>111.38155709999999</v>
      </c>
      <c r="X51">
        <v>114.0706694</v>
      </c>
      <c r="Y51">
        <v>116.33710000000001</v>
      </c>
      <c r="Z51">
        <v>116.3944506</v>
      </c>
      <c r="AA51">
        <v>116.9110206</v>
      </c>
      <c r="AB51">
        <v>116.8262058</v>
      </c>
      <c r="AC51">
        <v>116.1586538</v>
      </c>
      <c r="AD51">
        <v>115.3039589</v>
      </c>
      <c r="AE51">
        <v>109.20842159999999</v>
      </c>
      <c r="AF51">
        <v>105.8755501</v>
      </c>
      <c r="AG51">
        <v>103.7160581</v>
      </c>
      <c r="AH51">
        <v>97.690877099999994</v>
      </c>
      <c r="AI51">
        <v>98.779047210000002</v>
      </c>
      <c r="AJ51">
        <v>98.904870009999996</v>
      </c>
      <c r="AK51">
        <v>98.527330730000003</v>
      </c>
      <c r="AL51">
        <v>98.021209429999999</v>
      </c>
      <c r="AM51">
        <v>97.431853419999996</v>
      </c>
      <c r="AN51" s="100">
        <v>97.298281250000002</v>
      </c>
      <c r="AO51" s="100">
        <v>97.660842070000001</v>
      </c>
      <c r="AP51" s="100">
        <v>98.360533750000002</v>
      </c>
      <c r="AQ51" s="100">
        <v>99.211626940000002</v>
      </c>
      <c r="AR51" s="100">
        <v>100.169026</v>
      </c>
      <c r="AS51" s="100">
        <v>100.88983930000001</v>
      </c>
      <c r="AT51">
        <v>101.9394435</v>
      </c>
      <c r="AU51">
        <v>103.1503483</v>
      </c>
      <c r="AV51">
        <v>104.4754368</v>
      </c>
      <c r="AW51">
        <v>105.9669794</v>
      </c>
    </row>
    <row r="52" spans="2:49" x14ac:dyDescent="0.25">
      <c r="B52" t="s">
        <v>353</v>
      </c>
      <c r="C52">
        <v>413.74764240035898</v>
      </c>
      <c r="D52">
        <v>420.39049462956399</v>
      </c>
      <c r="E52">
        <v>427.14</v>
      </c>
      <c r="F52">
        <v>434.9696477</v>
      </c>
      <c r="G52">
        <v>441.82298279999998</v>
      </c>
      <c r="H52">
        <v>491.16218509999999</v>
      </c>
      <c r="I52">
        <v>477.62351840000002</v>
      </c>
      <c r="J52">
        <v>469.11603980000001</v>
      </c>
      <c r="K52">
        <v>403.8190639</v>
      </c>
      <c r="L52">
        <v>381.19344899999999</v>
      </c>
      <c r="M52">
        <v>382.40384829999999</v>
      </c>
      <c r="N52">
        <v>358.60693179999998</v>
      </c>
      <c r="O52">
        <v>375.69078039999999</v>
      </c>
      <c r="P52">
        <v>385.80721060000002</v>
      </c>
      <c r="Q52">
        <v>400.48548290000002</v>
      </c>
      <c r="R52">
        <v>405.85389290000001</v>
      </c>
      <c r="S52">
        <v>402.77380390000002</v>
      </c>
      <c r="T52">
        <v>356.52762319999999</v>
      </c>
      <c r="U52">
        <v>385.61902559999999</v>
      </c>
      <c r="V52">
        <v>398.9138322</v>
      </c>
      <c r="W52">
        <v>391.15700440000001</v>
      </c>
      <c r="X52">
        <v>377.13562409999997</v>
      </c>
      <c r="Y52">
        <v>371.46672760000001</v>
      </c>
      <c r="Z52">
        <v>359.8061275</v>
      </c>
      <c r="AA52">
        <v>349.46574429999998</v>
      </c>
      <c r="AB52">
        <v>338.0934876</v>
      </c>
      <c r="AC52">
        <v>325.6633205</v>
      </c>
      <c r="AD52">
        <v>313.46137449999998</v>
      </c>
      <c r="AE52">
        <v>286.87616700000001</v>
      </c>
      <c r="AF52">
        <v>269.93551000000002</v>
      </c>
      <c r="AG52">
        <v>257.12881440000001</v>
      </c>
      <c r="AH52">
        <v>234.71998350000001</v>
      </c>
      <c r="AI52">
        <v>231.87098810000001</v>
      </c>
      <c r="AJ52">
        <v>226.36972729999999</v>
      </c>
      <c r="AK52">
        <v>219.68962999999999</v>
      </c>
      <c r="AL52">
        <v>212.95010429999999</v>
      </c>
      <c r="AM52">
        <v>206.34412280000001</v>
      </c>
      <c r="AN52">
        <v>198.8434321</v>
      </c>
      <c r="AO52" s="100">
        <v>192.7948073</v>
      </c>
      <c r="AP52" s="100">
        <v>187.7859072</v>
      </c>
      <c r="AQ52" s="100">
        <v>183.28762939999999</v>
      </c>
      <c r="AR52" s="100">
        <v>179.13265240000001</v>
      </c>
      <c r="AS52" s="100">
        <v>174.4058957</v>
      </c>
      <c r="AT52">
        <v>170.44686429999999</v>
      </c>
      <c r="AU52">
        <v>166.90179140000001</v>
      </c>
      <c r="AV52">
        <v>163.637396</v>
      </c>
      <c r="AW52">
        <v>160.68729540000001</v>
      </c>
    </row>
    <row r="53" spans="2:49" x14ac:dyDescent="0.25">
      <c r="B53" t="s">
        <v>354</v>
      </c>
      <c r="C53">
        <v>652.80183578723302</v>
      </c>
      <c r="D53">
        <v>663.28278041553403</v>
      </c>
      <c r="E53">
        <v>673.93200000000002</v>
      </c>
      <c r="F53">
        <v>691.41231819999996</v>
      </c>
      <c r="G53">
        <v>682.87670639999999</v>
      </c>
      <c r="H53">
        <v>751.5741673</v>
      </c>
      <c r="I53">
        <v>732.4007087</v>
      </c>
      <c r="J53">
        <v>715.29615709999996</v>
      </c>
      <c r="K53">
        <v>615.24184690000004</v>
      </c>
      <c r="L53">
        <v>580.12031879999995</v>
      </c>
      <c r="M53">
        <v>580.34830869999996</v>
      </c>
      <c r="N53">
        <v>551.01315360000001</v>
      </c>
      <c r="O53">
        <v>577.61966470000004</v>
      </c>
      <c r="P53">
        <v>600.61902550000002</v>
      </c>
      <c r="Q53">
        <v>613.85121979999997</v>
      </c>
      <c r="R53">
        <v>619.37336749999997</v>
      </c>
      <c r="S53">
        <v>598.60826770000006</v>
      </c>
      <c r="T53">
        <v>534.47118450000005</v>
      </c>
      <c r="U53">
        <v>558.11238909999997</v>
      </c>
      <c r="V53">
        <v>567.73178819999998</v>
      </c>
      <c r="W53">
        <v>553.82142009999995</v>
      </c>
      <c r="X53">
        <v>531.10821009999995</v>
      </c>
      <c r="Y53">
        <v>520.82728980000002</v>
      </c>
      <c r="Z53">
        <v>502.3760173</v>
      </c>
      <c r="AA53">
        <v>485.70617279999999</v>
      </c>
      <c r="AB53">
        <v>467.75556519999998</v>
      </c>
      <c r="AC53">
        <v>448.4602524</v>
      </c>
      <c r="AD53">
        <v>429.62471970000001</v>
      </c>
      <c r="AE53">
        <v>390.97240049999999</v>
      </c>
      <c r="AF53">
        <v>366.06123259999998</v>
      </c>
      <c r="AG53">
        <v>347.03524040000002</v>
      </c>
      <c r="AH53">
        <v>314.98247850000001</v>
      </c>
      <c r="AI53">
        <v>309.88806190000003</v>
      </c>
      <c r="AJ53">
        <v>301.10620310000002</v>
      </c>
      <c r="AK53">
        <v>290.72023030000003</v>
      </c>
      <c r="AL53">
        <v>280.30125509999999</v>
      </c>
      <c r="AM53">
        <v>270.1304839</v>
      </c>
      <c r="AN53">
        <v>258.45516450000002</v>
      </c>
      <c r="AO53" s="100">
        <v>248.81106629999999</v>
      </c>
      <c r="AP53" s="100">
        <v>240.64092500000001</v>
      </c>
      <c r="AQ53" s="100">
        <v>233.20909309999999</v>
      </c>
      <c r="AR53" s="100">
        <v>226.28324470000001</v>
      </c>
      <c r="AS53" s="100">
        <v>218.68129920000001</v>
      </c>
      <c r="AT53">
        <v>212.1305285</v>
      </c>
      <c r="AU53">
        <v>206.1694287</v>
      </c>
      <c r="AV53">
        <v>200.6149326</v>
      </c>
      <c r="AW53">
        <v>195.4956722</v>
      </c>
    </row>
    <row r="54" spans="2:49" x14ac:dyDescent="0.25">
      <c r="B54" t="s">
        <v>355</v>
      </c>
      <c r="C54">
        <v>643.60744373389196</v>
      </c>
      <c r="D54">
        <v>653.94076942376603</v>
      </c>
      <c r="E54">
        <v>664.44</v>
      </c>
      <c r="F54">
        <v>683.57332910000002</v>
      </c>
      <c r="G54">
        <v>673.90088460000004</v>
      </c>
      <c r="H54">
        <v>739.91115219999995</v>
      </c>
      <c r="I54">
        <v>721.19857979999995</v>
      </c>
      <c r="J54">
        <v>702.46477900000002</v>
      </c>
      <c r="K54">
        <v>603.66912709999997</v>
      </c>
      <c r="L54">
        <v>569.05444369999998</v>
      </c>
      <c r="M54">
        <v>568.91867909999996</v>
      </c>
      <c r="N54">
        <v>531.93597209999996</v>
      </c>
      <c r="O54">
        <v>558.43873410000003</v>
      </c>
      <c r="P54">
        <v>583.27493070000003</v>
      </c>
      <c r="Q54">
        <v>589.18393079999998</v>
      </c>
      <c r="R54">
        <v>595.76124589999995</v>
      </c>
      <c r="S54">
        <v>563.4232366</v>
      </c>
      <c r="T54">
        <v>515.06818950000002</v>
      </c>
      <c r="U54">
        <v>528.33009270000002</v>
      </c>
      <c r="V54">
        <v>532.820605</v>
      </c>
      <c r="W54">
        <v>518.23568869999997</v>
      </c>
      <c r="X54">
        <v>495.43829249999999</v>
      </c>
      <c r="Y54">
        <v>484.6968516</v>
      </c>
      <c r="Z54">
        <v>466.46564030000002</v>
      </c>
      <c r="AA54">
        <v>449.86494010000001</v>
      </c>
      <c r="AB54">
        <v>432.15795220000001</v>
      </c>
      <c r="AC54">
        <v>413.27290799999997</v>
      </c>
      <c r="AD54">
        <v>394.89006619999998</v>
      </c>
      <c r="AE54">
        <v>358.25303330000003</v>
      </c>
      <c r="AF54">
        <v>334.50721859999999</v>
      </c>
      <c r="AG54">
        <v>316.28307100000001</v>
      </c>
      <c r="AH54">
        <v>286.16408689999997</v>
      </c>
      <c r="AI54">
        <v>280.88939970000001</v>
      </c>
      <c r="AJ54">
        <v>272.20864110000002</v>
      </c>
      <c r="AK54">
        <v>262.0672922</v>
      </c>
      <c r="AL54">
        <v>251.92606140000001</v>
      </c>
      <c r="AM54">
        <v>242.05136949999999</v>
      </c>
      <c r="AN54">
        <v>230.6535839</v>
      </c>
      <c r="AO54" s="100">
        <v>221.1502773</v>
      </c>
      <c r="AP54" s="100">
        <v>213.03263290000001</v>
      </c>
      <c r="AQ54" s="100">
        <v>205.6208594</v>
      </c>
      <c r="AR54" s="100">
        <v>198.7000491</v>
      </c>
      <c r="AS54" s="100">
        <v>191.21421609999999</v>
      </c>
      <c r="AT54">
        <v>184.70336589999999</v>
      </c>
      <c r="AU54">
        <v>178.7549166</v>
      </c>
      <c r="AV54">
        <v>173.2012402</v>
      </c>
      <c r="AW54">
        <v>168.0610155</v>
      </c>
    </row>
    <row r="55" spans="2:49" x14ac:dyDescent="0.25">
      <c r="B55" t="s">
        <v>356</v>
      </c>
      <c r="C55">
        <v>413.74764240035898</v>
      </c>
      <c r="D55">
        <v>420.39049462956399</v>
      </c>
      <c r="E55">
        <v>427.14</v>
      </c>
      <c r="F55">
        <v>442.96372289999999</v>
      </c>
      <c r="G55">
        <v>428.95878279999999</v>
      </c>
      <c r="H55">
        <v>466.64099759999999</v>
      </c>
      <c r="I55">
        <v>455.57811659999999</v>
      </c>
      <c r="J55">
        <v>440.7187922</v>
      </c>
      <c r="K55">
        <v>378.1276987</v>
      </c>
      <c r="L55">
        <v>361.22810149999998</v>
      </c>
      <c r="M55">
        <v>360.29949620000002</v>
      </c>
      <c r="N55">
        <v>328.35249779999998</v>
      </c>
      <c r="O55">
        <v>345.78219200000001</v>
      </c>
      <c r="P55">
        <v>358.81218610000002</v>
      </c>
      <c r="Q55">
        <v>355.88417950000002</v>
      </c>
      <c r="R55">
        <v>352.91837520000001</v>
      </c>
      <c r="S55">
        <v>314.30628539999998</v>
      </c>
      <c r="T55">
        <v>300.1291617</v>
      </c>
      <c r="U55">
        <v>281.98261939999998</v>
      </c>
      <c r="V55">
        <v>276.69487779999997</v>
      </c>
      <c r="W55">
        <v>266.81799119999999</v>
      </c>
      <c r="X55">
        <v>252.81202010000001</v>
      </c>
      <c r="Y55">
        <v>245.5670346</v>
      </c>
      <c r="Z55">
        <v>234.73555500000001</v>
      </c>
      <c r="AA55">
        <v>224.71426750000001</v>
      </c>
      <c r="AB55">
        <v>214.29157499999999</v>
      </c>
      <c r="AC55">
        <v>203.4094102</v>
      </c>
      <c r="AD55">
        <v>192.91727399999999</v>
      </c>
      <c r="AE55">
        <v>173.48070200000001</v>
      </c>
      <c r="AF55">
        <v>160.7412439</v>
      </c>
      <c r="AG55">
        <v>150.87845709999999</v>
      </c>
      <c r="AH55">
        <v>135.33696370000001</v>
      </c>
      <c r="AI55">
        <v>132.0331616</v>
      </c>
      <c r="AJ55">
        <v>127.0647972</v>
      </c>
      <c r="AK55">
        <v>121.42404000000001</v>
      </c>
      <c r="AL55">
        <v>115.8447204</v>
      </c>
      <c r="AM55">
        <v>110.46485079999999</v>
      </c>
      <c r="AN55" s="100">
        <v>104.2454602</v>
      </c>
      <c r="AO55" s="100">
        <v>99.017395969999995</v>
      </c>
      <c r="AP55" s="100">
        <v>94.532642589999995</v>
      </c>
      <c r="AQ55" s="100">
        <v>90.455446249999994</v>
      </c>
      <c r="AR55" s="100">
        <v>86.679045680000002</v>
      </c>
      <c r="AS55" s="100">
        <v>82.729766920000003</v>
      </c>
      <c r="AT55">
        <v>79.292365309999994</v>
      </c>
      <c r="AU55">
        <v>76.1771849</v>
      </c>
      <c r="AV55">
        <v>73.302757760000006</v>
      </c>
      <c r="AW55">
        <v>70.670344779999894</v>
      </c>
    </row>
    <row r="56" spans="2:49" x14ac:dyDescent="0.25">
      <c r="B56" t="s">
        <v>357</v>
      </c>
      <c r="C56">
        <v>137.915880800119</v>
      </c>
      <c r="D56">
        <v>140.13016487652101</v>
      </c>
      <c r="E56">
        <v>142.38</v>
      </c>
      <c r="F56">
        <v>151.33909349999999</v>
      </c>
      <c r="G56">
        <v>138.69163209999999</v>
      </c>
      <c r="H56">
        <v>146.52392570000001</v>
      </c>
      <c r="I56">
        <v>143.7858334</v>
      </c>
      <c r="J56">
        <v>136.07527200000001</v>
      </c>
      <c r="K56">
        <v>116.1345893</v>
      </c>
      <c r="L56">
        <v>107.9163448</v>
      </c>
      <c r="M56">
        <v>106.7281054</v>
      </c>
      <c r="N56">
        <v>93.454703420000001</v>
      </c>
      <c r="O56">
        <v>98.12824569</v>
      </c>
      <c r="P56">
        <v>110.1145027</v>
      </c>
      <c r="Q56">
        <v>105.8532251</v>
      </c>
      <c r="R56">
        <v>101.6257706</v>
      </c>
      <c r="S56">
        <v>80.635424860000001</v>
      </c>
      <c r="T56">
        <v>52.652678829999999</v>
      </c>
      <c r="U56">
        <v>38.602101679999997</v>
      </c>
      <c r="V56">
        <v>33.586214890000001</v>
      </c>
      <c r="W56">
        <v>31.155520469999999</v>
      </c>
      <c r="X56">
        <v>28.33871701</v>
      </c>
      <c r="Y56">
        <v>26.639406869999998</v>
      </c>
      <c r="Z56">
        <v>24.68105869</v>
      </c>
      <c r="AA56">
        <v>22.829575080000001</v>
      </c>
      <c r="AB56">
        <v>21.03566146</v>
      </c>
      <c r="AC56">
        <v>19.279546839999998</v>
      </c>
      <c r="AD56">
        <v>17.648785700000001</v>
      </c>
      <c r="AE56">
        <v>15.215444850000001</v>
      </c>
      <c r="AF56">
        <v>13.58558749</v>
      </c>
      <c r="AG56">
        <v>12.30862027</v>
      </c>
      <c r="AH56">
        <v>10.586498840000001</v>
      </c>
      <c r="AI56">
        <v>10.02277642</v>
      </c>
      <c r="AJ56">
        <v>9.3208232849999995</v>
      </c>
      <c r="AK56">
        <v>8.5862599809999995</v>
      </c>
      <c r="AL56">
        <v>7.8909676620000004</v>
      </c>
      <c r="AM56" s="100">
        <v>7.2481306170000002</v>
      </c>
      <c r="AN56" s="100">
        <v>6.5161947040000001</v>
      </c>
      <c r="AO56" s="100">
        <v>5.9058841270000002</v>
      </c>
      <c r="AP56" s="100">
        <v>5.3915701589999996</v>
      </c>
      <c r="AQ56" s="100">
        <v>4.9405426329999997</v>
      </c>
      <c r="AR56" s="100">
        <v>4.5406436799999996</v>
      </c>
      <c r="AS56">
        <v>4.1603401839999998</v>
      </c>
      <c r="AT56">
        <v>3.8373094220000001</v>
      </c>
      <c r="AU56">
        <v>3.5567690409999999</v>
      </c>
      <c r="AV56">
        <v>3.3104310209999999</v>
      </c>
      <c r="AW56">
        <v>3.0949689149999999</v>
      </c>
    </row>
    <row r="57" spans="2:49" x14ac:dyDescent="0.25">
      <c r="B57" t="s">
        <v>358</v>
      </c>
      <c r="C57">
        <v>34.478970200029899</v>
      </c>
      <c r="D57">
        <v>35.032541219130302</v>
      </c>
      <c r="E57">
        <v>35.594999999999999</v>
      </c>
      <c r="F57">
        <v>40.193883040000003</v>
      </c>
      <c r="G57">
        <v>32.208110660000003</v>
      </c>
      <c r="H57" s="100">
        <v>32.911164579999998</v>
      </c>
      <c r="I57">
        <v>32.004782050000003</v>
      </c>
      <c r="J57">
        <v>27.3939229</v>
      </c>
      <c r="K57">
        <v>22.296587379999998</v>
      </c>
      <c r="L57">
        <v>17.31639088</v>
      </c>
      <c r="M57">
        <v>16.888386529999998</v>
      </c>
      <c r="N57">
        <v>18.643987039999999</v>
      </c>
      <c r="O57">
        <v>19.046834230000002</v>
      </c>
      <c r="P57">
        <v>25.121588119999998</v>
      </c>
      <c r="Q57">
        <v>21.106476839999999</v>
      </c>
      <c r="R57">
        <v>17.049234670000001</v>
      </c>
      <c r="S57">
        <v>11.028619320000001</v>
      </c>
      <c r="T57">
        <v>3.7316537489999999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100">
        <v>0</v>
      </c>
      <c r="AM57" s="100">
        <v>0</v>
      </c>
      <c r="AN57" s="100">
        <v>0</v>
      </c>
      <c r="AO57" s="100">
        <v>0</v>
      </c>
      <c r="AP57" s="100">
        <v>0</v>
      </c>
      <c r="AQ57" s="100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</row>
    <row r="58" spans="2:49" x14ac:dyDescent="0.25">
      <c r="B58" t="s">
        <v>359</v>
      </c>
      <c r="C58" s="100">
        <v>1.1492990066676601</v>
      </c>
      <c r="D58" s="100">
        <v>1.1677513739710099</v>
      </c>
      <c r="E58" s="100">
        <v>1.1865000000000001</v>
      </c>
      <c r="F58" s="100">
        <v>2.2255956530000001</v>
      </c>
      <c r="G58" s="100">
        <v>4.0463827349999999</v>
      </c>
      <c r="H58" s="100">
        <v>6.7635844599999997</v>
      </c>
      <c r="I58">
        <v>9.5754138409999996</v>
      </c>
      <c r="J58">
        <v>13.281450619999999</v>
      </c>
      <c r="K58" s="100">
        <v>16.167979119999998</v>
      </c>
      <c r="L58" s="100">
        <v>20.84896281</v>
      </c>
      <c r="M58">
        <v>27.804745109999999</v>
      </c>
      <c r="N58">
        <v>34.049899770000003</v>
      </c>
      <c r="O58">
        <v>46.608309159999997</v>
      </c>
      <c r="P58">
        <v>63.23264425</v>
      </c>
      <c r="Q58">
        <v>83.734285819999997</v>
      </c>
      <c r="R58">
        <v>108.71535129999999</v>
      </c>
      <c r="S58">
        <v>133.1037312</v>
      </c>
      <c r="T58">
        <v>151.75814170000001</v>
      </c>
      <c r="U58">
        <v>198.63044970000001</v>
      </c>
      <c r="V58">
        <v>253.97453949999999</v>
      </c>
      <c r="W58">
        <v>308.56877279999998</v>
      </c>
      <c r="X58">
        <v>364.8870665</v>
      </c>
      <c r="Y58">
        <v>435.86538569999999</v>
      </c>
      <c r="Z58">
        <v>505.99971249999999</v>
      </c>
      <c r="AA58">
        <v>581.53598420000003</v>
      </c>
      <c r="AB58">
        <v>657.44526729999995</v>
      </c>
      <c r="AC58">
        <v>730.90918069999998</v>
      </c>
      <c r="AD58">
        <v>802.42783259999999</v>
      </c>
      <c r="AE58">
        <v>827.75007110000001</v>
      </c>
      <c r="AF58">
        <v>869.47337489999995</v>
      </c>
      <c r="AG58">
        <v>916.13495350000005</v>
      </c>
      <c r="AH58">
        <v>916.60832140000002</v>
      </c>
      <c r="AI58">
        <v>986.21869470000001</v>
      </c>
      <c r="AJ58">
        <v>1041.063283</v>
      </c>
      <c r="AK58">
        <v>1085.5215969999999</v>
      </c>
      <c r="AL58">
        <v>1124.2793360000001</v>
      </c>
      <c r="AM58">
        <v>1158.3232370000001</v>
      </c>
      <c r="AN58">
        <v>1180.8941600000001</v>
      </c>
      <c r="AO58">
        <v>1206.8203619999999</v>
      </c>
      <c r="AP58">
        <v>1234.8952280000001</v>
      </c>
      <c r="AQ58">
        <v>1262.425127</v>
      </c>
      <c r="AR58">
        <v>1288.755332</v>
      </c>
      <c r="AS58">
        <v>1307.5465879999999</v>
      </c>
      <c r="AT58">
        <v>1328.774543</v>
      </c>
      <c r="AU58">
        <v>1350.3509340000001</v>
      </c>
      <c r="AV58">
        <v>1371.588113</v>
      </c>
      <c r="AW58">
        <v>1393.1050580000001</v>
      </c>
    </row>
    <row r="59" spans="2:49" x14ac:dyDescent="0.25">
      <c r="B59" t="s">
        <v>360</v>
      </c>
      <c r="C59" s="100">
        <v>3.4228836395600501E-3</v>
      </c>
      <c r="D59" s="100">
        <v>3.4778391435562701E-3</v>
      </c>
      <c r="E59" s="100">
        <v>3.5336769799999999E-3</v>
      </c>
      <c r="F59" s="100">
        <v>4.3935215499999996E-3</v>
      </c>
      <c r="G59" s="100">
        <v>9.8556254399999998E-3</v>
      </c>
      <c r="H59" s="100">
        <v>3.4994797199999997E-2</v>
      </c>
      <c r="I59" s="100">
        <v>5.4354143000000001E-2</v>
      </c>
      <c r="J59" s="100">
        <v>8.0925379800000002E-2</v>
      </c>
      <c r="K59" s="100">
        <v>9.69477282E-2</v>
      </c>
      <c r="L59" s="100">
        <v>0.13609568899999999</v>
      </c>
      <c r="M59">
        <v>0.22434760309999999</v>
      </c>
      <c r="N59">
        <v>0.30608423759999998</v>
      </c>
      <c r="O59">
        <v>0.4527600644</v>
      </c>
      <c r="P59">
        <v>0.18633325549999999</v>
      </c>
      <c r="Q59">
        <v>0.3526436986</v>
      </c>
      <c r="R59">
        <v>0.6688869999</v>
      </c>
      <c r="S59">
        <v>1.137532762</v>
      </c>
      <c r="T59">
        <v>1.738965632</v>
      </c>
      <c r="U59">
        <v>4.4634832370000002</v>
      </c>
      <c r="V59">
        <v>7.5192409219999998</v>
      </c>
      <c r="W59">
        <v>9.7869148110000008</v>
      </c>
      <c r="X59">
        <v>12.363575669999999</v>
      </c>
      <c r="Y59">
        <v>15.598119390000001</v>
      </c>
      <c r="Z59">
        <v>19.139137089999998</v>
      </c>
      <c r="AA59">
        <v>23.150363309999999</v>
      </c>
      <c r="AB59">
        <v>27.492070080000001</v>
      </c>
      <c r="AC59">
        <v>32.067141880000001</v>
      </c>
      <c r="AD59">
        <v>36.881368930000001</v>
      </c>
      <c r="AE59">
        <v>40.120962720000001</v>
      </c>
      <c r="AF59">
        <v>44.065333600000002</v>
      </c>
      <c r="AG59">
        <v>48.389717910000002</v>
      </c>
      <c r="AH59">
        <v>50.779323060000003</v>
      </c>
      <c r="AI59">
        <v>56.443422390000002</v>
      </c>
      <c r="AJ59">
        <v>61.819610650000001</v>
      </c>
      <c r="AK59">
        <v>66.986003800000006</v>
      </c>
      <c r="AL59">
        <v>72.099253169999997</v>
      </c>
      <c r="AM59">
        <v>77.168610700000002</v>
      </c>
      <c r="AN59">
        <v>82.56150375</v>
      </c>
      <c r="AO59">
        <v>88.341524430000007</v>
      </c>
      <c r="AP59">
        <v>94.468714199999994</v>
      </c>
      <c r="AQ59">
        <v>100.8031543</v>
      </c>
      <c r="AR59">
        <v>107.3028857</v>
      </c>
      <c r="AS59">
        <v>113.4961527</v>
      </c>
      <c r="AT59">
        <v>120.06706200000001</v>
      </c>
      <c r="AU59">
        <v>126.8960216</v>
      </c>
      <c r="AV59">
        <v>133.9397232</v>
      </c>
      <c r="AW59">
        <v>141.27297060000001</v>
      </c>
    </row>
    <row r="60" spans="2:49" x14ac:dyDescent="0.25">
      <c r="B60" t="s">
        <v>361</v>
      </c>
      <c r="C60" s="100">
        <v>7.8463024968376607E-3</v>
      </c>
      <c r="D60" s="100">
        <v>7.9722774213828399E-3</v>
      </c>
      <c r="E60" s="100">
        <v>8.10027491E-3</v>
      </c>
      <c r="F60" s="100">
        <v>1.36514549E-2</v>
      </c>
      <c r="G60" s="100">
        <v>2.6110447500000002E-2</v>
      </c>
      <c r="H60" s="100">
        <v>5.6369057200000003E-2</v>
      </c>
      <c r="I60" s="100">
        <v>8.3089594099999997E-2</v>
      </c>
      <c r="J60" s="100">
        <v>0.1190222388</v>
      </c>
      <c r="K60" s="100">
        <v>0.14382297299999999</v>
      </c>
      <c r="L60" s="100">
        <v>0.19300790879999999</v>
      </c>
      <c r="M60">
        <v>0.28629264049999997</v>
      </c>
      <c r="N60">
        <v>0.37165186620000001</v>
      </c>
      <c r="O60">
        <v>0.53134933949999996</v>
      </c>
      <c r="P60">
        <v>0.43032103170000002</v>
      </c>
      <c r="Q60">
        <v>0.64265867880000005</v>
      </c>
      <c r="R60">
        <v>0.97866654099999995</v>
      </c>
      <c r="S60">
        <v>1.4132379310000001</v>
      </c>
      <c r="T60">
        <v>1.9065568129999999</v>
      </c>
      <c r="U60">
        <v>3.9170647189999999</v>
      </c>
      <c r="V60">
        <v>6.1419740489999999</v>
      </c>
      <c r="W60">
        <v>7.8613183700000002</v>
      </c>
      <c r="X60">
        <v>9.7756274300000001</v>
      </c>
      <c r="Y60">
        <v>12.17565433</v>
      </c>
      <c r="Z60">
        <v>14.74857928</v>
      </c>
      <c r="AA60">
        <v>17.630514179999999</v>
      </c>
      <c r="AB60">
        <v>20.70213511</v>
      </c>
      <c r="AC60">
        <v>23.88368651</v>
      </c>
      <c r="AD60">
        <v>27.178886210000002</v>
      </c>
      <c r="AE60">
        <v>29.20881451</v>
      </c>
      <c r="AF60">
        <v>31.753026930000001</v>
      </c>
      <c r="AG60">
        <v>34.53714695</v>
      </c>
      <c r="AH60">
        <v>35.841450590000001</v>
      </c>
      <c r="AI60">
        <v>39.53477642</v>
      </c>
      <c r="AJ60">
        <v>42.922010350000001</v>
      </c>
      <c r="AK60">
        <v>46.079948510000001</v>
      </c>
      <c r="AL60">
        <v>49.132683489999998</v>
      </c>
      <c r="AM60">
        <v>52.09121742</v>
      </c>
      <c r="AN60">
        <v>55.053405159999997</v>
      </c>
      <c r="AO60">
        <v>58.207918880000001</v>
      </c>
      <c r="AP60">
        <v>61.51752742</v>
      </c>
      <c r="AQ60">
        <v>64.87578019</v>
      </c>
      <c r="AR60">
        <v>68.248725399999998</v>
      </c>
      <c r="AS60">
        <v>71.319826059999997</v>
      </c>
      <c r="AT60">
        <v>74.546055069999994</v>
      </c>
      <c r="AU60">
        <v>77.836485929999995</v>
      </c>
      <c r="AV60">
        <v>81.15530656</v>
      </c>
      <c r="AW60">
        <v>84.539220650000004</v>
      </c>
    </row>
    <row r="61" spans="2:49" x14ac:dyDescent="0.25">
      <c r="B61" t="s">
        <v>362</v>
      </c>
      <c r="C61" s="100">
        <v>3.2122446463563603E-2</v>
      </c>
      <c r="D61" s="100">
        <v>3.2638182731835802E-2</v>
      </c>
      <c r="E61" s="100">
        <v>3.31621993E-2</v>
      </c>
      <c r="F61" s="100">
        <v>6.1544270599999999E-2</v>
      </c>
      <c r="G61" s="100">
        <v>0.1124485087</v>
      </c>
      <c r="H61" s="100">
        <v>0.19331724049999999</v>
      </c>
      <c r="I61" s="100">
        <v>0.2750408768</v>
      </c>
      <c r="J61" s="100">
        <v>0.38303957150000001</v>
      </c>
      <c r="K61" s="100">
        <v>0.46585090550000002</v>
      </c>
      <c r="L61" s="100">
        <v>0.60380423699999997</v>
      </c>
      <c r="M61">
        <v>0.81596532519999998</v>
      </c>
      <c r="N61">
        <v>1.0069859329999999</v>
      </c>
      <c r="O61">
        <v>1.3866104189999999</v>
      </c>
      <c r="P61">
        <v>1.7667440619999999</v>
      </c>
      <c r="Q61">
        <v>2.3703134540000002</v>
      </c>
      <c r="R61">
        <v>3.1371744320000001</v>
      </c>
      <c r="S61">
        <v>3.9218732439999999</v>
      </c>
      <c r="T61">
        <v>4.5777995159999998</v>
      </c>
      <c r="U61">
        <v>6.447112003</v>
      </c>
      <c r="V61">
        <v>8.5435604549999997</v>
      </c>
      <c r="W61">
        <v>10.47369121</v>
      </c>
      <c r="X61">
        <v>12.49086563</v>
      </c>
      <c r="Y61">
        <v>15.023389699999999</v>
      </c>
      <c r="Z61" s="100">
        <v>17.558881660000001</v>
      </c>
      <c r="AA61">
        <v>20.301253519999999</v>
      </c>
      <c r="AB61">
        <v>23.077273989999998</v>
      </c>
      <c r="AC61">
        <v>25.785027070000002</v>
      </c>
      <c r="AD61">
        <v>28.43556572</v>
      </c>
      <c r="AE61">
        <v>29.468238039999999</v>
      </c>
      <c r="AF61">
        <v>31.057563250000001</v>
      </c>
      <c r="AG61">
        <v>32.810307039999998</v>
      </c>
      <c r="AH61">
        <v>32.904969459999997</v>
      </c>
      <c r="AI61">
        <v>35.444751590000003</v>
      </c>
      <c r="AJ61">
        <v>37.445846459999999</v>
      </c>
      <c r="AK61">
        <v>39.052811050000003</v>
      </c>
      <c r="AL61">
        <v>40.426112529999997</v>
      </c>
      <c r="AM61">
        <v>41.595797599999997</v>
      </c>
      <c r="AN61">
        <v>42.28248455</v>
      </c>
      <c r="AO61">
        <v>43.026563379999999</v>
      </c>
      <c r="AP61">
        <v>43.779810509999997</v>
      </c>
      <c r="AQ61">
        <v>44.438089820000002</v>
      </c>
      <c r="AR61">
        <v>44.971586340000002</v>
      </c>
      <c r="AS61">
        <v>45.14641134</v>
      </c>
      <c r="AT61">
        <v>45.319765009999998</v>
      </c>
      <c r="AU61">
        <v>45.408475119999999</v>
      </c>
      <c r="AV61">
        <v>45.38141864</v>
      </c>
      <c r="AW61">
        <v>45.251286810000003</v>
      </c>
    </row>
    <row r="62" spans="2:49" x14ac:dyDescent="0.25">
      <c r="B62" t="s">
        <v>363</v>
      </c>
      <c r="C62" s="100">
        <v>0.75461419315223899</v>
      </c>
      <c r="D62" s="100">
        <v>0.76672976811017601</v>
      </c>
      <c r="E62" s="100">
        <v>0.77903986250000001</v>
      </c>
      <c r="F62" s="100">
        <v>1.4612825009999999</v>
      </c>
      <c r="G62" s="100">
        <v>2.6567896059999998</v>
      </c>
      <c r="H62" s="100">
        <v>4.4408425329999996</v>
      </c>
      <c r="I62">
        <v>6.2869911790000002</v>
      </c>
      <c r="J62">
        <v>8.7202216700000008</v>
      </c>
      <c r="K62" s="100">
        <v>10.61545394</v>
      </c>
      <c r="L62" s="100">
        <v>13.688706099999999</v>
      </c>
      <c r="M62">
        <v>18.23097769</v>
      </c>
      <c r="N62">
        <v>22.309738230000001</v>
      </c>
      <c r="O62">
        <v>30.52074013</v>
      </c>
      <c r="P62">
        <v>41.517692609999997</v>
      </c>
      <c r="Q62">
        <v>54.978814739999997</v>
      </c>
      <c r="R62">
        <v>71.379313710000005</v>
      </c>
      <c r="S62">
        <v>87.240749809999997</v>
      </c>
      <c r="T62">
        <v>99.239835709999994</v>
      </c>
      <c r="U62">
        <v>128.7367898</v>
      </c>
      <c r="V62">
        <v>163.62358230000001</v>
      </c>
      <c r="W62">
        <v>198.438468</v>
      </c>
      <c r="X62">
        <v>234.22029610000001</v>
      </c>
      <c r="Y62">
        <v>279.32137460000001</v>
      </c>
      <c r="Z62">
        <v>323.69261110000002</v>
      </c>
      <c r="AA62">
        <v>371.36896689999998</v>
      </c>
      <c r="AB62">
        <v>419.10439109999999</v>
      </c>
      <c r="AC62">
        <v>465.08968429999999</v>
      </c>
      <c r="AD62">
        <v>509.65127949999999</v>
      </c>
      <c r="AE62">
        <v>524.55781049999996</v>
      </c>
      <c r="AF62">
        <v>549.90542230000005</v>
      </c>
      <c r="AG62">
        <v>578.29935699999999</v>
      </c>
      <c r="AH62">
        <v>577.24584670000002</v>
      </c>
      <c r="AI62">
        <v>620.0475735</v>
      </c>
      <c r="AJ62">
        <v>653.24400260000004</v>
      </c>
      <c r="AK62">
        <v>679.68671389999997</v>
      </c>
      <c r="AL62">
        <v>702.38538000000005</v>
      </c>
      <c r="AM62">
        <v>721.98744859999999</v>
      </c>
      <c r="AN62">
        <v>733.80666510000003</v>
      </c>
      <c r="AO62">
        <v>747.61949879999997</v>
      </c>
      <c r="AP62">
        <v>762.65125590000002</v>
      </c>
      <c r="AQ62">
        <v>777.20087060000003</v>
      </c>
      <c r="AR62">
        <v>790.86018239999999</v>
      </c>
      <c r="AS62">
        <v>799.70758560000002</v>
      </c>
      <c r="AT62">
        <v>809.95090830000004</v>
      </c>
      <c r="AU62">
        <v>820.27849979999996</v>
      </c>
      <c r="AV62">
        <v>830.26176710000004</v>
      </c>
      <c r="AW62">
        <v>840.2687353</v>
      </c>
    </row>
    <row r="63" spans="2:49" x14ac:dyDescent="0.25">
      <c r="B63" t="s">
        <v>364</v>
      </c>
      <c r="C63" s="100">
        <v>0.29742225840361802</v>
      </c>
      <c r="D63" s="100">
        <v>0.302197468966243</v>
      </c>
      <c r="E63" s="100">
        <v>0.30704934709999998</v>
      </c>
      <c r="F63" s="100">
        <v>0.57715336880000001</v>
      </c>
      <c r="G63" s="100">
        <v>1.0483274300000001</v>
      </c>
      <c r="H63" s="100">
        <v>1.742276143</v>
      </c>
      <c r="I63" s="100">
        <v>2.4639712560000002</v>
      </c>
      <c r="J63" s="100">
        <v>3.414595415</v>
      </c>
      <c r="K63" s="100">
        <v>4.1575635310000001</v>
      </c>
      <c r="L63" s="100">
        <v>5.3552061740000001</v>
      </c>
      <c r="M63">
        <v>7.1088432170000004</v>
      </c>
      <c r="N63">
        <v>8.6821692590000001</v>
      </c>
      <c r="O63">
        <v>11.859137649999999</v>
      </c>
      <c r="P63">
        <v>16.364781270000002</v>
      </c>
      <c r="Q63">
        <v>21.613447050000001</v>
      </c>
      <c r="R63">
        <v>27.94664092</v>
      </c>
      <c r="S63">
        <v>33.983271029999997</v>
      </c>
      <c r="T63">
        <v>38.415753129999999</v>
      </c>
      <c r="U63">
        <v>48.635793560000003</v>
      </c>
      <c r="V63">
        <v>60.820746239999998</v>
      </c>
      <c r="W63">
        <v>73.404426470000004</v>
      </c>
      <c r="X63">
        <v>86.207718920000005</v>
      </c>
      <c r="Y63">
        <v>102.3546072</v>
      </c>
      <c r="Z63">
        <v>118.0524156</v>
      </c>
      <c r="AA63">
        <v>134.81375729999999</v>
      </c>
      <c r="AB63">
        <v>151.42886089999999</v>
      </c>
      <c r="AC63">
        <v>167.2347355</v>
      </c>
      <c r="AD63">
        <v>182.35966959999999</v>
      </c>
      <c r="AE63">
        <v>186.58799680000001</v>
      </c>
      <c r="AF63">
        <v>194.58742459999999</v>
      </c>
      <c r="AG63">
        <v>203.60505409999999</v>
      </c>
      <c r="AH63">
        <v>202.0016474</v>
      </c>
      <c r="AI63">
        <v>216.04464960000001</v>
      </c>
      <c r="AJ63">
        <v>226.46318099999999</v>
      </c>
      <c r="AK63">
        <v>234.34567250000001</v>
      </c>
      <c r="AL63">
        <v>240.80247510000001</v>
      </c>
      <c r="AM63">
        <v>246.0872013</v>
      </c>
      <c r="AN63">
        <v>248.2096999</v>
      </c>
      <c r="AO63">
        <v>250.9713883</v>
      </c>
      <c r="AP63">
        <v>254.09321439999999</v>
      </c>
      <c r="AQ63">
        <v>256.98283939999999</v>
      </c>
      <c r="AR63">
        <v>259.50760500000001</v>
      </c>
      <c r="AS63">
        <v>260.36409329999998</v>
      </c>
      <c r="AT63">
        <v>261.6619991</v>
      </c>
      <c r="AU63">
        <v>262.95386810000002</v>
      </c>
      <c r="AV63">
        <v>264.10101830000002</v>
      </c>
      <c r="AW63">
        <v>265.22310520000002</v>
      </c>
    </row>
    <row r="64" spans="2:49" x14ac:dyDescent="0.25">
      <c r="B64" t="s">
        <v>365</v>
      </c>
      <c r="C64" s="100">
        <v>4.0548006191711396E-3</v>
      </c>
      <c r="D64">
        <v>4.1199017546743504E-3</v>
      </c>
      <c r="E64">
        <v>4.1860481099999999E-3</v>
      </c>
      <c r="F64">
        <v>9.5647455199999905E-3</v>
      </c>
      <c r="G64">
        <v>1.59560303E-2</v>
      </c>
      <c r="H64" s="100">
        <v>1.2593991699999999E-2</v>
      </c>
      <c r="I64">
        <v>1.42105945E-2</v>
      </c>
      <c r="J64">
        <v>1.55597433E-2</v>
      </c>
      <c r="K64">
        <v>2.0114474E-2</v>
      </c>
      <c r="L64">
        <v>1.7648274700000001E-2</v>
      </c>
      <c r="M64">
        <v>2.7768466200000001E-2</v>
      </c>
      <c r="N64">
        <v>3.3982260200000003E-2</v>
      </c>
      <c r="O64" s="100">
        <v>4.64908458E-2</v>
      </c>
      <c r="P64">
        <v>0.2246081526</v>
      </c>
      <c r="Q64" s="100">
        <v>0.2168310862</v>
      </c>
      <c r="R64" s="100">
        <v>0.12251746920000001</v>
      </c>
      <c r="S64" s="100">
        <v>0.1328830446</v>
      </c>
      <c r="T64">
        <v>0.1511823883</v>
      </c>
      <c r="U64">
        <v>0.19635342629999999</v>
      </c>
      <c r="V64">
        <v>0.24989126750000001</v>
      </c>
      <c r="W64">
        <v>0.3032036635</v>
      </c>
      <c r="X64">
        <v>0.35806210389999998</v>
      </c>
      <c r="Y64">
        <v>0.42721814800000002</v>
      </c>
      <c r="Z64">
        <v>0.49535801569999999</v>
      </c>
      <c r="AA64">
        <v>0.56864429859999999</v>
      </c>
      <c r="AB64">
        <v>0.64212990380000001</v>
      </c>
      <c r="AC64">
        <v>0.71305666440000004</v>
      </c>
      <c r="AD64">
        <v>0.78192786290000005</v>
      </c>
      <c r="AE64">
        <v>0.80551622460000005</v>
      </c>
      <c r="AF64">
        <v>0.84513903319999995</v>
      </c>
      <c r="AG64">
        <v>0.88952081859999999</v>
      </c>
      <c r="AH64">
        <v>0.88883796800000003</v>
      </c>
      <c r="AI64">
        <v>0.95548922300000005</v>
      </c>
      <c r="AJ64">
        <v>1.0075986180000001</v>
      </c>
      <c r="AK64">
        <v>1.0495015590000001</v>
      </c>
      <c r="AL64">
        <v>1.0857969590000001</v>
      </c>
      <c r="AM64">
        <v>1.1174684079999999</v>
      </c>
      <c r="AN64">
        <v>1.1376795799999999</v>
      </c>
      <c r="AO64">
        <v>1.1611339789999999</v>
      </c>
      <c r="AP64">
        <v>1.1866554309999999</v>
      </c>
      <c r="AQ64">
        <v>1.2116365929999999</v>
      </c>
      <c r="AR64">
        <v>1.235452309</v>
      </c>
      <c r="AS64">
        <v>1.252015645</v>
      </c>
      <c r="AT64">
        <v>1.2709421750000001</v>
      </c>
      <c r="AU64">
        <v>1.290217658</v>
      </c>
      <c r="AV64">
        <v>1.309184194</v>
      </c>
      <c r="AW64">
        <v>1.328434278</v>
      </c>
    </row>
    <row r="65" spans="2:49" x14ac:dyDescent="0.25">
      <c r="B65" t="s">
        <v>366</v>
      </c>
      <c r="C65" s="100">
        <v>4.9816121892674002E-2</v>
      </c>
      <c r="D65" s="100">
        <v>5.0615935843142099E-2</v>
      </c>
      <c r="E65" s="100">
        <v>5.1428591099999997E-2</v>
      </c>
      <c r="F65" s="100">
        <v>9.8005790800000006E-2</v>
      </c>
      <c r="G65" s="100">
        <v>0.17689508649999999</v>
      </c>
      <c r="H65" s="100">
        <v>0.28319069629999999</v>
      </c>
      <c r="I65" s="100">
        <v>0.39775619820000002</v>
      </c>
      <c r="J65" s="100">
        <v>0.54808659719999997</v>
      </c>
      <c r="K65" s="100">
        <v>0.66822557699999996</v>
      </c>
      <c r="L65" s="100">
        <v>0.85449442320000002</v>
      </c>
      <c r="M65" s="100">
        <v>1.1105501680000001</v>
      </c>
      <c r="N65" s="100">
        <v>1.3392879870000001</v>
      </c>
      <c r="O65" s="100">
        <v>1.811220716</v>
      </c>
      <c r="P65" s="100">
        <v>2.7421638759999998</v>
      </c>
      <c r="Q65" s="100">
        <v>3.5595771049999998</v>
      </c>
      <c r="R65" s="100">
        <v>4.4821511970000003</v>
      </c>
      <c r="S65" s="100">
        <v>5.27418341</v>
      </c>
      <c r="T65" s="100">
        <v>5.7280485069999996</v>
      </c>
      <c r="U65" s="100">
        <v>6.2338529730000003</v>
      </c>
      <c r="V65" s="100">
        <v>7.0755443060000003</v>
      </c>
      <c r="W65" s="100">
        <v>8.3007503119999999</v>
      </c>
      <c r="X65" s="100">
        <v>9.4709206730000002</v>
      </c>
      <c r="Y65" s="100">
        <v>10.96502239</v>
      </c>
      <c r="Z65" s="100">
        <v>12.3127298</v>
      </c>
      <c r="AA65" s="100">
        <v>13.70248464</v>
      </c>
      <c r="AB65" s="100">
        <v>14.998406259999999</v>
      </c>
      <c r="AC65" s="100">
        <v>16.135848750000001</v>
      </c>
      <c r="AD65" s="100">
        <v>17.139134779999999</v>
      </c>
      <c r="AE65" s="100">
        <v>17.00073222</v>
      </c>
      <c r="AF65" s="100">
        <v>17.25946519</v>
      </c>
      <c r="AG65" s="100">
        <v>17.60384968</v>
      </c>
      <c r="AH65" s="100">
        <v>16.946246179999999</v>
      </c>
      <c r="AI65" s="100">
        <v>17.74803198</v>
      </c>
      <c r="AJ65" s="100">
        <v>18.1610333</v>
      </c>
      <c r="AK65" s="100">
        <v>18.320945399999999</v>
      </c>
      <c r="AL65" s="100">
        <v>18.347635260000001</v>
      </c>
      <c r="AM65" s="100">
        <v>18.275492660000001</v>
      </c>
      <c r="AN65" s="100">
        <v>17.842722259999999</v>
      </c>
      <c r="AO65" s="100">
        <v>17.49233431</v>
      </c>
      <c r="AP65" s="100">
        <v>17.198049869999998</v>
      </c>
      <c r="AQ65" s="100">
        <v>16.912756300000002</v>
      </c>
      <c r="AR65" s="100">
        <v>16.62889521</v>
      </c>
      <c r="AS65" s="100">
        <v>16.260503709999998</v>
      </c>
      <c r="AT65" s="100">
        <v>15.95781173</v>
      </c>
      <c r="AU65" s="100">
        <v>15.6873658</v>
      </c>
      <c r="AV65" s="100">
        <v>15.43969469</v>
      </c>
      <c r="AW65">
        <v>15.221304959999999</v>
      </c>
    </row>
    <row r="66" spans="2:49" x14ac:dyDescent="0.25">
      <c r="B66" t="s">
        <v>367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</row>
    <row r="67" spans="2:49" x14ac:dyDescent="0.25">
      <c r="B67" t="s">
        <v>368</v>
      </c>
      <c r="C67">
        <v>5.2121797950038999</v>
      </c>
      <c r="D67">
        <v>5.29586302754001</v>
      </c>
      <c r="E67">
        <v>5.3808898210000002</v>
      </c>
      <c r="F67">
        <v>5.4363923239999998</v>
      </c>
      <c r="G67">
        <v>4.4807745370000003</v>
      </c>
      <c r="H67">
        <v>3.8835953650000001</v>
      </c>
      <c r="I67">
        <v>3.7570852800000001</v>
      </c>
      <c r="J67">
        <v>3.5804196199999998</v>
      </c>
      <c r="K67">
        <v>3.4524347660000001</v>
      </c>
      <c r="L67">
        <v>3.7044209709999998</v>
      </c>
      <c r="M67">
        <v>3.8115639890000002</v>
      </c>
      <c r="N67">
        <v>3.884387239</v>
      </c>
      <c r="O67">
        <v>2.9770212169999999</v>
      </c>
      <c r="P67">
        <v>2.457861785</v>
      </c>
      <c r="Q67">
        <v>2.1273070679999999</v>
      </c>
      <c r="R67">
        <v>1.917491949</v>
      </c>
      <c r="S67">
        <v>1.736578629</v>
      </c>
      <c r="T67">
        <v>1.7207908240000001</v>
      </c>
      <c r="U67">
        <v>1.6954696490000001</v>
      </c>
      <c r="V67">
        <v>1.6916691930000001</v>
      </c>
      <c r="W67">
        <v>1.6676885619999999</v>
      </c>
      <c r="X67">
        <v>1.626260781</v>
      </c>
      <c r="Y67">
        <v>1.62776532</v>
      </c>
      <c r="Z67">
        <v>1.6509527319999999</v>
      </c>
      <c r="AA67">
        <v>1.6793196379999999</v>
      </c>
      <c r="AB67">
        <v>1.7099570289999999</v>
      </c>
      <c r="AC67">
        <v>1.7435799540000001</v>
      </c>
      <c r="AD67">
        <v>1.7489239780000001</v>
      </c>
      <c r="AE67">
        <v>1.756931072</v>
      </c>
      <c r="AF67">
        <v>1.7672787990000001</v>
      </c>
      <c r="AG67">
        <v>1.778944372</v>
      </c>
      <c r="AH67">
        <v>1.792081783</v>
      </c>
      <c r="AI67">
        <v>1.8084529620000001</v>
      </c>
      <c r="AJ67">
        <v>1.824827682</v>
      </c>
      <c r="AK67">
        <v>1.8421606210000001</v>
      </c>
      <c r="AL67">
        <v>1.859990826</v>
      </c>
      <c r="AM67">
        <v>1.8777215460000001</v>
      </c>
      <c r="AN67">
        <v>1.870128188</v>
      </c>
      <c r="AO67">
        <v>1.859232657</v>
      </c>
      <c r="AP67">
        <v>1.845710121</v>
      </c>
      <c r="AQ67">
        <v>1.830786453</v>
      </c>
      <c r="AR67">
        <v>1.8134828300000001</v>
      </c>
      <c r="AS67">
        <v>1.811347657</v>
      </c>
      <c r="AT67">
        <v>1.811053926</v>
      </c>
      <c r="AU67">
        <v>1.8107309439999999</v>
      </c>
      <c r="AV67">
        <v>1.810044443</v>
      </c>
      <c r="AW67">
        <v>1.809969991</v>
      </c>
    </row>
    <row r="68" spans="2:49" x14ac:dyDescent="0.25">
      <c r="B68" t="s">
        <v>369</v>
      </c>
      <c r="C68">
        <v>0.35839918454870201</v>
      </c>
      <c r="D68">
        <v>0.36415339938413299</v>
      </c>
      <c r="E68">
        <v>0.37</v>
      </c>
      <c r="F68">
        <v>0.36698427950000001</v>
      </c>
      <c r="G68">
        <v>0.36308875969999999</v>
      </c>
      <c r="H68">
        <v>0.35880293730000001</v>
      </c>
      <c r="I68">
        <v>0.35663514079999997</v>
      </c>
      <c r="J68">
        <v>0.354376776</v>
      </c>
      <c r="K68">
        <v>0.35079987340000002</v>
      </c>
      <c r="L68">
        <v>0.34570290580000002</v>
      </c>
      <c r="M68">
        <v>0.34066734329999998</v>
      </c>
      <c r="N68" s="100">
        <v>0.33704253179999999</v>
      </c>
      <c r="O68" s="100">
        <v>0.33637414879999999</v>
      </c>
      <c r="P68" s="100">
        <v>0.33681409220000003</v>
      </c>
      <c r="Q68" s="100">
        <v>0.33615285070000001</v>
      </c>
      <c r="R68" s="100">
        <v>0.33147957820000001</v>
      </c>
      <c r="S68" s="100">
        <v>0.32541000609999998</v>
      </c>
      <c r="T68" s="100">
        <v>0.31752584649999999</v>
      </c>
      <c r="U68" s="100">
        <v>0.30942877520000001</v>
      </c>
      <c r="V68" s="100">
        <v>0.30121744760000002</v>
      </c>
      <c r="W68" s="100">
        <v>0.29404594350000002</v>
      </c>
      <c r="X68" s="100">
        <v>0.28714719020000001</v>
      </c>
      <c r="Y68" s="100">
        <v>0.28177253079999998</v>
      </c>
      <c r="Z68" s="100">
        <v>0.27742562170000001</v>
      </c>
      <c r="AA68" s="100">
        <v>0.27376663740000001</v>
      </c>
      <c r="AB68" s="100">
        <v>0.27060047609999999</v>
      </c>
      <c r="AC68" s="100">
        <v>0.26780283430000001</v>
      </c>
      <c r="AD68">
        <v>0.26530555490000002</v>
      </c>
      <c r="AE68">
        <v>0.26305189179999999</v>
      </c>
      <c r="AF68">
        <v>0.26098278889999998</v>
      </c>
      <c r="AG68">
        <v>0.25905168099999998</v>
      </c>
      <c r="AH68">
        <v>0.25724035890000002</v>
      </c>
      <c r="AI68">
        <v>0.25552042879999998</v>
      </c>
      <c r="AJ68">
        <v>0.25385947380000001</v>
      </c>
      <c r="AK68">
        <v>0.25224471770000001</v>
      </c>
      <c r="AL68">
        <v>0.25066222300000002</v>
      </c>
      <c r="AM68">
        <v>0.24910096770000001</v>
      </c>
      <c r="AN68">
        <v>0.2475210041</v>
      </c>
      <c r="AO68" s="100">
        <v>0.2458313083</v>
      </c>
      <c r="AP68" s="100">
        <v>0.2439953232</v>
      </c>
      <c r="AQ68" s="100">
        <v>0.24200336049999999</v>
      </c>
      <c r="AR68" s="100">
        <v>0.2398534048</v>
      </c>
      <c r="AS68" s="100">
        <v>0.23754250869999999</v>
      </c>
      <c r="AT68" s="100">
        <v>0.2350532317</v>
      </c>
      <c r="AU68" s="100">
        <v>0.2323820895</v>
      </c>
      <c r="AV68" s="100">
        <v>0.2295369636</v>
      </c>
      <c r="AW68" s="100">
        <v>0.22657439030000001</v>
      </c>
    </row>
    <row r="69" spans="2:49" x14ac:dyDescent="0.25">
      <c r="B69" t="s">
        <v>370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 s="100">
        <v>0</v>
      </c>
      <c r="J69" s="100">
        <v>0</v>
      </c>
      <c r="K69" s="100">
        <v>0</v>
      </c>
      <c r="L69" s="100">
        <v>0</v>
      </c>
      <c r="M69" s="100">
        <v>0</v>
      </c>
      <c r="N69" s="100">
        <v>0</v>
      </c>
      <c r="O69" s="100">
        <v>0</v>
      </c>
      <c r="P69" s="100">
        <v>0</v>
      </c>
      <c r="Q69" s="100">
        <v>0</v>
      </c>
      <c r="R69" s="100">
        <v>0</v>
      </c>
      <c r="S69" s="100">
        <v>0</v>
      </c>
      <c r="T69" s="100">
        <v>0</v>
      </c>
      <c r="U69" s="100">
        <v>0</v>
      </c>
      <c r="V69" s="100">
        <v>0</v>
      </c>
      <c r="W69" s="100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</row>
    <row r="70" spans="2:49" x14ac:dyDescent="0.25">
      <c r="B70" t="s">
        <v>371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</row>
    <row r="71" spans="2:49" x14ac:dyDescent="0.25">
      <c r="B71" t="s">
        <v>372</v>
      </c>
      <c r="C71" s="100">
        <v>0</v>
      </c>
      <c r="D71" s="100">
        <v>0</v>
      </c>
      <c r="E71" s="100">
        <v>0</v>
      </c>
      <c r="F71" s="100">
        <v>0</v>
      </c>
      <c r="G71" s="100">
        <v>0</v>
      </c>
      <c r="H71" s="100">
        <v>0</v>
      </c>
      <c r="I71" s="100">
        <v>0</v>
      </c>
      <c r="J71" s="100">
        <v>0</v>
      </c>
      <c r="K71" s="100">
        <v>0</v>
      </c>
      <c r="L71" s="100">
        <v>0</v>
      </c>
      <c r="M71" s="100">
        <v>0</v>
      </c>
      <c r="N71" s="100">
        <v>0</v>
      </c>
      <c r="O71" s="100">
        <v>0</v>
      </c>
      <c r="P71" s="100">
        <v>0</v>
      </c>
      <c r="Q71" s="100">
        <v>0</v>
      </c>
      <c r="R71" s="100">
        <v>0</v>
      </c>
      <c r="S71" s="100">
        <v>0</v>
      </c>
      <c r="T71" s="100">
        <v>0</v>
      </c>
      <c r="U71" s="100">
        <v>0</v>
      </c>
      <c r="V71" s="100">
        <v>0</v>
      </c>
      <c r="W71" s="100">
        <v>0</v>
      </c>
      <c r="X71" s="100">
        <v>0</v>
      </c>
      <c r="Y71" s="100">
        <v>0</v>
      </c>
      <c r="Z71" s="100">
        <v>0</v>
      </c>
      <c r="AA71" s="100">
        <v>0</v>
      </c>
      <c r="AB71" s="100">
        <v>0</v>
      </c>
      <c r="AC71" s="100">
        <v>0</v>
      </c>
      <c r="AD71" s="100">
        <v>0</v>
      </c>
      <c r="AE71" s="100">
        <v>0</v>
      </c>
      <c r="AF71" s="100">
        <v>0</v>
      </c>
      <c r="AG71" s="100">
        <v>0</v>
      </c>
      <c r="AH71" s="100">
        <v>0</v>
      </c>
      <c r="AI71" s="100">
        <v>0</v>
      </c>
      <c r="AJ71" s="100">
        <v>0</v>
      </c>
      <c r="AK71" s="100">
        <v>0</v>
      </c>
      <c r="AL71" s="100">
        <v>0</v>
      </c>
      <c r="AM71" s="100">
        <v>0</v>
      </c>
      <c r="AN71" s="100">
        <v>0</v>
      </c>
      <c r="AO71" s="100">
        <v>0</v>
      </c>
      <c r="AP71" s="100">
        <v>0</v>
      </c>
      <c r="AQ71" s="100">
        <v>0</v>
      </c>
      <c r="AR71" s="100">
        <v>0</v>
      </c>
      <c r="AS71" s="100">
        <v>0</v>
      </c>
      <c r="AT71" s="100">
        <v>0</v>
      </c>
      <c r="AU71" s="100">
        <v>0</v>
      </c>
      <c r="AV71" s="100">
        <v>0</v>
      </c>
      <c r="AW71">
        <v>0</v>
      </c>
    </row>
    <row r="72" spans="2:49" x14ac:dyDescent="0.25">
      <c r="B72" t="s">
        <v>373</v>
      </c>
      <c r="C72">
        <v>2.1503951072922098</v>
      </c>
      <c r="D72">
        <v>2.1849203963048001</v>
      </c>
      <c r="E72">
        <v>2.2200000000000002</v>
      </c>
      <c r="F72">
        <v>2.292228932</v>
      </c>
      <c r="G72">
        <v>2.1906794390000002</v>
      </c>
      <c r="H72">
        <v>2.3159465209999999</v>
      </c>
      <c r="I72">
        <v>2.3866520360000001</v>
      </c>
      <c r="J72">
        <v>2.2595346269999999</v>
      </c>
      <c r="K72">
        <v>2.1766206389999998</v>
      </c>
      <c r="L72">
        <v>2.1231513679999998</v>
      </c>
      <c r="M72">
        <v>2.2783005730000001</v>
      </c>
      <c r="N72">
        <v>2.4424090110000001</v>
      </c>
      <c r="O72">
        <v>2.53353888</v>
      </c>
      <c r="P72">
        <v>2.5486083389999998</v>
      </c>
      <c r="Q72">
        <v>2.3714585370000001</v>
      </c>
      <c r="R72">
        <v>2.375237254</v>
      </c>
      <c r="S72">
        <v>2.3869087430000002</v>
      </c>
      <c r="T72">
        <v>2.408276979</v>
      </c>
      <c r="U72">
        <v>2.4216297089999999</v>
      </c>
      <c r="V72">
        <v>2.4576248619999999</v>
      </c>
      <c r="W72">
        <v>2.4758657319999999</v>
      </c>
      <c r="X72">
        <v>2.4749363579999999</v>
      </c>
      <c r="Y72">
        <v>2.5001175770000001</v>
      </c>
      <c r="Z72">
        <v>2.536464053</v>
      </c>
      <c r="AA72">
        <v>2.576728948</v>
      </c>
      <c r="AB72">
        <v>2.6177059150000002</v>
      </c>
      <c r="AC72">
        <v>2.6607037170000001</v>
      </c>
      <c r="AD72">
        <v>2.698852767</v>
      </c>
      <c r="AE72">
        <v>2.7411037220000001</v>
      </c>
      <c r="AF72">
        <v>2.7839112140000002</v>
      </c>
      <c r="AG72">
        <v>2.8289587900000002</v>
      </c>
      <c r="AH72">
        <v>2.87969198</v>
      </c>
      <c r="AI72">
        <v>2.9297380030000002</v>
      </c>
      <c r="AJ72">
        <v>2.984056904</v>
      </c>
      <c r="AK72">
        <v>3.0391471229999998</v>
      </c>
      <c r="AL72">
        <v>3.0957236020000001</v>
      </c>
      <c r="AM72">
        <v>3.153168864</v>
      </c>
      <c r="AN72">
        <v>3.206960993</v>
      </c>
      <c r="AO72">
        <v>3.2611509550000002</v>
      </c>
      <c r="AP72">
        <v>3.3142160980000002</v>
      </c>
      <c r="AQ72">
        <v>3.3670415980000001</v>
      </c>
      <c r="AR72">
        <v>3.4193136169999998</v>
      </c>
      <c r="AS72">
        <v>3.4707179670000001</v>
      </c>
      <c r="AT72">
        <v>3.5222014119999998</v>
      </c>
      <c r="AU72">
        <v>3.5744626230000001</v>
      </c>
      <c r="AV72">
        <v>3.6270946789999998</v>
      </c>
      <c r="AW72">
        <v>3.6806870350000001</v>
      </c>
    </row>
    <row r="73" spans="2:49" x14ac:dyDescent="0.25">
      <c r="B73" t="s">
        <v>374</v>
      </c>
      <c r="C73">
        <v>17.283948650263198</v>
      </c>
      <c r="D73">
        <v>17.561448036494799</v>
      </c>
      <c r="E73">
        <v>17.843402770000001</v>
      </c>
      <c r="F73">
        <v>18.108779510000002</v>
      </c>
      <c r="G73">
        <v>16.93931349</v>
      </c>
      <c r="H73">
        <v>15.978973760000001</v>
      </c>
      <c r="I73">
        <v>14.86203924</v>
      </c>
      <c r="J73">
        <v>14.75314773</v>
      </c>
      <c r="K73">
        <v>13.59830623</v>
      </c>
      <c r="L73">
        <v>13.30765409</v>
      </c>
      <c r="M73">
        <v>13.56990088</v>
      </c>
      <c r="N73">
        <v>14.169108530000001</v>
      </c>
      <c r="O73">
        <v>13.208757240000001</v>
      </c>
      <c r="P73">
        <v>11.89708085</v>
      </c>
      <c r="Q73">
        <v>10.53334304</v>
      </c>
      <c r="R73">
        <v>9.6518514690000003</v>
      </c>
      <c r="S73">
        <v>8.8532432669999999</v>
      </c>
      <c r="T73">
        <v>8.7125541210000002</v>
      </c>
      <c r="U73">
        <v>8.4961406210000003</v>
      </c>
      <c r="V73">
        <v>8.3806197440000005</v>
      </c>
      <c r="W73">
        <v>8.2774487899999905</v>
      </c>
      <c r="X73">
        <v>8.1143690169999996</v>
      </c>
      <c r="Y73">
        <v>8.1930080759999999</v>
      </c>
      <c r="Z73">
        <v>8.4108977560000007</v>
      </c>
      <c r="AA73">
        <v>8.6822797299999994</v>
      </c>
      <c r="AB73">
        <v>8.994465967</v>
      </c>
      <c r="AC73">
        <v>9.3591440709999905</v>
      </c>
      <c r="AD73">
        <v>9.4464118460000002</v>
      </c>
      <c r="AE73">
        <v>9.5503134200000002</v>
      </c>
      <c r="AF73">
        <v>9.6652969330000005</v>
      </c>
      <c r="AG73">
        <v>9.7864781549999904</v>
      </c>
      <c r="AH73">
        <v>9.9220262699999999</v>
      </c>
      <c r="AI73">
        <v>10.06899357</v>
      </c>
      <c r="AJ73">
        <v>10.219321040000001</v>
      </c>
      <c r="AK73">
        <v>10.37662677</v>
      </c>
      <c r="AL73">
        <v>10.53768591</v>
      </c>
      <c r="AM73">
        <v>10.699529500000001</v>
      </c>
      <c r="AN73">
        <v>10.702623920000001</v>
      </c>
      <c r="AO73">
        <v>10.68529653</v>
      </c>
      <c r="AP73">
        <v>10.658412930000001</v>
      </c>
      <c r="AQ73">
        <v>10.631105440000001</v>
      </c>
      <c r="AR73">
        <v>10.59765477</v>
      </c>
      <c r="AS73">
        <v>10.64612646</v>
      </c>
      <c r="AT73">
        <v>10.707545659999999</v>
      </c>
      <c r="AU73">
        <v>10.771408620000001</v>
      </c>
      <c r="AV73">
        <v>10.83565162</v>
      </c>
      <c r="AW73">
        <v>10.909820910000001</v>
      </c>
    </row>
    <row r="74" spans="2:49" x14ac:dyDescent="0.25">
      <c r="B74" t="s">
        <v>375</v>
      </c>
      <c r="C74">
        <v>9.6518912203120095</v>
      </c>
      <c r="D74">
        <v>9.8068554558467902</v>
      </c>
      <c r="E74">
        <v>9.9643076920000002</v>
      </c>
      <c r="F74">
        <v>9.5358670330000006</v>
      </c>
      <c r="G74">
        <v>8.8606383930000003</v>
      </c>
      <c r="H74">
        <v>9.0566044590000008</v>
      </c>
      <c r="I74">
        <v>8.4300062130000004</v>
      </c>
      <c r="J74">
        <v>7.8549094320000004</v>
      </c>
      <c r="K74">
        <v>7.4423322020000002</v>
      </c>
      <c r="L74">
        <v>7.2605293169999996</v>
      </c>
      <c r="M74">
        <v>7.1215864379999996</v>
      </c>
      <c r="N74">
        <v>7.1923807609999999</v>
      </c>
      <c r="O74">
        <v>7.1838586610000004</v>
      </c>
      <c r="P74">
        <v>6.9515885839999996</v>
      </c>
      <c r="Q74">
        <v>6.672206439</v>
      </c>
      <c r="R74">
        <v>6.6400109179999998</v>
      </c>
      <c r="S74">
        <v>6.4339713879999998</v>
      </c>
      <c r="T74">
        <v>6.2842903320000003</v>
      </c>
      <c r="U74">
        <v>6.1205859570000003</v>
      </c>
      <c r="V74">
        <v>5.9430059789999996</v>
      </c>
      <c r="W74">
        <v>5.8085744369999999</v>
      </c>
      <c r="X74">
        <v>5.6597559650000004</v>
      </c>
      <c r="Y74">
        <v>5.594815316</v>
      </c>
      <c r="Z74">
        <v>5.5494494430000003</v>
      </c>
      <c r="AA74">
        <v>5.5146709349999998</v>
      </c>
      <c r="AB74">
        <v>5.4880333569999999</v>
      </c>
      <c r="AC74">
        <v>5.4670869030000002</v>
      </c>
      <c r="AD74">
        <v>5.4498025730000004</v>
      </c>
      <c r="AE74">
        <v>5.4383484979999999</v>
      </c>
      <c r="AF74">
        <v>5.4319539399999996</v>
      </c>
      <c r="AG74">
        <v>5.4252500189999999</v>
      </c>
      <c r="AH74">
        <v>5.4210711229999999</v>
      </c>
      <c r="AI74">
        <v>5.4208052970000002</v>
      </c>
      <c r="AJ74">
        <v>5.421789285</v>
      </c>
      <c r="AK74">
        <v>5.425963726</v>
      </c>
      <c r="AL74">
        <v>5.4319170809999999</v>
      </c>
      <c r="AM74">
        <v>5.4400769740000001</v>
      </c>
      <c r="AN74">
        <v>5.4291136370000004</v>
      </c>
      <c r="AO74">
        <v>5.4155901200000001</v>
      </c>
      <c r="AP74">
        <v>5.3992300440000003</v>
      </c>
      <c r="AQ74">
        <v>5.379541788</v>
      </c>
      <c r="AR74">
        <v>5.3556802819999998</v>
      </c>
      <c r="AS74">
        <v>5.3228360060000002</v>
      </c>
      <c r="AT74">
        <v>5.2865957769999996</v>
      </c>
      <c r="AU74">
        <v>5.245416906</v>
      </c>
      <c r="AV74">
        <v>5.1997580259999996</v>
      </c>
      <c r="AW74">
        <v>5.1513212360000002</v>
      </c>
    </row>
    <row r="75" spans="2:49" x14ac:dyDescent="0.25">
      <c r="B75" t="s">
        <v>376</v>
      </c>
      <c r="C75">
        <v>4.6065844460580001</v>
      </c>
      <c r="D75">
        <v>4.68054464938142</v>
      </c>
      <c r="E75">
        <v>4.7556923080000004</v>
      </c>
      <c r="F75">
        <v>4.8601026589999998</v>
      </c>
      <c r="G75">
        <v>4.6775033070000003</v>
      </c>
      <c r="H75">
        <v>4.6158443150000004</v>
      </c>
      <c r="I75">
        <v>4.5439572540000004</v>
      </c>
      <c r="J75" s="42">
        <v>4.344747849</v>
      </c>
      <c r="K75">
        <v>4.1291391439999998</v>
      </c>
      <c r="L75">
        <v>4.051136133</v>
      </c>
      <c r="M75">
        <v>4.0648123749999998</v>
      </c>
      <c r="N75">
        <v>4.1783663439999996</v>
      </c>
      <c r="O75">
        <v>3.9155090709999998</v>
      </c>
      <c r="P75">
        <v>3.6383507540000002</v>
      </c>
      <c r="Q75">
        <v>3.402269059</v>
      </c>
      <c r="R75">
        <v>3.2167178330000001</v>
      </c>
      <c r="S75">
        <v>3.0109655950000001</v>
      </c>
      <c r="T75">
        <v>3.0064994669999998</v>
      </c>
      <c r="U75">
        <v>3.010593445</v>
      </c>
      <c r="V75">
        <v>3.0126546919999999</v>
      </c>
      <c r="W75">
        <v>2.917101395</v>
      </c>
      <c r="X75">
        <v>2.8134112670000002</v>
      </c>
      <c r="Y75">
        <v>2.7229595290000002</v>
      </c>
      <c r="Z75">
        <v>2.6416273110000001</v>
      </c>
      <c r="AA75">
        <v>2.5665709840000002</v>
      </c>
      <c r="AB75">
        <v>2.4969327400000001</v>
      </c>
      <c r="AC75">
        <v>2.4319797369999998</v>
      </c>
      <c r="AD75">
        <v>2.370871873</v>
      </c>
      <c r="AE75">
        <v>2.3141488410000002</v>
      </c>
      <c r="AF75">
        <v>2.261528218</v>
      </c>
      <c r="AG75">
        <v>2.2112017470000001</v>
      </c>
      <c r="AH75">
        <v>2.163570703</v>
      </c>
      <c r="AI75">
        <v>2.1189215340000001</v>
      </c>
      <c r="AJ75">
        <v>2.0765584920000002</v>
      </c>
      <c r="AK75">
        <v>2.0367543929999998</v>
      </c>
      <c r="AL75">
        <v>1.999080462</v>
      </c>
      <c r="AM75">
        <v>1.963440447</v>
      </c>
      <c r="AN75">
        <v>1.9548460480000001</v>
      </c>
      <c r="AO75">
        <v>1.951288245</v>
      </c>
      <c r="AP75">
        <v>1.9486390330000001</v>
      </c>
      <c r="AQ75">
        <v>1.946005429</v>
      </c>
      <c r="AR75">
        <v>1.9432008759999999</v>
      </c>
      <c r="AS75">
        <v>1.939876736</v>
      </c>
      <c r="AT75">
        <v>1.9363277640000001</v>
      </c>
      <c r="AU75">
        <v>1.932363917</v>
      </c>
      <c r="AV75">
        <v>1.92805176</v>
      </c>
      <c r="AW75">
        <v>1.9234180780000001</v>
      </c>
    </row>
    <row r="76" spans="2:49" x14ac:dyDescent="0.25">
      <c r="B76" t="s">
        <v>377</v>
      </c>
      <c r="C76">
        <v>23.690015269078899</v>
      </c>
      <c r="D76">
        <v>24.070366126976499</v>
      </c>
      <c r="E76">
        <v>24.45682364</v>
      </c>
      <c r="F76">
        <v>24.576239999999999</v>
      </c>
      <c r="G76">
        <v>24.64714712</v>
      </c>
      <c r="H76">
        <v>24.844294900000001</v>
      </c>
      <c r="I76">
        <v>24.992164500000001</v>
      </c>
      <c r="J76">
        <v>25.083213109999999</v>
      </c>
      <c r="K76">
        <v>24.96055235</v>
      </c>
      <c r="L76">
        <v>24.7684262</v>
      </c>
      <c r="M76">
        <v>24.584892960000001</v>
      </c>
      <c r="N76">
        <v>24.332070699999999</v>
      </c>
      <c r="O76">
        <v>24.146853419999999</v>
      </c>
      <c r="P76">
        <v>24.153810140000001</v>
      </c>
      <c r="Q76">
        <v>24.164456770000001</v>
      </c>
      <c r="R76">
        <v>24.170512389999999</v>
      </c>
      <c r="S76">
        <v>24.08860327</v>
      </c>
      <c r="T76">
        <v>23.881615780000001</v>
      </c>
      <c r="U76">
        <v>23.552964079999999</v>
      </c>
      <c r="V76">
        <v>23.171026350000002</v>
      </c>
      <c r="W76">
        <v>22.783491890000001</v>
      </c>
      <c r="X76">
        <v>22.375364090000001</v>
      </c>
      <c r="Y76">
        <v>21.970640700000001</v>
      </c>
      <c r="Z76">
        <v>21.55514281</v>
      </c>
      <c r="AA76">
        <v>21.132622340000001</v>
      </c>
      <c r="AB76">
        <v>20.701497939999999</v>
      </c>
      <c r="AC76">
        <v>20.260136419999998</v>
      </c>
      <c r="AD76">
        <v>19.810153209999999</v>
      </c>
      <c r="AE76">
        <v>19.317829159999999</v>
      </c>
      <c r="AF76">
        <v>18.809935159999998</v>
      </c>
      <c r="AG76">
        <v>18.297801499999998</v>
      </c>
      <c r="AH76">
        <v>17.75938171</v>
      </c>
      <c r="AI76">
        <v>17.242898060000002</v>
      </c>
      <c r="AJ76">
        <v>16.74070691</v>
      </c>
      <c r="AK76">
        <v>16.249264830000001</v>
      </c>
      <c r="AL76">
        <v>15.767973189999999</v>
      </c>
      <c r="AM76">
        <v>15.29676235</v>
      </c>
      <c r="AN76">
        <v>14.82701327</v>
      </c>
      <c r="AO76">
        <v>14.36250677</v>
      </c>
      <c r="AP76">
        <v>13.90583655</v>
      </c>
      <c r="AQ76">
        <v>13.45816452</v>
      </c>
      <c r="AR76">
        <v>13.020174069999999</v>
      </c>
      <c r="AS76">
        <v>12.590512500000001</v>
      </c>
      <c r="AT76">
        <v>12.17079994</v>
      </c>
      <c r="AU76">
        <v>11.76176952</v>
      </c>
      <c r="AV76">
        <v>11.36378667</v>
      </c>
      <c r="AW76">
        <v>10.977226119999999</v>
      </c>
    </row>
    <row r="77" spans="2:49" x14ac:dyDescent="0.25">
      <c r="B77" t="s">
        <v>378</v>
      </c>
      <c r="C77">
        <v>20.7498358478441</v>
      </c>
      <c r="D77">
        <v>21.0829811741058</v>
      </c>
      <c r="E77">
        <v>21.430969080000001</v>
      </c>
      <c r="F77">
        <v>21.886229239999999</v>
      </c>
      <c r="G77">
        <v>21.06440808</v>
      </c>
      <c r="H77">
        <v>19.55162443</v>
      </c>
      <c r="I77">
        <v>19.93873954</v>
      </c>
      <c r="J77">
        <v>19.391718690000001</v>
      </c>
      <c r="K77">
        <v>19.571885399999999</v>
      </c>
      <c r="L77">
        <v>19.092740389999999</v>
      </c>
      <c r="M77">
        <v>19.03120964</v>
      </c>
      <c r="N77">
        <v>19.036068109999999</v>
      </c>
      <c r="O77">
        <v>18.855862869999999</v>
      </c>
      <c r="P77">
        <v>19.058111289999999</v>
      </c>
      <c r="Q77">
        <v>18.847672200000002</v>
      </c>
      <c r="R77">
        <v>18.726568990000001</v>
      </c>
      <c r="S77">
        <v>18.518094619999999</v>
      </c>
      <c r="T77">
        <v>18.69446275</v>
      </c>
      <c r="U77">
        <v>18.750765520000002</v>
      </c>
      <c r="V77">
        <v>18.988546410000001</v>
      </c>
      <c r="W77">
        <v>19.163940199999999</v>
      </c>
      <c r="X77">
        <v>19.129096069999999</v>
      </c>
      <c r="Y77">
        <v>19.012354380000001</v>
      </c>
      <c r="Z77">
        <v>18.982176460000002</v>
      </c>
      <c r="AA77">
        <v>18.97927477</v>
      </c>
      <c r="AB77">
        <v>18.98799228</v>
      </c>
      <c r="AC77">
        <v>19.01285588</v>
      </c>
      <c r="AD77">
        <v>18.865754240000001</v>
      </c>
      <c r="AE77">
        <v>18.725319670000001</v>
      </c>
      <c r="AF77">
        <v>18.60227926</v>
      </c>
      <c r="AG77">
        <v>18.490432930000001</v>
      </c>
      <c r="AH77">
        <v>18.381547940000001</v>
      </c>
      <c r="AI77">
        <v>18.37658588</v>
      </c>
      <c r="AJ77">
        <v>18.374277150000001</v>
      </c>
      <c r="AK77">
        <v>18.37214397</v>
      </c>
      <c r="AL77">
        <v>18.370435480000001</v>
      </c>
      <c r="AM77">
        <v>18.364859429999999</v>
      </c>
      <c r="AN77">
        <v>18.497348779999999</v>
      </c>
      <c r="AO77">
        <v>18.645952789999999</v>
      </c>
      <c r="AP77">
        <v>18.791991280000001</v>
      </c>
      <c r="AQ77">
        <v>18.937217910000001</v>
      </c>
      <c r="AR77">
        <v>19.07702574</v>
      </c>
      <c r="AS77">
        <v>19.320808299999999</v>
      </c>
      <c r="AT77">
        <v>19.56317662</v>
      </c>
      <c r="AU77">
        <v>19.8084606</v>
      </c>
      <c r="AV77">
        <v>20.05574867</v>
      </c>
      <c r="AW77">
        <v>20.312584780000002</v>
      </c>
    </row>
    <row r="78" spans="2:49" x14ac:dyDescent="0.25">
      <c r="B78" t="s">
        <v>379</v>
      </c>
      <c r="C78">
        <v>0.28090746897060398</v>
      </c>
      <c r="D78">
        <v>0.28541752924702302</v>
      </c>
      <c r="E78">
        <v>0.28999999999999998</v>
      </c>
      <c r="F78">
        <v>0.3008318123</v>
      </c>
      <c r="G78">
        <v>0.30299986629999998</v>
      </c>
      <c r="H78">
        <v>0.29507789280000002</v>
      </c>
      <c r="I78">
        <v>0.3109025111</v>
      </c>
      <c r="J78">
        <v>0.313983546</v>
      </c>
      <c r="K78">
        <v>0.32113174639999997</v>
      </c>
      <c r="L78">
        <v>0.31270517679999998</v>
      </c>
      <c r="M78">
        <v>0.32432820340000001</v>
      </c>
      <c r="N78">
        <v>0.31737783390000002</v>
      </c>
      <c r="O78">
        <v>0.30472065469999998</v>
      </c>
      <c r="P78">
        <v>0.31054539860000002</v>
      </c>
      <c r="Q78">
        <v>0.31199220909999997</v>
      </c>
      <c r="R78">
        <v>0.31061289920000001</v>
      </c>
      <c r="S78">
        <v>0.31328955279999998</v>
      </c>
      <c r="T78">
        <v>0.31855905159999998</v>
      </c>
      <c r="U78">
        <v>0.3231003381</v>
      </c>
      <c r="V78">
        <v>0.33164879069999997</v>
      </c>
      <c r="W78">
        <v>0.3368201589</v>
      </c>
      <c r="X78">
        <v>0.34045900530000001</v>
      </c>
      <c r="Y78">
        <v>0.34320994789999998</v>
      </c>
      <c r="Z78">
        <v>0.34658386349999998</v>
      </c>
      <c r="AA78">
        <v>0.3503222299</v>
      </c>
      <c r="AB78">
        <v>0.3540434294</v>
      </c>
      <c r="AC78">
        <v>0.35804081900000001</v>
      </c>
      <c r="AD78">
        <v>0.3615537935</v>
      </c>
      <c r="AE78">
        <v>0.36566381310000001</v>
      </c>
      <c r="AF78">
        <v>0.36986020489999999</v>
      </c>
      <c r="AG78">
        <v>0.37458417490000001</v>
      </c>
      <c r="AH78">
        <v>0.38011501749999999</v>
      </c>
      <c r="AI78">
        <v>0.38568057680000001</v>
      </c>
      <c r="AJ78">
        <v>0.39184867829999998</v>
      </c>
      <c r="AK78">
        <v>0.39796167609999999</v>
      </c>
      <c r="AL78">
        <v>0.40423983800000002</v>
      </c>
      <c r="AM78">
        <v>0.41052471149999997</v>
      </c>
      <c r="AN78">
        <v>0.41719428359999999</v>
      </c>
      <c r="AO78">
        <v>0.42401389119999999</v>
      </c>
      <c r="AP78">
        <v>0.43066055910000001</v>
      </c>
      <c r="AQ78">
        <v>0.43726439</v>
      </c>
      <c r="AR78">
        <v>0.4437694143</v>
      </c>
      <c r="AS78">
        <v>0.45040865029999999</v>
      </c>
      <c r="AT78">
        <v>0.45700799390000002</v>
      </c>
      <c r="AU78">
        <v>0.46376068079999999</v>
      </c>
      <c r="AV78">
        <v>0.47058162190000002</v>
      </c>
      <c r="AW78">
        <v>0.47755945399999999</v>
      </c>
    </row>
    <row r="79" spans="2:49" x14ac:dyDescent="0.25">
      <c r="B79" t="s">
        <v>380</v>
      </c>
      <c r="C79">
        <v>11.323476938849501</v>
      </c>
      <c r="D79">
        <v>11.5052790237851</v>
      </c>
      <c r="E79">
        <v>11.69</v>
      </c>
      <c r="F79">
        <v>11.9362578</v>
      </c>
      <c r="G79">
        <v>11.921993130000001</v>
      </c>
      <c r="H79">
        <v>10.420870969999999</v>
      </c>
      <c r="I79">
        <v>11.05186099</v>
      </c>
      <c r="J79">
        <v>11.528032319999999</v>
      </c>
      <c r="K79">
        <v>11.37997858</v>
      </c>
      <c r="L79">
        <v>11.192610650000001</v>
      </c>
      <c r="M79">
        <v>11.119442360000001</v>
      </c>
      <c r="N79">
        <v>10.92062949</v>
      </c>
      <c r="O79">
        <v>10.14626915</v>
      </c>
      <c r="P79">
        <v>9.8954754660000006</v>
      </c>
      <c r="Q79">
        <v>9.7186199979999994</v>
      </c>
      <c r="R79">
        <v>9.3198512969999996</v>
      </c>
      <c r="S79">
        <v>8.9617964850000007</v>
      </c>
      <c r="T79">
        <v>9.1540164990000008</v>
      </c>
      <c r="U79">
        <v>9.3166203109999994</v>
      </c>
      <c r="V79">
        <v>9.6357052599999999</v>
      </c>
      <c r="W79">
        <v>9.9926749659999903</v>
      </c>
      <c r="X79">
        <v>10.35515831</v>
      </c>
      <c r="Y79">
        <v>10.556895190000001</v>
      </c>
      <c r="Z79">
        <v>10.82184206</v>
      </c>
      <c r="AA79">
        <v>11.12560571</v>
      </c>
      <c r="AB79">
        <v>11.46766482</v>
      </c>
      <c r="AC79">
        <v>11.86879529</v>
      </c>
      <c r="AD79">
        <v>11.95512795</v>
      </c>
      <c r="AE79">
        <v>12.06396977</v>
      </c>
      <c r="AF79">
        <v>12.189778889999999</v>
      </c>
      <c r="AG79">
        <v>12.330773949999999</v>
      </c>
      <c r="AH79">
        <v>12.487752090000001</v>
      </c>
      <c r="AI79">
        <v>12.67646457</v>
      </c>
      <c r="AJ79">
        <v>12.87351548</v>
      </c>
      <c r="AK79">
        <v>13.07304165</v>
      </c>
      <c r="AL79">
        <v>13.277153670000001</v>
      </c>
      <c r="AM79">
        <v>13.48071818</v>
      </c>
      <c r="AN79">
        <v>13.728401420000001</v>
      </c>
      <c r="AO79">
        <v>14.004137460000001</v>
      </c>
      <c r="AP79">
        <v>14.283785099999999</v>
      </c>
      <c r="AQ79">
        <v>14.57044117</v>
      </c>
      <c r="AR79">
        <v>14.85770555</v>
      </c>
      <c r="AS79">
        <v>15.12395315</v>
      </c>
      <c r="AT79">
        <v>15.381950339999999</v>
      </c>
      <c r="AU79">
        <v>15.64393329</v>
      </c>
      <c r="AV79">
        <v>15.909781629999999</v>
      </c>
      <c r="AW79">
        <v>16.186834130000001</v>
      </c>
    </row>
    <row r="80" spans="2:49" x14ac:dyDescent="0.25">
      <c r="B80" t="s">
        <v>381</v>
      </c>
      <c r="C80">
        <v>12.401465507675301</v>
      </c>
      <c r="D80">
        <v>12.6005750477687</v>
      </c>
      <c r="E80">
        <v>12.802881360000001</v>
      </c>
      <c r="F80">
        <v>12.948112849999999</v>
      </c>
      <c r="G80">
        <v>13.3347803</v>
      </c>
      <c r="H80">
        <v>13.05163114</v>
      </c>
      <c r="I80">
        <v>13.321387659999999</v>
      </c>
      <c r="J80">
        <v>13.6824248</v>
      </c>
      <c r="K80">
        <v>14.010751900000001</v>
      </c>
      <c r="L80">
        <v>14.061349249999999</v>
      </c>
      <c r="M80">
        <v>14.01102976</v>
      </c>
      <c r="N80">
        <v>13.80444393</v>
      </c>
      <c r="O80">
        <v>13.72755712</v>
      </c>
      <c r="P80">
        <v>13.963690160000001</v>
      </c>
      <c r="Q80">
        <v>14.40457513</v>
      </c>
      <c r="R80">
        <v>14.45766263</v>
      </c>
      <c r="S80">
        <v>14.546819060000001</v>
      </c>
      <c r="T80">
        <v>14.560620159999999</v>
      </c>
      <c r="U80">
        <v>14.672787250000001</v>
      </c>
      <c r="V80">
        <v>14.8048824</v>
      </c>
      <c r="W80">
        <v>14.954705779999999</v>
      </c>
      <c r="X80">
        <v>15.116978530000001</v>
      </c>
      <c r="Y80">
        <v>15.250086700000001</v>
      </c>
      <c r="Z80">
        <v>15.402045709999999</v>
      </c>
      <c r="AA80">
        <v>15.559354920000001</v>
      </c>
      <c r="AB80">
        <v>15.71525973</v>
      </c>
      <c r="AC80">
        <v>15.86945504</v>
      </c>
      <c r="AD80">
        <v>16.024536179999998</v>
      </c>
      <c r="AE80">
        <v>16.18193466</v>
      </c>
      <c r="AF80">
        <v>16.339204639999998</v>
      </c>
      <c r="AG80">
        <v>16.49561619</v>
      </c>
      <c r="AH80">
        <v>16.6512931</v>
      </c>
      <c r="AI80">
        <v>16.80850277</v>
      </c>
      <c r="AJ80">
        <v>16.961590640000001</v>
      </c>
      <c r="AK80">
        <v>17.10896584</v>
      </c>
      <c r="AL80">
        <v>17.251957350000001</v>
      </c>
      <c r="AM80">
        <v>17.388442059999999</v>
      </c>
      <c r="AN80">
        <v>17.532697370000001</v>
      </c>
      <c r="AO80">
        <v>17.664995470000001</v>
      </c>
      <c r="AP80">
        <v>17.7857527</v>
      </c>
      <c r="AQ80">
        <v>17.89605311</v>
      </c>
      <c r="AR80">
        <v>17.994870760000001</v>
      </c>
      <c r="AS80">
        <v>18.088718249999999</v>
      </c>
      <c r="AT80">
        <v>18.170829170000001</v>
      </c>
      <c r="AU80">
        <v>18.242199639999999</v>
      </c>
      <c r="AV80">
        <v>18.301924110000002</v>
      </c>
      <c r="AW80">
        <v>18.362110210000001</v>
      </c>
    </row>
    <row r="81" spans="2:49" x14ac:dyDescent="0.25">
      <c r="B81" t="s">
        <v>382</v>
      </c>
      <c r="C81">
        <v>10.826676236859401</v>
      </c>
      <c r="D81">
        <v>11.000502025829901</v>
      </c>
      <c r="E81">
        <v>11.17711864</v>
      </c>
      <c r="F81">
        <v>11.88469585</v>
      </c>
      <c r="G81">
        <v>12.498071599999999</v>
      </c>
      <c r="H81">
        <v>11.78338812</v>
      </c>
      <c r="I81">
        <v>12.308233830000001</v>
      </c>
      <c r="J81">
        <v>12.870111380000001</v>
      </c>
      <c r="K81">
        <v>13.21645792</v>
      </c>
      <c r="L81">
        <v>13.279620299999999</v>
      </c>
      <c r="M81">
        <v>13.291115380000001</v>
      </c>
      <c r="N81">
        <v>13.06948058</v>
      </c>
      <c r="O81">
        <v>12.455431450000001</v>
      </c>
      <c r="P81">
        <v>12.50918388</v>
      </c>
      <c r="Q81">
        <v>12.957936330000001</v>
      </c>
      <c r="R81">
        <v>12.831148710000001</v>
      </c>
      <c r="S81">
        <v>12.6589928</v>
      </c>
      <c r="T81">
        <v>12.762751959999999</v>
      </c>
      <c r="U81">
        <v>12.793686109999999</v>
      </c>
      <c r="V81">
        <v>12.83102221</v>
      </c>
      <c r="W81">
        <v>13.108743949999999</v>
      </c>
      <c r="X81">
        <v>13.43193232</v>
      </c>
      <c r="Y81">
        <v>13.653404569999999</v>
      </c>
      <c r="Z81">
        <v>13.834486890000001</v>
      </c>
      <c r="AA81">
        <v>13.98445308</v>
      </c>
      <c r="AB81">
        <v>14.10481862</v>
      </c>
      <c r="AC81">
        <v>14.20221343</v>
      </c>
      <c r="AD81">
        <v>14.282125450000001</v>
      </c>
      <c r="AE81">
        <v>14.348864089999999</v>
      </c>
      <c r="AF81">
        <v>14.402806549999999</v>
      </c>
      <c r="AG81">
        <v>14.44588139</v>
      </c>
      <c r="AH81">
        <v>14.47703583</v>
      </c>
      <c r="AI81">
        <v>14.50196175</v>
      </c>
      <c r="AJ81">
        <v>14.51707656</v>
      </c>
      <c r="AK81">
        <v>14.518586429999999</v>
      </c>
      <c r="AL81">
        <v>14.50995743</v>
      </c>
      <c r="AM81">
        <v>14.49097955</v>
      </c>
      <c r="AN81">
        <v>14.35431208</v>
      </c>
      <c r="AO81">
        <v>14.1917875</v>
      </c>
      <c r="AP81">
        <v>14.02324623</v>
      </c>
      <c r="AQ81">
        <v>13.85326214</v>
      </c>
      <c r="AR81">
        <v>13.6826138</v>
      </c>
      <c r="AS81">
        <v>13.51434538</v>
      </c>
      <c r="AT81">
        <v>13.34508735</v>
      </c>
      <c r="AU81">
        <v>13.1773671</v>
      </c>
      <c r="AV81">
        <v>13.01059016</v>
      </c>
      <c r="AW81">
        <v>12.84473288</v>
      </c>
    </row>
    <row r="82" spans="2:49" x14ac:dyDescent="0.25">
      <c r="B82" t="s">
        <v>383</v>
      </c>
      <c r="C82">
        <v>4.42659733299524E-4</v>
      </c>
      <c r="D82">
        <v>4.4976677849999601E-4</v>
      </c>
      <c r="E82">
        <v>4.5698792999999998E-4</v>
      </c>
      <c r="F82">
        <v>8.8129031100000002E-4</v>
      </c>
      <c r="G82">
        <v>1.5931278900000001E-3</v>
      </c>
      <c r="H82">
        <v>2.7987607000000002E-3</v>
      </c>
      <c r="I82">
        <v>4.4716987600000001E-3</v>
      </c>
      <c r="J82">
        <v>6.70844617E-3</v>
      </c>
      <c r="K82">
        <v>9.3655600299999905E-3</v>
      </c>
      <c r="L82">
        <v>1.27729564E-2</v>
      </c>
      <c r="M82">
        <v>1.73389467E-2</v>
      </c>
      <c r="N82">
        <v>2.2854451899999999E-2</v>
      </c>
      <c r="O82">
        <v>3.0496861199999999E-2</v>
      </c>
      <c r="P82">
        <v>4.0525613299999999E-2</v>
      </c>
      <c r="Q82">
        <v>5.3523287900000001E-2</v>
      </c>
      <c r="R82">
        <v>7.0152616500000001E-2</v>
      </c>
      <c r="S82">
        <v>9.1123452699999996E-2</v>
      </c>
      <c r="T82">
        <v>0.114522215</v>
      </c>
      <c r="U82">
        <v>0.1447862637</v>
      </c>
      <c r="V82">
        <v>0.18315404599999999</v>
      </c>
      <c r="W82">
        <v>0.2294187443</v>
      </c>
      <c r="X82">
        <v>0.28346644209999999</v>
      </c>
      <c r="Y82">
        <v>0.34713879860000002</v>
      </c>
      <c r="Z82">
        <v>0.41998543840000002</v>
      </c>
      <c r="AA82">
        <v>0.50245985110000002</v>
      </c>
      <c r="AB82">
        <v>0.59406152919999999</v>
      </c>
      <c r="AC82">
        <v>0.69379991880000003</v>
      </c>
      <c r="AD82">
        <v>0.80089866170000001</v>
      </c>
      <c r="AE82">
        <v>0.91181806099999996</v>
      </c>
      <c r="AF82">
        <v>1.0255112829999999</v>
      </c>
      <c r="AG82">
        <v>1.142842817</v>
      </c>
      <c r="AH82">
        <v>1.262369522</v>
      </c>
      <c r="AI82">
        <v>1.383319151</v>
      </c>
      <c r="AJ82">
        <v>1.509385108</v>
      </c>
      <c r="AK82">
        <v>1.6384010280000001</v>
      </c>
      <c r="AL82">
        <v>1.769192112</v>
      </c>
      <c r="AM82">
        <v>1.900820274</v>
      </c>
      <c r="AN82">
        <v>2.0324223789999998</v>
      </c>
      <c r="AO82">
        <v>2.1629141590000001</v>
      </c>
      <c r="AP82">
        <v>2.2927384220000002</v>
      </c>
      <c r="AQ82">
        <v>2.4217818609999999</v>
      </c>
      <c r="AR82">
        <v>2.5498022109999998</v>
      </c>
      <c r="AS82">
        <v>2.6767025979999999</v>
      </c>
      <c r="AT82">
        <v>2.8017422340000002</v>
      </c>
      <c r="AU82">
        <v>2.9250371159999999</v>
      </c>
      <c r="AV82">
        <v>3.0465561829999999</v>
      </c>
      <c r="AW82">
        <v>3.166398386</v>
      </c>
    </row>
    <row r="83" spans="2:49" x14ac:dyDescent="0.25">
      <c r="B83" t="s">
        <v>384</v>
      </c>
      <c r="C83">
        <v>1.1996237928359601</v>
      </c>
      <c r="D83">
        <v>1.2188841408592499</v>
      </c>
      <c r="E83">
        <v>1.2389111850000001</v>
      </c>
      <c r="F83">
        <v>1.285092237</v>
      </c>
      <c r="G83">
        <v>1.2620542450000001</v>
      </c>
      <c r="H83">
        <v>1.1168644459999999</v>
      </c>
      <c r="I83">
        <v>1.1707708699999999</v>
      </c>
      <c r="J83">
        <v>1.1857334669999999</v>
      </c>
      <c r="K83">
        <v>1.202173299</v>
      </c>
      <c r="L83">
        <v>1.2011088139999999</v>
      </c>
      <c r="M83">
        <v>1.2014163360000001</v>
      </c>
      <c r="N83">
        <v>1.189381851</v>
      </c>
      <c r="O83">
        <v>1.183819226</v>
      </c>
      <c r="P83">
        <v>1.2466947960000001</v>
      </c>
      <c r="Q83">
        <v>1.2793042480000001</v>
      </c>
      <c r="R83">
        <v>1.317275398</v>
      </c>
      <c r="S83">
        <v>1.3262380979999999</v>
      </c>
      <c r="T83">
        <v>1.3493775880000001</v>
      </c>
      <c r="U83">
        <v>1.3732060930000001</v>
      </c>
      <c r="V83">
        <v>1.40568037</v>
      </c>
      <c r="W83">
        <v>1.4267834800000001</v>
      </c>
      <c r="X83">
        <v>1.467084555</v>
      </c>
      <c r="Y83">
        <v>1.515370506</v>
      </c>
      <c r="Z83">
        <v>1.566578998</v>
      </c>
      <c r="AA83">
        <v>1.620832745</v>
      </c>
      <c r="AB83">
        <v>1.6763489039999999</v>
      </c>
      <c r="AC83">
        <v>1.7339460950000001</v>
      </c>
      <c r="AD83">
        <v>1.80708808</v>
      </c>
      <c r="AE83">
        <v>1.879101092</v>
      </c>
      <c r="AF83">
        <v>1.955160064</v>
      </c>
      <c r="AG83">
        <v>2.0346668729999999</v>
      </c>
      <c r="AH83">
        <v>2.1142786259999999</v>
      </c>
      <c r="AI83">
        <v>2.1902162280000002</v>
      </c>
      <c r="AJ83">
        <v>2.2680034689999999</v>
      </c>
      <c r="AK83">
        <v>2.3469580630000002</v>
      </c>
      <c r="AL83">
        <v>2.4278968079999999</v>
      </c>
      <c r="AM83">
        <v>2.5102369310000001</v>
      </c>
      <c r="AN83">
        <v>2.558850235</v>
      </c>
      <c r="AO83">
        <v>2.6104922670000001</v>
      </c>
      <c r="AP83">
        <v>2.6627747720000001</v>
      </c>
      <c r="AQ83">
        <v>2.7159557360000002</v>
      </c>
      <c r="AR83">
        <v>2.7695318480000002</v>
      </c>
      <c r="AS83">
        <v>2.7986989869999999</v>
      </c>
      <c r="AT83">
        <v>2.827832414</v>
      </c>
      <c r="AU83">
        <v>2.8574965959999998</v>
      </c>
      <c r="AV83">
        <v>2.8874611539999999</v>
      </c>
      <c r="AW83">
        <v>2.9187054140000002</v>
      </c>
    </row>
    <row r="84" spans="2:49" x14ac:dyDescent="0.25">
      <c r="B84" t="s">
        <v>385</v>
      </c>
      <c r="C84">
        <v>0.33902625565417799</v>
      </c>
      <c r="D84">
        <v>0.34446943184985501</v>
      </c>
      <c r="E84">
        <v>0.35</v>
      </c>
      <c r="F84">
        <v>0.36573747270000001</v>
      </c>
      <c r="G84">
        <v>0.35834610909999998</v>
      </c>
      <c r="H84">
        <v>0.36249025280000002</v>
      </c>
      <c r="I84">
        <v>0.38754032230000002</v>
      </c>
      <c r="J84">
        <v>0.38409691670000001</v>
      </c>
      <c r="K84">
        <v>0.37898654910000001</v>
      </c>
      <c r="L84">
        <v>0.36841261889999999</v>
      </c>
      <c r="M84">
        <v>0.38992534109999999</v>
      </c>
      <c r="N84">
        <v>0.3994160504</v>
      </c>
      <c r="O84">
        <v>0.40035931520000001</v>
      </c>
      <c r="P84">
        <v>0.40575457329999998</v>
      </c>
      <c r="Q84">
        <v>0.38290270430000001</v>
      </c>
      <c r="R84">
        <v>0.37404040160000002</v>
      </c>
      <c r="S84">
        <v>0.37428523070000003</v>
      </c>
      <c r="T84">
        <v>0.37926904779999998</v>
      </c>
      <c r="U84">
        <v>0.38515398340000001</v>
      </c>
      <c r="V84">
        <v>0.39550010050000001</v>
      </c>
      <c r="W84">
        <v>0.39969435310000001</v>
      </c>
      <c r="X84">
        <v>0.40103060709999999</v>
      </c>
      <c r="Y84">
        <v>0.4041580676</v>
      </c>
      <c r="Z84">
        <v>0.40826228009999999</v>
      </c>
      <c r="AA84">
        <v>0.41308102769999999</v>
      </c>
      <c r="AB84">
        <v>0.41830062870000001</v>
      </c>
      <c r="AC84">
        <v>0.42403024659999999</v>
      </c>
      <c r="AD84">
        <v>0.42920092640000002</v>
      </c>
      <c r="AE84">
        <v>0.43475550169999999</v>
      </c>
      <c r="AF84">
        <v>0.44014109899999998</v>
      </c>
      <c r="AG84">
        <v>0.44611088640000002</v>
      </c>
      <c r="AH84">
        <v>0.45302055679999997</v>
      </c>
      <c r="AI84">
        <v>0.45946398379999998</v>
      </c>
      <c r="AJ84">
        <v>0.4665477562</v>
      </c>
      <c r="AK84">
        <v>0.4737401966</v>
      </c>
      <c r="AL84">
        <v>0.48115910989999999</v>
      </c>
      <c r="AM84">
        <v>0.48866866180000001</v>
      </c>
      <c r="AN84">
        <v>0.4966693311</v>
      </c>
      <c r="AO84">
        <v>0.50510752530000003</v>
      </c>
      <c r="AP84">
        <v>0.51345675749999997</v>
      </c>
      <c r="AQ84">
        <v>0.52180962200000003</v>
      </c>
      <c r="AR84">
        <v>0.53010336989999995</v>
      </c>
      <c r="AS84">
        <v>0.5384799696</v>
      </c>
      <c r="AT84">
        <v>0.54693916490000005</v>
      </c>
      <c r="AU84">
        <v>0.55551715089999998</v>
      </c>
      <c r="AV84">
        <v>0.56414978250000003</v>
      </c>
      <c r="AW84">
        <v>0.57293941829999995</v>
      </c>
    </row>
    <row r="85" spans="2:49" x14ac:dyDescent="0.25">
      <c r="B85" t="s">
        <v>386</v>
      </c>
      <c r="C85">
        <v>12.8442518570697</v>
      </c>
      <c r="D85">
        <v>13.0504704752259</v>
      </c>
      <c r="E85">
        <v>13.26</v>
      </c>
      <c r="F85">
        <v>13.66641008</v>
      </c>
      <c r="G85">
        <v>13.26099557</v>
      </c>
      <c r="H85">
        <v>12.200254470000001</v>
      </c>
      <c r="I85">
        <v>12.77877443</v>
      </c>
      <c r="J85">
        <v>13.063921779999999</v>
      </c>
      <c r="K85">
        <v>12.47982582</v>
      </c>
      <c r="L85">
        <v>12.28338887</v>
      </c>
      <c r="M85">
        <v>12.475369580000001</v>
      </c>
      <c r="N85">
        <v>12.80895503</v>
      </c>
      <c r="O85">
        <v>13.139900839999999</v>
      </c>
      <c r="P85">
        <v>13.489376439999999</v>
      </c>
      <c r="Q85">
        <v>13.19251642</v>
      </c>
      <c r="R85">
        <v>13.1117566</v>
      </c>
      <c r="S85">
        <v>13.13262471</v>
      </c>
      <c r="T85">
        <v>13.359398629999999</v>
      </c>
      <c r="U85">
        <v>13.4195881</v>
      </c>
      <c r="V85">
        <v>13.65442154</v>
      </c>
      <c r="W85">
        <v>13.73036815</v>
      </c>
      <c r="X85">
        <v>13.69621963</v>
      </c>
      <c r="Y85">
        <v>13.813631819999999</v>
      </c>
      <c r="Z85">
        <v>14.08777725</v>
      </c>
      <c r="AA85">
        <v>14.43310301</v>
      </c>
      <c r="AB85">
        <v>14.840636079999999</v>
      </c>
      <c r="AC85">
        <v>15.32411888</v>
      </c>
      <c r="AD85">
        <v>15.430212279999999</v>
      </c>
      <c r="AE85" s="100">
        <v>15.556416219999999</v>
      </c>
      <c r="AF85" s="100">
        <v>15.692947</v>
      </c>
      <c r="AG85">
        <v>15.84869091</v>
      </c>
      <c r="AH85">
        <v>16.025702949999999</v>
      </c>
      <c r="AI85">
        <v>16.21196522</v>
      </c>
      <c r="AJ85" s="100">
        <v>16.40374332</v>
      </c>
      <c r="AK85">
        <v>16.60350008</v>
      </c>
      <c r="AL85">
        <v>16.809158010000001</v>
      </c>
      <c r="AM85">
        <v>17.015748670000001</v>
      </c>
      <c r="AN85">
        <v>17.1614656</v>
      </c>
      <c r="AO85">
        <v>17.317895289999999</v>
      </c>
      <c r="AP85">
        <v>17.464999729999999</v>
      </c>
      <c r="AQ85">
        <v>17.60823585</v>
      </c>
      <c r="AR85">
        <v>17.73933954</v>
      </c>
      <c r="AS85">
        <v>17.91589634</v>
      </c>
      <c r="AT85">
        <v>18.096771539999999</v>
      </c>
      <c r="AU85">
        <v>18.278944389999999</v>
      </c>
      <c r="AV85">
        <v>18.460844359999999</v>
      </c>
      <c r="AW85">
        <v>18.653056280000001</v>
      </c>
    </row>
    <row r="86" spans="2:49" x14ac:dyDescent="0.25">
      <c r="B86" t="s">
        <v>387</v>
      </c>
      <c r="C86" s="100">
        <v>17.113958899133198</v>
      </c>
      <c r="D86">
        <v>17.388729044925601</v>
      </c>
      <c r="E86">
        <v>17.667910710000001</v>
      </c>
      <c r="F86">
        <v>17.875477570000001</v>
      </c>
      <c r="G86" s="100">
        <v>17.8189919</v>
      </c>
      <c r="H86">
        <v>17.848135299999999</v>
      </c>
      <c r="I86">
        <v>18.285719790000002</v>
      </c>
      <c r="J86">
        <v>18.362632909999999</v>
      </c>
      <c r="K86" s="100">
        <v>18.078832890000001</v>
      </c>
      <c r="L86" s="100">
        <v>17.971268540000001</v>
      </c>
      <c r="M86" s="100">
        <v>18.08461724</v>
      </c>
      <c r="N86">
        <v>18.357479949999998</v>
      </c>
      <c r="O86">
        <v>18.804887000000001</v>
      </c>
      <c r="P86">
        <v>18.912572990000001</v>
      </c>
      <c r="Q86">
        <v>18.39393256</v>
      </c>
      <c r="R86">
        <v>17.994438030000001</v>
      </c>
      <c r="S86">
        <v>17.703286720000001</v>
      </c>
      <c r="T86">
        <v>17.27560059</v>
      </c>
      <c r="U86">
        <v>17.068182790000002</v>
      </c>
      <c r="V86">
        <v>16.842492719999999</v>
      </c>
      <c r="W86">
        <v>16.616917740000002</v>
      </c>
      <c r="X86">
        <v>16.412748400000002</v>
      </c>
      <c r="Y86">
        <v>16.324814809999999</v>
      </c>
      <c r="Z86">
        <v>16.272687749999999</v>
      </c>
      <c r="AA86">
        <v>16.259762299999998</v>
      </c>
      <c r="AB86">
        <v>16.27857633</v>
      </c>
      <c r="AC86">
        <v>16.315581219999999</v>
      </c>
      <c r="AD86">
        <v>16.37025568</v>
      </c>
      <c r="AE86">
        <v>16.424474679999999</v>
      </c>
      <c r="AF86">
        <v>16.478894879999999</v>
      </c>
      <c r="AG86">
        <v>16.5413593</v>
      </c>
      <c r="AH86">
        <v>16.607981259999999</v>
      </c>
      <c r="AI86">
        <v>16.660799390000001</v>
      </c>
      <c r="AJ86">
        <v>16.715320169999998</v>
      </c>
      <c r="AK86">
        <v>16.773718930000001</v>
      </c>
      <c r="AL86">
        <v>16.83097991</v>
      </c>
      <c r="AM86">
        <v>16.88769838</v>
      </c>
      <c r="AN86">
        <v>16.935506929999999</v>
      </c>
      <c r="AO86">
        <v>16.9792801</v>
      </c>
      <c r="AP86">
        <v>17.011718510000001</v>
      </c>
      <c r="AQ86">
        <v>17.03147177</v>
      </c>
      <c r="AR86">
        <v>17.03886159</v>
      </c>
      <c r="AS86">
        <v>17.024685569999999</v>
      </c>
      <c r="AT86">
        <v>16.994217469999999</v>
      </c>
      <c r="AU86">
        <v>16.945189389999999</v>
      </c>
      <c r="AV86">
        <v>16.879636170000001</v>
      </c>
      <c r="AW86">
        <v>16.802945810000001</v>
      </c>
    </row>
    <row r="87" spans="2:49" x14ac:dyDescent="0.25">
      <c r="B87" t="s">
        <v>388</v>
      </c>
      <c r="C87" s="100">
        <v>5.6395460874857797</v>
      </c>
      <c r="D87" s="100">
        <v>5.7300908240832298</v>
      </c>
      <c r="E87" s="100">
        <v>5.8220892859999998</v>
      </c>
      <c r="F87">
        <v>6.3659412660000001</v>
      </c>
      <c r="G87">
        <v>6.7109964120000001</v>
      </c>
      <c r="H87">
        <v>7.0512024020000004</v>
      </c>
      <c r="I87">
        <v>7.760502153</v>
      </c>
      <c r="J87">
        <v>8.2400881049999999</v>
      </c>
      <c r="K87">
        <v>8.4559335919999903</v>
      </c>
      <c r="L87">
        <v>8.9275946350000002</v>
      </c>
      <c r="M87">
        <v>9.7664042860000002</v>
      </c>
      <c r="N87">
        <v>11.12040094</v>
      </c>
      <c r="O87">
        <v>11.63471137</v>
      </c>
      <c r="P87">
        <v>11.456877479999999</v>
      </c>
      <c r="Q87">
        <v>10.495166960000001</v>
      </c>
      <c r="R87">
        <v>9.8368630760000002</v>
      </c>
      <c r="S87">
        <v>9.4082873300000003</v>
      </c>
      <c r="T87">
        <v>9.318363347</v>
      </c>
      <c r="U87">
        <v>9.256715346</v>
      </c>
      <c r="V87">
        <v>9.2021929399999998</v>
      </c>
      <c r="W87">
        <v>9.2010791820000009</v>
      </c>
      <c r="X87">
        <v>9.2054358549999904</v>
      </c>
      <c r="Y87">
        <v>9.2325229390000008</v>
      </c>
      <c r="Z87">
        <v>9.2442191260000008</v>
      </c>
      <c r="AA87">
        <v>9.2496357459999903</v>
      </c>
      <c r="AB87">
        <v>9.2525940500000008</v>
      </c>
      <c r="AC87">
        <v>9.2501299600000007</v>
      </c>
      <c r="AD87">
        <v>9.2415719139999997</v>
      </c>
      <c r="AE87">
        <v>9.2178005929999998</v>
      </c>
      <c r="AF87">
        <v>9.1802658909999995</v>
      </c>
      <c r="AG87">
        <v>9.1396294020000006</v>
      </c>
      <c r="AH87">
        <v>9.0941415279999998</v>
      </c>
      <c r="AI87">
        <v>9.0350050950000007</v>
      </c>
      <c r="AJ87">
        <v>8.9713488540000004</v>
      </c>
      <c r="AK87">
        <v>8.9055430090000005</v>
      </c>
      <c r="AL87">
        <v>8.8365763210000008</v>
      </c>
      <c r="AM87">
        <v>8.7653310250000001</v>
      </c>
      <c r="AN87">
        <v>8.6395493600000002</v>
      </c>
      <c r="AO87">
        <v>8.5081907549999904</v>
      </c>
      <c r="AP87">
        <v>8.3773898649999996</v>
      </c>
      <c r="AQ87">
        <v>8.2481590039999997</v>
      </c>
      <c r="AR87">
        <v>8.1209216959999999</v>
      </c>
      <c r="AS87">
        <v>7.9946041799999996</v>
      </c>
      <c r="AT87">
        <v>7.8710476229999999</v>
      </c>
      <c r="AU87" s="100">
        <v>7.7486907030000003</v>
      </c>
      <c r="AV87" s="100">
        <v>7.6277445979999996</v>
      </c>
      <c r="AW87">
        <v>7.5080505950000003</v>
      </c>
    </row>
    <row r="88" spans="2:49" x14ac:dyDescent="0.25">
      <c r="B88" t="s">
        <v>389</v>
      </c>
      <c r="C88" s="100">
        <v>1.0609788529198101E-6</v>
      </c>
      <c r="D88" s="100">
        <v>1.0780132115867701E-6</v>
      </c>
      <c r="E88" s="100">
        <v>1.0953210600000001E-6</v>
      </c>
      <c r="F88" s="100">
        <v>1.1744140000000001E-6</v>
      </c>
      <c r="G88" s="100">
        <v>1.9256442399999998E-6</v>
      </c>
      <c r="H88" s="100">
        <v>2.7475512199999998E-6</v>
      </c>
      <c r="I88" s="100">
        <v>3.5758285399999999E-6</v>
      </c>
      <c r="J88" s="100">
        <v>4.7211076599999998E-6</v>
      </c>
      <c r="K88" s="100">
        <v>5.7866609300000004E-6</v>
      </c>
      <c r="L88" s="100">
        <v>6.71004432E-6</v>
      </c>
      <c r="M88" s="100">
        <v>7.5769752500000003E-6</v>
      </c>
      <c r="N88" s="100">
        <v>8.0286581299999994E-6</v>
      </c>
      <c r="O88" s="100">
        <v>8.3578773800000006E-6</v>
      </c>
      <c r="P88" s="100">
        <v>8.5171828499999998E-6</v>
      </c>
      <c r="Q88" s="100">
        <v>9.2616076099999998E-6</v>
      </c>
      <c r="R88" s="100">
        <v>1.0136588700000001E-5</v>
      </c>
      <c r="S88" s="100">
        <v>1.1698606899999999E-5</v>
      </c>
      <c r="T88" s="100">
        <v>1.29743309E-5</v>
      </c>
      <c r="U88" s="100">
        <v>1.51267012E-5</v>
      </c>
      <c r="V88" s="100">
        <v>1.7678512500000001E-5</v>
      </c>
      <c r="W88" s="100">
        <v>2.0213602499999999E-5</v>
      </c>
      <c r="X88" s="100">
        <v>2.2678365099999999E-5</v>
      </c>
      <c r="Y88" s="100">
        <v>2.5066521399999998E-5</v>
      </c>
      <c r="Z88" s="100">
        <v>2.7312238799999999E-5</v>
      </c>
      <c r="AA88" s="100">
        <v>2.9438542099999999E-5</v>
      </c>
      <c r="AB88" s="100">
        <v>3.1433498900000002E-5</v>
      </c>
      <c r="AC88" s="100">
        <v>3.3286448100000003E-5</v>
      </c>
      <c r="AD88" s="100">
        <v>3.5000019999999998E-5</v>
      </c>
      <c r="AE88" s="100">
        <v>3.6415486899999997E-5</v>
      </c>
      <c r="AF88" s="100">
        <v>3.7639038899999998E-5</v>
      </c>
      <c r="AG88" s="100">
        <v>3.8719631200000002E-5</v>
      </c>
      <c r="AH88" s="100">
        <v>3.9542869499999997E-5</v>
      </c>
      <c r="AI88" s="100">
        <v>4.0350472100000001E-5</v>
      </c>
      <c r="AJ88" s="100">
        <v>4.1112703399999998E-5</v>
      </c>
      <c r="AK88" s="100">
        <v>4.1816264599999999E-5</v>
      </c>
      <c r="AL88" s="100">
        <v>4.24606053E-5</v>
      </c>
      <c r="AM88" s="100">
        <v>4.3046674100000003E-5</v>
      </c>
      <c r="AN88" s="100">
        <v>4.3576745299999997E-5</v>
      </c>
      <c r="AO88" s="100">
        <v>4.4069394799999998E-5</v>
      </c>
      <c r="AP88" s="100">
        <v>4.4537078500000002E-5</v>
      </c>
      <c r="AQ88" s="100">
        <v>4.4985610600000002E-5</v>
      </c>
      <c r="AR88" s="100">
        <v>4.54190201E-5</v>
      </c>
      <c r="AS88" s="100">
        <v>4.5830188700000002E-5</v>
      </c>
      <c r="AT88" s="100">
        <v>4.6230381799999998E-5</v>
      </c>
      <c r="AU88" s="100">
        <v>4.6624883999999998E-5</v>
      </c>
      <c r="AV88" s="100">
        <v>4.7017152800000003E-5</v>
      </c>
      <c r="AW88" s="100">
        <v>4.7412056099999997E-5</v>
      </c>
    </row>
    <row r="89" spans="2:49" x14ac:dyDescent="0.25">
      <c r="B89" t="s">
        <v>390</v>
      </c>
      <c r="C89">
        <v>0.26347077198670499</v>
      </c>
      <c r="D89">
        <v>0.26770088045298701</v>
      </c>
      <c r="E89">
        <v>0.27206078030000003</v>
      </c>
      <c r="F89">
        <v>0.30094276440000001</v>
      </c>
      <c r="G89">
        <v>0.29274160739999999</v>
      </c>
      <c r="H89">
        <v>0.24284127820000001</v>
      </c>
      <c r="I89">
        <v>0.2470641231</v>
      </c>
      <c r="J89">
        <v>0.2414797753</v>
      </c>
      <c r="K89">
        <v>0.26129071329999998</v>
      </c>
      <c r="L89">
        <v>0.25728000099999998</v>
      </c>
      <c r="M89">
        <v>0.24959175619999999</v>
      </c>
      <c r="N89">
        <v>0.2439320894</v>
      </c>
      <c r="O89">
        <v>0.23226825700000001</v>
      </c>
      <c r="P89">
        <v>0.23804918580000001</v>
      </c>
      <c r="Q89">
        <v>0.24347699950000001</v>
      </c>
      <c r="R89">
        <v>0.25238339770000001</v>
      </c>
      <c r="S89">
        <v>0.26827693429999999</v>
      </c>
      <c r="T89">
        <v>0.32770031059999999</v>
      </c>
      <c r="U89">
        <v>0.37641846540000001</v>
      </c>
      <c r="V89">
        <v>0.41948522110000003</v>
      </c>
      <c r="W89">
        <v>0.45112048869999999</v>
      </c>
      <c r="X89">
        <v>0.58076900320000002</v>
      </c>
      <c r="Y89">
        <v>0.72186822949999996</v>
      </c>
      <c r="Z89">
        <v>0.86873860130000002</v>
      </c>
      <c r="AA89">
        <v>1.0201481640000001</v>
      </c>
      <c r="AB89">
        <v>1.175790688</v>
      </c>
      <c r="AC89">
        <v>1.336338</v>
      </c>
      <c r="AD89">
        <v>1.52320795</v>
      </c>
      <c r="AE89">
        <v>1.713120051</v>
      </c>
      <c r="AF89">
        <v>1.9081307169999999</v>
      </c>
      <c r="AG89">
        <v>2.1082274299999999</v>
      </c>
      <c r="AH89">
        <v>2.3123020790000002</v>
      </c>
      <c r="AI89">
        <v>2.4745841020000001</v>
      </c>
      <c r="AJ89">
        <v>2.6408377500000002</v>
      </c>
      <c r="AK89">
        <v>2.8111970529999999</v>
      </c>
      <c r="AL89">
        <v>2.9858365550000001</v>
      </c>
      <c r="AM89">
        <v>3.1642091030000001</v>
      </c>
      <c r="AN89">
        <v>3.2533082320000002</v>
      </c>
      <c r="AO89">
        <v>3.3469995219999999</v>
      </c>
      <c r="AP89">
        <v>3.4421313699999998</v>
      </c>
      <c r="AQ89">
        <v>3.5390150970000001</v>
      </c>
      <c r="AR89">
        <v>3.636815033</v>
      </c>
      <c r="AS89">
        <v>3.6837264360000002</v>
      </c>
      <c r="AT89">
        <v>3.730485571</v>
      </c>
      <c r="AU89">
        <v>3.777870514</v>
      </c>
      <c r="AV89">
        <v>3.8257275059999998</v>
      </c>
      <c r="AW89">
        <v>3.8755072840000002</v>
      </c>
    </row>
    <row r="90" spans="2:49" x14ac:dyDescent="0.25">
      <c r="B90" t="s">
        <v>391</v>
      </c>
      <c r="C90">
        <v>2318131524.4374599</v>
      </c>
      <c r="D90">
        <v>2355349875.8831902</v>
      </c>
      <c r="E90" s="100">
        <v>2393165780</v>
      </c>
      <c r="F90" s="100">
        <v>2417743066</v>
      </c>
      <c r="G90" s="100">
        <v>2442572755</v>
      </c>
      <c r="H90">
        <v>2467657440</v>
      </c>
      <c r="I90" s="100">
        <v>2492999739</v>
      </c>
      <c r="J90" s="100">
        <v>2518602297</v>
      </c>
      <c r="K90" s="100">
        <v>2544467789</v>
      </c>
      <c r="L90" s="100">
        <v>2570598913</v>
      </c>
      <c r="M90" s="100">
        <v>2596998398</v>
      </c>
      <c r="N90">
        <v>2623669000</v>
      </c>
      <c r="O90">
        <v>2653988446</v>
      </c>
      <c r="P90">
        <v>2684658267</v>
      </c>
      <c r="Q90">
        <v>2715682513</v>
      </c>
      <c r="R90">
        <v>2745467125</v>
      </c>
      <c r="S90">
        <v>2775151740</v>
      </c>
      <c r="T90">
        <v>2804229571</v>
      </c>
      <c r="U90">
        <v>2833057577</v>
      </c>
      <c r="V90">
        <v>2863783189</v>
      </c>
      <c r="W90">
        <v>2894524521</v>
      </c>
      <c r="X90" s="100">
        <v>2924411523</v>
      </c>
      <c r="Y90">
        <v>2953544095</v>
      </c>
      <c r="Z90">
        <v>2981851909</v>
      </c>
      <c r="AA90">
        <v>3009484025</v>
      </c>
      <c r="AB90">
        <v>3036284686</v>
      </c>
      <c r="AC90">
        <v>3062184172</v>
      </c>
      <c r="AD90">
        <v>3087964217</v>
      </c>
      <c r="AE90">
        <v>3113483048</v>
      </c>
      <c r="AF90">
        <v>3138686341</v>
      </c>
      <c r="AG90">
        <v>3163564425</v>
      </c>
      <c r="AH90">
        <v>3188384924</v>
      </c>
      <c r="AI90">
        <v>3212818008</v>
      </c>
      <c r="AJ90">
        <v>3236712515</v>
      </c>
      <c r="AK90">
        <v>3260337894</v>
      </c>
      <c r="AL90">
        <v>3283638812</v>
      </c>
      <c r="AM90">
        <v>3306510935</v>
      </c>
      <c r="AN90">
        <v>3328474335</v>
      </c>
      <c r="AO90">
        <v>3349315510</v>
      </c>
      <c r="AP90">
        <v>3369011741</v>
      </c>
      <c r="AQ90">
        <v>3387834688</v>
      </c>
      <c r="AR90">
        <v>3405571666</v>
      </c>
      <c r="AS90">
        <v>3422253727</v>
      </c>
      <c r="AT90">
        <v>3438013091</v>
      </c>
      <c r="AU90">
        <v>3452736286</v>
      </c>
      <c r="AV90">
        <v>3466409026</v>
      </c>
      <c r="AW90">
        <v>3479017918</v>
      </c>
    </row>
    <row r="91" spans="2:49" x14ac:dyDescent="0.25">
      <c r="B91" t="s">
        <v>392</v>
      </c>
      <c r="C91" s="100">
        <v>640398.31806251395</v>
      </c>
      <c r="D91">
        <v>650680.12020171306</v>
      </c>
      <c r="E91">
        <v>661127</v>
      </c>
      <c r="F91">
        <v>1871731.0290000001</v>
      </c>
      <c r="G91" s="100">
        <v>3528901.0269999998</v>
      </c>
      <c r="H91">
        <v>5259240.7189999996</v>
      </c>
      <c r="I91">
        <v>6667211.0839999998</v>
      </c>
      <c r="J91">
        <v>8006462.6430000002</v>
      </c>
      <c r="K91" s="100">
        <v>9420124.6160000004</v>
      </c>
      <c r="L91" s="100">
        <v>10976078.119999999</v>
      </c>
      <c r="M91">
        <v>12673890.49</v>
      </c>
      <c r="N91" s="100">
        <v>14458920.970000001</v>
      </c>
      <c r="O91">
        <v>16085203.699999999</v>
      </c>
      <c r="P91">
        <v>18070620.710000001</v>
      </c>
      <c r="Q91">
        <v>20683911.440000001</v>
      </c>
      <c r="R91">
        <v>24750498.100000001</v>
      </c>
      <c r="S91">
        <v>29787144.140000001</v>
      </c>
      <c r="T91">
        <v>36000990.060000002</v>
      </c>
      <c r="U91">
        <v>43009437.409999996</v>
      </c>
      <c r="V91">
        <v>50596496.380000003</v>
      </c>
      <c r="W91">
        <v>57863978.340000004</v>
      </c>
      <c r="X91">
        <v>65037622.859999999</v>
      </c>
      <c r="Y91">
        <v>71101836.510000005</v>
      </c>
      <c r="Z91">
        <v>76298969.939999998</v>
      </c>
      <c r="AA91">
        <v>81384110.799999997</v>
      </c>
      <c r="AB91">
        <v>86561555.370000005</v>
      </c>
      <c r="AC91">
        <v>91955509.489999995</v>
      </c>
      <c r="AD91">
        <v>97672293.469999999</v>
      </c>
      <c r="AE91">
        <v>103748116.7</v>
      </c>
      <c r="AF91">
        <v>110213236.2</v>
      </c>
      <c r="AG91">
        <v>117091944.59999999</v>
      </c>
      <c r="AH91">
        <v>124402981.7</v>
      </c>
      <c r="AI91" s="100">
        <v>132133057.7</v>
      </c>
      <c r="AJ91">
        <v>140286089.69999999</v>
      </c>
      <c r="AK91">
        <v>148909444.59999999</v>
      </c>
      <c r="AL91" s="100">
        <v>158044469.30000001</v>
      </c>
      <c r="AM91">
        <v>167724403.5</v>
      </c>
      <c r="AN91">
        <v>177942061.5</v>
      </c>
      <c r="AO91">
        <v>188723669.30000001</v>
      </c>
      <c r="AP91">
        <v>200109534.09999999</v>
      </c>
      <c r="AQ91">
        <v>212181322.19999999</v>
      </c>
      <c r="AR91" s="100">
        <v>224933721.59999999</v>
      </c>
      <c r="AS91">
        <v>238397271</v>
      </c>
      <c r="AT91">
        <v>252631594.80000001</v>
      </c>
      <c r="AU91">
        <v>267638060.69999999</v>
      </c>
      <c r="AV91">
        <v>283432952.30000001</v>
      </c>
      <c r="AW91">
        <v>300005547.19999999</v>
      </c>
    </row>
    <row r="92" spans="2:49" x14ac:dyDescent="0.25">
      <c r="B92" t="s">
        <v>393</v>
      </c>
      <c r="C92" s="100">
        <v>41062689.603059798</v>
      </c>
      <c r="D92">
        <v>41721964.366740197</v>
      </c>
      <c r="E92">
        <v>42391824</v>
      </c>
      <c r="F92">
        <v>48305753.189999998</v>
      </c>
      <c r="G92" s="100">
        <v>55234701.789999999</v>
      </c>
      <c r="H92">
        <v>62346392.060000002</v>
      </c>
      <c r="I92">
        <v>67960899.930000007</v>
      </c>
      <c r="J92">
        <v>73364889.840000004</v>
      </c>
      <c r="K92" s="100">
        <v>79074202.939999998</v>
      </c>
      <c r="L92" s="100">
        <v>85730776.980000004</v>
      </c>
      <c r="M92">
        <v>92849344.769999996</v>
      </c>
      <c r="N92">
        <v>99971103.109999999</v>
      </c>
      <c r="O92">
        <v>105724693.40000001</v>
      </c>
      <c r="P92">
        <v>112643056.5</v>
      </c>
      <c r="Q92">
        <v>121455716.8</v>
      </c>
      <c r="R92">
        <v>135846541.80000001</v>
      </c>
      <c r="S92">
        <v>152388813.19999999</v>
      </c>
      <c r="T92">
        <v>172623689.40000001</v>
      </c>
      <c r="U92">
        <v>193342957.09999999</v>
      </c>
      <c r="V92">
        <v>214899544.09999999</v>
      </c>
      <c r="W92">
        <v>234337150.09999999</v>
      </c>
      <c r="X92">
        <v>253485140.19999999</v>
      </c>
      <c r="Y92">
        <v>268977066</v>
      </c>
      <c r="Z92">
        <v>282687116</v>
      </c>
      <c r="AA92">
        <v>295612645.30000001</v>
      </c>
      <c r="AB92">
        <v>308286508.60000002</v>
      </c>
      <c r="AC92">
        <v>320997767.10000002</v>
      </c>
      <c r="AD92">
        <v>333921492.69999999</v>
      </c>
      <c r="AE92">
        <v>347094409.30000001</v>
      </c>
      <c r="AF92">
        <v>360552386.80000001</v>
      </c>
      <c r="AG92">
        <v>374315170.19999999</v>
      </c>
      <c r="AH92">
        <v>388372676</v>
      </c>
      <c r="AI92">
        <v>402687058.5</v>
      </c>
      <c r="AJ92">
        <v>417247412.60000002</v>
      </c>
      <c r="AK92">
        <v>432092251.80000001</v>
      </c>
      <c r="AL92">
        <v>447255676.5</v>
      </c>
      <c r="AM92">
        <v>462753764.5</v>
      </c>
      <c r="AN92">
        <v>478560063.89999998</v>
      </c>
      <c r="AO92">
        <v>494711755.89999998</v>
      </c>
      <c r="AP92">
        <v>511229238.5</v>
      </c>
      <c r="AQ92">
        <v>528166717.19999999</v>
      </c>
      <c r="AR92">
        <v>545456695.79999995</v>
      </c>
      <c r="AS92">
        <v>563076009.89999998</v>
      </c>
      <c r="AT92">
        <v>581042421.89999998</v>
      </c>
      <c r="AU92">
        <v>599287004.70000005</v>
      </c>
      <c r="AV92">
        <v>617731776</v>
      </c>
      <c r="AW92">
        <v>636291619.20000005</v>
      </c>
    </row>
    <row r="93" spans="2:49" x14ac:dyDescent="0.25">
      <c r="B93" t="s">
        <v>394</v>
      </c>
      <c r="C93" s="100">
        <v>291506404.18067801</v>
      </c>
      <c r="D93" s="100">
        <v>296186633.79021603</v>
      </c>
      <c r="E93" s="100">
        <v>300942006</v>
      </c>
      <c r="F93" s="100">
        <v>329947677.80000001</v>
      </c>
      <c r="G93">
        <v>359749538.89999998</v>
      </c>
      <c r="H93">
        <v>389252175.80000001</v>
      </c>
      <c r="I93">
        <v>413626004.80000001</v>
      </c>
      <c r="J93">
        <v>437609892.39999998</v>
      </c>
      <c r="K93" s="100">
        <v>463487156.5</v>
      </c>
      <c r="L93" s="100">
        <v>491551506.80000001</v>
      </c>
      <c r="M93">
        <v>518831169.10000002</v>
      </c>
      <c r="N93">
        <v>542873342.5</v>
      </c>
      <c r="O93">
        <v>562428932.70000005</v>
      </c>
      <c r="P93">
        <v>579416689.60000002</v>
      </c>
      <c r="Q93">
        <v>597909915.79999995</v>
      </c>
      <c r="R93">
        <v>622074877.29999995</v>
      </c>
      <c r="S93">
        <v>647403930.79999995</v>
      </c>
      <c r="T93">
        <v>674505391.70000005</v>
      </c>
      <c r="U93">
        <v>700679512.10000002</v>
      </c>
      <c r="V93">
        <v>726931236.60000002</v>
      </c>
      <c r="W93">
        <v>750764362.89999998</v>
      </c>
      <c r="X93">
        <v>773197567.20000005</v>
      </c>
      <c r="Y93">
        <v>792636565.60000002</v>
      </c>
      <c r="Z93">
        <v>809915213.60000002</v>
      </c>
      <c r="AA93">
        <v>825358883.20000005</v>
      </c>
      <c r="AB93">
        <v>839180725.79999995</v>
      </c>
      <c r="AC93">
        <v>851543692.89999998</v>
      </c>
      <c r="AD93">
        <v>862883442.20000005</v>
      </c>
      <c r="AE93">
        <v>873249931.89999998</v>
      </c>
      <c r="AF93">
        <v>882730829.5</v>
      </c>
      <c r="AG93">
        <v>891412526.79999995</v>
      </c>
      <c r="AH93">
        <v>899455293.5</v>
      </c>
      <c r="AI93">
        <v>906797293.79999995</v>
      </c>
      <c r="AJ93">
        <v>913445887</v>
      </c>
      <c r="AK93">
        <v>919529507.29999995</v>
      </c>
      <c r="AL93">
        <v>925043597.79999995</v>
      </c>
      <c r="AM93">
        <v>929961572.39999998</v>
      </c>
      <c r="AN93">
        <v>934177580.89999998</v>
      </c>
      <c r="AO93">
        <v>937787109.39999998</v>
      </c>
      <c r="AP93">
        <v>940844872</v>
      </c>
      <c r="AQ93">
        <v>943451465.10000002</v>
      </c>
      <c r="AR93">
        <v>945527508.89999998</v>
      </c>
      <c r="AS93">
        <v>947080943.89999998</v>
      </c>
      <c r="AT93">
        <v>948177039.5</v>
      </c>
      <c r="AU93">
        <v>948772254.20000005</v>
      </c>
      <c r="AV93">
        <v>948831545.39999998</v>
      </c>
      <c r="AW93">
        <v>948327782</v>
      </c>
    </row>
    <row r="94" spans="2:49" x14ac:dyDescent="0.25">
      <c r="B94" t="s">
        <v>395</v>
      </c>
      <c r="C94" s="100">
        <v>640671991.67983496</v>
      </c>
      <c r="D94" s="100">
        <v>650958187.73748195</v>
      </c>
      <c r="E94" s="100">
        <v>661409532</v>
      </c>
      <c r="F94" s="100">
        <v>679063289.29999995</v>
      </c>
      <c r="G94" s="100">
        <v>696728989</v>
      </c>
      <c r="H94" s="100">
        <v>714644217.39999998</v>
      </c>
      <c r="I94" s="100">
        <v>730409205.20000005</v>
      </c>
      <c r="J94" s="100">
        <v>746521869.5</v>
      </c>
      <c r="K94" s="100">
        <v>764479421.70000005</v>
      </c>
      <c r="L94" s="100">
        <v>783753070.39999998</v>
      </c>
      <c r="M94" s="100">
        <v>802170920.79999995</v>
      </c>
      <c r="N94" s="100">
        <v>818048087.60000002</v>
      </c>
      <c r="O94" s="100">
        <v>832467761.60000002</v>
      </c>
      <c r="P94" s="100">
        <v>843750704.10000002</v>
      </c>
      <c r="Q94" s="100">
        <v>854759086.10000002</v>
      </c>
      <c r="R94" s="100">
        <v>864801303</v>
      </c>
      <c r="S94">
        <v>874348039</v>
      </c>
      <c r="T94">
        <v>881879057.20000005</v>
      </c>
      <c r="U94">
        <v>888793616.39999998</v>
      </c>
      <c r="V94">
        <v>895881200</v>
      </c>
      <c r="W94">
        <v>903762814.29999995</v>
      </c>
      <c r="X94">
        <v>910997180.29999995</v>
      </c>
      <c r="Y94">
        <v>919696733.5</v>
      </c>
      <c r="Z94">
        <v>928486295.70000005</v>
      </c>
      <c r="AA94" s="100">
        <v>936680261.70000005</v>
      </c>
      <c r="AB94" s="100">
        <v>943849079.10000002</v>
      </c>
      <c r="AC94" s="100">
        <v>949791805.29999995</v>
      </c>
      <c r="AD94" s="100">
        <v>954874123.79999995</v>
      </c>
      <c r="AE94" s="100">
        <v>959035899.10000002</v>
      </c>
      <c r="AF94" s="100">
        <v>962278839.5</v>
      </c>
      <c r="AG94" s="100">
        <v>964631675</v>
      </c>
      <c r="AH94" s="100">
        <v>966284378</v>
      </c>
      <c r="AI94" s="100">
        <v>967109346.29999995</v>
      </c>
      <c r="AJ94" s="100">
        <v>967063437.79999995</v>
      </c>
      <c r="AK94" s="100">
        <v>966267335.5</v>
      </c>
      <c r="AL94" s="100">
        <v>964646315.70000005</v>
      </c>
      <c r="AM94" s="100">
        <v>962112951.60000002</v>
      </c>
      <c r="AN94" s="100">
        <v>958448882.70000005</v>
      </c>
      <c r="AO94" s="100">
        <v>953590232.29999995</v>
      </c>
      <c r="AP94" s="100">
        <v>947531421.79999995</v>
      </c>
      <c r="AQ94" s="100">
        <v>940357020.79999995</v>
      </c>
      <c r="AR94" s="100">
        <v>932012645.89999998</v>
      </c>
      <c r="AS94" s="100">
        <v>922533280.79999995</v>
      </c>
      <c r="AT94" s="100">
        <v>911978869.10000002</v>
      </c>
      <c r="AU94" s="100">
        <v>900362308.10000002</v>
      </c>
      <c r="AV94" s="100">
        <v>887746239.79999995</v>
      </c>
      <c r="AW94">
        <v>875684406.60000002</v>
      </c>
    </row>
    <row r="95" spans="2:49" x14ac:dyDescent="0.25">
      <c r="B95" t="s">
        <v>396</v>
      </c>
      <c r="C95">
        <v>762047427.55376601</v>
      </c>
      <c r="D95">
        <v>774282345.494367</v>
      </c>
      <c r="E95">
        <v>786713699</v>
      </c>
      <c r="F95">
        <v>767717818.79999995</v>
      </c>
      <c r="G95" s="100">
        <v>747858640.79999995</v>
      </c>
      <c r="H95" s="100">
        <v>728391712.10000002</v>
      </c>
      <c r="I95" s="100">
        <v>714228879.39999998</v>
      </c>
      <c r="J95" s="100">
        <v>700642204.79999995</v>
      </c>
      <c r="K95" s="100">
        <v>685354659.70000005</v>
      </c>
      <c r="L95" s="100">
        <v>668090237.29999995</v>
      </c>
      <c r="M95" s="100">
        <v>651664168.10000002</v>
      </c>
      <c r="N95">
        <v>638411654.89999998</v>
      </c>
      <c r="O95">
        <v>631072637.79999995</v>
      </c>
      <c r="P95">
        <v>626045694.70000005</v>
      </c>
      <c r="Q95">
        <v>619253361.70000005</v>
      </c>
      <c r="R95">
        <v>605690499.5</v>
      </c>
      <c r="S95">
        <v>590245915.70000005</v>
      </c>
      <c r="T95">
        <v>572144100</v>
      </c>
      <c r="U95">
        <v>554247564.70000005</v>
      </c>
      <c r="V95">
        <v>536650189.10000002</v>
      </c>
      <c r="W95">
        <v>521464348.39999998</v>
      </c>
      <c r="X95">
        <v>507295370.80000001</v>
      </c>
      <c r="Y95">
        <v>496301351.10000002</v>
      </c>
      <c r="Z95">
        <v>487504133.39999998</v>
      </c>
      <c r="AA95">
        <v>480161895.60000002</v>
      </c>
      <c r="AB95">
        <v>473887097.89999998</v>
      </c>
      <c r="AC95">
        <v>468428947</v>
      </c>
      <c r="AD95">
        <v>463622110</v>
      </c>
      <c r="AE95">
        <v>459358033.69999999</v>
      </c>
      <c r="AF95">
        <v>455527213.30000001</v>
      </c>
      <c r="AG95" s="100">
        <v>452041980.19999999</v>
      </c>
      <c r="AH95" s="100">
        <v>448856362.39999998</v>
      </c>
      <c r="AI95">
        <v>445924660</v>
      </c>
      <c r="AJ95" s="100">
        <v>443190955.30000001</v>
      </c>
      <c r="AK95" s="100">
        <v>440619487.39999998</v>
      </c>
      <c r="AL95">
        <v>438179702</v>
      </c>
      <c r="AM95">
        <v>435847674.30000001</v>
      </c>
      <c r="AN95" s="100">
        <v>433557258.30000001</v>
      </c>
      <c r="AO95" s="100">
        <v>431147099.19999999</v>
      </c>
      <c r="AP95" s="100">
        <v>428546262.5</v>
      </c>
      <c r="AQ95" s="100">
        <v>425727391.60000002</v>
      </c>
      <c r="AR95" s="100">
        <v>422686490.60000002</v>
      </c>
      <c r="AS95">
        <v>419412732.60000002</v>
      </c>
      <c r="AT95">
        <v>415868810.39999998</v>
      </c>
      <c r="AU95">
        <v>412046591.60000002</v>
      </c>
      <c r="AV95">
        <v>407957317.39999998</v>
      </c>
      <c r="AW95">
        <v>403620168</v>
      </c>
    </row>
    <row r="96" spans="2:49" x14ac:dyDescent="0.25">
      <c r="B96" t="s">
        <v>397</v>
      </c>
      <c r="C96">
        <v>399231640.45290101</v>
      </c>
      <c r="D96">
        <v>405641433.57550502</v>
      </c>
      <c r="E96">
        <v>412154138</v>
      </c>
      <c r="F96">
        <v>399768577.60000002</v>
      </c>
      <c r="G96" s="100">
        <v>387105310.89999998</v>
      </c>
      <c r="H96" s="100">
        <v>374735337.69999999</v>
      </c>
      <c r="I96" s="100">
        <v>365442127.69999999</v>
      </c>
      <c r="J96" s="100">
        <v>356455622.39999998</v>
      </c>
      <c r="K96" s="100">
        <v>346444342.89999998</v>
      </c>
      <c r="L96" s="100">
        <v>335401585.19999999</v>
      </c>
      <c r="M96">
        <v>325057208</v>
      </c>
      <c r="N96">
        <v>316757917.69999999</v>
      </c>
      <c r="O96">
        <v>311880887.89999998</v>
      </c>
      <c r="P96">
        <v>308557856.69999999</v>
      </c>
      <c r="Q96">
        <v>304456004</v>
      </c>
      <c r="R96">
        <v>297073345.39999998</v>
      </c>
      <c r="S96">
        <v>288856910.89999998</v>
      </c>
      <c r="T96">
        <v>279491706.89999998</v>
      </c>
      <c r="U96">
        <v>270236774</v>
      </c>
      <c r="V96">
        <v>261159115.09999999</v>
      </c>
      <c r="W96">
        <v>253177099.80000001</v>
      </c>
      <c r="X96">
        <v>245691636.19999999</v>
      </c>
      <c r="Y96">
        <v>239641361.80000001</v>
      </c>
      <c r="Z96">
        <v>234673302.30000001</v>
      </c>
      <c r="AA96">
        <v>230478250.40000001</v>
      </c>
      <c r="AB96">
        <v>226882988.59999999</v>
      </c>
      <c r="AC96">
        <v>223765480.80000001</v>
      </c>
      <c r="AD96">
        <v>221037081.19999999</v>
      </c>
      <c r="AE96">
        <v>218634070.09999999</v>
      </c>
      <c r="AF96">
        <v>216493791.59999999</v>
      </c>
      <c r="AG96">
        <v>214565071.09999999</v>
      </c>
      <c r="AH96">
        <v>212815629.30000001</v>
      </c>
      <c r="AI96">
        <v>211216324.19999999</v>
      </c>
      <c r="AJ96">
        <v>209734907.19999999</v>
      </c>
      <c r="AK96">
        <v>208350356.30000001</v>
      </c>
      <c r="AL96">
        <v>207046826.90000001</v>
      </c>
      <c r="AM96">
        <v>205811467.59999999</v>
      </c>
      <c r="AN96">
        <v>204608636.69999999</v>
      </c>
      <c r="AO96">
        <v>203350546.59999999</v>
      </c>
      <c r="AP96">
        <v>201998120.19999999</v>
      </c>
      <c r="AQ96">
        <v>200535848.30000001</v>
      </c>
      <c r="AR96">
        <v>198960193.80000001</v>
      </c>
      <c r="AS96">
        <v>197263787.09999999</v>
      </c>
      <c r="AT96">
        <v>195425381.09999999</v>
      </c>
      <c r="AU96">
        <v>193439620.80000001</v>
      </c>
      <c r="AV96">
        <v>191310337.19999999</v>
      </c>
      <c r="AW96">
        <v>189045730.40000001</v>
      </c>
    </row>
    <row r="97" spans="2:49" x14ac:dyDescent="0.25">
      <c r="B97" t="s">
        <v>398</v>
      </c>
      <c r="C97">
        <v>182970972.649156</v>
      </c>
      <c r="D97" s="100">
        <v>185908630.79867601</v>
      </c>
      <c r="E97" s="100">
        <v>188893454</v>
      </c>
      <c r="F97" s="100">
        <v>191068218.19999999</v>
      </c>
      <c r="G97">
        <v>192366672.80000001</v>
      </c>
      <c r="H97">
        <v>193028364</v>
      </c>
      <c r="I97" s="100">
        <v>194665410.59999999</v>
      </c>
      <c r="J97" s="100">
        <v>196001355.69999999</v>
      </c>
      <c r="K97" s="100">
        <v>196207880.30000001</v>
      </c>
      <c r="L97" s="100">
        <v>195095658</v>
      </c>
      <c r="M97">
        <v>193751696.59999999</v>
      </c>
      <c r="N97">
        <v>193147973.09999999</v>
      </c>
      <c r="O97" s="100">
        <v>194328328.90000001</v>
      </c>
      <c r="P97">
        <v>196173644.80000001</v>
      </c>
      <c r="Q97">
        <v>197164516.90000001</v>
      </c>
      <c r="R97">
        <v>195230060.30000001</v>
      </c>
      <c r="S97">
        <v>192120985.90000001</v>
      </c>
      <c r="T97">
        <v>187584636</v>
      </c>
      <c r="U97">
        <v>182747715.30000001</v>
      </c>
      <c r="V97">
        <v>177665408.09999999</v>
      </c>
      <c r="W97">
        <v>173154767.19999999</v>
      </c>
      <c r="X97">
        <v>168707005.40000001</v>
      </c>
      <c r="Y97">
        <v>165189180.59999999</v>
      </c>
      <c r="Z97">
        <v>162286878.40000001</v>
      </c>
      <c r="AA97">
        <v>159807978.09999999</v>
      </c>
      <c r="AB97">
        <v>157636730.80000001</v>
      </c>
      <c r="AC97">
        <v>155700969.59999999</v>
      </c>
      <c r="AD97">
        <v>153953673.69999999</v>
      </c>
      <c r="AE97">
        <v>152362586.90000001</v>
      </c>
      <c r="AF97">
        <v>150890044.30000001</v>
      </c>
      <c r="AG97">
        <v>149506056.90000001</v>
      </c>
      <c r="AH97">
        <v>148197603.5</v>
      </c>
      <c r="AI97">
        <v>146950267.59999999</v>
      </c>
      <c r="AJ97">
        <v>145743825.69999999</v>
      </c>
      <c r="AK97">
        <v>144569510.5</v>
      </c>
      <c r="AL97">
        <v>143422224</v>
      </c>
      <c r="AM97">
        <v>142299100.90000001</v>
      </c>
      <c r="AN97">
        <v>141179851</v>
      </c>
      <c r="AO97">
        <v>140005097.19999999</v>
      </c>
      <c r="AP97">
        <v>138752291.59999999</v>
      </c>
      <c r="AQ97">
        <v>137414922.40000001</v>
      </c>
      <c r="AR97">
        <v>135994409.40000001</v>
      </c>
      <c r="AS97">
        <v>134489702.19999999</v>
      </c>
      <c r="AT97">
        <v>132888973.59999999</v>
      </c>
      <c r="AU97">
        <v>131190445.7</v>
      </c>
      <c r="AV97">
        <v>129398857.7</v>
      </c>
      <c r="AW97">
        <v>127522154.3</v>
      </c>
    </row>
    <row r="98" spans="2:49" x14ac:dyDescent="0.25">
      <c r="B98" s="62" t="s">
        <v>399</v>
      </c>
      <c r="C98">
        <v>651205.12405279896</v>
      </c>
      <c r="D98">
        <v>661660.432957732</v>
      </c>
      <c r="E98">
        <v>672283.60519999999</v>
      </c>
      <c r="F98">
        <v>690924.66559999995</v>
      </c>
      <c r="G98">
        <v>678581.71100000001</v>
      </c>
      <c r="H98">
        <v>619435.65870000003</v>
      </c>
      <c r="I98">
        <v>636180.69220000005</v>
      </c>
      <c r="J98">
        <v>653802.57869999995</v>
      </c>
      <c r="K98">
        <v>644454.95090000005</v>
      </c>
      <c r="L98">
        <v>636957.33299999998</v>
      </c>
      <c r="M98">
        <v>640329.71609999996</v>
      </c>
      <c r="N98">
        <v>649163.82010000001</v>
      </c>
      <c r="O98">
        <v>659683.12349999999</v>
      </c>
      <c r="P98">
        <v>687399.4203</v>
      </c>
      <c r="Q98">
        <v>700150.70160000003</v>
      </c>
      <c r="R98">
        <v>714944.25320000004</v>
      </c>
      <c r="S98">
        <v>715124.38740000001</v>
      </c>
      <c r="T98">
        <v>728893.58200000005</v>
      </c>
      <c r="U98">
        <v>734472.83649999998</v>
      </c>
      <c r="V98">
        <v>748855.04960000003</v>
      </c>
      <c r="W98">
        <v>799025.75619999995</v>
      </c>
      <c r="X98">
        <v>855470.9976</v>
      </c>
      <c r="Y98">
        <v>920454.21409999998</v>
      </c>
      <c r="Z98">
        <v>1002102.084</v>
      </c>
      <c r="AA98">
        <v>1100291.4580000001</v>
      </c>
      <c r="AB98">
        <v>1216500.3430000001</v>
      </c>
      <c r="AC98">
        <v>1354053.943</v>
      </c>
      <c r="AD98">
        <v>1363226.909</v>
      </c>
      <c r="AE98">
        <v>1373245.899</v>
      </c>
      <c r="AF98">
        <v>1385017.5020000001</v>
      </c>
      <c r="AG98">
        <v>1398169.378</v>
      </c>
      <c r="AH98">
        <v>1412045.219</v>
      </c>
      <c r="AI98">
        <v>1429101.7919999999</v>
      </c>
      <c r="AJ98">
        <v>1446762.6939999999</v>
      </c>
      <c r="AK98">
        <v>1464739.9550000001</v>
      </c>
      <c r="AL98">
        <v>1483116.9040000001</v>
      </c>
      <c r="AM98">
        <v>1501518.74</v>
      </c>
      <c r="AN98">
        <v>1519582.257</v>
      </c>
      <c r="AO98">
        <v>1539129.7760000001</v>
      </c>
      <c r="AP98">
        <v>1558721.635</v>
      </c>
      <c r="AQ98">
        <v>1578496.6410000001</v>
      </c>
      <c r="AR98">
        <v>1597910.6129999999</v>
      </c>
      <c r="AS98">
        <v>1617570.9369999999</v>
      </c>
      <c r="AT98">
        <v>1637154.0109999999</v>
      </c>
      <c r="AU98">
        <v>1656981.11</v>
      </c>
      <c r="AV98">
        <v>1676976.889</v>
      </c>
      <c r="AW98">
        <v>1697747.1680000001</v>
      </c>
    </row>
    <row r="99" spans="2:49" x14ac:dyDescent="0.25">
      <c r="B99" t="s">
        <v>400</v>
      </c>
      <c r="C99">
        <v>11699515.674308199</v>
      </c>
      <c r="D99">
        <v>11887355.182774801</v>
      </c>
      <c r="E99">
        <v>12078210.52</v>
      </c>
      <c r="F99">
        <v>12394208.23</v>
      </c>
      <c r="G99">
        <v>12130936.02</v>
      </c>
      <c r="H99">
        <v>11018218.310000001</v>
      </c>
      <c r="I99">
        <v>11233802.220000001</v>
      </c>
      <c r="J99">
        <v>11656711.98</v>
      </c>
      <c r="K99">
        <v>11446952.24</v>
      </c>
      <c r="L99">
        <v>11263843.59</v>
      </c>
      <c r="M99">
        <v>11300821.92</v>
      </c>
      <c r="N99">
        <v>11409654.07</v>
      </c>
      <c r="O99">
        <v>11619492.98</v>
      </c>
      <c r="P99">
        <v>12136393.41</v>
      </c>
      <c r="Q99">
        <v>12362443.25</v>
      </c>
      <c r="R99">
        <v>12640256.91</v>
      </c>
      <c r="S99">
        <v>12680077.060000001</v>
      </c>
      <c r="T99">
        <v>13129142.92</v>
      </c>
      <c r="U99">
        <v>13153036.460000001</v>
      </c>
      <c r="V99">
        <v>13464057.210000001</v>
      </c>
      <c r="W99">
        <v>13465647.77</v>
      </c>
      <c r="X99">
        <v>13433254.49</v>
      </c>
      <c r="Y99">
        <v>13205881.189999999</v>
      </c>
      <c r="Z99">
        <v>13149015.92</v>
      </c>
      <c r="AA99">
        <v>13152329.49</v>
      </c>
      <c r="AB99">
        <v>13182386.619999999</v>
      </c>
      <c r="AC99">
        <v>13242332.43</v>
      </c>
      <c r="AD99">
        <v>13256315.33</v>
      </c>
      <c r="AE99" s="100">
        <v>13298323.699999999</v>
      </c>
      <c r="AF99" s="100">
        <v>13352527.529999999</v>
      </c>
      <c r="AG99">
        <v>13418781.550000001</v>
      </c>
      <c r="AH99">
        <v>13512597.1</v>
      </c>
      <c r="AI99">
        <v>13609972.33</v>
      </c>
      <c r="AJ99" s="100">
        <v>13701255.93</v>
      </c>
      <c r="AK99">
        <v>13813260.810000001</v>
      </c>
      <c r="AL99">
        <v>13926407.07</v>
      </c>
      <c r="AM99">
        <v>14034024.869999999</v>
      </c>
      <c r="AN99">
        <v>14111742.59</v>
      </c>
      <c r="AO99">
        <v>14206517.16</v>
      </c>
      <c r="AP99">
        <v>14299907.060000001</v>
      </c>
      <c r="AQ99">
        <v>14408403.23</v>
      </c>
      <c r="AR99">
        <v>14500594.189999999</v>
      </c>
      <c r="AS99">
        <v>14602231.34</v>
      </c>
      <c r="AT99">
        <v>14702551.689999999</v>
      </c>
      <c r="AU99">
        <v>14798020.33</v>
      </c>
      <c r="AV99">
        <v>14893068.710000001</v>
      </c>
      <c r="AW99">
        <v>15046382.359999999</v>
      </c>
    </row>
    <row r="100" spans="2:49" x14ac:dyDescent="0.25">
      <c r="B100" t="s">
        <v>401</v>
      </c>
      <c r="C100">
        <v>12350720.798361</v>
      </c>
      <c r="D100">
        <v>12549015.615732601</v>
      </c>
      <c r="E100">
        <v>12750494.119999999</v>
      </c>
      <c r="F100">
        <v>13085132.9</v>
      </c>
      <c r="G100" s="100">
        <v>12809517.73</v>
      </c>
      <c r="H100">
        <v>11637653.970000001</v>
      </c>
      <c r="I100">
        <v>11869982.91</v>
      </c>
      <c r="J100">
        <v>12310514.560000001</v>
      </c>
      <c r="K100" s="100">
        <v>12091407.189999999</v>
      </c>
      <c r="L100" s="100">
        <v>11900800.92</v>
      </c>
      <c r="M100" s="100">
        <v>11941151.640000001</v>
      </c>
      <c r="N100">
        <v>12058817.890000001</v>
      </c>
      <c r="O100">
        <v>12279176.1</v>
      </c>
      <c r="P100">
        <v>12823792.83</v>
      </c>
      <c r="Q100">
        <v>13062593.949999999</v>
      </c>
      <c r="R100">
        <v>13355201.16</v>
      </c>
      <c r="S100">
        <v>13395201.449999999</v>
      </c>
      <c r="T100">
        <v>13858036.5</v>
      </c>
      <c r="U100">
        <v>13887509.300000001</v>
      </c>
      <c r="V100">
        <v>14212912.26</v>
      </c>
      <c r="W100">
        <v>14264673.529999999</v>
      </c>
      <c r="X100">
        <v>14288725.49</v>
      </c>
      <c r="Y100">
        <v>14126335.41</v>
      </c>
      <c r="Z100">
        <v>14151118</v>
      </c>
      <c r="AA100">
        <v>14252620.949999999</v>
      </c>
      <c r="AB100">
        <v>14398886.960000001</v>
      </c>
      <c r="AC100">
        <v>14596386.380000001</v>
      </c>
      <c r="AD100">
        <v>14619542.24</v>
      </c>
      <c r="AE100">
        <v>14671569.6</v>
      </c>
      <c r="AF100">
        <v>14737545.029999999</v>
      </c>
      <c r="AG100">
        <v>14816950.92</v>
      </c>
      <c r="AH100">
        <v>14924642.32</v>
      </c>
      <c r="AI100">
        <v>15039074.130000001</v>
      </c>
      <c r="AJ100">
        <v>15148018.630000001</v>
      </c>
      <c r="AK100">
        <v>15278000.77</v>
      </c>
      <c r="AL100">
        <v>15409523.970000001</v>
      </c>
      <c r="AM100">
        <v>15535543.609999999</v>
      </c>
      <c r="AN100">
        <v>15631324.85</v>
      </c>
      <c r="AO100">
        <v>15745646.939999999</v>
      </c>
      <c r="AP100">
        <v>15858628.699999999</v>
      </c>
      <c r="AQ100">
        <v>15986899.869999999</v>
      </c>
      <c r="AR100">
        <v>16098504.810000001</v>
      </c>
      <c r="AS100">
        <v>16219802.279999999</v>
      </c>
      <c r="AT100">
        <v>16339705.699999999</v>
      </c>
      <c r="AU100">
        <v>16455001.439999999</v>
      </c>
      <c r="AV100">
        <v>16570045.6</v>
      </c>
      <c r="AW100">
        <v>16744129.529999999</v>
      </c>
    </row>
    <row r="101" spans="2:49" x14ac:dyDescent="0.25">
      <c r="B101" t="s">
        <v>402</v>
      </c>
      <c r="C101" s="100">
        <v>144913116.15770999</v>
      </c>
      <c r="D101" s="100">
        <v>147239743.11109701</v>
      </c>
      <c r="E101" s="100">
        <v>149603724.80000001</v>
      </c>
      <c r="F101">
        <v>147440958.80000001</v>
      </c>
      <c r="G101">
        <v>143812974.5</v>
      </c>
      <c r="H101">
        <v>143544547.69999999</v>
      </c>
      <c r="I101">
        <v>141382501.69999999</v>
      </c>
      <c r="J101">
        <v>138511955.59999999</v>
      </c>
      <c r="K101">
        <v>134850168</v>
      </c>
      <c r="L101">
        <v>132075306.8</v>
      </c>
      <c r="M101">
        <v>129895350.90000001</v>
      </c>
      <c r="N101">
        <v>128445311.09999999</v>
      </c>
      <c r="O101">
        <v>128398431.90000001</v>
      </c>
      <c r="P101">
        <v>127680866</v>
      </c>
      <c r="Q101">
        <v>125779847.8</v>
      </c>
      <c r="R101">
        <v>124807537.59999999</v>
      </c>
      <c r="S101">
        <v>123212072.3</v>
      </c>
      <c r="T101">
        <v>119996366.59999999</v>
      </c>
      <c r="U101">
        <v>116746367.2</v>
      </c>
      <c r="V101">
        <v>113282157.8</v>
      </c>
      <c r="W101">
        <v>112400788.2</v>
      </c>
      <c r="X101">
        <v>111349200.09999999</v>
      </c>
      <c r="Y101">
        <v>109513004.3</v>
      </c>
      <c r="Z101">
        <v>107764805.59999999</v>
      </c>
      <c r="AA101">
        <v>106091304.8</v>
      </c>
      <c r="AB101">
        <v>104458097.2</v>
      </c>
      <c r="AC101">
        <v>102838859.59999999</v>
      </c>
      <c r="AD101">
        <v>101272955.5</v>
      </c>
      <c r="AE101">
        <v>99597387.219999999</v>
      </c>
      <c r="AF101">
        <v>97891139.739999995</v>
      </c>
      <c r="AG101">
        <v>96177125.870000005</v>
      </c>
      <c r="AH101">
        <v>94397867.870000005</v>
      </c>
      <c r="AI101">
        <v>92802069.409999996</v>
      </c>
      <c r="AJ101">
        <v>91255411.469999999</v>
      </c>
      <c r="AK101">
        <v>89756082.620000005</v>
      </c>
      <c r="AL101">
        <v>88289058.400000006</v>
      </c>
      <c r="AM101">
        <v>86858000.540000007</v>
      </c>
      <c r="AN101">
        <v>85317597.890000001</v>
      </c>
      <c r="AO101">
        <v>83778813.659999996</v>
      </c>
      <c r="AP101">
        <v>82238533.370000005</v>
      </c>
      <c r="AQ101">
        <v>80697172.840000004</v>
      </c>
      <c r="AR101">
        <v>79154993.769999996</v>
      </c>
      <c r="AS101">
        <v>77575390.420000002</v>
      </c>
      <c r="AT101">
        <v>75993204.010000005</v>
      </c>
      <c r="AU101" s="100">
        <v>74403382.420000002</v>
      </c>
      <c r="AV101" s="100">
        <v>72811609.700000003</v>
      </c>
      <c r="AW101">
        <v>71231829.609999999</v>
      </c>
    </row>
    <row r="102" spans="2:49" x14ac:dyDescent="0.25">
      <c r="B102" t="s">
        <v>403</v>
      </c>
      <c r="C102" s="100">
        <v>1098851.8998263199</v>
      </c>
      <c r="D102" s="100">
        <v>1116494.32251175</v>
      </c>
      <c r="E102" s="100">
        <v>1134420</v>
      </c>
      <c r="F102" s="100">
        <v>1125173.801</v>
      </c>
      <c r="G102" s="100">
        <v>1113230.1370000001</v>
      </c>
      <c r="H102" s="100">
        <v>1100089.8060000001</v>
      </c>
      <c r="I102">
        <v>1093443.3419999999</v>
      </c>
      <c r="J102" s="100">
        <v>1086519.1950000001</v>
      </c>
      <c r="K102" s="100">
        <v>1075552.412</v>
      </c>
      <c r="L102" s="100">
        <v>1059925.1089999999</v>
      </c>
      <c r="M102" s="100">
        <v>1044486.075</v>
      </c>
      <c r="N102" s="100">
        <v>1033372.403</v>
      </c>
      <c r="O102">
        <v>1031323.14</v>
      </c>
      <c r="P102">
        <v>1032672.007</v>
      </c>
      <c r="Q102">
        <v>1030644.64</v>
      </c>
      <c r="R102">
        <v>1016316.387</v>
      </c>
      <c r="S102">
        <v>997707.07860000001</v>
      </c>
      <c r="T102">
        <v>973534.2452</v>
      </c>
      <c r="U102">
        <v>948708.62470000004</v>
      </c>
      <c r="V102">
        <v>923532.69429999997</v>
      </c>
      <c r="W102">
        <v>901544.86289999995</v>
      </c>
      <c r="X102">
        <v>880393.28529999999</v>
      </c>
      <c r="Y102">
        <v>863914.57960000006</v>
      </c>
      <c r="Z102">
        <v>850586.95620000002</v>
      </c>
      <c r="AA102">
        <v>839368.51040000003</v>
      </c>
      <c r="AB102">
        <v>829661.05980000005</v>
      </c>
      <c r="AC102">
        <v>821083.49</v>
      </c>
      <c r="AD102">
        <v>813426.83120000002</v>
      </c>
      <c r="AE102">
        <v>806517.10030000005</v>
      </c>
      <c r="AF102">
        <v>800173.23069999996</v>
      </c>
      <c r="AG102">
        <v>794252.45389999996</v>
      </c>
      <c r="AH102">
        <v>788698.94030000002</v>
      </c>
      <c r="AI102">
        <v>783425.6348</v>
      </c>
      <c r="AJ102">
        <v>778333.14679999999</v>
      </c>
      <c r="AK102">
        <v>773382.30440000002</v>
      </c>
      <c r="AL102">
        <v>768530.37560000003</v>
      </c>
      <c r="AM102">
        <v>763743.56680000003</v>
      </c>
      <c r="AN102">
        <v>758899.39870000002</v>
      </c>
      <c r="AO102">
        <v>753718.79139999999</v>
      </c>
      <c r="AP102">
        <v>748089.66099999996</v>
      </c>
      <c r="AQ102">
        <v>741982.30339999998</v>
      </c>
      <c r="AR102">
        <v>735390.53910000005</v>
      </c>
      <c r="AS102">
        <v>728305.33169999998</v>
      </c>
      <c r="AT102">
        <v>720673.20830000006</v>
      </c>
      <c r="AU102">
        <v>712483.4865</v>
      </c>
      <c r="AV102">
        <v>703760.33050000004</v>
      </c>
      <c r="AW102">
        <v>694677.08070000005</v>
      </c>
    </row>
    <row r="103" spans="2:49" x14ac:dyDescent="0.25">
      <c r="B103" t="s">
        <v>404</v>
      </c>
      <c r="C103">
        <v>1098851.8998263199</v>
      </c>
      <c r="D103">
        <v>1116494.32251175</v>
      </c>
      <c r="E103">
        <v>1134420</v>
      </c>
      <c r="F103">
        <v>1125173.801</v>
      </c>
      <c r="G103">
        <v>1113230.1370000001</v>
      </c>
      <c r="H103">
        <v>1100089.8060000001</v>
      </c>
      <c r="I103">
        <v>1093443.3419999999</v>
      </c>
      <c r="J103">
        <v>1086519.1950000001</v>
      </c>
      <c r="K103">
        <v>1075552.412</v>
      </c>
      <c r="L103">
        <v>1059925.1089999999</v>
      </c>
      <c r="M103">
        <v>1044486.075</v>
      </c>
      <c r="N103">
        <v>1033372.403</v>
      </c>
      <c r="O103">
        <v>1031323.14</v>
      </c>
      <c r="P103">
        <v>1032672.007</v>
      </c>
      <c r="Q103">
        <v>1030644.64</v>
      </c>
      <c r="R103">
        <v>1016316.387</v>
      </c>
      <c r="S103">
        <v>997707.07860000001</v>
      </c>
      <c r="T103">
        <v>973534.2452</v>
      </c>
      <c r="U103">
        <v>948708.62470000004</v>
      </c>
      <c r="V103">
        <v>923532.69429999997</v>
      </c>
      <c r="W103">
        <v>901544.86289999995</v>
      </c>
      <c r="X103">
        <v>880393.28529999999</v>
      </c>
      <c r="Y103">
        <v>863914.57960000006</v>
      </c>
      <c r="Z103">
        <v>850586.95620000002</v>
      </c>
      <c r="AA103">
        <v>839368.51040000003</v>
      </c>
      <c r="AB103">
        <v>829661.05980000005</v>
      </c>
      <c r="AC103">
        <v>821083.49</v>
      </c>
      <c r="AD103">
        <v>813426.83120000002</v>
      </c>
      <c r="AE103">
        <v>806517.10030000005</v>
      </c>
      <c r="AF103">
        <v>800173.23069999996</v>
      </c>
      <c r="AG103">
        <v>794252.45389999996</v>
      </c>
      <c r="AH103">
        <v>788698.94030000002</v>
      </c>
      <c r="AI103">
        <v>783425.6348</v>
      </c>
      <c r="AJ103">
        <v>778333.14679999999</v>
      </c>
      <c r="AK103">
        <v>773382.30440000002</v>
      </c>
      <c r="AL103">
        <v>768530.37560000003</v>
      </c>
      <c r="AM103">
        <v>763743.56680000003</v>
      </c>
      <c r="AN103">
        <v>758899.39870000002</v>
      </c>
      <c r="AO103">
        <v>753718.79139999999</v>
      </c>
      <c r="AP103">
        <v>748089.66099999996</v>
      </c>
      <c r="AQ103">
        <v>741982.30339999998</v>
      </c>
      <c r="AR103">
        <v>735390.53910000005</v>
      </c>
      <c r="AS103">
        <v>728305.33169999998</v>
      </c>
      <c r="AT103">
        <v>720673.20830000006</v>
      </c>
      <c r="AU103">
        <v>712483.4865</v>
      </c>
      <c r="AV103">
        <v>703760.33050000004</v>
      </c>
      <c r="AW103">
        <v>694677.08070000005</v>
      </c>
    </row>
    <row r="104" spans="2:49" x14ac:dyDescent="0.25">
      <c r="B104" t="s">
        <v>405</v>
      </c>
      <c r="C104" s="100">
        <v>105875266.531468</v>
      </c>
      <c r="D104">
        <v>107575128.18195701</v>
      </c>
      <c r="E104">
        <v>109302281.7</v>
      </c>
      <c r="F104">
        <v>107876330.90000001</v>
      </c>
      <c r="G104" s="100">
        <v>105530229.2</v>
      </c>
      <c r="H104">
        <v>106330023</v>
      </c>
      <c r="I104">
        <v>104398167.3</v>
      </c>
      <c r="J104">
        <v>102463832.59999999</v>
      </c>
      <c r="K104" s="100">
        <v>100385032.09999999</v>
      </c>
      <c r="L104" s="100">
        <v>98819260.299999997</v>
      </c>
      <c r="M104">
        <v>97422748.489999995</v>
      </c>
      <c r="N104" s="100">
        <v>96465812.769999996</v>
      </c>
      <c r="O104">
        <v>95801424.390000001</v>
      </c>
      <c r="P104">
        <v>95036933.879999995</v>
      </c>
      <c r="Q104">
        <v>94136059.340000004</v>
      </c>
      <c r="R104">
        <v>93971116.180000007</v>
      </c>
      <c r="S104">
        <v>93002607.439999998</v>
      </c>
      <c r="T104">
        <v>91669446.870000005</v>
      </c>
      <c r="U104">
        <v>89938754.060000002</v>
      </c>
      <c r="V104">
        <v>88020159.140000001</v>
      </c>
      <c r="W104">
        <v>86215290.519999996</v>
      </c>
      <c r="X104">
        <v>84304122.549999997</v>
      </c>
      <c r="Y104">
        <v>82892069.319999903</v>
      </c>
      <c r="Z104">
        <v>81506485.969999999</v>
      </c>
      <c r="AA104">
        <v>80131629.650000006</v>
      </c>
      <c r="AB104">
        <v>78753835.549999997</v>
      </c>
      <c r="AC104">
        <v>77362335.269999996</v>
      </c>
      <c r="AD104">
        <v>75961372.859999999</v>
      </c>
      <c r="AE104">
        <v>74450677.909999996</v>
      </c>
      <c r="AF104">
        <v>72908432.680000007</v>
      </c>
      <c r="AG104">
        <v>71351922.769999996</v>
      </c>
      <c r="AH104">
        <v>69723998.530000001</v>
      </c>
      <c r="AI104" s="100">
        <v>68167782.819999903</v>
      </c>
      <c r="AJ104">
        <v>66658304.780000001</v>
      </c>
      <c r="AK104">
        <v>65190738.840000004</v>
      </c>
      <c r="AL104" s="100">
        <v>63759738.539999999</v>
      </c>
      <c r="AM104">
        <v>62365678.890000001</v>
      </c>
      <c r="AN104">
        <v>60905754.060000002</v>
      </c>
      <c r="AO104">
        <v>59454031.57</v>
      </c>
      <c r="AP104">
        <v>58017477.789999999</v>
      </c>
      <c r="AQ104">
        <v>56598103.43</v>
      </c>
      <c r="AR104" s="100">
        <v>55195417.759999998</v>
      </c>
      <c r="AS104">
        <v>53788895.259999998</v>
      </c>
      <c r="AT104">
        <v>52402564.590000004</v>
      </c>
      <c r="AU104">
        <v>51033994.090000004</v>
      </c>
      <c r="AV104">
        <v>49685655.670000002</v>
      </c>
      <c r="AW104">
        <v>48363774.460000001</v>
      </c>
    </row>
    <row r="105" spans="2:49" x14ac:dyDescent="0.25">
      <c r="B105" t="s">
        <v>406</v>
      </c>
      <c r="C105" s="100">
        <v>105875266.531468</v>
      </c>
      <c r="D105">
        <v>107575128.18195701</v>
      </c>
      <c r="E105">
        <v>109302281.7</v>
      </c>
      <c r="F105">
        <v>107876330.90000001</v>
      </c>
      <c r="G105" s="100">
        <v>105530229.2</v>
      </c>
      <c r="H105">
        <v>106330023</v>
      </c>
      <c r="I105">
        <v>104398167.3</v>
      </c>
      <c r="J105">
        <v>102463832.59999999</v>
      </c>
      <c r="K105" s="100">
        <v>100385032.09999999</v>
      </c>
      <c r="L105" s="100">
        <v>98819260.299999997</v>
      </c>
      <c r="M105">
        <v>97422748.489999995</v>
      </c>
      <c r="N105">
        <v>96465812.769999996</v>
      </c>
      <c r="O105">
        <v>95801424.390000001</v>
      </c>
      <c r="P105">
        <v>95036933.879999995</v>
      </c>
      <c r="Q105">
        <v>94136059.340000004</v>
      </c>
      <c r="R105">
        <v>93971116.180000007</v>
      </c>
      <c r="S105">
        <v>93002607.439999998</v>
      </c>
      <c r="T105">
        <v>91669446.870000005</v>
      </c>
      <c r="U105">
        <v>89938754.060000002</v>
      </c>
      <c r="V105">
        <v>88020159.140000001</v>
      </c>
      <c r="W105">
        <v>86215290.519999996</v>
      </c>
      <c r="X105">
        <v>84304122.549999997</v>
      </c>
      <c r="Y105">
        <v>82892069.319999903</v>
      </c>
      <c r="Z105">
        <v>81506485.969999999</v>
      </c>
      <c r="AA105">
        <v>80131629.650000006</v>
      </c>
      <c r="AB105">
        <v>78753835.549999997</v>
      </c>
      <c r="AC105">
        <v>77362335.269999996</v>
      </c>
      <c r="AD105">
        <v>75961372.859999999</v>
      </c>
      <c r="AE105">
        <v>74450677.909999996</v>
      </c>
      <c r="AF105">
        <v>72908432.680000007</v>
      </c>
      <c r="AG105">
        <v>71351922.769999996</v>
      </c>
      <c r="AH105">
        <v>69723998.530000001</v>
      </c>
      <c r="AI105">
        <v>68167782.819999903</v>
      </c>
      <c r="AJ105">
        <v>66658304.780000001</v>
      </c>
      <c r="AK105">
        <v>65190738.840000004</v>
      </c>
      <c r="AL105">
        <v>63759738.539999999</v>
      </c>
      <c r="AM105">
        <v>62365678.890000001</v>
      </c>
      <c r="AN105">
        <v>60905754.060000002</v>
      </c>
      <c r="AO105">
        <v>59454031.57</v>
      </c>
      <c r="AP105">
        <v>58017477.789999999</v>
      </c>
      <c r="AQ105">
        <v>56598103.43</v>
      </c>
      <c r="AR105">
        <v>55195417.759999998</v>
      </c>
      <c r="AS105">
        <v>53788895.259999998</v>
      </c>
      <c r="AT105">
        <v>52402564.590000004</v>
      </c>
      <c r="AU105">
        <v>51033994.090000004</v>
      </c>
      <c r="AV105">
        <v>49685655.670000002</v>
      </c>
      <c r="AW105">
        <v>48363774.460000001</v>
      </c>
    </row>
    <row r="106" spans="2:49" x14ac:dyDescent="0.25">
      <c r="B106" t="s">
        <v>407</v>
      </c>
      <c r="C106">
        <v>37938997.726415001</v>
      </c>
      <c r="D106">
        <v>38548120.6066292</v>
      </c>
      <c r="E106">
        <v>39167023.149999999</v>
      </c>
      <c r="F106">
        <v>38439454.170000002</v>
      </c>
      <c r="G106">
        <v>37169515.140000001</v>
      </c>
      <c r="H106">
        <v>36114434.859999999</v>
      </c>
      <c r="I106">
        <v>35890891.030000001</v>
      </c>
      <c r="J106">
        <v>34961603.829999998</v>
      </c>
      <c r="K106" s="100">
        <v>33389583.440000001</v>
      </c>
      <c r="L106" s="100">
        <v>32196121.359999999</v>
      </c>
      <c r="M106">
        <v>31428116.289999999</v>
      </c>
      <c r="N106">
        <v>30946125.960000001</v>
      </c>
      <c r="O106">
        <v>31565684.420000002</v>
      </c>
      <c r="P106">
        <v>31611260.140000001</v>
      </c>
      <c r="Q106">
        <v>30613143.789999999</v>
      </c>
      <c r="R106">
        <v>29820105.010000002</v>
      </c>
      <c r="S106">
        <v>29211757.77</v>
      </c>
      <c r="T106">
        <v>27353385.48</v>
      </c>
      <c r="U106">
        <v>25858904.510000002</v>
      </c>
      <c r="V106">
        <v>24338465.989999998</v>
      </c>
      <c r="W106">
        <v>25283952.780000001</v>
      </c>
      <c r="X106">
        <v>26164684.239999998</v>
      </c>
      <c r="Y106">
        <v>25757020.390000001</v>
      </c>
      <c r="Z106">
        <v>25407732.719999999</v>
      </c>
      <c r="AA106">
        <v>25120306.629999999</v>
      </c>
      <c r="AB106">
        <v>24874600.600000001</v>
      </c>
      <c r="AC106">
        <v>24655440.850000001</v>
      </c>
      <c r="AD106">
        <v>24498155.77</v>
      </c>
      <c r="AE106">
        <v>24340192.210000001</v>
      </c>
      <c r="AF106">
        <v>24182533.829999998</v>
      </c>
      <c r="AG106">
        <v>24030950.640000001</v>
      </c>
      <c r="AH106">
        <v>23885170.390000001</v>
      </c>
      <c r="AI106">
        <v>23850860.960000001</v>
      </c>
      <c r="AJ106">
        <v>23818773.539999999</v>
      </c>
      <c r="AK106">
        <v>23791961.469999999</v>
      </c>
      <c r="AL106">
        <v>23760789.48</v>
      </c>
      <c r="AM106">
        <v>23728578.079999998</v>
      </c>
      <c r="AN106">
        <v>23652944.43</v>
      </c>
      <c r="AO106">
        <v>23571063.300000001</v>
      </c>
      <c r="AP106">
        <v>23472965.91</v>
      </c>
      <c r="AQ106">
        <v>23357087.100000001</v>
      </c>
      <c r="AR106">
        <v>23224185.469999999</v>
      </c>
      <c r="AS106">
        <v>23058189.82</v>
      </c>
      <c r="AT106">
        <v>22869966.210000001</v>
      </c>
      <c r="AU106">
        <v>22656904.84</v>
      </c>
      <c r="AV106">
        <v>22422193.699999999</v>
      </c>
      <c r="AW106">
        <v>22173378.079999998</v>
      </c>
    </row>
    <row r="107" spans="2:49" x14ac:dyDescent="0.25">
      <c r="B107" t="s">
        <v>408</v>
      </c>
      <c r="C107" s="100">
        <v>37938997.726415001</v>
      </c>
      <c r="D107" s="100">
        <v>38548120.6066292</v>
      </c>
      <c r="E107" s="100">
        <v>39167023.149999999</v>
      </c>
      <c r="F107" s="100">
        <v>38439454.170000002</v>
      </c>
      <c r="G107" s="100">
        <v>37169515.140000001</v>
      </c>
      <c r="H107">
        <v>36114434.859999999</v>
      </c>
      <c r="I107">
        <v>35890891.030000001</v>
      </c>
      <c r="J107">
        <v>34961603.829999998</v>
      </c>
      <c r="K107" s="100">
        <v>33389583.440000001</v>
      </c>
      <c r="L107" s="100">
        <v>32196121.359999999</v>
      </c>
      <c r="M107">
        <v>31428116.289999999</v>
      </c>
      <c r="N107">
        <v>30946125.960000001</v>
      </c>
      <c r="O107">
        <v>31565684.420000002</v>
      </c>
      <c r="P107">
        <v>31611260.140000001</v>
      </c>
      <c r="Q107">
        <v>30613143.789999999</v>
      </c>
      <c r="R107">
        <v>29820105.010000002</v>
      </c>
      <c r="S107">
        <v>29211757.77</v>
      </c>
      <c r="T107">
        <v>27353385.48</v>
      </c>
      <c r="U107">
        <v>25858904.510000002</v>
      </c>
      <c r="V107">
        <v>24338465.989999998</v>
      </c>
      <c r="W107">
        <v>25283952.780000001</v>
      </c>
      <c r="X107">
        <v>26164684.239999998</v>
      </c>
      <c r="Y107">
        <v>25757020.390000001</v>
      </c>
      <c r="Z107">
        <v>25407732.719999999</v>
      </c>
      <c r="AA107">
        <v>25120306.629999999</v>
      </c>
      <c r="AB107">
        <v>24874600.600000001</v>
      </c>
      <c r="AC107">
        <v>24655440.850000001</v>
      </c>
      <c r="AD107">
        <v>24498155.77</v>
      </c>
      <c r="AE107">
        <v>24340192.210000001</v>
      </c>
      <c r="AF107">
        <v>24182533.829999998</v>
      </c>
      <c r="AG107">
        <v>24030950.640000001</v>
      </c>
      <c r="AH107">
        <v>23885170.390000001</v>
      </c>
      <c r="AI107">
        <v>23850860.960000001</v>
      </c>
      <c r="AJ107">
        <v>23818773.539999999</v>
      </c>
      <c r="AK107">
        <v>23791961.469999999</v>
      </c>
      <c r="AL107">
        <v>23760789.48</v>
      </c>
      <c r="AM107">
        <v>23728578.079999998</v>
      </c>
      <c r="AN107">
        <v>23652944.43</v>
      </c>
      <c r="AO107">
        <v>23571063.300000001</v>
      </c>
      <c r="AP107">
        <v>23472965.91</v>
      </c>
      <c r="AQ107">
        <v>23357087.100000001</v>
      </c>
      <c r="AR107">
        <v>23224185.469999999</v>
      </c>
      <c r="AS107">
        <v>23058189.82</v>
      </c>
      <c r="AT107">
        <v>22869966.210000001</v>
      </c>
      <c r="AU107">
        <v>22656904.84</v>
      </c>
      <c r="AV107">
        <v>22422193.699999999</v>
      </c>
      <c r="AW107">
        <v>22173378.079999998</v>
      </c>
    </row>
    <row r="108" spans="2:49" x14ac:dyDescent="0.25">
      <c r="B108" t="s">
        <v>409</v>
      </c>
      <c r="C108">
        <v>7249974.6999914004</v>
      </c>
      <c r="D108">
        <v>7366375.3888705196</v>
      </c>
      <c r="E108">
        <v>7487365.2489999998</v>
      </c>
      <c r="F108">
        <v>7687917.3789999997</v>
      </c>
      <c r="G108" s="100">
        <v>7316111.1299999999</v>
      </c>
      <c r="H108">
        <v>7649433.9160000002</v>
      </c>
      <c r="I108">
        <v>7858468.4879999999</v>
      </c>
      <c r="J108">
        <v>7423422.8119999999</v>
      </c>
      <c r="K108" s="100">
        <v>7120041.3720000004</v>
      </c>
      <c r="L108" s="100">
        <v>6896790.29</v>
      </c>
      <c r="M108">
        <v>7342797.324</v>
      </c>
      <c r="N108">
        <v>7789480.8159999996</v>
      </c>
      <c r="O108">
        <v>8048327.4479999999</v>
      </c>
      <c r="P108">
        <v>8092452.3210000005</v>
      </c>
      <c r="Q108">
        <v>7530297.3109999998</v>
      </c>
      <c r="R108">
        <v>7517698.0199999996</v>
      </c>
      <c r="S108">
        <v>7542636.949</v>
      </c>
      <c r="T108">
        <v>7568915.2359999996</v>
      </c>
      <c r="U108">
        <v>7572419.1689999998</v>
      </c>
      <c r="V108">
        <v>7646486.9500000002</v>
      </c>
      <c r="W108">
        <v>7716787.1869999999</v>
      </c>
      <c r="X108">
        <v>7725630.335</v>
      </c>
      <c r="Y108">
        <v>7796153.5219999999</v>
      </c>
      <c r="Z108">
        <v>7900066.4079999998</v>
      </c>
      <c r="AA108">
        <v>8016159.9689999996</v>
      </c>
      <c r="AB108">
        <v>8134415.4709999999</v>
      </c>
      <c r="AC108">
        <v>8259031.6030000001</v>
      </c>
      <c r="AD108">
        <v>8370239.6129999999</v>
      </c>
      <c r="AE108">
        <v>8493690.77999999</v>
      </c>
      <c r="AF108">
        <v>8618410.1339999996</v>
      </c>
      <c r="AG108">
        <v>8750098.716</v>
      </c>
      <c r="AH108">
        <v>8899334.2919999994</v>
      </c>
      <c r="AI108">
        <v>9048687.9560000002</v>
      </c>
      <c r="AJ108">
        <v>9211100.3279999997</v>
      </c>
      <c r="AK108">
        <v>9375774.2620000001</v>
      </c>
      <c r="AL108">
        <v>9544947.2670000009</v>
      </c>
      <c r="AM108">
        <v>9716633.5830000006</v>
      </c>
      <c r="AN108">
        <v>9875617.3809999898</v>
      </c>
      <c r="AO108">
        <v>10036059.65</v>
      </c>
      <c r="AP108">
        <v>10192857.5</v>
      </c>
      <c r="AQ108">
        <v>10348665.699999999</v>
      </c>
      <c r="AR108">
        <v>10502491.18</v>
      </c>
      <c r="AS108">
        <v>10653122.779999999</v>
      </c>
      <c r="AT108">
        <v>10803763.91</v>
      </c>
      <c r="AU108">
        <v>10956450.98</v>
      </c>
      <c r="AV108">
        <v>11109924.310000001</v>
      </c>
      <c r="AW108">
        <v>11265992.439999999</v>
      </c>
    </row>
    <row r="109" spans="2:49" x14ac:dyDescent="0.25">
      <c r="B109" t="s">
        <v>410</v>
      </c>
      <c r="C109">
        <v>11428306.3019633</v>
      </c>
      <c r="D109">
        <v>11611791.4562317</v>
      </c>
      <c r="E109">
        <v>11800890.689999999</v>
      </c>
      <c r="F109">
        <v>11972055.02</v>
      </c>
      <c r="G109" s="100">
        <v>11278932.890000001</v>
      </c>
      <c r="H109" s="100">
        <v>11414923.699999999</v>
      </c>
      <c r="I109" s="100">
        <v>11264431.789999999</v>
      </c>
      <c r="J109" s="100">
        <v>10930540.380000001</v>
      </c>
      <c r="K109" s="100">
        <v>10231746.470000001</v>
      </c>
      <c r="L109" s="100">
        <v>9944857.7860000003</v>
      </c>
      <c r="M109">
        <v>10037553.279999999</v>
      </c>
      <c r="N109">
        <v>10187251.26</v>
      </c>
      <c r="O109">
        <v>9463514.5360000003</v>
      </c>
      <c r="P109">
        <v>8719164.8350000009</v>
      </c>
      <c r="Q109">
        <v>7838018.5240000002</v>
      </c>
      <c r="R109">
        <v>7295839.7759999996</v>
      </c>
      <c r="S109">
        <v>7011696.2570000002</v>
      </c>
      <c r="T109">
        <v>6845265.6310000001</v>
      </c>
      <c r="U109">
        <v>6762886.5429999996</v>
      </c>
      <c r="V109">
        <v>6730039.9730000002</v>
      </c>
      <c r="W109">
        <v>7001993.5499999998</v>
      </c>
      <c r="X109">
        <v>7218577.0350000001</v>
      </c>
      <c r="Y109">
        <v>7266281.2019999996</v>
      </c>
      <c r="Z109">
        <v>7330247.3049999997</v>
      </c>
      <c r="AA109">
        <v>7402469.2029999997</v>
      </c>
      <c r="AB109">
        <v>7476783.1849999996</v>
      </c>
      <c r="AC109">
        <v>7556281.6560000004</v>
      </c>
      <c r="AD109">
        <v>7635411.5109999999</v>
      </c>
      <c r="AE109">
        <v>7726146.6550000003</v>
      </c>
      <c r="AF109">
        <v>7819616.6399999997</v>
      </c>
      <c r="AG109">
        <v>7918559.8049999997</v>
      </c>
      <c r="AH109">
        <v>8033683.4950000001</v>
      </c>
      <c r="AI109">
        <v>8167719.2479999997</v>
      </c>
      <c r="AJ109">
        <v>8312654.3130000001</v>
      </c>
      <c r="AK109">
        <v>8461182.5460000001</v>
      </c>
      <c r="AL109">
        <v>8614184.4800000004</v>
      </c>
      <c r="AM109">
        <v>8770559.3350000009</v>
      </c>
      <c r="AN109">
        <v>8922398.8340000007</v>
      </c>
      <c r="AO109">
        <v>9078021.0930000003</v>
      </c>
      <c r="AP109">
        <v>9232652.9000000004</v>
      </c>
      <c r="AQ109">
        <v>9387385.0429999996</v>
      </c>
      <c r="AR109">
        <v>9541553.2650000006</v>
      </c>
      <c r="AS109">
        <v>9695117.3660000004</v>
      </c>
      <c r="AT109">
        <v>9849992.8440000005</v>
      </c>
      <c r="AU109">
        <v>10006830.41</v>
      </c>
      <c r="AV109">
        <v>10164784.84</v>
      </c>
      <c r="AW109">
        <v>10324289.550000001</v>
      </c>
    </row>
    <row r="110" spans="2:49" x14ac:dyDescent="0.25">
      <c r="B110" t="s">
        <v>411</v>
      </c>
      <c r="C110">
        <v>1153294.1412084801</v>
      </c>
      <c r="D110" s="100">
        <v>1171810.6516891399</v>
      </c>
      <c r="E110" s="100">
        <v>1190798.162</v>
      </c>
      <c r="F110" s="100">
        <v>1268529.1000000001</v>
      </c>
      <c r="G110">
        <v>1189663.57</v>
      </c>
      <c r="H110">
        <v>1036459.476</v>
      </c>
      <c r="I110" s="100">
        <v>1121716.0260000001</v>
      </c>
      <c r="J110" s="100">
        <v>1093131.7339999999</v>
      </c>
      <c r="K110" s="100">
        <v>1038195.677</v>
      </c>
      <c r="L110" s="100">
        <v>1023222.657</v>
      </c>
      <c r="M110">
        <v>1060639.111</v>
      </c>
      <c r="N110">
        <v>1155202.399</v>
      </c>
      <c r="O110">
        <v>1098150.5970000001</v>
      </c>
      <c r="P110">
        <v>1030407.626</v>
      </c>
      <c r="Q110">
        <v>914779.72149999999</v>
      </c>
      <c r="R110">
        <v>849560.79729999998</v>
      </c>
      <c r="S110">
        <v>755400.56960000005</v>
      </c>
      <c r="T110">
        <v>717511.63690000004</v>
      </c>
      <c r="U110">
        <v>699179.65449999995</v>
      </c>
      <c r="V110">
        <v>697922.81209999998</v>
      </c>
      <c r="W110">
        <v>721520.11670000001</v>
      </c>
      <c r="X110">
        <v>734840.56920000003</v>
      </c>
      <c r="Y110">
        <v>730895.42810000002</v>
      </c>
      <c r="Z110">
        <v>729496.11629999999</v>
      </c>
      <c r="AA110">
        <v>730928.11439999996</v>
      </c>
      <c r="AB110">
        <v>731979.14159999997</v>
      </c>
      <c r="AC110">
        <v>732704.43920000002</v>
      </c>
      <c r="AD110">
        <v>730878.70360000001</v>
      </c>
      <c r="AE110">
        <v>722891.25329999998</v>
      </c>
      <c r="AF110">
        <v>720417.82779999997</v>
      </c>
      <c r="AG110">
        <v>720413.69469999999</v>
      </c>
      <c r="AH110">
        <v>715068.0747</v>
      </c>
      <c r="AI110">
        <v>724446.57120000001</v>
      </c>
      <c r="AJ110">
        <v>731847.30070000002</v>
      </c>
      <c r="AK110">
        <v>737627.06290000002</v>
      </c>
      <c r="AL110">
        <v>743021.58089999994</v>
      </c>
      <c r="AM110">
        <v>747823.04850000003</v>
      </c>
      <c r="AN110">
        <v>750519.21409999998</v>
      </c>
      <c r="AO110">
        <v>755214.74959999998</v>
      </c>
      <c r="AP110">
        <v>760067.97459999996</v>
      </c>
      <c r="AQ110">
        <v>764960.07109999994</v>
      </c>
      <c r="AR110">
        <v>769588.49470000004</v>
      </c>
      <c r="AS110">
        <v>773469.38870000001</v>
      </c>
      <c r="AT110">
        <v>777719.62600000005</v>
      </c>
      <c r="AU110">
        <v>782273.25459999999</v>
      </c>
      <c r="AV110">
        <v>786873.68259999994</v>
      </c>
      <c r="AW110">
        <v>791826.60380000004</v>
      </c>
    </row>
    <row r="111" spans="2:49" x14ac:dyDescent="0.25">
      <c r="B111" t="s">
        <v>412</v>
      </c>
      <c r="C111">
        <v>6211298.5004764497</v>
      </c>
      <c r="D111">
        <v>6311022.9070030199</v>
      </c>
      <c r="E111">
        <v>6414338.9579999996</v>
      </c>
      <c r="F111">
        <v>6441570.1349999998</v>
      </c>
      <c r="G111">
        <v>5828165.7149999999</v>
      </c>
      <c r="H111">
        <v>5204320.7249999996</v>
      </c>
      <c r="I111">
        <v>4567357.7709999997</v>
      </c>
      <c r="J111">
        <v>4796013.92</v>
      </c>
      <c r="K111">
        <v>4286719.0669999998</v>
      </c>
      <c r="L111">
        <v>4084089.0580000002</v>
      </c>
      <c r="M111">
        <v>4153248.088</v>
      </c>
      <c r="N111">
        <v>4217985.6239999998</v>
      </c>
      <c r="O111">
        <v>4004345.568</v>
      </c>
      <c r="P111">
        <v>3705062.2080000001</v>
      </c>
      <c r="Q111">
        <v>3341825.2779999999</v>
      </c>
      <c r="R111">
        <v>3062334.98</v>
      </c>
      <c r="S111" s="100">
        <v>2815513.2629999998</v>
      </c>
      <c r="T111" s="100">
        <v>2668790.753</v>
      </c>
      <c r="U111" s="100">
        <v>2517031.58</v>
      </c>
      <c r="V111" s="100">
        <v>2384632.8829999999</v>
      </c>
      <c r="W111">
        <v>2484905.7510000002</v>
      </c>
      <c r="X111">
        <v>2571464.952</v>
      </c>
      <c r="Y111">
        <v>2756026.798</v>
      </c>
      <c r="Z111">
        <v>3015353.4950000001</v>
      </c>
      <c r="AA111">
        <v>3327882.983</v>
      </c>
      <c r="AB111">
        <v>3692914.03</v>
      </c>
      <c r="AC111">
        <v>4119538.662</v>
      </c>
      <c r="AD111">
        <v>4136811.1630000002</v>
      </c>
      <c r="AE111">
        <v>4154888.1430000002</v>
      </c>
      <c r="AF111">
        <v>4178263.4049999998</v>
      </c>
      <c r="AG111">
        <v>4204473.6169999996</v>
      </c>
      <c r="AH111">
        <v>4232476.2180000003</v>
      </c>
      <c r="AI111">
        <v>4276764.3339999998</v>
      </c>
      <c r="AJ111">
        <v>4321868.3480000002</v>
      </c>
      <c r="AK111">
        <v>4367307.9979999997</v>
      </c>
      <c r="AL111">
        <v>4413394.1890000002</v>
      </c>
      <c r="AM111">
        <v>4459225.04</v>
      </c>
      <c r="AN111">
        <v>4406230.1560000004</v>
      </c>
      <c r="AO111">
        <v>4336722.892</v>
      </c>
      <c r="AP111">
        <v>4260529.284</v>
      </c>
      <c r="AQ111">
        <v>4181271.2710000002</v>
      </c>
      <c r="AR111">
        <v>4098394.983</v>
      </c>
      <c r="AS111">
        <v>4067109.591</v>
      </c>
      <c r="AT111">
        <v>4044328.219</v>
      </c>
      <c r="AU111">
        <v>4022360.0720000002</v>
      </c>
      <c r="AV111">
        <v>3999509.8420000002</v>
      </c>
      <c r="AW111">
        <v>3976913.7930000001</v>
      </c>
    </row>
    <row r="112" spans="2:49" x14ac:dyDescent="0.25">
      <c r="B112" t="s">
        <v>413</v>
      </c>
      <c r="C112" s="100">
        <v>19068539.7330263</v>
      </c>
      <c r="D112">
        <v>19374691.306334</v>
      </c>
      <c r="E112">
        <v>19692663.129999999</v>
      </c>
      <c r="F112">
        <v>19854092.440000001</v>
      </c>
      <c r="G112" s="100">
        <v>18042980.350000001</v>
      </c>
      <c r="H112">
        <v>16049590.210000001</v>
      </c>
      <c r="I112">
        <v>14765164.6</v>
      </c>
      <c r="J112">
        <v>15776069.93</v>
      </c>
      <c r="K112">
        <v>14128146.609999999</v>
      </c>
      <c r="L112">
        <v>13508806.17</v>
      </c>
      <c r="M112">
        <v>13774790.890000001</v>
      </c>
      <c r="N112">
        <v>13975426.390000001</v>
      </c>
      <c r="O112">
        <v>13354613.300000001</v>
      </c>
      <c r="P112">
        <v>12408829.960000001</v>
      </c>
      <c r="Q112">
        <v>11203234.609999999</v>
      </c>
      <c r="R112">
        <v>10327178.699999999</v>
      </c>
      <c r="S112" s="100">
        <v>9528276.5219999999</v>
      </c>
      <c r="T112" s="100">
        <v>9334694.1129999999</v>
      </c>
      <c r="U112" s="100">
        <v>8924216.4570000004</v>
      </c>
      <c r="V112" s="100">
        <v>8662587.9600000009</v>
      </c>
      <c r="W112">
        <v>8311915.2970000003</v>
      </c>
      <c r="X112">
        <v>7889910.341</v>
      </c>
      <c r="Y112">
        <v>7681124.2350000003</v>
      </c>
      <c r="Z112">
        <v>7648504.2769999998</v>
      </c>
      <c r="AA112">
        <v>7664433.3380000005</v>
      </c>
      <c r="AB112">
        <v>7696690.733</v>
      </c>
      <c r="AC112">
        <v>7746432.4129999997</v>
      </c>
      <c r="AD112">
        <v>7758126.9380000001</v>
      </c>
      <c r="AE112">
        <v>7784218.7960000001</v>
      </c>
      <c r="AF112">
        <v>7817992.8600000003</v>
      </c>
      <c r="AG112">
        <v>7856447.7620000001</v>
      </c>
      <c r="AH112">
        <v>7910539.6679999996</v>
      </c>
      <c r="AI112">
        <v>7970666.5750000002</v>
      </c>
      <c r="AJ112">
        <v>8025765.6869999999</v>
      </c>
      <c r="AK112">
        <v>8091878.7510000002</v>
      </c>
      <c r="AL112">
        <v>8157940.8159999996</v>
      </c>
      <c r="AM112">
        <v>8220171.8080000002</v>
      </c>
      <c r="AN112">
        <v>8094204.0619999999</v>
      </c>
      <c r="AO112">
        <v>7941215.4670000002</v>
      </c>
      <c r="AP112">
        <v>7774976.7470000004</v>
      </c>
      <c r="AQ112">
        <v>7610048.5980000002</v>
      </c>
      <c r="AR112">
        <v>7431315.1459999997</v>
      </c>
      <c r="AS112">
        <v>7347964.7369999997</v>
      </c>
      <c r="AT112">
        <v>7279391.2819999997</v>
      </c>
      <c r="AU112">
        <v>7209323.8789999997</v>
      </c>
      <c r="AV112">
        <v>7137442.2479999997</v>
      </c>
      <c r="AW112">
        <v>7091587.5060000001</v>
      </c>
    </row>
    <row r="113" spans="2:49" x14ac:dyDescent="0.25">
      <c r="B113" t="s">
        <v>414</v>
      </c>
      <c r="C113">
        <v>14426006.8404216</v>
      </c>
      <c r="D113">
        <v>14657621.046468699</v>
      </c>
      <c r="E113">
        <v>14897820.91</v>
      </c>
      <c r="F113">
        <v>14865795.439999999</v>
      </c>
      <c r="G113">
        <v>13695752.779999999</v>
      </c>
      <c r="H113">
        <v>12738089.15</v>
      </c>
      <c r="I113">
        <v>11133856.609999999</v>
      </c>
      <c r="J113">
        <v>10038499.939999999</v>
      </c>
      <c r="K113">
        <v>9128511.5399999898</v>
      </c>
      <c r="L113">
        <v>8995592.7860000003</v>
      </c>
      <c r="M113">
        <v>8908660.6150000002</v>
      </c>
      <c r="N113">
        <v>9196501.7369999997</v>
      </c>
      <c r="O113">
        <v>8438003.2210000008</v>
      </c>
      <c r="P113">
        <v>7549230.6409999998</v>
      </c>
      <c r="Q113">
        <v>6765176.2599999998</v>
      </c>
      <c r="R113">
        <v>6102877.3150000004</v>
      </c>
      <c r="S113">
        <v>5643247.8629999999</v>
      </c>
      <c r="T113">
        <v>5367205.5010000002</v>
      </c>
      <c r="U113" s="100">
        <v>5029096.2889999999</v>
      </c>
      <c r="V113">
        <v>4725020.7640000004</v>
      </c>
      <c r="W113">
        <v>4795367.6940000001</v>
      </c>
      <c r="X113">
        <v>4824815.2060000002</v>
      </c>
      <c r="Y113">
        <v>5060108.34</v>
      </c>
      <c r="Z113">
        <v>5426491.8279999997</v>
      </c>
      <c r="AA113">
        <v>5868936.9819999998</v>
      </c>
      <c r="AB113">
        <v>6389765.4299999997</v>
      </c>
      <c r="AC113">
        <v>7011338.7039999999</v>
      </c>
      <c r="AD113">
        <v>7001940.8729999997</v>
      </c>
      <c r="AE113">
        <v>7004874.9079999998</v>
      </c>
      <c r="AF113">
        <v>7013539.5269999998</v>
      </c>
      <c r="AG113">
        <v>7025567.25</v>
      </c>
      <c r="AH113">
        <v>7046042.3959999997</v>
      </c>
      <c r="AI113">
        <v>7081918.4680000003</v>
      </c>
      <c r="AJ113">
        <v>7119805.9780000001</v>
      </c>
      <c r="AK113">
        <v>7160847.6950000003</v>
      </c>
      <c r="AL113">
        <v>7203617.7390000001</v>
      </c>
      <c r="AM113">
        <v>7246619.5259999996</v>
      </c>
      <c r="AN113">
        <v>7116681.4919999996</v>
      </c>
      <c r="AO113">
        <v>6960457.7479999997</v>
      </c>
      <c r="AP113">
        <v>6795924.4349999996</v>
      </c>
      <c r="AQ113">
        <v>6629747.1560000004</v>
      </c>
      <c r="AR113">
        <v>6461019.5310000004</v>
      </c>
      <c r="AS113">
        <v>6381886.5109999999</v>
      </c>
      <c r="AT113">
        <v>6317442.6140000001</v>
      </c>
      <c r="AU113">
        <v>6255394.773</v>
      </c>
      <c r="AV113">
        <v>6193117.9649999999</v>
      </c>
      <c r="AW113">
        <v>6131572.9409999996</v>
      </c>
    </row>
    <row r="114" spans="2:49" x14ac:dyDescent="0.25">
      <c r="B114" t="s">
        <v>415</v>
      </c>
      <c r="C114">
        <v>9279692.21316991</v>
      </c>
      <c r="D114">
        <v>9428680.6732538398</v>
      </c>
      <c r="E114">
        <v>9581386.1769999899</v>
      </c>
      <c r="F114">
        <v>9543544.5150000006</v>
      </c>
      <c r="G114">
        <v>9144266.1170000006</v>
      </c>
      <c r="H114">
        <v>8591241.8670000006</v>
      </c>
      <c r="I114">
        <v>8225752.2050000001</v>
      </c>
      <c r="J114">
        <v>7979650.8859999999</v>
      </c>
      <c r="K114">
        <v>7577974.5980000002</v>
      </c>
      <c r="L114">
        <v>7505935.034</v>
      </c>
      <c r="M114">
        <v>7476021.551</v>
      </c>
      <c r="N114">
        <v>7731061.7400000002</v>
      </c>
      <c r="O114">
        <v>7565139.6490000002</v>
      </c>
      <c r="P114">
        <v>7308648.5290000001</v>
      </c>
      <c r="Q114">
        <v>6955667.5180000002</v>
      </c>
      <c r="R114">
        <v>6822478.943</v>
      </c>
      <c r="S114">
        <v>6582758.3540000003</v>
      </c>
      <c r="T114">
        <v>6424159.8090000004</v>
      </c>
      <c r="U114">
        <v>6189896.6140000001</v>
      </c>
      <c r="V114">
        <v>6011899.8279999997</v>
      </c>
      <c r="W114">
        <v>6122004.7120000003</v>
      </c>
      <c r="X114">
        <v>6161709.3689999999</v>
      </c>
      <c r="Y114">
        <v>6153936.1509999996</v>
      </c>
      <c r="Z114">
        <v>6235125.0480000004</v>
      </c>
      <c r="AA114">
        <v>6351079.1639999999</v>
      </c>
      <c r="AB114">
        <v>6496820.5729999999</v>
      </c>
      <c r="AC114">
        <v>6683558.8909999998</v>
      </c>
      <c r="AD114">
        <v>6723764.4630000005</v>
      </c>
      <c r="AE114">
        <v>6775538.9790000003</v>
      </c>
      <c r="AF114">
        <v>6832089.2920000004</v>
      </c>
      <c r="AG114">
        <v>6893085.0970000001</v>
      </c>
      <c r="AH114">
        <v>6964254.6090000002</v>
      </c>
      <c r="AI114">
        <v>7062166.2029999997</v>
      </c>
      <c r="AJ114">
        <v>7163535.71</v>
      </c>
      <c r="AK114">
        <v>7269131.557</v>
      </c>
      <c r="AL114">
        <v>7377402.1129999999</v>
      </c>
      <c r="AM114">
        <v>7486744.3200000003</v>
      </c>
      <c r="AN114">
        <v>7512208.8870000001</v>
      </c>
      <c r="AO114">
        <v>7525971.2560000001</v>
      </c>
      <c r="AP114">
        <v>7529887.4879999999</v>
      </c>
      <c r="AQ114">
        <v>7527397.6430000002</v>
      </c>
      <c r="AR114">
        <v>7516020.6109999996</v>
      </c>
      <c r="AS114">
        <v>7553036.0820000004</v>
      </c>
      <c r="AT114">
        <v>7596042.6270000003</v>
      </c>
      <c r="AU114">
        <v>7638959.6490000002</v>
      </c>
      <c r="AV114">
        <v>7680162.6069999998</v>
      </c>
      <c r="AW114">
        <v>7720385.6239999998</v>
      </c>
    </row>
    <row r="115" spans="2:49" x14ac:dyDescent="0.25">
      <c r="B115" t="s">
        <v>416</v>
      </c>
      <c r="C115">
        <v>10783636.5742715</v>
      </c>
      <c r="D115">
        <v>10956771.347537501</v>
      </c>
      <c r="E115">
        <v>11150446.529999999</v>
      </c>
      <c r="F115">
        <v>11154867.699999999</v>
      </c>
      <c r="G115">
        <v>11099100.859999999</v>
      </c>
      <c r="H115">
        <v>10297432.199999999</v>
      </c>
      <c r="I115">
        <v>10630570.199999999</v>
      </c>
      <c r="J115">
        <v>10708165.27</v>
      </c>
      <c r="K115">
        <v>10466847.01</v>
      </c>
      <c r="L115">
        <v>10414854.67</v>
      </c>
      <c r="M115">
        <v>10418525.689999999</v>
      </c>
      <c r="N115">
        <v>10715601.73</v>
      </c>
      <c r="O115">
        <v>10792254.890000001</v>
      </c>
      <c r="P115">
        <v>10935265.59</v>
      </c>
      <c r="Q115">
        <v>10884873.789999999</v>
      </c>
      <c r="R115">
        <v>11078505.01</v>
      </c>
      <c r="S115">
        <v>11051771.210000001</v>
      </c>
      <c r="T115">
        <v>10894396.359999999</v>
      </c>
      <c r="U115">
        <v>10835479.07</v>
      </c>
      <c r="V115">
        <v>10829996.810000001</v>
      </c>
      <c r="W115">
        <v>11142400.84</v>
      </c>
      <c r="X115">
        <v>11401009.529999999</v>
      </c>
      <c r="Y115">
        <v>11497647.91</v>
      </c>
      <c r="Z115">
        <v>11608382.529999999</v>
      </c>
      <c r="AA115">
        <v>11732803.77</v>
      </c>
      <c r="AB115">
        <v>11891121.289999999</v>
      </c>
      <c r="AC115">
        <v>12119519.380000001</v>
      </c>
      <c r="AD115">
        <v>12182917.960000001</v>
      </c>
      <c r="AE115">
        <v>12254195.07</v>
      </c>
      <c r="AF115">
        <v>12335146.98</v>
      </c>
      <c r="AG115">
        <v>12426094.119999999</v>
      </c>
      <c r="AH115">
        <v>12545004.289999999</v>
      </c>
      <c r="AI115">
        <v>12704034.34</v>
      </c>
      <c r="AJ115">
        <v>12879088.630000001</v>
      </c>
      <c r="AK115">
        <v>13060243.119999999</v>
      </c>
      <c r="AL115">
        <v>13247819.49</v>
      </c>
      <c r="AM115">
        <v>13439611.189999999</v>
      </c>
      <c r="AN115">
        <v>13626948.789999999</v>
      </c>
      <c r="AO115">
        <v>13819287</v>
      </c>
      <c r="AP115">
        <v>14010079.49</v>
      </c>
      <c r="AQ115">
        <v>14199233.24</v>
      </c>
      <c r="AR115">
        <v>14387056.33</v>
      </c>
      <c r="AS115">
        <v>14575266.609999999</v>
      </c>
      <c r="AT115">
        <v>14764687.529999999</v>
      </c>
      <c r="AU115">
        <v>14956046.640000001</v>
      </c>
      <c r="AV115">
        <v>15148270.560000001</v>
      </c>
      <c r="AW115">
        <v>15341323.300000001</v>
      </c>
    </row>
    <row r="116" spans="2:49" x14ac:dyDescent="0.25">
      <c r="B116" t="s">
        <v>417</v>
      </c>
      <c r="C116">
        <v>584010.86634464201</v>
      </c>
      <c r="D116">
        <v>593387.34970747295</v>
      </c>
      <c r="E116">
        <v>603045.05370000005</v>
      </c>
      <c r="F116">
        <v>619077.05290000001</v>
      </c>
      <c r="G116">
        <v>586763.06909999996</v>
      </c>
      <c r="H116">
        <v>507270.77659999998</v>
      </c>
      <c r="I116">
        <v>525691.96730000002</v>
      </c>
      <c r="J116">
        <v>527035.53630000004</v>
      </c>
      <c r="K116">
        <v>485311.33740000002</v>
      </c>
      <c r="L116">
        <v>453855.97039999999</v>
      </c>
      <c r="M116">
        <v>444778.09509999998</v>
      </c>
      <c r="N116">
        <v>467977.42200000002</v>
      </c>
      <c r="O116">
        <v>446439.15500000003</v>
      </c>
      <c r="P116">
        <v>428441.07260000001</v>
      </c>
      <c r="Q116">
        <v>397788.98349999997</v>
      </c>
      <c r="R116">
        <v>368457.7169</v>
      </c>
      <c r="S116">
        <v>350291.53820000001</v>
      </c>
      <c r="T116">
        <v>344316.4167</v>
      </c>
      <c r="U116">
        <v>336842.97590000002</v>
      </c>
      <c r="V116">
        <v>334710.58919999999</v>
      </c>
      <c r="W116">
        <v>343048.7549</v>
      </c>
      <c r="X116">
        <v>348223.11609999998</v>
      </c>
      <c r="Y116">
        <v>349487.57870000001</v>
      </c>
      <c r="Z116">
        <v>355051.54930000001</v>
      </c>
      <c r="AA116">
        <v>362840.63140000001</v>
      </c>
      <c r="AB116">
        <v>372173.4449</v>
      </c>
      <c r="AC116">
        <v>383305.3787</v>
      </c>
      <c r="AD116">
        <v>385259.55450000003</v>
      </c>
      <c r="AE116">
        <v>387290.60800000001</v>
      </c>
      <c r="AF116">
        <v>389860.76280000003</v>
      </c>
      <c r="AG116">
        <v>392848.2193</v>
      </c>
      <c r="AH116">
        <v>395949.3504</v>
      </c>
      <c r="AI116">
        <v>400886.53029999998</v>
      </c>
      <c r="AJ116">
        <v>405834.5944</v>
      </c>
      <c r="AK116">
        <v>410776.54340000002</v>
      </c>
      <c r="AL116">
        <v>415750.28320000001</v>
      </c>
      <c r="AM116">
        <v>420618.65340000001</v>
      </c>
      <c r="AN116">
        <v>423307.36930000002</v>
      </c>
      <c r="AO116">
        <v>426092.35570000001</v>
      </c>
      <c r="AP116">
        <v>428543.96340000001</v>
      </c>
      <c r="AQ116">
        <v>430843.0577</v>
      </c>
      <c r="AR116">
        <v>432762.96879999997</v>
      </c>
      <c r="AS116">
        <v>435762.21179999999</v>
      </c>
      <c r="AT116">
        <v>438870.38410000002</v>
      </c>
      <c r="AU116">
        <v>441975.53409999999</v>
      </c>
      <c r="AV116">
        <v>445020.42509999999</v>
      </c>
      <c r="AW116">
        <v>448290.02260000003</v>
      </c>
    </row>
    <row r="117" spans="2:49" x14ac:dyDescent="0.25">
      <c r="B117" t="s">
        <v>418</v>
      </c>
      <c r="C117">
        <v>22712835.5539211</v>
      </c>
      <c r="D117">
        <v>23077497.475414101</v>
      </c>
      <c r="E117">
        <v>23460129.32</v>
      </c>
      <c r="F117">
        <v>23553120.559999999</v>
      </c>
      <c r="G117">
        <v>19996944.5</v>
      </c>
      <c r="H117">
        <v>16642031.880000001</v>
      </c>
      <c r="I117">
        <v>17090478.780000001</v>
      </c>
      <c r="J117">
        <v>16685431.07</v>
      </c>
      <c r="K117">
        <v>15809156.640000001</v>
      </c>
      <c r="L117">
        <v>16460340.189999999</v>
      </c>
      <c r="M117">
        <v>16823382.960000001</v>
      </c>
      <c r="N117">
        <v>17158725.670000002</v>
      </c>
      <c r="O117">
        <v>14367794.300000001</v>
      </c>
      <c r="P117">
        <v>13049026.380000001</v>
      </c>
      <c r="Q117">
        <v>11931560.109999999</v>
      </c>
      <c r="R117">
        <v>10992394.029999999</v>
      </c>
      <c r="S117">
        <v>10308992.800000001</v>
      </c>
      <c r="T117">
        <v>10268525.27</v>
      </c>
      <c r="U117">
        <v>10134030.279999999</v>
      </c>
      <c r="V117">
        <v>10139570.279999999</v>
      </c>
      <c r="W117">
        <v>10099914.630000001</v>
      </c>
      <c r="X117">
        <v>9957689.9140000008</v>
      </c>
      <c r="Y117">
        <v>9926264.3870000001</v>
      </c>
      <c r="Z117">
        <v>10011142.539999999</v>
      </c>
      <c r="AA117">
        <v>10123051.859999999</v>
      </c>
      <c r="AB117">
        <v>10242623.779999999</v>
      </c>
      <c r="AC117">
        <v>10371880.66</v>
      </c>
      <c r="AD117">
        <v>10352794.699999999</v>
      </c>
      <c r="AE117">
        <v>10348262.810000001</v>
      </c>
      <c r="AF117">
        <v>10357705.52</v>
      </c>
      <c r="AG117">
        <v>10376182.26</v>
      </c>
      <c r="AH117">
        <v>10401780.779999999</v>
      </c>
      <c r="AI117">
        <v>10452973.98</v>
      </c>
      <c r="AJ117">
        <v>10503081.890000001</v>
      </c>
      <c r="AK117">
        <v>10557452.67</v>
      </c>
      <c r="AL117">
        <v>10613486.210000001</v>
      </c>
      <c r="AM117">
        <v>10667669.140000001</v>
      </c>
      <c r="AN117">
        <v>10616010.77</v>
      </c>
      <c r="AO117">
        <v>10555273.73</v>
      </c>
      <c r="AP117">
        <v>10482930.43</v>
      </c>
      <c r="AQ117">
        <v>10404793.869999999</v>
      </c>
      <c r="AR117">
        <v>10314414.75</v>
      </c>
      <c r="AS117">
        <v>10286555.27</v>
      </c>
      <c r="AT117">
        <v>10264930.359999999</v>
      </c>
      <c r="AU117">
        <v>10242660.619999999</v>
      </c>
      <c r="AV117">
        <v>10218516.25</v>
      </c>
      <c r="AW117">
        <v>10198475.92</v>
      </c>
    </row>
    <row r="118" spans="2:49" x14ac:dyDescent="0.25">
      <c r="B118" t="s">
        <v>419</v>
      </c>
      <c r="C118">
        <v>611949.61832884501</v>
      </c>
      <c r="D118">
        <v>621774.66739182698</v>
      </c>
      <c r="E118">
        <v>631757.4608</v>
      </c>
      <c r="F118">
        <v>620214.48329999996</v>
      </c>
      <c r="G118">
        <v>558611.66760000004</v>
      </c>
      <c r="H118">
        <v>469573.71919999999</v>
      </c>
      <c r="I118">
        <v>504172.85749999998</v>
      </c>
      <c r="J118">
        <v>488322.46830000001</v>
      </c>
      <c r="K118">
        <v>440987.8161</v>
      </c>
      <c r="L118">
        <v>419144.03080000001</v>
      </c>
      <c r="M118">
        <v>418180.50099999999</v>
      </c>
      <c r="N118">
        <v>419172.27789999999</v>
      </c>
      <c r="O118">
        <v>388014.70400000003</v>
      </c>
      <c r="P118">
        <v>374818.78460000001</v>
      </c>
      <c r="Q118">
        <v>333382.76140000002</v>
      </c>
      <c r="R118">
        <v>307001.61930000002</v>
      </c>
      <c r="S118">
        <v>295055.23879999999</v>
      </c>
      <c r="T118">
        <v>292945.22450000001</v>
      </c>
      <c r="U118">
        <v>282727.42440000002</v>
      </c>
      <c r="V118">
        <v>278096.13079999998</v>
      </c>
      <c r="W118">
        <v>302717.93060000002</v>
      </c>
      <c r="X118">
        <v>326022.80849999998</v>
      </c>
      <c r="Y118">
        <v>332482.46710000001</v>
      </c>
      <c r="Z118">
        <v>344624.41310000001</v>
      </c>
      <c r="AA118">
        <v>359476.34700000001</v>
      </c>
      <c r="AB118">
        <v>376689.40169999999</v>
      </c>
      <c r="AC118">
        <v>396886.20620000002</v>
      </c>
      <c r="AD118">
        <v>395726.30780000001</v>
      </c>
      <c r="AE118">
        <v>395291.23129999998</v>
      </c>
      <c r="AF118">
        <v>395127.58279999997</v>
      </c>
      <c r="AG118">
        <v>395353.70679999999</v>
      </c>
      <c r="AH118">
        <v>396022.58299999998</v>
      </c>
      <c r="AI118">
        <v>399301.96600000001</v>
      </c>
      <c r="AJ118">
        <v>402529.73009999999</v>
      </c>
      <c r="AK118">
        <v>405854.68160000001</v>
      </c>
      <c r="AL118">
        <v>409180.62420000002</v>
      </c>
      <c r="AM118">
        <v>412362.98710000003</v>
      </c>
      <c r="AN118">
        <v>414686.02360000001</v>
      </c>
      <c r="AO118">
        <v>417852.8357</v>
      </c>
      <c r="AP118">
        <v>420843.859</v>
      </c>
      <c r="AQ118">
        <v>423872.5528</v>
      </c>
      <c r="AR118">
        <v>426616.44300000003</v>
      </c>
      <c r="AS118">
        <v>429461.08020000003</v>
      </c>
      <c r="AT118">
        <v>432070.10550000001</v>
      </c>
      <c r="AU118">
        <v>434600.12939999998</v>
      </c>
      <c r="AV118">
        <v>437048.31300000002</v>
      </c>
      <c r="AW118">
        <v>439604.34299999999</v>
      </c>
    </row>
    <row r="119" spans="2:49" x14ac:dyDescent="0.25">
      <c r="B119" t="s">
        <v>420</v>
      </c>
      <c r="C119">
        <v>18604230.451297902</v>
      </c>
      <c r="D119">
        <v>18902927.3889024</v>
      </c>
      <c r="E119">
        <v>19209702.579999998</v>
      </c>
      <c r="F119">
        <v>19524499.02</v>
      </c>
      <c r="G119">
        <v>18336645.210000001</v>
      </c>
      <c r="H119">
        <v>16867324.469999999</v>
      </c>
      <c r="I119">
        <v>16997921.07</v>
      </c>
      <c r="J119">
        <v>16557289.4</v>
      </c>
      <c r="K119">
        <v>15666926.140000001</v>
      </c>
      <c r="L119">
        <v>15339544.439999999</v>
      </c>
      <c r="M119">
        <v>15385356.09</v>
      </c>
      <c r="N119">
        <v>15756153.59</v>
      </c>
      <c r="O119">
        <v>14959699.060000001</v>
      </c>
      <c r="P119">
        <v>14167808.52</v>
      </c>
      <c r="Q119">
        <v>13148394.720000001</v>
      </c>
      <c r="R119">
        <v>12845940.140000001</v>
      </c>
      <c r="S119">
        <v>12477504.09</v>
      </c>
      <c r="T119">
        <v>12510327.689999999</v>
      </c>
      <c r="U119">
        <v>12304032.74</v>
      </c>
      <c r="V119">
        <v>12264848.720000001</v>
      </c>
      <c r="W119">
        <v>12731322.27</v>
      </c>
      <c r="X119">
        <v>13097547.9</v>
      </c>
      <c r="Y119">
        <v>13058319.199999999</v>
      </c>
      <c r="Z119">
        <v>13150042.789999999</v>
      </c>
      <c r="AA119">
        <v>13264121.539999999</v>
      </c>
      <c r="AB119">
        <v>13386889.699999999</v>
      </c>
      <c r="AC119">
        <v>13525027.16</v>
      </c>
      <c r="AD119">
        <v>13591148.41</v>
      </c>
      <c r="AE119">
        <v>13688027.640000001</v>
      </c>
      <c r="AF119">
        <v>13796196.5</v>
      </c>
      <c r="AG119">
        <v>13916506.84</v>
      </c>
      <c r="AH119">
        <v>14054831.76</v>
      </c>
      <c r="AI119">
        <v>14249062.27</v>
      </c>
      <c r="AJ119">
        <v>14447783.810000001</v>
      </c>
      <c r="AK119">
        <v>14653811.82</v>
      </c>
      <c r="AL119">
        <v>14865324.800000001</v>
      </c>
      <c r="AM119">
        <v>15078441.720000001</v>
      </c>
      <c r="AN119">
        <v>15264604.18</v>
      </c>
      <c r="AO119">
        <v>15477730.140000001</v>
      </c>
      <c r="AP119">
        <v>15687590.439999999</v>
      </c>
      <c r="AQ119">
        <v>15898245.039999999</v>
      </c>
      <c r="AR119">
        <v>16103814.9</v>
      </c>
      <c r="AS119">
        <v>16315270.279999999</v>
      </c>
      <c r="AT119">
        <v>16520204.939999999</v>
      </c>
      <c r="AU119">
        <v>16726503.060000001</v>
      </c>
      <c r="AV119">
        <v>16933384.859999999</v>
      </c>
      <c r="AW119">
        <v>17147113.57</v>
      </c>
    </row>
    <row r="120" spans="2:49" x14ac:dyDescent="0.25">
      <c r="B120" t="s">
        <v>421</v>
      </c>
      <c r="C120">
        <v>583438.22926562198</v>
      </c>
      <c r="D120">
        <v>592805.51875492395</v>
      </c>
      <c r="E120">
        <v>602323.20449999999</v>
      </c>
      <c r="F120">
        <v>629500.17249999999</v>
      </c>
      <c r="G120">
        <v>616290.02949999995</v>
      </c>
      <c r="H120">
        <v>535648.49140000006</v>
      </c>
      <c r="I120">
        <v>534426.39509999997</v>
      </c>
      <c r="J120">
        <v>544915.46880000003</v>
      </c>
      <c r="K120">
        <v>521064.34289999999</v>
      </c>
      <c r="L120">
        <v>505600.80670000002</v>
      </c>
      <c r="M120">
        <v>470279.72720000002</v>
      </c>
      <c r="N120">
        <v>429844.28320000001</v>
      </c>
      <c r="O120">
        <v>414856.17019999999</v>
      </c>
      <c r="P120">
        <v>414358.5</v>
      </c>
      <c r="Q120">
        <v>398931.59779999999</v>
      </c>
      <c r="R120">
        <v>399324.54749999999</v>
      </c>
      <c r="S120">
        <v>398517.22499999998</v>
      </c>
      <c r="T120">
        <v>401206.4265</v>
      </c>
      <c r="U120">
        <v>389910.62209999998</v>
      </c>
      <c r="V120">
        <v>387430.04479999997</v>
      </c>
      <c r="W120">
        <v>407282.3492</v>
      </c>
      <c r="X120">
        <v>424451.65870000003</v>
      </c>
      <c r="Y120">
        <v>411871.35399999999</v>
      </c>
      <c r="Z120">
        <v>405569.41859999998</v>
      </c>
      <c r="AA120">
        <v>401355.78470000002</v>
      </c>
      <c r="AB120">
        <v>397768.6813</v>
      </c>
      <c r="AC120">
        <v>394811.03039999999</v>
      </c>
      <c r="AD120">
        <v>392802.62329999998</v>
      </c>
      <c r="AE120">
        <v>391437.82579999999</v>
      </c>
      <c r="AF120">
        <v>390202.72399999999</v>
      </c>
      <c r="AG120">
        <v>389378.38909999997</v>
      </c>
      <c r="AH120">
        <v>389526.8665</v>
      </c>
      <c r="AI120">
        <v>391205.63990000001</v>
      </c>
      <c r="AJ120">
        <v>392519.78529999999</v>
      </c>
      <c r="AK120">
        <v>394571.52360000001</v>
      </c>
      <c r="AL120">
        <v>396573.44939999998</v>
      </c>
      <c r="AM120">
        <v>398316.6263</v>
      </c>
      <c r="AN120">
        <v>398370.90629999997</v>
      </c>
      <c r="AO120">
        <v>399242.4559</v>
      </c>
      <c r="AP120">
        <v>400040.17080000002</v>
      </c>
      <c r="AQ120">
        <v>401377.08880000003</v>
      </c>
      <c r="AR120">
        <v>402058.44520000002</v>
      </c>
      <c r="AS120">
        <v>403093.16609999997</v>
      </c>
      <c r="AT120">
        <v>404129.05129999999</v>
      </c>
      <c r="AU120">
        <v>404913.49550000002</v>
      </c>
      <c r="AV120">
        <v>405598.22590000002</v>
      </c>
      <c r="AW120">
        <v>409567.527</v>
      </c>
    </row>
    <row r="121" spans="2:49" x14ac:dyDescent="0.25">
      <c r="B121" t="s">
        <v>422</v>
      </c>
      <c r="C121">
        <v>640997.091904014</v>
      </c>
      <c r="D121">
        <v>651288.50755091803</v>
      </c>
      <c r="E121">
        <v>661996.35600000003</v>
      </c>
      <c r="F121">
        <v>674036.38309999998</v>
      </c>
      <c r="G121">
        <v>633645.18039999995</v>
      </c>
      <c r="H121">
        <v>621429.54310000001</v>
      </c>
      <c r="I121">
        <v>629270.01359999995</v>
      </c>
      <c r="J121">
        <v>603402.46580000001</v>
      </c>
      <c r="K121">
        <v>567738.13760000002</v>
      </c>
      <c r="L121">
        <v>571794.61979999999</v>
      </c>
      <c r="M121">
        <v>581211.11089999997</v>
      </c>
      <c r="N121">
        <v>610780.75470000005</v>
      </c>
      <c r="O121">
        <v>646054.55299999996</v>
      </c>
      <c r="P121">
        <v>659763.04059999995</v>
      </c>
      <c r="Q121">
        <v>614603.76190000004</v>
      </c>
      <c r="R121">
        <v>631874.67850000004</v>
      </c>
      <c r="S121">
        <v>632416.63580000005</v>
      </c>
      <c r="T121">
        <v>631324.64729999995</v>
      </c>
      <c r="U121">
        <v>630377.15150000004</v>
      </c>
      <c r="V121">
        <v>633624.62529999996</v>
      </c>
      <c r="W121">
        <v>635141.48620000004</v>
      </c>
      <c r="X121">
        <v>631570.88359999994</v>
      </c>
      <c r="Y121">
        <v>634620.93940000003</v>
      </c>
      <c r="Z121">
        <v>640062.85580000002</v>
      </c>
      <c r="AA121">
        <v>646546.21019999997</v>
      </c>
      <c r="AB121">
        <v>653005.72140000004</v>
      </c>
      <c r="AC121">
        <v>659726.58349999995</v>
      </c>
      <c r="AD121">
        <v>665045.63280000002</v>
      </c>
      <c r="AE121">
        <v>668843.1128</v>
      </c>
      <c r="AF121">
        <v>673887.43539999996</v>
      </c>
      <c r="AG121">
        <v>679324.89839999995</v>
      </c>
      <c r="AH121">
        <v>683744.7807</v>
      </c>
      <c r="AI121">
        <v>691295.02890000003</v>
      </c>
      <c r="AJ121">
        <v>698688.06449999998</v>
      </c>
      <c r="AK121">
        <v>705924.73569999996</v>
      </c>
      <c r="AL121">
        <v>713293.86100000003</v>
      </c>
      <c r="AM121">
        <v>720693.63049999997</v>
      </c>
      <c r="AN121">
        <v>726705.01580000005</v>
      </c>
      <c r="AO121">
        <v>733225.49300000002</v>
      </c>
      <c r="AP121">
        <v>739678.7402</v>
      </c>
      <c r="AQ121">
        <v>746178.38870000001</v>
      </c>
      <c r="AR121">
        <v>752665.92760000005</v>
      </c>
      <c r="AS121">
        <v>758798.26080000005</v>
      </c>
      <c r="AT121">
        <v>765090.10309999995</v>
      </c>
      <c r="AU121">
        <v>771462.12210000004</v>
      </c>
      <c r="AV121">
        <v>777843.16969999997</v>
      </c>
      <c r="AW121">
        <v>784453.1078</v>
      </c>
    </row>
    <row r="122" spans="2:49" x14ac:dyDescent="0.25">
      <c r="B122" t="s">
        <v>423</v>
      </c>
      <c r="C122">
        <v>2194958.1052306499</v>
      </c>
      <c r="D122">
        <v>2230198.86758945</v>
      </c>
      <c r="E122">
        <v>2254498.4339999999</v>
      </c>
      <c r="F122">
        <v>2243121.716</v>
      </c>
      <c r="G122">
        <v>2234428.9939999999</v>
      </c>
      <c r="H122">
        <v>2230671.6710000001</v>
      </c>
      <c r="I122">
        <v>2237592.2050000001</v>
      </c>
      <c r="J122">
        <v>2251866.8089999999</v>
      </c>
      <c r="K122">
        <v>2253915.4750000001</v>
      </c>
      <c r="L122">
        <v>2252314.6850000001</v>
      </c>
      <c r="M122">
        <v>2267086.1549999998</v>
      </c>
      <c r="N122">
        <v>2246024.2579999999</v>
      </c>
      <c r="O122">
        <v>2273881.9929999998</v>
      </c>
      <c r="P122">
        <v>2296367.3480000002</v>
      </c>
      <c r="Q122">
        <v>2325274.5499999998</v>
      </c>
      <c r="R122">
        <v>2354811.409</v>
      </c>
      <c r="S122">
        <v>2350733.7200000002</v>
      </c>
      <c r="T122">
        <v>2326459.2880000002</v>
      </c>
      <c r="U122">
        <v>2318699.4959999998</v>
      </c>
      <c r="V122">
        <v>2317413.2930000001</v>
      </c>
      <c r="W122">
        <v>2324619.3709999998</v>
      </c>
      <c r="X122">
        <v>2302094.7620000001</v>
      </c>
      <c r="Y122">
        <v>2278717.3829999999</v>
      </c>
      <c r="Z122">
        <v>2254148.915</v>
      </c>
      <c r="AA122">
        <v>2231448.517</v>
      </c>
      <c r="AB122">
        <v>2208375.5490000001</v>
      </c>
      <c r="AC122">
        <v>2184496.2540000002</v>
      </c>
      <c r="AD122">
        <v>2157521.3450000002</v>
      </c>
      <c r="AE122">
        <v>2123453.6609999998</v>
      </c>
      <c r="AF122">
        <v>2092397.4210000001</v>
      </c>
      <c r="AG122">
        <v>2062388.0149999999</v>
      </c>
      <c r="AH122">
        <v>2026860.932</v>
      </c>
      <c r="AI122">
        <v>2015864.1089999999</v>
      </c>
      <c r="AJ122">
        <v>2003974.5730000001</v>
      </c>
      <c r="AK122">
        <v>1991422.1710000001</v>
      </c>
      <c r="AL122">
        <v>1978563.906</v>
      </c>
      <c r="AM122">
        <v>1965256.8319999999</v>
      </c>
      <c r="AN122">
        <v>1965699.2120000001</v>
      </c>
      <c r="AO122">
        <v>1966800.1359999999</v>
      </c>
      <c r="AP122">
        <v>1968184.0460000001</v>
      </c>
      <c r="AQ122">
        <v>1969518.047</v>
      </c>
      <c r="AR122">
        <v>1970576.0090000001</v>
      </c>
      <c r="AS122">
        <v>1979187.0930000001</v>
      </c>
      <c r="AT122">
        <v>1988049.0930000001</v>
      </c>
      <c r="AU122">
        <v>1997026.5519999999</v>
      </c>
      <c r="AV122">
        <v>2006071.426</v>
      </c>
      <c r="AW122">
        <v>2015563.034</v>
      </c>
    </row>
    <row r="123" spans="2:49" x14ac:dyDescent="0.25">
      <c r="B123" t="s">
        <v>424</v>
      </c>
      <c r="C123">
        <v>48301536.741083004</v>
      </c>
      <c r="D123">
        <v>49077033.537035801</v>
      </c>
      <c r="E123">
        <v>49926423.159999996</v>
      </c>
      <c r="F123">
        <v>49622421.25</v>
      </c>
      <c r="G123">
        <v>48649037.68</v>
      </c>
      <c r="H123">
        <v>46899583.460000001</v>
      </c>
      <c r="I123">
        <v>46512774.619999997</v>
      </c>
      <c r="J123">
        <v>46216816.039999999</v>
      </c>
      <c r="K123">
        <v>45634467.509999998</v>
      </c>
      <c r="L123">
        <v>44782930.509999998</v>
      </c>
      <c r="M123">
        <v>44313534.899999999</v>
      </c>
      <c r="N123">
        <v>43780218.82</v>
      </c>
      <c r="O123">
        <v>43730870.329999998</v>
      </c>
      <c r="P123">
        <v>43894913.130000003</v>
      </c>
      <c r="Q123">
        <v>43295440.649999999</v>
      </c>
      <c r="R123">
        <v>42713443.640000001</v>
      </c>
      <c r="S123">
        <v>42128427.009999998</v>
      </c>
      <c r="T123">
        <v>42749256.149999999</v>
      </c>
      <c r="U123">
        <v>42834241.600000001</v>
      </c>
      <c r="V123">
        <v>43365962.18</v>
      </c>
      <c r="W123">
        <v>43744554.130000003</v>
      </c>
      <c r="X123">
        <v>43748535.43</v>
      </c>
      <c r="Y123">
        <v>43595308.869999997</v>
      </c>
      <c r="Z123">
        <v>43668532.020000003</v>
      </c>
      <c r="AA123">
        <v>43803150.600000001</v>
      </c>
      <c r="AB123">
        <v>43965776.259999998</v>
      </c>
      <c r="AC123">
        <v>44171307.060000002</v>
      </c>
      <c r="AD123">
        <v>43941063.759999998</v>
      </c>
      <c r="AE123">
        <v>43736081.170000002</v>
      </c>
      <c r="AF123">
        <v>43567990.390000001</v>
      </c>
      <c r="AG123">
        <v>43421465.030000001</v>
      </c>
      <c r="AH123">
        <v>43282029.310000002</v>
      </c>
      <c r="AI123">
        <v>43344024.57</v>
      </c>
      <c r="AJ123">
        <v>43407096.950000003</v>
      </c>
      <c r="AK123">
        <v>43470744.859999999</v>
      </c>
      <c r="AL123">
        <v>43533615.57</v>
      </c>
      <c r="AM123">
        <v>43585269.490000002</v>
      </c>
      <c r="AN123">
        <v>43887489.450000003</v>
      </c>
      <c r="AO123">
        <v>44233417.780000001</v>
      </c>
      <c r="AP123">
        <v>44572196.740000002</v>
      </c>
      <c r="AQ123">
        <v>44908627.729999997</v>
      </c>
      <c r="AR123">
        <v>45231118.869999997</v>
      </c>
      <c r="AS123">
        <v>45768112.490000002</v>
      </c>
      <c r="AT123">
        <v>46297254.009999998</v>
      </c>
      <c r="AU123">
        <v>46831398.310000002</v>
      </c>
      <c r="AV123">
        <v>47368777.93</v>
      </c>
      <c r="AW123">
        <v>47928486.850000001</v>
      </c>
    </row>
    <row r="124" spans="2:49" x14ac:dyDescent="0.25">
      <c r="B124" t="s">
        <v>425</v>
      </c>
      <c r="C124">
        <v>9397840.0105028208</v>
      </c>
      <c r="D124">
        <v>9548725.3716889191</v>
      </c>
      <c r="E124">
        <v>9705874.77999999</v>
      </c>
      <c r="F124">
        <v>11052903.15</v>
      </c>
      <c r="G124">
        <v>9322216.3550000004</v>
      </c>
      <c r="H124">
        <v>6719924.5870000003</v>
      </c>
      <c r="I124">
        <v>7971406.4689999996</v>
      </c>
      <c r="J124">
        <v>6279263.2869999995</v>
      </c>
      <c r="K124">
        <v>7275326.2989999996</v>
      </c>
      <c r="L124">
        <v>6528725.0300000003</v>
      </c>
      <c r="M124">
        <v>6541239.9840000002</v>
      </c>
      <c r="N124">
        <v>6700860.7180000003</v>
      </c>
      <c r="O124">
        <v>6106014.9170000004</v>
      </c>
      <c r="P124">
        <v>6464955.7929999996</v>
      </c>
      <c r="Q124">
        <v>6351443.5710000005</v>
      </c>
      <c r="R124">
        <v>6465066.71</v>
      </c>
      <c r="S124">
        <v>6457426.8600000003</v>
      </c>
      <c r="T124">
        <v>6357703.5039999997</v>
      </c>
      <c r="U124">
        <v>6390545.5549999997</v>
      </c>
      <c r="V124">
        <v>6468164.2800000003</v>
      </c>
      <c r="W124">
        <v>6522162.04</v>
      </c>
      <c r="X124">
        <v>6549182.1140000001</v>
      </c>
      <c r="Y124">
        <v>6597041.477</v>
      </c>
      <c r="Z124">
        <v>6662285.2199999997</v>
      </c>
      <c r="AA124">
        <v>6733724.108</v>
      </c>
      <c r="AB124">
        <v>6807212.1940000001</v>
      </c>
      <c r="AC124">
        <v>6885018.1349999998</v>
      </c>
      <c r="AD124">
        <v>6954268.3569999998</v>
      </c>
      <c r="AE124">
        <v>7025515.1679999996</v>
      </c>
      <c r="AF124">
        <v>7103263.4000000004</v>
      </c>
      <c r="AG124">
        <v>7187493.0760000004</v>
      </c>
      <c r="AH124">
        <v>7276954.5269999998</v>
      </c>
      <c r="AI124">
        <v>7378956.6459999997</v>
      </c>
      <c r="AJ124">
        <v>7488576.1809999999</v>
      </c>
      <c r="AK124">
        <v>7601652.4170000004</v>
      </c>
      <c r="AL124">
        <v>7718937.6749999998</v>
      </c>
      <c r="AM124">
        <v>7838878.9390000002</v>
      </c>
      <c r="AN124">
        <v>7954210.0089999996</v>
      </c>
      <c r="AO124">
        <v>8076616.2640000004</v>
      </c>
      <c r="AP124">
        <v>8199125.4230000004</v>
      </c>
      <c r="AQ124">
        <v>8322169.9129999997</v>
      </c>
      <c r="AR124">
        <v>8443878.0209999997</v>
      </c>
      <c r="AS124">
        <v>8564434.18899999</v>
      </c>
      <c r="AT124">
        <v>8685581.2400000002</v>
      </c>
      <c r="AU124">
        <v>8808528.6530000009</v>
      </c>
      <c r="AV124">
        <v>8932568.9910000004</v>
      </c>
      <c r="AW124">
        <v>9060278.4820000008</v>
      </c>
    </row>
    <row r="125" spans="2:49" x14ac:dyDescent="0.25">
      <c r="B125" t="s">
        <v>426</v>
      </c>
      <c r="C125">
        <v>2784044.1169573502</v>
      </c>
      <c r="D125">
        <v>2828742.8457796802</v>
      </c>
      <c r="E125">
        <v>2875233.8760000002</v>
      </c>
      <c r="F125">
        <v>2980674.3560000001</v>
      </c>
      <c r="G125">
        <v>2961400.318</v>
      </c>
      <c r="H125">
        <v>2431283.392</v>
      </c>
      <c r="I125">
        <v>2457471.8560000001</v>
      </c>
      <c r="J125">
        <v>2567652.9300000002</v>
      </c>
      <c r="K125">
        <v>2506054.585</v>
      </c>
      <c r="L125">
        <v>2434926.3539999998</v>
      </c>
      <c r="M125">
        <v>2430133.537</v>
      </c>
      <c r="N125">
        <v>2558386.818</v>
      </c>
      <c r="O125">
        <v>2551940.591</v>
      </c>
      <c r="P125">
        <v>2545722.9589999998</v>
      </c>
      <c r="Q125">
        <v>2623350.64</v>
      </c>
      <c r="R125">
        <v>2656434.6320000002</v>
      </c>
      <c r="S125">
        <v>2619107.605</v>
      </c>
      <c r="T125">
        <v>2565661.3029999998</v>
      </c>
      <c r="U125">
        <v>2529557.3679999998</v>
      </c>
      <c r="V125">
        <v>2502117.1379999998</v>
      </c>
      <c r="W125">
        <v>2500969.7420000001</v>
      </c>
      <c r="X125">
        <v>2483684.091</v>
      </c>
      <c r="Y125">
        <v>2487304.1630000002</v>
      </c>
      <c r="Z125">
        <v>2498198.0070000002</v>
      </c>
      <c r="AA125">
        <v>2518890.0499999998</v>
      </c>
      <c r="AB125">
        <v>2543111.426</v>
      </c>
      <c r="AC125">
        <v>2568968.4210000001</v>
      </c>
      <c r="AD125">
        <v>2592091.7940000002</v>
      </c>
      <c r="AE125">
        <v>2614985.0699999998</v>
      </c>
      <c r="AF125">
        <v>2642309.071</v>
      </c>
      <c r="AG125">
        <v>2673110.5430000001</v>
      </c>
      <c r="AH125">
        <v>2706813.517</v>
      </c>
      <c r="AI125">
        <v>2746611.1639999999</v>
      </c>
      <c r="AJ125">
        <v>2789864.4109999998</v>
      </c>
      <c r="AK125">
        <v>2834024.9109999998</v>
      </c>
      <c r="AL125">
        <v>2880077.105</v>
      </c>
      <c r="AM125">
        <v>2926956.3360000001</v>
      </c>
      <c r="AN125">
        <v>2967475.7370000002</v>
      </c>
      <c r="AO125">
        <v>3006412.074</v>
      </c>
      <c r="AP125">
        <v>3044556.17</v>
      </c>
      <c r="AQ125">
        <v>3082266.3160000001</v>
      </c>
      <c r="AR125">
        <v>3118889.65</v>
      </c>
      <c r="AS125">
        <v>3158386.2650000001</v>
      </c>
      <c r="AT125">
        <v>3198716.13</v>
      </c>
      <c r="AU125">
        <v>3239416.1869999999</v>
      </c>
      <c r="AV125">
        <v>3280212.915</v>
      </c>
      <c r="AW125">
        <v>3322236.21</v>
      </c>
    </row>
    <row r="126" spans="2:49" x14ac:dyDescent="0.25">
      <c r="B126" t="s">
        <v>427</v>
      </c>
      <c r="C126">
        <v>20640520.667746101</v>
      </c>
      <c r="D126">
        <v>20971910.903432399</v>
      </c>
      <c r="E126">
        <v>21313932.760000002</v>
      </c>
      <c r="F126">
        <v>22212655.859999999</v>
      </c>
      <c r="G126">
        <v>21960608.16</v>
      </c>
      <c r="H126">
        <v>21697347.510000002</v>
      </c>
      <c r="I126">
        <v>22262887.23</v>
      </c>
      <c r="J126">
        <v>22110815.120000001</v>
      </c>
      <c r="K126">
        <v>21475878.989999998</v>
      </c>
      <c r="L126">
        <v>21504542.640000001</v>
      </c>
      <c r="M126">
        <v>22260110.690000001</v>
      </c>
      <c r="N126">
        <v>23852222.510000002</v>
      </c>
      <c r="O126">
        <v>23787949.34</v>
      </c>
      <c r="P126">
        <v>22882918.640000001</v>
      </c>
      <c r="Q126">
        <v>21141933.789999999</v>
      </c>
      <c r="R126">
        <v>19870667.649999999</v>
      </c>
      <c r="S126">
        <v>18824467.960000001</v>
      </c>
      <c r="T126">
        <v>18259274.920000002</v>
      </c>
      <c r="U126" s="100">
        <v>17740244.210000001</v>
      </c>
      <c r="V126">
        <v>17220692.52</v>
      </c>
      <c r="W126">
        <v>17478132.41</v>
      </c>
      <c r="X126">
        <v>17704366.809999999</v>
      </c>
      <c r="Y126">
        <v>17437731.140000001</v>
      </c>
      <c r="Z126">
        <v>17170253.879999999</v>
      </c>
      <c r="AA126">
        <v>16906985.670000002</v>
      </c>
      <c r="AB126">
        <v>16648010</v>
      </c>
      <c r="AC126">
        <v>16391750.470000001</v>
      </c>
      <c r="AD126">
        <v>16151331.189999999</v>
      </c>
      <c r="AE126">
        <v>15903880.529999999</v>
      </c>
      <c r="AF126">
        <v>15650885.83</v>
      </c>
      <c r="AG126">
        <v>15398038.810000001</v>
      </c>
      <c r="AH126">
        <v>15146821.32</v>
      </c>
      <c r="AI126">
        <v>14939327.199999999</v>
      </c>
      <c r="AJ126">
        <v>14732473.630000001</v>
      </c>
      <c r="AK126">
        <v>14529421.57</v>
      </c>
      <c r="AL126">
        <v>14327385.439999999</v>
      </c>
      <c r="AM126">
        <v>14128031.09</v>
      </c>
      <c r="AN126">
        <v>13918907.65</v>
      </c>
      <c r="AO126">
        <v>13716528.73</v>
      </c>
      <c r="AP126">
        <v>13518401.119999999</v>
      </c>
      <c r="AQ126">
        <v>13323613.310000001</v>
      </c>
      <c r="AR126">
        <v>13132148.109999999</v>
      </c>
      <c r="AS126">
        <v>12940644.42</v>
      </c>
      <c r="AT126">
        <v>12752856.75</v>
      </c>
      <c r="AU126">
        <v>12566784.810000001</v>
      </c>
      <c r="AV126">
        <v>12382759.449999999</v>
      </c>
      <c r="AW126">
        <v>12200660.109999999</v>
      </c>
    </row>
    <row r="127" spans="2:49" x14ac:dyDescent="0.25">
      <c r="B127" t="s">
        <v>428</v>
      </c>
      <c r="C127">
        <v>261855678.291933</v>
      </c>
      <c r="D127">
        <v>266059855.90652901</v>
      </c>
      <c r="E127">
        <v>270446401.5</v>
      </c>
      <c r="F127">
        <v>272198394.10000002</v>
      </c>
      <c r="G127">
        <v>256791552.5</v>
      </c>
      <c r="H127">
        <v>238346534.5</v>
      </c>
      <c r="I127">
        <v>235342636.30000001</v>
      </c>
      <c r="J127">
        <v>228774967.19999999</v>
      </c>
      <c r="K127">
        <v>218791613.80000001</v>
      </c>
      <c r="L127">
        <v>212970725.19999999</v>
      </c>
      <c r="M127">
        <v>212131239.30000001</v>
      </c>
      <c r="N127">
        <v>213961344</v>
      </c>
      <c r="O127">
        <v>205185918.19999999</v>
      </c>
      <c r="P127">
        <v>197608332.59999999</v>
      </c>
      <c r="Q127">
        <v>186488065.5</v>
      </c>
      <c r="R127">
        <v>178881967.09999999</v>
      </c>
      <c r="S127">
        <v>171754355.40000001</v>
      </c>
      <c r="T127">
        <v>170373319.19999999</v>
      </c>
      <c r="U127">
        <v>168201769.19999999</v>
      </c>
      <c r="V127">
        <v>167407278.5</v>
      </c>
      <c r="W127">
        <v>168245857.5</v>
      </c>
      <c r="X127">
        <v>167457467.40000001</v>
      </c>
      <c r="Y127">
        <v>167181110.69999999</v>
      </c>
      <c r="Z127">
        <v>168212436.19999999</v>
      </c>
      <c r="AA127">
        <v>169674494.40000001</v>
      </c>
      <c r="AB127">
        <v>171464084.80000001</v>
      </c>
      <c r="AC127">
        <v>173653170.69999999</v>
      </c>
      <c r="AD127">
        <v>173675633.40000001</v>
      </c>
      <c r="AE127">
        <v>173818439</v>
      </c>
      <c r="AF127">
        <v>174076642.59999999</v>
      </c>
      <c r="AG127">
        <v>174463119.90000001</v>
      </c>
      <c r="AH127">
        <v>174977233.5</v>
      </c>
      <c r="AI127">
        <v>175981938.40000001</v>
      </c>
      <c r="AJ127">
        <v>177038546.30000001</v>
      </c>
      <c r="AK127">
        <v>178146970.09999999</v>
      </c>
      <c r="AL127">
        <v>179316399.59999999</v>
      </c>
      <c r="AM127">
        <v>180485767.59999999</v>
      </c>
      <c r="AN127">
        <v>181147727.09999999</v>
      </c>
      <c r="AO127">
        <v>181822264.09999999</v>
      </c>
      <c r="AP127">
        <v>182429667.19999999</v>
      </c>
      <c r="AQ127">
        <v>183019710.5</v>
      </c>
      <c r="AR127">
        <v>183539977</v>
      </c>
      <c r="AS127">
        <v>185439109.40000001</v>
      </c>
      <c r="AT127">
        <v>187485920.09999999</v>
      </c>
      <c r="AU127">
        <v>189554557.40000001</v>
      </c>
      <c r="AV127">
        <v>191615393.90000001</v>
      </c>
      <c r="AW127">
        <v>193748136.80000001</v>
      </c>
    </row>
    <row r="128" spans="2:49" x14ac:dyDescent="0.25">
      <c r="B128" t="s">
        <v>429</v>
      </c>
      <c r="C128">
        <v>5733144.4507061103</v>
      </c>
      <c r="D128">
        <v>5825191.9393003099</v>
      </c>
      <c r="E128">
        <v>5919233.7230000002</v>
      </c>
      <c r="F128">
        <v>6055100.9369999999</v>
      </c>
      <c r="G128">
        <v>6007323.9879999999</v>
      </c>
      <c r="H128">
        <v>6296357.1239999998</v>
      </c>
      <c r="I128">
        <v>6420522.0609999998</v>
      </c>
      <c r="J128">
        <v>6381302.0810000002</v>
      </c>
      <c r="K128">
        <v>6255862.2439999999</v>
      </c>
      <c r="L128">
        <v>6323145.5980000002</v>
      </c>
      <c r="M128">
        <v>6532644.7079999996</v>
      </c>
      <c r="N128">
        <v>6988464.7970000003</v>
      </c>
      <c r="O128">
        <v>7058178.4979999997</v>
      </c>
      <c r="P128">
        <v>6768843.3650000002</v>
      </c>
      <c r="Q128">
        <v>6139643.5250000004</v>
      </c>
      <c r="R128">
        <v>5702473.4330000002</v>
      </c>
      <c r="S128">
        <v>5368827.7429999998</v>
      </c>
      <c r="T128">
        <v>5131029.3830000004</v>
      </c>
      <c r="U128">
        <v>4912535.6380000003</v>
      </c>
      <c r="V128">
        <v>4692864.3859999999</v>
      </c>
      <c r="W128">
        <v>4837444.0779999997</v>
      </c>
      <c r="X128">
        <v>4963018.7699999996</v>
      </c>
      <c r="Y128">
        <v>4862982.2869999995</v>
      </c>
      <c r="Z128">
        <v>4764869.2910000002</v>
      </c>
      <c r="AA128">
        <v>4670249.6730000004</v>
      </c>
      <c r="AB128">
        <v>4578714.233</v>
      </c>
      <c r="AC128">
        <v>4489451.5949999997</v>
      </c>
      <c r="AD128">
        <v>4407507.3229999999</v>
      </c>
      <c r="AE128">
        <v>4323857.5329999998</v>
      </c>
      <c r="AF128">
        <v>4238971.8439999996</v>
      </c>
      <c r="AG128">
        <v>4154830.443</v>
      </c>
      <c r="AH128">
        <v>4071937.1009999998</v>
      </c>
      <c r="AI128">
        <v>4007142.82</v>
      </c>
      <c r="AJ128">
        <v>3942888.8020000001</v>
      </c>
      <c r="AK128">
        <v>3880223.2179999999</v>
      </c>
      <c r="AL128">
        <v>3818083.247</v>
      </c>
      <c r="AM128">
        <v>3757067.9219999998</v>
      </c>
      <c r="AN128">
        <v>3691808.281</v>
      </c>
      <c r="AO128">
        <v>3628672.3029999998</v>
      </c>
      <c r="AP128">
        <v>3566885.6549999998</v>
      </c>
      <c r="AQ128">
        <v>3506163.3849999998</v>
      </c>
      <c r="AR128">
        <v>3446517.142</v>
      </c>
      <c r="AS128">
        <v>3386767.1680000001</v>
      </c>
      <c r="AT128">
        <v>3328238.6090000002</v>
      </c>
      <c r="AU128">
        <v>3270249.07</v>
      </c>
      <c r="AV128">
        <v>3212916.6060000001</v>
      </c>
      <c r="AW128">
        <v>3156203.32</v>
      </c>
    </row>
    <row r="129" spans="2:49" x14ac:dyDescent="0.25">
      <c r="B129" t="s">
        <v>430</v>
      </c>
      <c r="C129">
        <v>746221.21464997705</v>
      </c>
      <c r="D129">
        <v>758202.03762327298</v>
      </c>
      <c r="E129">
        <v>770375.21660000004</v>
      </c>
      <c r="F129">
        <v>784979.60309999995</v>
      </c>
      <c r="G129">
        <v>645795.10900000005</v>
      </c>
      <c r="H129">
        <v>573052.54700000002</v>
      </c>
      <c r="I129">
        <v>365895.6557</v>
      </c>
      <c r="J129">
        <v>368101.17820000002</v>
      </c>
      <c r="K129">
        <v>339191.58250000002</v>
      </c>
      <c r="L129">
        <v>333930.38760000002</v>
      </c>
      <c r="M129">
        <v>336427.87449999998</v>
      </c>
      <c r="N129">
        <v>325181.74890000001</v>
      </c>
      <c r="O129">
        <v>274378.03159999999</v>
      </c>
      <c r="P129">
        <v>233999.2255</v>
      </c>
      <c r="Q129">
        <v>204191.59160000001</v>
      </c>
      <c r="R129">
        <v>181416.80379999999</v>
      </c>
      <c r="S129">
        <v>160596.1771</v>
      </c>
      <c r="T129">
        <v>152859.19810000001</v>
      </c>
      <c r="U129">
        <v>142069.41459999999</v>
      </c>
      <c r="V129">
        <v>134189.978</v>
      </c>
      <c r="W129">
        <v>123736.1798</v>
      </c>
      <c r="X129">
        <v>113259.3659</v>
      </c>
      <c r="Y129">
        <v>109847.5422</v>
      </c>
      <c r="Z129">
        <v>109458.6119</v>
      </c>
      <c r="AA129">
        <v>109832.9111</v>
      </c>
      <c r="AB129">
        <v>110440.0218</v>
      </c>
      <c r="AC129">
        <v>111287.8885</v>
      </c>
      <c r="AD129">
        <v>111499.5383</v>
      </c>
      <c r="AE129">
        <v>111918.1033</v>
      </c>
      <c r="AF129">
        <v>112455.4276</v>
      </c>
      <c r="AG129">
        <v>113059.5042</v>
      </c>
      <c r="AH129">
        <v>113884.44070000001</v>
      </c>
      <c r="AI129">
        <v>114701.3435</v>
      </c>
      <c r="AJ129">
        <v>115443.2784</v>
      </c>
      <c r="AK129">
        <v>116335.84450000001</v>
      </c>
      <c r="AL129">
        <v>117227.0779</v>
      </c>
      <c r="AM129">
        <v>118059.5606</v>
      </c>
      <c r="AN129">
        <v>115389.4457</v>
      </c>
      <c r="AO129">
        <v>112241.73699999999</v>
      </c>
      <c r="AP129">
        <v>108971.7286</v>
      </c>
      <c r="AQ129">
        <v>105812.5046</v>
      </c>
      <c r="AR129">
        <v>102555.5598</v>
      </c>
      <c r="AS129">
        <v>101045.5089</v>
      </c>
      <c r="AT129">
        <v>99830.997109999997</v>
      </c>
      <c r="AU129">
        <v>98629.395980000001</v>
      </c>
      <c r="AV129">
        <v>97423.30111</v>
      </c>
      <c r="AW129">
        <v>96588.141470000002</v>
      </c>
    </row>
    <row r="130" spans="2:49" x14ac:dyDescent="0.25">
      <c r="B130" t="s">
        <v>431</v>
      </c>
      <c r="C130">
        <v>480333.66960581898</v>
      </c>
      <c r="D130">
        <v>488045.58203966799</v>
      </c>
      <c r="E130">
        <v>495881.31170000002</v>
      </c>
      <c r="F130">
        <v>500990.5344</v>
      </c>
      <c r="G130">
        <v>417260.6691</v>
      </c>
      <c r="H130">
        <v>385301.04879999999</v>
      </c>
      <c r="I130">
        <v>347795.87650000001</v>
      </c>
      <c r="J130">
        <v>311457.8775</v>
      </c>
      <c r="K130">
        <v>300033.94410000002</v>
      </c>
      <c r="L130">
        <v>320651.97120000003</v>
      </c>
      <c r="M130">
        <v>320727.02010000002</v>
      </c>
      <c r="N130">
        <v>320242.24449999997</v>
      </c>
      <c r="O130">
        <v>237507.18700000001</v>
      </c>
      <c r="P130">
        <v>181404.26949999999</v>
      </c>
      <c r="Q130">
        <v>152761.26800000001</v>
      </c>
      <c r="R130">
        <v>134774.49650000001</v>
      </c>
      <c r="S130">
        <v>119942.7501</v>
      </c>
      <c r="T130">
        <v>117956.5965</v>
      </c>
      <c r="U130">
        <v>115731.9387</v>
      </c>
      <c r="V130">
        <v>114251.0128</v>
      </c>
      <c r="W130">
        <v>118432.32610000001</v>
      </c>
      <c r="X130">
        <v>121658.15459999999</v>
      </c>
      <c r="Y130">
        <v>129515.0577</v>
      </c>
      <c r="Z130">
        <v>140237.2452</v>
      </c>
      <c r="AA130">
        <v>152901.446</v>
      </c>
      <c r="AB130">
        <v>167722.69990000001</v>
      </c>
      <c r="AC130">
        <v>185372.89110000001</v>
      </c>
      <c r="AD130">
        <v>186508.38920000001</v>
      </c>
      <c r="AE130">
        <v>188042.46400000001</v>
      </c>
      <c r="AF130">
        <v>189775.44760000001</v>
      </c>
      <c r="AG130">
        <v>191599.97700000001</v>
      </c>
      <c r="AH130">
        <v>193654.0631</v>
      </c>
      <c r="AI130">
        <v>195920.54120000001</v>
      </c>
      <c r="AJ130">
        <v>198267.98130000001</v>
      </c>
      <c r="AK130">
        <v>200700.73790000001</v>
      </c>
      <c r="AL130">
        <v>203195.59950000001</v>
      </c>
      <c r="AM130">
        <v>205697.9535</v>
      </c>
      <c r="AN130">
        <v>204468.92050000001</v>
      </c>
      <c r="AO130">
        <v>202498.84239999999</v>
      </c>
      <c r="AP130">
        <v>200115.7879</v>
      </c>
      <c r="AQ130">
        <v>197481.53339999999</v>
      </c>
      <c r="AR130">
        <v>194563.6378</v>
      </c>
      <c r="AS130">
        <v>193803.2714</v>
      </c>
      <c r="AT130">
        <v>193324.87169999999</v>
      </c>
      <c r="AU130">
        <v>192846.3076</v>
      </c>
      <c r="AV130">
        <v>192300.7782</v>
      </c>
      <c r="AW130">
        <v>191724.4866</v>
      </c>
    </row>
    <row r="131" spans="2:49" x14ac:dyDescent="0.25">
      <c r="B131" t="s">
        <v>432</v>
      </c>
      <c r="C131">
        <v>1469582.3108926199</v>
      </c>
      <c r="D131">
        <v>1493176.93024387</v>
      </c>
      <c r="E131">
        <v>1517150.3689999999</v>
      </c>
      <c r="F131">
        <v>1534117.675</v>
      </c>
      <c r="G131">
        <v>1322465.5190000001</v>
      </c>
      <c r="H131">
        <v>1269093.925</v>
      </c>
      <c r="I131">
        <v>969553.63879999996</v>
      </c>
      <c r="J131">
        <v>893690.94680000003</v>
      </c>
      <c r="K131">
        <v>889923.06050000002</v>
      </c>
      <c r="L131">
        <v>942699.67749999999</v>
      </c>
      <c r="M131">
        <v>942833.46589999995</v>
      </c>
      <c r="N131">
        <v>944838.70759999997</v>
      </c>
      <c r="O131">
        <v>719968.38119999995</v>
      </c>
      <c r="P131">
        <v>561531.38859999995</v>
      </c>
      <c r="Q131">
        <v>475714.92229999998</v>
      </c>
      <c r="R131">
        <v>430023.2218</v>
      </c>
      <c r="S131">
        <v>378294.04979999998</v>
      </c>
      <c r="T131">
        <v>366666.50770000002</v>
      </c>
      <c r="U131">
        <v>353508.6727</v>
      </c>
      <c r="V131">
        <v>343200.5442</v>
      </c>
      <c r="W131">
        <v>333358.0589</v>
      </c>
      <c r="X131">
        <v>321498.36820000003</v>
      </c>
      <c r="Y131">
        <v>322955.49550000002</v>
      </c>
      <c r="Z131">
        <v>330045.48590000003</v>
      </c>
      <c r="AA131">
        <v>339073.50550000003</v>
      </c>
      <c r="AB131">
        <v>349699.61839999998</v>
      </c>
      <c r="AC131">
        <v>362572.5025</v>
      </c>
      <c r="AD131">
        <v>367086.28460000001</v>
      </c>
      <c r="AE131">
        <v>372352.9866</v>
      </c>
      <c r="AF131">
        <v>378038.08590000001</v>
      </c>
      <c r="AG131">
        <v>383944.7219</v>
      </c>
      <c r="AH131">
        <v>390418.80969999998</v>
      </c>
      <c r="AI131">
        <v>397529.87229999999</v>
      </c>
      <c r="AJ131">
        <v>404878.8725</v>
      </c>
      <c r="AK131">
        <v>412469.1336</v>
      </c>
      <c r="AL131">
        <v>420252.58</v>
      </c>
      <c r="AM131">
        <v>428109.28830000001</v>
      </c>
      <c r="AN131">
        <v>427071.70010000002</v>
      </c>
      <c r="AO131">
        <v>424373.31319999998</v>
      </c>
      <c r="AP131">
        <v>420946.2757</v>
      </c>
      <c r="AQ131">
        <v>417179.46659999999</v>
      </c>
      <c r="AR131">
        <v>412993.46669999999</v>
      </c>
      <c r="AS131">
        <v>413805.05219999998</v>
      </c>
      <c r="AT131">
        <v>415355.37199999997</v>
      </c>
      <c r="AU131">
        <v>416975.58549999999</v>
      </c>
      <c r="AV131">
        <v>418505.92440000002</v>
      </c>
      <c r="AW131">
        <v>419976.30160000001</v>
      </c>
    </row>
    <row r="132" spans="2:49" x14ac:dyDescent="0.25">
      <c r="B132" t="s">
        <v>433</v>
      </c>
      <c r="C132">
        <v>225722.47732836599</v>
      </c>
      <c r="D132">
        <v>229346.52471387701</v>
      </c>
      <c r="E132">
        <v>233028.7574</v>
      </c>
      <c r="F132">
        <v>236646.4816</v>
      </c>
      <c r="G132">
        <v>214231.88949999999</v>
      </c>
      <c r="H132">
        <v>204131.6109</v>
      </c>
      <c r="I132">
        <v>186629.34280000001</v>
      </c>
      <c r="J132">
        <v>180549.72750000001</v>
      </c>
      <c r="K132">
        <v>182638.56640000001</v>
      </c>
      <c r="L132">
        <v>194367.4773</v>
      </c>
      <c r="M132">
        <v>197958.97469999999</v>
      </c>
      <c r="N132">
        <v>202188.3763</v>
      </c>
      <c r="O132">
        <v>169209.89360000001</v>
      </c>
      <c r="P132">
        <v>147383.1378</v>
      </c>
      <c r="Q132">
        <v>135427.55650000001</v>
      </c>
      <c r="R132">
        <v>131454.9926</v>
      </c>
      <c r="S132">
        <v>124143.133</v>
      </c>
      <c r="T132">
        <v>120895.9232</v>
      </c>
      <c r="U132">
        <v>118982.666</v>
      </c>
      <c r="V132">
        <v>117164.4688</v>
      </c>
      <c r="W132">
        <v>114454.75079999999</v>
      </c>
      <c r="X132">
        <v>110590.98850000001</v>
      </c>
      <c r="Y132">
        <v>111154.3649</v>
      </c>
      <c r="Z132">
        <v>112606.04760000001</v>
      </c>
      <c r="AA132">
        <v>114320.359</v>
      </c>
      <c r="AB132">
        <v>116398.6051</v>
      </c>
      <c r="AC132">
        <v>119168.06020000001</v>
      </c>
      <c r="AD132">
        <v>120149.1087</v>
      </c>
      <c r="AE132">
        <v>121190.4455</v>
      </c>
      <c r="AF132">
        <v>122332.2525</v>
      </c>
      <c r="AG132">
        <v>123557.67879999999</v>
      </c>
      <c r="AH132">
        <v>125050.7933</v>
      </c>
      <c r="AI132">
        <v>126685.55560000001</v>
      </c>
      <c r="AJ132">
        <v>128457.4108</v>
      </c>
      <c r="AK132">
        <v>130288.11470000001</v>
      </c>
      <c r="AL132">
        <v>132182.9333</v>
      </c>
      <c r="AM132">
        <v>134117.12049999999</v>
      </c>
      <c r="AN132">
        <v>133942.49710000001</v>
      </c>
      <c r="AO132">
        <v>133255.26699999999</v>
      </c>
      <c r="AP132">
        <v>132324.1336</v>
      </c>
      <c r="AQ132">
        <v>131220.45869999999</v>
      </c>
      <c r="AR132">
        <v>129967.796</v>
      </c>
      <c r="AS132">
        <v>130022.9316</v>
      </c>
      <c r="AT132">
        <v>130302.44130000001</v>
      </c>
      <c r="AU132">
        <v>130594.215</v>
      </c>
      <c r="AV132">
        <v>130849.084</v>
      </c>
      <c r="AW132">
        <v>131057.647</v>
      </c>
    </row>
    <row r="133" spans="2:49" x14ac:dyDescent="0.25">
      <c r="B133" t="s">
        <v>434</v>
      </c>
      <c r="C133">
        <v>20679763.666016001</v>
      </c>
      <c r="D133">
        <v>21011783.9607329</v>
      </c>
      <c r="E133">
        <v>21361250.109999999</v>
      </c>
      <c r="F133">
        <v>21499141.199999999</v>
      </c>
      <c r="G133">
        <v>18182792.489999998</v>
      </c>
      <c r="H133">
        <v>15184214.199999999</v>
      </c>
      <c r="I133">
        <v>15564063.279999999</v>
      </c>
      <c r="J133">
        <v>15194971.779999999</v>
      </c>
      <c r="K133">
        <v>14460602.869999999</v>
      </c>
      <c r="L133">
        <v>15145926.6</v>
      </c>
      <c r="M133">
        <v>15516617.17</v>
      </c>
      <c r="N133">
        <v>15840148.58</v>
      </c>
      <c r="O133">
        <v>13075237.699999999</v>
      </c>
      <c r="P133">
        <v>11712807.630000001</v>
      </c>
      <c r="Q133">
        <v>10631837.15</v>
      </c>
      <c r="R133">
        <v>9753620.3629999999</v>
      </c>
      <c r="S133">
        <v>9096383.2090000007</v>
      </c>
      <c r="T133">
        <v>9103826.398</v>
      </c>
      <c r="U133">
        <v>9036452.2320000008</v>
      </c>
      <c r="V133">
        <v>9095762.227</v>
      </c>
      <c r="W133">
        <v>9028378.2349999994</v>
      </c>
      <c r="X133">
        <v>8877870.9210000001</v>
      </c>
      <c r="Y133">
        <v>8866756.9940000009</v>
      </c>
      <c r="Z133">
        <v>8956600.4529999997</v>
      </c>
      <c r="AA133">
        <v>9069876.1600000001</v>
      </c>
      <c r="AB133">
        <v>9189945.3809999898</v>
      </c>
      <c r="AC133">
        <v>9318712.9240000006</v>
      </c>
      <c r="AD133">
        <v>9313025.1070000008</v>
      </c>
      <c r="AE133">
        <v>9320597.3690000009</v>
      </c>
      <c r="AF133">
        <v>9340885.0920000002</v>
      </c>
      <c r="AG133">
        <v>9369317.3289999999</v>
      </c>
      <c r="AH133">
        <v>9404066.5219999999</v>
      </c>
      <c r="AI133">
        <v>9457670.8699999899</v>
      </c>
      <c r="AJ133">
        <v>9510362.7029999997</v>
      </c>
      <c r="AK133">
        <v>9566827.0930000003</v>
      </c>
      <c r="AL133">
        <v>9624858.37099999</v>
      </c>
      <c r="AM133">
        <v>9681154.7660000008</v>
      </c>
      <c r="AN133">
        <v>9644584.5730000008</v>
      </c>
      <c r="AO133">
        <v>9599992.54099999</v>
      </c>
      <c r="AP133">
        <v>9544836.7239999995</v>
      </c>
      <c r="AQ133">
        <v>9484364.9399999995</v>
      </c>
      <c r="AR133">
        <v>9412681.4460000005</v>
      </c>
      <c r="AS133">
        <v>9396371.2750000004</v>
      </c>
      <c r="AT133">
        <v>9385268.9189999998</v>
      </c>
      <c r="AU133">
        <v>9373463.3330000006</v>
      </c>
      <c r="AV133">
        <v>9359880.5539999995</v>
      </c>
      <c r="AW133">
        <v>9350024.1459999997</v>
      </c>
    </row>
    <row r="134" spans="2:49" x14ac:dyDescent="0.25">
      <c r="B134" t="s">
        <v>435</v>
      </c>
      <c r="C134">
        <v>2009388.6600685499</v>
      </c>
      <c r="D134">
        <v>2041650.04496113</v>
      </c>
      <c r="E134">
        <v>2074429.3970000001</v>
      </c>
      <c r="F134">
        <v>2145238.2570000002</v>
      </c>
      <c r="G134">
        <v>1719974.899</v>
      </c>
      <c r="H134">
        <v>1633637.5190000001</v>
      </c>
      <c r="I134">
        <v>1643902.34</v>
      </c>
      <c r="J134">
        <v>1519840.26</v>
      </c>
      <c r="K134">
        <v>1559666.76</v>
      </c>
      <c r="L134">
        <v>1791837.9979999999</v>
      </c>
      <c r="M134">
        <v>1869281.3640000001</v>
      </c>
      <c r="N134">
        <v>1881752.8359999999</v>
      </c>
      <c r="O134">
        <v>1193144.67</v>
      </c>
      <c r="P134">
        <v>821379.01100000006</v>
      </c>
      <c r="Q134">
        <v>661155.2548</v>
      </c>
      <c r="R134">
        <v>597174.05110000004</v>
      </c>
      <c r="S134">
        <v>521029.52370000002</v>
      </c>
      <c r="T134">
        <v>525753.03969999996</v>
      </c>
      <c r="U134">
        <v>529928.18449999997</v>
      </c>
      <c r="V134">
        <v>543666.90960000001</v>
      </c>
      <c r="W134">
        <v>555616.14650000003</v>
      </c>
      <c r="X134">
        <v>564580.71849999996</v>
      </c>
      <c r="Y134">
        <v>573208.65930000006</v>
      </c>
      <c r="Z134">
        <v>586801.33459999994</v>
      </c>
      <c r="AA134">
        <v>600938.39989999996</v>
      </c>
      <c r="AB134">
        <v>615347.29299999995</v>
      </c>
      <c r="AC134">
        <v>630494.22160000005</v>
      </c>
      <c r="AD134">
        <v>641900.53099999996</v>
      </c>
      <c r="AE134">
        <v>655165.00560000003</v>
      </c>
      <c r="AF134">
        <v>669447.4804</v>
      </c>
      <c r="AG134">
        <v>684450.745</v>
      </c>
      <c r="AH134">
        <v>700559.48459999997</v>
      </c>
      <c r="AI134">
        <v>718240.54819999996</v>
      </c>
      <c r="AJ134">
        <v>736479.32940000005</v>
      </c>
      <c r="AK134">
        <v>755422.44869999995</v>
      </c>
      <c r="AL134">
        <v>775055.01800000004</v>
      </c>
      <c r="AM134">
        <v>795122.26260000002</v>
      </c>
      <c r="AN134">
        <v>814751.87589999998</v>
      </c>
      <c r="AO134">
        <v>836094.87930000003</v>
      </c>
      <c r="AP134">
        <v>857686.71860000002</v>
      </c>
      <c r="AQ134">
        <v>879774.50730000006</v>
      </c>
      <c r="AR134">
        <v>902013.53449999995</v>
      </c>
      <c r="AS134">
        <v>925406.87179999996</v>
      </c>
      <c r="AT134">
        <v>948908.83140000002</v>
      </c>
      <c r="AU134">
        <v>972955.53610000003</v>
      </c>
      <c r="AV134">
        <v>997512.65099999995</v>
      </c>
      <c r="AW134">
        <v>1022988.956</v>
      </c>
    </row>
    <row r="135" spans="2:49" x14ac:dyDescent="0.25">
      <c r="B135" t="s">
        <v>436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</row>
    <row r="136" spans="2:49" x14ac:dyDescent="0.25">
      <c r="B136" t="s">
        <v>437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</row>
    <row r="137" spans="2:49" x14ac:dyDescent="0.25">
      <c r="B137" t="s">
        <v>438</v>
      </c>
      <c r="C137">
        <v>20174774.421468802</v>
      </c>
      <c r="D137">
        <v>20498686.950521201</v>
      </c>
      <c r="E137">
        <v>20827800</v>
      </c>
      <c r="F137">
        <v>19739636.949999999</v>
      </c>
      <c r="G137">
        <v>18547002.100000001</v>
      </c>
      <c r="H137">
        <v>16329994.84</v>
      </c>
      <c r="I137">
        <v>15253129.1</v>
      </c>
      <c r="J137">
        <v>14387147.84</v>
      </c>
      <c r="K137">
        <v>13414418.9</v>
      </c>
      <c r="L137">
        <v>12307263.810000001</v>
      </c>
      <c r="M137">
        <v>11249284.23</v>
      </c>
      <c r="N137">
        <v>10155588.609999999</v>
      </c>
      <c r="O137">
        <v>8597880.16599999</v>
      </c>
      <c r="P137">
        <v>7264500.2850000001</v>
      </c>
      <c r="Q137">
        <v>6001005.7359999996</v>
      </c>
      <c r="R137">
        <v>4543967.2010000004</v>
      </c>
      <c r="S137">
        <v>3040926.6150000002</v>
      </c>
      <c r="T137">
        <v>2793014.3760000002</v>
      </c>
      <c r="U137">
        <v>2646796.446</v>
      </c>
      <c r="V137">
        <v>2519480.929</v>
      </c>
      <c r="W137">
        <v>1737757.4339999999</v>
      </c>
      <c r="X137">
        <v>910856.10939999996</v>
      </c>
      <c r="Y137">
        <v>856034.35970000003</v>
      </c>
      <c r="Z137">
        <v>855865.42440000002</v>
      </c>
      <c r="AA137">
        <v>861390.37089999998</v>
      </c>
      <c r="AB137">
        <v>868214.31539999996</v>
      </c>
      <c r="AC137">
        <v>875354.71310000005</v>
      </c>
      <c r="AD137">
        <v>881173.93610000005</v>
      </c>
      <c r="AE137">
        <v>886856.74340000004</v>
      </c>
      <c r="AF137">
        <v>892592.08700000006</v>
      </c>
      <c r="AG137">
        <v>898432.05500000005</v>
      </c>
      <c r="AH137">
        <v>904350.65859999997</v>
      </c>
      <c r="AI137">
        <v>910709.94709999999</v>
      </c>
      <c r="AJ137">
        <v>917089.07849999995</v>
      </c>
      <c r="AK137">
        <v>923252.39670000004</v>
      </c>
      <c r="AL137">
        <v>929260.13179999997</v>
      </c>
      <c r="AM137">
        <v>934975.29350000003</v>
      </c>
      <c r="AN137">
        <v>940187.82689999999</v>
      </c>
      <c r="AO137">
        <v>945088.98849999998</v>
      </c>
      <c r="AP137">
        <v>949613.27780000004</v>
      </c>
      <c r="AQ137">
        <v>953895.96250000002</v>
      </c>
      <c r="AR137">
        <v>957846.75879999995</v>
      </c>
      <c r="AS137">
        <v>961553.0784</v>
      </c>
      <c r="AT137">
        <v>965078.73060000001</v>
      </c>
      <c r="AU137">
        <v>968408.53390000004</v>
      </c>
      <c r="AV137">
        <v>971476.47900000005</v>
      </c>
      <c r="AW137">
        <v>974710.30599999998</v>
      </c>
    </row>
    <row r="138" spans="2:49" x14ac:dyDescent="0.25">
      <c r="B138" t="s">
        <v>439</v>
      </c>
      <c r="C138">
        <v>16278956.881142</v>
      </c>
      <c r="D138">
        <v>16540320.799446501</v>
      </c>
      <c r="E138">
        <v>16805881</v>
      </c>
      <c r="F138">
        <v>16658585.539999999</v>
      </c>
      <c r="G138">
        <v>15812089.619999999</v>
      </c>
      <c r="H138">
        <v>15159742.220000001</v>
      </c>
      <c r="I138">
        <v>14681763.140000001</v>
      </c>
      <c r="J138">
        <v>12866796.67</v>
      </c>
      <c r="K138">
        <v>11218332.25</v>
      </c>
      <c r="L138">
        <v>9849260.8550000004</v>
      </c>
      <c r="M138">
        <v>8809319.2789999899</v>
      </c>
      <c r="N138">
        <v>7951912.5949999997</v>
      </c>
      <c r="O138">
        <v>7207298.9939999999</v>
      </c>
      <c r="P138">
        <v>6479463.5659999996</v>
      </c>
      <c r="Q138">
        <v>5721378.5290000001</v>
      </c>
      <c r="R138">
        <v>5083123.9850000003</v>
      </c>
      <c r="S138">
        <v>4445884.7350000003</v>
      </c>
      <c r="T138">
        <v>5230514.7510000002</v>
      </c>
      <c r="U138">
        <v>5971817.4369999999</v>
      </c>
      <c r="V138">
        <v>6718912.2889999999</v>
      </c>
      <c r="W138">
        <v>8176330.9819999998</v>
      </c>
      <c r="X138">
        <v>9546301.9639999997</v>
      </c>
      <c r="Y138">
        <v>9672445.5350000001</v>
      </c>
      <c r="Z138">
        <v>9836472.8190000001</v>
      </c>
      <c r="AA138">
        <v>10014130.140000001</v>
      </c>
      <c r="AB138">
        <v>10235651.15</v>
      </c>
      <c r="AC138">
        <v>10468281.75</v>
      </c>
      <c r="AD138">
        <v>10579793.560000001</v>
      </c>
      <c r="AE138">
        <v>10686573.48</v>
      </c>
      <c r="AF138">
        <v>10793702.710000001</v>
      </c>
      <c r="AG138">
        <v>10930895.77</v>
      </c>
      <c r="AH138">
        <v>11064312.699999999</v>
      </c>
      <c r="AI138">
        <v>11193590.02</v>
      </c>
      <c r="AJ138">
        <v>11325893.359999999</v>
      </c>
      <c r="AK138">
        <v>11460761.51</v>
      </c>
      <c r="AL138">
        <v>11625088.24</v>
      </c>
      <c r="AM138">
        <v>11789561.27</v>
      </c>
      <c r="AN138">
        <v>11864687.23</v>
      </c>
      <c r="AO138">
        <v>11938944.93</v>
      </c>
      <c r="AP138">
        <v>12009877.689999999</v>
      </c>
      <c r="AQ138">
        <v>12080018.51</v>
      </c>
      <c r="AR138">
        <v>12146892.09</v>
      </c>
      <c r="AS138">
        <v>12153513.59</v>
      </c>
      <c r="AT138">
        <v>12163969.49</v>
      </c>
      <c r="AU138">
        <v>12176806.43</v>
      </c>
      <c r="AV138">
        <v>12191470.15</v>
      </c>
      <c r="AW138">
        <v>12212536.83</v>
      </c>
    </row>
    <row r="139" spans="2:49" x14ac:dyDescent="0.25">
      <c r="B139" t="s">
        <v>440</v>
      </c>
      <c r="C139">
        <v>6501803.9853722304</v>
      </c>
      <c r="D139">
        <v>6606192.55142547</v>
      </c>
      <c r="E139">
        <v>6714977.4309999999</v>
      </c>
      <c r="F139">
        <v>6904990.8310000002</v>
      </c>
      <c r="G139">
        <v>6571998.9009999996</v>
      </c>
      <c r="H139">
        <v>6919276.8880000003</v>
      </c>
      <c r="I139">
        <v>7101250.3289999999</v>
      </c>
      <c r="J139">
        <v>6695426.5760000004</v>
      </c>
      <c r="K139">
        <v>6423260.375</v>
      </c>
      <c r="L139">
        <v>6239751.233</v>
      </c>
      <c r="M139">
        <v>6668234.5999999996</v>
      </c>
      <c r="N139">
        <v>7119209.585</v>
      </c>
      <c r="O139">
        <v>7379327.2340000002</v>
      </c>
      <c r="P139">
        <v>7417323.8099999996</v>
      </c>
      <c r="Q139">
        <v>6895911.3169999998</v>
      </c>
      <c r="R139">
        <v>6900646.8499999996</v>
      </c>
      <c r="S139">
        <v>6927830.7740000002</v>
      </c>
      <c r="T139">
        <v>6971113.6869999999</v>
      </c>
      <c r="U139">
        <v>6991535.8890000004</v>
      </c>
      <c r="V139">
        <v>7077548.8660000004</v>
      </c>
      <c r="W139">
        <v>7111371.0190000003</v>
      </c>
      <c r="X139">
        <v>7089211.3370000003</v>
      </c>
      <c r="Y139">
        <v>7161363.6730000004</v>
      </c>
      <c r="Z139">
        <v>7265499.8540000003</v>
      </c>
      <c r="AA139">
        <v>7380862.3370000003</v>
      </c>
      <c r="AB139">
        <v>7498119.1619999995</v>
      </c>
      <c r="AC139">
        <v>7621152.7520000003</v>
      </c>
      <c r="AD139">
        <v>7730843.9579999996</v>
      </c>
      <c r="AE139">
        <v>7852320.7400000002</v>
      </c>
      <c r="AF139">
        <v>7975431.2929999996</v>
      </c>
      <c r="AG139">
        <v>8104929.5690000001</v>
      </c>
      <c r="AH139">
        <v>8250758.9960000003</v>
      </c>
      <c r="AI139">
        <v>8393915.0850000009</v>
      </c>
      <c r="AJ139">
        <v>8549292.7100000009</v>
      </c>
      <c r="AK139">
        <v>8706857.5150000006</v>
      </c>
      <c r="AL139">
        <v>8868753.5800000001</v>
      </c>
      <c r="AM139">
        <v>9033120.7670000009</v>
      </c>
      <c r="AN139">
        <v>9185083.06399999</v>
      </c>
      <c r="AO139">
        <v>9338028.7540000007</v>
      </c>
      <c r="AP139">
        <v>9487588.9000000004</v>
      </c>
      <c r="AQ139">
        <v>9636289.3920000009</v>
      </c>
      <c r="AR139">
        <v>9783222.16599999</v>
      </c>
      <c r="AS139">
        <v>9927106.2210000008</v>
      </c>
      <c r="AT139">
        <v>10071050.359999999</v>
      </c>
      <c r="AU139">
        <v>10217045.85</v>
      </c>
      <c r="AV139">
        <v>10363921.84</v>
      </c>
      <c r="AW139">
        <v>10513354.779999999</v>
      </c>
    </row>
    <row r="140" spans="2:49" x14ac:dyDescent="0.25">
      <c r="B140" t="s">
        <v>441</v>
      </c>
      <c r="C140">
        <v>6377150.6112568304</v>
      </c>
      <c r="D140">
        <v>6479537.8270683698</v>
      </c>
      <c r="E140">
        <v>6586237.0690000001</v>
      </c>
      <c r="F140">
        <v>6724113.8609999996</v>
      </c>
      <c r="G140">
        <v>6339940.6919999998</v>
      </c>
      <c r="H140">
        <v>6610863.3289999999</v>
      </c>
      <c r="I140">
        <v>6496861.9960000003</v>
      </c>
      <c r="J140">
        <v>6253917.1859999998</v>
      </c>
      <c r="K140">
        <v>5860414.5779999997</v>
      </c>
      <c r="L140">
        <v>5767731.1519999998</v>
      </c>
      <c r="M140">
        <v>5877397.4529999997</v>
      </c>
      <c r="N140">
        <v>6080426.0810000002</v>
      </c>
      <c r="O140">
        <v>5383947.557</v>
      </c>
      <c r="P140">
        <v>4640855.7709999997</v>
      </c>
      <c r="Q140">
        <v>3944146.818</v>
      </c>
      <c r="R140">
        <v>3537986.523</v>
      </c>
      <c r="S140">
        <v>3254340.05</v>
      </c>
      <c r="T140">
        <v>3221397.7590000001</v>
      </c>
      <c r="U140">
        <v>3249120.2340000002</v>
      </c>
      <c r="V140">
        <v>3307207.108</v>
      </c>
      <c r="W140">
        <v>3367650.5550000002</v>
      </c>
      <c r="X140">
        <v>3405460.5019999999</v>
      </c>
      <c r="Y140">
        <v>3466521.4819999998</v>
      </c>
      <c r="Z140">
        <v>3537091.2209999999</v>
      </c>
      <c r="AA140">
        <v>3611116.3810000001</v>
      </c>
      <c r="AB140">
        <v>3685660.611</v>
      </c>
      <c r="AC140">
        <v>3762478.111</v>
      </c>
      <c r="AD140">
        <v>3836213.32</v>
      </c>
      <c r="AE140">
        <v>3917852.023</v>
      </c>
      <c r="AF140">
        <v>4003013.5869999998</v>
      </c>
      <c r="AG140">
        <v>4090896.9939999999</v>
      </c>
      <c r="AH140">
        <v>4187695.2579999999</v>
      </c>
      <c r="AI140">
        <v>4286003.1289999997</v>
      </c>
      <c r="AJ140">
        <v>4390790.3640000001</v>
      </c>
      <c r="AK140">
        <v>4498239.051</v>
      </c>
      <c r="AL140">
        <v>4609099.1339999996</v>
      </c>
      <c r="AM140">
        <v>4722657.4570000004</v>
      </c>
      <c r="AN140">
        <v>4834010.801</v>
      </c>
      <c r="AO140">
        <v>4946859.5029999996</v>
      </c>
      <c r="AP140">
        <v>5059747.784</v>
      </c>
      <c r="AQ140">
        <v>5173413.9230000004</v>
      </c>
      <c r="AR140">
        <v>5287478.6890000002</v>
      </c>
      <c r="AS140">
        <v>5402073.3990000002</v>
      </c>
      <c r="AT140">
        <v>5518065.6969999997</v>
      </c>
      <c r="AU140">
        <v>5636062.4119999995</v>
      </c>
      <c r="AV140">
        <v>5755606.3969999999</v>
      </c>
      <c r="AW140">
        <v>5876969.8279999997</v>
      </c>
    </row>
    <row r="141" spans="2:49" x14ac:dyDescent="0.25">
      <c r="B141" t="s">
        <v>442</v>
      </c>
      <c r="C141">
        <v>415184.68418409303</v>
      </c>
      <c r="D141">
        <v>421850.60858395998</v>
      </c>
      <c r="E141">
        <v>428797.26770000003</v>
      </c>
      <c r="F141">
        <v>460992.03970000002</v>
      </c>
      <c r="G141">
        <v>432859.48469999997</v>
      </c>
      <c r="H141">
        <v>393915.5379</v>
      </c>
      <c r="I141">
        <v>423769.04019999999</v>
      </c>
      <c r="J141">
        <v>408165.99589999998</v>
      </c>
      <c r="K141">
        <v>388274.07860000001</v>
      </c>
      <c r="L141">
        <v>389757.77240000002</v>
      </c>
      <c r="M141">
        <v>414316.75270000001</v>
      </c>
      <c r="N141">
        <v>471517.79560000001</v>
      </c>
      <c r="O141">
        <v>423523.3308</v>
      </c>
      <c r="P141">
        <v>364008.77549999999</v>
      </c>
      <c r="Q141">
        <v>301138.21980000002</v>
      </c>
      <c r="R141">
        <v>264987.21970000002</v>
      </c>
      <c r="S141">
        <v>220577.59570000001</v>
      </c>
      <c r="T141">
        <v>212885.4087</v>
      </c>
      <c r="U141">
        <v>212958.62179999999</v>
      </c>
      <c r="V141">
        <v>218945.49340000001</v>
      </c>
      <c r="W141">
        <v>219315.49830000001</v>
      </c>
      <c r="X141">
        <v>216939.1183</v>
      </c>
      <c r="Y141">
        <v>218913.83600000001</v>
      </c>
      <c r="Z141">
        <v>221880.8579</v>
      </c>
      <c r="AA141">
        <v>225676.1029</v>
      </c>
      <c r="AB141">
        <v>229286.4203</v>
      </c>
      <c r="AC141">
        <v>232730.82130000001</v>
      </c>
      <c r="AD141">
        <v>235046.88560000001</v>
      </c>
      <c r="AE141">
        <v>235422.31229999999</v>
      </c>
      <c r="AF141">
        <v>237768.73699999999</v>
      </c>
      <c r="AG141">
        <v>240859.1066</v>
      </c>
      <c r="AH141">
        <v>242076.63930000001</v>
      </c>
      <c r="AI141">
        <v>247645.4063</v>
      </c>
      <c r="AJ141">
        <v>252522.97140000001</v>
      </c>
      <c r="AK141">
        <v>256867.1502</v>
      </c>
      <c r="AL141">
        <v>261128.31820000001</v>
      </c>
      <c r="AM141">
        <v>265214.83809999999</v>
      </c>
      <c r="AN141">
        <v>268425.67540000001</v>
      </c>
      <c r="AO141">
        <v>272255.48310000001</v>
      </c>
      <c r="AP141">
        <v>276147.33649999998</v>
      </c>
      <c r="AQ141">
        <v>280073.47649999999</v>
      </c>
      <c r="AR141">
        <v>283923.45360000001</v>
      </c>
      <c r="AS141">
        <v>287463.70669999998</v>
      </c>
      <c r="AT141">
        <v>291145.25589999999</v>
      </c>
      <c r="AU141">
        <v>294969.03840000002</v>
      </c>
      <c r="AV141">
        <v>298841.10259999998</v>
      </c>
      <c r="AW141">
        <v>302879.89130000002</v>
      </c>
    </row>
    <row r="142" spans="2:49" x14ac:dyDescent="0.25">
      <c r="B142" t="s">
        <v>443</v>
      </c>
      <c r="C142">
        <v>4757556.1935294</v>
      </c>
      <c r="D142">
        <v>4833940.2970916703</v>
      </c>
      <c r="E142">
        <v>4913541.3090000004</v>
      </c>
      <c r="F142">
        <v>4950911.7680000002</v>
      </c>
      <c r="G142">
        <v>4481499.8490000004</v>
      </c>
      <c r="H142">
        <v>4064663.8629999999</v>
      </c>
      <c r="I142">
        <v>3415529.929</v>
      </c>
      <c r="J142">
        <v>3549511.8420000002</v>
      </c>
      <c r="K142">
        <v>3178107.8280000002</v>
      </c>
      <c r="L142">
        <v>3047455.872</v>
      </c>
      <c r="M142">
        <v>3113917.8220000002</v>
      </c>
      <c r="N142">
        <v>3188768.517</v>
      </c>
      <c r="O142">
        <v>2924324.3739999998</v>
      </c>
      <c r="P142">
        <v>2584411.37</v>
      </c>
      <c r="Q142">
        <v>2239220.7740000002</v>
      </c>
      <c r="R142">
        <v>1982431.9839999999</v>
      </c>
      <c r="S142">
        <v>1753239.118</v>
      </c>
      <c r="T142">
        <v>1650011.0020000001</v>
      </c>
      <c r="U142">
        <v>1546268.352</v>
      </c>
      <c r="V142">
        <v>1453229.55</v>
      </c>
      <c r="W142">
        <v>1451439.057</v>
      </c>
      <c r="X142">
        <v>1440157.156</v>
      </c>
      <c r="Y142">
        <v>1546380.8470000001</v>
      </c>
      <c r="Z142">
        <v>1701957.308</v>
      </c>
      <c r="AA142">
        <v>1890359.206</v>
      </c>
      <c r="AB142">
        <v>2110693.5129999998</v>
      </c>
      <c r="AC142">
        <v>2368401.0469999998</v>
      </c>
      <c r="AD142">
        <v>2388409.5389999999</v>
      </c>
      <c r="AE142">
        <v>2409024.6770000001</v>
      </c>
      <c r="AF142">
        <v>2433242.9840000002</v>
      </c>
      <c r="AG142">
        <v>2458804.963</v>
      </c>
      <c r="AH142">
        <v>2485286.699</v>
      </c>
      <c r="AI142">
        <v>2516717.6830000002</v>
      </c>
      <c r="AJ142">
        <v>2548640.946</v>
      </c>
      <c r="AK142">
        <v>2580736.4739999999</v>
      </c>
      <c r="AL142">
        <v>2613316.3119999999</v>
      </c>
      <c r="AM142">
        <v>2645750.6349999998</v>
      </c>
      <c r="AN142">
        <v>2597688.4530000002</v>
      </c>
      <c r="AO142">
        <v>2535252.301</v>
      </c>
      <c r="AP142">
        <v>2468450.4389999998</v>
      </c>
      <c r="AQ142">
        <v>2400339.906</v>
      </c>
      <c r="AR142">
        <v>2330885.36</v>
      </c>
      <c r="AS142">
        <v>2302867.5720000002</v>
      </c>
      <c r="AT142">
        <v>2281975.6940000001</v>
      </c>
      <c r="AU142">
        <v>2262035.2489999998</v>
      </c>
      <c r="AV142">
        <v>2241734.2689999999</v>
      </c>
      <c r="AW142">
        <v>2221637.7409999999</v>
      </c>
    </row>
    <row r="143" spans="2:49" x14ac:dyDescent="0.25">
      <c r="B143" t="s">
        <v>444</v>
      </c>
      <c r="C143">
        <v>16503281.675133999</v>
      </c>
      <c r="D143">
        <v>16768247.200565999</v>
      </c>
      <c r="E143">
        <v>17044371.719999999</v>
      </c>
      <c r="F143">
        <v>17200967.140000001</v>
      </c>
      <c r="G143">
        <v>15695524.720000001</v>
      </c>
      <c r="H143">
        <v>14054927.51</v>
      </c>
      <c r="I143">
        <v>12932337.369999999</v>
      </c>
      <c r="J143">
        <v>13793688.15</v>
      </c>
      <c r="K143">
        <v>12351330.92</v>
      </c>
      <c r="L143">
        <v>11833787.49</v>
      </c>
      <c r="M143">
        <v>12098776.92</v>
      </c>
      <c r="N143">
        <v>12341326.17</v>
      </c>
      <c r="O143">
        <v>11674863.16</v>
      </c>
      <c r="P143">
        <v>10668661.24</v>
      </c>
      <c r="Q143">
        <v>9477913.1760000009</v>
      </c>
      <c r="R143">
        <v>8624896.2070000004</v>
      </c>
      <c r="S143">
        <v>7838310.4019999998</v>
      </c>
      <c r="T143">
        <v>7680092.9460000005</v>
      </c>
      <c r="U143">
        <v>7348883.7050000001</v>
      </c>
      <c r="V143">
        <v>7135714.5779999997</v>
      </c>
      <c r="W143">
        <v>6747656.3839999996</v>
      </c>
      <c r="X143">
        <v>6309396.9050000003</v>
      </c>
      <c r="Y143">
        <v>6150420.784</v>
      </c>
      <c r="Z143">
        <v>6140646.9359999998</v>
      </c>
      <c r="AA143">
        <v>6170682.3540000003</v>
      </c>
      <c r="AB143">
        <v>6213554.8370000003</v>
      </c>
      <c r="AC143">
        <v>6270125.5199999996</v>
      </c>
      <c r="AD143">
        <v>6292906</v>
      </c>
      <c r="AE143">
        <v>6327679.6900000004</v>
      </c>
      <c r="AF143">
        <v>6369235.5820000004</v>
      </c>
      <c r="AG143">
        <v>6414124.7599999998</v>
      </c>
      <c r="AH143">
        <v>6471570.835</v>
      </c>
      <c r="AI143">
        <v>6528969.0279999999</v>
      </c>
      <c r="AJ143">
        <v>6582178.6050000004</v>
      </c>
      <c r="AK143">
        <v>6644361.8310000002</v>
      </c>
      <c r="AL143">
        <v>6706575.8830000004</v>
      </c>
      <c r="AM143">
        <v>6765602.4979999997</v>
      </c>
      <c r="AN143">
        <v>6650878.7879999997</v>
      </c>
      <c r="AO143">
        <v>6509373.6979999999</v>
      </c>
      <c r="AP143">
        <v>6356003.4529999997</v>
      </c>
      <c r="AQ143">
        <v>6203507.8300000001</v>
      </c>
      <c r="AR143">
        <v>6039812.6239999998</v>
      </c>
      <c r="AS143">
        <v>5964222.3990000002</v>
      </c>
      <c r="AT143">
        <v>5902565.5499999998</v>
      </c>
      <c r="AU143">
        <v>5840026.8470000001</v>
      </c>
      <c r="AV143">
        <v>5776036.5389999999</v>
      </c>
      <c r="AW143">
        <v>5733065.0149999997</v>
      </c>
    </row>
    <row r="144" spans="2:49" x14ac:dyDescent="0.25">
      <c r="B144" t="s">
        <v>445</v>
      </c>
      <c r="C144">
        <v>11632594.838881901</v>
      </c>
      <c r="D144">
        <v>11819359.911689499</v>
      </c>
      <c r="E144">
        <v>12013990.58</v>
      </c>
      <c r="F144">
        <v>12011440.119999999</v>
      </c>
      <c r="G144">
        <v>11105770.970000001</v>
      </c>
      <c r="H144">
        <v>10446005.68</v>
      </c>
      <c r="I144">
        <v>8800736.3969999999</v>
      </c>
      <c r="J144">
        <v>7870637.5650000004</v>
      </c>
      <c r="K144">
        <v>7153739.7879999997</v>
      </c>
      <c r="L144">
        <v>7062867.3650000002</v>
      </c>
      <c r="M144">
        <v>7014949.676</v>
      </c>
      <c r="N144">
        <v>7290725.7879999997</v>
      </c>
      <c r="O144">
        <v>6557682.8420000002</v>
      </c>
      <c r="P144">
        <v>5686195.1500000004</v>
      </c>
      <c r="Q144">
        <v>4945007.5870000003</v>
      </c>
      <c r="R144">
        <v>4337982.34</v>
      </c>
      <c r="S144">
        <v>3886036.3909999998</v>
      </c>
      <c r="T144">
        <v>3661442.486</v>
      </c>
      <c r="U144">
        <v>3397958.267</v>
      </c>
      <c r="V144">
        <v>3156046.0249999999</v>
      </c>
      <c r="W144">
        <v>3074994.4679999999</v>
      </c>
      <c r="X144">
        <v>2965276.085</v>
      </c>
      <c r="Y144">
        <v>3109442.6770000001</v>
      </c>
      <c r="Z144">
        <v>3350189.875</v>
      </c>
      <c r="AA144">
        <v>3642623.5589999999</v>
      </c>
      <c r="AB144">
        <v>3986540.9309999999</v>
      </c>
      <c r="AC144">
        <v>4396102.3449999997</v>
      </c>
      <c r="AD144">
        <v>4405366.3480000002</v>
      </c>
      <c r="AE144">
        <v>4422395.2779999999</v>
      </c>
      <c r="AF144">
        <v>4443726.6780000003</v>
      </c>
      <c r="AG144">
        <v>4466479.4610000001</v>
      </c>
      <c r="AH144">
        <v>4494238.0999999996</v>
      </c>
      <c r="AI144">
        <v>4524367.84</v>
      </c>
      <c r="AJ144">
        <v>4555567.5250000004</v>
      </c>
      <c r="AK144">
        <v>4588632.2340000002</v>
      </c>
      <c r="AL144">
        <v>4622872.6670000004</v>
      </c>
      <c r="AM144">
        <v>4657190.7120000003</v>
      </c>
      <c r="AN144">
        <v>4540729.8619999997</v>
      </c>
      <c r="AO144">
        <v>4399704.1610000003</v>
      </c>
      <c r="AP144">
        <v>4253107.3169999998</v>
      </c>
      <c r="AQ144">
        <v>4106782.0380000002</v>
      </c>
      <c r="AR144">
        <v>3960618.0639999998</v>
      </c>
      <c r="AS144">
        <v>3891504.923</v>
      </c>
      <c r="AT144">
        <v>3835731.6749999998</v>
      </c>
      <c r="AU144">
        <v>3782476.9920000001</v>
      </c>
      <c r="AV144">
        <v>3729497.1140000001</v>
      </c>
      <c r="AW144">
        <v>3677230.5389999999</v>
      </c>
    </row>
    <row r="145" spans="2:49" x14ac:dyDescent="0.25">
      <c r="B145" t="s">
        <v>446</v>
      </c>
      <c r="C145">
        <v>3166830.51938263</v>
      </c>
      <c r="D145">
        <v>3217675.0077116699</v>
      </c>
      <c r="E145">
        <v>3270660.8059999999</v>
      </c>
      <c r="F145">
        <v>3287609.0049999999</v>
      </c>
      <c r="G145">
        <v>3225736.5669999998</v>
      </c>
      <c r="H145">
        <v>3125030.61</v>
      </c>
      <c r="I145">
        <v>3029495.9640000002</v>
      </c>
      <c r="J145">
        <v>2943126.8029999998</v>
      </c>
      <c r="K145">
        <v>2800023.318</v>
      </c>
      <c r="L145">
        <v>2794789.8289999999</v>
      </c>
      <c r="M145">
        <v>2824806.9920000001</v>
      </c>
      <c r="N145">
        <v>3007800.085</v>
      </c>
      <c r="O145">
        <v>2936348.2880000002</v>
      </c>
      <c r="P145">
        <v>2761321.0830000001</v>
      </c>
      <c r="Q145">
        <v>2552430.5520000001</v>
      </c>
      <c r="R145">
        <v>2461549.5010000002</v>
      </c>
      <c r="S145">
        <v>2327919.6320000002</v>
      </c>
      <c r="T145">
        <v>2308849.7230000002</v>
      </c>
      <c r="U145">
        <v>2266673.7710000002</v>
      </c>
      <c r="V145">
        <v>2244401.4890000001</v>
      </c>
      <c r="W145">
        <v>2209157.1</v>
      </c>
      <c r="X145">
        <v>2154539.3459999999</v>
      </c>
      <c r="Y145">
        <v>2166310.5060000001</v>
      </c>
      <c r="Z145">
        <v>2211653.9619999998</v>
      </c>
      <c r="AA145">
        <v>2270151.753</v>
      </c>
      <c r="AB145">
        <v>2340233.1669999999</v>
      </c>
      <c r="AC145">
        <v>2425987.09</v>
      </c>
      <c r="AD145">
        <v>2456435.5860000001</v>
      </c>
      <c r="AE145">
        <v>2491536.2209999999</v>
      </c>
      <c r="AF145">
        <v>2528959.3650000002</v>
      </c>
      <c r="AG145">
        <v>2568298.73</v>
      </c>
      <c r="AH145">
        <v>2611660.3250000002</v>
      </c>
      <c r="AI145">
        <v>2657850.159</v>
      </c>
      <c r="AJ145">
        <v>2705585.04</v>
      </c>
      <c r="AK145">
        <v>2755117.915</v>
      </c>
      <c r="AL145">
        <v>2806037.6230000001</v>
      </c>
      <c r="AM145">
        <v>2857578.0559999999</v>
      </c>
      <c r="AN145">
        <v>2870612.1749999998</v>
      </c>
      <c r="AO145">
        <v>2876945.5660000001</v>
      </c>
      <c r="AP145">
        <v>2878725.7940000002</v>
      </c>
      <c r="AQ145">
        <v>2877577.8169999998</v>
      </c>
      <c r="AR145">
        <v>2872641.0819999999</v>
      </c>
      <c r="AS145">
        <v>2890433.023</v>
      </c>
      <c r="AT145">
        <v>2911300.4879999999</v>
      </c>
      <c r="AU145">
        <v>2932277.4789999998</v>
      </c>
      <c r="AV145">
        <v>2952609.1970000002</v>
      </c>
      <c r="AW145">
        <v>2972544.2239999999</v>
      </c>
    </row>
    <row r="146" spans="2:49" x14ac:dyDescent="0.25">
      <c r="B146" t="s">
        <v>447</v>
      </c>
      <c r="C146">
        <v>6723975.7599636996</v>
      </c>
      <c r="D146">
        <v>6831931.3657214995</v>
      </c>
      <c r="E146">
        <v>6945717.0990000004</v>
      </c>
      <c r="F146">
        <v>7003114.1040000003</v>
      </c>
      <c r="G146">
        <v>7029171.6150000002</v>
      </c>
      <c r="H146">
        <v>6607896.284</v>
      </c>
      <c r="I146">
        <v>6868233.9819999998</v>
      </c>
      <c r="J146">
        <v>6943629.7180000003</v>
      </c>
      <c r="K146">
        <v>6824468.0250000004</v>
      </c>
      <c r="L146">
        <v>6840485.3569999998</v>
      </c>
      <c r="M146">
        <v>6899645.3540000003</v>
      </c>
      <c r="N146">
        <v>7192435.7249999996</v>
      </c>
      <c r="O146">
        <v>7196384.2699999996</v>
      </c>
      <c r="P146">
        <v>7197789.0630000001</v>
      </c>
      <c r="Q146">
        <v>7075294.9369999999</v>
      </c>
      <c r="R146">
        <v>7140540.4709999999</v>
      </c>
      <c r="S146">
        <v>7061674.5130000003</v>
      </c>
      <c r="T146">
        <v>7054128.4170000004</v>
      </c>
      <c r="U146">
        <v>7124950.1890000002</v>
      </c>
      <c r="V146">
        <v>7238361.1799999997</v>
      </c>
      <c r="W146">
        <v>7333154.1129999999</v>
      </c>
      <c r="X146">
        <v>7397252.6169999996</v>
      </c>
      <c r="Y146">
        <v>7496271.2819999997</v>
      </c>
      <c r="Z146">
        <v>7604287.591</v>
      </c>
      <c r="AA146">
        <v>7721285.9110000003</v>
      </c>
      <c r="AB146">
        <v>7861556.2309999997</v>
      </c>
      <c r="AC146">
        <v>8049158.2949999999</v>
      </c>
      <c r="AD146">
        <v>8123564.0089999996</v>
      </c>
      <c r="AE146">
        <v>8203929.4910000004</v>
      </c>
      <c r="AF146">
        <v>8291626</v>
      </c>
      <c r="AG146">
        <v>8386450.6629999997</v>
      </c>
      <c r="AH146">
        <v>8500498.6410000008</v>
      </c>
      <c r="AI146">
        <v>8627871.7809999995</v>
      </c>
      <c r="AJ146">
        <v>8766473.6390000004</v>
      </c>
      <c r="AK146">
        <v>8909681.7259999998</v>
      </c>
      <c r="AL146">
        <v>9058056.1380000003</v>
      </c>
      <c r="AM146">
        <v>9209843.0999999996</v>
      </c>
      <c r="AN146">
        <v>9362425.4499999899</v>
      </c>
      <c r="AO146">
        <v>9518693.8949999996</v>
      </c>
      <c r="AP146">
        <v>9674435.4539999999</v>
      </c>
      <c r="AQ146">
        <v>9829603.4419999998</v>
      </c>
      <c r="AR146">
        <v>9984395.6950000003</v>
      </c>
      <c r="AS146">
        <v>10139742.949999999</v>
      </c>
      <c r="AT146">
        <v>10296367.300000001</v>
      </c>
      <c r="AU146">
        <v>10454957.07</v>
      </c>
      <c r="AV146">
        <v>10614803.74</v>
      </c>
      <c r="AW146">
        <v>10775884.949999999</v>
      </c>
    </row>
    <row r="147" spans="2:49" x14ac:dyDescent="0.25">
      <c r="B147" t="s">
        <v>448</v>
      </c>
      <c r="C147">
        <v>312332.22295347298</v>
      </c>
      <c r="D147">
        <v>317346.817819711</v>
      </c>
      <c r="E147">
        <v>322572.6018</v>
      </c>
      <c r="F147">
        <v>334218.64779999998</v>
      </c>
      <c r="G147">
        <v>321572.96919999999</v>
      </c>
      <c r="H147">
        <v>280507.86670000001</v>
      </c>
      <c r="I147">
        <v>293197.7156</v>
      </c>
      <c r="J147">
        <v>297203.32539999997</v>
      </c>
      <c r="K147">
        <v>278002.46750000003</v>
      </c>
      <c r="L147">
        <v>263057.9325</v>
      </c>
      <c r="M147">
        <v>259081.96900000001</v>
      </c>
      <c r="N147">
        <v>273263.40179999999</v>
      </c>
      <c r="O147">
        <v>251276.54889999999</v>
      </c>
      <c r="P147">
        <v>232658.67980000001</v>
      </c>
      <c r="Q147">
        <v>211582.53769999999</v>
      </c>
      <c r="R147">
        <v>192604.17389999999</v>
      </c>
      <c r="S147">
        <v>179409.7035</v>
      </c>
      <c r="T147">
        <v>180177.89600000001</v>
      </c>
      <c r="U147">
        <v>180874.8161</v>
      </c>
      <c r="V147">
        <v>184780.9382</v>
      </c>
      <c r="W147">
        <v>186893.2764</v>
      </c>
      <c r="X147">
        <v>188047.0448</v>
      </c>
      <c r="Y147">
        <v>190496.16339999999</v>
      </c>
      <c r="Z147">
        <v>195027.22700000001</v>
      </c>
      <c r="AA147">
        <v>200732.47330000001</v>
      </c>
      <c r="AB147">
        <v>207306.07380000001</v>
      </c>
      <c r="AC147">
        <v>214924.86319999999</v>
      </c>
      <c r="AD147">
        <v>217314.01680000001</v>
      </c>
      <c r="AE147">
        <v>219807.58730000001</v>
      </c>
      <c r="AF147">
        <v>222664.3493</v>
      </c>
      <c r="AG147">
        <v>225775.8155</v>
      </c>
      <c r="AH147">
        <v>228963.10920000001</v>
      </c>
      <c r="AI147">
        <v>232793.3609</v>
      </c>
      <c r="AJ147">
        <v>236656.0601</v>
      </c>
      <c r="AK147">
        <v>240516.78959999999</v>
      </c>
      <c r="AL147">
        <v>244419.704</v>
      </c>
      <c r="AM147">
        <v>248269.00080000001</v>
      </c>
      <c r="AN147">
        <v>251426.06940000001</v>
      </c>
      <c r="AO147">
        <v>254742.80809999999</v>
      </c>
      <c r="AP147">
        <v>257913.079</v>
      </c>
      <c r="AQ147">
        <v>261035.44089999999</v>
      </c>
      <c r="AR147">
        <v>263967.26919999998</v>
      </c>
      <c r="AS147">
        <v>267231.09149999998</v>
      </c>
      <c r="AT147">
        <v>270498.59730000002</v>
      </c>
      <c r="AU147">
        <v>273774.73119999998</v>
      </c>
      <c r="AV147">
        <v>277032.38959999999</v>
      </c>
      <c r="AW147">
        <v>280453.1545</v>
      </c>
    </row>
    <row r="148" spans="2:49" x14ac:dyDescent="0.25">
      <c r="B148" t="s">
        <v>449</v>
      </c>
      <c r="C148">
        <v>7845653.0561234802</v>
      </c>
      <c r="D148">
        <v>7971617.5536879301</v>
      </c>
      <c r="E148">
        <v>8102887.0319999997</v>
      </c>
      <c r="F148">
        <v>8280463.4249999998</v>
      </c>
      <c r="G148">
        <v>7923592.7070000004</v>
      </c>
      <c r="H148">
        <v>7530970.4500000002</v>
      </c>
      <c r="I148">
        <v>7551265.0099999998</v>
      </c>
      <c r="J148">
        <v>7323131.3530000001</v>
      </c>
      <c r="K148">
        <v>6878561.1260000002</v>
      </c>
      <c r="L148">
        <v>6706161.7779999999</v>
      </c>
      <c r="M148">
        <v>6847427.1279999996</v>
      </c>
      <c r="N148">
        <v>7301554.7410000004</v>
      </c>
      <c r="O148">
        <v>6961851.6940000001</v>
      </c>
      <c r="P148">
        <v>6334921.1119999997</v>
      </c>
      <c r="Q148">
        <v>5648124.4110000003</v>
      </c>
      <c r="R148">
        <v>5319595.7690000003</v>
      </c>
      <c r="S148">
        <v>4936209.841</v>
      </c>
      <c r="T148">
        <v>5009754.8159999996</v>
      </c>
      <c r="U148">
        <v>5021221.9309999999</v>
      </c>
      <c r="V148">
        <v>5111584.9680000003</v>
      </c>
      <c r="W148">
        <v>5180657.8760000002</v>
      </c>
      <c r="X148">
        <v>5217542.0449999999</v>
      </c>
      <c r="Y148">
        <v>5255947.2110000001</v>
      </c>
      <c r="Z148">
        <v>5349622.9060000004</v>
      </c>
      <c r="AA148">
        <v>5451768.5159999998</v>
      </c>
      <c r="AB148">
        <v>5556825.9539999999</v>
      </c>
      <c r="AC148">
        <v>5667902.46</v>
      </c>
      <c r="AD148">
        <v>5743630.4859999996</v>
      </c>
      <c r="AE148">
        <v>5835050.8600000003</v>
      </c>
      <c r="AF148">
        <v>5934180.9910000004</v>
      </c>
      <c r="AG148">
        <v>6038029.9220000003</v>
      </c>
      <c r="AH148">
        <v>6150052.8190000001</v>
      </c>
      <c r="AI148">
        <v>6273439.1179999998</v>
      </c>
      <c r="AJ148">
        <v>6399613.2240000004</v>
      </c>
      <c r="AK148">
        <v>6529797.9800000004</v>
      </c>
      <c r="AL148">
        <v>6663557.7149999999</v>
      </c>
      <c r="AM148">
        <v>6798962.5489999996</v>
      </c>
      <c r="AN148">
        <v>6920947.807</v>
      </c>
      <c r="AO148">
        <v>7053683.7549999999</v>
      </c>
      <c r="AP148">
        <v>7185272.0559999999</v>
      </c>
      <c r="AQ148">
        <v>7317809.5800000001</v>
      </c>
      <c r="AR148">
        <v>7448587.8880000003</v>
      </c>
      <c r="AS148">
        <v>7582408.2089999998</v>
      </c>
      <c r="AT148">
        <v>7713628.9910000004</v>
      </c>
      <c r="AU148">
        <v>7846321.4869999997</v>
      </c>
      <c r="AV148">
        <v>7980137.7680000002</v>
      </c>
      <c r="AW148">
        <v>8118050.2510000002</v>
      </c>
    </row>
    <row r="149" spans="2:49" x14ac:dyDescent="0.25">
      <c r="B149" t="s">
        <v>450</v>
      </c>
      <c r="C149">
        <v>3.3990718667427999</v>
      </c>
      <c r="D149">
        <v>3.4536450650243098</v>
      </c>
      <c r="E149">
        <v>3.5105166080000001</v>
      </c>
      <c r="F149">
        <v>3.721947712</v>
      </c>
      <c r="G149">
        <v>3.649102353</v>
      </c>
      <c r="H149">
        <v>3.4028761329999999</v>
      </c>
      <c r="I149">
        <v>3.359993754</v>
      </c>
      <c r="J149">
        <v>3.359924286</v>
      </c>
      <c r="K149">
        <v>3.220373248</v>
      </c>
      <c r="L149">
        <v>3.2190964979999999</v>
      </c>
      <c r="M149">
        <v>3.2242167519999998</v>
      </c>
      <c r="N149">
        <v>3.304386413</v>
      </c>
      <c r="O149">
        <v>3.4867702290000002</v>
      </c>
      <c r="P149">
        <v>3.623630033</v>
      </c>
      <c r="Q149">
        <v>3.618991249</v>
      </c>
      <c r="R149">
        <v>3.7394495760000002</v>
      </c>
      <c r="S149">
        <v>3.7447865120000001</v>
      </c>
      <c r="T149">
        <v>3.8684616150000002</v>
      </c>
      <c r="U149">
        <v>3.8434516859999999</v>
      </c>
      <c r="V149">
        <v>3.9110762760000002</v>
      </c>
      <c r="W149">
        <v>3.87881323</v>
      </c>
      <c r="X149">
        <v>3.8366560540000001</v>
      </c>
      <c r="Y149">
        <v>3.7529311220000001</v>
      </c>
      <c r="Z149">
        <v>3.7324326120000002</v>
      </c>
      <c r="AA149">
        <v>3.7310692419999998</v>
      </c>
      <c r="AB149">
        <v>3.7347464819999998</v>
      </c>
      <c r="AC149">
        <v>3.7435036039999998</v>
      </c>
      <c r="AD149">
        <v>3.755782451</v>
      </c>
      <c r="AE149">
        <v>3.7763379810000002</v>
      </c>
      <c r="AF149">
        <v>3.800519226</v>
      </c>
      <c r="AG149">
        <v>3.8280662830000001</v>
      </c>
      <c r="AH149">
        <v>3.8654146599999999</v>
      </c>
      <c r="AI149">
        <v>3.9011708189999998</v>
      </c>
      <c r="AJ149">
        <v>3.933708003</v>
      </c>
      <c r="AK149">
        <v>3.9741785059999999</v>
      </c>
      <c r="AL149">
        <v>4.0148212919999997</v>
      </c>
      <c r="AM149">
        <v>4.0533556280000003</v>
      </c>
      <c r="AN149">
        <v>4.068474943</v>
      </c>
      <c r="AO149">
        <v>4.0894678960000004</v>
      </c>
      <c r="AP149">
        <v>4.1094315799999999</v>
      </c>
      <c r="AQ149">
        <v>4.1351748349999999</v>
      </c>
      <c r="AR149">
        <v>4.1543517159999999</v>
      </c>
      <c r="AS149">
        <v>4.1755389630000002</v>
      </c>
      <c r="AT149">
        <v>4.1966892790000001</v>
      </c>
      <c r="AU149">
        <v>4.2157684199999998</v>
      </c>
      <c r="AV149">
        <v>4.2343952050000002</v>
      </c>
      <c r="AW149">
        <v>4.2885643870000001</v>
      </c>
    </row>
    <row r="150" spans="2:49" x14ac:dyDescent="0.25">
      <c r="B150" t="s">
        <v>451</v>
      </c>
      <c r="C150">
        <v>600391.80946004798</v>
      </c>
      <c r="D150">
        <v>610031.29416316305</v>
      </c>
      <c r="E150">
        <v>620076.74470000004</v>
      </c>
      <c r="F150">
        <v>631924.70429999998</v>
      </c>
      <c r="G150">
        <v>594129.98840000003</v>
      </c>
      <c r="H150">
        <v>585118.74690000003</v>
      </c>
      <c r="I150">
        <v>592168.1459</v>
      </c>
      <c r="J150">
        <v>567195.75260000001</v>
      </c>
      <c r="K150">
        <v>533753.89850000001</v>
      </c>
      <c r="L150">
        <v>538502.46589999995</v>
      </c>
      <c r="M150">
        <v>547833.99269999994</v>
      </c>
      <c r="N150">
        <v>576907.3602</v>
      </c>
      <c r="O150">
        <v>610043.55350000004</v>
      </c>
      <c r="P150">
        <v>621587.74210000003</v>
      </c>
      <c r="Q150">
        <v>577325.47679999995</v>
      </c>
      <c r="R150">
        <v>594392.34180000005</v>
      </c>
      <c r="S150">
        <v>595286.54169999994</v>
      </c>
      <c r="T150">
        <v>595667.33129999996</v>
      </c>
      <c r="U150">
        <v>596054.24569999997</v>
      </c>
      <c r="V150">
        <v>600406.90800000005</v>
      </c>
      <c r="W150">
        <v>600053.78899999999</v>
      </c>
      <c r="X150">
        <v>594926.08790000004</v>
      </c>
      <c r="Y150">
        <v>598314.8554</v>
      </c>
      <c r="Z150">
        <v>604037.74029999995</v>
      </c>
      <c r="AA150">
        <v>610738.87749999994</v>
      </c>
      <c r="AB150">
        <v>617404.97939999995</v>
      </c>
      <c r="AC150">
        <v>624306.03910000005</v>
      </c>
      <c r="AD150">
        <v>629815.95900000003</v>
      </c>
      <c r="AE150">
        <v>633901.85329999996</v>
      </c>
      <c r="AF150">
        <v>639194.09719999996</v>
      </c>
      <c r="AG150">
        <v>644846.72409999999</v>
      </c>
      <c r="AH150">
        <v>649525.44369999995</v>
      </c>
      <c r="AI150">
        <v>657022.02520000003</v>
      </c>
      <c r="AJ150">
        <v>664366.21459999995</v>
      </c>
      <c r="AK150">
        <v>671562.74210000003</v>
      </c>
      <c r="AL150">
        <v>678890.4375</v>
      </c>
      <c r="AM150">
        <v>686251.10750000004</v>
      </c>
      <c r="AN150">
        <v>692258.04630000005</v>
      </c>
      <c r="AO150">
        <v>698728.3504</v>
      </c>
      <c r="AP150">
        <v>705132.35239999997</v>
      </c>
      <c r="AQ150">
        <v>711581.3345</v>
      </c>
      <c r="AR150">
        <v>718020.34820000001</v>
      </c>
      <c r="AS150">
        <v>724112.12659999996</v>
      </c>
      <c r="AT150">
        <v>730355.46730000002</v>
      </c>
      <c r="AU150">
        <v>736679.16469999996</v>
      </c>
      <c r="AV150">
        <v>743015.52610000002</v>
      </c>
      <c r="AW150">
        <v>749574.228</v>
      </c>
    </row>
    <row r="151" spans="2:49" x14ac:dyDescent="0.25">
      <c r="B151" t="s">
        <v>452</v>
      </c>
      <c r="C151">
        <v>2139866.37253871</v>
      </c>
      <c r="D151">
        <v>2174222.6193092102</v>
      </c>
      <c r="E151">
        <v>2197623.4389999998</v>
      </c>
      <c r="F151">
        <v>2183234.6140000001</v>
      </c>
      <c r="G151">
        <v>2173370.6949999998</v>
      </c>
      <c r="H151">
        <v>2169365.6430000002</v>
      </c>
      <c r="I151">
        <v>2173392.0260000001</v>
      </c>
      <c r="J151">
        <v>2185571.9419999998</v>
      </c>
      <c r="K151">
        <v>2186233.1269999999</v>
      </c>
      <c r="L151">
        <v>2182851.0129999998</v>
      </c>
      <c r="M151">
        <v>2195741.8930000002</v>
      </c>
      <c r="N151">
        <v>2173728.6</v>
      </c>
      <c r="O151">
        <v>2202163.7140000002</v>
      </c>
      <c r="P151">
        <v>2221830.1749999998</v>
      </c>
      <c r="Q151">
        <v>2248758.8259999999</v>
      </c>
      <c r="R151">
        <v>2271216.378</v>
      </c>
      <c r="S151">
        <v>2251431.7740000002</v>
      </c>
      <c r="T151">
        <v>2216494.1060000001</v>
      </c>
      <c r="U151">
        <v>2201484.0010000002</v>
      </c>
      <c r="V151">
        <v>2195926.3450000002</v>
      </c>
      <c r="W151">
        <v>2188508.19</v>
      </c>
      <c r="X151">
        <v>2127898.236</v>
      </c>
      <c r="Y151">
        <v>2082123.371</v>
      </c>
      <c r="Z151">
        <v>2035538.379</v>
      </c>
      <c r="AA151">
        <v>1990893.557</v>
      </c>
      <c r="AB151">
        <v>1946193.514</v>
      </c>
      <c r="AC151">
        <v>1901002.855</v>
      </c>
      <c r="AD151">
        <v>1850764.1470000001</v>
      </c>
      <c r="AE151">
        <v>1794688.676</v>
      </c>
      <c r="AF151">
        <v>1741431.46</v>
      </c>
      <c r="AG151">
        <v>1689308.456</v>
      </c>
      <c r="AH151">
        <v>1632897.787</v>
      </c>
      <c r="AI151">
        <v>1603881.581</v>
      </c>
      <c r="AJ151">
        <v>1574015.3370000001</v>
      </c>
      <c r="AK151">
        <v>1543491.9509999999</v>
      </c>
      <c r="AL151">
        <v>1512633.3289999999</v>
      </c>
      <c r="AM151">
        <v>1481289.7250000001</v>
      </c>
      <c r="AN151">
        <v>1472852.6140000001</v>
      </c>
      <c r="AO151">
        <v>1464879.575</v>
      </c>
      <c r="AP151">
        <v>1457081.6029999999</v>
      </c>
      <c r="AQ151">
        <v>1449207.719</v>
      </c>
      <c r="AR151">
        <v>1441090.9339999999</v>
      </c>
      <c r="AS151">
        <v>1449725.9720000001</v>
      </c>
      <c r="AT151">
        <v>1458581.084</v>
      </c>
      <c r="AU151">
        <v>1467557.9639999999</v>
      </c>
      <c r="AV151">
        <v>1476622.014</v>
      </c>
      <c r="AW151">
        <v>1486053.4990000001</v>
      </c>
    </row>
    <row r="152" spans="2:49" x14ac:dyDescent="0.25">
      <c r="B152" t="s">
        <v>453</v>
      </c>
      <c r="C152">
        <v>48247577.676067904</v>
      </c>
      <c r="D152">
        <v>49022208.141778298</v>
      </c>
      <c r="E152">
        <v>49870581.009999998</v>
      </c>
      <c r="F152">
        <v>49558515.990000002</v>
      </c>
      <c r="G152">
        <v>48578599.630000003</v>
      </c>
      <c r="H152">
        <v>46823944.57</v>
      </c>
      <c r="I152">
        <v>46429944.979999997</v>
      </c>
      <c r="J152">
        <v>46127872.719999999</v>
      </c>
      <c r="K152">
        <v>45540578.649999999</v>
      </c>
      <c r="L152">
        <v>44684805.200000003</v>
      </c>
      <c r="M152">
        <v>44212832.920000002</v>
      </c>
      <c r="N152">
        <v>43679353.659999996</v>
      </c>
      <c r="O152">
        <v>43620131.409999996</v>
      </c>
      <c r="P152">
        <v>43772429.380000003</v>
      </c>
      <c r="Q152">
        <v>43160467.07</v>
      </c>
      <c r="R152">
        <v>42563923.979999997</v>
      </c>
      <c r="S152">
        <v>41961509.850000001</v>
      </c>
      <c r="T152">
        <v>42503183.409999996</v>
      </c>
      <c r="U152">
        <v>42533359.890000001</v>
      </c>
      <c r="V152">
        <v>43024534.450000003</v>
      </c>
      <c r="W152">
        <v>43338346.759999998</v>
      </c>
      <c r="X152">
        <v>43140911.119999997</v>
      </c>
      <c r="Y152">
        <v>42796094.990000002</v>
      </c>
      <c r="Z152">
        <v>42674558.210000001</v>
      </c>
      <c r="AA152">
        <v>42612697.329999998</v>
      </c>
      <c r="AB152">
        <v>42577681.810000002</v>
      </c>
      <c r="AC152">
        <v>42583233.5</v>
      </c>
      <c r="AD152">
        <v>42117668.130000003</v>
      </c>
      <c r="AE152">
        <v>41676767.280000001</v>
      </c>
      <c r="AF152">
        <v>41270954.579999998</v>
      </c>
      <c r="AG152">
        <v>40885528.350000001</v>
      </c>
      <c r="AH152">
        <v>40505937.240000002</v>
      </c>
      <c r="AI152">
        <v>40371173.159999996</v>
      </c>
      <c r="AJ152">
        <v>40233921.890000001</v>
      </c>
      <c r="AK152">
        <v>40093560.039999999</v>
      </c>
      <c r="AL152">
        <v>39949064.149999999</v>
      </c>
      <c r="AM152">
        <v>39790419.840000004</v>
      </c>
      <c r="AN152">
        <v>40004102.18</v>
      </c>
      <c r="AO152">
        <v>40256712.030000001</v>
      </c>
      <c r="AP152">
        <v>40501843.5</v>
      </c>
      <c r="AQ152">
        <v>40743876.030000001</v>
      </c>
      <c r="AR152">
        <v>40972311.479999997</v>
      </c>
      <c r="AS152">
        <v>41477906.649999999</v>
      </c>
      <c r="AT152">
        <v>41976981.960000001</v>
      </c>
      <c r="AU152">
        <v>42481194.310000002</v>
      </c>
      <c r="AV152">
        <v>42988952.130000003</v>
      </c>
      <c r="AW152">
        <v>43517602.509999998</v>
      </c>
    </row>
    <row r="153" spans="2:49" x14ac:dyDescent="0.25">
      <c r="B153" t="s">
        <v>454</v>
      </c>
      <c r="C153">
        <v>9181601.5739378203</v>
      </c>
      <c r="D153">
        <v>9329015.1570805702</v>
      </c>
      <c r="E153">
        <v>9482637.0470000003</v>
      </c>
      <c r="F153">
        <v>10802224.439999999</v>
      </c>
      <c r="G153">
        <v>9111171.0789999999</v>
      </c>
      <c r="H153">
        <v>6577795.2740000002</v>
      </c>
      <c r="I153">
        <v>7801189.6509999996</v>
      </c>
      <c r="J153">
        <v>6142684.0070000002</v>
      </c>
      <c r="K153">
        <v>7117471.909</v>
      </c>
      <c r="L153">
        <v>6391100.8159999996</v>
      </c>
      <c r="M153">
        <v>6430405.1900000004</v>
      </c>
      <c r="N153">
        <v>6611085.6289999997</v>
      </c>
      <c r="O153">
        <v>6037996.6459999997</v>
      </c>
      <c r="P153">
        <v>6400004.9019999998</v>
      </c>
      <c r="Q153">
        <v>6292888.9910000004</v>
      </c>
      <c r="R153">
        <v>6407012.7489999998</v>
      </c>
      <c r="S153">
        <v>6399355.9270000001</v>
      </c>
      <c r="T153">
        <v>6301128.7350000003</v>
      </c>
      <c r="U153">
        <v>6334066.3859999999</v>
      </c>
      <c r="V153">
        <v>6411421.0159999998</v>
      </c>
      <c r="W153">
        <v>6462124.1129999999</v>
      </c>
      <c r="X153">
        <v>6486572.6679999996</v>
      </c>
      <c r="Y153">
        <v>6534351.2980000004</v>
      </c>
      <c r="Z153">
        <v>6599189.2989999996</v>
      </c>
      <c r="AA153">
        <v>6670128.4199999999</v>
      </c>
      <c r="AB153">
        <v>6743094.2539999997</v>
      </c>
      <c r="AC153">
        <v>6820336.1449999996</v>
      </c>
      <c r="AD153">
        <v>6889044.8109999998</v>
      </c>
      <c r="AE153">
        <v>6959759.4160000002</v>
      </c>
      <c r="AF153">
        <v>7036940.2010000004</v>
      </c>
      <c r="AG153">
        <v>7120544.1940000001</v>
      </c>
      <c r="AH153">
        <v>7209333.5279999999</v>
      </c>
      <c r="AI153">
        <v>7310337.8219999997</v>
      </c>
      <c r="AJ153">
        <v>7418915.5769999996</v>
      </c>
      <c r="AK153">
        <v>7530923.0350000001</v>
      </c>
      <c r="AL153">
        <v>7647104.9400000004</v>
      </c>
      <c r="AM153">
        <v>7765921.4800000004</v>
      </c>
      <c r="AN153">
        <v>7880087.0080000004</v>
      </c>
      <c r="AO153">
        <v>8001218.9800000004</v>
      </c>
      <c r="AP153">
        <v>8122442.2400000002</v>
      </c>
      <c r="AQ153">
        <v>8244190.8130000001</v>
      </c>
      <c r="AR153">
        <v>8364613.5350000001</v>
      </c>
      <c r="AS153">
        <v>8483866.9340000004</v>
      </c>
      <c r="AT153">
        <v>8603700.6779999901</v>
      </c>
      <c r="AU153">
        <v>8725321.9299999997</v>
      </c>
      <c r="AV153">
        <v>8848030.6219999995</v>
      </c>
      <c r="AW153">
        <v>8974376.6779999901</v>
      </c>
    </row>
    <row r="154" spans="2:49" x14ac:dyDescent="0.25">
      <c r="B154" t="s">
        <v>455</v>
      </c>
      <c r="C154">
        <v>2568505.4482754301</v>
      </c>
      <c r="D154">
        <v>2609743.6340541099</v>
      </c>
      <c r="E154">
        <v>2652718.5619999999</v>
      </c>
      <c r="F154">
        <v>2753035.2259999998</v>
      </c>
      <c r="G154">
        <v>2735573.8480000002</v>
      </c>
      <c r="H154">
        <v>2257517.9879999999</v>
      </c>
      <c r="I154">
        <v>2329079.773</v>
      </c>
      <c r="J154">
        <v>2437989.5839999998</v>
      </c>
      <c r="K154">
        <v>2379071.6439999999</v>
      </c>
      <c r="L154">
        <v>2314590.1669999999</v>
      </c>
      <c r="M154">
        <v>2314603.1529999999</v>
      </c>
      <c r="N154">
        <v>2445846.8670000001</v>
      </c>
      <c r="O154">
        <v>2450306.915</v>
      </c>
      <c r="P154">
        <v>2449783.8620000002</v>
      </c>
      <c r="Q154">
        <v>2527284.696</v>
      </c>
      <c r="R154">
        <v>2568730.9389999998</v>
      </c>
      <c r="S154">
        <v>2539852.281</v>
      </c>
      <c r="T154">
        <v>2497412.088</v>
      </c>
      <c r="U154">
        <v>2470748.145</v>
      </c>
      <c r="V154">
        <v>2451551.4330000002</v>
      </c>
      <c r="W154">
        <v>2455102.6889999998</v>
      </c>
      <c r="X154">
        <v>2443102.7609999999</v>
      </c>
      <c r="Y154">
        <v>2448307.8110000002</v>
      </c>
      <c r="Z154">
        <v>2459613.4270000001</v>
      </c>
      <c r="AA154">
        <v>2480365.2629999998</v>
      </c>
      <c r="AB154">
        <v>2504557.3489999999</v>
      </c>
      <c r="AC154">
        <v>2530352.6710000001</v>
      </c>
      <c r="AD154">
        <v>2553521.6</v>
      </c>
      <c r="AE154">
        <v>2576492.4700000002</v>
      </c>
      <c r="AF154">
        <v>2603840.182</v>
      </c>
      <c r="AG154">
        <v>2634618.3909999998</v>
      </c>
      <c r="AH154">
        <v>2668258.835</v>
      </c>
      <c r="AI154">
        <v>2707856.9610000001</v>
      </c>
      <c r="AJ154">
        <v>2750898.327</v>
      </c>
      <c r="AK154">
        <v>2794847.2540000002</v>
      </c>
      <c r="AL154">
        <v>2840670.14</v>
      </c>
      <c r="AM154">
        <v>2887316.3689999999</v>
      </c>
      <c r="AN154">
        <v>2929107.2340000002</v>
      </c>
      <c r="AO154">
        <v>2969563.0750000002</v>
      </c>
      <c r="AP154">
        <v>3009234.3790000002</v>
      </c>
      <c r="AQ154">
        <v>3048428.8020000001</v>
      </c>
      <c r="AR154">
        <v>3086491.6430000002</v>
      </c>
      <c r="AS154">
        <v>3126647.6359999999</v>
      </c>
      <c r="AT154">
        <v>3167482.0669999998</v>
      </c>
      <c r="AU154">
        <v>3208652.5320000001</v>
      </c>
      <c r="AV154">
        <v>3249910.1430000002</v>
      </c>
      <c r="AW154">
        <v>3292379.12</v>
      </c>
    </row>
    <row r="155" spans="2:49" x14ac:dyDescent="0.25">
      <c r="B155" t="s">
        <v>456</v>
      </c>
      <c r="C155">
        <v>12693844.6626458</v>
      </c>
      <c r="D155">
        <v>12897648.444645001</v>
      </c>
      <c r="E155">
        <v>13110035.4</v>
      </c>
      <c r="F155">
        <v>13388703.59</v>
      </c>
      <c r="G155">
        <v>12856888.6</v>
      </c>
      <c r="H155">
        <v>12585155.720000001</v>
      </c>
      <c r="I155">
        <v>12381787.050000001</v>
      </c>
      <c r="J155">
        <v>11819020.970000001</v>
      </c>
      <c r="K155">
        <v>11195465.4</v>
      </c>
      <c r="L155">
        <v>10947884.57</v>
      </c>
      <c r="M155">
        <v>10962823.84</v>
      </c>
      <c r="N155">
        <v>11251215.699999999</v>
      </c>
      <c r="O155">
        <v>10555955.859999999</v>
      </c>
      <c r="P155">
        <v>9815732.1559999995</v>
      </c>
      <c r="Q155">
        <v>9178036.2829999998</v>
      </c>
      <c r="R155">
        <v>8676433.7990000006</v>
      </c>
      <c r="S155">
        <v>8121157.7089999998</v>
      </c>
      <c r="T155">
        <v>8086954.227</v>
      </c>
      <c r="U155">
        <v>8075528.5470000003</v>
      </c>
      <c r="V155">
        <v>8059458.7470000004</v>
      </c>
      <c r="W155">
        <v>7791035.8389999997</v>
      </c>
      <c r="X155">
        <v>7501595.9029999999</v>
      </c>
      <c r="Y155">
        <v>7267679.6720000003</v>
      </c>
      <c r="Z155">
        <v>7056726.392</v>
      </c>
      <c r="AA155">
        <v>6861559.3219999997</v>
      </c>
      <c r="AB155">
        <v>6679955.5470000003</v>
      </c>
      <c r="AC155">
        <v>6510220.0109999999</v>
      </c>
      <c r="AD155">
        <v>6350690.4330000002</v>
      </c>
      <c r="AE155">
        <v>6202339.3949999996</v>
      </c>
      <c r="AF155">
        <v>6064491.1880000001</v>
      </c>
      <c r="AG155">
        <v>5932447.2000000002</v>
      </c>
      <c r="AH155">
        <v>5807328.1979999999</v>
      </c>
      <c r="AI155">
        <v>5689372.9929999998</v>
      </c>
      <c r="AJ155">
        <v>5577313.9699999997</v>
      </c>
      <c r="AK155">
        <v>5471891.0140000004</v>
      </c>
      <c r="AL155">
        <v>5372050.4060000004</v>
      </c>
      <c r="AM155">
        <v>5277494.9869999997</v>
      </c>
      <c r="AN155">
        <v>5252526.82</v>
      </c>
      <c r="AO155">
        <v>5240683.29</v>
      </c>
      <c r="AP155">
        <v>5231155.8250000002</v>
      </c>
      <c r="AQ155">
        <v>5221604.28</v>
      </c>
      <c r="AR155">
        <v>5211539.0120000001</v>
      </c>
      <c r="AS155">
        <v>5199824.7290000003</v>
      </c>
      <c r="AT155">
        <v>5187475.43</v>
      </c>
      <c r="AU155">
        <v>5173991.8459999999</v>
      </c>
      <c r="AV155">
        <v>5159549.9800000004</v>
      </c>
      <c r="AW155">
        <v>5144219.1370000001</v>
      </c>
    </row>
    <row r="156" spans="2:49" x14ac:dyDescent="0.25">
      <c r="B156" t="s">
        <v>457</v>
      </c>
      <c r="C156">
        <v>1234344.16589374</v>
      </c>
      <c r="D156">
        <v>1254161.9607370901</v>
      </c>
      <c r="E156">
        <v>1274814.3799999999</v>
      </c>
      <c r="F156">
        <v>1251616.0719999999</v>
      </c>
      <c r="G156">
        <v>1175537.1610000001</v>
      </c>
      <c r="H156">
        <v>1205449.808</v>
      </c>
      <c r="I156">
        <v>1138314.5249999999</v>
      </c>
      <c r="J156">
        <v>1055285.037</v>
      </c>
      <c r="K156">
        <v>989724.51280000003</v>
      </c>
      <c r="L156">
        <v>958040.77190000005</v>
      </c>
      <c r="M156">
        <v>934255.42819999997</v>
      </c>
      <c r="N156">
        <v>928016.19180000003</v>
      </c>
      <c r="O156">
        <v>848575.15630000003</v>
      </c>
      <c r="P156">
        <v>773115.59239999996</v>
      </c>
      <c r="Q156">
        <v>715345.92870000005</v>
      </c>
      <c r="R156">
        <v>668920.54090000002</v>
      </c>
      <c r="S156">
        <v>617953.14679999999</v>
      </c>
      <c r="T156">
        <v>615802.87609999999</v>
      </c>
      <c r="U156">
        <v>616416.40399999998</v>
      </c>
      <c r="V156">
        <v>616483.27099999995</v>
      </c>
      <c r="W156">
        <v>587686.01679999998</v>
      </c>
      <c r="X156">
        <v>557143.46070000005</v>
      </c>
      <c r="Y156">
        <v>531994.88459999999</v>
      </c>
      <c r="Z156">
        <v>510005.2648</v>
      </c>
      <c r="AA156">
        <v>490206.2279</v>
      </c>
      <c r="AB156">
        <v>472222.67180000001</v>
      </c>
      <c r="AC156">
        <v>455790.12569999998</v>
      </c>
      <c r="AD156">
        <v>440654.65970000002</v>
      </c>
      <c r="AE156">
        <v>426902.24560000002</v>
      </c>
      <c r="AF156">
        <v>414401.82630000002</v>
      </c>
      <c r="AG156">
        <v>402616.59950000001</v>
      </c>
      <c r="AH156">
        <v>391633.55359999998</v>
      </c>
      <c r="AI156">
        <v>381493.21</v>
      </c>
      <c r="AJ156">
        <v>372005.0086</v>
      </c>
      <c r="AK156">
        <v>363209.9461</v>
      </c>
      <c r="AL156">
        <v>354995.76630000002</v>
      </c>
      <c r="AM156">
        <v>347321.01289999997</v>
      </c>
      <c r="AN156">
        <v>346363.64549999998</v>
      </c>
      <c r="AO156">
        <v>346664.85389999999</v>
      </c>
      <c r="AP156">
        <v>347202.83189999999</v>
      </c>
      <c r="AQ156">
        <v>347757.1091</v>
      </c>
      <c r="AR156">
        <v>348280.299</v>
      </c>
      <c r="AS156">
        <v>348699.40870000003</v>
      </c>
      <c r="AT156">
        <v>349077.46919999999</v>
      </c>
      <c r="AU156">
        <v>349370.07419999997</v>
      </c>
      <c r="AV156">
        <v>349591.49819999997</v>
      </c>
      <c r="AW156">
        <v>349748.82549999998</v>
      </c>
    </row>
    <row r="157" spans="2:49" x14ac:dyDescent="0.25">
      <c r="B157" t="s">
        <v>458</v>
      </c>
      <c r="C157">
        <v>16278955.912495499</v>
      </c>
      <c r="D157">
        <v>16540319.8152481</v>
      </c>
      <c r="E157">
        <v>16805880</v>
      </c>
      <c r="F157">
        <v>16658584.560000001</v>
      </c>
      <c r="G157">
        <v>15812088.699999999</v>
      </c>
      <c r="H157">
        <v>15159741.34</v>
      </c>
      <c r="I157">
        <v>14681762.289999999</v>
      </c>
      <c r="J157">
        <v>12866795.859999999</v>
      </c>
      <c r="K157">
        <v>11218331.49</v>
      </c>
      <c r="L157">
        <v>9849260.1260000002</v>
      </c>
      <c r="M157">
        <v>8809318.5749999899</v>
      </c>
      <c r="N157">
        <v>7951911.9079999998</v>
      </c>
      <c r="O157">
        <v>7207298.3200000003</v>
      </c>
      <c r="P157">
        <v>6479462.9069999997</v>
      </c>
      <c r="Q157">
        <v>5721377.8909999998</v>
      </c>
      <c r="R157">
        <v>5083123.3569999998</v>
      </c>
      <c r="S157">
        <v>4445884.1330000004</v>
      </c>
      <c r="T157">
        <v>5230514.1809999999</v>
      </c>
      <c r="U157">
        <v>5971816.8990000002</v>
      </c>
      <c r="V157">
        <v>6718911.7829999998</v>
      </c>
      <c r="W157">
        <v>8176330.4589999998</v>
      </c>
      <c r="X157">
        <v>9546301.4279999901</v>
      </c>
      <c r="Y157">
        <v>9672445.0140000004</v>
      </c>
      <c r="Z157">
        <v>9836472.3110000007</v>
      </c>
      <c r="AA157">
        <v>10014129.65</v>
      </c>
      <c r="AB157">
        <v>10235650.67</v>
      </c>
      <c r="AC157">
        <v>10468281.279999999</v>
      </c>
      <c r="AD157">
        <v>10579793.09</v>
      </c>
      <c r="AE157">
        <v>10686573.029999999</v>
      </c>
      <c r="AF157">
        <v>10793702.27</v>
      </c>
      <c r="AG157">
        <v>10930895.34</v>
      </c>
      <c r="AH157">
        <v>11064312.289999999</v>
      </c>
      <c r="AI157">
        <v>11193589.619999999</v>
      </c>
      <c r="AJ157">
        <v>11325892.960000001</v>
      </c>
      <c r="AK157">
        <v>11460761.119999999</v>
      </c>
      <c r="AL157">
        <v>11625087.85</v>
      </c>
      <c r="AM157">
        <v>11789560.9</v>
      </c>
      <c r="AN157">
        <v>11864686.859999999</v>
      </c>
      <c r="AO157">
        <v>11938944.57</v>
      </c>
      <c r="AP157">
        <v>12009877.34</v>
      </c>
      <c r="AQ157">
        <v>12080018.16</v>
      </c>
      <c r="AR157">
        <v>12146891.75</v>
      </c>
      <c r="AS157">
        <v>12153513.25</v>
      </c>
      <c r="AT157">
        <v>12163969.15</v>
      </c>
      <c r="AU157">
        <v>12176806.09</v>
      </c>
      <c r="AV157">
        <v>12191469.810000001</v>
      </c>
      <c r="AW157">
        <v>12212536.49</v>
      </c>
    </row>
    <row r="158" spans="2:49" x14ac:dyDescent="0.25">
      <c r="B158" t="s">
        <v>459</v>
      </c>
      <c r="C158">
        <v>4315668.6239754204</v>
      </c>
      <c r="D158">
        <v>4384958.0796759203</v>
      </c>
      <c r="E158">
        <v>4455360</v>
      </c>
      <c r="F158">
        <v>4315156.4630000005</v>
      </c>
      <c r="G158">
        <v>4154505.8119999999</v>
      </c>
      <c r="H158">
        <v>3749140.0669999998</v>
      </c>
      <c r="I158">
        <v>3589265.8059999999</v>
      </c>
      <c r="J158">
        <v>3469867.7140000002</v>
      </c>
      <c r="K158">
        <v>3315827.585</v>
      </c>
      <c r="L158">
        <v>3117845.7960000001</v>
      </c>
      <c r="M158">
        <v>2920674.2829999998</v>
      </c>
      <c r="N158">
        <v>2702223.7420000001</v>
      </c>
      <c r="O158">
        <v>2368229.855</v>
      </c>
      <c r="P158">
        <v>2096270.923</v>
      </c>
      <c r="Q158">
        <v>1850410.49</v>
      </c>
      <c r="R158">
        <v>1551977.4979999999</v>
      </c>
      <c r="S158">
        <v>1243247.9669999999</v>
      </c>
      <c r="T158">
        <v>1548925.8629999999</v>
      </c>
      <c r="U158">
        <v>1920194.997</v>
      </c>
      <c r="V158">
        <v>2309271.2859999998</v>
      </c>
      <c r="W158">
        <v>2487860.2179999999</v>
      </c>
      <c r="X158">
        <v>2644383.0830000001</v>
      </c>
      <c r="Y158">
        <v>2655032.577</v>
      </c>
      <c r="Z158">
        <v>2650578.8670000001</v>
      </c>
      <c r="AA158">
        <v>2645041.4870000002</v>
      </c>
      <c r="AB158">
        <v>2641792.4950000001</v>
      </c>
      <c r="AC158">
        <v>2639461.7140000002</v>
      </c>
      <c r="AD158">
        <v>2679835.071</v>
      </c>
      <c r="AE158">
        <v>2724715.4759999998</v>
      </c>
      <c r="AF158">
        <v>2770255.966</v>
      </c>
      <c r="AG158">
        <v>2817566.29</v>
      </c>
      <c r="AH158">
        <v>2865242.9840000002</v>
      </c>
      <c r="AI158">
        <v>2856243.06</v>
      </c>
      <c r="AJ158">
        <v>2841537.9980000001</v>
      </c>
      <c r="AK158">
        <v>2825922.392</v>
      </c>
      <c r="AL158">
        <v>2808904.46</v>
      </c>
      <c r="AM158">
        <v>2791236.0329999998</v>
      </c>
      <c r="AN158">
        <v>2829034.1460000002</v>
      </c>
      <c r="AO158">
        <v>2871945.4759999998</v>
      </c>
      <c r="AP158">
        <v>2914293.26</v>
      </c>
      <c r="AQ158">
        <v>2955873.8709999998</v>
      </c>
      <c r="AR158">
        <v>2996315.5129999998</v>
      </c>
      <c r="AS158">
        <v>3018659.08</v>
      </c>
      <c r="AT158">
        <v>3038658.4929999998</v>
      </c>
      <c r="AU158">
        <v>3057902.858</v>
      </c>
      <c r="AV158">
        <v>3076345.6469999999</v>
      </c>
      <c r="AW158">
        <v>3095349.585</v>
      </c>
    </row>
    <row r="159" spans="2:49" x14ac:dyDescent="0.25">
      <c r="B159" t="s">
        <v>460</v>
      </c>
      <c r="C159">
        <v>4315668.6239754204</v>
      </c>
      <c r="D159">
        <v>4384958.0796759203</v>
      </c>
      <c r="E159">
        <v>4455360</v>
      </c>
      <c r="F159">
        <v>4315156.4630000005</v>
      </c>
      <c r="G159">
        <v>4154505.8119999999</v>
      </c>
      <c r="H159">
        <v>3749140.0669999998</v>
      </c>
      <c r="I159">
        <v>3589265.8059999999</v>
      </c>
      <c r="J159">
        <v>3469867.7140000002</v>
      </c>
      <c r="K159">
        <v>3315827.585</v>
      </c>
      <c r="L159">
        <v>3117845.7960000001</v>
      </c>
      <c r="M159">
        <v>2920674.2829999998</v>
      </c>
      <c r="N159">
        <v>2702223.7420000001</v>
      </c>
      <c r="O159">
        <v>2368229.855</v>
      </c>
      <c r="P159">
        <v>2096270.923</v>
      </c>
      <c r="Q159">
        <v>1850410.49</v>
      </c>
      <c r="R159">
        <v>1551977.4979999999</v>
      </c>
      <c r="S159">
        <v>1243247.9669999999</v>
      </c>
      <c r="T159">
        <v>1548925.8629999999</v>
      </c>
      <c r="U159">
        <v>1920194.997</v>
      </c>
      <c r="V159">
        <v>2309271.2859999998</v>
      </c>
      <c r="W159">
        <v>2487860.2179999999</v>
      </c>
      <c r="X159">
        <v>2644383.0830000001</v>
      </c>
      <c r="Y159">
        <v>2655032.577</v>
      </c>
      <c r="Z159">
        <v>2650578.8670000001</v>
      </c>
      <c r="AA159">
        <v>2645041.4870000002</v>
      </c>
      <c r="AB159">
        <v>2641792.4950000001</v>
      </c>
      <c r="AC159">
        <v>2639461.7140000002</v>
      </c>
      <c r="AD159">
        <v>2679835.071</v>
      </c>
      <c r="AE159">
        <v>2724715.4759999998</v>
      </c>
      <c r="AF159">
        <v>2770255.966</v>
      </c>
      <c r="AG159">
        <v>2817566.29</v>
      </c>
      <c r="AH159">
        <v>2865242.9840000002</v>
      </c>
      <c r="AI159">
        <v>2856243.06</v>
      </c>
      <c r="AJ159">
        <v>2841537.9980000001</v>
      </c>
      <c r="AK159">
        <v>2825922.392</v>
      </c>
      <c r="AL159">
        <v>2808904.46</v>
      </c>
      <c r="AM159">
        <v>2791236.0329999998</v>
      </c>
      <c r="AN159">
        <v>2829034.1460000002</v>
      </c>
      <c r="AO159">
        <v>2871945.4759999998</v>
      </c>
      <c r="AP159">
        <v>2914293.26</v>
      </c>
      <c r="AQ159">
        <v>2955873.8709999998</v>
      </c>
      <c r="AR159">
        <v>2996315.5129999998</v>
      </c>
      <c r="AS159">
        <v>3018659.08</v>
      </c>
      <c r="AT159">
        <v>3038658.4929999998</v>
      </c>
      <c r="AU159">
        <v>3057902.858</v>
      </c>
      <c r="AV159">
        <v>3076345.6469999999</v>
      </c>
      <c r="AW159">
        <v>3095349.585</v>
      </c>
    </row>
    <row r="160" spans="2:49" x14ac:dyDescent="0.25">
      <c r="B160" t="s">
        <v>461</v>
      </c>
      <c r="C160">
        <v>8232235.5397947598</v>
      </c>
      <c r="D160">
        <v>8364406.7441781899</v>
      </c>
      <c r="E160">
        <v>8498700</v>
      </c>
      <c r="F160">
        <v>8429925.4890000001</v>
      </c>
      <c r="G160">
        <v>8355638.3880000003</v>
      </c>
      <c r="H160">
        <v>7766801.6179999998</v>
      </c>
      <c r="I160">
        <v>7658938.3260000004</v>
      </c>
      <c r="J160">
        <v>7626227.5130000003</v>
      </c>
      <c r="K160">
        <v>7505918.8530000001</v>
      </c>
      <c r="L160">
        <v>7268829.8540000003</v>
      </c>
      <c r="M160">
        <v>7012542.523</v>
      </c>
      <c r="N160">
        <v>6681628.2869999995</v>
      </c>
      <c r="O160">
        <v>7007460.4519999996</v>
      </c>
      <c r="P160">
        <v>7598231.5449999999</v>
      </c>
      <c r="Q160">
        <v>8363432.767</v>
      </c>
      <c r="R160">
        <v>8969693.3780000005</v>
      </c>
      <c r="S160">
        <v>9553832.18899999</v>
      </c>
      <c r="T160">
        <v>8837295.6270000003</v>
      </c>
      <c r="U160">
        <v>8046110.5360000003</v>
      </c>
      <c r="V160">
        <v>7302753.4359999998</v>
      </c>
      <c r="W160">
        <v>5343345.8470000001</v>
      </c>
      <c r="X160">
        <v>3002304.5669999998</v>
      </c>
      <c r="Y160">
        <v>2796511.1749999998</v>
      </c>
      <c r="Z160">
        <v>2765522.3050000002</v>
      </c>
      <c r="AA160">
        <v>2752388.108</v>
      </c>
      <c r="AB160">
        <v>2742407.77</v>
      </c>
      <c r="AC160">
        <v>2733155.7009999999</v>
      </c>
      <c r="AD160">
        <v>2723378.0440000002</v>
      </c>
      <c r="AE160">
        <v>2713175.8480000002</v>
      </c>
      <c r="AF160">
        <v>2703137.8909999998</v>
      </c>
      <c r="AG160">
        <v>2692813.7949999999</v>
      </c>
      <c r="AH160">
        <v>2682694.284</v>
      </c>
      <c r="AI160">
        <v>2688147.2990000001</v>
      </c>
      <c r="AJ160">
        <v>2693598.8420000002</v>
      </c>
      <c r="AK160">
        <v>2698395.9190000002</v>
      </c>
      <c r="AL160">
        <v>2702442.193</v>
      </c>
      <c r="AM160">
        <v>2705613.6189999999</v>
      </c>
      <c r="AN160">
        <v>2703796.193</v>
      </c>
      <c r="AO160">
        <v>2700993.906</v>
      </c>
      <c r="AP160">
        <v>2697031.199</v>
      </c>
      <c r="AQ160">
        <v>2692303.872</v>
      </c>
      <c r="AR160">
        <v>2686565.9739999999</v>
      </c>
      <c r="AS160">
        <v>3563717.82</v>
      </c>
      <c r="AT160">
        <v>4541932.9859999996</v>
      </c>
      <c r="AU160">
        <v>5522758.29</v>
      </c>
      <c r="AV160">
        <v>6491265.3739999998</v>
      </c>
      <c r="AW160">
        <v>7448171.5250000004</v>
      </c>
    </row>
    <row r="161" spans="2:49" x14ac:dyDescent="0.25">
      <c r="B161" t="s">
        <v>462</v>
      </c>
      <c r="C161">
        <v>20174774.421468802</v>
      </c>
      <c r="D161">
        <v>20498686.950521201</v>
      </c>
      <c r="E161">
        <v>20827800</v>
      </c>
      <c r="F161">
        <v>19739636.949999999</v>
      </c>
      <c r="G161">
        <v>18547002.100000001</v>
      </c>
      <c r="H161">
        <v>16329994.84</v>
      </c>
      <c r="I161">
        <v>15253129.1</v>
      </c>
      <c r="J161">
        <v>14387147.84</v>
      </c>
      <c r="K161">
        <v>13414418.9</v>
      </c>
      <c r="L161">
        <v>12307263.810000001</v>
      </c>
      <c r="M161">
        <v>11249284.23</v>
      </c>
      <c r="N161">
        <v>10155588.609999999</v>
      </c>
      <c r="O161">
        <v>8597880.16599999</v>
      </c>
      <c r="P161">
        <v>7264500.2850000001</v>
      </c>
      <c r="Q161">
        <v>6001005.7359999996</v>
      </c>
      <c r="R161">
        <v>4543967.2010000004</v>
      </c>
      <c r="S161">
        <v>3040926.6150000002</v>
      </c>
      <c r="T161">
        <v>2793014.3760000002</v>
      </c>
      <c r="U161">
        <v>2646796.446</v>
      </c>
      <c r="V161">
        <v>2519480.929</v>
      </c>
      <c r="W161">
        <v>1737757.4339999999</v>
      </c>
      <c r="X161">
        <v>910856.10939999996</v>
      </c>
      <c r="Y161">
        <v>856034.35970000003</v>
      </c>
      <c r="Z161">
        <v>855865.42440000002</v>
      </c>
      <c r="AA161">
        <v>861390.37089999998</v>
      </c>
      <c r="AB161">
        <v>868214.31539999996</v>
      </c>
      <c r="AC161">
        <v>875354.71310000005</v>
      </c>
      <c r="AD161">
        <v>881173.93610000005</v>
      </c>
      <c r="AE161">
        <v>886856.74340000004</v>
      </c>
      <c r="AF161">
        <v>892592.08700000006</v>
      </c>
      <c r="AG161">
        <v>898432.05500000005</v>
      </c>
      <c r="AH161">
        <v>904350.65859999997</v>
      </c>
      <c r="AI161">
        <v>910709.94709999999</v>
      </c>
      <c r="AJ161">
        <v>917089.07849999995</v>
      </c>
      <c r="AK161">
        <v>923252.39670000004</v>
      </c>
      <c r="AL161">
        <v>929260.13179999997</v>
      </c>
      <c r="AM161">
        <v>934975.29350000003</v>
      </c>
      <c r="AN161">
        <v>940187.82689999999</v>
      </c>
      <c r="AO161">
        <v>945088.98849999998</v>
      </c>
      <c r="AP161">
        <v>949613.27780000004</v>
      </c>
      <c r="AQ161">
        <v>953895.96250000002</v>
      </c>
      <c r="AR161">
        <v>957846.75879999995</v>
      </c>
      <c r="AS161">
        <v>961553.0784</v>
      </c>
      <c r="AT161">
        <v>965078.73060000001</v>
      </c>
      <c r="AU161">
        <v>968408.53390000004</v>
      </c>
      <c r="AV161">
        <v>971476.47900000005</v>
      </c>
      <c r="AW161">
        <v>974710.30599999998</v>
      </c>
    </row>
    <row r="162" spans="2:49" x14ac:dyDescent="0.25">
      <c r="B162" t="s">
        <v>463</v>
      </c>
      <c r="C162">
        <v>463787.91773491597</v>
      </c>
      <c r="D162">
        <v>471234.182770602</v>
      </c>
      <c r="E162">
        <v>478800</v>
      </c>
      <c r="F162">
        <v>479393.00469999999</v>
      </c>
      <c r="G162">
        <v>463427.99369999999</v>
      </c>
      <c r="H162">
        <v>440917.91529999999</v>
      </c>
      <c r="I162">
        <v>447606.68329999998</v>
      </c>
      <c r="J162">
        <v>465319.94620000001</v>
      </c>
      <c r="K162">
        <v>466244.37770000001</v>
      </c>
      <c r="L162">
        <v>476511.55719999998</v>
      </c>
      <c r="M162">
        <v>499244.01789999998</v>
      </c>
      <c r="N162">
        <v>532647.17150000005</v>
      </c>
      <c r="O162">
        <v>509005.86050000001</v>
      </c>
      <c r="P162">
        <v>472867.05540000001</v>
      </c>
      <c r="Q162">
        <v>416216.29369999998</v>
      </c>
      <c r="R162">
        <v>368841.25520000001</v>
      </c>
      <c r="S162">
        <v>327394.4999</v>
      </c>
      <c r="T162">
        <v>304599.29790000001</v>
      </c>
      <c r="U162">
        <v>282899.3187</v>
      </c>
      <c r="V162">
        <v>262778.39039999997</v>
      </c>
      <c r="W162">
        <v>276358.66090000002</v>
      </c>
      <c r="X162">
        <v>289276.07799999998</v>
      </c>
      <c r="Y162">
        <v>286782.19290000002</v>
      </c>
      <c r="Z162">
        <v>285548.90460000001</v>
      </c>
      <c r="AA162">
        <v>285009.8126</v>
      </c>
      <c r="AB162">
        <v>285178.79239999998</v>
      </c>
      <c r="AC162">
        <v>285882.12229999999</v>
      </c>
      <c r="AD162">
        <v>284800.5307</v>
      </c>
      <c r="AE162">
        <v>283746.54239999998</v>
      </c>
      <c r="AF162">
        <v>282678.81589999999</v>
      </c>
      <c r="AG162">
        <v>281751.7034</v>
      </c>
      <c r="AH162">
        <v>280957.02279999998</v>
      </c>
      <c r="AI162">
        <v>280192.45449999999</v>
      </c>
      <c r="AJ162">
        <v>279448.26309999998</v>
      </c>
      <c r="AK162">
        <v>278763.80930000002</v>
      </c>
      <c r="AL162">
        <v>278104.73489999998</v>
      </c>
      <c r="AM162">
        <v>277430.11810000002</v>
      </c>
      <c r="AN162">
        <v>275938.29479999997</v>
      </c>
      <c r="AO162">
        <v>274476.61790000001</v>
      </c>
      <c r="AP162">
        <v>272899.16580000002</v>
      </c>
      <c r="AQ162">
        <v>271240.9117</v>
      </c>
      <c r="AR162">
        <v>269455.83679999999</v>
      </c>
      <c r="AS162">
        <v>268220.88209999999</v>
      </c>
      <c r="AT162">
        <v>266920.94170000002</v>
      </c>
      <c r="AU162">
        <v>265523.1176</v>
      </c>
      <c r="AV162">
        <v>264031.62819999998</v>
      </c>
      <c r="AW162">
        <v>262544.27010000002</v>
      </c>
    </row>
    <row r="163" spans="2:49" x14ac:dyDescent="0.25">
      <c r="B163" t="s">
        <v>464</v>
      </c>
      <c r="C163">
        <v>748170.71461916296</v>
      </c>
      <c r="D163">
        <v>760182.83744504896</v>
      </c>
      <c r="E163">
        <v>772387.81880000001</v>
      </c>
      <c r="F163">
        <v>782926.54749999999</v>
      </c>
      <c r="G163">
        <v>744112.22820000001</v>
      </c>
      <c r="H163">
        <v>730157.02740000002</v>
      </c>
      <c r="I163">
        <v>757218.15969999996</v>
      </c>
      <c r="J163">
        <v>727996.23609999998</v>
      </c>
      <c r="K163">
        <v>696780.99659999995</v>
      </c>
      <c r="L163">
        <v>657039.05740000005</v>
      </c>
      <c r="M163">
        <v>674562.72369999997</v>
      </c>
      <c r="N163">
        <v>670271.23049999995</v>
      </c>
      <c r="O163">
        <v>669000.21389999997</v>
      </c>
      <c r="P163">
        <v>675128.51150000002</v>
      </c>
      <c r="Q163">
        <v>634385.99419999996</v>
      </c>
      <c r="R163">
        <v>617051.17000000004</v>
      </c>
      <c r="S163">
        <v>614806.17429999996</v>
      </c>
      <c r="T163">
        <v>597801.54890000005</v>
      </c>
      <c r="U163">
        <v>580883.27980000002</v>
      </c>
      <c r="V163">
        <v>568938.08369999996</v>
      </c>
      <c r="W163">
        <v>605416.16780000005</v>
      </c>
      <c r="X163">
        <v>636418.99780000001</v>
      </c>
      <c r="Y163">
        <v>634789.84959999996</v>
      </c>
      <c r="Z163">
        <v>634566.55480000004</v>
      </c>
      <c r="AA163">
        <v>635297.63150000002</v>
      </c>
      <c r="AB163">
        <v>636296.30960000004</v>
      </c>
      <c r="AC163">
        <v>637878.85060000001</v>
      </c>
      <c r="AD163">
        <v>639395.65529999998</v>
      </c>
      <c r="AE163">
        <v>641370.03989999997</v>
      </c>
      <c r="AF163">
        <v>642978.84129999997</v>
      </c>
      <c r="AG163">
        <v>645169.14709999994</v>
      </c>
      <c r="AH163">
        <v>648575.29639999999</v>
      </c>
      <c r="AI163">
        <v>654772.87100000004</v>
      </c>
      <c r="AJ163">
        <v>661807.61840000004</v>
      </c>
      <c r="AK163">
        <v>668916.7476</v>
      </c>
      <c r="AL163">
        <v>676193.68709999998</v>
      </c>
      <c r="AM163">
        <v>683512.81590000005</v>
      </c>
      <c r="AN163">
        <v>690534.31709999999</v>
      </c>
      <c r="AO163">
        <v>698030.89150000003</v>
      </c>
      <c r="AP163">
        <v>705268.59719999996</v>
      </c>
      <c r="AQ163">
        <v>712376.30720000004</v>
      </c>
      <c r="AR163">
        <v>719269.01699999999</v>
      </c>
      <c r="AS163">
        <v>726016.55539999995</v>
      </c>
      <c r="AT163">
        <v>732713.54989999998</v>
      </c>
      <c r="AU163">
        <v>739405.1311</v>
      </c>
      <c r="AV163">
        <v>746002.46680000005</v>
      </c>
      <c r="AW163">
        <v>752637.65469999996</v>
      </c>
    </row>
    <row r="164" spans="2:49" x14ac:dyDescent="0.25">
      <c r="B164" s="247" t="s">
        <v>465</v>
      </c>
      <c r="C164">
        <v>5051155.6907064496</v>
      </c>
      <c r="D164">
        <v>5132253.62916335</v>
      </c>
      <c r="E164">
        <v>5214653.6210000003</v>
      </c>
      <c r="F164">
        <v>5247941.1540000001</v>
      </c>
      <c r="G164">
        <v>4938992.2</v>
      </c>
      <c r="H164">
        <v>4804060.375</v>
      </c>
      <c r="I164">
        <v>4767569.7939999998</v>
      </c>
      <c r="J164">
        <v>4676623.1950000003</v>
      </c>
      <c r="K164">
        <v>4371331.8909999998</v>
      </c>
      <c r="L164">
        <v>4177126.6349999998</v>
      </c>
      <c r="M164">
        <v>4160155.8309999998</v>
      </c>
      <c r="N164">
        <v>4106825.1809999999</v>
      </c>
      <c r="O164">
        <v>4079566.9789999998</v>
      </c>
      <c r="P164">
        <v>4078309.0639999998</v>
      </c>
      <c r="Q164">
        <v>3893871.7059999998</v>
      </c>
      <c r="R164">
        <v>3757853.253</v>
      </c>
      <c r="S164">
        <v>3757356.2069999999</v>
      </c>
      <c r="T164">
        <v>3623867.8730000001</v>
      </c>
      <c r="U164">
        <v>3513766.3080000002</v>
      </c>
      <c r="V164">
        <v>3422832.8659999999</v>
      </c>
      <c r="W164">
        <v>3634342.9950000001</v>
      </c>
      <c r="X164">
        <v>3813116.5329999998</v>
      </c>
      <c r="Y164">
        <v>3799759.72</v>
      </c>
      <c r="Z164">
        <v>3793156.0839999998</v>
      </c>
      <c r="AA164">
        <v>3791352.8220000002</v>
      </c>
      <c r="AB164">
        <v>3791122.574</v>
      </c>
      <c r="AC164">
        <v>3793803.5449999999</v>
      </c>
      <c r="AD164">
        <v>3799198.1910000001</v>
      </c>
      <c r="AE164">
        <v>3808294.6320000002</v>
      </c>
      <c r="AF164">
        <v>3816603.0529999998</v>
      </c>
      <c r="AG164">
        <v>3827662.81</v>
      </c>
      <c r="AH164">
        <v>3845988.2370000002</v>
      </c>
      <c r="AI164">
        <v>3881716.1179999998</v>
      </c>
      <c r="AJ164">
        <v>3921863.95</v>
      </c>
      <c r="AK164">
        <v>3962943.4950000001</v>
      </c>
      <c r="AL164">
        <v>4005085.3450000002</v>
      </c>
      <c r="AM164">
        <v>4047901.878</v>
      </c>
      <c r="AN164">
        <v>4088388.0329999998</v>
      </c>
      <c r="AO164">
        <v>4131161.591</v>
      </c>
      <c r="AP164">
        <v>4172905.1159999999</v>
      </c>
      <c r="AQ164">
        <v>4213971.12</v>
      </c>
      <c r="AR164">
        <v>4254074.5760000004</v>
      </c>
      <c r="AS164">
        <v>4293043.966</v>
      </c>
      <c r="AT164">
        <v>4331927.1459999997</v>
      </c>
      <c r="AU164">
        <v>4370768</v>
      </c>
      <c r="AV164">
        <v>4409178.4409999996</v>
      </c>
      <c r="AW164">
        <v>4447319.7180000003</v>
      </c>
    </row>
    <row r="165" spans="2:49" x14ac:dyDescent="0.25">
      <c r="B165" s="247" t="s">
        <v>466</v>
      </c>
      <c r="C165">
        <v>738109.45702439197</v>
      </c>
      <c r="D165">
        <v>749960.04310518701</v>
      </c>
      <c r="E165">
        <v>762000.89419999998</v>
      </c>
      <c r="F165">
        <v>807537.05989999999</v>
      </c>
      <c r="G165">
        <v>756804.08519999997</v>
      </c>
      <c r="H165">
        <v>642543.93759999995</v>
      </c>
      <c r="I165">
        <v>697946.98589999997</v>
      </c>
      <c r="J165">
        <v>684965.73840000003</v>
      </c>
      <c r="K165">
        <v>649921.59869999997</v>
      </c>
      <c r="L165">
        <v>633464.88470000005</v>
      </c>
      <c r="M165">
        <v>646322.35869999998</v>
      </c>
      <c r="N165">
        <v>683684.60369999998</v>
      </c>
      <c r="O165">
        <v>674627.26569999999</v>
      </c>
      <c r="P165">
        <v>666398.85089999996</v>
      </c>
      <c r="Q165">
        <v>613641.50159999996</v>
      </c>
      <c r="R165">
        <v>584573.57759999996</v>
      </c>
      <c r="S165">
        <v>534822.97389999998</v>
      </c>
      <c r="T165">
        <v>504626.22830000002</v>
      </c>
      <c r="U165">
        <v>486221.03279999999</v>
      </c>
      <c r="V165">
        <v>478977.3187</v>
      </c>
      <c r="W165">
        <v>502204.61849999998</v>
      </c>
      <c r="X165">
        <v>517901.4509</v>
      </c>
      <c r="Y165">
        <v>511981.59210000001</v>
      </c>
      <c r="Z165">
        <v>507615.25839999999</v>
      </c>
      <c r="AA165">
        <v>505252.01150000002</v>
      </c>
      <c r="AB165">
        <v>502692.72129999998</v>
      </c>
      <c r="AC165">
        <v>499973.61790000001</v>
      </c>
      <c r="AD165">
        <v>495831.81800000003</v>
      </c>
      <c r="AE165">
        <v>487468.9411</v>
      </c>
      <c r="AF165">
        <v>482649.09080000001</v>
      </c>
      <c r="AG165">
        <v>479554.5882</v>
      </c>
      <c r="AH165">
        <v>472991.43540000002</v>
      </c>
      <c r="AI165">
        <v>476801.16489999997</v>
      </c>
      <c r="AJ165">
        <v>479324.32939999999</v>
      </c>
      <c r="AK165">
        <v>480759.91269999999</v>
      </c>
      <c r="AL165">
        <v>481893.26260000002</v>
      </c>
      <c r="AM165">
        <v>482608.21039999998</v>
      </c>
      <c r="AN165">
        <v>482093.53869999998</v>
      </c>
      <c r="AO165">
        <v>482959.26650000003</v>
      </c>
      <c r="AP165">
        <v>483920.63809999998</v>
      </c>
      <c r="AQ165">
        <v>484886.59460000001</v>
      </c>
      <c r="AR165">
        <v>485665.04100000003</v>
      </c>
      <c r="AS165">
        <v>486005.68190000003</v>
      </c>
      <c r="AT165">
        <v>486574.3702</v>
      </c>
      <c r="AU165">
        <v>487304.21629999997</v>
      </c>
      <c r="AV165">
        <v>488032.58</v>
      </c>
      <c r="AW165">
        <v>488946.71250000002</v>
      </c>
    </row>
    <row r="166" spans="2:49" x14ac:dyDescent="0.25">
      <c r="B166" s="247" t="s">
        <v>467</v>
      </c>
      <c r="C166">
        <v>1453742.3069470399</v>
      </c>
      <c r="D166">
        <v>1477082.6099113501</v>
      </c>
      <c r="E166">
        <v>1500797.649</v>
      </c>
      <c r="F166">
        <v>1490658.3670000001</v>
      </c>
      <c r="G166">
        <v>1346665.8659999999</v>
      </c>
      <c r="H166">
        <v>1139656.862</v>
      </c>
      <c r="I166">
        <v>1151827.8419999999</v>
      </c>
      <c r="J166">
        <v>1246502.078</v>
      </c>
      <c r="K166">
        <v>1108611.2390000001</v>
      </c>
      <c r="L166">
        <v>1036633.186</v>
      </c>
      <c r="M166">
        <v>1039330.2659999999</v>
      </c>
      <c r="N166">
        <v>1029217.107</v>
      </c>
      <c r="O166">
        <v>1080021.193</v>
      </c>
      <c r="P166">
        <v>1120650.838</v>
      </c>
      <c r="Q166">
        <v>1102604.504</v>
      </c>
      <c r="R166">
        <v>1079902.996</v>
      </c>
      <c r="S166">
        <v>1062274.145</v>
      </c>
      <c r="T166">
        <v>1018779.75</v>
      </c>
      <c r="U166">
        <v>970763.22860000003</v>
      </c>
      <c r="V166">
        <v>931403.33279999997</v>
      </c>
      <c r="W166">
        <v>1033466.694</v>
      </c>
      <c r="X166">
        <v>1131307.797</v>
      </c>
      <c r="Y166">
        <v>1209645.9509999999</v>
      </c>
      <c r="Z166">
        <v>1313396.1869999999</v>
      </c>
      <c r="AA166">
        <v>1437523.777</v>
      </c>
      <c r="AB166">
        <v>1582220.517</v>
      </c>
      <c r="AC166">
        <v>1751137.6159999999</v>
      </c>
      <c r="AD166">
        <v>1748401.6240000001</v>
      </c>
      <c r="AE166">
        <v>1745863.466</v>
      </c>
      <c r="AF166">
        <v>1745020.4210000001</v>
      </c>
      <c r="AG166">
        <v>1745668.6529999999</v>
      </c>
      <c r="AH166">
        <v>1747189.5190000001</v>
      </c>
      <c r="AI166">
        <v>1760046.6510000001</v>
      </c>
      <c r="AJ166">
        <v>1773227.402</v>
      </c>
      <c r="AK166">
        <v>1786571.524</v>
      </c>
      <c r="AL166">
        <v>1800077.8770000001</v>
      </c>
      <c r="AM166">
        <v>1813474.405</v>
      </c>
      <c r="AN166">
        <v>1808541.702</v>
      </c>
      <c r="AO166">
        <v>1801470.591</v>
      </c>
      <c r="AP166">
        <v>1792078.845</v>
      </c>
      <c r="AQ166">
        <v>1780931.365</v>
      </c>
      <c r="AR166">
        <v>1767509.6229999999</v>
      </c>
      <c r="AS166">
        <v>1764242.0179999999</v>
      </c>
      <c r="AT166">
        <v>1762352.5249999999</v>
      </c>
      <c r="AU166">
        <v>1760324.8230000001</v>
      </c>
      <c r="AV166">
        <v>1757775.5730000001</v>
      </c>
      <c r="AW166">
        <v>1755276.0530000001</v>
      </c>
    </row>
    <row r="167" spans="2:49" x14ac:dyDescent="0.25">
      <c r="B167" s="247" t="s">
        <v>468</v>
      </c>
      <c r="C167">
        <v>1819036.8432423901</v>
      </c>
      <c r="D167">
        <v>1848242.0681447799</v>
      </c>
      <c r="E167">
        <v>1877916.192</v>
      </c>
      <c r="F167">
        <v>1868145.696</v>
      </c>
      <c r="G167">
        <v>1701660.5190000001</v>
      </c>
      <c r="H167">
        <v>1421610.149</v>
      </c>
      <c r="I167">
        <v>1466931.575</v>
      </c>
      <c r="J167">
        <v>1614280.6059999999</v>
      </c>
      <c r="K167">
        <v>1437624.1129999999</v>
      </c>
      <c r="L167">
        <v>1341088.298</v>
      </c>
      <c r="M167">
        <v>1339586.0970000001</v>
      </c>
      <c r="N167">
        <v>1308918.47</v>
      </c>
      <c r="O167">
        <v>1405372.1070000001</v>
      </c>
      <c r="P167">
        <v>1506169.5009999999</v>
      </c>
      <c r="Q167">
        <v>1521129.845</v>
      </c>
      <c r="R167">
        <v>1520865.6910000001</v>
      </c>
      <c r="S167">
        <v>1529369.943</v>
      </c>
      <c r="T167">
        <v>1501741.97</v>
      </c>
      <c r="U167">
        <v>1433263.3370000001</v>
      </c>
      <c r="V167">
        <v>1392683.4040000001</v>
      </c>
      <c r="W167">
        <v>1440522.733</v>
      </c>
      <c r="X167">
        <v>1467254.0689999999</v>
      </c>
      <c r="Y167">
        <v>1420855.909</v>
      </c>
      <c r="Z167">
        <v>1398398.7290000001</v>
      </c>
      <c r="AA167">
        <v>1383918.0730000001</v>
      </c>
      <c r="AB167">
        <v>1372695.8740000001</v>
      </c>
      <c r="AC167">
        <v>1365019.0049999999</v>
      </c>
      <c r="AD167">
        <v>1353721.4010000001</v>
      </c>
      <c r="AE167">
        <v>1344621.003</v>
      </c>
      <c r="AF167">
        <v>1336301.851</v>
      </c>
      <c r="AG167">
        <v>1329263.4990000001</v>
      </c>
      <c r="AH167">
        <v>1325084.392</v>
      </c>
      <c r="AI167">
        <v>1326996.2039999999</v>
      </c>
      <c r="AJ167">
        <v>1328143.804</v>
      </c>
      <c r="AK167">
        <v>1331181.075</v>
      </c>
      <c r="AL167">
        <v>1334137.855</v>
      </c>
      <c r="AM167">
        <v>1336509.7490000001</v>
      </c>
      <c r="AN167">
        <v>1327935.8289999999</v>
      </c>
      <c r="AO167">
        <v>1319600.0319999999</v>
      </c>
      <c r="AP167">
        <v>1310001.5649999999</v>
      </c>
      <c r="AQ167">
        <v>1300728.263</v>
      </c>
      <c r="AR167">
        <v>1288946.9620000001</v>
      </c>
      <c r="AS167">
        <v>1282696.8289999999</v>
      </c>
      <c r="AT167">
        <v>1276994.7350000001</v>
      </c>
      <c r="AU167">
        <v>1270667.6370000001</v>
      </c>
      <c r="AV167">
        <v>1263982.4069999999</v>
      </c>
      <c r="AW167">
        <v>1261934.3489999999</v>
      </c>
    </row>
    <row r="168" spans="2:49" x14ac:dyDescent="0.25">
      <c r="B168" s="247" t="s">
        <v>469</v>
      </c>
      <c r="C168">
        <v>2313078.33193391</v>
      </c>
      <c r="D168">
        <v>2350215.5527395001</v>
      </c>
      <c r="E168">
        <v>2387949.0240000002</v>
      </c>
      <c r="F168">
        <v>2353364.7919999999</v>
      </c>
      <c r="G168">
        <v>2172721.1340000001</v>
      </c>
      <c r="H168">
        <v>1906782.426</v>
      </c>
      <c r="I168">
        <v>1985324.3389999999</v>
      </c>
      <c r="J168">
        <v>1856404.493</v>
      </c>
      <c r="K168">
        <v>1674737.808</v>
      </c>
      <c r="L168">
        <v>1612073.45</v>
      </c>
      <c r="M168">
        <v>1572983.92</v>
      </c>
      <c r="N168">
        <v>1585533.7050000001</v>
      </c>
      <c r="O168">
        <v>1642813.192</v>
      </c>
      <c r="P168">
        <v>1681631.2209999999</v>
      </c>
      <c r="Q168">
        <v>1667407.405</v>
      </c>
      <c r="R168">
        <v>1630120.4790000001</v>
      </c>
      <c r="S168">
        <v>1637268.7220000001</v>
      </c>
      <c r="T168">
        <v>1587806.4180000001</v>
      </c>
      <c r="U168">
        <v>1515406.084</v>
      </c>
      <c r="V168">
        <v>1454723.726</v>
      </c>
      <c r="W168">
        <v>1601940.899</v>
      </c>
      <c r="X168">
        <v>1737880.966</v>
      </c>
      <c r="Y168">
        <v>1821150.605</v>
      </c>
      <c r="Z168">
        <v>1936064.7080000001</v>
      </c>
      <c r="AA168">
        <v>2073411.977</v>
      </c>
      <c r="AB168">
        <v>2235501.7990000001</v>
      </c>
      <c r="AC168">
        <v>2429863.4679999999</v>
      </c>
      <c r="AD168">
        <v>2410066.1359999999</v>
      </c>
      <c r="AE168">
        <v>2394437.1660000002</v>
      </c>
      <c r="AF168">
        <v>2380037.4010000001</v>
      </c>
      <c r="AG168">
        <v>2367487.8130000001</v>
      </c>
      <c r="AH168">
        <v>2358150.233</v>
      </c>
      <c r="AI168">
        <v>2361630.0869999998</v>
      </c>
      <c r="AJ168">
        <v>2365970.4720000001</v>
      </c>
      <c r="AK168">
        <v>2371514.7239999999</v>
      </c>
      <c r="AL168">
        <v>2377549.4730000002</v>
      </c>
      <c r="AM168">
        <v>2383730.861</v>
      </c>
      <c r="AN168">
        <v>2371482.7089999998</v>
      </c>
      <c r="AO168">
        <v>2358254.7450000001</v>
      </c>
      <c r="AP168">
        <v>2342701.33</v>
      </c>
      <c r="AQ168">
        <v>2325483.585</v>
      </c>
      <c r="AR168">
        <v>2305837.83</v>
      </c>
      <c r="AS168">
        <v>2296578.3169999998</v>
      </c>
      <c r="AT168">
        <v>2288386.0669999998</v>
      </c>
      <c r="AU168">
        <v>2280071.4739999999</v>
      </c>
      <c r="AV168">
        <v>2271320.0729999999</v>
      </c>
      <c r="AW168">
        <v>2262617.915</v>
      </c>
    </row>
    <row r="169" spans="2:49" x14ac:dyDescent="0.25">
      <c r="B169" s="247" t="s">
        <v>470</v>
      </c>
      <c r="C169">
        <v>4643279.3828946501</v>
      </c>
      <c r="D169">
        <v>4717828.7352982899</v>
      </c>
      <c r="E169">
        <v>4793575.0020000003</v>
      </c>
      <c r="F169">
        <v>4721817.835</v>
      </c>
      <c r="G169">
        <v>4596064.03</v>
      </c>
      <c r="H169">
        <v>4197117.3310000002</v>
      </c>
      <c r="I169">
        <v>4226702.602</v>
      </c>
      <c r="J169">
        <v>4142833.1349999998</v>
      </c>
      <c r="K169">
        <v>3888028.219</v>
      </c>
      <c r="L169">
        <v>3768445.5279999999</v>
      </c>
      <c r="M169">
        <v>3708381.0929999999</v>
      </c>
      <c r="N169">
        <v>3778422.9470000002</v>
      </c>
      <c r="O169">
        <v>3908822.98</v>
      </c>
      <c r="P169">
        <v>3985796.057</v>
      </c>
      <c r="Q169">
        <v>3927522.0440000002</v>
      </c>
      <c r="R169">
        <v>3930906.22</v>
      </c>
      <c r="S169">
        <v>3876544.6719999998</v>
      </c>
      <c r="T169">
        <v>3748643.5780000002</v>
      </c>
      <c r="U169">
        <v>3569714.17</v>
      </c>
      <c r="V169">
        <v>3424297.7949999999</v>
      </c>
      <c r="W169">
        <v>3579489.5529999998</v>
      </c>
      <c r="X169">
        <v>3685671.6540000001</v>
      </c>
      <c r="Y169">
        <v>3664670.15</v>
      </c>
      <c r="Z169">
        <v>3693425.5989999999</v>
      </c>
      <c r="AA169">
        <v>3741853.906</v>
      </c>
      <c r="AB169">
        <v>3806887.7880000002</v>
      </c>
      <c r="AC169">
        <v>3894999.298</v>
      </c>
      <c r="AD169">
        <v>3900242.5929999999</v>
      </c>
      <c r="AE169">
        <v>3911649.7719999999</v>
      </c>
      <c r="AF169">
        <v>3925091.8420000002</v>
      </c>
      <c r="AG169">
        <v>3940841.6439999999</v>
      </c>
      <c r="AH169">
        <v>3962175.4750000001</v>
      </c>
      <c r="AI169">
        <v>4006786.1719999998</v>
      </c>
      <c r="AJ169">
        <v>4053071.798</v>
      </c>
      <c r="AK169">
        <v>4101544.5090000001</v>
      </c>
      <c r="AL169">
        <v>4151111.91</v>
      </c>
      <c r="AM169">
        <v>4201056.9749999996</v>
      </c>
      <c r="AN169">
        <v>4214525.0120000001</v>
      </c>
      <c r="AO169">
        <v>4224652.3770000003</v>
      </c>
      <c r="AP169">
        <v>4230215.4179999996</v>
      </c>
      <c r="AQ169">
        <v>4232640.3600000003</v>
      </c>
      <c r="AR169">
        <v>4230386.0630000001</v>
      </c>
      <c r="AS169">
        <v>4248798.0060000001</v>
      </c>
      <c r="AT169">
        <v>4269386.767</v>
      </c>
      <c r="AU169">
        <v>4289706.585</v>
      </c>
      <c r="AV169">
        <v>4309047.4850000003</v>
      </c>
      <c r="AW169">
        <v>4327865.0980000002</v>
      </c>
    </row>
    <row r="170" spans="2:49" x14ac:dyDescent="0.25">
      <c r="B170" s="247" t="s">
        <v>471</v>
      </c>
      <c r="C170">
        <v>3833938.33697946</v>
      </c>
      <c r="D170">
        <v>3895493.45710216</v>
      </c>
      <c r="E170">
        <v>3971700.6740000001</v>
      </c>
      <c r="F170">
        <v>3915107.1159999999</v>
      </c>
      <c r="G170">
        <v>3855697.352</v>
      </c>
      <c r="H170">
        <v>3485404.301</v>
      </c>
      <c r="I170">
        <v>3575706.875</v>
      </c>
      <c r="J170">
        <v>3583985.8220000002</v>
      </c>
      <c r="K170">
        <v>3459740.4169999999</v>
      </c>
      <c r="L170">
        <v>3380001.835</v>
      </c>
      <c r="M170">
        <v>3320921.358</v>
      </c>
      <c r="N170">
        <v>3320977.6320000002</v>
      </c>
      <c r="O170">
        <v>3426660.7289999998</v>
      </c>
      <c r="P170">
        <v>3590093.3909999998</v>
      </c>
      <c r="Q170">
        <v>3674151.301</v>
      </c>
      <c r="R170">
        <v>3806509.5419999999</v>
      </c>
      <c r="S170">
        <v>3865953.56</v>
      </c>
      <c r="T170">
        <v>3719372.023</v>
      </c>
      <c r="U170">
        <v>3591546.22</v>
      </c>
      <c r="V170">
        <v>3474471.165</v>
      </c>
      <c r="W170">
        <v>3694791.9810000001</v>
      </c>
      <c r="X170">
        <v>3893165.9240000001</v>
      </c>
      <c r="Y170">
        <v>3890222.2680000002</v>
      </c>
      <c r="Z170">
        <v>3891488.892</v>
      </c>
      <c r="AA170">
        <v>3897197.5040000002</v>
      </c>
      <c r="AB170">
        <v>3913166.45</v>
      </c>
      <c r="AC170">
        <v>3951193.0249999999</v>
      </c>
      <c r="AD170">
        <v>3939204.8450000002</v>
      </c>
      <c r="AE170">
        <v>3929075.1329999999</v>
      </c>
      <c r="AF170">
        <v>3921188.7259999998</v>
      </c>
      <c r="AG170">
        <v>3916085.7740000002</v>
      </c>
      <c r="AH170">
        <v>3919454.8590000002</v>
      </c>
      <c r="AI170">
        <v>3949477.0079999999</v>
      </c>
      <c r="AJ170">
        <v>3984157.58</v>
      </c>
      <c r="AK170">
        <v>4020273.2829999998</v>
      </c>
      <c r="AL170">
        <v>4057580.423</v>
      </c>
      <c r="AM170">
        <v>4095650.9720000001</v>
      </c>
      <c r="AN170">
        <v>4130580.84</v>
      </c>
      <c r="AO170">
        <v>4167337.8339999998</v>
      </c>
      <c r="AP170">
        <v>4203319.9019999998</v>
      </c>
      <c r="AQ170">
        <v>4238409.3420000002</v>
      </c>
      <c r="AR170">
        <v>4272692.8370000003</v>
      </c>
      <c r="AS170">
        <v>4305500.7290000003</v>
      </c>
      <c r="AT170">
        <v>4338017.7910000002</v>
      </c>
      <c r="AU170">
        <v>4370495.352</v>
      </c>
      <c r="AV170">
        <v>4402617.7390000001</v>
      </c>
      <c r="AW170">
        <v>4434380.7050000001</v>
      </c>
    </row>
    <row r="171" spans="2:49" x14ac:dyDescent="0.25">
      <c r="B171" s="247" t="s">
        <v>472</v>
      </c>
      <c r="C171">
        <v>271678.64339116903</v>
      </c>
      <c r="D171">
        <v>276040.53188776103</v>
      </c>
      <c r="E171">
        <v>280472.45189999999</v>
      </c>
      <c r="F171">
        <v>284858.40509999997</v>
      </c>
      <c r="G171">
        <v>265190.09989999997</v>
      </c>
      <c r="H171">
        <v>226762.9099</v>
      </c>
      <c r="I171">
        <v>232494.25169999999</v>
      </c>
      <c r="J171">
        <v>229832.21090000001</v>
      </c>
      <c r="K171">
        <v>207308.86989999999</v>
      </c>
      <c r="L171">
        <v>190798.0379</v>
      </c>
      <c r="M171">
        <v>185696.12609999999</v>
      </c>
      <c r="N171">
        <v>194714.02009999999</v>
      </c>
      <c r="O171">
        <v>195162.6061</v>
      </c>
      <c r="P171">
        <v>195782.3928</v>
      </c>
      <c r="Q171">
        <v>186206.44579999999</v>
      </c>
      <c r="R171">
        <v>175853.54300000001</v>
      </c>
      <c r="S171">
        <v>170881.83470000001</v>
      </c>
      <c r="T171">
        <v>164138.52069999999</v>
      </c>
      <c r="U171">
        <v>155968.15979999999</v>
      </c>
      <c r="V171">
        <v>149929.65100000001</v>
      </c>
      <c r="W171">
        <v>156155.4785</v>
      </c>
      <c r="X171">
        <v>160176.07130000001</v>
      </c>
      <c r="Y171">
        <v>158991.41529999999</v>
      </c>
      <c r="Z171">
        <v>160024.3223</v>
      </c>
      <c r="AA171">
        <v>162108.1581</v>
      </c>
      <c r="AB171">
        <v>164867.37109999999</v>
      </c>
      <c r="AC171">
        <v>168380.51550000001</v>
      </c>
      <c r="AD171">
        <v>167945.53769999999</v>
      </c>
      <c r="AE171">
        <v>167483.02069999999</v>
      </c>
      <c r="AF171">
        <v>167196.4135</v>
      </c>
      <c r="AG171">
        <v>167072.4038</v>
      </c>
      <c r="AH171">
        <v>166986.24119999999</v>
      </c>
      <c r="AI171">
        <v>168093.16940000001</v>
      </c>
      <c r="AJ171">
        <v>169178.5343</v>
      </c>
      <c r="AK171">
        <v>170259.75380000001</v>
      </c>
      <c r="AL171">
        <v>171330.57920000001</v>
      </c>
      <c r="AM171">
        <v>172349.6526</v>
      </c>
      <c r="AN171">
        <v>171881.29980000001</v>
      </c>
      <c r="AO171">
        <v>171349.54759999999</v>
      </c>
      <c r="AP171">
        <v>170630.88440000001</v>
      </c>
      <c r="AQ171">
        <v>169807.61679999999</v>
      </c>
      <c r="AR171">
        <v>168795.69959999999</v>
      </c>
      <c r="AS171">
        <v>168531.12040000001</v>
      </c>
      <c r="AT171">
        <v>168371.7867</v>
      </c>
      <c r="AU171">
        <v>168200.80290000001</v>
      </c>
      <c r="AV171">
        <v>167988.0355</v>
      </c>
      <c r="AW171">
        <v>167836.8682</v>
      </c>
    </row>
    <row r="172" spans="2:49" x14ac:dyDescent="0.25">
      <c r="B172" s="247" t="s">
        <v>473</v>
      </c>
      <c r="C172">
        <v>2033071.8879050901</v>
      </c>
      <c r="D172">
        <v>2065713.51468114</v>
      </c>
      <c r="E172">
        <v>2098879.213</v>
      </c>
      <c r="F172">
        <v>2053979.362</v>
      </c>
      <c r="G172">
        <v>1814152.007</v>
      </c>
      <c r="H172">
        <v>1457817.6780000001</v>
      </c>
      <c r="I172">
        <v>1526415.5020000001</v>
      </c>
      <c r="J172">
        <v>1490459.29</v>
      </c>
      <c r="K172">
        <v>1348553.7709999999</v>
      </c>
      <c r="L172">
        <v>1314413.5900000001</v>
      </c>
      <c r="M172">
        <v>1306765.7919999999</v>
      </c>
      <c r="N172">
        <v>1318577.0859999999</v>
      </c>
      <c r="O172">
        <v>1292556.605</v>
      </c>
      <c r="P172">
        <v>1336218.743</v>
      </c>
      <c r="Q172">
        <v>1299722.9550000001</v>
      </c>
      <c r="R172">
        <v>1238773.6640000001</v>
      </c>
      <c r="S172">
        <v>1212609.5900000001</v>
      </c>
      <c r="T172">
        <v>1164698.8740000001</v>
      </c>
      <c r="U172">
        <v>1097578.0530000001</v>
      </c>
      <c r="V172">
        <v>1043808.053</v>
      </c>
      <c r="W172">
        <v>1071536.3970000001</v>
      </c>
      <c r="X172">
        <v>1079818.993</v>
      </c>
      <c r="Y172">
        <v>1059507.3929999999</v>
      </c>
      <c r="Z172">
        <v>1054542.084</v>
      </c>
      <c r="AA172">
        <v>1053175.6950000001</v>
      </c>
      <c r="AB172">
        <v>1052678.399</v>
      </c>
      <c r="AC172">
        <v>1053167.737</v>
      </c>
      <c r="AD172">
        <v>1039769.594</v>
      </c>
      <c r="AE172">
        <v>1027665.439</v>
      </c>
      <c r="AF172">
        <v>1016820.431</v>
      </c>
      <c r="AG172">
        <v>1006864.93</v>
      </c>
      <c r="AH172">
        <v>997714.255</v>
      </c>
      <c r="AI172">
        <v>995303.11080000002</v>
      </c>
      <c r="AJ172">
        <v>992719.19140000001</v>
      </c>
      <c r="AK172">
        <v>990625.58160000003</v>
      </c>
      <c r="AL172">
        <v>988627.83389999997</v>
      </c>
      <c r="AM172">
        <v>986514.37719999999</v>
      </c>
      <c r="AN172">
        <v>971426.19790000003</v>
      </c>
      <c r="AO172">
        <v>955281.19420000003</v>
      </c>
      <c r="AP172">
        <v>938093.70880000002</v>
      </c>
      <c r="AQ172">
        <v>920428.93200000003</v>
      </c>
      <c r="AR172">
        <v>901733.30630000005</v>
      </c>
      <c r="AS172">
        <v>890183.99769999995</v>
      </c>
      <c r="AT172">
        <v>879661.43729999999</v>
      </c>
      <c r="AU172">
        <v>869197.28850000002</v>
      </c>
      <c r="AV172">
        <v>858635.69270000001</v>
      </c>
      <c r="AW172">
        <v>848451.77249999996</v>
      </c>
    </row>
    <row r="173" spans="2:49" x14ac:dyDescent="0.25">
      <c r="B173" s="247" t="s">
        <v>474</v>
      </c>
      <c r="C173">
        <v>611949.61832884501</v>
      </c>
      <c r="D173">
        <v>621774.66739182698</v>
      </c>
      <c r="E173">
        <v>631757.4608</v>
      </c>
      <c r="F173">
        <v>620214.48329999996</v>
      </c>
      <c r="G173">
        <v>558611.66760000004</v>
      </c>
      <c r="H173">
        <v>469573.71919999999</v>
      </c>
      <c r="I173">
        <v>504172.85749999998</v>
      </c>
      <c r="J173">
        <v>488322.46830000001</v>
      </c>
      <c r="K173">
        <v>440987.8161</v>
      </c>
      <c r="L173">
        <v>419144.03080000001</v>
      </c>
      <c r="M173">
        <v>418180.50099999999</v>
      </c>
      <c r="N173">
        <v>419172.27789999999</v>
      </c>
      <c r="O173">
        <v>388014.70400000003</v>
      </c>
      <c r="P173">
        <v>374818.78460000001</v>
      </c>
      <c r="Q173">
        <v>333382.76140000002</v>
      </c>
      <c r="R173">
        <v>307001.61930000002</v>
      </c>
      <c r="S173">
        <v>295055.23879999999</v>
      </c>
      <c r="T173">
        <v>292945.22450000001</v>
      </c>
      <c r="U173">
        <v>282727.42440000002</v>
      </c>
      <c r="V173">
        <v>278096.13079999998</v>
      </c>
      <c r="W173">
        <v>302717.93060000002</v>
      </c>
      <c r="X173">
        <v>326022.80849999998</v>
      </c>
      <c r="Y173">
        <v>332482.46710000001</v>
      </c>
      <c r="Z173">
        <v>344624.41310000001</v>
      </c>
      <c r="AA173">
        <v>359476.34700000001</v>
      </c>
      <c r="AB173">
        <v>376689.40169999999</v>
      </c>
      <c r="AC173">
        <v>396886.20620000002</v>
      </c>
      <c r="AD173">
        <v>395726.30780000001</v>
      </c>
      <c r="AE173">
        <v>395291.23129999998</v>
      </c>
      <c r="AF173">
        <v>395127.58279999997</v>
      </c>
      <c r="AG173">
        <v>395353.70679999999</v>
      </c>
      <c r="AH173">
        <v>396022.58299999998</v>
      </c>
      <c r="AI173">
        <v>399301.96600000001</v>
      </c>
      <c r="AJ173">
        <v>402529.73009999999</v>
      </c>
      <c r="AK173">
        <v>405854.68160000001</v>
      </c>
      <c r="AL173">
        <v>409180.62420000002</v>
      </c>
      <c r="AM173">
        <v>412362.98710000003</v>
      </c>
      <c r="AN173">
        <v>414686.02360000001</v>
      </c>
      <c r="AO173">
        <v>417852.8357</v>
      </c>
      <c r="AP173">
        <v>420843.859</v>
      </c>
      <c r="AQ173">
        <v>423872.5528</v>
      </c>
      <c r="AR173">
        <v>426616.44300000003</v>
      </c>
      <c r="AS173">
        <v>429461.08020000003</v>
      </c>
      <c r="AT173">
        <v>432070.10550000001</v>
      </c>
      <c r="AU173">
        <v>434600.12939999998</v>
      </c>
      <c r="AV173">
        <v>437048.31300000002</v>
      </c>
      <c r="AW173">
        <v>439604.34299999999</v>
      </c>
    </row>
    <row r="174" spans="2:49" x14ac:dyDescent="0.25">
      <c r="B174" s="247" t="s">
        <v>475</v>
      </c>
      <c r="C174">
        <v>8749188.7351059392</v>
      </c>
      <c r="D174">
        <v>8889659.7902533505</v>
      </c>
      <c r="E174">
        <v>9032386.1539999899</v>
      </c>
      <c r="F174">
        <v>9098797.3430000003</v>
      </c>
      <c r="G174">
        <v>8693077.6030000001</v>
      </c>
      <c r="H174">
        <v>7702716.5049999999</v>
      </c>
      <c r="I174">
        <v>7802753.7240000004</v>
      </c>
      <c r="J174">
        <v>7714317.7860000003</v>
      </c>
      <c r="K174">
        <v>7228698.2570000002</v>
      </c>
      <c r="L174">
        <v>6841544.665</v>
      </c>
      <c r="M174">
        <v>6668647.6009999998</v>
      </c>
      <c r="N174">
        <v>6572846.0149999997</v>
      </c>
      <c r="O174">
        <v>6804702.6919999998</v>
      </c>
      <c r="P174">
        <v>7011508.4000000004</v>
      </c>
      <c r="Q174">
        <v>6839115.051</v>
      </c>
      <c r="R174">
        <v>6929170.3210000005</v>
      </c>
      <c r="S174">
        <v>7020264.7290000003</v>
      </c>
      <c r="T174">
        <v>6974819.8370000003</v>
      </c>
      <c r="U174">
        <v>6752882.6260000002</v>
      </c>
      <c r="V174">
        <v>6609596.8380000005</v>
      </c>
      <c r="W174">
        <v>6995048.2479999997</v>
      </c>
      <c r="X174">
        <v>7315425.1359999999</v>
      </c>
      <c r="Y174">
        <v>7229163.3269999996</v>
      </c>
      <c r="Z174">
        <v>7213618.5470000003</v>
      </c>
      <c r="AA174">
        <v>7211414.6220000004</v>
      </c>
      <c r="AB174">
        <v>7214716.449</v>
      </c>
      <c r="AC174">
        <v>7226630.4759999998</v>
      </c>
      <c r="AD174">
        <v>7205617.3890000004</v>
      </c>
      <c r="AE174">
        <v>7197811.7719999999</v>
      </c>
      <c r="AF174">
        <v>7192568.0310000004</v>
      </c>
      <c r="AG174">
        <v>7194026.176</v>
      </c>
      <c r="AH174">
        <v>7204219.4589999998</v>
      </c>
      <c r="AI174">
        <v>7257382.6040000003</v>
      </c>
      <c r="AJ174">
        <v>7311691.2609999999</v>
      </c>
      <c r="AK174">
        <v>7368591.3870000001</v>
      </c>
      <c r="AL174">
        <v>7426712.068</v>
      </c>
      <c r="AM174">
        <v>7484356.9060000004</v>
      </c>
      <c r="AN174">
        <v>7528904.4919999996</v>
      </c>
      <c r="AO174">
        <v>7587951.5089999996</v>
      </c>
      <c r="AP174">
        <v>7644631.6699999999</v>
      </c>
      <c r="AQ174">
        <v>7700660.9479999999</v>
      </c>
      <c r="AR174">
        <v>7753213.4759999998</v>
      </c>
      <c r="AS174">
        <v>7807455.1960000005</v>
      </c>
      <c r="AT174">
        <v>7857667.1150000002</v>
      </c>
      <c r="AU174">
        <v>7907226.0420000004</v>
      </c>
      <c r="AV174">
        <v>7955734.4460000005</v>
      </c>
      <c r="AW174">
        <v>8006074.3640000001</v>
      </c>
    </row>
    <row r="175" spans="2:49" x14ac:dyDescent="0.25">
      <c r="B175" s="247" t="s">
        <v>476</v>
      </c>
      <c r="C175">
        <v>583434.83019375498</v>
      </c>
      <c r="D175">
        <v>592802.06510985899</v>
      </c>
      <c r="E175">
        <v>602319.69400000002</v>
      </c>
      <c r="F175">
        <v>629496.45059999998</v>
      </c>
      <c r="G175">
        <v>616286.38040000002</v>
      </c>
      <c r="H175">
        <v>535645.08849999995</v>
      </c>
      <c r="I175">
        <v>534423.03509999998</v>
      </c>
      <c r="J175">
        <v>544912.10889999999</v>
      </c>
      <c r="K175">
        <v>521061.1225</v>
      </c>
      <c r="L175">
        <v>505597.58760000003</v>
      </c>
      <c r="M175">
        <v>470276.50300000003</v>
      </c>
      <c r="N175">
        <v>429840.97879999998</v>
      </c>
      <c r="O175">
        <v>414852.68349999998</v>
      </c>
      <c r="P175">
        <v>414354.8763</v>
      </c>
      <c r="Q175">
        <v>398927.97879999998</v>
      </c>
      <c r="R175">
        <v>399320.80800000002</v>
      </c>
      <c r="S175">
        <v>398513.48019999999</v>
      </c>
      <c r="T175">
        <v>401202.55800000002</v>
      </c>
      <c r="U175">
        <v>389906.77860000002</v>
      </c>
      <c r="V175">
        <v>387426.13370000001</v>
      </c>
      <c r="W175">
        <v>407278.47039999999</v>
      </c>
      <c r="X175">
        <v>424447.82199999999</v>
      </c>
      <c r="Y175">
        <v>411867.60100000002</v>
      </c>
      <c r="Z175">
        <v>405565.6862</v>
      </c>
      <c r="AA175">
        <v>401352.05359999998</v>
      </c>
      <c r="AB175">
        <v>397764.94660000002</v>
      </c>
      <c r="AC175">
        <v>394807.28690000001</v>
      </c>
      <c r="AD175">
        <v>392798.86749999999</v>
      </c>
      <c r="AE175">
        <v>391434.04950000002</v>
      </c>
      <c r="AF175">
        <v>390198.92349999998</v>
      </c>
      <c r="AG175">
        <v>389374.56099999999</v>
      </c>
      <c r="AH175">
        <v>389523.00109999999</v>
      </c>
      <c r="AI175">
        <v>391201.73869999999</v>
      </c>
      <c r="AJ175">
        <v>392515.85159999999</v>
      </c>
      <c r="AK175">
        <v>394567.54940000002</v>
      </c>
      <c r="AL175">
        <v>396569.43459999998</v>
      </c>
      <c r="AM175">
        <v>398312.57290000003</v>
      </c>
      <c r="AN175">
        <v>398366.83779999998</v>
      </c>
      <c r="AO175">
        <v>399238.3664</v>
      </c>
      <c r="AP175">
        <v>400036.0613</v>
      </c>
      <c r="AQ175">
        <v>401372.95360000001</v>
      </c>
      <c r="AR175">
        <v>402054.29090000002</v>
      </c>
      <c r="AS175">
        <v>403088.99060000002</v>
      </c>
      <c r="AT175">
        <v>404124.85460000002</v>
      </c>
      <c r="AU175">
        <v>404909.27970000001</v>
      </c>
      <c r="AV175">
        <v>405593.9915</v>
      </c>
      <c r="AW175">
        <v>409563.23839999997</v>
      </c>
    </row>
    <row r="176" spans="2:49" x14ac:dyDescent="0.25">
      <c r="B176" s="247" t="s">
        <v>477</v>
      </c>
      <c r="C176">
        <v>40605.282443966003</v>
      </c>
      <c r="D176">
        <v>41257.2133877546</v>
      </c>
      <c r="E176">
        <v>41919.611290000001</v>
      </c>
      <c r="F176">
        <v>42111.678769999999</v>
      </c>
      <c r="G176">
        <v>39515.192060000001</v>
      </c>
      <c r="H176">
        <v>36310.796170000001</v>
      </c>
      <c r="I176">
        <v>37101.86767</v>
      </c>
      <c r="J176">
        <v>36206.71312</v>
      </c>
      <c r="K176">
        <v>33984.239049999996</v>
      </c>
      <c r="L176">
        <v>33292.153899999998</v>
      </c>
      <c r="M176">
        <v>33377.118219999997</v>
      </c>
      <c r="N176">
        <v>33873.394460000003</v>
      </c>
      <c r="O176">
        <v>36010.999510000001</v>
      </c>
      <c r="P176">
        <v>38175.298519999997</v>
      </c>
      <c r="Q176">
        <v>37278.285150000003</v>
      </c>
      <c r="R176">
        <v>37482.336750000002</v>
      </c>
      <c r="S176">
        <v>37130.094100000002</v>
      </c>
      <c r="T176">
        <v>35657.31609</v>
      </c>
      <c r="U176">
        <v>34322.905839999999</v>
      </c>
      <c r="V176">
        <v>33217.717279999997</v>
      </c>
      <c r="W176">
        <v>35087.697240000001</v>
      </c>
      <c r="X176">
        <v>36644.795680000003</v>
      </c>
      <c r="Y176">
        <v>36306.083980000003</v>
      </c>
      <c r="Z176">
        <v>36025.115550000002</v>
      </c>
      <c r="AA176">
        <v>35807.332710000002</v>
      </c>
      <c r="AB176">
        <v>35600.741970000003</v>
      </c>
      <c r="AC176">
        <v>35420.544419999998</v>
      </c>
      <c r="AD176">
        <v>35229.673820000004</v>
      </c>
      <c r="AE176">
        <v>34941.259530000003</v>
      </c>
      <c r="AF176">
        <v>34693.33814</v>
      </c>
      <c r="AG176">
        <v>34478.174299999999</v>
      </c>
      <c r="AH176">
        <v>34219.336990000003</v>
      </c>
      <c r="AI176">
        <v>34273.003620000003</v>
      </c>
      <c r="AJ176">
        <v>34321.849880000002</v>
      </c>
      <c r="AK176">
        <v>34361.993629999997</v>
      </c>
      <c r="AL176">
        <v>34403.423470000002</v>
      </c>
      <c r="AM176">
        <v>34442.523029999997</v>
      </c>
      <c r="AN176">
        <v>34446.969490000003</v>
      </c>
      <c r="AO176">
        <v>34497.142520000001</v>
      </c>
      <c r="AP176">
        <v>34546.387799999997</v>
      </c>
      <c r="AQ176">
        <v>34597.05416</v>
      </c>
      <c r="AR176">
        <v>34645.579449999997</v>
      </c>
      <c r="AS176">
        <v>34686.134230000003</v>
      </c>
      <c r="AT176">
        <v>34734.635849999999</v>
      </c>
      <c r="AU176">
        <v>34782.957430000002</v>
      </c>
      <c r="AV176">
        <v>34827.643530000001</v>
      </c>
      <c r="AW176">
        <v>34878.879780000003</v>
      </c>
    </row>
    <row r="177" spans="2:49" x14ac:dyDescent="0.25">
      <c r="B177" s="247" t="s">
        <v>478</v>
      </c>
      <c r="C177">
        <v>55091.732691944802</v>
      </c>
      <c r="D177">
        <v>55976.248280239903</v>
      </c>
      <c r="E177">
        <v>56874.994919999997</v>
      </c>
      <c r="F177">
        <v>59887.101949999997</v>
      </c>
      <c r="G177">
        <v>61058.299379999997</v>
      </c>
      <c r="H177">
        <v>61306.028610000001</v>
      </c>
      <c r="I177">
        <v>64200.17815</v>
      </c>
      <c r="J177">
        <v>66294.867190000004</v>
      </c>
      <c r="K177">
        <v>67682.348450000005</v>
      </c>
      <c r="L177">
        <v>69463.671650000004</v>
      </c>
      <c r="M177">
        <v>71344.262390000004</v>
      </c>
      <c r="N177">
        <v>72295.658259999997</v>
      </c>
      <c r="O177">
        <v>71718.279569999999</v>
      </c>
      <c r="P177">
        <v>74537.172850000003</v>
      </c>
      <c r="Q177">
        <v>76515.723740000001</v>
      </c>
      <c r="R177">
        <v>83595.030419999996</v>
      </c>
      <c r="S177">
        <v>99301.946299999996</v>
      </c>
      <c r="T177">
        <v>109965.18240000001</v>
      </c>
      <c r="U177">
        <v>117215.4958</v>
      </c>
      <c r="V177">
        <v>121486.94779999999</v>
      </c>
      <c r="W177">
        <v>136111.18090000001</v>
      </c>
      <c r="X177">
        <v>174196.52600000001</v>
      </c>
      <c r="Y177">
        <v>196594.0123</v>
      </c>
      <c r="Z177">
        <v>218610.5361</v>
      </c>
      <c r="AA177">
        <v>240554.9596</v>
      </c>
      <c r="AB177">
        <v>262182.03499999997</v>
      </c>
      <c r="AC177">
        <v>283493.39929999999</v>
      </c>
      <c r="AD177">
        <v>306757.19760000001</v>
      </c>
      <c r="AE177">
        <v>328764.98469999997</v>
      </c>
      <c r="AF177">
        <v>350965.9608</v>
      </c>
      <c r="AG177">
        <v>373079.55930000002</v>
      </c>
      <c r="AH177">
        <v>393963.14449999999</v>
      </c>
      <c r="AI177">
        <v>411982.52840000001</v>
      </c>
      <c r="AJ177">
        <v>429959.23629999999</v>
      </c>
      <c r="AK177">
        <v>447930.21970000002</v>
      </c>
      <c r="AL177">
        <v>465930.57659999997</v>
      </c>
      <c r="AM177">
        <v>483967.10609999998</v>
      </c>
      <c r="AN177">
        <v>492846.59779999999</v>
      </c>
      <c r="AO177">
        <v>501920.56050000002</v>
      </c>
      <c r="AP177">
        <v>511102.44300000003</v>
      </c>
      <c r="AQ177">
        <v>520310.32819999999</v>
      </c>
      <c r="AR177">
        <v>529485.07550000004</v>
      </c>
      <c r="AS177">
        <v>529461.12109999999</v>
      </c>
      <c r="AT177">
        <v>529468.00950000004</v>
      </c>
      <c r="AU177">
        <v>529468.58739999996</v>
      </c>
      <c r="AV177">
        <v>529449.41159999999</v>
      </c>
      <c r="AW177">
        <v>529509.53480000002</v>
      </c>
    </row>
    <row r="178" spans="2:49" x14ac:dyDescent="0.25">
      <c r="B178" s="247" t="s">
        <v>479</v>
      </c>
      <c r="C178">
        <v>53959.065015136701</v>
      </c>
      <c r="D178">
        <v>54825.395257508797</v>
      </c>
      <c r="E178">
        <v>55842.153270000003</v>
      </c>
      <c r="F178">
        <v>63905.2523</v>
      </c>
      <c r="G178">
        <v>70438.047460000002</v>
      </c>
      <c r="H178">
        <v>75638.896340000007</v>
      </c>
      <c r="I178">
        <v>82829.635039999994</v>
      </c>
      <c r="J178">
        <v>88943.319640000002</v>
      </c>
      <c r="K178">
        <v>93888.866179999997</v>
      </c>
      <c r="L178">
        <v>98125.302259999997</v>
      </c>
      <c r="M178">
        <v>100701.98360000001</v>
      </c>
      <c r="N178">
        <v>100865.1602</v>
      </c>
      <c r="O178">
        <v>110738.9134</v>
      </c>
      <c r="P178">
        <v>122483.7533</v>
      </c>
      <c r="Q178">
        <v>134973.57769999999</v>
      </c>
      <c r="R178">
        <v>149519.655</v>
      </c>
      <c r="S178">
        <v>166917.16029999999</v>
      </c>
      <c r="T178">
        <v>246072.73860000001</v>
      </c>
      <c r="U178">
        <v>300881.7121</v>
      </c>
      <c r="V178">
        <v>341427.72499999998</v>
      </c>
      <c r="W178">
        <v>406207.3652</v>
      </c>
      <c r="X178">
        <v>607624.30500000005</v>
      </c>
      <c r="Y178">
        <v>799213.88659999997</v>
      </c>
      <c r="Z178">
        <v>993973.81499999994</v>
      </c>
      <c r="AA178">
        <v>1190453.274</v>
      </c>
      <c r="AB178">
        <v>1388094.456</v>
      </c>
      <c r="AC178">
        <v>1588073.5589999999</v>
      </c>
      <c r="AD178">
        <v>1823395.6310000001</v>
      </c>
      <c r="AE178">
        <v>2059313.882</v>
      </c>
      <c r="AF178">
        <v>2297035.8080000002</v>
      </c>
      <c r="AG178">
        <v>2535936.6749999998</v>
      </c>
      <c r="AH178">
        <v>2776092.0669999998</v>
      </c>
      <c r="AI178">
        <v>2972851.412</v>
      </c>
      <c r="AJ178">
        <v>3173175.0619999999</v>
      </c>
      <c r="AK178">
        <v>3377184.8169999998</v>
      </c>
      <c r="AL178">
        <v>3584551.4210000001</v>
      </c>
      <c r="AM178">
        <v>3794849.6510000001</v>
      </c>
      <c r="AN178">
        <v>3883387.264</v>
      </c>
      <c r="AO178">
        <v>3976705.7480000001</v>
      </c>
      <c r="AP178">
        <v>4070353.233</v>
      </c>
      <c r="AQ178">
        <v>4164751.6979999999</v>
      </c>
      <c r="AR178">
        <v>4258807.3880000003</v>
      </c>
      <c r="AS178">
        <v>4290205.8439999996</v>
      </c>
      <c r="AT178">
        <v>4320272.0429999996</v>
      </c>
      <c r="AU178">
        <v>4350204.0010000002</v>
      </c>
      <c r="AV178">
        <v>4379825.8020000001</v>
      </c>
      <c r="AW178">
        <v>4410884.3430000003</v>
      </c>
    </row>
    <row r="179" spans="2:49" x14ac:dyDescent="0.25">
      <c r="B179" s="247" t="s">
        <v>480</v>
      </c>
      <c r="C179">
        <v>216238.436565001</v>
      </c>
      <c r="D179">
        <v>219710.21460835601</v>
      </c>
      <c r="E179">
        <v>223237.73319999999</v>
      </c>
      <c r="F179">
        <v>250678.70980000001</v>
      </c>
      <c r="G179">
        <v>211045.2757</v>
      </c>
      <c r="H179">
        <v>142129.31270000001</v>
      </c>
      <c r="I179">
        <v>170216.81779999999</v>
      </c>
      <c r="J179">
        <v>136579.27989999999</v>
      </c>
      <c r="K179">
        <v>157854.38990000001</v>
      </c>
      <c r="L179">
        <v>137624.21419999999</v>
      </c>
      <c r="M179">
        <v>110834.7944</v>
      </c>
      <c r="N179">
        <v>89775.088969999997</v>
      </c>
      <c r="O179">
        <v>68018.271599999905</v>
      </c>
      <c r="P179">
        <v>64950.891810000001</v>
      </c>
      <c r="Q179">
        <v>58554.580320000001</v>
      </c>
      <c r="R179">
        <v>58053.961900000002</v>
      </c>
      <c r="S179">
        <v>58070.932959999998</v>
      </c>
      <c r="T179">
        <v>56574.76859</v>
      </c>
      <c r="U179">
        <v>56479.16934</v>
      </c>
      <c r="V179">
        <v>56743.263250000004</v>
      </c>
      <c r="W179">
        <v>60037.927190000002</v>
      </c>
      <c r="X179">
        <v>62609.44657</v>
      </c>
      <c r="Y179">
        <v>62690.17916</v>
      </c>
      <c r="Z179">
        <v>63095.921499999997</v>
      </c>
      <c r="AA179">
        <v>63595.687910000001</v>
      </c>
      <c r="AB179">
        <v>64117.940150000002</v>
      </c>
      <c r="AC179">
        <v>64681.98962</v>
      </c>
      <c r="AD179">
        <v>65223.545059999997</v>
      </c>
      <c r="AE179">
        <v>65755.752420000004</v>
      </c>
      <c r="AF179">
        <v>66323.199349999995</v>
      </c>
      <c r="AG179">
        <v>66948.882070000007</v>
      </c>
      <c r="AH179">
        <v>67620.998399999997</v>
      </c>
      <c r="AI179">
        <v>68618.824630000003</v>
      </c>
      <c r="AJ179">
        <v>69660.603940000001</v>
      </c>
      <c r="AK179">
        <v>70729.381500000003</v>
      </c>
      <c r="AL179">
        <v>71832.735270000005</v>
      </c>
      <c r="AM179">
        <v>72957.459529999905</v>
      </c>
      <c r="AN179">
        <v>74123.000939999998</v>
      </c>
      <c r="AO179">
        <v>75397.284169999999</v>
      </c>
      <c r="AP179">
        <v>76683.182560000001</v>
      </c>
      <c r="AQ179">
        <v>77979.100479999906</v>
      </c>
      <c r="AR179">
        <v>79264.486650000006</v>
      </c>
      <c r="AS179">
        <v>80567.254929999996</v>
      </c>
      <c r="AT179">
        <v>81880.562579999998</v>
      </c>
      <c r="AU179">
        <v>83206.723440000002</v>
      </c>
      <c r="AV179">
        <v>84538.369409999999</v>
      </c>
      <c r="AW179">
        <v>85901.804019999996</v>
      </c>
    </row>
    <row r="180" spans="2:49" x14ac:dyDescent="0.25">
      <c r="B180" s="247" t="s">
        <v>481</v>
      </c>
      <c r="C180">
        <v>215538.66868192199</v>
      </c>
      <c r="D180">
        <v>218999.21172556799</v>
      </c>
      <c r="E180">
        <v>222515.3149</v>
      </c>
      <c r="F180">
        <v>227639.1298</v>
      </c>
      <c r="G180">
        <v>225826.46979999999</v>
      </c>
      <c r="H180">
        <v>173765.40410000001</v>
      </c>
      <c r="I180">
        <v>128392.08319999999</v>
      </c>
      <c r="J180">
        <v>129663.3461</v>
      </c>
      <c r="K180">
        <v>126982.9408</v>
      </c>
      <c r="L180">
        <v>120336.18700000001</v>
      </c>
      <c r="M180">
        <v>115530.3844</v>
      </c>
      <c r="N180">
        <v>112539.9507</v>
      </c>
      <c r="O180">
        <v>101633.67630000001</v>
      </c>
      <c r="P180">
        <v>95939.096829999995</v>
      </c>
      <c r="Q180">
        <v>96065.943650000001</v>
      </c>
      <c r="R180">
        <v>87703.693589999995</v>
      </c>
      <c r="S180">
        <v>79255.324699999997</v>
      </c>
      <c r="T180">
        <v>68249.215580000004</v>
      </c>
      <c r="U180">
        <v>58809.223720000002</v>
      </c>
      <c r="V180">
        <v>50565.704949999999</v>
      </c>
      <c r="W180">
        <v>45867.052989999996</v>
      </c>
      <c r="X180">
        <v>40581.329980000002</v>
      </c>
      <c r="Y180">
        <v>38996.351949999997</v>
      </c>
      <c r="Z180">
        <v>38584.580090000003</v>
      </c>
      <c r="AA180">
        <v>38524.786440000003</v>
      </c>
      <c r="AB180">
        <v>38554.077279999998</v>
      </c>
      <c r="AC180">
        <v>38615.750540000001</v>
      </c>
      <c r="AD180">
        <v>38570.19457</v>
      </c>
      <c r="AE180">
        <v>38492.600630000001</v>
      </c>
      <c r="AF180">
        <v>38468.889029999998</v>
      </c>
      <c r="AG180">
        <v>38492.152320000001</v>
      </c>
      <c r="AH180">
        <v>38554.682240000002</v>
      </c>
      <c r="AI180">
        <v>38754.202920000003</v>
      </c>
      <c r="AJ180">
        <v>38966.084069999997</v>
      </c>
      <c r="AK180">
        <v>39177.657659999997</v>
      </c>
      <c r="AL180">
        <v>39406.965510000002</v>
      </c>
      <c r="AM180">
        <v>39639.96701</v>
      </c>
      <c r="AN180">
        <v>38368.503089999998</v>
      </c>
      <c r="AO180">
        <v>36848.999600000003</v>
      </c>
      <c r="AP180">
        <v>35321.790780000003</v>
      </c>
      <c r="AQ180">
        <v>33837.514320000002</v>
      </c>
      <c r="AR180">
        <v>32398.006539999998</v>
      </c>
      <c r="AS180">
        <v>31738.62933</v>
      </c>
      <c r="AT180">
        <v>31234.062440000002</v>
      </c>
      <c r="AU180">
        <v>30763.654470000001</v>
      </c>
      <c r="AV180">
        <v>30302.772099999998</v>
      </c>
      <c r="AW180">
        <v>29857.09013</v>
      </c>
    </row>
    <row r="181" spans="2:49" x14ac:dyDescent="0.25">
      <c r="B181" s="247" t="s">
        <v>482</v>
      </c>
      <c r="C181">
        <v>7946676.0051002903</v>
      </c>
      <c r="D181">
        <v>8074262.4587873695</v>
      </c>
      <c r="E181">
        <v>8203897.3540000003</v>
      </c>
      <c r="F181">
        <v>8823952.2709999997</v>
      </c>
      <c r="G181">
        <v>9103719.56399999</v>
      </c>
      <c r="H181">
        <v>9112191.7919999994</v>
      </c>
      <c r="I181">
        <v>9881100.182</v>
      </c>
      <c r="J181">
        <v>10291794.15</v>
      </c>
      <c r="K181">
        <v>10280413.59</v>
      </c>
      <c r="L181">
        <v>10556658.060000001</v>
      </c>
      <c r="M181">
        <v>11297286.85</v>
      </c>
      <c r="N181">
        <v>12601006.810000001</v>
      </c>
      <c r="O181">
        <v>13231993.49</v>
      </c>
      <c r="P181">
        <v>13067186.49</v>
      </c>
      <c r="Q181">
        <v>11963897.51</v>
      </c>
      <c r="R181">
        <v>11194233.85</v>
      </c>
      <c r="S181">
        <v>10703310.25</v>
      </c>
      <c r="T181">
        <v>10172320.689999999</v>
      </c>
      <c r="U181">
        <v>9664715.659</v>
      </c>
      <c r="V181">
        <v>9161233.7699999996</v>
      </c>
      <c r="W181">
        <v>9687096.5749999899</v>
      </c>
      <c r="X181">
        <v>10202770.91</v>
      </c>
      <c r="Y181">
        <v>10170051.470000001</v>
      </c>
      <c r="Z181">
        <v>10113527.49</v>
      </c>
      <c r="AA181">
        <v>10045426.35</v>
      </c>
      <c r="AB181">
        <v>9968054.4550000001</v>
      </c>
      <c r="AC181">
        <v>9881530.46199999</v>
      </c>
      <c r="AD181">
        <v>9800640.75699999</v>
      </c>
      <c r="AE181">
        <v>9701541.1329999994</v>
      </c>
      <c r="AF181">
        <v>9586394.6459999997</v>
      </c>
      <c r="AG181">
        <v>9465591.6089999899</v>
      </c>
      <c r="AH181">
        <v>9339493.1239999998</v>
      </c>
      <c r="AI181">
        <v>9249954.2100000009</v>
      </c>
      <c r="AJ181">
        <v>9155159.6620000005</v>
      </c>
      <c r="AK181">
        <v>9057530.5580000002</v>
      </c>
      <c r="AL181">
        <v>8955335.034</v>
      </c>
      <c r="AM181">
        <v>8850536.0999999996</v>
      </c>
      <c r="AN181">
        <v>8666380.8259999994</v>
      </c>
      <c r="AO181">
        <v>8475845.443</v>
      </c>
      <c r="AP181">
        <v>8287245.2910000002</v>
      </c>
      <c r="AQ181">
        <v>8102009.0269999998</v>
      </c>
      <c r="AR181">
        <v>7920609.0959999999</v>
      </c>
      <c r="AS181">
        <v>7740819.6960000005</v>
      </c>
      <c r="AT181">
        <v>7565381.3159999996</v>
      </c>
      <c r="AU181">
        <v>7392792.9680000003</v>
      </c>
      <c r="AV181">
        <v>7223209.4670000002</v>
      </c>
      <c r="AW181">
        <v>7056440.9720000001</v>
      </c>
    </row>
    <row r="182" spans="2:49" x14ac:dyDescent="0.25">
      <c r="B182" s="247" t="s">
        <v>483</v>
      </c>
      <c r="C182">
        <v>4498800.2848123703</v>
      </c>
      <c r="D182">
        <v>4571029.97856321</v>
      </c>
      <c r="E182">
        <v>4644419.3430000003</v>
      </c>
      <c r="F182">
        <v>4803484.8640000001</v>
      </c>
      <c r="G182">
        <v>4831786.8269999996</v>
      </c>
      <c r="H182">
        <v>5090907.3169999998</v>
      </c>
      <c r="I182">
        <v>5282207.5360000003</v>
      </c>
      <c r="J182">
        <v>5326017.0449999999</v>
      </c>
      <c r="K182">
        <v>5266137.7309999997</v>
      </c>
      <c r="L182">
        <v>5365104.8260000004</v>
      </c>
      <c r="M182">
        <v>5598389.2800000003</v>
      </c>
      <c r="N182">
        <v>6060448.6059999997</v>
      </c>
      <c r="O182">
        <v>6209603.341</v>
      </c>
      <c r="P182">
        <v>5995727.7719999999</v>
      </c>
      <c r="Q182">
        <v>5424297.5970000001</v>
      </c>
      <c r="R182">
        <v>5033552.892</v>
      </c>
      <c r="S182">
        <v>4750874.5959999999</v>
      </c>
      <c r="T182">
        <v>4515226.5070000002</v>
      </c>
      <c r="U182">
        <v>4296119.2340000002</v>
      </c>
      <c r="V182">
        <v>4076381.1150000002</v>
      </c>
      <c r="W182">
        <v>4249758.0609999998</v>
      </c>
      <c r="X182">
        <v>4405875.3090000004</v>
      </c>
      <c r="Y182">
        <v>4330987.4019999998</v>
      </c>
      <c r="Z182">
        <v>4254864.0259999996</v>
      </c>
      <c r="AA182">
        <v>4180043.4449999998</v>
      </c>
      <c r="AB182">
        <v>4106491.5610000002</v>
      </c>
      <c r="AC182">
        <v>4033661.469</v>
      </c>
      <c r="AD182">
        <v>3966852.6630000002</v>
      </c>
      <c r="AE182">
        <v>3896955.287</v>
      </c>
      <c r="AF182">
        <v>3824570.0180000002</v>
      </c>
      <c r="AG182">
        <v>3752213.844</v>
      </c>
      <c r="AH182">
        <v>3680303.548</v>
      </c>
      <c r="AI182">
        <v>3625649.61</v>
      </c>
      <c r="AJ182">
        <v>3570883.7930000001</v>
      </c>
      <c r="AK182">
        <v>3517013.2719999999</v>
      </c>
      <c r="AL182">
        <v>3463087.4810000001</v>
      </c>
      <c r="AM182">
        <v>3409746.909</v>
      </c>
      <c r="AN182">
        <v>3345444.6349999998</v>
      </c>
      <c r="AO182">
        <v>3282007.45</v>
      </c>
      <c r="AP182">
        <v>3219682.8229999999</v>
      </c>
      <c r="AQ182">
        <v>3158406.2760000001</v>
      </c>
      <c r="AR182">
        <v>3098236.8429999999</v>
      </c>
      <c r="AS182">
        <v>3038067.7590000001</v>
      </c>
      <c r="AT182">
        <v>2979161.14</v>
      </c>
      <c r="AU182">
        <v>2920878.9959999998</v>
      </c>
      <c r="AV182">
        <v>2863325.108</v>
      </c>
      <c r="AW182">
        <v>2806454.4939999999</v>
      </c>
    </row>
    <row r="183" spans="2:49" x14ac:dyDescent="0.25">
      <c r="B183" t="s">
        <v>484</v>
      </c>
      <c r="C183">
        <v>0.96864644472622397</v>
      </c>
      <c r="D183">
        <v>0.984198376713873</v>
      </c>
      <c r="E183">
        <v>1</v>
      </c>
      <c r="F183">
        <v>0.97585693689999997</v>
      </c>
      <c r="G183">
        <v>0.92578550209999999</v>
      </c>
      <c r="H183">
        <v>0.87898131700000004</v>
      </c>
      <c r="I183">
        <v>0.84762733999999995</v>
      </c>
      <c r="J183">
        <v>0.80751508230000002</v>
      </c>
      <c r="K183">
        <v>0.7636409783</v>
      </c>
      <c r="L183">
        <v>0.72897701920000002</v>
      </c>
      <c r="M183">
        <v>0.70364321090000004</v>
      </c>
      <c r="N183">
        <v>0.68710814409999998</v>
      </c>
      <c r="O183">
        <v>0.67408637709999997</v>
      </c>
      <c r="P183">
        <v>0.65865944219999994</v>
      </c>
      <c r="Q183">
        <v>0.63848739720000003</v>
      </c>
      <c r="R183">
        <v>0.62780034200000001</v>
      </c>
      <c r="S183">
        <v>0.60241380649999998</v>
      </c>
      <c r="T183">
        <v>0.57013266279999997</v>
      </c>
      <c r="U183">
        <v>0.53728714050000004</v>
      </c>
      <c r="V183">
        <v>0.5055301016</v>
      </c>
      <c r="W183">
        <v>0.52257908600000003</v>
      </c>
      <c r="X183">
        <v>0.53615849400000004</v>
      </c>
      <c r="Y183">
        <v>0.52101220140000004</v>
      </c>
      <c r="Z183">
        <v>0.50793489010000004</v>
      </c>
      <c r="AA183">
        <v>0.49582001689999999</v>
      </c>
      <c r="AB183">
        <v>0.48424072969999998</v>
      </c>
      <c r="AC183">
        <v>0.47343614519999999</v>
      </c>
      <c r="AD183">
        <v>0.46143247100000001</v>
      </c>
      <c r="AE183">
        <v>0.449488677</v>
      </c>
      <c r="AF183">
        <v>0.43786664800000002</v>
      </c>
      <c r="AG183">
        <v>0.42641754139999999</v>
      </c>
      <c r="AH183">
        <v>0.4152828187</v>
      </c>
      <c r="AI183">
        <v>0.40698638949999999</v>
      </c>
      <c r="AJ183">
        <v>0.39881890939999998</v>
      </c>
      <c r="AK183">
        <v>0.39088150999999999</v>
      </c>
      <c r="AL183">
        <v>0.38307495829999999</v>
      </c>
      <c r="AM183">
        <v>0.37540443099999998</v>
      </c>
      <c r="AN183">
        <v>0.36765876660000002</v>
      </c>
      <c r="AO183">
        <v>0.36017188550000001</v>
      </c>
      <c r="AP183">
        <v>0.35280456370000002</v>
      </c>
      <c r="AQ183">
        <v>0.34561099070000001</v>
      </c>
      <c r="AR183">
        <v>0.34155962080000002</v>
      </c>
      <c r="AS183">
        <v>0.34090865170000001</v>
      </c>
      <c r="AT183">
        <v>0.34092530570000001</v>
      </c>
      <c r="AU183">
        <v>0.3410829004</v>
      </c>
      <c r="AV183">
        <v>0.34125451849999999</v>
      </c>
      <c r="AW183">
        <v>0.34163097570000001</v>
      </c>
    </row>
    <row r="184" spans="2:49" x14ac:dyDescent="0.25">
      <c r="B184" t="s">
        <v>485</v>
      </c>
      <c r="C184">
        <v>8232235.5397947598</v>
      </c>
      <c r="D184">
        <v>8364406.7441781899</v>
      </c>
      <c r="E184">
        <v>8498700</v>
      </c>
      <c r="F184">
        <v>8429925.4890000001</v>
      </c>
      <c r="G184">
        <v>8355638.3880000003</v>
      </c>
      <c r="H184">
        <v>7766801.6179999998</v>
      </c>
      <c r="I184">
        <v>7658938.3260000004</v>
      </c>
      <c r="J184">
        <v>7626227.5130000003</v>
      </c>
      <c r="K184">
        <v>7505918.8530000001</v>
      </c>
      <c r="L184">
        <v>7268829.8540000003</v>
      </c>
      <c r="M184">
        <v>7012542.523</v>
      </c>
      <c r="N184">
        <v>6681628.2869999995</v>
      </c>
      <c r="O184">
        <v>7007460.4519999996</v>
      </c>
      <c r="P184">
        <v>7598231.5449999999</v>
      </c>
      <c r="Q184">
        <v>8363432.767</v>
      </c>
      <c r="R184">
        <v>8969693.3780000005</v>
      </c>
      <c r="S184">
        <v>9553832.18899999</v>
      </c>
      <c r="T184">
        <v>8837295.6270000003</v>
      </c>
      <c r="U184">
        <v>8046110.5360000003</v>
      </c>
      <c r="V184">
        <v>7302753.4359999998</v>
      </c>
      <c r="W184">
        <v>5343345.8470000001</v>
      </c>
      <c r="X184">
        <v>3002304.5669999998</v>
      </c>
      <c r="Y184">
        <v>2796511.1749999998</v>
      </c>
      <c r="Z184">
        <v>2765522.3050000002</v>
      </c>
      <c r="AA184">
        <v>2752388.108</v>
      </c>
      <c r="AB184">
        <v>2742407.77</v>
      </c>
      <c r="AC184">
        <v>2733155.7009999999</v>
      </c>
      <c r="AD184">
        <v>2723378.0440000002</v>
      </c>
      <c r="AE184">
        <v>2713175.8480000002</v>
      </c>
      <c r="AF184">
        <v>2703137.8909999998</v>
      </c>
      <c r="AG184">
        <v>2692813.7949999999</v>
      </c>
      <c r="AH184">
        <v>2682694.284</v>
      </c>
      <c r="AI184">
        <v>2688147.2990000001</v>
      </c>
      <c r="AJ184">
        <v>2693598.8420000002</v>
      </c>
      <c r="AK184">
        <v>2698395.9190000002</v>
      </c>
      <c r="AL184">
        <v>2702442.193</v>
      </c>
      <c r="AM184">
        <v>2705613.6189999999</v>
      </c>
      <c r="AN184">
        <v>2703796.193</v>
      </c>
      <c r="AO184">
        <v>2700993.906</v>
      </c>
      <c r="AP184">
        <v>2697031.199</v>
      </c>
      <c r="AQ184">
        <v>2692303.872</v>
      </c>
      <c r="AR184">
        <v>2686565.9739999999</v>
      </c>
      <c r="AS184">
        <v>3563717.82</v>
      </c>
      <c r="AT184">
        <v>4541932.9859999996</v>
      </c>
      <c r="AU184">
        <v>5522758.29</v>
      </c>
      <c r="AV184">
        <v>6491265.3739999998</v>
      </c>
      <c r="AW184">
        <v>7448171.5250000004</v>
      </c>
    </row>
    <row r="185" spans="2:49" x14ac:dyDescent="0.25">
      <c r="B185" t="s">
        <v>486</v>
      </c>
      <c r="C185">
        <v>463787.91773491597</v>
      </c>
      <c r="D185">
        <v>471234.182770602</v>
      </c>
      <c r="E185">
        <v>478800</v>
      </c>
      <c r="F185">
        <v>479393.00469999999</v>
      </c>
      <c r="G185">
        <v>463427.99369999999</v>
      </c>
      <c r="H185">
        <v>440917.91529999999</v>
      </c>
      <c r="I185">
        <v>447606.68329999998</v>
      </c>
      <c r="J185">
        <v>465319.94620000001</v>
      </c>
      <c r="K185">
        <v>466244.37770000001</v>
      </c>
      <c r="L185">
        <v>476511.55719999998</v>
      </c>
      <c r="M185">
        <v>499244.01789999998</v>
      </c>
      <c r="N185">
        <v>532647.17150000005</v>
      </c>
      <c r="O185">
        <v>509005.86050000001</v>
      </c>
      <c r="P185">
        <v>472867.05540000001</v>
      </c>
      <c r="Q185">
        <v>416216.29369999998</v>
      </c>
      <c r="R185">
        <v>368841.25520000001</v>
      </c>
      <c r="S185">
        <v>327394.4999</v>
      </c>
      <c r="T185">
        <v>304599.29790000001</v>
      </c>
      <c r="U185">
        <v>282899.3187</v>
      </c>
      <c r="V185">
        <v>262778.39039999997</v>
      </c>
      <c r="W185">
        <v>276358.66090000002</v>
      </c>
      <c r="X185">
        <v>289276.07799999998</v>
      </c>
      <c r="Y185">
        <v>286782.19290000002</v>
      </c>
      <c r="Z185">
        <v>285548.90460000001</v>
      </c>
      <c r="AA185">
        <v>285009.8126</v>
      </c>
      <c r="AB185">
        <v>285178.79239999998</v>
      </c>
      <c r="AC185">
        <v>285882.12229999999</v>
      </c>
      <c r="AD185">
        <v>284800.5307</v>
      </c>
      <c r="AE185">
        <v>283746.54239999998</v>
      </c>
      <c r="AF185">
        <v>282678.81589999999</v>
      </c>
      <c r="AG185">
        <v>281751.7034</v>
      </c>
      <c r="AH185">
        <v>280957.02279999998</v>
      </c>
      <c r="AI185">
        <v>280192.45449999999</v>
      </c>
      <c r="AJ185">
        <v>279448.26309999998</v>
      </c>
      <c r="AK185">
        <v>278763.80930000002</v>
      </c>
      <c r="AL185">
        <v>278104.73489999998</v>
      </c>
      <c r="AM185">
        <v>277430.11810000002</v>
      </c>
      <c r="AN185">
        <v>275938.29479999997</v>
      </c>
      <c r="AO185">
        <v>274476.61790000001</v>
      </c>
      <c r="AP185">
        <v>272899.16580000002</v>
      </c>
      <c r="AQ185">
        <v>271240.9117</v>
      </c>
      <c r="AR185">
        <v>269455.83679999999</v>
      </c>
      <c r="AS185">
        <v>268220.88209999999</v>
      </c>
      <c r="AT185">
        <v>266920.94170000002</v>
      </c>
      <c r="AU185">
        <v>265523.1176</v>
      </c>
      <c r="AV185">
        <v>264031.62819999998</v>
      </c>
      <c r="AW185">
        <v>262544.27010000002</v>
      </c>
    </row>
    <row r="186" spans="2:49" x14ac:dyDescent="0.25">
      <c r="B186" t="s">
        <v>487</v>
      </c>
      <c r="C186">
        <v>247860837.32111701</v>
      </c>
      <c r="D186">
        <v>251840323.237167</v>
      </c>
      <c r="E186">
        <v>255969216</v>
      </c>
      <c r="F186">
        <v>257702438.09999999</v>
      </c>
      <c r="G186">
        <v>242694868.59999999</v>
      </c>
      <c r="H186">
        <v>225841595.19999999</v>
      </c>
      <c r="I186">
        <v>222198535.5</v>
      </c>
      <c r="J186">
        <v>215448575.5</v>
      </c>
      <c r="K186">
        <v>205893325.80000001</v>
      </c>
      <c r="L186">
        <v>200149161.5</v>
      </c>
      <c r="M186">
        <v>199305216.59999999</v>
      </c>
      <c r="N186">
        <v>200883611.40000001</v>
      </c>
      <c r="O186">
        <v>192230511.59999999</v>
      </c>
      <c r="P186">
        <v>184418056.69999999</v>
      </c>
      <c r="Q186">
        <v>173370445.80000001</v>
      </c>
      <c r="R186">
        <v>165771387.19999999</v>
      </c>
      <c r="S186">
        <v>158749379.90000001</v>
      </c>
      <c r="T186">
        <v>157463915.59999999</v>
      </c>
      <c r="U186">
        <v>155346911.30000001</v>
      </c>
      <c r="V186">
        <v>154504254.40000001</v>
      </c>
      <c r="W186">
        <v>155024698.5</v>
      </c>
      <c r="X186">
        <v>153984393.09999999</v>
      </c>
      <c r="Y186">
        <v>153632213.30000001</v>
      </c>
      <c r="Z186">
        <v>154545351.80000001</v>
      </c>
      <c r="AA186">
        <v>155869563.80000001</v>
      </c>
      <c r="AB186">
        <v>157490086</v>
      </c>
      <c r="AC186">
        <v>159446389.80000001</v>
      </c>
      <c r="AD186">
        <v>159429851.30000001</v>
      </c>
      <c r="AE186">
        <v>159520962.5</v>
      </c>
      <c r="AF186">
        <v>159714023</v>
      </c>
      <c r="AG186">
        <v>160022621.40000001</v>
      </c>
      <c r="AH186">
        <v>160432002.30000001</v>
      </c>
      <c r="AI186">
        <v>161286357.19999999</v>
      </c>
      <c r="AJ186">
        <v>162178840.5</v>
      </c>
      <c r="AK186">
        <v>163116929</v>
      </c>
      <c r="AL186">
        <v>164110089.90000001</v>
      </c>
      <c r="AM186">
        <v>165100583.90000001</v>
      </c>
      <c r="AN186">
        <v>165595643.40000001</v>
      </c>
      <c r="AO186">
        <v>166094933.19999999</v>
      </c>
      <c r="AP186">
        <v>166529615.59999999</v>
      </c>
      <c r="AQ186">
        <v>166948150.30000001</v>
      </c>
      <c r="AR186">
        <v>167300501.19999999</v>
      </c>
      <c r="AS186">
        <v>169026516.5</v>
      </c>
      <c r="AT186">
        <v>170900026.90000001</v>
      </c>
      <c r="AU186">
        <v>172793700.40000001</v>
      </c>
      <c r="AV186">
        <v>174678883.90000001</v>
      </c>
      <c r="AW186">
        <v>176632855.5</v>
      </c>
    </row>
    <row r="187" spans="2:49" x14ac:dyDescent="0.25">
      <c r="B187" t="s">
        <v>488</v>
      </c>
      <c r="C187">
        <v>41023493.601484403</v>
      </c>
      <c r="D187">
        <v>41682139.060681202</v>
      </c>
      <c r="E187">
        <v>42351359.289999999</v>
      </c>
      <c r="F187">
        <v>41485206.240000002</v>
      </c>
      <c r="G187">
        <v>36470100.25</v>
      </c>
      <c r="H187">
        <v>31864376.300000001</v>
      </c>
      <c r="I187">
        <v>30281470.219999999</v>
      </c>
      <c r="J187">
        <v>28708826.32</v>
      </c>
      <c r="K187">
        <v>27224157.969999999</v>
      </c>
      <c r="L187">
        <v>27124947.690000001</v>
      </c>
      <c r="M187">
        <v>26495540.18</v>
      </c>
      <c r="N187">
        <v>25693137.57</v>
      </c>
      <c r="O187">
        <v>20505965.030000001</v>
      </c>
      <c r="P187">
        <v>17095947.420000002</v>
      </c>
      <c r="Q187">
        <v>14510234.01</v>
      </c>
      <c r="R187">
        <v>12213935</v>
      </c>
      <c r="S187">
        <v>9987241.13199999</v>
      </c>
      <c r="T187">
        <v>9676177.6720000003</v>
      </c>
      <c r="U187">
        <v>9428675.0429999996</v>
      </c>
      <c r="V187">
        <v>9286157.7009999994</v>
      </c>
      <c r="W187">
        <v>8408511.6840000004</v>
      </c>
      <c r="X187">
        <v>7415899.2340000002</v>
      </c>
      <c r="Y187">
        <v>7367095.6409999998</v>
      </c>
      <c r="Z187">
        <v>7459676.3530000001</v>
      </c>
      <c r="AA187">
        <v>7578668.9230000004</v>
      </c>
      <c r="AB187">
        <v>7708042.4299999997</v>
      </c>
      <c r="AC187">
        <v>7849674.5300000003</v>
      </c>
      <c r="AD187">
        <v>7876869.8480000002</v>
      </c>
      <c r="AE187">
        <v>7914581.0319999997</v>
      </c>
      <c r="AF187">
        <v>7961707.2810000004</v>
      </c>
      <c r="AG187">
        <v>8014209.5429999996</v>
      </c>
      <c r="AH187">
        <v>8072677.7920000004</v>
      </c>
      <c r="AI187">
        <v>8144521.7939999998</v>
      </c>
      <c r="AJ187">
        <v>8216399.8059999999</v>
      </c>
      <c r="AK187">
        <v>8291894.8789999997</v>
      </c>
      <c r="AL187">
        <v>8369223.4369999999</v>
      </c>
      <c r="AM187">
        <v>8445861.4780000001</v>
      </c>
      <c r="AN187">
        <v>8420700.5769999996</v>
      </c>
      <c r="AO187">
        <v>8382019.6160000004</v>
      </c>
      <c r="AP187">
        <v>8332453.7620000001</v>
      </c>
      <c r="AQ187">
        <v>8277041.7759999996</v>
      </c>
      <c r="AR187">
        <v>8211778.0769999996</v>
      </c>
      <c r="AS187">
        <v>8206943.7070000004</v>
      </c>
      <c r="AT187">
        <v>8209294.4359999998</v>
      </c>
      <c r="AU187">
        <v>8211332.3080000002</v>
      </c>
      <c r="AV187">
        <v>8211654.2529999996</v>
      </c>
      <c r="AW187">
        <v>8214590.2690000003</v>
      </c>
    </row>
    <row r="188" spans="2:49" x14ac:dyDescent="0.25">
      <c r="B188" t="s">
        <v>489</v>
      </c>
      <c r="C188">
        <v>156021257.172526</v>
      </c>
      <c r="D188">
        <v>158526228.92293701</v>
      </c>
      <c r="E188">
        <v>161156797.19999999</v>
      </c>
      <c r="F188">
        <v>162997929</v>
      </c>
      <c r="G188">
        <v>154581500.09999999</v>
      </c>
      <c r="H188">
        <v>145772357.90000001</v>
      </c>
      <c r="I188">
        <v>142438702.59999999</v>
      </c>
      <c r="J188">
        <v>137084064.90000001</v>
      </c>
      <c r="K188">
        <v>131028650.59999999</v>
      </c>
      <c r="L188">
        <v>126334632.59999999</v>
      </c>
      <c r="M188">
        <v>125713732.09999999</v>
      </c>
      <c r="N188">
        <v>126740056.5</v>
      </c>
      <c r="O188">
        <v>121752594.8</v>
      </c>
      <c r="P188">
        <v>116672124.5</v>
      </c>
      <c r="Q188">
        <v>109797479.90000001</v>
      </c>
      <c r="R188">
        <v>105327374.5</v>
      </c>
      <c r="S188">
        <v>100799411.3</v>
      </c>
      <c r="T188">
        <v>101786972.2</v>
      </c>
      <c r="U188">
        <v>102240584.09999999</v>
      </c>
      <c r="V188">
        <v>103600298.3</v>
      </c>
      <c r="W188">
        <v>104973540.90000001</v>
      </c>
      <c r="X188">
        <v>105374856.59999999</v>
      </c>
      <c r="Y188">
        <v>105215848.59999999</v>
      </c>
      <c r="Z188">
        <v>105784568.40000001</v>
      </c>
      <c r="AA188">
        <v>106626413.90000001</v>
      </c>
      <c r="AB188">
        <v>107680291.40000001</v>
      </c>
      <c r="AC188">
        <v>108961882</v>
      </c>
      <c r="AD188">
        <v>108881809.3</v>
      </c>
      <c r="AE188">
        <v>108892828.5</v>
      </c>
      <c r="AF188">
        <v>109000072</v>
      </c>
      <c r="AG188">
        <v>109201431.8</v>
      </c>
      <c r="AH188">
        <v>109473355.2</v>
      </c>
      <c r="AI188">
        <v>110013293.40000001</v>
      </c>
      <c r="AJ188">
        <v>110586410.90000001</v>
      </c>
      <c r="AK188">
        <v>111191041.8</v>
      </c>
      <c r="AL188">
        <v>111846941.8</v>
      </c>
      <c r="AM188">
        <v>112501681.7</v>
      </c>
      <c r="AN188">
        <v>113109573.8</v>
      </c>
      <c r="AO188">
        <v>113723807.90000001</v>
      </c>
      <c r="AP188">
        <v>114297634.59999999</v>
      </c>
      <c r="AQ188">
        <v>114864471.40000001</v>
      </c>
      <c r="AR188">
        <v>115390420.90000001</v>
      </c>
      <c r="AS188">
        <v>116360599.7</v>
      </c>
      <c r="AT188">
        <v>117363477.90000001</v>
      </c>
      <c r="AU188">
        <v>118382920</v>
      </c>
      <c r="AV188">
        <v>119408786.40000001</v>
      </c>
      <c r="AW188">
        <v>120497534</v>
      </c>
    </row>
    <row r="189" spans="2:49" x14ac:dyDescent="0.25">
      <c r="B189" t="s">
        <v>490</v>
      </c>
      <c r="C189">
        <v>50816086.547106199</v>
      </c>
      <c r="D189">
        <v>51631955.253548898</v>
      </c>
      <c r="E189">
        <v>52461059.539999999</v>
      </c>
      <c r="F189">
        <v>53219302.840000004</v>
      </c>
      <c r="G189">
        <v>51643268.25</v>
      </c>
      <c r="H189">
        <v>48204860.990000002</v>
      </c>
      <c r="I189">
        <v>49478362.700000003</v>
      </c>
      <c r="J189">
        <v>49655684.280000001</v>
      </c>
      <c r="K189">
        <v>47640517.329999998</v>
      </c>
      <c r="L189">
        <v>46689581.18</v>
      </c>
      <c r="M189">
        <v>47095944.340000004</v>
      </c>
      <c r="N189">
        <v>48450417.259999998</v>
      </c>
      <c r="O189">
        <v>49971951.859999999</v>
      </c>
      <c r="P189">
        <v>50649984.840000004</v>
      </c>
      <c r="Q189">
        <v>49062731.829999998</v>
      </c>
      <c r="R189">
        <v>48230077.710000001</v>
      </c>
      <c r="S189">
        <v>47962727.479999997</v>
      </c>
      <c r="T189">
        <v>46000765.719999999</v>
      </c>
      <c r="U189">
        <v>43677652.25</v>
      </c>
      <c r="V189">
        <v>41617798.340000004</v>
      </c>
      <c r="W189">
        <v>41642645.850000001</v>
      </c>
      <c r="X189">
        <v>41193637.240000002</v>
      </c>
      <c r="Y189">
        <v>41049269.100000001</v>
      </c>
      <c r="Z189">
        <v>41301106.960000001</v>
      </c>
      <c r="AA189">
        <v>41664480.939999998</v>
      </c>
      <c r="AB189">
        <v>42101752.170000002</v>
      </c>
      <c r="AC189">
        <v>42634833.189999998</v>
      </c>
      <c r="AD189">
        <v>42671172.109999999</v>
      </c>
      <c r="AE189">
        <v>42713552.960000001</v>
      </c>
      <c r="AF189">
        <v>42752243.710000001</v>
      </c>
      <c r="AG189">
        <v>42806980.060000002</v>
      </c>
      <c r="AH189">
        <v>42885969.270000003</v>
      </c>
      <c r="AI189">
        <v>43128542</v>
      </c>
      <c r="AJ189">
        <v>43376029.770000003</v>
      </c>
      <c r="AK189">
        <v>43633992.32</v>
      </c>
      <c r="AL189">
        <v>43893924.68</v>
      </c>
      <c r="AM189">
        <v>44153040.719999999</v>
      </c>
      <c r="AN189">
        <v>44065369.030000001</v>
      </c>
      <c r="AO189">
        <v>43989105.68</v>
      </c>
      <c r="AP189">
        <v>43899527.299999997</v>
      </c>
      <c r="AQ189">
        <v>43806637.140000001</v>
      </c>
      <c r="AR189">
        <v>43698302.25</v>
      </c>
      <c r="AS189">
        <v>44458973.140000001</v>
      </c>
      <c r="AT189">
        <v>45327254.57</v>
      </c>
      <c r="AU189">
        <v>46199448.130000003</v>
      </c>
      <c r="AV189">
        <v>47058443.259999998</v>
      </c>
      <c r="AW189">
        <v>47920731.159999996</v>
      </c>
    </row>
    <row r="190" spans="2:49" x14ac:dyDescent="0.25">
      <c r="B190" t="s">
        <v>491</v>
      </c>
      <c r="C190">
        <v>392773953.478827</v>
      </c>
      <c r="D190">
        <v>399080066.34826499</v>
      </c>
      <c r="E190">
        <v>405572940.80000001</v>
      </c>
      <c r="F190">
        <v>405143396.89999998</v>
      </c>
      <c r="G190">
        <v>386507843.10000002</v>
      </c>
      <c r="H190">
        <v>369386142.89999998</v>
      </c>
      <c r="I190">
        <v>363581037.19999999</v>
      </c>
      <c r="J190">
        <v>353960531.10000002</v>
      </c>
      <c r="K190">
        <v>340743493.80000001</v>
      </c>
      <c r="L190">
        <v>332224468.30000001</v>
      </c>
      <c r="M190">
        <v>329200567.5</v>
      </c>
      <c r="N190">
        <v>329328922.5</v>
      </c>
      <c r="O190">
        <v>320628943.60000002</v>
      </c>
      <c r="P190">
        <v>312098922.80000001</v>
      </c>
      <c r="Q190">
        <v>299150293.5</v>
      </c>
      <c r="R190">
        <v>290578924.80000001</v>
      </c>
      <c r="S190">
        <v>281961452.19999999</v>
      </c>
      <c r="T190">
        <v>277460282.19999999</v>
      </c>
      <c r="U190">
        <v>272093278.5</v>
      </c>
      <c r="V190">
        <v>267786412.19999999</v>
      </c>
      <c r="W190">
        <v>267425486.59999999</v>
      </c>
      <c r="X190">
        <v>265333593.19999999</v>
      </c>
      <c r="Y190">
        <v>263145217.59999999</v>
      </c>
      <c r="Z190">
        <v>262310157.40000001</v>
      </c>
      <c r="AA190">
        <v>261960868.5</v>
      </c>
      <c r="AB190">
        <v>261948183.19999999</v>
      </c>
      <c r="AC190">
        <v>262285249.40000001</v>
      </c>
      <c r="AD190">
        <v>260702806.69999999</v>
      </c>
      <c r="AE190">
        <v>259118349.69999999</v>
      </c>
      <c r="AF190">
        <v>257605162.69999999</v>
      </c>
      <c r="AG190">
        <v>256199747.19999999</v>
      </c>
      <c r="AH190">
        <v>254829870.19999999</v>
      </c>
      <c r="AI190">
        <v>254088426.59999999</v>
      </c>
      <c r="AJ190">
        <v>253434252</v>
      </c>
      <c r="AK190">
        <v>252873011.69999999</v>
      </c>
      <c r="AL190">
        <v>252399148.30000001</v>
      </c>
      <c r="AM190">
        <v>251958584.40000001</v>
      </c>
      <c r="AN190">
        <v>250913241.30000001</v>
      </c>
      <c r="AO190">
        <v>249873746.90000001</v>
      </c>
      <c r="AP190">
        <v>248768149</v>
      </c>
      <c r="AQ190">
        <v>247645323.09999999</v>
      </c>
      <c r="AR190">
        <v>246455495</v>
      </c>
      <c r="AS190">
        <v>246601906.90000001</v>
      </c>
      <c r="AT190">
        <v>246893230.90000001</v>
      </c>
      <c r="AU190">
        <v>247197082.90000001</v>
      </c>
      <c r="AV190">
        <v>247490493.59999999</v>
      </c>
      <c r="AW190">
        <v>247864685.09999999</v>
      </c>
    </row>
    <row r="191" spans="2:49" x14ac:dyDescent="0.25">
      <c r="B191" t="s">
        <v>492</v>
      </c>
      <c r="C191">
        <v>42122345.501310699</v>
      </c>
      <c r="D191">
        <v>42798633.383193001</v>
      </c>
      <c r="E191">
        <v>43485779.289999999</v>
      </c>
      <c r="F191">
        <v>42610380.049999997</v>
      </c>
      <c r="G191">
        <v>37583330.390000001</v>
      </c>
      <c r="H191">
        <v>32964466.109999999</v>
      </c>
      <c r="I191">
        <v>31374913.559999999</v>
      </c>
      <c r="J191">
        <v>29795345.52</v>
      </c>
      <c r="K191">
        <v>28299710.379999999</v>
      </c>
      <c r="L191">
        <v>28184872.800000001</v>
      </c>
      <c r="M191">
        <v>27540026.260000002</v>
      </c>
      <c r="N191">
        <v>26726509.969999999</v>
      </c>
      <c r="O191">
        <v>21537288.170000002</v>
      </c>
      <c r="P191">
        <v>18128619.43</v>
      </c>
      <c r="Q191">
        <v>15540878.65</v>
      </c>
      <c r="R191">
        <v>13230251.380000001</v>
      </c>
      <c r="S191">
        <v>10984948.210000001</v>
      </c>
      <c r="T191">
        <v>10649711.92</v>
      </c>
      <c r="U191">
        <v>10377383.67</v>
      </c>
      <c r="V191">
        <v>10209690.4</v>
      </c>
      <c r="W191">
        <v>9310056.5470000003</v>
      </c>
      <c r="X191">
        <v>8296292.5190000003</v>
      </c>
      <c r="Y191">
        <v>8231010.2199999997</v>
      </c>
      <c r="Z191">
        <v>8310263.3090000004</v>
      </c>
      <c r="AA191">
        <v>8418037.4330000002</v>
      </c>
      <c r="AB191">
        <v>8537703.4900000002</v>
      </c>
      <c r="AC191">
        <v>8670758.0199999996</v>
      </c>
      <c r="AD191">
        <v>8690296.6789999995</v>
      </c>
      <c r="AE191">
        <v>8721098.1329999994</v>
      </c>
      <c r="AF191">
        <v>8761880.5120000001</v>
      </c>
      <c r="AG191">
        <v>8808461.9969999995</v>
      </c>
      <c r="AH191">
        <v>8861376.7320000008</v>
      </c>
      <c r="AI191">
        <v>8927947.4289999995</v>
      </c>
      <c r="AJ191">
        <v>8994732.9519999996</v>
      </c>
      <c r="AK191">
        <v>9065277.1840000004</v>
      </c>
      <c r="AL191">
        <v>9137753.8129999898</v>
      </c>
      <c r="AM191">
        <v>9209605.0449999999</v>
      </c>
      <c r="AN191">
        <v>9179599.9759999998</v>
      </c>
      <c r="AO191">
        <v>9135738.4079999998</v>
      </c>
      <c r="AP191">
        <v>9080543.4230000004</v>
      </c>
      <c r="AQ191">
        <v>9019024.0789999999</v>
      </c>
      <c r="AR191">
        <v>8947168.6160000004</v>
      </c>
      <c r="AS191">
        <v>8935249.0380000006</v>
      </c>
      <c r="AT191">
        <v>8929967.6439999994</v>
      </c>
      <c r="AU191">
        <v>8923815.7949999999</v>
      </c>
      <c r="AV191">
        <v>8915414.5830000006</v>
      </c>
      <c r="AW191">
        <v>8909267.3489999995</v>
      </c>
    </row>
    <row r="192" spans="2:49" x14ac:dyDescent="0.25">
      <c r="B192" t="s">
        <v>493</v>
      </c>
      <c r="C192">
        <v>261896523.70399499</v>
      </c>
      <c r="D192">
        <v>266101357.10489401</v>
      </c>
      <c r="E192">
        <v>270459078.89999998</v>
      </c>
      <c r="F192">
        <v>270874259.89999998</v>
      </c>
      <c r="G192">
        <v>260111729.30000001</v>
      </c>
      <c r="H192">
        <v>252102381</v>
      </c>
      <c r="I192">
        <v>246836869.90000001</v>
      </c>
      <c r="J192">
        <v>239547897.5</v>
      </c>
      <c r="K192">
        <v>231413682.69999999</v>
      </c>
      <c r="L192">
        <v>225153892.90000001</v>
      </c>
      <c r="M192">
        <v>223136480.59999999</v>
      </c>
      <c r="N192">
        <v>223205869.30000001</v>
      </c>
      <c r="O192">
        <v>217554019.09999999</v>
      </c>
      <c r="P192">
        <v>211709058.40000001</v>
      </c>
      <c r="Q192">
        <v>203933539.30000001</v>
      </c>
      <c r="R192">
        <v>199298490.69999999</v>
      </c>
      <c r="S192">
        <v>193802018.69999999</v>
      </c>
      <c r="T192">
        <v>193456419.09999999</v>
      </c>
      <c r="U192">
        <v>192179338.09999999</v>
      </c>
      <c r="V192">
        <v>191620457.5</v>
      </c>
      <c r="W192">
        <v>191188831.5</v>
      </c>
      <c r="X192">
        <v>189678979.19999999</v>
      </c>
      <c r="Y192">
        <v>188107917.90000001</v>
      </c>
      <c r="Z192">
        <v>187291054.40000001</v>
      </c>
      <c r="AA192">
        <v>186758043.5</v>
      </c>
      <c r="AB192">
        <v>186434126.90000001</v>
      </c>
      <c r="AC192">
        <v>186324217.30000001</v>
      </c>
      <c r="AD192">
        <v>184843182.19999999</v>
      </c>
      <c r="AE192">
        <v>183343506.40000001</v>
      </c>
      <c r="AF192">
        <v>181908504.59999999</v>
      </c>
      <c r="AG192">
        <v>180553354.5</v>
      </c>
      <c r="AH192">
        <v>179197353.80000001</v>
      </c>
      <c r="AI192">
        <v>178181076.30000001</v>
      </c>
      <c r="AJ192">
        <v>177244715.69999999</v>
      </c>
      <c r="AK192">
        <v>176381780.69999999</v>
      </c>
      <c r="AL192">
        <v>175606680.40000001</v>
      </c>
      <c r="AM192">
        <v>174867360.59999999</v>
      </c>
      <c r="AN192">
        <v>174015327.90000001</v>
      </c>
      <c r="AO192">
        <v>173177839.5</v>
      </c>
      <c r="AP192">
        <v>172315112.40000001</v>
      </c>
      <c r="AQ192">
        <v>171462574.80000001</v>
      </c>
      <c r="AR192">
        <v>170585838.69999999</v>
      </c>
      <c r="AS192">
        <v>170149494.90000001</v>
      </c>
      <c r="AT192">
        <v>169766042.5</v>
      </c>
      <c r="AU192">
        <v>169416914.09999999</v>
      </c>
      <c r="AV192">
        <v>169094442.09999999</v>
      </c>
      <c r="AW192">
        <v>168861308.5</v>
      </c>
    </row>
    <row r="193" spans="2:49" x14ac:dyDescent="0.25">
      <c r="B193" t="s">
        <v>494</v>
      </c>
      <c r="C193">
        <v>88755084.273521304</v>
      </c>
      <c r="D193">
        <v>90180075.860178098</v>
      </c>
      <c r="E193">
        <v>91628082.700000003</v>
      </c>
      <c r="F193">
        <v>91658757.010000005</v>
      </c>
      <c r="G193">
        <v>88812783.390000001</v>
      </c>
      <c r="H193">
        <v>84319295.840000004</v>
      </c>
      <c r="I193">
        <v>85369253.719999999</v>
      </c>
      <c r="J193">
        <v>84617288.109999999</v>
      </c>
      <c r="K193">
        <v>81030100.769999996</v>
      </c>
      <c r="L193">
        <v>78885702.540000007</v>
      </c>
      <c r="M193">
        <v>78524060.629999995</v>
      </c>
      <c r="N193">
        <v>79396543.219999999</v>
      </c>
      <c r="O193">
        <v>81537636.280000001</v>
      </c>
      <c r="P193">
        <v>82261244.969999999</v>
      </c>
      <c r="Q193">
        <v>79675875.620000005</v>
      </c>
      <c r="R193">
        <v>78050182.719999999</v>
      </c>
      <c r="S193">
        <v>77174485.25</v>
      </c>
      <c r="T193">
        <v>73354151.189999998</v>
      </c>
      <c r="U193">
        <v>69536556.760000005</v>
      </c>
      <c r="V193">
        <v>65956264.329999998</v>
      </c>
      <c r="W193">
        <v>66926598.630000003</v>
      </c>
      <c r="X193">
        <v>67358321.480000004</v>
      </c>
      <c r="Y193">
        <v>66806289.490000002</v>
      </c>
      <c r="Z193">
        <v>66708839.68</v>
      </c>
      <c r="AA193">
        <v>66784787.579999998</v>
      </c>
      <c r="AB193">
        <v>66976352.770000003</v>
      </c>
      <c r="AC193">
        <v>67290274.040000007</v>
      </c>
      <c r="AD193">
        <v>67169327.879999995</v>
      </c>
      <c r="AE193">
        <v>67053745.170000002</v>
      </c>
      <c r="AF193">
        <v>66934777.539999999</v>
      </c>
      <c r="AG193">
        <v>66837930.700000003</v>
      </c>
      <c r="AH193">
        <v>66771139.659999996</v>
      </c>
      <c r="AI193">
        <v>66979402.960000001</v>
      </c>
      <c r="AJ193">
        <v>67194803.299999997</v>
      </c>
      <c r="AK193">
        <v>67425953.790000007</v>
      </c>
      <c r="AL193">
        <v>67654714.159999996</v>
      </c>
      <c r="AM193">
        <v>67881618.799999997</v>
      </c>
      <c r="AN193">
        <v>67718313.459999904</v>
      </c>
      <c r="AO193">
        <v>67560168.980000004</v>
      </c>
      <c r="AP193">
        <v>67372493.209999904</v>
      </c>
      <c r="AQ193">
        <v>67163724.239999995</v>
      </c>
      <c r="AR193">
        <v>66922487.719999999</v>
      </c>
      <c r="AS193">
        <v>67517162.969999999</v>
      </c>
      <c r="AT193">
        <v>68197220.780000001</v>
      </c>
      <c r="AU193">
        <v>68856352.969999999</v>
      </c>
      <c r="AV193">
        <v>69480636.959999904</v>
      </c>
      <c r="AW193">
        <v>70094109.239999995</v>
      </c>
    </row>
    <row r="194" spans="2:49" x14ac:dyDescent="0.25">
      <c r="B194" t="s">
        <v>495</v>
      </c>
      <c r="C194">
        <v>419119515.24800497</v>
      </c>
      <c r="D194">
        <v>425848614.63336003</v>
      </c>
      <c r="E194">
        <v>432800620.5</v>
      </c>
      <c r="F194">
        <v>432724485.89999998</v>
      </c>
      <c r="G194">
        <v>413414044.69999999</v>
      </c>
      <c r="H194">
        <v>393528736.19999999</v>
      </c>
      <c r="I194">
        <v>388595120.89999998</v>
      </c>
      <c r="J194">
        <v>379597437.39999998</v>
      </c>
      <c r="K194">
        <v>365733189</v>
      </c>
      <c r="L194">
        <v>356946832.89999998</v>
      </c>
      <c r="M194">
        <v>353967741.80000001</v>
      </c>
      <c r="N194">
        <v>354465473.10000002</v>
      </c>
      <c r="O194">
        <v>345863526.19999999</v>
      </c>
      <c r="P194">
        <v>338112991.5</v>
      </c>
      <c r="Q194">
        <v>325330507.19999999</v>
      </c>
      <c r="R194">
        <v>317044705.80000001</v>
      </c>
      <c r="S194">
        <v>308361629.10000002</v>
      </c>
      <c r="T194">
        <v>304227722.30000001</v>
      </c>
      <c r="U194">
        <v>298835645.69999999</v>
      </c>
      <c r="V194">
        <v>294902348.60000002</v>
      </c>
      <c r="W194">
        <v>294911319.19999999</v>
      </c>
      <c r="X194">
        <v>293095393</v>
      </c>
      <c r="Y194">
        <v>290820450.39999998</v>
      </c>
      <c r="Z194">
        <v>290128359.89999998</v>
      </c>
      <c r="AA194">
        <v>290018420.19999999</v>
      </c>
      <c r="AB194">
        <v>290321068.89999998</v>
      </c>
      <c r="AC194">
        <v>291088416.69999999</v>
      </c>
      <c r="AD194">
        <v>289568131.10000002</v>
      </c>
      <c r="AE194">
        <v>288087395.80000001</v>
      </c>
      <c r="AF194">
        <v>286705327.39999998</v>
      </c>
      <c r="AG194">
        <v>285457196.69999999</v>
      </c>
      <c r="AH194">
        <v>284299743.69999999</v>
      </c>
      <c r="AI194">
        <v>283823081.89999998</v>
      </c>
      <c r="AJ194">
        <v>283441976.39999998</v>
      </c>
      <c r="AK194">
        <v>283181053.5</v>
      </c>
      <c r="AL194">
        <v>283014982</v>
      </c>
      <c r="AM194">
        <v>282879311.69999999</v>
      </c>
      <c r="AN194">
        <v>282096649.80000001</v>
      </c>
      <c r="AO194">
        <v>281346724.69999999</v>
      </c>
      <c r="AP194">
        <v>280526829.19999999</v>
      </c>
      <c r="AQ194">
        <v>279703783.30000001</v>
      </c>
      <c r="AR194">
        <v>278793475.5</v>
      </c>
      <c r="AS194">
        <v>279234302.10000002</v>
      </c>
      <c r="AT194">
        <v>279818829.80000001</v>
      </c>
      <c r="AU194">
        <v>280412941.30000001</v>
      </c>
      <c r="AV194">
        <v>280997049.19999999</v>
      </c>
      <c r="AW194">
        <v>281724095.89999998</v>
      </c>
    </row>
    <row r="195" spans="2:49" x14ac:dyDescent="0.25">
      <c r="B195" t="s">
        <v>496</v>
      </c>
      <c r="C195">
        <v>255.88316116441601</v>
      </c>
      <c r="D195">
        <v>259.991448084664</v>
      </c>
      <c r="E195">
        <v>264.99072790000002</v>
      </c>
      <c r="F195">
        <v>273.27071610000002</v>
      </c>
      <c r="G195">
        <v>275.14558419999997</v>
      </c>
      <c r="H195">
        <v>265.75480950000002</v>
      </c>
      <c r="I195">
        <v>274.30369810000002</v>
      </c>
      <c r="J195">
        <v>276.20865809999998</v>
      </c>
      <c r="K195">
        <v>273.54320460000002</v>
      </c>
      <c r="L195">
        <v>270.71848970000002</v>
      </c>
      <c r="M195">
        <v>270.31665179999999</v>
      </c>
      <c r="N195">
        <v>269.77137060000001</v>
      </c>
      <c r="O195">
        <v>260.54985140000002</v>
      </c>
      <c r="P195">
        <v>255.7950079</v>
      </c>
      <c r="Q195">
        <v>250.3706206</v>
      </c>
      <c r="R195">
        <v>243.01942969999999</v>
      </c>
      <c r="S195">
        <v>235.89896780000001</v>
      </c>
      <c r="T195">
        <v>234.04462839999999</v>
      </c>
      <c r="U195">
        <v>231.9188479</v>
      </c>
      <c r="V195">
        <v>230.82708450000001</v>
      </c>
      <c r="W195">
        <v>240.4827823</v>
      </c>
      <c r="X195">
        <v>250.14097949999999</v>
      </c>
      <c r="Y195">
        <v>251.6235375</v>
      </c>
      <c r="Z195">
        <v>253.70788429999999</v>
      </c>
      <c r="AA195">
        <v>256.04445870000001</v>
      </c>
      <c r="AB195">
        <v>258.28765170000003</v>
      </c>
      <c r="AC195">
        <v>260.80563059999997</v>
      </c>
      <c r="AD195">
        <v>257.93298190000002</v>
      </c>
      <c r="AE195">
        <v>255.17910649999999</v>
      </c>
      <c r="AF195">
        <v>252.54996990000001</v>
      </c>
      <c r="AG195">
        <v>250.06332660000001</v>
      </c>
      <c r="AH195">
        <v>247.68349029999999</v>
      </c>
      <c r="AI195">
        <v>245.77863339999999</v>
      </c>
      <c r="AJ195">
        <v>243.93321660000001</v>
      </c>
      <c r="AK195">
        <v>242.11211460000001</v>
      </c>
      <c r="AL195">
        <v>240.3806826</v>
      </c>
      <c r="AM195">
        <v>238.6455066</v>
      </c>
      <c r="AN195">
        <v>236.70472860000001</v>
      </c>
      <c r="AO195">
        <v>234.78195790000001</v>
      </c>
      <c r="AP195">
        <v>232.82667219999999</v>
      </c>
      <c r="AQ195">
        <v>230.88003939999999</v>
      </c>
      <c r="AR195">
        <v>228.9039253</v>
      </c>
      <c r="AS195">
        <v>227.7354052</v>
      </c>
      <c r="AT195">
        <v>226.52464000000001</v>
      </c>
      <c r="AU195">
        <v>225.2951367</v>
      </c>
      <c r="AV195">
        <v>224.04071350000001</v>
      </c>
      <c r="AW195">
        <v>222.84532830000001</v>
      </c>
    </row>
    <row r="196" spans="2:49" x14ac:dyDescent="0.25">
      <c r="B196" t="s">
        <v>497</v>
      </c>
      <c r="C196">
        <v>5.5705789795526002</v>
      </c>
      <c r="D196">
        <v>5.6600164269241402</v>
      </c>
      <c r="E196">
        <v>5.7508898210000003</v>
      </c>
      <c r="F196">
        <v>5.8033766030000002</v>
      </c>
      <c r="G196">
        <v>4.8438632970000004</v>
      </c>
      <c r="H196">
        <v>4.2423983029999999</v>
      </c>
      <c r="I196">
        <v>4.113720421</v>
      </c>
      <c r="J196">
        <v>3.9347963959999999</v>
      </c>
      <c r="K196">
        <v>3.8032346389999998</v>
      </c>
      <c r="L196">
        <v>4.0501238769999999</v>
      </c>
      <c r="M196">
        <v>4.1522313320000004</v>
      </c>
      <c r="N196">
        <v>4.2214297710000004</v>
      </c>
      <c r="O196">
        <v>3.3133953649999999</v>
      </c>
      <c r="P196">
        <v>2.794675877</v>
      </c>
      <c r="Q196">
        <v>2.4634599189999999</v>
      </c>
      <c r="R196">
        <v>2.2489715270000001</v>
      </c>
      <c r="S196">
        <v>2.0619886350000001</v>
      </c>
      <c r="T196">
        <v>2.0383166699999999</v>
      </c>
      <c r="U196">
        <v>2.0048984239999998</v>
      </c>
      <c r="V196">
        <v>1.9928866409999999</v>
      </c>
      <c r="W196">
        <v>1.961734506</v>
      </c>
      <c r="X196">
        <v>1.913407971</v>
      </c>
      <c r="Y196">
        <v>1.9095378510000001</v>
      </c>
      <c r="Z196">
        <v>1.9283783539999999</v>
      </c>
      <c r="AA196">
        <v>1.953086275</v>
      </c>
      <c r="AB196">
        <v>1.9805575049999999</v>
      </c>
      <c r="AC196">
        <v>2.0113827889999998</v>
      </c>
      <c r="AD196">
        <v>2.014229533</v>
      </c>
      <c r="AE196">
        <v>2.019982964</v>
      </c>
      <c r="AF196">
        <v>2.0282615869999998</v>
      </c>
      <c r="AG196">
        <v>2.0379960530000001</v>
      </c>
      <c r="AH196">
        <v>2.0493221419999998</v>
      </c>
      <c r="AI196">
        <v>2.0639733910000002</v>
      </c>
      <c r="AJ196">
        <v>2.078687156</v>
      </c>
      <c r="AK196">
        <v>2.0944053380000001</v>
      </c>
      <c r="AL196">
        <v>2.1106530490000002</v>
      </c>
      <c r="AM196">
        <v>2.1268225140000001</v>
      </c>
      <c r="AN196">
        <v>2.117649192</v>
      </c>
      <c r="AO196">
        <v>2.1050639649999998</v>
      </c>
      <c r="AP196">
        <v>2.0897054439999998</v>
      </c>
      <c r="AQ196">
        <v>2.0727898140000001</v>
      </c>
      <c r="AR196">
        <v>2.0533362340000001</v>
      </c>
      <c r="AS196">
        <v>2.0488901660000001</v>
      </c>
      <c r="AT196">
        <v>2.0461071579999999</v>
      </c>
      <c r="AU196">
        <v>2.043113033</v>
      </c>
      <c r="AV196">
        <v>2.039581407</v>
      </c>
      <c r="AW196">
        <v>2.0365443810000001</v>
      </c>
    </row>
    <row r="197" spans="2:49" x14ac:dyDescent="0.25">
      <c r="B197" t="s">
        <v>498</v>
      </c>
      <c r="C197">
        <v>5.5705789795526002</v>
      </c>
      <c r="D197">
        <v>5.6600164269241402</v>
      </c>
      <c r="E197">
        <v>5.7508898210000003</v>
      </c>
      <c r="F197">
        <v>5.8033766030000002</v>
      </c>
      <c r="G197">
        <v>4.8438632970000004</v>
      </c>
      <c r="H197">
        <v>4.2423983029999999</v>
      </c>
      <c r="I197">
        <v>4.113720421</v>
      </c>
      <c r="J197">
        <v>3.9347963959999999</v>
      </c>
      <c r="K197">
        <v>3.8032346389999998</v>
      </c>
      <c r="L197">
        <v>4.0501238769999999</v>
      </c>
      <c r="M197">
        <v>4.1522313320000004</v>
      </c>
      <c r="N197">
        <v>4.2214297710000004</v>
      </c>
      <c r="O197">
        <v>3.3133953649999999</v>
      </c>
      <c r="P197">
        <v>2.794675877</v>
      </c>
      <c r="Q197">
        <v>2.4634599189999999</v>
      </c>
      <c r="R197">
        <v>2.2489715270000001</v>
      </c>
      <c r="S197">
        <v>2.0619886350000001</v>
      </c>
      <c r="T197">
        <v>2.0383166699999999</v>
      </c>
      <c r="U197">
        <v>2.0048984239999998</v>
      </c>
      <c r="V197">
        <v>1.9928866409999999</v>
      </c>
      <c r="W197">
        <v>1.961734506</v>
      </c>
      <c r="X197">
        <v>1.913407971</v>
      </c>
      <c r="Y197">
        <v>1.9095378510000001</v>
      </c>
      <c r="Z197">
        <v>1.9283783539999999</v>
      </c>
      <c r="AA197">
        <v>1.953086275</v>
      </c>
      <c r="AB197">
        <v>1.9805575049999999</v>
      </c>
      <c r="AC197">
        <v>2.0113827889999998</v>
      </c>
      <c r="AD197">
        <v>2.014229533</v>
      </c>
      <c r="AE197">
        <v>2.019982964</v>
      </c>
      <c r="AF197">
        <v>2.0282615869999998</v>
      </c>
      <c r="AG197">
        <v>2.0379960530000001</v>
      </c>
      <c r="AH197">
        <v>2.0493221419999998</v>
      </c>
      <c r="AI197">
        <v>2.0639733910000002</v>
      </c>
      <c r="AJ197">
        <v>2.078687156</v>
      </c>
      <c r="AK197">
        <v>2.0944053380000001</v>
      </c>
      <c r="AL197">
        <v>2.1106530490000002</v>
      </c>
      <c r="AM197">
        <v>2.1268225140000001</v>
      </c>
      <c r="AN197">
        <v>2.117649192</v>
      </c>
      <c r="AO197">
        <v>2.1050639649999998</v>
      </c>
      <c r="AP197">
        <v>2.0897054439999998</v>
      </c>
      <c r="AQ197">
        <v>2.0727898140000001</v>
      </c>
      <c r="AR197">
        <v>2.0533362340000001</v>
      </c>
      <c r="AS197">
        <v>2.0488901660000001</v>
      </c>
      <c r="AT197">
        <v>2.0461071579999999</v>
      </c>
      <c r="AU197">
        <v>2.043113033</v>
      </c>
      <c r="AV197">
        <v>2.039581407</v>
      </c>
      <c r="AW197">
        <v>2.0365443810000001</v>
      </c>
    </row>
    <row r="198" spans="2:49" x14ac:dyDescent="0.25">
      <c r="B198" t="s">
        <v>499</v>
      </c>
      <c r="C198">
        <v>82.165927612137295</v>
      </c>
      <c r="D198">
        <v>83.485128157272499</v>
      </c>
      <c r="E198">
        <v>84.844832760000003</v>
      </c>
      <c r="F198">
        <v>85.05497407</v>
      </c>
      <c r="G198">
        <v>81.649145509999997</v>
      </c>
      <c r="H198">
        <v>79.169562780000007</v>
      </c>
      <c r="I198">
        <v>77.544666289999995</v>
      </c>
      <c r="J198">
        <v>75.2963314</v>
      </c>
      <c r="K198">
        <v>72.777845189999894</v>
      </c>
      <c r="L198">
        <v>70.869227890000005</v>
      </c>
      <c r="M198">
        <v>70.335552789999994</v>
      </c>
      <c r="N198">
        <v>70.478946260000001</v>
      </c>
      <c r="O198">
        <v>68.775365280000003</v>
      </c>
      <c r="P198">
        <v>66.989019440000007</v>
      </c>
      <c r="Q198">
        <v>64.564472789999996</v>
      </c>
      <c r="R198">
        <v>63.170605870000003</v>
      </c>
      <c r="S198">
        <v>61.510142100000003</v>
      </c>
      <c r="T198">
        <v>61.286114060000003</v>
      </c>
      <c r="U198">
        <v>60.743086419999997</v>
      </c>
      <c r="V198">
        <v>60.432388619999998</v>
      </c>
      <c r="W198">
        <v>60.202379440000001</v>
      </c>
      <c r="X198">
        <v>59.631223179999999</v>
      </c>
      <c r="Y198">
        <v>59.129575989999999</v>
      </c>
      <c r="Z198">
        <v>58.87823873</v>
      </c>
      <c r="AA198">
        <v>58.719613709999997</v>
      </c>
      <c r="AB198">
        <v>58.627093440000003</v>
      </c>
      <c r="AC198">
        <v>58.604209330000003</v>
      </c>
      <c r="AD198">
        <v>58.122743309999997</v>
      </c>
      <c r="AE198">
        <v>57.635583439999998</v>
      </c>
      <c r="AF198">
        <v>57.169888659999998</v>
      </c>
      <c r="AG198">
        <v>56.728819610000002</v>
      </c>
      <c r="AH198">
        <v>56.288612890000003</v>
      </c>
      <c r="AI198">
        <v>55.977422519999998</v>
      </c>
      <c r="AJ198">
        <v>55.693457389999999</v>
      </c>
      <c r="AK198">
        <v>55.433110579999997</v>
      </c>
      <c r="AL198">
        <v>55.200280229999997</v>
      </c>
      <c r="AM198">
        <v>54.978813959999997</v>
      </c>
      <c r="AN198">
        <v>54.706788369999998</v>
      </c>
      <c r="AO198">
        <v>54.43776192</v>
      </c>
      <c r="AP198">
        <v>54.160541590000001</v>
      </c>
      <c r="AQ198">
        <v>53.886677910000003</v>
      </c>
      <c r="AR198">
        <v>53.605124119999999</v>
      </c>
      <c r="AS198">
        <v>53.476353330000002</v>
      </c>
      <c r="AT198">
        <v>53.36522574</v>
      </c>
      <c r="AU198">
        <v>53.26522842</v>
      </c>
      <c r="AV198">
        <v>53.173846220000001</v>
      </c>
      <c r="AW198">
        <v>53.110904820000002</v>
      </c>
    </row>
    <row r="199" spans="2:49" x14ac:dyDescent="0.25">
      <c r="B199" t="s">
        <v>500</v>
      </c>
      <c r="C199">
        <v>0.67805251130835598</v>
      </c>
      <c r="D199">
        <v>0.68893886369971102</v>
      </c>
      <c r="E199">
        <v>0.66746531460000003</v>
      </c>
      <c r="F199">
        <v>1.0031459579999999</v>
      </c>
      <c r="G199">
        <v>1.285375334</v>
      </c>
      <c r="H199">
        <v>1.560641422</v>
      </c>
      <c r="I199">
        <v>1.8381216220000001</v>
      </c>
      <c r="J199">
        <v>2.0973498660000001</v>
      </c>
      <c r="K199">
        <v>2.3325438809999999</v>
      </c>
      <c r="L199">
        <v>2.5715879410000002</v>
      </c>
      <c r="M199">
        <v>2.8527627999999998</v>
      </c>
      <c r="N199">
        <v>3.1620853210000002</v>
      </c>
      <c r="O199">
        <v>3.145149558</v>
      </c>
      <c r="P199">
        <v>3.125004906</v>
      </c>
      <c r="Q199">
        <v>3.0750336389999999</v>
      </c>
      <c r="R199">
        <v>3.074537732</v>
      </c>
      <c r="S199">
        <v>3.0623263839999999</v>
      </c>
      <c r="T199">
        <v>3.2082875300000002</v>
      </c>
      <c r="U199">
        <v>3.329834768</v>
      </c>
      <c r="V199">
        <v>3.456539458</v>
      </c>
      <c r="W199">
        <v>3.5793171400000001</v>
      </c>
      <c r="X199">
        <v>3.6856176299999999</v>
      </c>
      <c r="Y199">
        <v>3.650564551</v>
      </c>
      <c r="Z199">
        <v>3.6310137810000001</v>
      </c>
      <c r="AA199">
        <v>3.6172046550000001</v>
      </c>
      <c r="AB199">
        <v>3.608016766</v>
      </c>
      <c r="AC199">
        <v>3.6031909999999998</v>
      </c>
      <c r="AD199">
        <v>3.5667188869999999</v>
      </c>
      <c r="AE199">
        <v>3.5298546069999999</v>
      </c>
      <c r="AF199">
        <v>3.4942504460000001</v>
      </c>
      <c r="AG199">
        <v>3.4600577559999999</v>
      </c>
      <c r="AH199">
        <v>3.4258631570000002</v>
      </c>
      <c r="AI199">
        <v>3.404945788</v>
      </c>
      <c r="AJ199">
        <v>3.385789656</v>
      </c>
      <c r="AK199">
        <v>3.3681776160000001</v>
      </c>
      <c r="AL199">
        <v>3.3512588540000001</v>
      </c>
      <c r="AM199">
        <v>3.3351250669999999</v>
      </c>
      <c r="AN199">
        <v>3.3288605360000001</v>
      </c>
      <c r="AO199">
        <v>3.3231564360000001</v>
      </c>
      <c r="AP199">
        <v>3.3173501779999999</v>
      </c>
      <c r="AQ199">
        <v>3.3121693840000002</v>
      </c>
      <c r="AR199">
        <v>3.3069594439999999</v>
      </c>
      <c r="AS199">
        <v>3.3154662309999998</v>
      </c>
      <c r="AT199">
        <v>3.3253749560000001</v>
      </c>
      <c r="AU199">
        <v>3.3363051019999999</v>
      </c>
      <c r="AV199">
        <v>3.3481205709999999</v>
      </c>
      <c r="AW199">
        <v>3.3620971759999998</v>
      </c>
    </row>
    <row r="200" spans="2:49" x14ac:dyDescent="0.25">
      <c r="B200" t="s">
        <v>501</v>
      </c>
      <c r="C200">
        <v>82.165927612137295</v>
      </c>
      <c r="D200">
        <v>83.485128157272499</v>
      </c>
      <c r="E200">
        <v>84.844832760000003</v>
      </c>
      <c r="F200">
        <v>85.05497407</v>
      </c>
      <c r="G200">
        <v>81.649145509999997</v>
      </c>
      <c r="H200">
        <v>79.169562780000007</v>
      </c>
      <c r="I200">
        <v>77.544666289999995</v>
      </c>
      <c r="J200">
        <v>75.2963314</v>
      </c>
      <c r="K200">
        <v>72.777845189999894</v>
      </c>
      <c r="L200">
        <v>70.869227890000005</v>
      </c>
      <c r="M200">
        <v>70.335552789999994</v>
      </c>
      <c r="N200">
        <v>70.478946260000001</v>
      </c>
      <c r="O200">
        <v>68.775365280000003</v>
      </c>
      <c r="P200">
        <v>66.989019440000007</v>
      </c>
      <c r="Q200">
        <v>64.564472789999996</v>
      </c>
      <c r="R200">
        <v>63.170605870000003</v>
      </c>
      <c r="S200">
        <v>61.510142100000003</v>
      </c>
      <c r="T200">
        <v>61.286114060000003</v>
      </c>
      <c r="U200">
        <v>60.743086419999997</v>
      </c>
      <c r="V200">
        <v>60.432388619999998</v>
      </c>
      <c r="W200">
        <v>60.202379440000001</v>
      </c>
      <c r="X200">
        <v>59.631223179999999</v>
      </c>
      <c r="Y200">
        <v>59.129575989999999</v>
      </c>
      <c r="Z200">
        <v>58.87823873</v>
      </c>
      <c r="AA200">
        <v>58.719613709999997</v>
      </c>
      <c r="AB200">
        <v>58.627093440000003</v>
      </c>
      <c r="AC200">
        <v>58.604209330000003</v>
      </c>
      <c r="AD200">
        <v>58.122743309999997</v>
      </c>
      <c r="AE200">
        <v>57.635583439999998</v>
      </c>
      <c r="AF200">
        <v>57.169888659999998</v>
      </c>
      <c r="AG200">
        <v>56.728819610000002</v>
      </c>
      <c r="AH200">
        <v>56.288612890000003</v>
      </c>
      <c r="AI200">
        <v>55.977422519999998</v>
      </c>
      <c r="AJ200">
        <v>55.693457389999999</v>
      </c>
      <c r="AK200">
        <v>55.433110579999997</v>
      </c>
      <c r="AL200">
        <v>55.200280229999997</v>
      </c>
      <c r="AM200">
        <v>54.978813959999997</v>
      </c>
      <c r="AN200">
        <v>54.706788369999998</v>
      </c>
      <c r="AO200">
        <v>54.43776192</v>
      </c>
      <c r="AP200">
        <v>54.160541590000001</v>
      </c>
      <c r="AQ200">
        <v>53.886677910000003</v>
      </c>
      <c r="AR200">
        <v>53.605124119999999</v>
      </c>
      <c r="AS200">
        <v>53.476353330000002</v>
      </c>
      <c r="AT200">
        <v>53.36522574</v>
      </c>
      <c r="AU200">
        <v>53.26522842</v>
      </c>
      <c r="AV200">
        <v>53.173846220000001</v>
      </c>
      <c r="AW200">
        <v>53.110904820000002</v>
      </c>
    </row>
    <row r="201" spans="2:49" x14ac:dyDescent="0.25">
      <c r="B201" t="s">
        <v>502</v>
      </c>
      <c r="C201">
        <v>0.67805251130835598</v>
      </c>
      <c r="D201">
        <v>0.68893886369971102</v>
      </c>
      <c r="E201">
        <v>0.66746531460000003</v>
      </c>
      <c r="F201">
        <v>1.0031459579999999</v>
      </c>
      <c r="G201">
        <v>1.285375334</v>
      </c>
      <c r="H201">
        <v>1.560641422</v>
      </c>
      <c r="I201">
        <v>1.8381216220000001</v>
      </c>
      <c r="J201">
        <v>2.0973498660000001</v>
      </c>
      <c r="K201">
        <v>2.3325438809999999</v>
      </c>
      <c r="L201">
        <v>2.5715879410000002</v>
      </c>
      <c r="M201">
        <v>2.8527627999999998</v>
      </c>
      <c r="N201">
        <v>3.1620853210000002</v>
      </c>
      <c r="O201">
        <v>3.145149558</v>
      </c>
      <c r="P201">
        <v>3.125004906</v>
      </c>
      <c r="Q201">
        <v>3.0750336389999999</v>
      </c>
      <c r="R201">
        <v>3.074537732</v>
      </c>
      <c r="S201">
        <v>3.0623263839999999</v>
      </c>
      <c r="T201">
        <v>3.2082875300000002</v>
      </c>
      <c r="U201">
        <v>3.329834768</v>
      </c>
      <c r="V201">
        <v>3.456539458</v>
      </c>
      <c r="W201">
        <v>3.5793171400000001</v>
      </c>
      <c r="X201">
        <v>3.6856176299999999</v>
      </c>
      <c r="Y201">
        <v>3.650564551</v>
      </c>
      <c r="Z201">
        <v>3.6310137810000001</v>
      </c>
      <c r="AA201">
        <v>3.6172046550000001</v>
      </c>
      <c r="AB201">
        <v>3.608016766</v>
      </c>
      <c r="AC201">
        <v>3.6031909999999998</v>
      </c>
      <c r="AD201">
        <v>3.5667188869999999</v>
      </c>
      <c r="AE201">
        <v>3.5298546069999999</v>
      </c>
      <c r="AF201">
        <v>3.4942504460000001</v>
      </c>
      <c r="AG201">
        <v>3.4600577559999999</v>
      </c>
      <c r="AH201">
        <v>3.4258631570000002</v>
      </c>
      <c r="AI201">
        <v>3.404945788</v>
      </c>
      <c r="AJ201">
        <v>3.385789656</v>
      </c>
      <c r="AK201">
        <v>3.3681776160000001</v>
      </c>
      <c r="AL201">
        <v>3.3512588540000001</v>
      </c>
      <c r="AM201">
        <v>3.3351250669999999</v>
      </c>
      <c r="AN201">
        <v>3.3288605360000001</v>
      </c>
      <c r="AO201">
        <v>3.3231564360000001</v>
      </c>
      <c r="AP201">
        <v>3.3173501779999999</v>
      </c>
      <c r="AQ201">
        <v>3.3121693840000002</v>
      </c>
      <c r="AR201">
        <v>3.3069594439999999</v>
      </c>
      <c r="AS201">
        <v>3.3154662309999998</v>
      </c>
      <c r="AT201">
        <v>3.3253749560000001</v>
      </c>
      <c r="AU201">
        <v>3.3363051019999999</v>
      </c>
      <c r="AV201">
        <v>3.3481205709999999</v>
      </c>
      <c r="AW201">
        <v>3.3620971759999998</v>
      </c>
    </row>
    <row r="202" spans="2:49" x14ac:dyDescent="0.25">
      <c r="B202" t="s">
        <v>503</v>
      </c>
      <c r="C202">
        <v>114.221490567207</v>
      </c>
      <c r="D202">
        <v>116.055353544252</v>
      </c>
      <c r="E202">
        <v>118.4724696</v>
      </c>
      <c r="F202">
        <v>124.3119562</v>
      </c>
      <c r="G202">
        <v>129.82589830000001</v>
      </c>
      <c r="H202">
        <v>124.8348149</v>
      </c>
      <c r="I202">
        <v>132.15520330000001</v>
      </c>
      <c r="J202">
        <v>134.6951287</v>
      </c>
      <c r="K202">
        <v>134.71645090000001</v>
      </c>
      <c r="L202">
        <v>132.97966479999999</v>
      </c>
      <c r="M202">
        <v>131.31180470000001</v>
      </c>
      <c r="N202">
        <v>128.18297179999999</v>
      </c>
      <c r="O202">
        <v>120.657076</v>
      </c>
      <c r="P202">
        <v>117.6280435</v>
      </c>
      <c r="Q202">
        <v>116.2571525</v>
      </c>
      <c r="R202">
        <v>111.63418830000001</v>
      </c>
      <c r="S202">
        <v>107.0291629</v>
      </c>
      <c r="T202">
        <v>105.2255311</v>
      </c>
      <c r="U202">
        <v>103.43075279999999</v>
      </c>
      <c r="V202">
        <v>102.14175899999999</v>
      </c>
      <c r="W202">
        <v>111.86908010000001</v>
      </c>
      <c r="X202">
        <v>122.14572800000001</v>
      </c>
      <c r="Y202">
        <v>123.2965322</v>
      </c>
      <c r="Z202">
        <v>124.561008</v>
      </c>
      <c r="AA202">
        <v>125.86338569999999</v>
      </c>
      <c r="AB202">
        <v>126.99549159999999</v>
      </c>
      <c r="AC202">
        <v>128.2206525</v>
      </c>
      <c r="AD202">
        <v>124.8171863</v>
      </c>
      <c r="AE202">
        <v>121.5372235</v>
      </c>
      <c r="AF202">
        <v>118.3655862</v>
      </c>
      <c r="AG202">
        <v>115.2325582</v>
      </c>
      <c r="AH202">
        <v>112.1896132</v>
      </c>
      <c r="AI202">
        <v>109.3751335</v>
      </c>
      <c r="AJ202">
        <v>106.6159531</v>
      </c>
      <c r="AK202">
        <v>103.8811355</v>
      </c>
      <c r="AL202">
        <v>101.13685220000001</v>
      </c>
      <c r="AM202">
        <v>98.412000860000006</v>
      </c>
      <c r="AN202">
        <v>95.76739954</v>
      </c>
      <c r="AO202">
        <v>93.147250040000003</v>
      </c>
      <c r="AP202">
        <v>90.541699219999998</v>
      </c>
      <c r="AQ202">
        <v>87.967114789999997</v>
      </c>
      <c r="AR202">
        <v>85.411703459999998</v>
      </c>
      <c r="AS202">
        <v>83.013330300000007</v>
      </c>
      <c r="AT202">
        <v>80.588989290000001</v>
      </c>
      <c r="AU202">
        <v>78.165957719999994</v>
      </c>
      <c r="AV202">
        <v>75.74232585</v>
      </c>
      <c r="AW202">
        <v>73.346611969999998</v>
      </c>
    </row>
    <row r="203" spans="2:49" x14ac:dyDescent="0.25">
      <c r="B203" t="s">
        <v>504</v>
      </c>
      <c r="C203">
        <v>1.2736350545564401</v>
      </c>
      <c r="D203">
        <v>1.2940836773262701</v>
      </c>
      <c r="E203">
        <v>1.3210359060000001</v>
      </c>
      <c r="F203">
        <v>1.3113661169999999</v>
      </c>
      <c r="G203">
        <v>1.2956716660000001</v>
      </c>
      <c r="H203">
        <v>1.178693252</v>
      </c>
      <c r="I203">
        <v>1.180564859</v>
      </c>
      <c r="J203">
        <v>1.1133944259999999</v>
      </c>
      <c r="K203">
        <v>1.0305946939999999</v>
      </c>
      <c r="L203">
        <v>0.9417181255</v>
      </c>
      <c r="M203">
        <v>0.8610385465</v>
      </c>
      <c r="N203">
        <v>0.77850334659999998</v>
      </c>
      <c r="O203">
        <v>0.67231032319999995</v>
      </c>
      <c r="P203">
        <v>0.59236320060000003</v>
      </c>
      <c r="Q203">
        <v>0.51856873270000003</v>
      </c>
      <c r="R203">
        <v>0.42877603190000002</v>
      </c>
      <c r="S203">
        <v>0.33939343519999998</v>
      </c>
      <c r="T203">
        <v>0.44271166249999999</v>
      </c>
      <c r="U203">
        <v>0.54539850069999996</v>
      </c>
      <c r="V203">
        <v>0.65063856659999997</v>
      </c>
      <c r="W203">
        <v>0.71959125629999998</v>
      </c>
      <c r="X203">
        <v>0.79212297139999999</v>
      </c>
      <c r="Y203">
        <v>0.79335056869999998</v>
      </c>
      <c r="Z203">
        <v>0.79517251550000001</v>
      </c>
      <c r="AA203">
        <v>0.79709071789999997</v>
      </c>
      <c r="AB203">
        <v>0.7980377434</v>
      </c>
      <c r="AC203">
        <v>0.79945528089999995</v>
      </c>
      <c r="AD203">
        <v>0.80418711210000005</v>
      </c>
      <c r="AE203">
        <v>0.80885417739999999</v>
      </c>
      <c r="AF203">
        <v>0.81340404860000004</v>
      </c>
      <c r="AG203">
        <v>0.81867957619999998</v>
      </c>
      <c r="AH203">
        <v>0.82378270350000005</v>
      </c>
      <c r="AI203">
        <v>0.812285484</v>
      </c>
      <c r="AJ203">
        <v>0.80101195849999995</v>
      </c>
      <c r="AK203">
        <v>0.78973271</v>
      </c>
      <c r="AL203">
        <v>0.77846514720000004</v>
      </c>
      <c r="AM203">
        <v>0.76716445710000003</v>
      </c>
      <c r="AN203">
        <v>0.77427289730000004</v>
      </c>
      <c r="AO203">
        <v>0.78112763080000003</v>
      </c>
      <c r="AP203">
        <v>0.78763812980000003</v>
      </c>
      <c r="AQ203">
        <v>0.79393726220000005</v>
      </c>
      <c r="AR203">
        <v>0.79991515739999997</v>
      </c>
      <c r="AS203">
        <v>0.80243863920000003</v>
      </c>
      <c r="AT203">
        <v>0.80461012639999996</v>
      </c>
      <c r="AU203">
        <v>0.80667787710000005</v>
      </c>
      <c r="AV203">
        <v>0.80861344339999996</v>
      </c>
      <c r="AW203">
        <v>0.81072083699999997</v>
      </c>
    </row>
    <row r="204" spans="2:49" x14ac:dyDescent="0.25">
      <c r="B204" t="s">
        <v>505</v>
      </c>
      <c r="C204">
        <v>3.4574974609126801</v>
      </c>
      <c r="D204">
        <v>3.51300870100687</v>
      </c>
      <c r="E204">
        <v>3.5861750790000002</v>
      </c>
      <c r="F204">
        <v>3.7427898800000001</v>
      </c>
      <c r="G204">
        <v>3.8880943989999999</v>
      </c>
      <c r="H204">
        <v>3.7190315960000002</v>
      </c>
      <c r="I204">
        <v>3.916734677</v>
      </c>
      <c r="J204">
        <v>4.0680674650000004</v>
      </c>
      <c r="K204">
        <v>4.1525747559999999</v>
      </c>
      <c r="L204">
        <v>4.1892358500000002</v>
      </c>
      <c r="M204">
        <v>4.2328667319999997</v>
      </c>
      <c r="N204">
        <v>4.2326772850000003</v>
      </c>
      <c r="O204">
        <v>4.4511285389999999</v>
      </c>
      <c r="P204">
        <v>4.8290844030000004</v>
      </c>
      <c r="Q204">
        <v>5.2950727449999997</v>
      </c>
      <c r="R204">
        <v>5.6275162400000003</v>
      </c>
      <c r="S204">
        <v>5.9611367199999998</v>
      </c>
      <c r="T204">
        <v>5.6769858529999997</v>
      </c>
      <c r="U204">
        <v>5.3925308210000003</v>
      </c>
      <c r="V204">
        <v>5.1327217269999998</v>
      </c>
      <c r="W204">
        <v>3.544364163</v>
      </c>
      <c r="X204">
        <v>1.900975791</v>
      </c>
      <c r="Y204">
        <v>1.902494256</v>
      </c>
      <c r="Z204">
        <v>1.9055302359999999</v>
      </c>
      <c r="AA204">
        <v>1.9088911019999999</v>
      </c>
      <c r="AB204">
        <v>1.9107442569999999</v>
      </c>
      <c r="AC204">
        <v>1.9137212830000001</v>
      </c>
      <c r="AD204">
        <v>1.8957182669999999</v>
      </c>
      <c r="AE204">
        <v>1.8782480640000001</v>
      </c>
      <c r="AF204">
        <v>1.861144218</v>
      </c>
      <c r="AG204">
        <v>1.845796054</v>
      </c>
      <c r="AH204">
        <v>1.830628025</v>
      </c>
      <c r="AI204">
        <v>1.819379332</v>
      </c>
      <c r="AJ204">
        <v>1.808112095</v>
      </c>
      <c r="AK204">
        <v>1.7963169109999999</v>
      </c>
      <c r="AL204">
        <v>1.7853703080000001</v>
      </c>
      <c r="AM204">
        <v>1.7738411300000001</v>
      </c>
      <c r="AN204">
        <v>1.764548832</v>
      </c>
      <c r="AO204">
        <v>1.754950217</v>
      </c>
      <c r="AP204">
        <v>1.7448503399999999</v>
      </c>
      <c r="AQ204">
        <v>1.7345531890000001</v>
      </c>
      <c r="AR204">
        <v>1.7238232330000001</v>
      </c>
      <c r="AS204">
        <v>2.3520847470000001</v>
      </c>
      <c r="AT204">
        <v>2.9706725729999999</v>
      </c>
      <c r="AU204">
        <v>3.5799685239999999</v>
      </c>
      <c r="AV204">
        <v>4.1796793430000001</v>
      </c>
      <c r="AW204">
        <v>4.7713937079999997</v>
      </c>
    </row>
    <row r="205" spans="2:49" x14ac:dyDescent="0.25">
      <c r="B205" t="s">
        <v>506</v>
      </c>
      <c r="C205">
        <v>5.0750954082325404</v>
      </c>
      <c r="D205">
        <v>5.1565777065978304</v>
      </c>
      <c r="E205">
        <v>5.2639751380000002</v>
      </c>
      <c r="F205">
        <v>5.078583031</v>
      </c>
      <c r="G205">
        <v>4.8767776219999996</v>
      </c>
      <c r="H205">
        <v>4.3117957469999997</v>
      </c>
      <c r="I205">
        <v>4.1972672800000002</v>
      </c>
      <c r="J205">
        <v>4.1089872459999999</v>
      </c>
      <c r="K205">
        <v>3.9534789090000002</v>
      </c>
      <c r="L205">
        <v>3.7594281839999999</v>
      </c>
      <c r="M205">
        <v>3.5806081299999999</v>
      </c>
      <c r="N205">
        <v>3.375082988</v>
      </c>
      <c r="O205">
        <v>2.8088150359999999</v>
      </c>
      <c r="P205">
        <v>2.3552220030000002</v>
      </c>
      <c r="Q205">
        <v>1.9222641540000001</v>
      </c>
      <c r="R205">
        <v>1.427278407</v>
      </c>
      <c r="S205">
        <v>0.93538426279999998</v>
      </c>
      <c r="T205">
        <v>0.89093076380000003</v>
      </c>
      <c r="U205">
        <v>0.84635741360000005</v>
      </c>
      <c r="V205">
        <v>0.8055805721</v>
      </c>
      <c r="W205">
        <v>0.55412079469999997</v>
      </c>
      <c r="X205">
        <v>0.29079667129999998</v>
      </c>
      <c r="Y205">
        <v>0.29344766589999999</v>
      </c>
      <c r="Z205">
        <v>0.2963712932</v>
      </c>
      <c r="AA205">
        <v>0.29938720880000003</v>
      </c>
      <c r="AB205">
        <v>0.30198216459999999</v>
      </c>
      <c r="AC205">
        <v>0.30479775640000001</v>
      </c>
      <c r="AD205">
        <v>0.30269455439999998</v>
      </c>
      <c r="AE205">
        <v>0.30068142720000002</v>
      </c>
      <c r="AF205">
        <v>0.29873232020000001</v>
      </c>
      <c r="AG205">
        <v>0.29699914179999998</v>
      </c>
      <c r="AH205">
        <v>0.29530073369999998</v>
      </c>
      <c r="AI205">
        <v>0.29430292149999998</v>
      </c>
      <c r="AJ205">
        <v>0.29330790839999998</v>
      </c>
      <c r="AK205">
        <v>0.29223294630000002</v>
      </c>
      <c r="AL205">
        <v>0.29124644729999999</v>
      </c>
      <c r="AM205">
        <v>0.29016984670000001</v>
      </c>
      <c r="AN205">
        <v>0.2895240362</v>
      </c>
      <c r="AO205">
        <v>0.2888325229</v>
      </c>
      <c r="AP205">
        <v>0.28806275549999999</v>
      </c>
      <c r="AQ205">
        <v>0.28726439520000002</v>
      </c>
      <c r="AR205">
        <v>0.28639808719999998</v>
      </c>
      <c r="AS205">
        <v>0.2862590572</v>
      </c>
      <c r="AT205">
        <v>0.28599991409999997</v>
      </c>
      <c r="AU205">
        <v>0.28570983799999999</v>
      </c>
      <c r="AV205">
        <v>0.2853790772</v>
      </c>
      <c r="AW205">
        <v>0.28511493519999997</v>
      </c>
    </row>
    <row r="206" spans="2:49" x14ac:dyDescent="0.25">
      <c r="B206" t="s">
        <v>507</v>
      </c>
      <c r="C206">
        <v>0.35516190417563898</v>
      </c>
      <c r="D206">
        <v>0.36086414342755202</v>
      </c>
      <c r="E206">
        <v>0.36837995810000002</v>
      </c>
      <c r="F206">
        <v>0.78418168330000004</v>
      </c>
      <c r="G206">
        <v>1.183142371</v>
      </c>
      <c r="H206">
        <v>1.4389789820000001</v>
      </c>
      <c r="I206">
        <v>1.7899502039999999</v>
      </c>
      <c r="J206">
        <v>2.1193386539999999</v>
      </c>
      <c r="K206">
        <v>2.3703721400000002</v>
      </c>
      <c r="L206">
        <v>2.5317209159999998</v>
      </c>
      <c r="M206">
        <v>2.61917701</v>
      </c>
      <c r="N206">
        <v>2.5844070079999999</v>
      </c>
      <c r="O206">
        <v>2.7472634839999999</v>
      </c>
      <c r="P206">
        <v>3.0097415650000001</v>
      </c>
      <c r="Q206">
        <v>3.3297394169999999</v>
      </c>
      <c r="R206">
        <v>3.5680928650000001</v>
      </c>
      <c r="S206">
        <v>3.808802021</v>
      </c>
      <c r="T206">
        <v>3.9789814589999999</v>
      </c>
      <c r="U206">
        <v>4.1488265770000003</v>
      </c>
      <c r="V206">
        <v>4.339486204</v>
      </c>
      <c r="W206">
        <v>5.0037118300000003</v>
      </c>
      <c r="X206">
        <v>5.6912931349999996</v>
      </c>
      <c r="Y206">
        <v>6.1315379989999999</v>
      </c>
      <c r="Z206">
        <v>6.585868456</v>
      </c>
      <c r="AA206">
        <v>7.0511686310000004</v>
      </c>
      <c r="AB206">
        <v>7.3888507460000001</v>
      </c>
      <c r="AC206">
        <v>7.7371642859999996</v>
      </c>
      <c r="AD206">
        <v>8.1251798599999905</v>
      </c>
      <c r="AE206">
        <v>8.5085489550000002</v>
      </c>
      <c r="AF206">
        <v>8.8871362999999999</v>
      </c>
      <c r="AG206">
        <v>9.280577503</v>
      </c>
      <c r="AH206">
        <v>9.6690766420000003</v>
      </c>
      <c r="AI206">
        <v>10.08243579</v>
      </c>
      <c r="AJ206">
        <v>10.4919647</v>
      </c>
      <c r="AK206">
        <v>10.89475994</v>
      </c>
      <c r="AL206">
        <v>11.3088853</v>
      </c>
      <c r="AM206">
        <v>11.71553336</v>
      </c>
      <c r="AN206">
        <v>12.13478946</v>
      </c>
      <c r="AO206">
        <v>12.54928241</v>
      </c>
      <c r="AP206">
        <v>12.95742508</v>
      </c>
      <c r="AQ206">
        <v>13.361254069999999</v>
      </c>
      <c r="AR206">
        <v>13.75883265</v>
      </c>
      <c r="AS206">
        <v>14.16661568</v>
      </c>
      <c r="AT206">
        <v>14.56758479</v>
      </c>
      <c r="AU206">
        <v>14.96590151</v>
      </c>
      <c r="AV206">
        <v>15.36091832</v>
      </c>
      <c r="AW206">
        <v>15.75840112</v>
      </c>
    </row>
    <row r="207" spans="2:49" x14ac:dyDescent="0.25">
      <c r="B207" t="s">
        <v>508</v>
      </c>
      <c r="C207">
        <v>7.99114284395189E-2</v>
      </c>
      <c r="D207">
        <v>8.1194432271199296E-2</v>
      </c>
      <c r="E207">
        <v>8.28854906E-2</v>
      </c>
      <c r="F207">
        <v>0.11307033330000001</v>
      </c>
      <c r="G207">
        <v>0.1534937656</v>
      </c>
      <c r="H207">
        <v>0.19181385349999999</v>
      </c>
      <c r="I207">
        <v>0.26385595220000002</v>
      </c>
      <c r="J207">
        <v>0.36283524280000001</v>
      </c>
      <c r="K207">
        <v>0.48931903580000002</v>
      </c>
      <c r="L207">
        <v>0.6509922038</v>
      </c>
      <c r="M207">
        <v>0.86612096729999999</v>
      </c>
      <c r="N207">
        <v>1.1389614219999999</v>
      </c>
      <c r="O207">
        <v>1.2107331059999999</v>
      </c>
      <c r="P207">
        <v>1.326408542</v>
      </c>
      <c r="Q207">
        <v>1.4674332370000001</v>
      </c>
      <c r="R207">
        <v>1.5724768229999999</v>
      </c>
      <c r="S207">
        <v>1.678558583</v>
      </c>
      <c r="T207">
        <v>1.729456807</v>
      </c>
      <c r="U207">
        <v>1.780279669</v>
      </c>
      <c r="V207">
        <v>1.839991318</v>
      </c>
      <c r="W207">
        <v>2.077520056</v>
      </c>
      <c r="X207">
        <v>2.323414482</v>
      </c>
      <c r="Y207">
        <v>2.5190271449999999</v>
      </c>
      <c r="Z207">
        <v>2.7207455230000002</v>
      </c>
      <c r="AA207">
        <v>2.9273144289999999</v>
      </c>
      <c r="AB207">
        <v>3.1370902389999999</v>
      </c>
      <c r="AC207">
        <v>3.352647019</v>
      </c>
      <c r="AD207">
        <v>3.753181793</v>
      </c>
      <c r="AE207">
        <v>4.1473845020000004</v>
      </c>
      <c r="AF207">
        <v>4.5354911710000003</v>
      </c>
      <c r="AG207">
        <v>4.9375407930000001</v>
      </c>
      <c r="AH207">
        <v>5.3337594949999998</v>
      </c>
      <c r="AI207">
        <v>5.749391149</v>
      </c>
      <c r="AJ207">
        <v>6.1607934289999999</v>
      </c>
      <c r="AK207">
        <v>6.5662910610000003</v>
      </c>
      <c r="AL207">
        <v>6.9836249549999998</v>
      </c>
      <c r="AM207">
        <v>7.3944942710000001</v>
      </c>
      <c r="AN207">
        <v>7.8190764599999998</v>
      </c>
      <c r="AO207">
        <v>8.2393583419999903</v>
      </c>
      <c r="AP207">
        <v>8.6542432359999903</v>
      </c>
      <c r="AQ207">
        <v>9.065030986</v>
      </c>
      <c r="AR207">
        <v>9.4703777539999905</v>
      </c>
      <c r="AS207">
        <v>9.6942848730000009</v>
      </c>
      <c r="AT207">
        <v>9.9136604080000001</v>
      </c>
      <c r="AU207">
        <v>10.13138554</v>
      </c>
      <c r="AV207">
        <v>10.34703902</v>
      </c>
      <c r="AW207">
        <v>10.56450587</v>
      </c>
    </row>
    <row r="208" spans="2:49" x14ac:dyDescent="0.25">
      <c r="B208" t="s">
        <v>509</v>
      </c>
      <c r="C208">
        <v>4.4799793836545803</v>
      </c>
      <c r="D208">
        <v>4.5519069017495504</v>
      </c>
      <c r="E208">
        <v>4.6467106920000001</v>
      </c>
      <c r="F208">
        <v>4.6134700219999996</v>
      </c>
      <c r="G208">
        <v>4.5585362500000004</v>
      </c>
      <c r="H208">
        <v>4.1468172509999999</v>
      </c>
      <c r="I208">
        <v>4.1528626300000004</v>
      </c>
      <c r="J208">
        <v>4.0744386229999998</v>
      </c>
      <c r="K208">
        <v>3.9278784280000001</v>
      </c>
      <c r="L208">
        <v>3.7419054049999998</v>
      </c>
      <c r="M208">
        <v>3.5703462140000002</v>
      </c>
      <c r="N208">
        <v>3.3716782219999999</v>
      </c>
      <c r="O208">
        <v>3.5889310440000002</v>
      </c>
      <c r="P208">
        <v>3.937053363</v>
      </c>
      <c r="Q208">
        <v>4.3614144369999996</v>
      </c>
      <c r="R208">
        <v>4.6797861310000002</v>
      </c>
      <c r="S208">
        <v>5.0020583179999996</v>
      </c>
      <c r="T208">
        <v>5.2042330400000001</v>
      </c>
      <c r="U208">
        <v>5.4062894620000002</v>
      </c>
      <c r="V208">
        <v>5.635689223</v>
      </c>
      <c r="W208">
        <v>5.7493476790000004</v>
      </c>
      <c r="X208">
        <v>5.8672277890000002</v>
      </c>
      <c r="Y208">
        <v>5.9059922980000001</v>
      </c>
      <c r="Z208">
        <v>5.9500131500000002</v>
      </c>
      <c r="AA208">
        <v>5.9956389699999999</v>
      </c>
      <c r="AB208">
        <v>6.0441665569999996</v>
      </c>
      <c r="AC208">
        <v>6.0970488249999999</v>
      </c>
      <c r="AD208">
        <v>6.0885890260000002</v>
      </c>
      <c r="AE208">
        <v>6.0820856650000001</v>
      </c>
      <c r="AF208">
        <v>6.0770396050000004</v>
      </c>
      <c r="AG208">
        <v>6.0745070639999996</v>
      </c>
      <c r="AH208">
        <v>6.0728586030000002</v>
      </c>
      <c r="AI208">
        <v>6.0802916360000001</v>
      </c>
      <c r="AJ208">
        <v>6.0880017009999996</v>
      </c>
      <c r="AK208">
        <v>6.0942670080000001</v>
      </c>
      <c r="AL208">
        <v>6.1008664389999998</v>
      </c>
      <c r="AM208">
        <v>6.1057613999999996</v>
      </c>
      <c r="AN208">
        <v>6.1109063060000004</v>
      </c>
      <c r="AO208">
        <v>6.1151966150000003</v>
      </c>
      <c r="AP208">
        <v>6.1179330409999997</v>
      </c>
      <c r="AQ208">
        <v>6.1201589859999999</v>
      </c>
      <c r="AR208">
        <v>6.1210284650000002</v>
      </c>
      <c r="AS208">
        <v>6.1229881019999999</v>
      </c>
      <c r="AT208">
        <v>6.1223931159999996</v>
      </c>
      <c r="AU208">
        <v>6.1211479349999998</v>
      </c>
      <c r="AV208">
        <v>6.119041889</v>
      </c>
      <c r="AW208">
        <v>6.1183755289999997</v>
      </c>
    </row>
    <row r="209" spans="2:49" x14ac:dyDescent="0.25">
      <c r="B209" t="s">
        <v>510</v>
      </c>
      <c r="C209">
        <v>1.4169855567767899</v>
      </c>
      <c r="D209">
        <v>1.4397357182278101</v>
      </c>
      <c r="E209">
        <v>1.469721482</v>
      </c>
      <c r="F209">
        <v>1.735331245</v>
      </c>
      <c r="G209">
        <v>2.0391606430000002</v>
      </c>
      <c r="H209">
        <v>2.2060488089999999</v>
      </c>
      <c r="I209">
        <v>2.627372228</v>
      </c>
      <c r="J209">
        <v>2.9336702429999999</v>
      </c>
      <c r="K209">
        <v>3.2132146659999998</v>
      </c>
      <c r="L209">
        <v>3.4724697</v>
      </c>
      <c r="M209">
        <v>3.7531645149999999</v>
      </c>
      <c r="N209">
        <v>4.0095819019999999</v>
      </c>
      <c r="O209">
        <v>3.6500381900000001</v>
      </c>
      <c r="P209">
        <v>3.4303927280000002</v>
      </c>
      <c r="Q209">
        <v>3.2561184110000001</v>
      </c>
      <c r="R209">
        <v>2.9892534500000001</v>
      </c>
      <c r="S209">
        <v>2.7250496279999998</v>
      </c>
      <c r="T209">
        <v>2.8591710360000002</v>
      </c>
      <c r="U209">
        <v>2.9939005710000002</v>
      </c>
      <c r="V209">
        <v>3.1445599390000001</v>
      </c>
      <c r="W209">
        <v>4.0859348100000004</v>
      </c>
      <c r="X209">
        <v>4.8750392229999999</v>
      </c>
      <c r="Y209">
        <v>4.8742125940000003</v>
      </c>
      <c r="Z209">
        <v>4.8581178490000001</v>
      </c>
      <c r="AA209">
        <v>4.8230359710000004</v>
      </c>
      <c r="AB209">
        <v>4.8178303409999996</v>
      </c>
      <c r="AC209">
        <v>4.7990055089999997</v>
      </c>
      <c r="AD209">
        <v>4.7390695909999998</v>
      </c>
      <c r="AE209">
        <v>4.67811105</v>
      </c>
      <c r="AF209">
        <v>4.6157632160000004</v>
      </c>
      <c r="AG209">
        <v>4.5656065220000004</v>
      </c>
      <c r="AH209">
        <v>4.5137480339999998</v>
      </c>
      <c r="AI209">
        <v>4.5816322549999997</v>
      </c>
      <c r="AJ209">
        <v>4.6248249079999999</v>
      </c>
      <c r="AK209">
        <v>4.6424333410000003</v>
      </c>
      <c r="AL209">
        <v>4.6998004660000001</v>
      </c>
      <c r="AM209">
        <v>4.7363797070000002</v>
      </c>
      <c r="AN209">
        <v>4.72054916</v>
      </c>
      <c r="AO209">
        <v>4.7024481580000002</v>
      </c>
      <c r="AP209">
        <v>4.6815680119999996</v>
      </c>
      <c r="AQ209">
        <v>4.6587386180000001</v>
      </c>
      <c r="AR209">
        <v>4.6333437760000002</v>
      </c>
      <c r="AS209">
        <v>4.635429158</v>
      </c>
      <c r="AT209">
        <v>4.6340187610000001</v>
      </c>
      <c r="AU209">
        <v>4.6305606179999996</v>
      </c>
      <c r="AV209">
        <v>4.6249028880000003</v>
      </c>
      <c r="AW209">
        <v>4.6187911509999999</v>
      </c>
    </row>
    <row r="210" spans="2:49" x14ac:dyDescent="0.25">
      <c r="B210" t="s">
        <v>511</v>
      </c>
      <c r="C210">
        <v>114.221490567207</v>
      </c>
      <c r="D210">
        <v>116.055353544252</v>
      </c>
      <c r="E210">
        <v>118.4724696</v>
      </c>
      <c r="F210">
        <v>124.3119562</v>
      </c>
      <c r="G210">
        <v>129.82589830000001</v>
      </c>
      <c r="H210">
        <v>124.8348149</v>
      </c>
      <c r="I210">
        <v>132.15520330000001</v>
      </c>
      <c r="J210">
        <v>134.6951287</v>
      </c>
      <c r="K210">
        <v>134.71645090000001</v>
      </c>
      <c r="L210">
        <v>132.97966479999999</v>
      </c>
      <c r="M210">
        <v>131.31180470000001</v>
      </c>
      <c r="N210">
        <v>128.18297179999999</v>
      </c>
      <c r="O210">
        <v>120.657076</v>
      </c>
      <c r="P210">
        <v>117.6280435</v>
      </c>
      <c r="Q210">
        <v>116.2571525</v>
      </c>
      <c r="R210">
        <v>111.63418830000001</v>
      </c>
      <c r="S210">
        <v>107.0291629</v>
      </c>
      <c r="T210">
        <v>105.2255311</v>
      </c>
      <c r="U210">
        <v>103.43075279999999</v>
      </c>
      <c r="V210">
        <v>102.14175899999999</v>
      </c>
      <c r="W210">
        <v>111.86908010000001</v>
      </c>
      <c r="X210">
        <v>122.14572800000001</v>
      </c>
      <c r="Y210">
        <v>123.2965322</v>
      </c>
      <c r="Z210">
        <v>124.561008</v>
      </c>
      <c r="AA210">
        <v>125.86338569999999</v>
      </c>
      <c r="AB210">
        <v>126.99549159999999</v>
      </c>
      <c r="AC210">
        <v>128.2206525</v>
      </c>
      <c r="AD210">
        <v>124.8171863</v>
      </c>
      <c r="AE210">
        <v>121.5372235</v>
      </c>
      <c r="AF210">
        <v>118.3655862</v>
      </c>
      <c r="AG210">
        <v>115.2325582</v>
      </c>
      <c r="AH210">
        <v>112.1896132</v>
      </c>
      <c r="AI210">
        <v>109.3751335</v>
      </c>
      <c r="AJ210">
        <v>106.6159531</v>
      </c>
      <c r="AK210">
        <v>103.8811355</v>
      </c>
      <c r="AL210">
        <v>101.13685220000001</v>
      </c>
      <c r="AM210">
        <v>98.412000860000006</v>
      </c>
      <c r="AN210">
        <v>95.76739954</v>
      </c>
      <c r="AO210">
        <v>93.147250040000003</v>
      </c>
      <c r="AP210">
        <v>90.541699219999998</v>
      </c>
      <c r="AQ210">
        <v>87.967114789999997</v>
      </c>
      <c r="AR210">
        <v>85.411703459999998</v>
      </c>
      <c r="AS210">
        <v>83.013330300000007</v>
      </c>
      <c r="AT210">
        <v>80.588989290000001</v>
      </c>
      <c r="AU210">
        <v>78.165957719999994</v>
      </c>
      <c r="AV210">
        <v>75.74232585</v>
      </c>
      <c r="AW210">
        <v>73.346611969999998</v>
      </c>
    </row>
    <row r="211" spans="2:49" x14ac:dyDescent="0.25">
      <c r="B211" t="s">
        <v>512</v>
      </c>
      <c r="C211">
        <v>1.2736350545564401</v>
      </c>
      <c r="D211">
        <v>1.2940836773262701</v>
      </c>
      <c r="E211">
        <v>1.3210359060000001</v>
      </c>
      <c r="F211">
        <v>1.3113661169999999</v>
      </c>
      <c r="G211">
        <v>1.2956716660000001</v>
      </c>
      <c r="H211">
        <v>1.178693252</v>
      </c>
      <c r="I211">
        <v>1.180564859</v>
      </c>
      <c r="J211">
        <v>1.1133944259999999</v>
      </c>
      <c r="K211">
        <v>1.0305946939999999</v>
      </c>
      <c r="L211">
        <v>0.9417181255</v>
      </c>
      <c r="M211">
        <v>0.8610385465</v>
      </c>
      <c r="N211">
        <v>0.77850334659999998</v>
      </c>
      <c r="O211">
        <v>0.67231032319999995</v>
      </c>
      <c r="P211">
        <v>0.59236320060000003</v>
      </c>
      <c r="Q211">
        <v>0.51856873270000003</v>
      </c>
      <c r="R211">
        <v>0.42877603190000002</v>
      </c>
      <c r="S211">
        <v>0.33939343519999998</v>
      </c>
      <c r="T211">
        <v>0.44271166249999999</v>
      </c>
      <c r="U211">
        <v>0.54539850069999996</v>
      </c>
      <c r="V211">
        <v>0.65063856659999997</v>
      </c>
      <c r="W211">
        <v>0.71959125629999998</v>
      </c>
      <c r="X211">
        <v>0.79212297139999999</v>
      </c>
      <c r="Y211">
        <v>0.79335056869999998</v>
      </c>
      <c r="Z211">
        <v>0.79517251550000001</v>
      </c>
      <c r="AA211">
        <v>0.79709071789999997</v>
      </c>
      <c r="AB211">
        <v>0.7980377434</v>
      </c>
      <c r="AC211">
        <v>0.79945528089999995</v>
      </c>
      <c r="AD211">
        <v>0.80418711210000005</v>
      </c>
      <c r="AE211">
        <v>0.80885417739999999</v>
      </c>
      <c r="AF211">
        <v>0.81340404860000004</v>
      </c>
      <c r="AG211">
        <v>0.81867957619999998</v>
      </c>
      <c r="AH211">
        <v>0.82378270350000005</v>
      </c>
      <c r="AI211">
        <v>0.812285484</v>
      </c>
      <c r="AJ211">
        <v>0.80101195849999995</v>
      </c>
      <c r="AK211">
        <v>0.78973271</v>
      </c>
      <c r="AL211">
        <v>0.77846514720000004</v>
      </c>
      <c r="AM211">
        <v>0.76716445710000003</v>
      </c>
      <c r="AN211">
        <v>0.77427289730000004</v>
      </c>
      <c r="AO211">
        <v>0.78112763080000003</v>
      </c>
      <c r="AP211">
        <v>0.78763812980000003</v>
      </c>
      <c r="AQ211">
        <v>0.79393726220000005</v>
      </c>
      <c r="AR211">
        <v>0.79991515739999997</v>
      </c>
      <c r="AS211">
        <v>0.80243863920000003</v>
      </c>
      <c r="AT211">
        <v>0.80461012639999996</v>
      </c>
      <c r="AU211">
        <v>0.80667787710000005</v>
      </c>
      <c r="AV211">
        <v>0.80861344339999996</v>
      </c>
      <c r="AW211">
        <v>0.81072083699999997</v>
      </c>
    </row>
    <row r="212" spans="2:49" x14ac:dyDescent="0.25">
      <c r="B212" t="s">
        <v>513</v>
      </c>
      <c r="C212">
        <v>3.4574974609126801</v>
      </c>
      <c r="D212">
        <v>3.51300870100687</v>
      </c>
      <c r="E212">
        <v>3.5861750790000002</v>
      </c>
      <c r="F212">
        <v>3.7427898800000001</v>
      </c>
      <c r="G212">
        <v>3.8880943989999999</v>
      </c>
      <c r="H212">
        <v>3.7190315960000002</v>
      </c>
      <c r="I212">
        <v>3.916734677</v>
      </c>
      <c r="J212">
        <v>4.0680674650000004</v>
      </c>
      <c r="K212">
        <v>4.1525747559999999</v>
      </c>
      <c r="L212">
        <v>4.1892358500000002</v>
      </c>
      <c r="M212">
        <v>4.2328667319999997</v>
      </c>
      <c r="N212">
        <v>4.2326772850000003</v>
      </c>
      <c r="O212">
        <v>4.4511285389999999</v>
      </c>
      <c r="P212">
        <v>4.8290844030000004</v>
      </c>
      <c r="Q212">
        <v>5.2950727449999997</v>
      </c>
      <c r="R212">
        <v>5.6275162400000003</v>
      </c>
      <c r="S212">
        <v>5.9611367199999998</v>
      </c>
      <c r="T212">
        <v>5.6769858529999997</v>
      </c>
      <c r="U212">
        <v>5.3925308210000003</v>
      </c>
      <c r="V212">
        <v>5.1327217269999998</v>
      </c>
      <c r="W212">
        <v>3.544364163</v>
      </c>
      <c r="X212">
        <v>1.900975791</v>
      </c>
      <c r="Y212">
        <v>1.902494256</v>
      </c>
      <c r="Z212">
        <v>1.9055302359999999</v>
      </c>
      <c r="AA212">
        <v>1.9088911019999999</v>
      </c>
      <c r="AB212">
        <v>1.9107442569999999</v>
      </c>
      <c r="AC212">
        <v>1.9137212830000001</v>
      </c>
      <c r="AD212">
        <v>1.8957182669999999</v>
      </c>
      <c r="AE212">
        <v>1.8782480640000001</v>
      </c>
      <c r="AF212">
        <v>1.861144218</v>
      </c>
      <c r="AG212">
        <v>1.845796054</v>
      </c>
      <c r="AH212">
        <v>1.830628025</v>
      </c>
      <c r="AI212">
        <v>1.819379332</v>
      </c>
      <c r="AJ212">
        <v>1.808112095</v>
      </c>
      <c r="AK212">
        <v>1.7963169109999999</v>
      </c>
      <c r="AL212">
        <v>1.7853703080000001</v>
      </c>
      <c r="AM212">
        <v>1.7738411300000001</v>
      </c>
      <c r="AN212">
        <v>1.764548832</v>
      </c>
      <c r="AO212">
        <v>1.754950217</v>
      </c>
      <c r="AP212">
        <v>1.7448503399999999</v>
      </c>
      <c r="AQ212">
        <v>1.7345531890000001</v>
      </c>
      <c r="AR212">
        <v>1.7238232330000001</v>
      </c>
      <c r="AS212">
        <v>2.3520847470000001</v>
      </c>
      <c r="AT212">
        <v>2.9706725729999999</v>
      </c>
      <c r="AU212">
        <v>3.5799685239999999</v>
      </c>
      <c r="AV212">
        <v>4.1796793430000001</v>
      </c>
      <c r="AW212">
        <v>4.7713937079999997</v>
      </c>
    </row>
    <row r="213" spans="2:49" x14ac:dyDescent="0.25">
      <c r="B213" t="s">
        <v>514</v>
      </c>
      <c r="C213">
        <v>5.0750954082325404</v>
      </c>
      <c r="D213">
        <v>5.1565777065978304</v>
      </c>
      <c r="E213">
        <v>5.2639751380000002</v>
      </c>
      <c r="F213">
        <v>5.078583031</v>
      </c>
      <c r="G213">
        <v>4.8767776219999996</v>
      </c>
      <c r="H213">
        <v>4.3117957469999997</v>
      </c>
      <c r="I213">
        <v>4.1972672800000002</v>
      </c>
      <c r="J213">
        <v>4.1089872459999999</v>
      </c>
      <c r="K213">
        <v>3.9534789090000002</v>
      </c>
      <c r="L213">
        <v>3.7594281839999999</v>
      </c>
      <c r="M213">
        <v>3.5806081299999999</v>
      </c>
      <c r="N213">
        <v>3.375082988</v>
      </c>
      <c r="O213">
        <v>2.8088150359999999</v>
      </c>
      <c r="P213">
        <v>2.3552220030000002</v>
      </c>
      <c r="Q213">
        <v>1.9222641540000001</v>
      </c>
      <c r="R213">
        <v>1.427278407</v>
      </c>
      <c r="S213">
        <v>0.93538426279999998</v>
      </c>
      <c r="T213">
        <v>0.89093076380000003</v>
      </c>
      <c r="U213">
        <v>0.84635741360000005</v>
      </c>
      <c r="V213">
        <v>0.8055805721</v>
      </c>
      <c r="W213">
        <v>0.55412079469999997</v>
      </c>
      <c r="X213">
        <v>0.29079667129999998</v>
      </c>
      <c r="Y213">
        <v>0.29344766589999999</v>
      </c>
      <c r="Z213">
        <v>0.2963712932</v>
      </c>
      <c r="AA213">
        <v>0.29938720880000003</v>
      </c>
      <c r="AB213">
        <v>0.30198216459999999</v>
      </c>
      <c r="AC213">
        <v>0.30479775640000001</v>
      </c>
      <c r="AD213">
        <v>0.30269455439999998</v>
      </c>
      <c r="AE213">
        <v>0.30068142720000002</v>
      </c>
      <c r="AF213">
        <v>0.29873232020000001</v>
      </c>
      <c r="AG213">
        <v>0.29699914179999998</v>
      </c>
      <c r="AH213">
        <v>0.29530073369999998</v>
      </c>
      <c r="AI213">
        <v>0.29430292149999998</v>
      </c>
      <c r="AJ213">
        <v>0.29330790839999998</v>
      </c>
      <c r="AK213">
        <v>0.29223294630000002</v>
      </c>
      <c r="AL213">
        <v>0.29124644729999999</v>
      </c>
      <c r="AM213">
        <v>0.29016984670000001</v>
      </c>
      <c r="AN213">
        <v>0.2895240362</v>
      </c>
      <c r="AO213">
        <v>0.2888325229</v>
      </c>
      <c r="AP213">
        <v>0.28806275549999999</v>
      </c>
      <c r="AQ213">
        <v>0.28726439520000002</v>
      </c>
      <c r="AR213">
        <v>0.28639808719999998</v>
      </c>
      <c r="AS213">
        <v>0.2862590572</v>
      </c>
      <c r="AT213">
        <v>0.28599991409999997</v>
      </c>
      <c r="AU213">
        <v>0.28570983799999999</v>
      </c>
      <c r="AV213">
        <v>0.2853790772</v>
      </c>
      <c r="AW213">
        <v>0.28511493519999997</v>
      </c>
    </row>
    <row r="214" spans="2:49" x14ac:dyDescent="0.25">
      <c r="B214" t="s">
        <v>515</v>
      </c>
      <c r="C214">
        <v>0.35516190417563898</v>
      </c>
      <c r="D214">
        <v>0.36086414342755202</v>
      </c>
      <c r="E214">
        <v>0.36837995810000002</v>
      </c>
      <c r="F214">
        <v>0.78418168330000004</v>
      </c>
      <c r="G214">
        <v>1.183142371</v>
      </c>
      <c r="H214">
        <v>1.4389789820000001</v>
      </c>
      <c r="I214">
        <v>1.7899502039999999</v>
      </c>
      <c r="J214">
        <v>2.1193386539999999</v>
      </c>
      <c r="K214">
        <v>2.3703721400000002</v>
      </c>
      <c r="L214">
        <v>2.5317209159999998</v>
      </c>
      <c r="M214">
        <v>2.61917701</v>
      </c>
      <c r="N214">
        <v>2.5844070079999999</v>
      </c>
      <c r="O214">
        <v>2.7472634839999999</v>
      </c>
      <c r="P214">
        <v>3.0097415650000001</v>
      </c>
      <c r="Q214">
        <v>3.3297394169999999</v>
      </c>
      <c r="R214">
        <v>3.5680928650000001</v>
      </c>
      <c r="S214">
        <v>3.808802021</v>
      </c>
      <c r="T214">
        <v>3.9789814589999999</v>
      </c>
      <c r="U214">
        <v>4.1488265770000003</v>
      </c>
      <c r="V214">
        <v>4.339486204</v>
      </c>
      <c r="W214">
        <v>5.0037118300000003</v>
      </c>
      <c r="X214">
        <v>5.6912931349999996</v>
      </c>
      <c r="Y214">
        <v>6.1315379989999999</v>
      </c>
      <c r="Z214">
        <v>6.585868456</v>
      </c>
      <c r="AA214">
        <v>7.0511686310000004</v>
      </c>
      <c r="AB214">
        <v>7.3888507460000001</v>
      </c>
      <c r="AC214">
        <v>7.7371642859999996</v>
      </c>
      <c r="AD214">
        <v>8.1251798599999905</v>
      </c>
      <c r="AE214">
        <v>8.5085489550000002</v>
      </c>
      <c r="AF214">
        <v>8.8871362999999999</v>
      </c>
      <c r="AG214">
        <v>9.280577503</v>
      </c>
      <c r="AH214">
        <v>9.6690766420000003</v>
      </c>
      <c r="AI214">
        <v>10.08243579</v>
      </c>
      <c r="AJ214">
        <v>10.4919647</v>
      </c>
      <c r="AK214">
        <v>10.89475994</v>
      </c>
      <c r="AL214">
        <v>11.3088853</v>
      </c>
      <c r="AM214">
        <v>11.71553336</v>
      </c>
      <c r="AN214">
        <v>12.13478946</v>
      </c>
      <c r="AO214">
        <v>12.54928241</v>
      </c>
      <c r="AP214">
        <v>12.95742508</v>
      </c>
      <c r="AQ214">
        <v>13.361254069999999</v>
      </c>
      <c r="AR214">
        <v>13.75883265</v>
      </c>
      <c r="AS214">
        <v>14.16661568</v>
      </c>
      <c r="AT214">
        <v>14.56758479</v>
      </c>
      <c r="AU214">
        <v>14.96590151</v>
      </c>
      <c r="AV214">
        <v>15.36091832</v>
      </c>
      <c r="AW214">
        <v>15.75840112</v>
      </c>
    </row>
    <row r="215" spans="2:49" x14ac:dyDescent="0.25">
      <c r="B215" t="s">
        <v>516</v>
      </c>
      <c r="C215">
        <v>7.99114284395189E-2</v>
      </c>
      <c r="D215">
        <v>8.1194432271199296E-2</v>
      </c>
      <c r="E215">
        <v>8.28854906E-2</v>
      </c>
      <c r="F215">
        <v>0.11307033330000001</v>
      </c>
      <c r="G215">
        <v>0.1534937656</v>
      </c>
      <c r="H215">
        <v>0.19181385349999999</v>
      </c>
      <c r="I215">
        <v>0.26385595220000002</v>
      </c>
      <c r="J215">
        <v>0.36283524280000001</v>
      </c>
      <c r="K215">
        <v>0.48931903580000002</v>
      </c>
      <c r="L215">
        <v>0.6509922038</v>
      </c>
      <c r="M215">
        <v>0.86612096729999999</v>
      </c>
      <c r="N215">
        <v>1.1389614219999999</v>
      </c>
      <c r="O215">
        <v>1.2107331059999999</v>
      </c>
      <c r="P215">
        <v>1.326408542</v>
      </c>
      <c r="Q215">
        <v>1.4674332370000001</v>
      </c>
      <c r="R215">
        <v>1.5724768229999999</v>
      </c>
      <c r="S215">
        <v>1.678558583</v>
      </c>
      <c r="T215">
        <v>1.729456807</v>
      </c>
      <c r="U215">
        <v>1.780279669</v>
      </c>
      <c r="V215">
        <v>1.839991318</v>
      </c>
      <c r="W215">
        <v>2.077520056</v>
      </c>
      <c r="X215">
        <v>2.323414482</v>
      </c>
      <c r="Y215">
        <v>2.5190271449999999</v>
      </c>
      <c r="Z215">
        <v>2.7207455230000002</v>
      </c>
      <c r="AA215">
        <v>2.9273144289999999</v>
      </c>
      <c r="AB215">
        <v>3.1370902389999999</v>
      </c>
      <c r="AC215">
        <v>3.352647019</v>
      </c>
      <c r="AD215">
        <v>3.753181793</v>
      </c>
      <c r="AE215">
        <v>4.1473845020000004</v>
      </c>
      <c r="AF215">
        <v>4.5354911710000003</v>
      </c>
      <c r="AG215">
        <v>4.9375407930000001</v>
      </c>
      <c r="AH215">
        <v>5.3337594949999998</v>
      </c>
      <c r="AI215">
        <v>5.749391149</v>
      </c>
      <c r="AJ215">
        <v>6.1607934289999999</v>
      </c>
      <c r="AK215">
        <v>6.5662910610000003</v>
      </c>
      <c r="AL215">
        <v>6.9836249549999998</v>
      </c>
      <c r="AM215">
        <v>7.3944942710000001</v>
      </c>
      <c r="AN215">
        <v>7.8190764599999998</v>
      </c>
      <c r="AO215">
        <v>8.2393583419999903</v>
      </c>
      <c r="AP215">
        <v>8.6542432359999903</v>
      </c>
      <c r="AQ215">
        <v>9.065030986</v>
      </c>
      <c r="AR215">
        <v>9.4703777539999905</v>
      </c>
      <c r="AS215">
        <v>9.6942848730000009</v>
      </c>
      <c r="AT215">
        <v>9.9136604080000001</v>
      </c>
      <c r="AU215">
        <v>10.13138554</v>
      </c>
      <c r="AV215">
        <v>10.34703902</v>
      </c>
      <c r="AW215">
        <v>10.56450587</v>
      </c>
    </row>
    <row r="216" spans="2:49" x14ac:dyDescent="0.25">
      <c r="B216" t="s">
        <v>517</v>
      </c>
      <c r="C216">
        <v>4.4799793836545803</v>
      </c>
      <c r="D216">
        <v>4.5519069017495504</v>
      </c>
      <c r="E216">
        <v>4.6467106920000001</v>
      </c>
      <c r="F216">
        <v>4.6134700219999996</v>
      </c>
      <c r="G216">
        <v>4.5585362500000004</v>
      </c>
      <c r="H216">
        <v>4.1468172509999999</v>
      </c>
      <c r="I216">
        <v>4.1528626300000004</v>
      </c>
      <c r="J216">
        <v>4.0744386229999998</v>
      </c>
      <c r="K216">
        <v>3.9278784280000001</v>
      </c>
      <c r="L216">
        <v>3.7419054049999998</v>
      </c>
      <c r="M216">
        <v>3.5703462140000002</v>
      </c>
      <c r="N216">
        <v>3.3716782219999999</v>
      </c>
      <c r="O216">
        <v>3.5889310440000002</v>
      </c>
      <c r="P216">
        <v>3.937053363</v>
      </c>
      <c r="Q216">
        <v>4.3614144369999996</v>
      </c>
      <c r="R216">
        <v>4.6797861310000002</v>
      </c>
      <c r="S216">
        <v>5.0020583179999996</v>
      </c>
      <c r="T216">
        <v>5.2042330400000001</v>
      </c>
      <c r="U216">
        <v>5.4062894620000002</v>
      </c>
      <c r="V216">
        <v>5.635689223</v>
      </c>
      <c r="W216">
        <v>5.7493476790000004</v>
      </c>
      <c r="X216">
        <v>5.8672277890000002</v>
      </c>
      <c r="Y216">
        <v>5.9059922980000001</v>
      </c>
      <c r="Z216">
        <v>5.9500131500000002</v>
      </c>
      <c r="AA216">
        <v>5.9956389699999999</v>
      </c>
      <c r="AB216">
        <v>6.0441665569999996</v>
      </c>
      <c r="AC216">
        <v>6.0970488249999999</v>
      </c>
      <c r="AD216">
        <v>6.0885890260000002</v>
      </c>
      <c r="AE216">
        <v>6.0820856650000001</v>
      </c>
      <c r="AF216">
        <v>6.0770396050000004</v>
      </c>
      <c r="AG216">
        <v>6.0745070639999996</v>
      </c>
      <c r="AH216">
        <v>6.0728586030000002</v>
      </c>
      <c r="AI216">
        <v>6.0802916360000001</v>
      </c>
      <c r="AJ216">
        <v>6.0880017009999996</v>
      </c>
      <c r="AK216">
        <v>6.0942670080000001</v>
      </c>
      <c r="AL216">
        <v>6.1008664389999998</v>
      </c>
      <c r="AM216">
        <v>6.1057613999999996</v>
      </c>
      <c r="AN216">
        <v>6.1109063060000004</v>
      </c>
      <c r="AO216">
        <v>6.1151966150000003</v>
      </c>
      <c r="AP216">
        <v>6.1179330409999997</v>
      </c>
      <c r="AQ216">
        <v>6.1201589859999999</v>
      </c>
      <c r="AR216">
        <v>6.1210284650000002</v>
      </c>
      <c r="AS216">
        <v>6.1229881019999999</v>
      </c>
      <c r="AT216">
        <v>6.1223931159999996</v>
      </c>
      <c r="AU216">
        <v>6.1211479349999998</v>
      </c>
      <c r="AV216">
        <v>6.119041889</v>
      </c>
      <c r="AW216">
        <v>6.1183755289999997</v>
      </c>
    </row>
    <row r="217" spans="2:49" x14ac:dyDescent="0.25">
      <c r="B217" t="s">
        <v>518</v>
      </c>
      <c r="C217">
        <v>1.4169855567767899</v>
      </c>
      <c r="D217">
        <v>1.4397357182278101</v>
      </c>
      <c r="E217">
        <v>1.469721482</v>
      </c>
      <c r="F217">
        <v>1.735331245</v>
      </c>
      <c r="G217">
        <v>2.0391606430000002</v>
      </c>
      <c r="H217">
        <v>2.2060488089999999</v>
      </c>
      <c r="I217">
        <v>2.627372228</v>
      </c>
      <c r="J217">
        <v>2.9336702429999999</v>
      </c>
      <c r="K217">
        <v>3.2132146659999998</v>
      </c>
      <c r="L217">
        <v>3.4724697</v>
      </c>
      <c r="M217">
        <v>3.7531645149999999</v>
      </c>
      <c r="N217">
        <v>4.0095819019999999</v>
      </c>
      <c r="O217">
        <v>3.6500381900000001</v>
      </c>
      <c r="P217">
        <v>3.4303927280000002</v>
      </c>
      <c r="Q217">
        <v>3.2561184110000001</v>
      </c>
      <c r="R217">
        <v>2.9892534500000001</v>
      </c>
      <c r="S217">
        <v>2.7250496279999998</v>
      </c>
      <c r="T217">
        <v>2.8591710360000002</v>
      </c>
      <c r="U217">
        <v>2.9939005710000002</v>
      </c>
      <c r="V217">
        <v>3.1445599390000001</v>
      </c>
      <c r="W217">
        <v>4.0859348100000004</v>
      </c>
      <c r="X217">
        <v>4.8750392229999999</v>
      </c>
      <c r="Y217">
        <v>4.8742125940000003</v>
      </c>
      <c r="Z217">
        <v>4.8581178490000001</v>
      </c>
      <c r="AA217">
        <v>4.8230359710000004</v>
      </c>
      <c r="AB217">
        <v>4.8178303409999996</v>
      </c>
      <c r="AC217">
        <v>4.7990055089999997</v>
      </c>
      <c r="AD217">
        <v>4.7390695909999998</v>
      </c>
      <c r="AE217">
        <v>4.67811105</v>
      </c>
      <c r="AF217">
        <v>4.6157632160000004</v>
      </c>
      <c r="AG217">
        <v>4.5656065220000004</v>
      </c>
      <c r="AH217">
        <v>4.5137480339999998</v>
      </c>
      <c r="AI217">
        <v>4.5816322549999997</v>
      </c>
      <c r="AJ217">
        <v>4.6248249079999999</v>
      </c>
      <c r="AK217">
        <v>4.6424333410000003</v>
      </c>
      <c r="AL217">
        <v>4.6998004660000001</v>
      </c>
      <c r="AM217">
        <v>4.7363797070000002</v>
      </c>
      <c r="AN217">
        <v>4.72054916</v>
      </c>
      <c r="AO217">
        <v>4.7024481580000002</v>
      </c>
      <c r="AP217">
        <v>4.6815680119999996</v>
      </c>
      <c r="AQ217">
        <v>4.6587386180000001</v>
      </c>
      <c r="AR217">
        <v>4.6333437760000002</v>
      </c>
      <c r="AS217">
        <v>4.635429158</v>
      </c>
      <c r="AT217">
        <v>4.6340187610000001</v>
      </c>
      <c r="AU217">
        <v>4.6305606179999996</v>
      </c>
      <c r="AV217">
        <v>4.6249028880000003</v>
      </c>
      <c r="AW217">
        <v>4.6187911509999999</v>
      </c>
    </row>
    <row r="218" spans="2:49" x14ac:dyDescent="0.25">
      <c r="B218" t="s">
        <v>519</v>
      </c>
      <c r="C218">
        <v>34.067295461021303</v>
      </c>
      <c r="D218">
        <v>34.614256909026899</v>
      </c>
      <c r="E218">
        <v>35.359286990000001</v>
      </c>
      <c r="F218">
        <v>35.403080279999998</v>
      </c>
      <c r="G218">
        <v>34.224067310000002</v>
      </c>
      <c r="H218">
        <v>32.561702390000001</v>
      </c>
      <c r="I218">
        <v>33.055666619999997</v>
      </c>
      <c r="J218">
        <v>32.787169509999998</v>
      </c>
      <c r="K218">
        <v>31.347134669999999</v>
      </c>
      <c r="L218">
        <v>30.571736170000001</v>
      </c>
      <c r="M218">
        <v>30.567069549999999</v>
      </c>
      <c r="N218">
        <v>31.124913289999999</v>
      </c>
      <c r="O218">
        <v>31.840809910000001</v>
      </c>
      <c r="P218">
        <v>31.83600564</v>
      </c>
      <c r="Q218">
        <v>30.347653869999998</v>
      </c>
      <c r="R218">
        <v>29.340423680000001</v>
      </c>
      <c r="S218">
        <v>28.664414659999998</v>
      </c>
      <c r="T218">
        <v>27.336777949999998</v>
      </c>
      <c r="U218">
        <v>26.042521189999999</v>
      </c>
      <c r="V218">
        <v>24.829885440000002</v>
      </c>
      <c r="W218">
        <v>26.071402280000001</v>
      </c>
      <c r="X218">
        <v>27.246531959999999</v>
      </c>
      <c r="Y218">
        <v>27.098888680000002</v>
      </c>
      <c r="Z218">
        <v>27.069804739999999</v>
      </c>
      <c r="AA218">
        <v>27.106567699999999</v>
      </c>
      <c r="AB218">
        <v>27.191288740000001</v>
      </c>
      <c r="AC218">
        <v>27.32752619</v>
      </c>
      <c r="AD218">
        <v>27.27970453</v>
      </c>
      <c r="AE218">
        <v>27.234341700000002</v>
      </c>
      <c r="AF218">
        <v>27.18747664</v>
      </c>
      <c r="AG218">
        <v>27.150170070000001</v>
      </c>
      <c r="AH218">
        <v>27.1255107</v>
      </c>
      <c r="AI218">
        <v>27.208808810000001</v>
      </c>
      <c r="AJ218">
        <v>27.295110990000001</v>
      </c>
      <c r="AK218">
        <v>27.38833777</v>
      </c>
      <c r="AL218">
        <v>27.480931900000002</v>
      </c>
      <c r="AM218">
        <v>27.573093449999998</v>
      </c>
      <c r="AN218">
        <v>27.5034697</v>
      </c>
      <c r="AO218">
        <v>27.43646854</v>
      </c>
      <c r="AP218">
        <v>27.357484299999999</v>
      </c>
      <c r="AQ218">
        <v>27.269929009999998</v>
      </c>
      <c r="AR218">
        <v>27.169087919999999</v>
      </c>
      <c r="AS218">
        <v>27.049649389999999</v>
      </c>
      <c r="AT218">
        <v>26.92361107</v>
      </c>
      <c r="AU218">
        <v>26.78765027</v>
      </c>
      <c r="AV218">
        <v>26.64218709</v>
      </c>
      <c r="AW218">
        <v>26.49708618</v>
      </c>
    </row>
    <row r="219" spans="2:49" x14ac:dyDescent="0.25">
      <c r="B219" t="s">
        <v>520</v>
      </c>
      <c r="C219">
        <v>1.54983431156195</v>
      </c>
      <c r="D219">
        <v>1.57471740274219</v>
      </c>
      <c r="E219">
        <v>1.6086112930000001</v>
      </c>
      <c r="F219">
        <v>2.645540338</v>
      </c>
      <c r="G219">
        <v>3.5527501400000001</v>
      </c>
      <c r="H219">
        <v>4.3113839140000003</v>
      </c>
      <c r="I219">
        <v>5.2912877969999998</v>
      </c>
      <c r="J219">
        <v>6.0966236279999997</v>
      </c>
      <c r="K219">
        <v>6.5642731870000004</v>
      </c>
      <c r="L219">
        <v>7.0131119689999997</v>
      </c>
      <c r="M219">
        <v>7.4745659260000004</v>
      </c>
      <c r="N219">
        <v>7.8734087690000001</v>
      </c>
      <c r="O219">
        <v>8.2024200109999903</v>
      </c>
      <c r="P219">
        <v>8.3506645230000007</v>
      </c>
      <c r="Q219">
        <v>8.1042927030000005</v>
      </c>
      <c r="R219">
        <v>7.976060994</v>
      </c>
      <c r="S219">
        <v>7.9312811950000004</v>
      </c>
      <c r="T219">
        <v>8.0971548070000008</v>
      </c>
      <c r="U219">
        <v>8.2804340449999998</v>
      </c>
      <c r="V219">
        <v>8.5013035539999997</v>
      </c>
      <c r="W219">
        <v>8.5599590269999997</v>
      </c>
      <c r="X219">
        <v>8.61646073</v>
      </c>
      <c r="Y219">
        <v>8.7661986180000007</v>
      </c>
      <c r="Z219">
        <v>8.9574549589999997</v>
      </c>
      <c r="AA219">
        <v>9.1751625440000009</v>
      </c>
      <c r="AB219">
        <v>9.4179179069999996</v>
      </c>
      <c r="AC219">
        <v>9.6853233379999999</v>
      </c>
      <c r="AD219">
        <v>9.8862819139999996</v>
      </c>
      <c r="AE219">
        <v>10.090215690000001</v>
      </c>
      <c r="AF219">
        <v>10.29572536</v>
      </c>
      <c r="AG219">
        <v>10.50967054</v>
      </c>
      <c r="AH219">
        <v>10.73106655</v>
      </c>
      <c r="AI219">
        <v>10.838154149999999</v>
      </c>
      <c r="AJ219">
        <v>10.94726631</v>
      </c>
      <c r="AK219">
        <v>11.060016989999999</v>
      </c>
      <c r="AL219">
        <v>11.173797609999999</v>
      </c>
      <c r="AM219">
        <v>11.28832023</v>
      </c>
      <c r="AN219">
        <v>11.377926950000001</v>
      </c>
      <c r="AO219">
        <v>11.469335429999999</v>
      </c>
      <c r="AP219">
        <v>11.55642211</v>
      </c>
      <c r="AQ219">
        <v>11.64049616</v>
      </c>
      <c r="AR219">
        <v>11.71941923</v>
      </c>
      <c r="AS219">
        <v>11.7442767</v>
      </c>
      <c r="AT219">
        <v>11.766838119999999</v>
      </c>
      <c r="AU219">
        <v>11.7855986</v>
      </c>
      <c r="AV219">
        <v>11.80067017</v>
      </c>
      <c r="AW219">
        <v>11.81637924</v>
      </c>
    </row>
    <row r="220" spans="2:49" x14ac:dyDescent="0.25">
      <c r="B220" t="s">
        <v>521</v>
      </c>
      <c r="C220">
        <v>0.19372928894524399</v>
      </c>
      <c r="D220">
        <v>0.196839675342774</v>
      </c>
      <c r="E220">
        <v>0.20107641170000001</v>
      </c>
      <c r="F220">
        <v>0.19521040200000001</v>
      </c>
      <c r="G220">
        <v>0.1829775491</v>
      </c>
      <c r="H220">
        <v>0.16880199139999999</v>
      </c>
      <c r="I220">
        <v>0.1661577726</v>
      </c>
      <c r="J220">
        <v>0.1595796998</v>
      </c>
      <c r="K220">
        <v>0.14772073429999999</v>
      </c>
      <c r="L220">
        <v>0.13947718179999999</v>
      </c>
      <c r="M220">
        <v>0.13500332670000001</v>
      </c>
      <c r="N220">
        <v>0.1330678381</v>
      </c>
      <c r="O220">
        <v>0.20580874939999999</v>
      </c>
      <c r="P220">
        <v>0.27625535649999999</v>
      </c>
      <c r="Q220">
        <v>0.33130338349999999</v>
      </c>
      <c r="R220">
        <v>0.38677940389999999</v>
      </c>
      <c r="S220">
        <v>0.44356504749999998</v>
      </c>
      <c r="T220">
        <v>0.68700526340000001</v>
      </c>
      <c r="U220">
        <v>0.93522336719999999</v>
      </c>
      <c r="V220">
        <v>1.1923584979999999</v>
      </c>
      <c r="W220">
        <v>0.86559355169999996</v>
      </c>
      <c r="X220">
        <v>0.55738077770000005</v>
      </c>
      <c r="Y220">
        <v>0.5597324333</v>
      </c>
      <c r="Z220">
        <v>0.56461900750000005</v>
      </c>
      <c r="AA220">
        <v>0.57100597310000001</v>
      </c>
      <c r="AB220">
        <v>0.57855883070000003</v>
      </c>
      <c r="AC220">
        <v>0.58739079699999996</v>
      </c>
      <c r="AD220">
        <v>0.61416389449999997</v>
      </c>
      <c r="AE220">
        <v>0.64125862209999995</v>
      </c>
      <c r="AF220">
        <v>0.66859042499999999</v>
      </c>
      <c r="AG220">
        <v>0.69676121680000003</v>
      </c>
      <c r="AH220">
        <v>0.72558282500000004</v>
      </c>
      <c r="AI220">
        <v>0.75951241290000004</v>
      </c>
      <c r="AJ220">
        <v>0.79388224949999997</v>
      </c>
      <c r="AK220">
        <v>0.82882417799999997</v>
      </c>
      <c r="AL220">
        <v>0.86472742550000004</v>
      </c>
      <c r="AM220">
        <v>0.90101732909999999</v>
      </c>
      <c r="AN220">
        <v>0.93073034769999996</v>
      </c>
      <c r="AO220">
        <v>0.96072769680000003</v>
      </c>
      <c r="AP220">
        <v>0.9904930958</v>
      </c>
      <c r="AQ220">
        <v>1.0201142999999999</v>
      </c>
      <c r="AR220">
        <v>1.049380872</v>
      </c>
      <c r="AS220">
        <v>1.07328084</v>
      </c>
      <c r="AT220">
        <v>1.0971317229999999</v>
      </c>
      <c r="AU220">
        <v>1.12077845</v>
      </c>
      <c r="AV220">
        <v>1.1442114249999999</v>
      </c>
      <c r="AW220">
        <v>1.1678382629999999</v>
      </c>
    </row>
    <row r="221" spans="2:49" x14ac:dyDescent="0.25">
      <c r="B221" t="s">
        <v>522</v>
      </c>
      <c r="C221">
        <v>0.71679836909740502</v>
      </c>
      <c r="D221">
        <v>0.72830679876826598</v>
      </c>
      <c r="E221">
        <v>0.74398272320000003</v>
      </c>
      <c r="F221">
        <v>0.73699812470000003</v>
      </c>
      <c r="G221">
        <v>0.70489257490000001</v>
      </c>
      <c r="H221">
        <v>0.66353585979999996</v>
      </c>
      <c r="I221">
        <v>0.66645249370000004</v>
      </c>
      <c r="J221">
        <v>0.66727960990000001</v>
      </c>
      <c r="K221">
        <v>0.64511287559999997</v>
      </c>
      <c r="L221">
        <v>0.63736647280000003</v>
      </c>
      <c r="M221">
        <v>0.6468368739</v>
      </c>
      <c r="N221">
        <v>0.66989003530000002</v>
      </c>
      <c r="O221">
        <v>0.97235890989999996</v>
      </c>
      <c r="P221">
        <v>1.2376578030000001</v>
      </c>
      <c r="Q221">
        <v>1.4118956650000001</v>
      </c>
      <c r="R221">
        <v>1.5688217330000001</v>
      </c>
      <c r="S221">
        <v>1.711267184</v>
      </c>
      <c r="T221">
        <v>1.757983547</v>
      </c>
      <c r="U221">
        <v>1.8077539659999999</v>
      </c>
      <c r="V221">
        <v>1.8650415339999999</v>
      </c>
      <c r="W221">
        <v>1.466410521</v>
      </c>
      <c r="X221">
        <v>1.0856695030000001</v>
      </c>
      <c r="Y221">
        <v>1.0887693140000001</v>
      </c>
      <c r="Z221">
        <v>1.096775847</v>
      </c>
      <c r="AA221">
        <v>1.1076619480000001</v>
      </c>
      <c r="AB221">
        <v>1.120563631</v>
      </c>
      <c r="AC221">
        <v>1.13588986</v>
      </c>
      <c r="AD221">
        <v>1.136441375</v>
      </c>
      <c r="AE221">
        <v>1.1371259199999999</v>
      </c>
      <c r="AF221">
        <v>1.1377789949999999</v>
      </c>
      <c r="AG221">
        <v>1.1389708009999999</v>
      </c>
      <c r="AH221">
        <v>1.140730381</v>
      </c>
      <c r="AI221">
        <v>1.1445111910000001</v>
      </c>
      <c r="AJ221">
        <v>1.1484236160000001</v>
      </c>
      <c r="AK221">
        <v>1.1526328050000001</v>
      </c>
      <c r="AL221">
        <v>1.156917725</v>
      </c>
      <c r="AM221">
        <v>1.161191401</v>
      </c>
      <c r="AN221">
        <v>1.1625905860000001</v>
      </c>
      <c r="AO221">
        <v>1.164128276</v>
      </c>
      <c r="AP221">
        <v>1.1651841080000001</v>
      </c>
      <c r="AQ221">
        <v>1.1658985669999999</v>
      </c>
      <c r="AR221">
        <v>1.1660654699999999</v>
      </c>
      <c r="AS221">
        <v>1.1691355329999999</v>
      </c>
      <c r="AT221">
        <v>1.1719821130000001</v>
      </c>
      <c r="AU221">
        <v>1.174454925</v>
      </c>
      <c r="AV221">
        <v>1.1765645810000001</v>
      </c>
      <c r="AW221">
        <v>1.1787421140000001</v>
      </c>
    </row>
    <row r="222" spans="2:49" x14ac:dyDescent="0.25">
      <c r="B222" t="s">
        <v>523</v>
      </c>
      <c r="C222">
        <v>0.19372928894524399</v>
      </c>
      <c r="D222">
        <v>0.196839675342774</v>
      </c>
      <c r="E222">
        <v>0.20107641170000001</v>
      </c>
      <c r="F222">
        <v>0.20706667030000001</v>
      </c>
      <c r="G222">
        <v>0.2058791157</v>
      </c>
      <c r="H222">
        <v>0.20146485619999999</v>
      </c>
      <c r="I222">
        <v>0.21035344950000001</v>
      </c>
      <c r="J222">
        <v>0.21429590109999999</v>
      </c>
      <c r="K222">
        <v>0.21041898549999999</v>
      </c>
      <c r="L222">
        <v>0.21074334659999999</v>
      </c>
      <c r="M222">
        <v>0.21637267939999999</v>
      </c>
      <c r="N222">
        <v>0.2262238026</v>
      </c>
      <c r="O222">
        <v>0.27041142470000001</v>
      </c>
      <c r="P222">
        <v>0.30979850869999997</v>
      </c>
      <c r="Q222">
        <v>0.33333396259999998</v>
      </c>
      <c r="R222">
        <v>0.35945283690000002</v>
      </c>
      <c r="S222">
        <v>0.38791739289999999</v>
      </c>
      <c r="T222">
        <v>0.45905963220000001</v>
      </c>
      <c r="U222">
        <v>0.53207721720000001</v>
      </c>
      <c r="V222">
        <v>0.60876764969999997</v>
      </c>
      <c r="W222">
        <v>0.48010353220000002</v>
      </c>
      <c r="X222">
        <v>0.3587631557</v>
      </c>
      <c r="Y222">
        <v>0.36462659870000003</v>
      </c>
      <c r="Z222">
        <v>0.37221111060000001</v>
      </c>
      <c r="AA222">
        <v>0.38088630950000002</v>
      </c>
      <c r="AB222">
        <v>0.3904424957</v>
      </c>
      <c r="AC222">
        <v>0.40100438249999998</v>
      </c>
      <c r="AD222">
        <v>0.4018928866</v>
      </c>
      <c r="AE222">
        <v>0.40283263139999997</v>
      </c>
      <c r="AF222">
        <v>0.4037655228</v>
      </c>
      <c r="AG222">
        <v>0.40490795229999998</v>
      </c>
      <c r="AH222">
        <v>0.40625781859999999</v>
      </c>
      <c r="AI222">
        <v>0.40825281870000002</v>
      </c>
      <c r="AJ222">
        <v>0.41030105950000001</v>
      </c>
      <c r="AK222">
        <v>0.41246189059999999</v>
      </c>
      <c r="AL222">
        <v>0.41468219029999998</v>
      </c>
      <c r="AM222">
        <v>0.41690569900000002</v>
      </c>
      <c r="AN222">
        <v>0.41821062860000002</v>
      </c>
      <c r="AO222">
        <v>0.41956961720000002</v>
      </c>
      <c r="AP222">
        <v>0.42075895000000002</v>
      </c>
      <c r="AQ222">
        <v>0.4218284658</v>
      </c>
      <c r="AR222">
        <v>0.42270272180000001</v>
      </c>
      <c r="AS222">
        <v>0.42435962230000002</v>
      </c>
      <c r="AT222">
        <v>0.42593919730000002</v>
      </c>
      <c r="AU222">
        <v>0.42738645559999999</v>
      </c>
      <c r="AV222">
        <v>0.42870474920000001</v>
      </c>
      <c r="AW222">
        <v>0.43005083449999998</v>
      </c>
    </row>
    <row r="223" spans="2:49" x14ac:dyDescent="0.25">
      <c r="B223" t="s">
        <v>524</v>
      </c>
      <c r="C223">
        <v>0.38745857789048899</v>
      </c>
      <c r="D223">
        <v>0.39367935068554899</v>
      </c>
      <c r="E223">
        <v>0.40215282340000003</v>
      </c>
      <c r="F223">
        <v>0.53057511420000003</v>
      </c>
      <c r="G223">
        <v>0.67585829939999997</v>
      </c>
      <c r="H223">
        <v>0.84732366459999997</v>
      </c>
      <c r="I223">
        <v>1.133460412</v>
      </c>
      <c r="J223">
        <v>1.4793715519999999</v>
      </c>
      <c r="K223">
        <v>1.8610369760000001</v>
      </c>
      <c r="L223">
        <v>2.3879797109999998</v>
      </c>
      <c r="M223">
        <v>3.1411296630000001</v>
      </c>
      <c r="N223">
        <v>4.2075416099999998</v>
      </c>
      <c r="O223">
        <v>4.0378364250000001</v>
      </c>
      <c r="P223">
        <v>3.7676165620000002</v>
      </c>
      <c r="Q223">
        <v>3.3314110270000001</v>
      </c>
      <c r="R223">
        <v>2.966407652</v>
      </c>
      <c r="S223">
        <v>2.6465192900000001</v>
      </c>
      <c r="T223">
        <v>3.165927215</v>
      </c>
      <c r="U223">
        <v>3.6986826449999999</v>
      </c>
      <c r="V223">
        <v>4.2574865339999999</v>
      </c>
      <c r="W223">
        <v>3.6922115959999999</v>
      </c>
      <c r="X223">
        <v>3.1593265599999998</v>
      </c>
      <c r="Y223">
        <v>3.339048703</v>
      </c>
      <c r="Z223">
        <v>3.5365607680000002</v>
      </c>
      <c r="AA223">
        <v>3.7473568899999998</v>
      </c>
      <c r="AB223">
        <v>3.9790187750000001</v>
      </c>
      <c r="AC223">
        <v>4.2252204989999997</v>
      </c>
      <c r="AD223">
        <v>4.384999058</v>
      </c>
      <c r="AE223">
        <v>4.5467735960000004</v>
      </c>
      <c r="AF223">
        <v>4.7099351990000002</v>
      </c>
      <c r="AG223">
        <v>4.8837077280000001</v>
      </c>
      <c r="AH223">
        <v>5.0617763739999999</v>
      </c>
      <c r="AI223">
        <v>5.1782003100000003</v>
      </c>
      <c r="AJ223">
        <v>5.2963283959999998</v>
      </c>
      <c r="AK223">
        <v>5.4169780300000001</v>
      </c>
      <c r="AL223">
        <v>5.542322339</v>
      </c>
      <c r="AM223">
        <v>5.6688719030000003</v>
      </c>
      <c r="AN223">
        <v>5.7774356420000004</v>
      </c>
      <c r="AO223">
        <v>5.8873001079999998</v>
      </c>
      <c r="AP223">
        <v>5.9953126110000001</v>
      </c>
      <c r="AQ223">
        <v>6.1020834429999997</v>
      </c>
      <c r="AR223">
        <v>6.2064267219999998</v>
      </c>
      <c r="AS223">
        <v>6.3605628300000001</v>
      </c>
      <c r="AT223">
        <v>6.514500935</v>
      </c>
      <c r="AU223">
        <v>6.6673119060000001</v>
      </c>
      <c r="AV223">
        <v>6.8189274070000003</v>
      </c>
      <c r="AW223">
        <v>6.9717701630000004</v>
      </c>
    </row>
    <row r="224" spans="2:49" x14ac:dyDescent="0.25">
      <c r="B224" t="s">
        <v>525</v>
      </c>
      <c r="C224">
        <v>34.067295461021303</v>
      </c>
      <c r="D224">
        <v>34.614256909026899</v>
      </c>
      <c r="E224">
        <v>35.359286990000001</v>
      </c>
      <c r="F224">
        <v>35.403080279999998</v>
      </c>
      <c r="G224">
        <v>34.224067310000002</v>
      </c>
      <c r="H224">
        <v>32.561702390000001</v>
      </c>
      <c r="I224">
        <v>33.055666619999997</v>
      </c>
      <c r="J224">
        <v>32.787169509999998</v>
      </c>
      <c r="K224">
        <v>31.347134669999999</v>
      </c>
      <c r="L224">
        <v>30.571736170000001</v>
      </c>
      <c r="M224">
        <v>30.567069549999999</v>
      </c>
      <c r="N224">
        <v>31.124913289999999</v>
      </c>
      <c r="O224">
        <v>31.840809910000001</v>
      </c>
      <c r="P224">
        <v>31.83600564</v>
      </c>
      <c r="Q224">
        <v>30.347653869999998</v>
      </c>
      <c r="R224">
        <v>29.340423680000001</v>
      </c>
      <c r="S224">
        <v>28.664414659999998</v>
      </c>
      <c r="T224">
        <v>27.336777949999998</v>
      </c>
      <c r="U224">
        <v>26.042521189999999</v>
      </c>
      <c r="V224">
        <v>24.829885440000002</v>
      </c>
      <c r="W224">
        <v>26.071402280000001</v>
      </c>
      <c r="X224">
        <v>27.246531959999999</v>
      </c>
      <c r="Y224">
        <v>27.098888680000002</v>
      </c>
      <c r="Z224">
        <v>27.069804739999999</v>
      </c>
      <c r="AA224">
        <v>27.106567699999999</v>
      </c>
      <c r="AB224">
        <v>27.191288740000001</v>
      </c>
      <c r="AC224">
        <v>27.32752619</v>
      </c>
      <c r="AD224">
        <v>27.27970453</v>
      </c>
      <c r="AE224">
        <v>27.234341700000002</v>
      </c>
      <c r="AF224">
        <v>27.18747664</v>
      </c>
      <c r="AG224">
        <v>27.150170070000001</v>
      </c>
      <c r="AH224">
        <v>27.1255107</v>
      </c>
      <c r="AI224">
        <v>27.208808810000001</v>
      </c>
      <c r="AJ224">
        <v>27.295110990000001</v>
      </c>
      <c r="AK224">
        <v>27.38833777</v>
      </c>
      <c r="AL224">
        <v>27.480931900000002</v>
      </c>
      <c r="AM224">
        <v>27.573093449999998</v>
      </c>
      <c r="AN224">
        <v>27.5034697</v>
      </c>
      <c r="AO224">
        <v>27.43646854</v>
      </c>
      <c r="AP224">
        <v>27.357484299999999</v>
      </c>
      <c r="AQ224">
        <v>27.269929009999998</v>
      </c>
      <c r="AR224">
        <v>27.169087919999999</v>
      </c>
      <c r="AS224">
        <v>27.049649389999999</v>
      </c>
      <c r="AT224">
        <v>26.92361107</v>
      </c>
      <c r="AU224">
        <v>26.78765027</v>
      </c>
      <c r="AV224">
        <v>26.64218709</v>
      </c>
      <c r="AW224">
        <v>26.49708618</v>
      </c>
    </row>
    <row r="225" spans="2:49" x14ac:dyDescent="0.25">
      <c r="B225" t="s">
        <v>526</v>
      </c>
      <c r="C225">
        <v>1.54983431156195</v>
      </c>
      <c r="D225">
        <v>1.57471740274219</v>
      </c>
      <c r="E225">
        <v>1.6086112930000001</v>
      </c>
      <c r="F225">
        <v>2.645540338</v>
      </c>
      <c r="G225">
        <v>3.5527501400000001</v>
      </c>
      <c r="H225">
        <v>4.3113839140000003</v>
      </c>
      <c r="I225">
        <v>5.2912877969999998</v>
      </c>
      <c r="J225">
        <v>6.0966236279999997</v>
      </c>
      <c r="K225">
        <v>6.5642731870000004</v>
      </c>
      <c r="L225">
        <v>7.0131119689999997</v>
      </c>
      <c r="M225">
        <v>7.4745659260000004</v>
      </c>
      <c r="N225">
        <v>7.8734087690000001</v>
      </c>
      <c r="O225">
        <v>8.2024200109999903</v>
      </c>
      <c r="P225">
        <v>8.3506645230000007</v>
      </c>
      <c r="Q225">
        <v>8.1042927030000005</v>
      </c>
      <c r="R225">
        <v>7.976060994</v>
      </c>
      <c r="S225">
        <v>7.9312811950000004</v>
      </c>
      <c r="T225">
        <v>8.0971548070000008</v>
      </c>
      <c r="U225">
        <v>8.2804340449999998</v>
      </c>
      <c r="V225">
        <v>8.5013035539999997</v>
      </c>
      <c r="W225">
        <v>8.5599590269999997</v>
      </c>
      <c r="X225">
        <v>8.61646073</v>
      </c>
      <c r="Y225">
        <v>8.7661986180000007</v>
      </c>
      <c r="Z225">
        <v>8.9574549589999997</v>
      </c>
      <c r="AA225">
        <v>9.1751625440000009</v>
      </c>
      <c r="AB225">
        <v>9.4179179069999996</v>
      </c>
      <c r="AC225">
        <v>9.6853233379999999</v>
      </c>
      <c r="AD225">
        <v>9.8862819139999996</v>
      </c>
      <c r="AE225">
        <v>10.090215690000001</v>
      </c>
      <c r="AF225">
        <v>10.29572536</v>
      </c>
      <c r="AG225">
        <v>10.50967054</v>
      </c>
      <c r="AH225">
        <v>10.73106655</v>
      </c>
      <c r="AI225">
        <v>10.838154149999999</v>
      </c>
      <c r="AJ225">
        <v>10.94726631</v>
      </c>
      <c r="AK225">
        <v>11.060016989999999</v>
      </c>
      <c r="AL225">
        <v>11.173797609999999</v>
      </c>
      <c r="AM225">
        <v>11.28832023</v>
      </c>
      <c r="AN225">
        <v>11.377926950000001</v>
      </c>
      <c r="AO225">
        <v>11.469335429999999</v>
      </c>
      <c r="AP225">
        <v>11.55642211</v>
      </c>
      <c r="AQ225">
        <v>11.64049616</v>
      </c>
      <c r="AR225">
        <v>11.71941923</v>
      </c>
      <c r="AS225">
        <v>11.7442767</v>
      </c>
      <c r="AT225">
        <v>11.766838119999999</v>
      </c>
      <c r="AU225">
        <v>11.7855986</v>
      </c>
      <c r="AV225">
        <v>11.80067017</v>
      </c>
      <c r="AW225">
        <v>11.81637924</v>
      </c>
    </row>
    <row r="226" spans="2:49" x14ac:dyDescent="0.25">
      <c r="B226" t="s">
        <v>527</v>
      </c>
      <c r="C226">
        <v>0.19372928894524399</v>
      </c>
      <c r="D226">
        <v>0.196839675342774</v>
      </c>
      <c r="E226">
        <v>0.20107641170000001</v>
      </c>
      <c r="F226">
        <v>0.19521040200000001</v>
      </c>
      <c r="G226">
        <v>0.1829775491</v>
      </c>
      <c r="H226">
        <v>0.16880199139999999</v>
      </c>
      <c r="I226">
        <v>0.1661577726</v>
      </c>
      <c r="J226">
        <v>0.1595796998</v>
      </c>
      <c r="K226">
        <v>0.14772073429999999</v>
      </c>
      <c r="L226">
        <v>0.13947718179999999</v>
      </c>
      <c r="M226">
        <v>0.13500332670000001</v>
      </c>
      <c r="N226">
        <v>0.1330678381</v>
      </c>
      <c r="O226">
        <v>0.20580874939999999</v>
      </c>
      <c r="P226">
        <v>0.27625535649999999</v>
      </c>
      <c r="Q226">
        <v>0.33130338349999999</v>
      </c>
      <c r="R226">
        <v>0.38677940389999999</v>
      </c>
      <c r="S226">
        <v>0.44356504749999998</v>
      </c>
      <c r="T226">
        <v>0.68700526340000001</v>
      </c>
      <c r="U226">
        <v>0.93522336719999999</v>
      </c>
      <c r="V226">
        <v>1.1923584979999999</v>
      </c>
      <c r="W226">
        <v>0.86559355169999996</v>
      </c>
      <c r="X226">
        <v>0.55738077770000005</v>
      </c>
      <c r="Y226">
        <v>0.5597324333</v>
      </c>
      <c r="Z226">
        <v>0.56461900750000005</v>
      </c>
      <c r="AA226">
        <v>0.57100597310000001</v>
      </c>
      <c r="AB226">
        <v>0.57855883070000003</v>
      </c>
      <c r="AC226">
        <v>0.58739079699999996</v>
      </c>
      <c r="AD226">
        <v>0.61416389449999997</v>
      </c>
      <c r="AE226">
        <v>0.64125862209999995</v>
      </c>
      <c r="AF226">
        <v>0.66859042499999999</v>
      </c>
      <c r="AG226">
        <v>0.69676121680000003</v>
      </c>
      <c r="AH226">
        <v>0.72558282500000004</v>
      </c>
      <c r="AI226">
        <v>0.75951241290000004</v>
      </c>
      <c r="AJ226">
        <v>0.79388224949999997</v>
      </c>
      <c r="AK226">
        <v>0.82882417799999997</v>
      </c>
      <c r="AL226">
        <v>0.86472742550000004</v>
      </c>
      <c r="AM226">
        <v>0.90101732909999999</v>
      </c>
      <c r="AN226">
        <v>0.93073034769999996</v>
      </c>
      <c r="AO226">
        <v>0.96072769680000003</v>
      </c>
      <c r="AP226">
        <v>0.9904930958</v>
      </c>
      <c r="AQ226">
        <v>1.0201142999999999</v>
      </c>
      <c r="AR226">
        <v>1.049380872</v>
      </c>
      <c r="AS226">
        <v>1.07328084</v>
      </c>
      <c r="AT226">
        <v>1.0971317229999999</v>
      </c>
      <c r="AU226">
        <v>1.12077845</v>
      </c>
      <c r="AV226">
        <v>1.1442114249999999</v>
      </c>
      <c r="AW226">
        <v>1.1678382629999999</v>
      </c>
    </row>
    <row r="227" spans="2:49" x14ac:dyDescent="0.25">
      <c r="B227" t="s">
        <v>528</v>
      </c>
      <c r="C227">
        <v>0.71679836909740502</v>
      </c>
      <c r="D227">
        <v>0.72830679876826598</v>
      </c>
      <c r="E227">
        <v>0.74398272320000003</v>
      </c>
      <c r="F227">
        <v>0.73699812470000003</v>
      </c>
      <c r="G227">
        <v>0.70489257490000001</v>
      </c>
      <c r="H227">
        <v>0.66353585979999996</v>
      </c>
      <c r="I227">
        <v>0.66645249370000004</v>
      </c>
      <c r="J227">
        <v>0.66727960990000001</v>
      </c>
      <c r="K227">
        <v>0.64511287559999997</v>
      </c>
      <c r="L227">
        <v>0.63736647280000003</v>
      </c>
      <c r="M227">
        <v>0.6468368739</v>
      </c>
      <c r="N227">
        <v>0.66989003530000002</v>
      </c>
      <c r="O227">
        <v>0.97235890989999996</v>
      </c>
      <c r="P227">
        <v>1.2376578030000001</v>
      </c>
      <c r="Q227">
        <v>1.4118956650000001</v>
      </c>
      <c r="R227">
        <v>1.5688217330000001</v>
      </c>
      <c r="S227">
        <v>1.711267184</v>
      </c>
      <c r="T227">
        <v>1.757983547</v>
      </c>
      <c r="U227">
        <v>1.8077539659999999</v>
      </c>
      <c r="V227">
        <v>1.8650415339999999</v>
      </c>
      <c r="W227">
        <v>1.466410521</v>
      </c>
      <c r="X227">
        <v>1.0856695030000001</v>
      </c>
      <c r="Y227">
        <v>1.0887693140000001</v>
      </c>
      <c r="Z227">
        <v>1.096775847</v>
      </c>
      <c r="AA227">
        <v>1.1076619480000001</v>
      </c>
      <c r="AB227">
        <v>1.120563631</v>
      </c>
      <c r="AC227">
        <v>1.13588986</v>
      </c>
      <c r="AD227">
        <v>1.136441375</v>
      </c>
      <c r="AE227">
        <v>1.1371259199999999</v>
      </c>
      <c r="AF227">
        <v>1.1377789949999999</v>
      </c>
      <c r="AG227">
        <v>1.1389708009999999</v>
      </c>
      <c r="AH227">
        <v>1.140730381</v>
      </c>
      <c r="AI227">
        <v>1.1445111910000001</v>
      </c>
      <c r="AJ227">
        <v>1.1484236160000001</v>
      </c>
      <c r="AK227">
        <v>1.1526328050000001</v>
      </c>
      <c r="AL227">
        <v>1.156917725</v>
      </c>
      <c r="AM227">
        <v>1.161191401</v>
      </c>
      <c r="AN227">
        <v>1.1625905860000001</v>
      </c>
      <c r="AO227">
        <v>1.164128276</v>
      </c>
      <c r="AP227">
        <v>1.1651841080000001</v>
      </c>
      <c r="AQ227">
        <v>1.1658985669999999</v>
      </c>
      <c r="AR227">
        <v>1.1660654699999999</v>
      </c>
      <c r="AS227">
        <v>1.1691355329999999</v>
      </c>
      <c r="AT227">
        <v>1.1719821130000001</v>
      </c>
      <c r="AU227">
        <v>1.174454925</v>
      </c>
      <c r="AV227">
        <v>1.1765645810000001</v>
      </c>
      <c r="AW227">
        <v>1.1787421140000001</v>
      </c>
    </row>
    <row r="228" spans="2:49" x14ac:dyDescent="0.25">
      <c r="B228" t="s">
        <v>529</v>
      </c>
      <c r="C228">
        <v>0.19372928894524399</v>
      </c>
      <c r="D228">
        <v>0.196839675342774</v>
      </c>
      <c r="E228">
        <v>0.20107641170000001</v>
      </c>
      <c r="F228">
        <v>0.20706667030000001</v>
      </c>
      <c r="G228">
        <v>0.2058791157</v>
      </c>
      <c r="H228">
        <v>0.20146485619999999</v>
      </c>
      <c r="I228">
        <v>0.21035344950000001</v>
      </c>
      <c r="J228">
        <v>0.21429590109999999</v>
      </c>
      <c r="K228">
        <v>0.21041898549999999</v>
      </c>
      <c r="L228">
        <v>0.21074334659999999</v>
      </c>
      <c r="M228">
        <v>0.21637267939999999</v>
      </c>
      <c r="N228">
        <v>0.2262238026</v>
      </c>
      <c r="O228">
        <v>0.27041142470000001</v>
      </c>
      <c r="P228">
        <v>0.30979850869999997</v>
      </c>
      <c r="Q228">
        <v>0.33333396259999998</v>
      </c>
      <c r="R228">
        <v>0.35945283690000002</v>
      </c>
      <c r="S228">
        <v>0.38791739289999999</v>
      </c>
      <c r="T228">
        <v>0.45905963220000001</v>
      </c>
      <c r="U228">
        <v>0.53207721720000001</v>
      </c>
      <c r="V228">
        <v>0.60876764969999997</v>
      </c>
      <c r="W228">
        <v>0.48010353220000002</v>
      </c>
      <c r="X228">
        <v>0.3587631557</v>
      </c>
      <c r="Y228">
        <v>0.36462659870000003</v>
      </c>
      <c r="Z228">
        <v>0.37221111060000001</v>
      </c>
      <c r="AA228">
        <v>0.38088630950000002</v>
      </c>
      <c r="AB228">
        <v>0.3904424957</v>
      </c>
      <c r="AC228">
        <v>0.40100438249999998</v>
      </c>
      <c r="AD228">
        <v>0.4018928866</v>
      </c>
      <c r="AE228">
        <v>0.40283263139999997</v>
      </c>
      <c r="AF228">
        <v>0.4037655228</v>
      </c>
      <c r="AG228">
        <v>0.40490795229999998</v>
      </c>
      <c r="AH228">
        <v>0.40625781859999999</v>
      </c>
      <c r="AI228">
        <v>0.40825281870000002</v>
      </c>
      <c r="AJ228">
        <v>0.41030105950000001</v>
      </c>
      <c r="AK228">
        <v>0.41246189059999999</v>
      </c>
      <c r="AL228">
        <v>0.41468219029999998</v>
      </c>
      <c r="AM228">
        <v>0.41690569900000002</v>
      </c>
      <c r="AN228">
        <v>0.41821062860000002</v>
      </c>
      <c r="AO228">
        <v>0.41956961720000002</v>
      </c>
      <c r="AP228">
        <v>0.42075895000000002</v>
      </c>
      <c r="AQ228">
        <v>0.4218284658</v>
      </c>
      <c r="AR228">
        <v>0.42270272180000001</v>
      </c>
      <c r="AS228">
        <v>0.42435962230000002</v>
      </c>
      <c r="AT228">
        <v>0.42593919730000002</v>
      </c>
      <c r="AU228">
        <v>0.42738645559999999</v>
      </c>
      <c r="AV228">
        <v>0.42870474920000001</v>
      </c>
      <c r="AW228">
        <v>0.43005083449999998</v>
      </c>
    </row>
    <row r="229" spans="2:49" x14ac:dyDescent="0.25">
      <c r="B229" t="s">
        <v>530</v>
      </c>
      <c r="C229">
        <v>0.38745857789048899</v>
      </c>
      <c r="D229">
        <v>0.39367935068554899</v>
      </c>
      <c r="E229">
        <v>0.40215282340000003</v>
      </c>
      <c r="F229">
        <v>0.53057511420000003</v>
      </c>
      <c r="G229">
        <v>0.67585829939999997</v>
      </c>
      <c r="H229">
        <v>0.84732366459999997</v>
      </c>
      <c r="I229">
        <v>1.133460412</v>
      </c>
      <c r="J229">
        <v>1.4793715519999999</v>
      </c>
      <c r="K229">
        <v>1.8610369760000001</v>
      </c>
      <c r="L229">
        <v>2.3879797109999998</v>
      </c>
      <c r="M229">
        <v>3.1411296630000001</v>
      </c>
      <c r="N229">
        <v>4.2075416099999998</v>
      </c>
      <c r="O229">
        <v>4.0378364250000001</v>
      </c>
      <c r="P229">
        <v>3.7676165620000002</v>
      </c>
      <c r="Q229">
        <v>3.3314110270000001</v>
      </c>
      <c r="R229">
        <v>2.966407652</v>
      </c>
      <c r="S229">
        <v>2.6465192900000001</v>
      </c>
      <c r="T229">
        <v>3.165927215</v>
      </c>
      <c r="U229">
        <v>3.6986826449999999</v>
      </c>
      <c r="V229">
        <v>4.2574865339999999</v>
      </c>
      <c r="W229">
        <v>3.6922115959999999</v>
      </c>
      <c r="X229">
        <v>3.1593265599999998</v>
      </c>
      <c r="Y229">
        <v>3.339048703</v>
      </c>
      <c r="Z229">
        <v>3.5365607680000002</v>
      </c>
      <c r="AA229">
        <v>3.7473568899999998</v>
      </c>
      <c r="AB229">
        <v>3.9790187750000001</v>
      </c>
      <c r="AC229">
        <v>4.2252204989999997</v>
      </c>
      <c r="AD229">
        <v>4.384999058</v>
      </c>
      <c r="AE229">
        <v>4.5467735960000004</v>
      </c>
      <c r="AF229">
        <v>4.7099351990000002</v>
      </c>
      <c r="AG229">
        <v>4.8837077280000001</v>
      </c>
      <c r="AH229">
        <v>5.0617763739999999</v>
      </c>
      <c r="AI229">
        <v>5.1782003100000003</v>
      </c>
      <c r="AJ229">
        <v>5.2963283959999998</v>
      </c>
      <c r="AK229">
        <v>5.4169780300000001</v>
      </c>
      <c r="AL229">
        <v>5.542322339</v>
      </c>
      <c r="AM229">
        <v>5.6688719030000003</v>
      </c>
      <c r="AN229">
        <v>5.7774356420000004</v>
      </c>
      <c r="AO229">
        <v>5.8873001079999998</v>
      </c>
      <c r="AP229">
        <v>5.9953126110000001</v>
      </c>
      <c r="AQ229">
        <v>6.1020834429999997</v>
      </c>
      <c r="AR229">
        <v>6.2064267219999998</v>
      </c>
      <c r="AS229">
        <v>6.3605628300000001</v>
      </c>
      <c r="AT229">
        <v>6.514500935</v>
      </c>
      <c r="AU229">
        <v>6.6673119060000001</v>
      </c>
      <c r="AV229">
        <v>6.8189274070000003</v>
      </c>
      <c r="AW229">
        <v>6.9717701630000004</v>
      </c>
    </row>
    <row r="230" spans="2:49" x14ac:dyDescent="0.25">
      <c r="B230" t="s">
        <v>531</v>
      </c>
      <c r="C230">
        <v>1.1905732046364299</v>
      </c>
      <c r="D230">
        <v>1.2096882425386799</v>
      </c>
      <c r="E230">
        <v>1.232138969</v>
      </c>
      <c r="F230">
        <v>1.238886113</v>
      </c>
      <c r="G230">
        <v>1.1448556059999999</v>
      </c>
      <c r="H230">
        <v>0.9287623478</v>
      </c>
      <c r="I230">
        <v>1.012374753</v>
      </c>
      <c r="J230">
        <v>1.0367333219999999</v>
      </c>
      <c r="K230">
        <v>0.98057942949999999</v>
      </c>
      <c r="L230">
        <v>0.97793255670000001</v>
      </c>
      <c r="M230">
        <v>0.98439747850000003</v>
      </c>
      <c r="N230">
        <v>0.99420088409999996</v>
      </c>
      <c r="O230">
        <v>0.94034024910000003</v>
      </c>
      <c r="P230">
        <v>0.9567643817</v>
      </c>
      <c r="Q230">
        <v>0.93796486759999997</v>
      </c>
      <c r="R230">
        <v>0.88962403339999996</v>
      </c>
      <c r="S230">
        <v>0.86351858130000003</v>
      </c>
      <c r="T230">
        <v>0.87619859180000004</v>
      </c>
      <c r="U230">
        <v>0.87869862789999997</v>
      </c>
      <c r="V230">
        <v>0.89538959200000001</v>
      </c>
      <c r="W230">
        <v>0.90080536180000004</v>
      </c>
      <c r="X230">
        <v>0.90110384799999999</v>
      </c>
      <c r="Y230">
        <v>0.90059420800000001</v>
      </c>
      <c r="Z230">
        <v>0.90798456240000003</v>
      </c>
      <c r="AA230">
        <v>0.91741605749999999</v>
      </c>
      <c r="AB230">
        <v>0.92743137620000005</v>
      </c>
      <c r="AC230">
        <v>0.93832216759999998</v>
      </c>
      <c r="AD230">
        <v>0.93611826180000002</v>
      </c>
      <c r="AE230">
        <v>0.93538552129999997</v>
      </c>
      <c r="AF230">
        <v>0.93595464780000004</v>
      </c>
      <c r="AG230">
        <v>0.93753811710000001</v>
      </c>
      <c r="AH230">
        <v>0.93982674519999998</v>
      </c>
      <c r="AI230">
        <v>0.94423422079999997</v>
      </c>
      <c r="AJ230">
        <v>0.94864471210000001</v>
      </c>
      <c r="AK230">
        <v>0.95335022250000001</v>
      </c>
      <c r="AL230">
        <v>0.95820206860000001</v>
      </c>
      <c r="AM230">
        <v>0.96284369179999996</v>
      </c>
      <c r="AN230">
        <v>0.96492406549999998</v>
      </c>
      <c r="AO230">
        <v>0.96788148799999996</v>
      </c>
      <c r="AP230">
        <v>0.97051022099999995</v>
      </c>
      <c r="AQ230">
        <v>0.97317189940000004</v>
      </c>
      <c r="AR230">
        <v>0.97521103080000004</v>
      </c>
      <c r="AS230">
        <v>0.97876607069999999</v>
      </c>
      <c r="AT230">
        <v>0.98219393200000005</v>
      </c>
      <c r="AU230">
        <v>0.98563514969999999</v>
      </c>
      <c r="AV230">
        <v>0.98907362980000002</v>
      </c>
      <c r="AW230">
        <v>0.99311992910000002</v>
      </c>
    </row>
    <row r="231" spans="2:49" x14ac:dyDescent="0.25">
      <c r="B231" t="s">
        <v>532</v>
      </c>
      <c r="C231">
        <v>1.7112081308179601</v>
      </c>
      <c r="D231">
        <v>1.7386821308642</v>
      </c>
      <c r="E231">
        <v>1.7669981939999999</v>
      </c>
      <c r="F231">
        <v>1.7890882180000001</v>
      </c>
      <c r="G231">
        <v>1.807217267</v>
      </c>
      <c r="H231">
        <v>1.699833854</v>
      </c>
      <c r="I231">
        <v>1.775416683</v>
      </c>
      <c r="J231">
        <v>1.806897746</v>
      </c>
      <c r="K231">
        <v>1.7878774260000001</v>
      </c>
      <c r="L231">
        <v>1.7991383860000001</v>
      </c>
      <c r="M231">
        <v>1.818569162</v>
      </c>
      <c r="N231">
        <v>1.8954178779999999</v>
      </c>
      <c r="O231">
        <v>1.893711009</v>
      </c>
      <c r="P231">
        <v>1.898009327</v>
      </c>
      <c r="Q231">
        <v>1.8732817319999999</v>
      </c>
      <c r="R231">
        <v>1.8933191840000001</v>
      </c>
      <c r="S231">
        <v>1.875702033</v>
      </c>
      <c r="T231">
        <v>1.8798128350000001</v>
      </c>
      <c r="U231">
        <v>1.9045354729999999</v>
      </c>
      <c r="V231">
        <v>1.940837363</v>
      </c>
      <c r="W231">
        <v>1.9723616340000001</v>
      </c>
      <c r="X231">
        <v>1.9962577079999999</v>
      </c>
      <c r="Y231">
        <v>2.0228920850000001</v>
      </c>
      <c r="Z231">
        <v>2.0517296319999998</v>
      </c>
      <c r="AA231">
        <v>2.0829253090000002</v>
      </c>
      <c r="AB231">
        <v>2.120376051</v>
      </c>
      <c r="AC231">
        <v>2.1705607850000002</v>
      </c>
      <c r="AD231">
        <v>2.1901163650000002</v>
      </c>
      <c r="AE231">
        <v>2.2113053229999999</v>
      </c>
      <c r="AF231">
        <v>2.234476007</v>
      </c>
      <c r="AG231">
        <v>2.2596157899999998</v>
      </c>
      <c r="AH231">
        <v>2.2899313870000002</v>
      </c>
      <c r="AI231">
        <v>2.3240728480000001</v>
      </c>
      <c r="AJ231">
        <v>2.3612518169999999</v>
      </c>
      <c r="AK231">
        <v>2.3996342070000001</v>
      </c>
      <c r="AL231">
        <v>2.4393752289999999</v>
      </c>
      <c r="AM231">
        <v>2.4800121480000001</v>
      </c>
      <c r="AN231">
        <v>2.5216136320000002</v>
      </c>
      <c r="AO231">
        <v>2.564262598</v>
      </c>
      <c r="AP231">
        <v>2.6068081539999999</v>
      </c>
      <c r="AQ231">
        <v>2.6492470610000001</v>
      </c>
      <c r="AR231">
        <v>2.6916337389999998</v>
      </c>
      <c r="AS231">
        <v>2.7343679270000001</v>
      </c>
      <c r="AT231">
        <v>2.7774732539999998</v>
      </c>
      <c r="AU231">
        <v>2.8211718729999999</v>
      </c>
      <c r="AV231">
        <v>2.8652678659999999</v>
      </c>
      <c r="AW231">
        <v>2.9097603250000001</v>
      </c>
    </row>
    <row r="232" spans="2:49" x14ac:dyDescent="0.25">
      <c r="B232" t="s">
        <v>533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</row>
    <row r="233" spans="2:49" x14ac:dyDescent="0.25">
      <c r="B233" t="s">
        <v>534</v>
      </c>
      <c r="C233">
        <v>1.5692072404564801</v>
      </c>
      <c r="D233">
        <v>1.5944013702764701</v>
      </c>
      <c r="E233">
        <v>1.625707523</v>
      </c>
      <c r="F233">
        <v>1.6520727200000001</v>
      </c>
      <c r="G233">
        <v>1.6776837579999999</v>
      </c>
      <c r="H233">
        <v>1.5628185750000001</v>
      </c>
      <c r="I233">
        <v>1.6529829330000001</v>
      </c>
      <c r="J233">
        <v>1.7084728179999999</v>
      </c>
      <c r="K233">
        <v>1.700683934</v>
      </c>
      <c r="L233">
        <v>1.7127913589999999</v>
      </c>
      <c r="M233">
        <v>1.7344790160000001</v>
      </c>
      <c r="N233">
        <v>1.787273307</v>
      </c>
      <c r="O233">
        <v>1.8515754010000001</v>
      </c>
      <c r="P233">
        <v>1.9484512570000001</v>
      </c>
      <c r="Q233">
        <v>2.003315733</v>
      </c>
      <c r="R233">
        <v>2.0845284180000001</v>
      </c>
      <c r="S233">
        <v>2.1263836719999998</v>
      </c>
      <c r="T233">
        <v>2.1320993760000002</v>
      </c>
      <c r="U233">
        <v>2.1517736080000001</v>
      </c>
      <c r="V233">
        <v>2.1825602420000001</v>
      </c>
      <c r="W233">
        <v>2.2043579659999999</v>
      </c>
      <c r="X233">
        <v>2.2170896099999999</v>
      </c>
      <c r="Y233">
        <v>2.2384107119999999</v>
      </c>
      <c r="Z233">
        <v>2.262637711</v>
      </c>
      <c r="AA233">
        <v>2.2900206000000001</v>
      </c>
      <c r="AB233">
        <v>2.3247543039999998</v>
      </c>
      <c r="AC233">
        <v>2.3735412180000002</v>
      </c>
      <c r="AD233">
        <v>2.3894673040000001</v>
      </c>
      <c r="AE233">
        <v>2.40669398</v>
      </c>
      <c r="AF233">
        <v>2.425493651</v>
      </c>
      <c r="AG233">
        <v>2.446823062</v>
      </c>
      <c r="AH233">
        <v>2.4737658109999998</v>
      </c>
      <c r="AI233">
        <v>2.504211685</v>
      </c>
      <c r="AJ233">
        <v>2.5378563430000001</v>
      </c>
      <c r="AK233">
        <v>2.5726740019999998</v>
      </c>
      <c r="AL233">
        <v>2.6087983530000001</v>
      </c>
      <c r="AM233">
        <v>2.6457021049999998</v>
      </c>
      <c r="AN233">
        <v>2.6843678070000001</v>
      </c>
      <c r="AO233">
        <v>2.724680781</v>
      </c>
      <c r="AP233">
        <v>2.7649565479999998</v>
      </c>
      <c r="AQ233">
        <v>2.8051165010000001</v>
      </c>
      <c r="AR233">
        <v>2.8452152150000001</v>
      </c>
      <c r="AS233">
        <v>2.8852969900000001</v>
      </c>
      <c r="AT233">
        <v>2.9257634449999999</v>
      </c>
      <c r="AU233">
        <v>2.9667999420000002</v>
      </c>
      <c r="AV233">
        <v>3.0082045470000001</v>
      </c>
      <c r="AW233">
        <v>3.0499854329999998</v>
      </c>
    </row>
    <row r="234" spans="2:49" x14ac:dyDescent="0.25">
      <c r="B234" t="s">
        <v>535</v>
      </c>
      <c r="C234">
        <v>0.99151022292981705</v>
      </c>
      <c r="D234">
        <v>0.99151022292981705</v>
      </c>
      <c r="E234">
        <v>0.9919034457</v>
      </c>
      <c r="F234">
        <v>0.98792096760000003</v>
      </c>
      <c r="G234">
        <v>0.98397025959999995</v>
      </c>
      <c r="H234">
        <v>0.98000795500000004</v>
      </c>
      <c r="I234">
        <v>0.97610686229999999</v>
      </c>
      <c r="J234">
        <v>0.97221838540000005</v>
      </c>
      <c r="K234">
        <v>0.96833652800000003</v>
      </c>
      <c r="L234">
        <v>0.96448219130000001</v>
      </c>
      <c r="M234">
        <v>0.96063486340000004</v>
      </c>
      <c r="N234">
        <v>0.9568291377</v>
      </c>
      <c r="O234">
        <v>0.95615788400000001</v>
      </c>
      <c r="P234">
        <v>0.95544970360000003</v>
      </c>
      <c r="Q234">
        <v>0.95468875249999996</v>
      </c>
      <c r="R234">
        <v>0.95388715670000002</v>
      </c>
      <c r="S234">
        <v>0.95300836779999998</v>
      </c>
      <c r="T234">
        <v>0.95054091890000003</v>
      </c>
      <c r="U234">
        <v>0.94817958300000005</v>
      </c>
      <c r="V234">
        <v>0.94590221949999997</v>
      </c>
      <c r="W234">
        <v>0.94354280779999999</v>
      </c>
      <c r="X234">
        <v>0.94108967970000001</v>
      </c>
      <c r="Y234">
        <v>0.94113586520000003</v>
      </c>
      <c r="Z234">
        <v>0.94117671000000003</v>
      </c>
      <c r="AA234">
        <v>0.94121718450000003</v>
      </c>
      <c r="AB234">
        <v>0.9412442164</v>
      </c>
      <c r="AC234">
        <v>0.94128021589999999</v>
      </c>
      <c r="AD234">
        <v>0.94136768370000001</v>
      </c>
      <c r="AE234">
        <v>0.94146019719999996</v>
      </c>
      <c r="AF234">
        <v>0.94155734010000003</v>
      </c>
      <c r="AG234">
        <v>0.94165138299999995</v>
      </c>
      <c r="AH234">
        <v>0.94175408100000002</v>
      </c>
      <c r="AI234">
        <v>0.94177789909999998</v>
      </c>
      <c r="AJ234">
        <v>0.94180288270000001</v>
      </c>
      <c r="AK234">
        <v>0.94182720779999995</v>
      </c>
      <c r="AL234">
        <v>0.94186100839999998</v>
      </c>
      <c r="AM234">
        <v>0.94189459909999995</v>
      </c>
      <c r="AN234">
        <v>0.94174154030000001</v>
      </c>
      <c r="AO234">
        <v>0.9415822251</v>
      </c>
      <c r="AP234">
        <v>0.94141558979999995</v>
      </c>
      <c r="AQ234">
        <v>0.9412405935</v>
      </c>
      <c r="AR234">
        <v>0.94105733950000003</v>
      </c>
      <c r="AS234">
        <v>0.94082192450000002</v>
      </c>
      <c r="AT234">
        <v>0.94058023369999999</v>
      </c>
      <c r="AU234">
        <v>0.94033261420000003</v>
      </c>
      <c r="AV234">
        <v>0.9400787639</v>
      </c>
      <c r="AW234">
        <v>0.93981727169999996</v>
      </c>
    </row>
    <row r="235" spans="2:49" x14ac:dyDescent="0.25">
      <c r="B235" t="s">
        <v>536</v>
      </c>
      <c r="C235">
        <v>8.4897770701825997E-3</v>
      </c>
      <c r="D235">
        <v>8.4897770701825997E-3</v>
      </c>
      <c r="E235">
        <v>8.0965543399999906E-3</v>
      </c>
      <c r="F235">
        <v>1.20790325E-2</v>
      </c>
      <c r="G235">
        <v>1.6029740800000001E-2</v>
      </c>
      <c r="H235">
        <v>1.9992044600000002E-2</v>
      </c>
      <c r="I235">
        <v>2.3893763799999999E-2</v>
      </c>
      <c r="J235">
        <v>2.7781614E-2</v>
      </c>
      <c r="K235">
        <v>3.1663471499999998E-2</v>
      </c>
      <c r="L235">
        <v>3.55178087E-2</v>
      </c>
      <c r="M235">
        <v>3.9365136699999997E-2</v>
      </c>
      <c r="N235">
        <v>4.3170863099999998E-2</v>
      </c>
      <c r="O235">
        <v>4.3842113699999997E-2</v>
      </c>
      <c r="P235">
        <v>4.4550288200000003E-2</v>
      </c>
      <c r="Q235">
        <v>4.53112471E-2</v>
      </c>
      <c r="R235">
        <v>4.6112842699999997E-2</v>
      </c>
      <c r="S235">
        <v>4.6991627600000002E-2</v>
      </c>
      <c r="T235">
        <v>4.9459080799999999E-2</v>
      </c>
      <c r="U235">
        <v>5.1820402299999999E-2</v>
      </c>
      <c r="V235">
        <v>5.4097760799999998E-2</v>
      </c>
      <c r="W235">
        <v>5.6457188899999997E-2</v>
      </c>
      <c r="X235">
        <v>5.8910321000000002E-2</v>
      </c>
      <c r="Y235">
        <v>5.8864134800000002E-2</v>
      </c>
      <c r="Z235">
        <v>5.8823288000000001E-2</v>
      </c>
      <c r="AA235">
        <v>5.8782812199999999E-2</v>
      </c>
      <c r="AB235">
        <v>5.8755785499999998E-2</v>
      </c>
      <c r="AC235">
        <v>5.87197868E-2</v>
      </c>
      <c r="AD235">
        <v>5.8632316300000001E-2</v>
      </c>
      <c r="AE235">
        <v>5.8539802799999999E-2</v>
      </c>
      <c r="AF235">
        <v>5.8442659899999999E-2</v>
      </c>
      <c r="AG235">
        <v>5.8348616999999998E-2</v>
      </c>
      <c r="AH235">
        <v>5.8245920100000001E-2</v>
      </c>
      <c r="AI235">
        <v>5.8222100899999997E-2</v>
      </c>
      <c r="AJ235">
        <v>5.8197117299999997E-2</v>
      </c>
      <c r="AK235">
        <v>5.8172792199999997E-2</v>
      </c>
      <c r="AL235">
        <v>5.8138991600000002E-2</v>
      </c>
      <c r="AM235">
        <v>5.81054009E-2</v>
      </c>
      <c r="AN235">
        <v>5.8258461499999997E-2</v>
      </c>
      <c r="AO235">
        <v>5.8417776499999997E-2</v>
      </c>
      <c r="AP235">
        <v>5.8584412000000002E-2</v>
      </c>
      <c r="AQ235">
        <v>5.8759408999999999E-2</v>
      </c>
      <c r="AR235">
        <v>5.8942663499999999E-2</v>
      </c>
      <c r="AS235">
        <v>5.9178075500000003E-2</v>
      </c>
      <c r="AT235">
        <v>5.9419766300000003E-2</v>
      </c>
      <c r="AU235">
        <v>5.96673858E-2</v>
      </c>
      <c r="AV235">
        <v>5.9921235599999997E-2</v>
      </c>
      <c r="AW235">
        <v>6.0182727999999998E-2</v>
      </c>
    </row>
    <row r="236" spans="2:49" x14ac:dyDescent="0.25">
      <c r="B236" t="s">
        <v>537</v>
      </c>
      <c r="C236">
        <v>0.79896379760487002</v>
      </c>
      <c r="D236">
        <v>0.79896379760486902</v>
      </c>
      <c r="E236">
        <v>0.79896379760000003</v>
      </c>
      <c r="F236">
        <v>0.79638418180000003</v>
      </c>
      <c r="G236">
        <v>0.79381289529999999</v>
      </c>
      <c r="H236">
        <v>0.79124990760000002</v>
      </c>
      <c r="I236">
        <v>0.78869464840000003</v>
      </c>
      <c r="J236">
        <v>0.78614873799999996</v>
      </c>
      <c r="K236">
        <v>0.78361049739999999</v>
      </c>
      <c r="L236">
        <v>0.78108045280000005</v>
      </c>
      <c r="M236">
        <v>0.77855857689999997</v>
      </c>
      <c r="N236">
        <v>0.77604484259999995</v>
      </c>
      <c r="O236">
        <v>0.76081534610000001</v>
      </c>
      <c r="P236">
        <v>0.74503572149999997</v>
      </c>
      <c r="Q236">
        <v>0.7286756056</v>
      </c>
      <c r="R236">
        <v>0.71170237979999995</v>
      </c>
      <c r="S236">
        <v>0.69408091360000002</v>
      </c>
      <c r="T236">
        <v>0.68549363870000002</v>
      </c>
      <c r="U236">
        <v>0.67684743800000002</v>
      </c>
      <c r="V236">
        <v>0.66814170100000003</v>
      </c>
      <c r="W236">
        <v>0.67758856160000003</v>
      </c>
      <c r="X236">
        <v>0.68626280429999997</v>
      </c>
      <c r="Y236">
        <v>0.67775046569999997</v>
      </c>
      <c r="Z236">
        <v>0.66938119929999995</v>
      </c>
      <c r="AA236">
        <v>0.66115142739999999</v>
      </c>
      <c r="AB236">
        <v>0.65475837879999998</v>
      </c>
      <c r="AC236">
        <v>0.64846858630000004</v>
      </c>
      <c r="AD236">
        <v>0.63469239899999996</v>
      </c>
      <c r="AE236">
        <v>0.62123754340000004</v>
      </c>
      <c r="AF236">
        <v>0.60809290640000002</v>
      </c>
      <c r="AG236">
        <v>0.59456247490000003</v>
      </c>
      <c r="AH236">
        <v>0.58133482650000001</v>
      </c>
      <c r="AI236">
        <v>0.5666115799</v>
      </c>
      <c r="AJ236">
        <v>0.55218208820000003</v>
      </c>
      <c r="AK236">
        <v>0.53803764679999999</v>
      </c>
      <c r="AL236">
        <v>0.52355173580000003</v>
      </c>
      <c r="AM236">
        <v>0.50934324639999995</v>
      </c>
      <c r="AN236">
        <v>0.49580558629999999</v>
      </c>
      <c r="AO236">
        <v>0.48247065700000002</v>
      </c>
      <c r="AP236">
        <v>0.46933393849999999</v>
      </c>
      <c r="AQ236">
        <v>0.45639104390000002</v>
      </c>
      <c r="AR236">
        <v>0.44363771499999999</v>
      </c>
      <c r="AS236">
        <v>0.42915867419999998</v>
      </c>
      <c r="AT236">
        <v>0.4148590452</v>
      </c>
      <c r="AU236">
        <v>0.40073551400000001</v>
      </c>
      <c r="AV236">
        <v>0.38678484759999998</v>
      </c>
      <c r="AW236">
        <v>0.37300389179999999</v>
      </c>
    </row>
    <row r="237" spans="2:49" x14ac:dyDescent="0.25">
      <c r="B237" t="s">
        <v>538</v>
      </c>
      <c r="C237">
        <v>1.02537481030392E-2</v>
      </c>
      <c r="D237">
        <v>1.02537481030392E-2</v>
      </c>
      <c r="E237">
        <v>1.02537481E-2</v>
      </c>
      <c r="F237">
        <v>9.6835705400000003E-3</v>
      </c>
      <c r="G237">
        <v>9.1450986999999997E-3</v>
      </c>
      <c r="H237">
        <v>8.6365694900000008E-3</v>
      </c>
      <c r="I237">
        <v>8.1563122799999995E-3</v>
      </c>
      <c r="J237">
        <v>7.7027716799999996E-3</v>
      </c>
      <c r="K237">
        <v>7.2744456000000002E-3</v>
      </c>
      <c r="L237">
        <v>6.8699373499999999E-3</v>
      </c>
      <c r="M237">
        <v>6.4879224899999999E-3</v>
      </c>
      <c r="N237">
        <v>6.1271502300000004E-3</v>
      </c>
      <c r="O237">
        <v>5.5291148999999998E-3</v>
      </c>
      <c r="P237">
        <v>4.9094770199999997E-3</v>
      </c>
      <c r="Q237">
        <v>4.2670445299999998E-3</v>
      </c>
      <c r="R237">
        <v>3.6005361200000001E-3</v>
      </c>
      <c r="S237">
        <v>2.9085724800000001E-3</v>
      </c>
      <c r="T237">
        <v>3.81905458E-3</v>
      </c>
      <c r="U237">
        <v>4.7357845600000002E-3</v>
      </c>
      <c r="V237">
        <v>5.6588269600000001E-3</v>
      </c>
      <c r="W237">
        <v>5.8246086000000004E-3</v>
      </c>
      <c r="X237">
        <v>5.9768316500000002E-3</v>
      </c>
      <c r="Y237">
        <v>5.8664569800000003E-3</v>
      </c>
      <c r="Z237">
        <v>5.7579374400000003E-3</v>
      </c>
      <c r="AA237">
        <v>5.6512266499999997E-3</v>
      </c>
      <c r="AB237">
        <v>5.5609613400000001E-3</v>
      </c>
      <c r="AC237">
        <v>5.4721539300000002E-3</v>
      </c>
      <c r="AD237">
        <v>5.5302444400000001E-3</v>
      </c>
      <c r="AE237">
        <v>5.5869799900000001E-3</v>
      </c>
      <c r="AF237">
        <v>5.6424074200000004E-3</v>
      </c>
      <c r="AG237">
        <v>5.6994452399999999E-3</v>
      </c>
      <c r="AH237">
        <v>5.7552066799999996E-3</v>
      </c>
      <c r="AI237">
        <v>5.6820847899999999E-3</v>
      </c>
      <c r="AJ237">
        <v>5.6104218100000002E-3</v>
      </c>
      <c r="AK237">
        <v>5.5401745099999998E-3</v>
      </c>
      <c r="AL237">
        <v>5.4682570800000004E-3</v>
      </c>
      <c r="AM237">
        <v>5.39771696E-3</v>
      </c>
      <c r="AN237">
        <v>5.4498631800000003E-3</v>
      </c>
      <c r="AO237">
        <v>5.5012285000000001E-3</v>
      </c>
      <c r="AP237">
        <v>5.5518303200000002E-3</v>
      </c>
      <c r="AQ237">
        <v>5.6016855499999999E-3</v>
      </c>
      <c r="AR237">
        <v>5.6508105800000003E-3</v>
      </c>
      <c r="AS237">
        <v>5.6479370500000002E-3</v>
      </c>
      <c r="AT237">
        <v>5.6450991200000002E-3</v>
      </c>
      <c r="AU237">
        <v>5.6422961400000001E-3</v>
      </c>
      <c r="AV237">
        <v>5.63952746E-3</v>
      </c>
      <c r="AW237">
        <v>5.6367924699999997E-3</v>
      </c>
    </row>
    <row r="238" spans="2:49" x14ac:dyDescent="0.25">
      <c r="B238" t="s">
        <v>539</v>
      </c>
      <c r="C238">
        <v>4.0949078402655603E-2</v>
      </c>
      <c r="D238">
        <v>4.0949078402655603E-2</v>
      </c>
      <c r="E238">
        <v>4.0949078399999998E-2</v>
      </c>
      <c r="F238">
        <v>4.08762326E-2</v>
      </c>
      <c r="G238">
        <v>4.0803516400000003E-2</v>
      </c>
      <c r="H238">
        <v>4.0730929300000003E-2</v>
      </c>
      <c r="I238">
        <v>4.06584433E-2</v>
      </c>
      <c r="J238">
        <v>4.0586142800000002E-2</v>
      </c>
      <c r="K238">
        <v>4.0513942599999998E-2</v>
      </c>
      <c r="L238">
        <v>4.0441870900000003E-2</v>
      </c>
      <c r="M238">
        <v>4.0369927299999997E-2</v>
      </c>
      <c r="N238">
        <v>4.02981117E-2</v>
      </c>
      <c r="O238">
        <v>4.4246306200000002E-2</v>
      </c>
      <c r="P238">
        <v>4.8337119400000003E-2</v>
      </c>
      <c r="Q238">
        <v>5.25784205E-2</v>
      </c>
      <c r="R238">
        <v>5.6978670100000003E-2</v>
      </c>
      <c r="S238">
        <v>6.1546973400000003E-2</v>
      </c>
      <c r="T238">
        <v>5.8760594999999999E-2</v>
      </c>
      <c r="U238">
        <v>5.5955096199999999E-2</v>
      </c>
      <c r="V238">
        <v>5.31302793E-2</v>
      </c>
      <c r="W238">
        <v>3.4535413700000003E-2</v>
      </c>
      <c r="X238">
        <v>1.7461348099999999E-2</v>
      </c>
      <c r="Y238">
        <v>1.7267602999999999E-2</v>
      </c>
      <c r="Z238">
        <v>1.7077114399999999E-2</v>
      </c>
      <c r="AA238">
        <v>1.68898008E-2</v>
      </c>
      <c r="AB238">
        <v>1.6748364599999999E-2</v>
      </c>
      <c r="AC238">
        <v>1.6609212799999998E-2</v>
      </c>
      <c r="AD238">
        <v>1.6592279000000001E-2</v>
      </c>
      <c r="AE238">
        <v>1.6575740299999999E-2</v>
      </c>
      <c r="AF238">
        <v>1.65595828E-2</v>
      </c>
      <c r="AG238">
        <v>1.6543038600000001E-2</v>
      </c>
      <c r="AH238">
        <v>1.65268646E-2</v>
      </c>
      <c r="AI238">
        <v>1.6506447800000001E-2</v>
      </c>
      <c r="AJ238">
        <v>1.64864383E-2</v>
      </c>
      <c r="AK238">
        <v>1.6466824000000001E-2</v>
      </c>
      <c r="AL238">
        <v>1.6446748300000001E-2</v>
      </c>
      <c r="AM238">
        <v>1.64270571E-2</v>
      </c>
      <c r="AN238">
        <v>1.6406935399999999E-2</v>
      </c>
      <c r="AO238">
        <v>1.6387115099999999E-2</v>
      </c>
      <c r="AP238">
        <v>1.63675894E-2</v>
      </c>
      <c r="AQ238">
        <v>1.6348351800000001E-2</v>
      </c>
      <c r="AR238">
        <v>1.6329395999999999E-2</v>
      </c>
      <c r="AS238">
        <v>2.22887264E-2</v>
      </c>
      <c r="AT238">
        <v>2.8174213699999999E-2</v>
      </c>
      <c r="AU238">
        <v>3.39872222E-2</v>
      </c>
      <c r="AV238">
        <v>3.9729082399999997E-2</v>
      </c>
      <c r="AW238">
        <v>4.5401092599999998E-2</v>
      </c>
    </row>
    <row r="239" spans="2:49" x14ac:dyDescent="0.25">
      <c r="B239" t="s">
        <v>540</v>
      </c>
      <c r="C239">
        <v>4.0858446639591303E-2</v>
      </c>
      <c r="D239">
        <v>4.0858446639591303E-2</v>
      </c>
      <c r="E239">
        <v>4.0858446600000001E-2</v>
      </c>
      <c r="F239">
        <v>3.7501973199999997E-2</v>
      </c>
      <c r="G239">
        <v>3.44212302E-2</v>
      </c>
      <c r="H239">
        <v>3.1593566400000002E-2</v>
      </c>
      <c r="I239">
        <v>2.8998171900000001E-2</v>
      </c>
      <c r="J239">
        <v>2.6616024700000001E-2</v>
      </c>
      <c r="K239">
        <v>2.4429549500000002E-2</v>
      </c>
      <c r="L239">
        <v>2.2422690700000001E-2</v>
      </c>
      <c r="M239">
        <v>2.0580693000000001E-2</v>
      </c>
      <c r="N239">
        <v>1.88900132E-2</v>
      </c>
      <c r="O239">
        <v>1.6445307199999998E-2</v>
      </c>
      <c r="P239">
        <v>1.3912292200000001E-2</v>
      </c>
      <c r="Q239">
        <v>1.12860953E-2</v>
      </c>
      <c r="R239">
        <v>8.5614784100000001E-3</v>
      </c>
      <c r="S239">
        <v>5.7328033000000004E-3</v>
      </c>
      <c r="T239">
        <v>5.47000478E-3</v>
      </c>
      <c r="U239">
        <v>5.2054029000000003E-3</v>
      </c>
      <c r="V239">
        <v>4.9389790300000003E-3</v>
      </c>
      <c r="W239">
        <v>3.1795564799999999E-3</v>
      </c>
      <c r="X239">
        <v>1.56403009E-3</v>
      </c>
      <c r="Y239">
        <v>1.54612841E-3</v>
      </c>
      <c r="Z239">
        <v>1.5285276199999999E-3</v>
      </c>
      <c r="AA239">
        <v>1.5112201900000001E-3</v>
      </c>
      <c r="AB239">
        <v>1.49802946E-3</v>
      </c>
      <c r="AC239">
        <v>1.48505177E-3</v>
      </c>
      <c r="AD239">
        <v>1.4831638899999999E-3</v>
      </c>
      <c r="AE239">
        <v>1.48132004E-3</v>
      </c>
      <c r="AF239">
        <v>1.47951871E-3</v>
      </c>
      <c r="AG239">
        <v>1.47766504E-3</v>
      </c>
      <c r="AH239">
        <v>1.47585285E-3</v>
      </c>
      <c r="AI239">
        <v>1.47396348E-3</v>
      </c>
      <c r="AJ239">
        <v>1.4721118E-3</v>
      </c>
      <c r="AK239">
        <v>1.4702966899999999E-3</v>
      </c>
      <c r="AL239">
        <v>1.4684384400000001E-3</v>
      </c>
      <c r="AM239">
        <v>1.4666157700000001E-3</v>
      </c>
      <c r="AN239">
        <v>1.46475898E-3</v>
      </c>
      <c r="AO239">
        <v>1.4629299899999999E-3</v>
      </c>
      <c r="AP239">
        <v>1.46112819E-3</v>
      </c>
      <c r="AQ239">
        <v>1.4593529699999999E-3</v>
      </c>
      <c r="AR239">
        <v>1.45760376E-3</v>
      </c>
      <c r="AS239">
        <v>1.45180257E-3</v>
      </c>
      <c r="AT239">
        <v>1.44607326E-3</v>
      </c>
      <c r="AU239">
        <v>1.44041451E-3</v>
      </c>
      <c r="AV239">
        <v>1.43482502E-3</v>
      </c>
      <c r="AW239">
        <v>1.4293035300000001E-3</v>
      </c>
    </row>
    <row r="240" spans="2:49" x14ac:dyDescent="0.25">
      <c r="B240" t="s">
        <v>541</v>
      </c>
      <c r="C240">
        <v>8.2546962733871607E-3</v>
      </c>
      <c r="D240">
        <v>8.2546962733871607E-3</v>
      </c>
      <c r="E240">
        <v>8.2546962700000004E-3</v>
      </c>
      <c r="F240">
        <v>1.7081659799999999E-2</v>
      </c>
      <c r="G240">
        <v>2.5176000800000001E-2</v>
      </c>
      <c r="H240">
        <v>3.2493267499999999E-2</v>
      </c>
      <c r="I240">
        <v>3.8964677500000003E-2</v>
      </c>
      <c r="J240">
        <v>4.4490436000000001E-2</v>
      </c>
      <c r="K240">
        <v>4.8930383399999999E-2</v>
      </c>
      <c r="L240">
        <v>5.2092196299999997E-2</v>
      </c>
      <c r="M240">
        <v>5.37152194E-2</v>
      </c>
      <c r="N240">
        <v>5.3449221200000001E-2</v>
      </c>
      <c r="O240">
        <v>5.9116927700000002E-2</v>
      </c>
      <c r="P240">
        <v>6.4989366100000001E-2</v>
      </c>
      <c r="Q240">
        <v>7.1077832699999996E-2</v>
      </c>
      <c r="R240">
        <v>7.7394472800000003E-2</v>
      </c>
      <c r="S240">
        <v>8.39523571E-2</v>
      </c>
      <c r="T240">
        <v>8.81391225E-2</v>
      </c>
      <c r="U240">
        <v>9.2354618200000002E-2</v>
      </c>
      <c r="V240">
        <v>9.6599140999999999E-2</v>
      </c>
      <c r="W240">
        <v>0.1048451441</v>
      </c>
      <c r="X240">
        <v>0.11241673990000001</v>
      </c>
      <c r="Y240">
        <v>0.1188589171</v>
      </c>
      <c r="Z240">
        <v>0.12519281769999999</v>
      </c>
      <c r="AA240">
        <v>0.13142114860000001</v>
      </c>
      <c r="AB240">
        <v>0.1353528678</v>
      </c>
      <c r="AC240">
        <v>0.1392210844</v>
      </c>
      <c r="AD240">
        <v>0.14589482249999999</v>
      </c>
      <c r="AE240">
        <v>0.1524128947</v>
      </c>
      <c r="AF240">
        <v>0.15878068449999999</v>
      </c>
      <c r="AG240">
        <v>0.16533276180000001</v>
      </c>
      <c r="AH240">
        <v>0.17173821719999999</v>
      </c>
      <c r="AI240">
        <v>0.17830255079999999</v>
      </c>
      <c r="AJ240">
        <v>0.1847359143</v>
      </c>
      <c r="AK240">
        <v>0.1910421887</v>
      </c>
      <c r="AL240">
        <v>0.1974979879</v>
      </c>
      <c r="AM240">
        <v>0.2038301512</v>
      </c>
      <c r="AN240">
        <v>0.2103612795</v>
      </c>
      <c r="AO240">
        <v>0.21679460210000001</v>
      </c>
      <c r="AP240">
        <v>0.2231322996</v>
      </c>
      <c r="AQ240">
        <v>0.22937648839999999</v>
      </c>
      <c r="AR240">
        <v>0.2355292229</v>
      </c>
      <c r="AS240">
        <v>0.24123555969999999</v>
      </c>
      <c r="AT240">
        <v>0.24687118850000001</v>
      </c>
      <c r="AU240">
        <v>0.25243741520000001</v>
      </c>
      <c r="AV240">
        <v>0.25793551409999999</v>
      </c>
      <c r="AW240">
        <v>0.26336672849999998</v>
      </c>
    </row>
    <row r="241" spans="2:49" x14ac:dyDescent="0.25">
      <c r="B241" t="s">
        <v>542</v>
      </c>
      <c r="C241">
        <v>1.85730666151211E-3</v>
      </c>
      <c r="D241">
        <v>1.85730666151211E-3</v>
      </c>
      <c r="E241">
        <v>1.8573066599999999E-3</v>
      </c>
      <c r="F241">
        <v>2.4629865900000002E-3</v>
      </c>
      <c r="G241">
        <v>3.26618272E-3</v>
      </c>
      <c r="H241">
        <v>4.3313063800000003E-3</v>
      </c>
      <c r="I241">
        <v>5.74376989E-3</v>
      </c>
      <c r="J241">
        <v>7.6168563700000002E-3</v>
      </c>
      <c r="K241">
        <v>1.0100763299999999E-2</v>
      </c>
      <c r="L241">
        <v>1.3394688700000001E-2</v>
      </c>
      <c r="M241">
        <v>1.7762784899999998E-2</v>
      </c>
      <c r="N241">
        <v>2.35553459E-2</v>
      </c>
      <c r="O241">
        <v>2.6053133199999998E-2</v>
      </c>
      <c r="P241">
        <v>2.8641146900000001E-2</v>
      </c>
      <c r="Q241">
        <v>3.1324365399999998E-2</v>
      </c>
      <c r="R241">
        <v>3.4108141000000002E-2</v>
      </c>
      <c r="S241">
        <v>3.6998234300000002E-2</v>
      </c>
      <c r="T241">
        <v>3.8309503799999998E-2</v>
      </c>
      <c r="U241">
        <v>3.9629771500000001E-2</v>
      </c>
      <c r="V241">
        <v>4.09591303E-2</v>
      </c>
      <c r="W241">
        <v>4.3531261799999998E-2</v>
      </c>
      <c r="X241">
        <v>4.5893029100000003E-2</v>
      </c>
      <c r="Y241">
        <v>4.8830952099999998E-2</v>
      </c>
      <c r="Z241">
        <v>5.1719496199999999E-2</v>
      </c>
      <c r="AA241">
        <v>5.4559895599999998E-2</v>
      </c>
      <c r="AB241">
        <v>5.7466874699999997E-2</v>
      </c>
      <c r="AC241">
        <v>6.0326902199999997E-2</v>
      </c>
      <c r="AD241">
        <v>6.7391713300000003E-2</v>
      </c>
      <c r="AE241">
        <v>7.4291736499999997E-2</v>
      </c>
      <c r="AF241">
        <v>8.1032671099999995E-2</v>
      </c>
      <c r="AG241">
        <v>8.7961902800000005E-2</v>
      </c>
      <c r="AH241">
        <v>9.4736072599999999E-2</v>
      </c>
      <c r="AI241">
        <v>0.1016749453</v>
      </c>
      <c r="AJ241">
        <v>0.10847537509999999</v>
      </c>
      <c r="AK241">
        <v>0.11514146460000001</v>
      </c>
      <c r="AL241">
        <v>0.12196178840000001</v>
      </c>
      <c r="AM241">
        <v>0.12865149540000001</v>
      </c>
      <c r="AN241">
        <v>0.1355467216</v>
      </c>
      <c r="AO241">
        <v>0.14233868960000001</v>
      </c>
      <c r="AP241">
        <v>0.14902970169999999</v>
      </c>
      <c r="AQ241">
        <v>0.1556219921</v>
      </c>
      <c r="AR241">
        <v>0.16211772969999999</v>
      </c>
      <c r="AS241">
        <v>0.16507868149999999</v>
      </c>
      <c r="AT241">
        <v>0.16800294369999999</v>
      </c>
      <c r="AU241">
        <v>0.170891194</v>
      </c>
      <c r="AV241">
        <v>0.17374409360000001</v>
      </c>
      <c r="AW241">
        <v>0.1765622875</v>
      </c>
    </row>
    <row r="242" spans="2:49" x14ac:dyDescent="0.25">
      <c r="B242" t="s">
        <v>543</v>
      </c>
      <c r="C242">
        <v>9.2848272947954696E-2</v>
      </c>
      <c r="D242">
        <v>9.2848272947954599E-2</v>
      </c>
      <c r="E242">
        <v>9.2848272900000001E-2</v>
      </c>
      <c r="F242">
        <v>8.9289128999999995E-2</v>
      </c>
      <c r="G242">
        <v>8.58664175E-2</v>
      </c>
      <c r="H242">
        <v>8.2574908099999997E-2</v>
      </c>
      <c r="I242">
        <v>7.9409516799999996E-2</v>
      </c>
      <c r="J242">
        <v>7.6365572800000003E-2</v>
      </c>
      <c r="K242">
        <v>7.34382586E-2</v>
      </c>
      <c r="L242">
        <v>7.0623156899999998E-2</v>
      </c>
      <c r="M242">
        <v>6.7915966199999997E-2</v>
      </c>
      <c r="N242">
        <v>6.5312549900000003E-2</v>
      </c>
      <c r="O242">
        <v>7.2238232999999999E-2</v>
      </c>
      <c r="P242">
        <v>7.9414089199999996E-2</v>
      </c>
      <c r="Q242">
        <v>8.6853922200000003E-2</v>
      </c>
      <c r="R242">
        <v>9.4572572899999999E-2</v>
      </c>
      <c r="S242">
        <v>0.1025860133</v>
      </c>
      <c r="T242">
        <v>0.10719493450000001</v>
      </c>
      <c r="U242">
        <v>0.11183548309999999</v>
      </c>
      <c r="V242">
        <v>0.1165079854</v>
      </c>
      <c r="W242">
        <v>0.11190168020000001</v>
      </c>
      <c r="X242">
        <v>0.10767210670000001</v>
      </c>
      <c r="Y242">
        <v>0.1064289512</v>
      </c>
      <c r="Z242">
        <v>0.1052066901</v>
      </c>
      <c r="AA242">
        <v>0.10400480099999999</v>
      </c>
      <c r="AB242">
        <v>0.1031054297</v>
      </c>
      <c r="AC242">
        <v>0.1022205843</v>
      </c>
      <c r="AD242">
        <v>0.10204557910000001</v>
      </c>
      <c r="AE242">
        <v>0.1018746559</v>
      </c>
      <c r="AF242">
        <v>0.10170767360000001</v>
      </c>
      <c r="AG242">
        <v>0.10154411570000001</v>
      </c>
      <c r="AH242">
        <v>0.101384218</v>
      </c>
      <c r="AI242">
        <v>0.1012243929</v>
      </c>
      <c r="AJ242">
        <v>0.1010677566</v>
      </c>
      <c r="AK242">
        <v>0.1009142147</v>
      </c>
      <c r="AL242">
        <v>0.1007616802</v>
      </c>
      <c r="AM242">
        <v>0.10061206690000001</v>
      </c>
      <c r="AN242">
        <v>0.1004634444</v>
      </c>
      <c r="AO242">
        <v>0.1003170476</v>
      </c>
      <c r="AP242">
        <v>0.1001728269</v>
      </c>
      <c r="AQ242">
        <v>0.1000307341</v>
      </c>
      <c r="AR242">
        <v>9.9890722299999998E-2</v>
      </c>
      <c r="AS242">
        <v>9.9485071199999997E-2</v>
      </c>
      <c r="AT242">
        <v>9.9084446500000006E-2</v>
      </c>
      <c r="AU242">
        <v>9.8688755399999994E-2</v>
      </c>
      <c r="AV242">
        <v>9.8297907300000001E-2</v>
      </c>
      <c r="AW242">
        <v>9.7911814E-2</v>
      </c>
    </row>
    <row r="243" spans="2:49" x14ac:dyDescent="0.25">
      <c r="B243" t="s">
        <v>544</v>
      </c>
      <c r="C243">
        <v>6.0146533669896496E-3</v>
      </c>
      <c r="D243">
        <v>6.0146533669896496E-3</v>
      </c>
      <c r="E243">
        <v>6.0146533700000003E-3</v>
      </c>
      <c r="F243">
        <v>6.72026664E-3</v>
      </c>
      <c r="G243">
        <v>7.50865942E-3</v>
      </c>
      <c r="H243">
        <v>8.3895430300000001E-3</v>
      </c>
      <c r="I243">
        <v>9.3737616099999997E-3</v>
      </c>
      <c r="J243">
        <v>1.04734583E-2</v>
      </c>
      <c r="K243">
        <v>1.17021594E-2</v>
      </c>
      <c r="L243">
        <v>1.30750064E-2</v>
      </c>
      <c r="M243">
        <v>1.4608909999999999E-2</v>
      </c>
      <c r="N243">
        <v>1.6322764399999998E-2</v>
      </c>
      <c r="O243">
        <v>1.55556346E-2</v>
      </c>
      <c r="P243">
        <v>1.4760794000000001E-2</v>
      </c>
      <c r="Q243">
        <v>1.3936713599999999E-2</v>
      </c>
      <c r="R243">
        <v>1.30817498E-2</v>
      </c>
      <c r="S243">
        <v>1.21941333E-2</v>
      </c>
      <c r="T243">
        <v>1.28131462E-2</v>
      </c>
      <c r="U243">
        <v>1.34364068E-2</v>
      </c>
      <c r="V243">
        <v>1.40639591E-2</v>
      </c>
      <c r="W243">
        <v>1.8593773300000001E-2</v>
      </c>
      <c r="X243">
        <v>2.2753112299999999E-2</v>
      </c>
      <c r="Y243">
        <v>2.3450525400000002E-2</v>
      </c>
      <c r="Z243">
        <v>2.4136216700000001E-2</v>
      </c>
      <c r="AA243">
        <v>2.4810479399999998E-2</v>
      </c>
      <c r="AB243">
        <v>2.5509093699999999E-2</v>
      </c>
      <c r="AC243">
        <v>2.6196424400000001E-2</v>
      </c>
      <c r="AD243">
        <v>2.63697988E-2</v>
      </c>
      <c r="AE243">
        <v>2.6539129299999999E-2</v>
      </c>
      <c r="AF243">
        <v>2.6704555599999999E-2</v>
      </c>
      <c r="AG243">
        <v>2.68785959E-2</v>
      </c>
      <c r="AH243">
        <v>2.7048741599999999E-2</v>
      </c>
      <c r="AI243">
        <v>2.8524035100000001E-2</v>
      </c>
      <c r="AJ243">
        <v>2.9969893800000001E-2</v>
      </c>
      <c r="AK243">
        <v>3.1387190099999997E-2</v>
      </c>
      <c r="AL243">
        <v>3.2843363899999999E-2</v>
      </c>
      <c r="AM243">
        <v>3.4271650399999999E-2</v>
      </c>
      <c r="AN243">
        <v>3.4501410400000002E-2</v>
      </c>
      <c r="AO243">
        <v>3.4727729800000003E-2</v>
      </c>
      <c r="AP243">
        <v>3.4950685099999997E-2</v>
      </c>
      <c r="AQ243">
        <v>3.51703508E-2</v>
      </c>
      <c r="AR243">
        <v>3.5386799300000001E-2</v>
      </c>
      <c r="AS243">
        <v>3.5653547299999998E-2</v>
      </c>
      <c r="AT243">
        <v>3.5916990099999997E-2</v>
      </c>
      <c r="AU243">
        <v>3.6177188499999999E-2</v>
      </c>
      <c r="AV243">
        <v>3.6434202300000003E-2</v>
      </c>
      <c r="AW243">
        <v>3.66880895E-2</v>
      </c>
    </row>
    <row r="244" spans="2:49" x14ac:dyDescent="0.25">
      <c r="B244" t="s">
        <v>545</v>
      </c>
      <c r="C244">
        <v>0.92287069498865704</v>
      </c>
      <c r="D244">
        <v>0.92287069498865704</v>
      </c>
      <c r="E244">
        <v>0.92286473899999999</v>
      </c>
      <c r="F244">
        <v>0.89638714809999998</v>
      </c>
      <c r="G244">
        <v>0.87085217589999997</v>
      </c>
      <c r="H244">
        <v>0.84567987970000003</v>
      </c>
      <c r="I244">
        <v>0.82160155749999997</v>
      </c>
      <c r="J244">
        <v>0.79828047619999998</v>
      </c>
      <c r="K244">
        <v>0.77567784230000003</v>
      </c>
      <c r="L244">
        <v>0.75369452569999995</v>
      </c>
      <c r="M244">
        <v>0.73216469049999999</v>
      </c>
      <c r="N244">
        <v>0.71124158410000005</v>
      </c>
      <c r="O244">
        <v>0.70845932310000004</v>
      </c>
      <c r="P244">
        <v>0.70615052700000003</v>
      </c>
      <c r="Q244">
        <v>0.70420063160000002</v>
      </c>
      <c r="R244">
        <v>0.70229971420000004</v>
      </c>
      <c r="S244">
        <v>0.70002330010000002</v>
      </c>
      <c r="T244">
        <v>0.67384973120000002</v>
      </c>
      <c r="U244">
        <v>0.64715418349999998</v>
      </c>
      <c r="V244">
        <v>0.6198652576</v>
      </c>
      <c r="W244">
        <v>0.6502101669</v>
      </c>
      <c r="X244">
        <v>0.67889964400000002</v>
      </c>
      <c r="Y244">
        <v>0.6725364922</v>
      </c>
      <c r="Z244">
        <v>0.66610909880000002</v>
      </c>
      <c r="AA244">
        <v>0.65964951120000004</v>
      </c>
      <c r="AB244">
        <v>0.65303155869999996</v>
      </c>
      <c r="AC244">
        <v>0.64647572949999998</v>
      </c>
      <c r="AD244">
        <v>0.64069188629999996</v>
      </c>
      <c r="AE244">
        <v>0.6349527948</v>
      </c>
      <c r="AF244">
        <v>0.62926319990000001</v>
      </c>
      <c r="AG244">
        <v>0.62348463180000002</v>
      </c>
      <c r="AH244">
        <v>0.61777955429999998</v>
      </c>
      <c r="AI244">
        <v>0.6152687483</v>
      </c>
      <c r="AJ244">
        <v>0.6127919745</v>
      </c>
      <c r="AK244">
        <v>0.6103295581</v>
      </c>
      <c r="AL244">
        <v>0.60782814470000002</v>
      </c>
      <c r="AM244">
        <v>0.60534302259999995</v>
      </c>
      <c r="AN244">
        <v>0.60227108200000001</v>
      </c>
      <c r="AO244">
        <v>0.59921528800000001</v>
      </c>
      <c r="AP244">
        <v>0.59617386189999999</v>
      </c>
      <c r="AQ244">
        <v>0.59314382519999997</v>
      </c>
      <c r="AR244">
        <v>0.5901300491</v>
      </c>
      <c r="AS244">
        <v>0.5870456382</v>
      </c>
      <c r="AT244">
        <v>0.58395976579999997</v>
      </c>
      <c r="AU244">
        <v>0.58087735610000002</v>
      </c>
      <c r="AV244">
        <v>0.57779690390000005</v>
      </c>
      <c r="AW244">
        <v>0.57470947240000003</v>
      </c>
    </row>
    <row r="245" spans="2:49" x14ac:dyDescent="0.25">
      <c r="B245" t="s">
        <v>546</v>
      </c>
      <c r="C245">
        <v>4.1245617653124303E-2</v>
      </c>
      <c r="D245">
        <v>4.1245617653124303E-2</v>
      </c>
      <c r="E245">
        <v>4.1248802600000002E-2</v>
      </c>
      <c r="F245">
        <v>6.5765972199999995E-2</v>
      </c>
      <c r="G245">
        <v>8.85536294E-2</v>
      </c>
      <c r="H245">
        <v>0.1097945377</v>
      </c>
      <c r="I245">
        <v>0.1287023786</v>
      </c>
      <c r="J245">
        <v>0.14515529660000001</v>
      </c>
      <c r="K245">
        <v>0.15872770929999999</v>
      </c>
      <c r="L245">
        <v>0.1689062264</v>
      </c>
      <c r="M245">
        <v>0.1750467638</v>
      </c>
      <c r="N245">
        <v>0.1760701033</v>
      </c>
      <c r="O245">
        <v>0.1780668537</v>
      </c>
      <c r="P245">
        <v>0.1797732718</v>
      </c>
      <c r="Q245">
        <v>0.18125818229999999</v>
      </c>
      <c r="R245">
        <v>0.18271080149999999</v>
      </c>
      <c r="S245">
        <v>0.1843919842</v>
      </c>
      <c r="T245">
        <v>0.189219264</v>
      </c>
      <c r="U245">
        <v>0.1941127963</v>
      </c>
      <c r="V245">
        <v>0.1991092857</v>
      </c>
      <c r="W245">
        <v>0.2009212242</v>
      </c>
      <c r="X245">
        <v>0.20267674969999999</v>
      </c>
      <c r="Y245">
        <v>0.20512718090000001</v>
      </c>
      <c r="Z245">
        <v>0.2076159441</v>
      </c>
      <c r="AA245">
        <v>0.21012249150000001</v>
      </c>
      <c r="AB245">
        <v>0.21263880260000001</v>
      </c>
      <c r="AC245">
        <v>0.21511576509999999</v>
      </c>
      <c r="AD245">
        <v>0.21783651900000001</v>
      </c>
      <c r="AE245">
        <v>0.22053526749999999</v>
      </c>
      <c r="AF245">
        <v>0.22320914989999999</v>
      </c>
      <c r="AG245">
        <v>0.2258644283</v>
      </c>
      <c r="AH245">
        <v>0.22848121269999999</v>
      </c>
      <c r="AI245">
        <v>0.2289134914</v>
      </c>
      <c r="AJ245">
        <v>0.22933082329999999</v>
      </c>
      <c r="AK245">
        <v>0.22974494449999999</v>
      </c>
      <c r="AL245">
        <v>0.2301382203</v>
      </c>
      <c r="AM245">
        <v>0.23052724869999999</v>
      </c>
      <c r="AN245">
        <v>0.23139548879999999</v>
      </c>
      <c r="AO245">
        <v>0.23225647890000001</v>
      </c>
      <c r="AP245">
        <v>0.23311129950000001</v>
      </c>
      <c r="AQ245">
        <v>0.23396170350000001</v>
      </c>
      <c r="AR245">
        <v>0.2348049197</v>
      </c>
      <c r="AS245">
        <v>0.23468494749999999</v>
      </c>
      <c r="AT245">
        <v>0.23456143809999999</v>
      </c>
      <c r="AU245">
        <v>0.23443169959999999</v>
      </c>
      <c r="AV245">
        <v>0.2342966933</v>
      </c>
      <c r="AW245">
        <v>0.23416144080000001</v>
      </c>
    </row>
    <row r="246" spans="2:49" x14ac:dyDescent="0.25">
      <c r="B246" t="s">
        <v>547</v>
      </c>
      <c r="C246">
        <v>5.1557022066405396E-3</v>
      </c>
      <c r="D246">
        <v>5.1557022066405396E-3</v>
      </c>
      <c r="E246">
        <v>5.1561003299999998E-3</v>
      </c>
      <c r="F246">
        <v>4.8527711599999999E-3</v>
      </c>
      <c r="G246">
        <v>4.5607840199999999E-3</v>
      </c>
      <c r="H246">
        <v>4.2987442000000002E-3</v>
      </c>
      <c r="I246">
        <v>4.0415304099999999E-3</v>
      </c>
      <c r="J246">
        <v>3.7994536100000001E-3</v>
      </c>
      <c r="K246">
        <v>3.571968E-3</v>
      </c>
      <c r="L246">
        <v>3.3592169300000001E-3</v>
      </c>
      <c r="M246">
        <v>3.1616411799999999E-3</v>
      </c>
      <c r="N246">
        <v>2.97574643E-3</v>
      </c>
      <c r="O246">
        <v>4.4679151299999997E-3</v>
      </c>
      <c r="P246">
        <v>5.9472308099999998E-3</v>
      </c>
      <c r="Q246">
        <v>7.4098322099999999E-3</v>
      </c>
      <c r="R246">
        <v>8.8601096400000006E-3</v>
      </c>
      <c r="S246">
        <v>1.0312311100000001E-2</v>
      </c>
      <c r="T246">
        <v>1.6054359000000001E-2</v>
      </c>
      <c r="U246">
        <v>2.1923829400000001E-2</v>
      </c>
      <c r="V246">
        <v>2.7926264199999998E-2</v>
      </c>
      <c r="W246">
        <v>2.0317400499999999E-2</v>
      </c>
      <c r="X246">
        <v>1.3110734000000001E-2</v>
      </c>
      <c r="Y246">
        <v>1.30976197E-2</v>
      </c>
      <c r="Z246">
        <v>1.3086742700000001E-2</v>
      </c>
      <c r="AA246">
        <v>1.3076738100000001E-2</v>
      </c>
      <c r="AB246">
        <v>1.30627659E-2</v>
      </c>
      <c r="AC246">
        <v>1.30462367E-2</v>
      </c>
      <c r="AD246">
        <v>1.3532622899999999E-2</v>
      </c>
      <c r="AE246">
        <v>1.40155717E-2</v>
      </c>
      <c r="AF246">
        <v>1.44948991E-2</v>
      </c>
      <c r="AG246">
        <v>1.4974168100000001E-2</v>
      </c>
      <c r="AH246">
        <v>1.5448794700000001E-2</v>
      </c>
      <c r="AI246">
        <v>1.6041720400000001E-2</v>
      </c>
      <c r="AJ246">
        <v>1.6630788399999999E-2</v>
      </c>
      <c r="AK246">
        <v>1.7216805799999998E-2</v>
      </c>
      <c r="AL246">
        <v>1.7810133799999999E-2</v>
      </c>
      <c r="AM246">
        <v>1.84003503E-2</v>
      </c>
      <c r="AN246">
        <v>1.8928474800000001E-2</v>
      </c>
      <c r="AO246">
        <v>1.9454939899999999E-2</v>
      </c>
      <c r="AP246">
        <v>1.9979811300000001E-2</v>
      </c>
      <c r="AQ246">
        <v>2.0503222200000001E-2</v>
      </c>
      <c r="AR246">
        <v>2.10249149E-2</v>
      </c>
      <c r="AS246">
        <v>2.1447285699999999E-2</v>
      </c>
      <c r="AT246">
        <v>2.1870343800000001E-2</v>
      </c>
      <c r="AU246">
        <v>2.2293818600000001E-2</v>
      </c>
      <c r="AV246">
        <v>2.2717773600000001E-2</v>
      </c>
      <c r="AW246">
        <v>2.31426806E-2</v>
      </c>
    </row>
    <row r="247" spans="2:49" x14ac:dyDescent="0.25">
      <c r="B247" t="s">
        <v>548</v>
      </c>
      <c r="C247">
        <v>1.5260878531656001E-2</v>
      </c>
      <c r="D247">
        <v>1.5260878531656001E-2</v>
      </c>
      <c r="E247">
        <v>1.5262057000000001E-2</v>
      </c>
      <c r="F247">
        <v>1.4656937199999999E-2</v>
      </c>
      <c r="G247">
        <v>1.4055769399999999E-2</v>
      </c>
      <c r="H247">
        <v>1.3518186200000001E-2</v>
      </c>
      <c r="I247">
        <v>1.29683396E-2</v>
      </c>
      <c r="J247">
        <v>1.2440028400000001E-2</v>
      </c>
      <c r="K247">
        <v>1.19335454E-2</v>
      </c>
      <c r="L247">
        <v>1.1451481600000001E-2</v>
      </c>
      <c r="M247">
        <v>1.09975999E-2</v>
      </c>
      <c r="N247">
        <v>1.0561922E-2</v>
      </c>
      <c r="O247">
        <v>1.5477883E-2</v>
      </c>
      <c r="P247">
        <v>2.0350296E-2</v>
      </c>
      <c r="Q247">
        <v>2.5166766199999999E-2</v>
      </c>
      <c r="R247">
        <v>2.9942565300000001E-2</v>
      </c>
      <c r="S247">
        <v>3.47256991E-2</v>
      </c>
      <c r="T247">
        <v>3.6165737199999999E-2</v>
      </c>
      <c r="U247">
        <v>3.7630256299999998E-2</v>
      </c>
      <c r="V247">
        <v>3.9126507200000001E-2</v>
      </c>
      <c r="W247">
        <v>3.0617720500000001E-2</v>
      </c>
      <c r="X247">
        <v>2.2560210800000001E-2</v>
      </c>
      <c r="Y247">
        <v>2.25734938E-2</v>
      </c>
      <c r="Z247">
        <v>2.2590677100000001E-2</v>
      </c>
      <c r="AA247">
        <v>2.2609419700000001E-2</v>
      </c>
      <c r="AB247">
        <v>2.2612688200000002E-2</v>
      </c>
      <c r="AC247">
        <v>2.2611553100000001E-2</v>
      </c>
      <c r="AD247">
        <v>2.24635376E-2</v>
      </c>
      <c r="AE247">
        <v>2.23160487E-2</v>
      </c>
      <c r="AF247">
        <v>2.21688001E-2</v>
      </c>
      <c r="AG247">
        <v>2.2018579399999998E-2</v>
      </c>
      <c r="AH247">
        <v>2.1867426200000002E-2</v>
      </c>
      <c r="AI247">
        <v>2.1784131599999999E-2</v>
      </c>
      <c r="AJ247">
        <v>2.17000361E-2</v>
      </c>
      <c r="AK247">
        <v>2.1616260000000002E-2</v>
      </c>
      <c r="AL247">
        <v>2.15316046E-2</v>
      </c>
      <c r="AM247">
        <v>2.1447152300000001E-2</v>
      </c>
      <c r="AN247">
        <v>2.14026867E-2</v>
      </c>
      <c r="AO247">
        <v>2.13578416E-2</v>
      </c>
      <c r="AP247">
        <v>2.13127231E-2</v>
      </c>
      <c r="AQ247">
        <v>2.12674962E-2</v>
      </c>
      <c r="AR247">
        <v>2.1221912900000001E-2</v>
      </c>
      <c r="AS247">
        <v>2.1239563100000001E-2</v>
      </c>
      <c r="AT247">
        <v>2.1256959700000001E-2</v>
      </c>
      <c r="AU247">
        <v>2.1273857399999999E-2</v>
      </c>
      <c r="AV247">
        <v>2.1290341599999998E-2</v>
      </c>
      <c r="AW247">
        <v>2.1306867600000001E-2</v>
      </c>
    </row>
    <row r="248" spans="2:49" x14ac:dyDescent="0.25">
      <c r="B248" t="s">
        <v>549</v>
      </c>
      <c r="C248">
        <v>5.1557022066405396E-3</v>
      </c>
      <c r="D248">
        <v>5.1557022066405396E-3</v>
      </c>
      <c r="E248">
        <v>5.1561003299999998E-3</v>
      </c>
      <c r="F248">
        <v>5.1475083099999999E-3</v>
      </c>
      <c r="G248">
        <v>5.1316141599999998E-3</v>
      </c>
      <c r="H248">
        <v>5.1305430400000003E-3</v>
      </c>
      <c r="I248">
        <v>5.1165217900000001E-3</v>
      </c>
      <c r="J248">
        <v>5.1021986900000003E-3</v>
      </c>
      <c r="K248">
        <v>5.08804594E-3</v>
      </c>
      <c r="L248">
        <v>5.0756160099999998E-3</v>
      </c>
      <c r="M248">
        <v>5.0672290100000003E-3</v>
      </c>
      <c r="N248">
        <v>5.0589585100000002E-3</v>
      </c>
      <c r="O248">
        <v>5.8703786899999997E-3</v>
      </c>
      <c r="P248">
        <v>6.6693484500000002E-3</v>
      </c>
      <c r="Q248">
        <v>7.4552475300000004E-3</v>
      </c>
      <c r="R248">
        <v>8.2341290999999907E-3</v>
      </c>
      <c r="S248">
        <v>9.0185754399999905E-3</v>
      </c>
      <c r="T248">
        <v>1.07275861E-2</v>
      </c>
      <c r="U248">
        <v>1.2473138E-2</v>
      </c>
      <c r="V248">
        <v>1.4257965399999999E-2</v>
      </c>
      <c r="W248">
        <v>1.1269094800000001E-2</v>
      </c>
      <c r="X248">
        <v>8.4388419499999996E-3</v>
      </c>
      <c r="Y248">
        <v>8.5321847600000004E-3</v>
      </c>
      <c r="Z248">
        <v>8.6271113299999907E-3</v>
      </c>
      <c r="AA248">
        <v>8.7227642999999997E-3</v>
      </c>
      <c r="AB248">
        <v>8.8154542799999906E-3</v>
      </c>
      <c r="AC248">
        <v>8.9065033299999905E-3</v>
      </c>
      <c r="AD248">
        <v>8.8553966200000007E-3</v>
      </c>
      <c r="AE248">
        <v>8.8044502600000008E-3</v>
      </c>
      <c r="AF248">
        <v>8.7535512100000001E-3</v>
      </c>
      <c r="AG248">
        <v>8.7019191299999906E-3</v>
      </c>
      <c r="AH248">
        <v>8.6498651899999997E-3</v>
      </c>
      <c r="AI248">
        <v>8.6227393300000003E-3</v>
      </c>
      <c r="AJ248">
        <v>8.59526727E-3</v>
      </c>
      <c r="AK248">
        <v>8.5678922799999994E-3</v>
      </c>
      <c r="AL248">
        <v>8.5408940200000002E-3</v>
      </c>
      <c r="AM248">
        <v>8.5139437799999999E-3</v>
      </c>
      <c r="AN248">
        <v>8.5052446999999906E-3</v>
      </c>
      <c r="AO248">
        <v>8.4963738700000006E-3</v>
      </c>
      <c r="AP248">
        <v>8.4873730500000001E-3</v>
      </c>
      <c r="AQ248">
        <v>8.4783075400000005E-3</v>
      </c>
      <c r="AR248">
        <v>8.4690782699999995E-3</v>
      </c>
      <c r="AS248">
        <v>8.4799445899999999E-3</v>
      </c>
      <c r="AT248">
        <v>8.4907185499999999E-3</v>
      </c>
      <c r="AU248">
        <v>8.5013020200000004E-3</v>
      </c>
      <c r="AV248">
        <v>8.5117288799999996E-3</v>
      </c>
      <c r="AW248">
        <v>8.5221810299999905E-3</v>
      </c>
    </row>
    <row r="249" spans="2:49" x14ac:dyDescent="0.25">
      <c r="B249" t="s">
        <v>550</v>
      </c>
      <c r="C249">
        <v>1.0311404413280999E-2</v>
      </c>
      <c r="D249">
        <v>1.0311404413280999E-2</v>
      </c>
      <c r="E249">
        <v>1.0312200699999999E-2</v>
      </c>
      <c r="F249">
        <v>1.3189664E-2</v>
      </c>
      <c r="G249">
        <v>1.6846021499999999E-2</v>
      </c>
      <c r="H249">
        <v>2.1578108499999998E-2</v>
      </c>
      <c r="I249">
        <v>2.75696686E-2</v>
      </c>
      <c r="J249">
        <v>3.5222547700000002E-2</v>
      </c>
      <c r="K249">
        <v>4.5000890100000003E-2</v>
      </c>
      <c r="L249">
        <v>5.7512933400000001E-2</v>
      </c>
      <c r="M249">
        <v>7.3562075399999996E-2</v>
      </c>
      <c r="N249">
        <v>9.4091683499999995E-2</v>
      </c>
      <c r="O249">
        <v>8.7657645800000003E-2</v>
      </c>
      <c r="P249">
        <v>8.1109324199999999E-2</v>
      </c>
      <c r="Q249">
        <v>7.4509340800000004E-2</v>
      </c>
      <c r="R249">
        <v>6.7952679899999896E-2</v>
      </c>
      <c r="S249">
        <v>6.1528135400000003E-2</v>
      </c>
      <c r="T249">
        <v>7.3983322700000007E-2</v>
      </c>
      <c r="U249">
        <v>8.6705796700000004E-2</v>
      </c>
      <c r="V249">
        <v>9.9714719899999998E-2</v>
      </c>
      <c r="W249">
        <v>8.6664395399999997E-2</v>
      </c>
      <c r="X249">
        <v>7.4313811499999896E-2</v>
      </c>
      <c r="Y249">
        <v>7.8133028600000001E-2</v>
      </c>
      <c r="Z249">
        <v>8.1970426400000004E-2</v>
      </c>
      <c r="AA249">
        <v>8.58190754E-2</v>
      </c>
      <c r="AB249">
        <v>8.9838730399999997E-2</v>
      </c>
      <c r="AC249">
        <v>9.3844212400000002E-2</v>
      </c>
      <c r="AD249">
        <v>9.66200376E-2</v>
      </c>
      <c r="AE249">
        <v>9.9375866899999998E-2</v>
      </c>
      <c r="AF249">
        <v>0.1021103998</v>
      </c>
      <c r="AG249">
        <v>0.1049562733</v>
      </c>
      <c r="AH249">
        <v>0.1077731462</v>
      </c>
      <c r="AI249">
        <v>0.10936916889999999</v>
      </c>
      <c r="AJ249">
        <v>0.1109511103</v>
      </c>
      <c r="AK249">
        <v>0.1125245393</v>
      </c>
      <c r="AL249">
        <v>0.1141510025</v>
      </c>
      <c r="AM249">
        <v>0.1157682823</v>
      </c>
      <c r="AN249">
        <v>0.11749702300000001</v>
      </c>
      <c r="AO249">
        <v>0.1192190778</v>
      </c>
      <c r="AP249">
        <v>0.12093493130000001</v>
      </c>
      <c r="AQ249">
        <v>0.1226454454</v>
      </c>
      <c r="AR249">
        <v>0.12434912519999999</v>
      </c>
      <c r="AS249">
        <v>0.12710262119999999</v>
      </c>
      <c r="AT249">
        <v>0.1298607742</v>
      </c>
      <c r="AU249">
        <v>0.13262196649999999</v>
      </c>
      <c r="AV249">
        <v>0.13538656020000001</v>
      </c>
      <c r="AW249">
        <v>0.13815735879999999</v>
      </c>
    </row>
    <row r="250" spans="2:49" x14ac:dyDescent="0.25">
      <c r="B250" t="s">
        <v>551</v>
      </c>
      <c r="C250">
        <v>0.99132434052165697</v>
      </c>
      <c r="D250">
        <v>0.99132434052165697</v>
      </c>
      <c r="E250">
        <v>0.99172610110000003</v>
      </c>
      <c r="F250">
        <v>0.98765502360000001</v>
      </c>
      <c r="G250">
        <v>0.98360065809999997</v>
      </c>
      <c r="H250">
        <v>0.97956293589999999</v>
      </c>
      <c r="I250">
        <v>0.97554178869999997</v>
      </c>
      <c r="J250">
        <v>0.97153714849999995</v>
      </c>
      <c r="K250">
        <v>0.96754894749999998</v>
      </c>
      <c r="L250">
        <v>0.96357711820000003</v>
      </c>
      <c r="M250">
        <v>0.95962159349999998</v>
      </c>
      <c r="N250">
        <v>0.95568230639999996</v>
      </c>
      <c r="O250">
        <v>0.95496918220000004</v>
      </c>
      <c r="P250">
        <v>0.95421073860000005</v>
      </c>
      <c r="Q250">
        <v>0.95340251369999995</v>
      </c>
      <c r="R250">
        <v>0.95253944010000002</v>
      </c>
      <c r="S250">
        <v>0.95161573820000001</v>
      </c>
      <c r="T250">
        <v>0.94906485620000003</v>
      </c>
      <c r="U250">
        <v>0.94659676530000003</v>
      </c>
      <c r="V250">
        <v>0.94420749940000004</v>
      </c>
      <c r="W250">
        <v>0.94173000809999996</v>
      </c>
      <c r="X250">
        <v>0.93914802249999996</v>
      </c>
      <c r="Y250">
        <v>0.93915106670000004</v>
      </c>
      <c r="Z250">
        <v>0.93915429120000005</v>
      </c>
      <c r="AA250">
        <v>0.93915771260000003</v>
      </c>
      <c r="AB250">
        <v>0.93914282400000004</v>
      </c>
      <c r="AC250">
        <v>0.93912696520000005</v>
      </c>
      <c r="AD250">
        <v>0.93917792330000005</v>
      </c>
      <c r="AE250">
        <v>0.93923165669999997</v>
      </c>
      <c r="AF250">
        <v>0.9392883984</v>
      </c>
      <c r="AG250">
        <v>0.93933993189999998</v>
      </c>
      <c r="AH250">
        <v>0.93939452649999999</v>
      </c>
      <c r="AI250">
        <v>0.93936840190000004</v>
      </c>
      <c r="AJ250">
        <v>0.93934093090000004</v>
      </c>
      <c r="AK250">
        <v>0.93931200660000003</v>
      </c>
      <c r="AL250">
        <v>0.93929188559999999</v>
      </c>
      <c r="AM250">
        <v>0.93927064110000003</v>
      </c>
      <c r="AN250">
        <v>0.93905184689999999</v>
      </c>
      <c r="AO250">
        <v>0.93882460950000002</v>
      </c>
      <c r="AP250">
        <v>0.93858843049999996</v>
      </c>
      <c r="AQ250">
        <v>0.93834277150000001</v>
      </c>
      <c r="AR250">
        <v>0.93808705020000005</v>
      </c>
      <c r="AS250">
        <v>0.93778548299999998</v>
      </c>
      <c r="AT250">
        <v>0.93747725920000002</v>
      </c>
      <c r="AU250">
        <v>0.93716215570000005</v>
      </c>
      <c r="AV250">
        <v>0.93683993970000001</v>
      </c>
      <c r="AW250">
        <v>0.93651036759999995</v>
      </c>
    </row>
    <row r="251" spans="2:49" x14ac:dyDescent="0.25">
      <c r="B251" s="23" t="s">
        <v>303</v>
      </c>
      <c r="C251">
        <v>0.91950930808135101</v>
      </c>
      <c r="D251">
        <v>0.91950930808135101</v>
      </c>
      <c r="E251">
        <v>0.91950930809999998</v>
      </c>
      <c r="F251">
        <v>0.91950930809999998</v>
      </c>
      <c r="G251">
        <v>0.91950930809999998</v>
      </c>
      <c r="H251">
        <v>0.91950930809999998</v>
      </c>
      <c r="I251">
        <v>0.91950930809999998</v>
      </c>
      <c r="J251">
        <v>0.91950930809999998</v>
      </c>
      <c r="K251">
        <v>0.91950930809999998</v>
      </c>
      <c r="L251">
        <v>0.91950930809999998</v>
      </c>
      <c r="M251">
        <v>0.91950930809999998</v>
      </c>
      <c r="N251">
        <v>0.91950930809999998</v>
      </c>
      <c r="O251">
        <v>0.91950930809999998</v>
      </c>
      <c r="P251">
        <v>0.91950930809999998</v>
      </c>
      <c r="Q251">
        <v>0.91950930809999998</v>
      </c>
      <c r="R251">
        <v>0.91950930809999998</v>
      </c>
      <c r="S251">
        <v>0.91950930809999998</v>
      </c>
      <c r="T251">
        <v>0.91950930809999998</v>
      </c>
      <c r="U251">
        <v>0.91950930809999998</v>
      </c>
      <c r="V251">
        <v>0.91950930809999998</v>
      </c>
      <c r="W251">
        <v>0.91950930809999998</v>
      </c>
      <c r="X251">
        <v>0.91950930809999998</v>
      </c>
      <c r="Y251">
        <v>0.91950930809999998</v>
      </c>
      <c r="Z251">
        <v>0.91950930809999998</v>
      </c>
      <c r="AA251">
        <v>0.91950930809999998</v>
      </c>
      <c r="AB251">
        <v>0.91950930809999998</v>
      </c>
      <c r="AC251">
        <v>0.91950930809999998</v>
      </c>
      <c r="AD251">
        <v>0.91950930809999998</v>
      </c>
      <c r="AE251">
        <v>0.91950930809999998</v>
      </c>
      <c r="AF251">
        <v>0.91950930809999998</v>
      </c>
      <c r="AG251">
        <v>0.91950930809999998</v>
      </c>
      <c r="AH251">
        <v>0.91950930809999998</v>
      </c>
      <c r="AI251">
        <v>0.91950930809999998</v>
      </c>
      <c r="AJ251">
        <v>0.91950930809999998</v>
      </c>
      <c r="AK251">
        <v>0.91950930809999998</v>
      </c>
      <c r="AL251">
        <v>0.91950930809999998</v>
      </c>
      <c r="AM251">
        <v>0.91950930809999998</v>
      </c>
      <c r="AN251">
        <v>0.91950930809999998</v>
      </c>
      <c r="AO251">
        <v>0.91950930809999998</v>
      </c>
      <c r="AP251">
        <v>0.91950930809999998</v>
      </c>
      <c r="AQ251">
        <v>0.91950930809999998</v>
      </c>
      <c r="AR251">
        <v>0.91950930809999998</v>
      </c>
      <c r="AS251">
        <v>0.91950930809999998</v>
      </c>
      <c r="AT251">
        <v>0.91950930809999998</v>
      </c>
      <c r="AU251">
        <v>0.91950930809999998</v>
      </c>
      <c r="AV251">
        <v>0.91950930809999998</v>
      </c>
      <c r="AW251">
        <v>0.91950930809999998</v>
      </c>
    </row>
    <row r="252" spans="2:49" x14ac:dyDescent="0.25">
      <c r="B252" t="s">
        <v>254</v>
      </c>
      <c r="C252">
        <v>1.54983431156195</v>
      </c>
      <c r="D252">
        <v>1.57471740274219</v>
      </c>
      <c r="E252">
        <v>1.60860863</v>
      </c>
      <c r="F252">
        <v>1.873045399</v>
      </c>
      <c r="G252">
        <v>2.0755696449999999</v>
      </c>
      <c r="H252">
        <v>2.232830898</v>
      </c>
      <c r="I252">
        <v>2.5033874840000001</v>
      </c>
      <c r="J252">
        <v>2.7134910880000001</v>
      </c>
      <c r="K252">
        <v>2.813347759</v>
      </c>
      <c r="L252">
        <v>2.9338250160000001</v>
      </c>
      <c r="M252">
        <v>3.0906681640000002</v>
      </c>
      <c r="N252">
        <v>3.277185485</v>
      </c>
      <c r="O252">
        <v>4.2825014269999997</v>
      </c>
      <c r="P252">
        <v>5.3898954999999997</v>
      </c>
      <c r="Q252">
        <v>6.4980816949999998</v>
      </c>
      <c r="R252">
        <v>7.7719836359999999</v>
      </c>
      <c r="S252">
        <v>6.5687196139999999</v>
      </c>
      <c r="T252">
        <v>6.5461578789999999</v>
      </c>
      <c r="U252">
        <v>6.58783619</v>
      </c>
      <c r="V252">
        <v>6.6508047140000004</v>
      </c>
      <c r="W252">
        <v>5.9951592219999998</v>
      </c>
      <c r="X252">
        <v>5.4453704299999997</v>
      </c>
      <c r="Y252">
        <v>5.1167888960000001</v>
      </c>
      <c r="Z252">
        <v>4.8707497760000003</v>
      </c>
      <c r="AA252">
        <v>4.677296213</v>
      </c>
      <c r="AB252">
        <v>4.5236961100000004</v>
      </c>
      <c r="AC252">
        <v>4.393589714</v>
      </c>
      <c r="AD252">
        <v>4.3016795510000003</v>
      </c>
      <c r="AE252">
        <v>4.2117990499999998</v>
      </c>
      <c r="AF252">
        <v>4.1265801680000003</v>
      </c>
      <c r="AG252">
        <v>4.045275524</v>
      </c>
      <c r="AH252">
        <v>3.9695549749999999</v>
      </c>
      <c r="AI252">
        <v>3.8942467039999999</v>
      </c>
      <c r="AJ252">
        <v>3.8228503730000001</v>
      </c>
      <c r="AK252">
        <v>3.7569693740000001</v>
      </c>
      <c r="AL252">
        <v>3.695037642</v>
      </c>
      <c r="AM252">
        <v>3.634165034</v>
      </c>
      <c r="AN252">
        <v>3.5783754839999999</v>
      </c>
      <c r="AO252">
        <v>3.5288861100000002</v>
      </c>
      <c r="AP252">
        <v>3.4799140710000001</v>
      </c>
      <c r="AQ252">
        <v>3.4378799369999999</v>
      </c>
      <c r="AR252">
        <v>3.3939473699999998</v>
      </c>
      <c r="AS252">
        <v>3.3653062230000002</v>
      </c>
      <c r="AT252">
        <v>3.337850016</v>
      </c>
      <c r="AU252">
        <v>3.3122877929999999</v>
      </c>
      <c r="AV252">
        <v>3.2862358700000001</v>
      </c>
      <c r="AW252">
        <v>3.2642626219999999</v>
      </c>
    </row>
    <row r="253" spans="2:49" x14ac:dyDescent="0.25">
      <c r="B253" t="s">
        <v>255</v>
      </c>
      <c r="C253">
        <v>0.19372928894524399</v>
      </c>
      <c r="D253">
        <v>0.196839675342774</v>
      </c>
      <c r="E253">
        <v>0.2010760788</v>
      </c>
      <c r="F253">
        <v>0.1902792482</v>
      </c>
      <c r="G253">
        <v>0.1751726794</v>
      </c>
      <c r="H253">
        <v>0.15925526800000001</v>
      </c>
      <c r="I253">
        <v>0.15299376410000001</v>
      </c>
      <c r="J253">
        <v>0.14374549889999999</v>
      </c>
      <c r="K253">
        <v>0.13047423920000001</v>
      </c>
      <c r="L253">
        <v>0.1201684895</v>
      </c>
      <c r="M253">
        <v>0.1127030559</v>
      </c>
      <c r="N253">
        <v>0.1071890858</v>
      </c>
      <c r="O253">
        <v>0.1070013506</v>
      </c>
      <c r="P253">
        <v>0.1028760516</v>
      </c>
      <c r="Q253">
        <v>9.4746092599999998E-2</v>
      </c>
      <c r="R253">
        <v>8.6566571600000003E-2</v>
      </c>
      <c r="S253">
        <v>0.3673623915</v>
      </c>
      <c r="T253">
        <v>0.33170546909999998</v>
      </c>
      <c r="U253">
        <v>0.30195140180000002</v>
      </c>
      <c r="V253">
        <v>0.2751235964</v>
      </c>
      <c r="W253">
        <v>1.0280761490000001</v>
      </c>
      <c r="X253">
        <v>1.1730131049999999</v>
      </c>
      <c r="Y253">
        <v>1.321614826</v>
      </c>
      <c r="Z253">
        <v>1.4703123339999999</v>
      </c>
      <c r="AA253">
        <v>1.6190906679999999</v>
      </c>
      <c r="AB253">
        <v>1.721912653</v>
      </c>
      <c r="AC253">
        <v>1.826450232</v>
      </c>
      <c r="AD253">
        <v>2.1025166419999999</v>
      </c>
      <c r="AE253">
        <v>2.3721353550000002</v>
      </c>
      <c r="AF253">
        <v>2.6372321680000002</v>
      </c>
      <c r="AG253">
        <v>2.845815322</v>
      </c>
      <c r="AH253">
        <v>3.053368554</v>
      </c>
      <c r="AI253">
        <v>3.278587505</v>
      </c>
      <c r="AJ253">
        <v>3.501441475</v>
      </c>
      <c r="AK253">
        <v>3.7242421370000001</v>
      </c>
      <c r="AL253">
        <v>3.8967303119999999</v>
      </c>
      <c r="AM253">
        <v>4.0670278209999999</v>
      </c>
      <c r="AN253">
        <v>4.1642811870000003</v>
      </c>
      <c r="AO253">
        <v>4.266384467</v>
      </c>
      <c r="AP253">
        <v>4.3668894849999997</v>
      </c>
      <c r="AQ253">
        <v>4.4741763189999997</v>
      </c>
      <c r="AR253">
        <v>4.5772621510000002</v>
      </c>
      <c r="AS253">
        <v>4.7723618830000003</v>
      </c>
      <c r="AT253">
        <v>4.9684463760000002</v>
      </c>
      <c r="AU253">
        <v>5.1668592049999997</v>
      </c>
      <c r="AV253">
        <v>5.3641076549999998</v>
      </c>
      <c r="AW253">
        <v>5.5678684599999997</v>
      </c>
    </row>
    <row r="254" spans="2:49" x14ac:dyDescent="0.25">
      <c r="B254" t="s">
        <v>256</v>
      </c>
      <c r="C254">
        <v>0.71679836909740502</v>
      </c>
      <c r="D254">
        <v>0.72830679876826598</v>
      </c>
      <c r="E254">
        <v>0.74398149140000003</v>
      </c>
      <c r="F254">
        <v>0.73782270179999998</v>
      </c>
      <c r="G254">
        <v>0.71184562870000001</v>
      </c>
      <c r="H254">
        <v>0.67822238450000005</v>
      </c>
      <c r="I254">
        <v>0.68282734479999996</v>
      </c>
      <c r="J254">
        <v>0.67234207820000003</v>
      </c>
      <c r="K254">
        <v>0.6395576141</v>
      </c>
      <c r="L254">
        <v>0.61731149659999995</v>
      </c>
      <c r="M254">
        <v>0.60674795010000004</v>
      </c>
      <c r="N254">
        <v>0.60475860319999997</v>
      </c>
      <c r="O254">
        <v>0.61987453199999998</v>
      </c>
      <c r="P254">
        <v>0.61191243240000004</v>
      </c>
      <c r="Q254">
        <v>0.57859387829999998</v>
      </c>
      <c r="R254">
        <v>0.54272149729999997</v>
      </c>
      <c r="S254">
        <v>1.4172785000000001</v>
      </c>
      <c r="T254">
        <v>1.1944378630000001</v>
      </c>
      <c r="U254">
        <v>1.000665725</v>
      </c>
      <c r="V254">
        <v>0.823004493</v>
      </c>
      <c r="W254">
        <v>0.94465030380000004</v>
      </c>
      <c r="X254">
        <v>0.90464389430000003</v>
      </c>
      <c r="Y254">
        <v>0.8592588941</v>
      </c>
      <c r="Z254">
        <v>0.8268264448</v>
      </c>
      <c r="AA254">
        <v>0.80264161369999998</v>
      </c>
      <c r="AB254">
        <v>0.7810639667</v>
      </c>
      <c r="AC254">
        <v>0.76332137820000001</v>
      </c>
      <c r="AD254">
        <v>0.74240093409999997</v>
      </c>
      <c r="AE254">
        <v>0.72200215759999997</v>
      </c>
      <c r="AF254">
        <v>0.70452239130000005</v>
      </c>
      <c r="AG254">
        <v>0.68649036750000003</v>
      </c>
      <c r="AH254">
        <v>0.66952161060000004</v>
      </c>
      <c r="AI254">
        <v>0.66206144870000005</v>
      </c>
      <c r="AJ254">
        <v>0.65515659439999996</v>
      </c>
      <c r="AK254">
        <v>0.6490975698</v>
      </c>
      <c r="AL254">
        <v>0.64367256039999998</v>
      </c>
      <c r="AM254">
        <v>0.63835359599999997</v>
      </c>
      <c r="AN254">
        <v>0.63233541950000005</v>
      </c>
      <c r="AO254">
        <v>0.62736567659999998</v>
      </c>
      <c r="AP254">
        <v>0.62242927299999995</v>
      </c>
      <c r="AQ254">
        <v>0.61868235270000005</v>
      </c>
      <c r="AR254">
        <v>0.61454701749999996</v>
      </c>
      <c r="AS254">
        <v>0.6113320833</v>
      </c>
      <c r="AT254">
        <v>0.60832912250000004</v>
      </c>
      <c r="AU254">
        <v>0.60566978329999999</v>
      </c>
      <c r="AV254">
        <v>0.60292009599999996</v>
      </c>
      <c r="AW254">
        <v>0.60092007000000003</v>
      </c>
    </row>
    <row r="255" spans="2:49" x14ac:dyDescent="0.25">
      <c r="B255" t="s">
        <v>257</v>
      </c>
      <c r="C255">
        <v>0.19372928894524399</v>
      </c>
      <c r="D255">
        <v>0.196839675342774</v>
      </c>
      <c r="E255">
        <v>0.2010760788</v>
      </c>
      <c r="F255">
        <v>0.2107932891</v>
      </c>
      <c r="G255">
        <v>0.2149795155</v>
      </c>
      <c r="H255">
        <v>0.2165159364</v>
      </c>
      <c r="I255">
        <v>0.23042794329999999</v>
      </c>
      <c r="J255">
        <v>0.23983967210000001</v>
      </c>
      <c r="K255">
        <v>0.2411664519</v>
      </c>
      <c r="L255">
        <v>0.24606399809999999</v>
      </c>
      <c r="M255">
        <v>0.25565748929999998</v>
      </c>
      <c r="N255">
        <v>0.26936350079999999</v>
      </c>
      <c r="O255">
        <v>0.28783187970000002</v>
      </c>
      <c r="P255">
        <v>0.29622750129999997</v>
      </c>
      <c r="Q255">
        <v>0.29203429089999999</v>
      </c>
      <c r="R255">
        <v>0.28561710480000002</v>
      </c>
      <c r="S255">
        <v>0.32127477570000001</v>
      </c>
      <c r="T255">
        <v>0.30029469149999999</v>
      </c>
      <c r="U255">
        <v>0.28379159549999999</v>
      </c>
      <c r="V255">
        <v>0.26933277630000002</v>
      </c>
      <c r="W255">
        <v>0.38418376999999998</v>
      </c>
      <c r="X255">
        <v>0.39558525249999998</v>
      </c>
      <c r="Y255">
        <v>0.39731952869999998</v>
      </c>
      <c r="Z255">
        <v>0.40298614849999997</v>
      </c>
      <c r="AA255">
        <v>0.4111602701</v>
      </c>
      <c r="AB255">
        <v>0.42248848239999998</v>
      </c>
      <c r="AC255">
        <v>0.43486048049999998</v>
      </c>
      <c r="AD255">
        <v>0.46363049880000001</v>
      </c>
      <c r="AE255">
        <v>0.49172285850000003</v>
      </c>
      <c r="AF255">
        <v>0.51949826870000004</v>
      </c>
      <c r="AG255">
        <v>0.54724832540000001</v>
      </c>
      <c r="AH255">
        <v>0.57503091829999997</v>
      </c>
      <c r="AI255">
        <v>0.57833381029999997</v>
      </c>
      <c r="AJ255">
        <v>0.58193364569999995</v>
      </c>
      <c r="AK255">
        <v>0.58611681859999998</v>
      </c>
      <c r="AL255">
        <v>0.59084060959999996</v>
      </c>
      <c r="AM255">
        <v>0.59553031000000001</v>
      </c>
      <c r="AN255">
        <v>0.59883198900000001</v>
      </c>
      <c r="AO255">
        <v>0.60299458679999995</v>
      </c>
      <c r="AP255">
        <v>0.60707229770000004</v>
      </c>
      <c r="AQ255">
        <v>0.61221036309999999</v>
      </c>
      <c r="AR255">
        <v>0.61687552229999998</v>
      </c>
      <c r="AS255">
        <v>0.62160451419999996</v>
      </c>
      <c r="AT255">
        <v>0.62652280839999996</v>
      </c>
      <c r="AU255">
        <v>0.63177574240000001</v>
      </c>
      <c r="AV255">
        <v>0.63691824939999997</v>
      </c>
      <c r="AW255">
        <v>0.64284508650000005</v>
      </c>
    </row>
    <row r="256" spans="2:49" x14ac:dyDescent="0.25">
      <c r="B256" t="s">
        <v>258</v>
      </c>
      <c r="C256">
        <v>0.38745857789048899</v>
      </c>
      <c r="D256">
        <v>0.39367935068554899</v>
      </c>
      <c r="E256">
        <v>0.4021521575</v>
      </c>
      <c r="F256">
        <v>0.45763561349999998</v>
      </c>
      <c r="G256">
        <v>0.50663262340000004</v>
      </c>
      <c r="H256">
        <v>0.55388420090000001</v>
      </c>
      <c r="I256">
        <v>0.63987816630000005</v>
      </c>
      <c r="J256">
        <v>0.72296322710000005</v>
      </c>
      <c r="K256">
        <v>0.78912375680000002</v>
      </c>
      <c r="L256">
        <v>0.87399578560000002</v>
      </c>
      <c r="M256">
        <v>0.98571830110000003</v>
      </c>
      <c r="N256">
        <v>1.127368994</v>
      </c>
      <c r="O256">
        <v>1.2167055490000001</v>
      </c>
      <c r="P256">
        <v>1.264710797</v>
      </c>
      <c r="Q256">
        <v>1.259270289</v>
      </c>
      <c r="R256">
        <v>1.243908902</v>
      </c>
      <c r="S256">
        <v>2.19185813</v>
      </c>
      <c r="T256">
        <v>2.194667999</v>
      </c>
      <c r="U256">
        <v>2.2182191859999998</v>
      </c>
      <c r="V256">
        <v>2.2483528439999998</v>
      </c>
      <c r="W256">
        <v>3.2975839269999998</v>
      </c>
      <c r="X256">
        <v>3.3793332409999999</v>
      </c>
      <c r="Y256">
        <v>3.485907321</v>
      </c>
      <c r="Z256">
        <v>3.6186769760000002</v>
      </c>
      <c r="AA256">
        <v>3.768163156</v>
      </c>
      <c r="AB256">
        <v>3.9425157689999999</v>
      </c>
      <c r="AC256">
        <v>4.1235328940000002</v>
      </c>
      <c r="AD256">
        <v>4.2800960410000002</v>
      </c>
      <c r="AE256">
        <v>4.4329303619999996</v>
      </c>
      <c r="AF256">
        <v>4.5851486279999998</v>
      </c>
      <c r="AG256">
        <v>4.742080852</v>
      </c>
      <c r="AH256">
        <v>4.9008533270000001</v>
      </c>
      <c r="AI256">
        <v>5.0429950339999996</v>
      </c>
      <c r="AJ256">
        <v>5.1855039850000004</v>
      </c>
      <c r="AK256">
        <v>5.3312551790000002</v>
      </c>
      <c r="AL256">
        <v>5.483200396</v>
      </c>
      <c r="AM256">
        <v>5.6333255680000001</v>
      </c>
      <c r="AN256">
        <v>5.7332239850000004</v>
      </c>
      <c r="AO256">
        <v>5.8403198290000002</v>
      </c>
      <c r="AP256">
        <v>5.9456764829999997</v>
      </c>
      <c r="AQ256">
        <v>6.0606409320000001</v>
      </c>
      <c r="AR256">
        <v>6.1702391150000002</v>
      </c>
      <c r="AS256">
        <v>6.2503798440000002</v>
      </c>
      <c r="AT256">
        <v>6.3323278800000002</v>
      </c>
      <c r="AU256">
        <v>6.4175913659999999</v>
      </c>
      <c r="AV256">
        <v>6.5016795089999997</v>
      </c>
      <c r="AW256">
        <v>6.5937549789999998</v>
      </c>
    </row>
    <row r="257" spans="2:49" x14ac:dyDescent="0.25">
      <c r="B257" t="s">
        <v>259</v>
      </c>
      <c r="C257">
        <v>34.067295461021303</v>
      </c>
      <c r="D257">
        <v>34.614256909026899</v>
      </c>
      <c r="E257">
        <v>35.359228450000003</v>
      </c>
      <c r="F257">
        <v>35.492059910000002</v>
      </c>
      <c r="G257">
        <v>34.658004849999998</v>
      </c>
      <c r="H257">
        <v>33.421689389999997</v>
      </c>
      <c r="I257">
        <v>34.05694811</v>
      </c>
      <c r="J257">
        <v>34.071422800000001</v>
      </c>
      <c r="K257">
        <v>32.946153379999998</v>
      </c>
      <c r="L257">
        <v>32.344634630000002</v>
      </c>
      <c r="M257">
        <v>32.3562291</v>
      </c>
      <c r="N257">
        <v>32.847080149999996</v>
      </c>
      <c r="O257">
        <v>32.676530290000002</v>
      </c>
      <c r="P257">
        <v>31.308306179999999</v>
      </c>
      <c r="Q257">
        <v>28.734479289999999</v>
      </c>
      <c r="R257">
        <v>26.162973439999998</v>
      </c>
      <c r="S257">
        <v>23.739985780000001</v>
      </c>
      <c r="T257">
        <v>22.782735429999999</v>
      </c>
      <c r="U257">
        <v>22.116176790000001</v>
      </c>
      <c r="V257">
        <v>21.570481749999999</v>
      </c>
      <c r="W257">
        <v>17.60423905</v>
      </c>
      <c r="X257">
        <v>15.63870352</v>
      </c>
      <c r="Y257">
        <v>13.89959511</v>
      </c>
      <c r="Z257">
        <v>12.45955681</v>
      </c>
      <c r="AA257">
        <v>11.20941212</v>
      </c>
      <c r="AB257">
        <v>10.15622392</v>
      </c>
      <c r="AC257">
        <v>9.1851533889999999</v>
      </c>
      <c r="AD257">
        <v>8.4865207520000006</v>
      </c>
      <c r="AE257">
        <v>7.8026162780000003</v>
      </c>
      <c r="AF257">
        <v>7.1300502840000002</v>
      </c>
      <c r="AG257">
        <v>6.5382108460000001</v>
      </c>
      <c r="AH257">
        <v>5.9630941450000003</v>
      </c>
      <c r="AI257">
        <v>5.4368731190000004</v>
      </c>
      <c r="AJ257">
        <v>4.9237652790000004</v>
      </c>
      <c r="AK257">
        <v>4.4246210440000002</v>
      </c>
      <c r="AL257">
        <v>3.9900130869999999</v>
      </c>
      <c r="AM257">
        <v>3.5610016880000002</v>
      </c>
      <c r="AN257">
        <v>3.229924032</v>
      </c>
      <c r="AO257">
        <v>2.9083162730000001</v>
      </c>
      <c r="AP257">
        <v>2.5904819899999998</v>
      </c>
      <c r="AQ257">
        <v>2.2806491960000002</v>
      </c>
      <c r="AR257">
        <v>1.9720649219999999</v>
      </c>
      <c r="AS257">
        <v>1.583413269</v>
      </c>
      <c r="AT257">
        <v>1.2027520380000001</v>
      </c>
      <c r="AU257">
        <v>0.82986231349999995</v>
      </c>
      <c r="AV257">
        <v>0.46378095499999999</v>
      </c>
      <c r="AW257">
        <v>0.1049166493</v>
      </c>
    </row>
    <row r="258" spans="2:49" x14ac:dyDescent="0.25">
      <c r="B258" t="s">
        <v>260</v>
      </c>
      <c r="C258">
        <v>1.54983431156195</v>
      </c>
      <c r="D258">
        <v>1.57471740274219</v>
      </c>
      <c r="E258">
        <v>1.60860863</v>
      </c>
      <c r="F258">
        <v>1.873045399</v>
      </c>
      <c r="G258">
        <v>2.0755696449999999</v>
      </c>
      <c r="H258">
        <v>2.232830898</v>
      </c>
      <c r="I258">
        <v>2.5033874840000001</v>
      </c>
      <c r="J258">
        <v>2.7134910880000001</v>
      </c>
      <c r="K258">
        <v>2.813347759</v>
      </c>
      <c r="L258">
        <v>2.9338250160000001</v>
      </c>
      <c r="M258">
        <v>3.0906681640000002</v>
      </c>
      <c r="N258">
        <v>3.277185485</v>
      </c>
      <c r="O258">
        <v>4.2825014269999997</v>
      </c>
      <c r="P258">
        <v>5.3898954999999997</v>
      </c>
      <c r="Q258">
        <v>6.4980816949999998</v>
      </c>
      <c r="R258">
        <v>7.7719836359999999</v>
      </c>
      <c r="S258">
        <v>6.5687196139999999</v>
      </c>
      <c r="T258">
        <v>6.5461578789999999</v>
      </c>
      <c r="U258">
        <v>6.58783619</v>
      </c>
      <c r="V258">
        <v>6.6508047140000004</v>
      </c>
      <c r="W258">
        <v>5.9951592219999998</v>
      </c>
      <c r="X258">
        <v>5.4453704299999997</v>
      </c>
      <c r="Y258">
        <v>5.1167888960000001</v>
      </c>
      <c r="Z258">
        <v>4.8707497760000003</v>
      </c>
      <c r="AA258">
        <v>4.677296213</v>
      </c>
      <c r="AB258">
        <v>4.5236961100000004</v>
      </c>
      <c r="AC258">
        <v>4.393589714</v>
      </c>
      <c r="AD258">
        <v>4.3016795510000003</v>
      </c>
      <c r="AE258">
        <v>4.2117990499999998</v>
      </c>
      <c r="AF258">
        <v>4.1265801680000003</v>
      </c>
      <c r="AG258">
        <v>4.045275524</v>
      </c>
      <c r="AH258">
        <v>3.9695549749999999</v>
      </c>
      <c r="AI258">
        <v>3.8942467039999999</v>
      </c>
      <c r="AJ258">
        <v>3.8228503730000001</v>
      </c>
      <c r="AK258">
        <v>3.7569693740000001</v>
      </c>
      <c r="AL258">
        <v>3.695037642</v>
      </c>
      <c r="AM258">
        <v>3.634165034</v>
      </c>
      <c r="AN258">
        <v>3.5783754839999999</v>
      </c>
      <c r="AO258">
        <v>3.5288861100000002</v>
      </c>
      <c r="AP258">
        <v>3.4799140710000001</v>
      </c>
      <c r="AQ258">
        <v>3.4378799369999999</v>
      </c>
      <c r="AR258">
        <v>3.3939473699999998</v>
      </c>
      <c r="AS258">
        <v>3.3653062230000002</v>
      </c>
      <c r="AT258">
        <v>3.337850016</v>
      </c>
      <c r="AU258">
        <v>3.3122877929999999</v>
      </c>
      <c r="AV258">
        <v>3.2862358700000001</v>
      </c>
      <c r="AW258">
        <v>3.2642626219999999</v>
      </c>
    </row>
    <row r="259" spans="2:49" x14ac:dyDescent="0.25">
      <c r="B259" t="s">
        <v>261</v>
      </c>
      <c r="C259">
        <v>0.19372928894524399</v>
      </c>
      <c r="D259">
        <v>0.196839675342774</v>
      </c>
      <c r="E259">
        <v>0.2010760788</v>
      </c>
      <c r="F259">
        <v>0.1902792482</v>
      </c>
      <c r="G259">
        <v>0.1751726794</v>
      </c>
      <c r="H259">
        <v>0.15925526800000001</v>
      </c>
      <c r="I259">
        <v>0.15299376410000001</v>
      </c>
      <c r="J259">
        <v>0.14374549889999999</v>
      </c>
      <c r="K259">
        <v>0.13047423920000001</v>
      </c>
      <c r="L259">
        <v>0.1201684895</v>
      </c>
      <c r="M259">
        <v>0.1127030559</v>
      </c>
      <c r="N259">
        <v>0.1071890858</v>
      </c>
      <c r="O259">
        <v>0.1070013506</v>
      </c>
      <c r="P259">
        <v>0.1028760516</v>
      </c>
      <c r="Q259">
        <v>9.4746092599999998E-2</v>
      </c>
      <c r="R259">
        <v>8.6566571600000003E-2</v>
      </c>
      <c r="S259">
        <v>0.3673623915</v>
      </c>
      <c r="T259">
        <v>0.33170546909999998</v>
      </c>
      <c r="U259">
        <v>0.30195140180000002</v>
      </c>
      <c r="V259">
        <v>0.2751235964</v>
      </c>
      <c r="W259">
        <v>1.0280761490000001</v>
      </c>
      <c r="X259">
        <v>1.1730131049999999</v>
      </c>
      <c r="Y259">
        <v>1.321614826</v>
      </c>
      <c r="Z259">
        <v>1.4703123339999999</v>
      </c>
      <c r="AA259">
        <v>1.6190906679999999</v>
      </c>
      <c r="AB259">
        <v>1.721912653</v>
      </c>
      <c r="AC259">
        <v>1.826450232</v>
      </c>
      <c r="AD259">
        <v>2.1025166419999999</v>
      </c>
      <c r="AE259">
        <v>2.3721353550000002</v>
      </c>
      <c r="AF259">
        <v>2.6372321680000002</v>
      </c>
      <c r="AG259">
        <v>2.845815322</v>
      </c>
      <c r="AH259">
        <v>3.053368554</v>
      </c>
      <c r="AI259">
        <v>3.278587505</v>
      </c>
      <c r="AJ259">
        <v>3.501441475</v>
      </c>
      <c r="AK259">
        <v>3.7242421370000001</v>
      </c>
      <c r="AL259">
        <v>3.8967303119999999</v>
      </c>
      <c r="AM259">
        <v>4.0670278209999999</v>
      </c>
      <c r="AN259">
        <v>4.1642811870000003</v>
      </c>
      <c r="AO259">
        <v>4.266384467</v>
      </c>
      <c r="AP259">
        <v>4.3668894849999997</v>
      </c>
      <c r="AQ259">
        <v>4.4741763189999997</v>
      </c>
      <c r="AR259">
        <v>4.5772621510000002</v>
      </c>
      <c r="AS259">
        <v>4.7723618830000003</v>
      </c>
      <c r="AT259">
        <v>4.9684463760000002</v>
      </c>
      <c r="AU259">
        <v>5.1668592049999997</v>
      </c>
      <c r="AV259">
        <v>5.3641076549999998</v>
      </c>
      <c r="AW259">
        <v>5.5678684599999997</v>
      </c>
    </row>
    <row r="260" spans="2:49" x14ac:dyDescent="0.25">
      <c r="B260" t="s">
        <v>262</v>
      </c>
      <c r="C260">
        <v>0.71679836909740502</v>
      </c>
      <c r="D260">
        <v>0.72830679876826598</v>
      </c>
      <c r="E260">
        <v>0.74398149140000003</v>
      </c>
      <c r="F260">
        <v>0.73782270179999998</v>
      </c>
      <c r="G260">
        <v>0.71184562870000001</v>
      </c>
      <c r="H260">
        <v>0.67822238450000005</v>
      </c>
      <c r="I260">
        <v>0.68282734479999996</v>
      </c>
      <c r="J260">
        <v>0.67234207820000003</v>
      </c>
      <c r="K260">
        <v>0.6395576141</v>
      </c>
      <c r="L260">
        <v>0.61731149659999995</v>
      </c>
      <c r="M260">
        <v>0.60674795010000004</v>
      </c>
      <c r="N260">
        <v>0.60475860319999997</v>
      </c>
      <c r="O260">
        <v>0.61987453199999998</v>
      </c>
      <c r="P260">
        <v>0.61191243240000004</v>
      </c>
      <c r="Q260">
        <v>0.57859387829999998</v>
      </c>
      <c r="R260">
        <v>0.54272149729999997</v>
      </c>
      <c r="S260">
        <v>1.4172785000000001</v>
      </c>
      <c r="T260">
        <v>1.1944378630000001</v>
      </c>
      <c r="U260">
        <v>1.000665725</v>
      </c>
      <c r="V260">
        <v>0.823004493</v>
      </c>
      <c r="W260">
        <v>0.94465030380000004</v>
      </c>
      <c r="X260">
        <v>0.90464389430000003</v>
      </c>
      <c r="Y260">
        <v>0.8592588941</v>
      </c>
      <c r="Z260">
        <v>0.8268264448</v>
      </c>
      <c r="AA260">
        <v>0.80264161369999998</v>
      </c>
      <c r="AB260">
        <v>0.7810639667</v>
      </c>
      <c r="AC260">
        <v>0.76332137820000001</v>
      </c>
      <c r="AD260">
        <v>0.74240093409999997</v>
      </c>
      <c r="AE260">
        <v>0.72200215759999997</v>
      </c>
      <c r="AF260">
        <v>0.70452239130000005</v>
      </c>
      <c r="AG260">
        <v>0.68649036750000003</v>
      </c>
      <c r="AH260">
        <v>0.66952161060000004</v>
      </c>
      <c r="AI260">
        <v>0.66206144870000005</v>
      </c>
      <c r="AJ260">
        <v>0.65515659439999996</v>
      </c>
      <c r="AK260">
        <v>0.6490975698</v>
      </c>
      <c r="AL260">
        <v>0.64367256039999998</v>
      </c>
      <c r="AM260">
        <v>0.63835359599999997</v>
      </c>
      <c r="AN260">
        <v>0.63233541950000005</v>
      </c>
      <c r="AO260">
        <v>0.62736567659999998</v>
      </c>
      <c r="AP260">
        <v>0.62242927299999995</v>
      </c>
      <c r="AQ260">
        <v>0.61868235270000005</v>
      </c>
      <c r="AR260">
        <v>0.61454701749999996</v>
      </c>
      <c r="AS260">
        <v>0.6113320833</v>
      </c>
      <c r="AT260">
        <v>0.60832912250000004</v>
      </c>
      <c r="AU260">
        <v>0.60566978329999999</v>
      </c>
      <c r="AV260">
        <v>0.60292009599999996</v>
      </c>
      <c r="AW260">
        <v>0.60092007000000003</v>
      </c>
    </row>
    <row r="261" spans="2:49" x14ac:dyDescent="0.25">
      <c r="B261" t="s">
        <v>263</v>
      </c>
      <c r="C261">
        <v>0.19372928894524399</v>
      </c>
      <c r="D261">
        <v>0.196839675342774</v>
      </c>
      <c r="E261">
        <v>0.2010760788</v>
      </c>
      <c r="F261">
        <v>0.2107932891</v>
      </c>
      <c r="G261">
        <v>0.2149795155</v>
      </c>
      <c r="H261">
        <v>0.2165159364</v>
      </c>
      <c r="I261">
        <v>0.23042794329999999</v>
      </c>
      <c r="J261">
        <v>0.23983967210000001</v>
      </c>
      <c r="K261">
        <v>0.2411664519</v>
      </c>
      <c r="L261">
        <v>0.24606399809999999</v>
      </c>
      <c r="M261">
        <v>0.25565748929999998</v>
      </c>
      <c r="N261">
        <v>0.26936350079999999</v>
      </c>
      <c r="O261">
        <v>0.28783187970000002</v>
      </c>
      <c r="P261">
        <v>0.29622750129999997</v>
      </c>
      <c r="Q261">
        <v>0.29203429089999999</v>
      </c>
      <c r="R261">
        <v>0.28561710480000002</v>
      </c>
      <c r="S261">
        <v>0.32127477570000001</v>
      </c>
      <c r="T261">
        <v>0.30029469149999999</v>
      </c>
      <c r="U261">
        <v>0.28379159549999999</v>
      </c>
      <c r="V261">
        <v>0.26933277630000002</v>
      </c>
      <c r="W261">
        <v>0.38418376999999998</v>
      </c>
      <c r="X261">
        <v>0.39558525249999998</v>
      </c>
      <c r="Y261">
        <v>0.39731952869999998</v>
      </c>
      <c r="Z261">
        <v>0.40298614849999997</v>
      </c>
      <c r="AA261">
        <v>0.4111602701</v>
      </c>
      <c r="AB261">
        <v>0.42248848239999998</v>
      </c>
      <c r="AC261">
        <v>0.43486048049999998</v>
      </c>
      <c r="AD261">
        <v>0.46363049880000001</v>
      </c>
      <c r="AE261">
        <v>0.49172285850000003</v>
      </c>
      <c r="AF261">
        <v>0.51949826870000004</v>
      </c>
      <c r="AG261">
        <v>0.54724832540000001</v>
      </c>
      <c r="AH261">
        <v>0.57503091829999997</v>
      </c>
      <c r="AI261">
        <v>0.57833381029999997</v>
      </c>
      <c r="AJ261">
        <v>0.58193364569999995</v>
      </c>
      <c r="AK261">
        <v>0.58611681859999998</v>
      </c>
      <c r="AL261">
        <v>0.59084060959999996</v>
      </c>
      <c r="AM261">
        <v>0.59553031000000001</v>
      </c>
      <c r="AN261">
        <v>0.59883198900000001</v>
      </c>
      <c r="AO261">
        <v>0.60299458679999995</v>
      </c>
      <c r="AP261">
        <v>0.60707229770000004</v>
      </c>
      <c r="AQ261">
        <v>0.61221036309999999</v>
      </c>
      <c r="AR261">
        <v>0.61687552229999998</v>
      </c>
      <c r="AS261">
        <v>0.62160451419999996</v>
      </c>
      <c r="AT261">
        <v>0.62652280839999996</v>
      </c>
      <c r="AU261">
        <v>0.63177574240000001</v>
      </c>
      <c r="AV261">
        <v>0.63691824939999997</v>
      </c>
      <c r="AW261">
        <v>0.64284508650000005</v>
      </c>
    </row>
    <row r="262" spans="2:49" x14ac:dyDescent="0.25">
      <c r="B262" t="s">
        <v>264</v>
      </c>
      <c r="C262">
        <v>0.38745857789048899</v>
      </c>
      <c r="D262">
        <v>0.39367935068554899</v>
      </c>
      <c r="E262">
        <v>0.4021521575</v>
      </c>
      <c r="F262">
        <v>0.45763561349999998</v>
      </c>
      <c r="G262">
        <v>0.50663262340000004</v>
      </c>
      <c r="H262">
        <v>0.55388420090000001</v>
      </c>
      <c r="I262">
        <v>0.63987816630000005</v>
      </c>
      <c r="J262">
        <v>0.72296322710000005</v>
      </c>
      <c r="K262">
        <v>0.78912375680000002</v>
      </c>
      <c r="L262">
        <v>0.87399578560000002</v>
      </c>
      <c r="M262">
        <v>0.98571830110000003</v>
      </c>
      <c r="N262">
        <v>1.127368994</v>
      </c>
      <c r="O262">
        <v>1.2167055490000001</v>
      </c>
      <c r="P262">
        <v>1.264710797</v>
      </c>
      <c r="Q262">
        <v>1.259270289</v>
      </c>
      <c r="R262">
        <v>1.243908902</v>
      </c>
      <c r="S262">
        <v>2.19185813</v>
      </c>
      <c r="T262">
        <v>2.194667999</v>
      </c>
      <c r="U262">
        <v>2.2182191859999998</v>
      </c>
      <c r="V262">
        <v>2.2483528439999998</v>
      </c>
      <c r="W262">
        <v>3.2975839269999998</v>
      </c>
      <c r="X262">
        <v>3.3793332409999999</v>
      </c>
      <c r="Y262">
        <v>3.485907321</v>
      </c>
      <c r="Z262">
        <v>3.6186769760000002</v>
      </c>
      <c r="AA262">
        <v>3.768163156</v>
      </c>
      <c r="AB262">
        <v>3.9425157689999999</v>
      </c>
      <c r="AC262">
        <v>4.1235328940000002</v>
      </c>
      <c r="AD262">
        <v>4.2800960410000002</v>
      </c>
      <c r="AE262">
        <v>4.4329303619999996</v>
      </c>
      <c r="AF262">
        <v>4.5851486279999998</v>
      </c>
      <c r="AG262">
        <v>4.742080852</v>
      </c>
      <c r="AH262">
        <v>4.9008533270000001</v>
      </c>
      <c r="AI262">
        <v>5.0429950339999996</v>
      </c>
      <c r="AJ262">
        <v>5.1855039850000004</v>
      </c>
      <c r="AK262">
        <v>5.3312551790000002</v>
      </c>
      <c r="AL262">
        <v>5.483200396</v>
      </c>
      <c r="AM262">
        <v>5.6333255680000001</v>
      </c>
      <c r="AN262">
        <v>5.7332239850000004</v>
      </c>
      <c r="AO262">
        <v>5.8403198290000002</v>
      </c>
      <c r="AP262">
        <v>5.9456764829999997</v>
      </c>
      <c r="AQ262">
        <v>6.0606409320000001</v>
      </c>
      <c r="AR262">
        <v>6.1702391150000002</v>
      </c>
      <c r="AS262">
        <v>6.2503798440000002</v>
      </c>
      <c r="AT262">
        <v>6.3323278800000002</v>
      </c>
      <c r="AU262">
        <v>6.4175913659999999</v>
      </c>
      <c r="AV262">
        <v>6.5016795089999997</v>
      </c>
      <c r="AW262">
        <v>6.5937549789999998</v>
      </c>
    </row>
    <row r="263" spans="2:49" x14ac:dyDescent="0.25">
      <c r="B263" t="s">
        <v>265</v>
      </c>
      <c r="C263">
        <v>1.1905732046364299</v>
      </c>
      <c r="D263">
        <v>1.2096882425386799</v>
      </c>
      <c r="E263">
        <v>1.229110199</v>
      </c>
      <c r="F263">
        <v>1.2315210889999999</v>
      </c>
      <c r="G263">
        <v>1.1449187329999999</v>
      </c>
      <c r="H263">
        <v>0.92601423009999995</v>
      </c>
      <c r="I263">
        <v>1.0179888459999999</v>
      </c>
      <c r="J263">
        <v>1.0425604260000001</v>
      </c>
      <c r="K263">
        <v>0.98423772379999996</v>
      </c>
      <c r="L263">
        <v>0.97519208479999997</v>
      </c>
      <c r="M263">
        <v>0.97964951410000001</v>
      </c>
      <c r="N263">
        <v>0.95446687779999995</v>
      </c>
      <c r="O263">
        <v>0.94806820520000001</v>
      </c>
      <c r="P263">
        <v>0.93623792750000001</v>
      </c>
      <c r="Q263">
        <v>0.92346104780000005</v>
      </c>
      <c r="R263">
        <v>0.9124547959</v>
      </c>
      <c r="S263">
        <v>0.90503557950000002</v>
      </c>
      <c r="T263">
        <v>0.89476977310000005</v>
      </c>
      <c r="U263">
        <v>0.89457958449999997</v>
      </c>
      <c r="V263">
        <v>0.89962734339999995</v>
      </c>
      <c r="W263">
        <v>0.89809505960000002</v>
      </c>
      <c r="X263">
        <v>0.89150585630000001</v>
      </c>
      <c r="Y263">
        <v>0.88800559680000002</v>
      </c>
      <c r="Z263">
        <v>0.88570730369999995</v>
      </c>
      <c r="AA263">
        <v>0.8849280249</v>
      </c>
      <c r="AB263">
        <v>0.88545210839999999</v>
      </c>
      <c r="AC263">
        <v>0.88747990659999998</v>
      </c>
      <c r="AD263">
        <v>0.8946039831</v>
      </c>
      <c r="AE263">
        <v>0.90380718530000004</v>
      </c>
      <c r="AF263">
        <v>0.91473904260000005</v>
      </c>
      <c r="AG263">
        <v>0.92674767410000003</v>
      </c>
      <c r="AH263">
        <v>0.93977203050000002</v>
      </c>
      <c r="AI263">
        <v>0.95345554860000004</v>
      </c>
      <c r="AJ263">
        <v>0.96770364929999997</v>
      </c>
      <c r="AK263">
        <v>0.98260997380000004</v>
      </c>
      <c r="AL263">
        <v>0.99791648389999998</v>
      </c>
      <c r="AM263">
        <v>1.0139757229999999</v>
      </c>
      <c r="AN263">
        <v>1.029576882</v>
      </c>
      <c r="AO263">
        <v>1.0456711670000001</v>
      </c>
      <c r="AP263">
        <v>1.0618065619999999</v>
      </c>
      <c r="AQ263">
        <v>1.078606309</v>
      </c>
      <c r="AR263">
        <v>1.0952550270000001</v>
      </c>
      <c r="AS263">
        <v>1.1120923519999999</v>
      </c>
      <c r="AT263">
        <v>1.1290265429999999</v>
      </c>
      <c r="AU263">
        <v>1.1460950780000001</v>
      </c>
      <c r="AV263">
        <v>1.1631692010000001</v>
      </c>
      <c r="AW263">
        <v>1.1806933129999999</v>
      </c>
    </row>
    <row r="264" spans="2:49" x14ac:dyDescent="0.25">
      <c r="B264" t="s">
        <v>266</v>
      </c>
      <c r="C264">
        <v>1.7112081308179601</v>
      </c>
      <c r="D264">
        <v>1.7386821308642</v>
      </c>
      <c r="E264">
        <v>1.766597204</v>
      </c>
      <c r="F264">
        <v>1.7874173019999999</v>
      </c>
      <c r="G264">
        <v>1.810204771</v>
      </c>
      <c r="H264">
        <v>1.7022867580000001</v>
      </c>
      <c r="I264">
        <v>1.7767751169999999</v>
      </c>
      <c r="J264">
        <v>1.8105798239999999</v>
      </c>
      <c r="K264">
        <v>1.791703268</v>
      </c>
      <c r="L264">
        <v>1.7992142</v>
      </c>
      <c r="M264">
        <v>1.8081049119999999</v>
      </c>
      <c r="N264">
        <v>1.8460067529999999</v>
      </c>
      <c r="O264">
        <v>1.8929711490000001</v>
      </c>
      <c r="P264">
        <v>1.91517286</v>
      </c>
      <c r="Q264">
        <v>1.92588648</v>
      </c>
      <c r="R264">
        <v>1.941051987</v>
      </c>
      <c r="S264">
        <v>1.9615180569999999</v>
      </c>
      <c r="T264">
        <v>1.9625009250000001</v>
      </c>
      <c r="U264">
        <v>1.9659001629999999</v>
      </c>
      <c r="V264">
        <v>1.9724249220000001</v>
      </c>
      <c r="W264">
        <v>1.971519698</v>
      </c>
      <c r="X264">
        <v>1.956091501</v>
      </c>
      <c r="Y264">
        <v>1.9491698500000001</v>
      </c>
      <c r="Z264">
        <v>1.952632731</v>
      </c>
      <c r="AA264">
        <v>1.9613065700000001</v>
      </c>
      <c r="AB264">
        <v>1.972527339</v>
      </c>
      <c r="AC264">
        <v>1.9853306159999999</v>
      </c>
      <c r="AD264">
        <v>2.0042428509999999</v>
      </c>
      <c r="AE264">
        <v>2.0293774500000001</v>
      </c>
      <c r="AF264">
        <v>2.0569253409999999</v>
      </c>
      <c r="AG264">
        <v>2.0896388240000001</v>
      </c>
      <c r="AH264">
        <v>2.121639885</v>
      </c>
      <c r="AI264">
        <v>2.1604897489999999</v>
      </c>
      <c r="AJ264">
        <v>2.1926809600000001</v>
      </c>
      <c r="AK264">
        <v>2.2381985790000001</v>
      </c>
      <c r="AL264">
        <v>2.267453433</v>
      </c>
      <c r="AM264">
        <v>2.3236415720000001</v>
      </c>
      <c r="AN264">
        <v>2.34045288</v>
      </c>
      <c r="AO264">
        <v>2.4159979049999998</v>
      </c>
      <c r="AP264">
        <v>2.4067136549999999</v>
      </c>
      <c r="AQ264">
        <v>2.5268110410000002</v>
      </c>
      <c r="AR264">
        <v>2.522531796</v>
      </c>
      <c r="AS264">
        <v>2.5689221099999999</v>
      </c>
      <c r="AT264">
        <v>2.5971679769999998</v>
      </c>
      <c r="AU264">
        <v>2.6590995949999998</v>
      </c>
      <c r="AV264">
        <v>2.6725197189999998</v>
      </c>
      <c r="AW264">
        <v>2.7603994850000002</v>
      </c>
    </row>
    <row r="265" spans="2:49" x14ac:dyDescent="0.25">
      <c r="B265" t="s">
        <v>267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</row>
    <row r="266" spans="2:49" x14ac:dyDescent="0.25">
      <c r="B266" t="s">
        <v>268</v>
      </c>
      <c r="C266">
        <v>1.5692072404564801</v>
      </c>
      <c r="D266">
        <v>1.5944013702764701</v>
      </c>
      <c r="E266">
        <v>1.6200002060000001</v>
      </c>
      <c r="F266">
        <v>1.6389765730000001</v>
      </c>
      <c r="G266">
        <v>1.663232187</v>
      </c>
      <c r="H266">
        <v>1.551759764</v>
      </c>
      <c r="I266">
        <v>1.6288634749999999</v>
      </c>
      <c r="J266">
        <v>1.6761074439999999</v>
      </c>
      <c r="K266">
        <v>1.6664686259999999</v>
      </c>
      <c r="L266">
        <v>1.6732747960000001</v>
      </c>
      <c r="M266">
        <v>1.6801261110000001</v>
      </c>
      <c r="N266">
        <v>1.696718564</v>
      </c>
      <c r="O266">
        <v>1.7709885249999999</v>
      </c>
      <c r="P266">
        <v>1.8488448470000001</v>
      </c>
      <c r="Q266">
        <v>1.9178909159999999</v>
      </c>
      <c r="R266">
        <v>1.976127921</v>
      </c>
      <c r="S266">
        <v>2.0205621900000001</v>
      </c>
      <c r="T266">
        <v>2.0144879219999998</v>
      </c>
      <c r="U266">
        <v>2.0045550649999999</v>
      </c>
      <c r="V266">
        <v>1.997564962</v>
      </c>
      <c r="W266">
        <v>1.9066782369999999</v>
      </c>
      <c r="X266">
        <v>1.8213295730000001</v>
      </c>
      <c r="Y266">
        <v>1.7638485909999999</v>
      </c>
      <c r="Z266">
        <v>1.7306819170000001</v>
      </c>
      <c r="AA266">
        <v>1.710821207</v>
      </c>
      <c r="AB266">
        <v>1.699584003</v>
      </c>
      <c r="AC266">
        <v>1.693306915</v>
      </c>
      <c r="AD266">
        <v>1.701619717</v>
      </c>
      <c r="AE266">
        <v>1.7189534200000001</v>
      </c>
      <c r="AF266">
        <v>1.739817505</v>
      </c>
      <c r="AG266">
        <v>1.765582268</v>
      </c>
      <c r="AH266">
        <v>1.7909897020000001</v>
      </c>
      <c r="AI266">
        <v>1.8225586920000001</v>
      </c>
      <c r="AJ266">
        <v>1.8485912149999999</v>
      </c>
      <c r="AK266">
        <v>1.885950249</v>
      </c>
      <c r="AL266">
        <v>1.9097495419999999</v>
      </c>
      <c r="AM266">
        <v>1.95604997</v>
      </c>
      <c r="AN266">
        <v>1.96940396</v>
      </c>
      <c r="AO266">
        <v>2.0324566860000002</v>
      </c>
      <c r="AP266">
        <v>2.0242709250000002</v>
      </c>
      <c r="AQ266">
        <v>2.125082141</v>
      </c>
      <c r="AR266">
        <v>2.1212924659999999</v>
      </c>
      <c r="AS266">
        <v>2.1598653379999999</v>
      </c>
      <c r="AT266">
        <v>2.1830411750000001</v>
      </c>
      <c r="AU266">
        <v>2.2344358469999999</v>
      </c>
      <c r="AV266">
        <v>2.2449233579999999</v>
      </c>
      <c r="AW266">
        <v>2.3178843819999999</v>
      </c>
    </row>
    <row r="267" spans="2:49" x14ac:dyDescent="0.25">
      <c r="B267" t="s">
        <v>269</v>
      </c>
      <c r="C267">
        <v>0.99189533402801899</v>
      </c>
      <c r="D267">
        <v>0.99189533402801799</v>
      </c>
      <c r="E267">
        <v>0.99189532579999995</v>
      </c>
      <c r="F267">
        <v>0.98719299760000001</v>
      </c>
      <c r="G267">
        <v>0.98253090730000003</v>
      </c>
      <c r="H267">
        <v>0.97786703210000003</v>
      </c>
      <c r="I267">
        <v>0.97325870889999999</v>
      </c>
      <c r="J267">
        <v>0.96867469780000004</v>
      </c>
      <c r="K267">
        <v>0.96412075190000002</v>
      </c>
      <c r="L267">
        <v>0.95959345910000005</v>
      </c>
      <c r="M267">
        <v>0.95507468500000003</v>
      </c>
      <c r="N267">
        <v>0.95058946609999995</v>
      </c>
      <c r="O267">
        <v>0.94786269499999998</v>
      </c>
      <c r="P267">
        <v>0.94500637750000005</v>
      </c>
      <c r="Q267">
        <v>0.94201177439999995</v>
      </c>
      <c r="R267">
        <v>0.9388456114</v>
      </c>
      <c r="S267">
        <v>0.95295276790000005</v>
      </c>
      <c r="T267">
        <v>0.95006016660000003</v>
      </c>
      <c r="U267">
        <v>0.94720674319999998</v>
      </c>
      <c r="V267">
        <v>0.94438895560000002</v>
      </c>
      <c r="W267">
        <v>0.92727339870000003</v>
      </c>
      <c r="X267">
        <v>0.92234178730000005</v>
      </c>
      <c r="Y267">
        <v>0.91729524330000001</v>
      </c>
      <c r="Z267">
        <v>0.91180006609999997</v>
      </c>
      <c r="AA267">
        <v>0.90578240379999997</v>
      </c>
      <c r="AB267">
        <v>0.89950872240000002</v>
      </c>
      <c r="AC267">
        <v>0.89257376919999998</v>
      </c>
      <c r="AD267">
        <v>0.87770636619999998</v>
      </c>
      <c r="AE267">
        <v>0.86124789700000004</v>
      </c>
      <c r="AF267">
        <v>0.84291260710000004</v>
      </c>
      <c r="AG267">
        <v>0.82278503479999998</v>
      </c>
      <c r="AH267">
        <v>0.80004288010000002</v>
      </c>
      <c r="AI267">
        <v>0.76843563439999996</v>
      </c>
      <c r="AJ267">
        <v>0.73217582469999998</v>
      </c>
      <c r="AK267">
        <v>0.69027061680000001</v>
      </c>
      <c r="AL267">
        <v>0.64287953710000001</v>
      </c>
      <c r="AM267">
        <v>0.58678200899999999</v>
      </c>
      <c r="AN267">
        <v>0.56269853690000005</v>
      </c>
      <c r="AO267">
        <v>0.53512709250000001</v>
      </c>
      <c r="AP267">
        <v>0.50136023249999995</v>
      </c>
      <c r="AQ267">
        <v>0.46227588520000001</v>
      </c>
      <c r="AR267">
        <v>0.41237777489999999</v>
      </c>
      <c r="AS267">
        <v>0.41751588509999998</v>
      </c>
      <c r="AT267">
        <v>0.42306191450000002</v>
      </c>
      <c r="AU267">
        <v>0.42990741389999998</v>
      </c>
      <c r="AV267">
        <v>0.43712650590000002</v>
      </c>
      <c r="AW267">
        <v>0.4467579149</v>
      </c>
    </row>
    <row r="268" spans="2:49" x14ac:dyDescent="0.25">
      <c r="B268" t="s">
        <v>270</v>
      </c>
      <c r="C268">
        <v>8.10466597198101E-3</v>
      </c>
      <c r="D268">
        <v>8.10466597198101E-3</v>
      </c>
      <c r="E268">
        <v>8.1046741600000003E-3</v>
      </c>
      <c r="F268">
        <v>1.28070024E-2</v>
      </c>
      <c r="G268">
        <v>1.7469092700000001E-2</v>
      </c>
      <c r="H268">
        <v>2.2132967900000002E-2</v>
      </c>
      <c r="I268">
        <v>2.6741291100000002E-2</v>
      </c>
      <c r="J268">
        <v>3.1325302200000002E-2</v>
      </c>
      <c r="K268">
        <v>3.5879248099999997E-2</v>
      </c>
      <c r="L268">
        <v>4.0406540900000003E-2</v>
      </c>
      <c r="M268">
        <v>4.4925315E-2</v>
      </c>
      <c r="N268">
        <v>4.9410533899999998E-2</v>
      </c>
      <c r="O268">
        <v>5.2137305000000002E-2</v>
      </c>
      <c r="P268">
        <v>5.4993622499999999E-2</v>
      </c>
      <c r="Q268">
        <v>5.7988225599999998E-2</v>
      </c>
      <c r="R268">
        <v>6.1154388599999998E-2</v>
      </c>
      <c r="S268">
        <v>4.7047232100000003E-2</v>
      </c>
      <c r="T268">
        <v>4.9939833400000001E-2</v>
      </c>
      <c r="U268">
        <v>5.27932568E-2</v>
      </c>
      <c r="V268">
        <v>5.5611044399999997E-2</v>
      </c>
      <c r="W268">
        <v>7.2726601299999999E-2</v>
      </c>
      <c r="X268">
        <v>7.7658212700000007E-2</v>
      </c>
      <c r="Y268">
        <v>8.2704756700000007E-2</v>
      </c>
      <c r="Z268">
        <v>8.8199933899999999E-2</v>
      </c>
      <c r="AA268">
        <v>9.4217596200000003E-2</v>
      </c>
      <c r="AB268">
        <v>0.1004912776</v>
      </c>
      <c r="AC268">
        <v>0.10742623079999999</v>
      </c>
      <c r="AD268">
        <v>0.1222936338</v>
      </c>
      <c r="AE268">
        <v>0.13875210299999999</v>
      </c>
      <c r="AF268">
        <v>0.15708739290000001</v>
      </c>
      <c r="AG268">
        <v>0.17721496519999999</v>
      </c>
      <c r="AH268">
        <v>0.19995711990000001</v>
      </c>
      <c r="AI268">
        <v>0.23156436559999999</v>
      </c>
      <c r="AJ268">
        <v>0.26782417530000002</v>
      </c>
      <c r="AK268">
        <v>0.30972938319999999</v>
      </c>
      <c r="AL268">
        <v>0.35712046289999999</v>
      </c>
      <c r="AM268">
        <v>0.41321799100000001</v>
      </c>
      <c r="AN268">
        <v>0.43730146310000001</v>
      </c>
      <c r="AO268">
        <v>0.46487290749999999</v>
      </c>
      <c r="AP268">
        <v>0.4986397675</v>
      </c>
      <c r="AQ268">
        <v>0.53772411480000004</v>
      </c>
      <c r="AR268">
        <v>0.58762222509999995</v>
      </c>
      <c r="AS268">
        <v>0.58248411489999996</v>
      </c>
      <c r="AT268">
        <v>0.57693808550000003</v>
      </c>
      <c r="AU268">
        <v>0.57009258610000002</v>
      </c>
      <c r="AV268">
        <v>0.56287349409999998</v>
      </c>
      <c r="AW268">
        <v>0.55324208509999995</v>
      </c>
    </row>
    <row r="269" spans="2:49" x14ac:dyDescent="0.25">
      <c r="B269" t="s">
        <v>271</v>
      </c>
      <c r="C269">
        <v>0.79896379760487002</v>
      </c>
      <c r="D269">
        <v>0.79896379760486902</v>
      </c>
      <c r="E269">
        <v>0.79896379760000003</v>
      </c>
      <c r="F269">
        <v>0.79854263209999998</v>
      </c>
      <c r="G269">
        <v>0.79812168849999998</v>
      </c>
      <c r="H269">
        <v>0.79770096690000003</v>
      </c>
      <c r="I269">
        <v>0.79728046699999999</v>
      </c>
      <c r="J269">
        <v>0.79686018879999998</v>
      </c>
      <c r="K269">
        <v>0.79644013209999998</v>
      </c>
      <c r="L269">
        <v>0.79602029689999998</v>
      </c>
      <c r="M269">
        <v>0.79560068299999998</v>
      </c>
      <c r="N269">
        <v>0.79518129029999995</v>
      </c>
      <c r="O269">
        <v>0.78222990709999995</v>
      </c>
      <c r="P269">
        <v>0.76778352620000001</v>
      </c>
      <c r="Q269">
        <v>0.75177697219999995</v>
      </c>
      <c r="R269">
        <v>0.73415414150000002</v>
      </c>
      <c r="S269">
        <v>0.69408091299999997</v>
      </c>
      <c r="T269">
        <v>0.69306060079999998</v>
      </c>
      <c r="U269">
        <v>0.69208266200000002</v>
      </c>
      <c r="V269">
        <v>0.69114451089999995</v>
      </c>
      <c r="W269">
        <v>0.64517757610000004</v>
      </c>
      <c r="X269">
        <v>0.64070667839999995</v>
      </c>
      <c r="Y269">
        <v>0.62987609739999995</v>
      </c>
      <c r="Z269">
        <v>0.61910397880000001</v>
      </c>
      <c r="AA269">
        <v>0.60838985069999996</v>
      </c>
      <c r="AB269">
        <v>0.59785288950000004</v>
      </c>
      <c r="AC269">
        <v>0.58736422160000001</v>
      </c>
      <c r="AD269">
        <v>0.57356573590000004</v>
      </c>
      <c r="AE269">
        <v>0.56000431569999998</v>
      </c>
      <c r="AF269">
        <v>0.5466739035</v>
      </c>
      <c r="AG269">
        <v>0.53408555280000003</v>
      </c>
      <c r="AH269">
        <v>0.52170143479999997</v>
      </c>
      <c r="AI269">
        <v>0.50927276690000001</v>
      </c>
      <c r="AJ269">
        <v>0.49704798369999997</v>
      </c>
      <c r="AK269">
        <v>0.4850221093</v>
      </c>
      <c r="AL269">
        <v>0.47391979890000002</v>
      </c>
      <c r="AM269">
        <v>0.4629888137</v>
      </c>
      <c r="AN269">
        <v>0.44452110880000001</v>
      </c>
      <c r="AO269">
        <v>0.42616317999999997</v>
      </c>
      <c r="AP269">
        <v>0.40791405139999998</v>
      </c>
      <c r="AQ269">
        <v>0.38977275849999998</v>
      </c>
      <c r="AR269">
        <v>0.37173834849999998</v>
      </c>
      <c r="AS269">
        <v>0.3522068344</v>
      </c>
      <c r="AT269">
        <v>0.33251009939999998</v>
      </c>
      <c r="AU269">
        <v>0.31264603819999998</v>
      </c>
      <c r="AV269">
        <v>0.29261250929999999</v>
      </c>
      <c r="AW269">
        <v>0.27240733480000001</v>
      </c>
    </row>
    <row r="270" spans="2:49" x14ac:dyDescent="0.25">
      <c r="B270" t="s">
        <v>272</v>
      </c>
      <c r="C270">
        <v>1.02537481030392E-2</v>
      </c>
      <c r="D270">
        <v>1.02537481030392E-2</v>
      </c>
      <c r="E270">
        <v>1.02537481E-2</v>
      </c>
      <c r="F270">
        <v>9.28913229E-3</v>
      </c>
      <c r="G270">
        <v>8.4152621800000008E-3</v>
      </c>
      <c r="H270">
        <v>7.6236009400000001E-3</v>
      </c>
      <c r="I270">
        <v>6.9064147999999999E-3</v>
      </c>
      <c r="J270">
        <v>6.2566975599999998E-3</v>
      </c>
      <c r="K270">
        <v>5.6681021099999999E-3</v>
      </c>
      <c r="L270">
        <v>5.1348784699999997E-3</v>
      </c>
      <c r="M270">
        <v>4.6518175500000003E-3</v>
      </c>
      <c r="N270">
        <v>4.21420033E-3</v>
      </c>
      <c r="O270">
        <v>3.8372227699999999E-3</v>
      </c>
      <c r="P270">
        <v>3.4862213600000001E-3</v>
      </c>
      <c r="Q270">
        <v>3.1596484300000002E-3</v>
      </c>
      <c r="R270">
        <v>2.8560813299999999E-3</v>
      </c>
      <c r="S270">
        <v>2.9085724800000001E-3</v>
      </c>
      <c r="T270">
        <v>4.7403159399999999E-3</v>
      </c>
      <c r="U270">
        <v>6.4959871600000002E-3</v>
      </c>
      <c r="V270">
        <v>8.1802286499999995E-3</v>
      </c>
      <c r="W270">
        <v>5.6701401799999999E-3</v>
      </c>
      <c r="X270">
        <v>3.9772643599999997E-3</v>
      </c>
      <c r="Y270">
        <v>3.2909602399999998E-3</v>
      </c>
      <c r="Z270">
        <v>2.6083607199999998E-3</v>
      </c>
      <c r="AA270">
        <v>1.9294359000000001E-3</v>
      </c>
      <c r="AB270">
        <v>1.26894414E-3</v>
      </c>
      <c r="AC270">
        <v>6.1147957700000003E-4</v>
      </c>
      <c r="AD270">
        <v>6.04408643E-4</v>
      </c>
      <c r="AE270">
        <v>5.9745919200000005E-4</v>
      </c>
      <c r="AF270">
        <v>5.9062811900000001E-4</v>
      </c>
      <c r="AG270">
        <v>5.8415934700000002E-4</v>
      </c>
      <c r="AH270">
        <v>5.7779552399999995E-4</v>
      </c>
      <c r="AI270">
        <v>4.64249738E-4</v>
      </c>
      <c r="AJ270">
        <v>3.5256660199999999E-4</v>
      </c>
      <c r="AK270">
        <v>2.42700655E-4</v>
      </c>
      <c r="AL270">
        <v>2.4913063199999999E-4</v>
      </c>
      <c r="AM270">
        <v>2.55461384E-4</v>
      </c>
      <c r="AN270">
        <v>2.4619436699999998E-4</v>
      </c>
      <c r="AO270">
        <v>2.36982435E-4</v>
      </c>
      <c r="AP270">
        <v>2.2782509900000001E-4</v>
      </c>
      <c r="AQ270">
        <v>2.1872187400000001E-4</v>
      </c>
      <c r="AR270">
        <v>2.0967228200000001E-4</v>
      </c>
      <c r="AS270">
        <v>2.10555377E-4</v>
      </c>
      <c r="AT270">
        <v>2.11445942E-4</v>
      </c>
      <c r="AU270">
        <v>2.1234407200000001E-4</v>
      </c>
      <c r="AV270">
        <v>2.1324986400000001E-4</v>
      </c>
      <c r="AW270">
        <v>2.14163418E-4</v>
      </c>
    </row>
    <row r="271" spans="2:49" x14ac:dyDescent="0.25">
      <c r="B271" t="s">
        <v>273</v>
      </c>
      <c r="C271">
        <v>4.0949078402655603E-2</v>
      </c>
      <c r="D271">
        <v>4.0949078402655603E-2</v>
      </c>
      <c r="E271">
        <v>4.0949078399999998E-2</v>
      </c>
      <c r="F271">
        <v>3.93031244E-2</v>
      </c>
      <c r="G271">
        <v>3.7723329700000002E-2</v>
      </c>
      <c r="H271">
        <v>3.62070351E-2</v>
      </c>
      <c r="I271">
        <v>3.4751688099999997E-2</v>
      </c>
      <c r="J271">
        <v>3.3354839099999999E-2</v>
      </c>
      <c r="K271">
        <v>3.20141366E-2</v>
      </c>
      <c r="L271">
        <v>3.0727323800000001E-2</v>
      </c>
      <c r="M271">
        <v>2.94922346E-2</v>
      </c>
      <c r="N271">
        <v>2.83067901E-2</v>
      </c>
      <c r="O271">
        <v>3.1063401899999999E-2</v>
      </c>
      <c r="P271">
        <v>3.40128887E-2</v>
      </c>
      <c r="Q271">
        <v>3.71521436E-2</v>
      </c>
      <c r="R271">
        <v>4.0473637700000002E-2</v>
      </c>
      <c r="S271">
        <v>6.1546973300000002E-2</v>
      </c>
      <c r="T271">
        <v>4.6782661500000003E-2</v>
      </c>
      <c r="U271">
        <v>3.2631510900000001E-2</v>
      </c>
      <c r="V271">
        <v>1.9056101999999998E-2</v>
      </c>
      <c r="W271">
        <v>4.6399030100000002E-2</v>
      </c>
      <c r="X271">
        <v>4.1259733E-2</v>
      </c>
      <c r="Y271">
        <v>4.0980023099999999E-2</v>
      </c>
      <c r="Z271">
        <v>4.0701822999999998E-2</v>
      </c>
      <c r="AA271">
        <v>4.0425120500000002E-2</v>
      </c>
      <c r="AB271">
        <v>4.0146598499999998E-2</v>
      </c>
      <c r="AC271">
        <v>3.9869353099999998E-2</v>
      </c>
      <c r="AD271">
        <v>3.4138287400000002E-2</v>
      </c>
      <c r="AE271">
        <v>2.8505684600000001E-2</v>
      </c>
      <c r="AF271">
        <v>2.2969028700000001E-2</v>
      </c>
      <c r="AG271">
        <v>1.7758554400000001E-2</v>
      </c>
      <c r="AH271">
        <v>1.26326146E-2</v>
      </c>
      <c r="AI271">
        <v>1.1753575699999999E-2</v>
      </c>
      <c r="AJ271">
        <v>1.0888956999999999E-2</v>
      </c>
      <c r="AK271">
        <v>1.0038406499999999E-2</v>
      </c>
      <c r="AL271">
        <v>9.2689726799999907E-3</v>
      </c>
      <c r="AM271">
        <v>8.5114124199999995E-3</v>
      </c>
      <c r="AN271">
        <v>8.6968810500000007E-3</v>
      </c>
      <c r="AO271">
        <v>8.8812472199999905E-3</v>
      </c>
      <c r="AP271">
        <v>9.0645207200000001E-3</v>
      </c>
      <c r="AQ271">
        <v>9.2467112499999907E-3</v>
      </c>
      <c r="AR271">
        <v>9.4278283599999995E-3</v>
      </c>
      <c r="AS271">
        <v>1.1405538600000001E-2</v>
      </c>
      <c r="AT271">
        <v>1.3399978599999999E-2</v>
      </c>
      <c r="AU271">
        <v>1.5411361700000001E-2</v>
      </c>
      <c r="AV271">
        <v>1.74399046E-2</v>
      </c>
      <c r="AW271">
        <v>1.9485827899999999E-2</v>
      </c>
    </row>
    <row r="272" spans="2:49" x14ac:dyDescent="0.25">
      <c r="B272" t="s">
        <v>274</v>
      </c>
      <c r="C272">
        <v>4.0858446639591303E-2</v>
      </c>
      <c r="D272">
        <v>4.0858446639591303E-2</v>
      </c>
      <c r="E272">
        <v>4.0858446600000001E-2</v>
      </c>
      <c r="F272">
        <v>3.8169239799999997E-2</v>
      </c>
      <c r="G272">
        <v>3.5657030200000002E-2</v>
      </c>
      <c r="H272">
        <v>3.33101684E-2</v>
      </c>
      <c r="I272">
        <v>3.1117771499999999E-2</v>
      </c>
      <c r="J272">
        <v>2.9069672899999999E-2</v>
      </c>
      <c r="K272">
        <v>2.7156375399999998E-2</v>
      </c>
      <c r="L272">
        <v>2.5369006699999998E-2</v>
      </c>
      <c r="M272">
        <v>2.3699278399999999E-2</v>
      </c>
      <c r="N272">
        <v>2.2139447600000001E-2</v>
      </c>
      <c r="O272">
        <v>2.0123113299999999E-2</v>
      </c>
      <c r="P272">
        <v>1.8249865800000001E-2</v>
      </c>
      <c r="Q272">
        <v>1.6510872900000001E-2</v>
      </c>
      <c r="R272">
        <v>1.48980146E-2</v>
      </c>
      <c r="S272">
        <v>5.7328033000000004E-3</v>
      </c>
      <c r="T272">
        <v>4.6851091799999999E-3</v>
      </c>
      <c r="U272">
        <v>3.6809257700000002E-3</v>
      </c>
      <c r="V272">
        <v>2.7175976999999998E-3</v>
      </c>
      <c r="W272">
        <v>3.5234689500000002E-3</v>
      </c>
      <c r="X272">
        <v>2.9612773799999998E-3</v>
      </c>
      <c r="Y272">
        <v>2.3574040600000002E-3</v>
      </c>
      <c r="Z272">
        <v>1.75679039E-3</v>
      </c>
      <c r="AA272">
        <v>1.1594100500000001E-3</v>
      </c>
      <c r="AB272">
        <v>8.1001251800000003E-4</v>
      </c>
      <c r="AC272">
        <v>4.6221635399999999E-4</v>
      </c>
      <c r="AD272">
        <v>3.8184282199999999E-4</v>
      </c>
      <c r="AE272">
        <v>3.02850152E-4</v>
      </c>
      <c r="AF272">
        <v>2.25203059E-4</v>
      </c>
      <c r="AG272">
        <v>2.2336127799999999E-4</v>
      </c>
      <c r="AH272">
        <v>2.2154937699999999E-4</v>
      </c>
      <c r="AI272">
        <v>2.1971715799999999E-4</v>
      </c>
      <c r="AJ272">
        <v>2.17914994E-4</v>
      </c>
      <c r="AK272">
        <v>2.1614215400000001E-4</v>
      </c>
      <c r="AL272">
        <v>2.1446148799999999E-4</v>
      </c>
      <c r="AM272">
        <v>2.1280675799999999E-4</v>
      </c>
      <c r="AN272">
        <v>2.12172388E-4</v>
      </c>
      <c r="AO272">
        <v>2.11541789E-4</v>
      </c>
      <c r="AP272">
        <v>2.1091492699999999E-4</v>
      </c>
      <c r="AQ272">
        <v>2.10291769E-4</v>
      </c>
      <c r="AR272">
        <v>2.0967228200000001E-4</v>
      </c>
      <c r="AS272">
        <v>2.10555377E-4</v>
      </c>
      <c r="AT272">
        <v>2.11445942E-4</v>
      </c>
      <c r="AU272">
        <v>2.1234407200000001E-4</v>
      </c>
      <c r="AV272">
        <v>2.1324986400000001E-4</v>
      </c>
      <c r="AW272">
        <v>2.14163418E-4</v>
      </c>
    </row>
    <row r="273" spans="2:49" x14ac:dyDescent="0.25">
      <c r="B273" t="s">
        <v>275</v>
      </c>
      <c r="C273">
        <v>8.2546962733871607E-3</v>
      </c>
      <c r="D273">
        <v>8.2546962733871607E-3</v>
      </c>
      <c r="E273">
        <v>8.2546962700000004E-3</v>
      </c>
      <c r="F273">
        <v>1.3385109900000001E-2</v>
      </c>
      <c r="G273">
        <v>1.8063529700000001E-2</v>
      </c>
      <c r="H273">
        <v>2.2286687400000001E-2</v>
      </c>
      <c r="I273">
        <v>2.6043462699999999E-2</v>
      </c>
      <c r="J273">
        <v>2.93135359E-2</v>
      </c>
      <c r="K273">
        <v>3.2065675000000002E-2</v>
      </c>
      <c r="L273">
        <v>3.4255574300000001E-2</v>
      </c>
      <c r="M273">
        <v>3.58231387E-2</v>
      </c>
      <c r="N273">
        <v>3.6689084400000002E-2</v>
      </c>
      <c r="O273">
        <v>4.1917166399999997E-2</v>
      </c>
      <c r="P273">
        <v>4.7784062400000001E-2</v>
      </c>
      <c r="Q273">
        <v>5.4340055399999997E-2</v>
      </c>
      <c r="R273">
        <v>6.1631833800000001E-2</v>
      </c>
      <c r="S273">
        <v>8.39523571E-2</v>
      </c>
      <c r="T273">
        <v>8.8159484400000002E-2</v>
      </c>
      <c r="U273">
        <v>9.2191889900000004E-2</v>
      </c>
      <c r="V273">
        <v>9.6060236399999999E-2</v>
      </c>
      <c r="W273">
        <v>0.1057388997</v>
      </c>
      <c r="X273">
        <v>0.1116736986</v>
      </c>
      <c r="Y273">
        <v>0.1174777957</v>
      </c>
      <c r="Z273">
        <v>0.1232505627</v>
      </c>
      <c r="AA273">
        <v>0.12899225280000001</v>
      </c>
      <c r="AB273">
        <v>0.13450869800000001</v>
      </c>
      <c r="AC273">
        <v>0.1399998599</v>
      </c>
      <c r="AD273">
        <v>0.15319456840000001</v>
      </c>
      <c r="AE273">
        <v>0.1661625846</v>
      </c>
      <c r="AF273">
        <v>0.178909701</v>
      </c>
      <c r="AG273">
        <v>0.1908366373</v>
      </c>
      <c r="AH273">
        <v>0.20257007169999999</v>
      </c>
      <c r="AI273">
        <v>0.2139233284</v>
      </c>
      <c r="AJ273">
        <v>0.2250903417</v>
      </c>
      <c r="AK273">
        <v>0.23607565729999999</v>
      </c>
      <c r="AL273">
        <v>0.24598568030000001</v>
      </c>
      <c r="AM273">
        <v>0.25574277680000002</v>
      </c>
      <c r="AN273">
        <v>0.26931416530000002</v>
      </c>
      <c r="AO273">
        <v>0.28280488240000001</v>
      </c>
      <c r="AP273">
        <v>0.2962156454</v>
      </c>
      <c r="AQ273">
        <v>0.30954716300000001</v>
      </c>
      <c r="AR273">
        <v>0.32280013549999997</v>
      </c>
      <c r="AS273">
        <v>0.33653524109999999</v>
      </c>
      <c r="AT273">
        <v>0.35038653479999998</v>
      </c>
      <c r="AU273">
        <v>0.36435549690000002</v>
      </c>
      <c r="AV273">
        <v>0.37844363339999998</v>
      </c>
      <c r="AW273">
        <v>0.39265247590000002</v>
      </c>
    </row>
    <row r="274" spans="2:49" x14ac:dyDescent="0.25">
      <c r="B274" t="s">
        <v>276</v>
      </c>
      <c r="C274">
        <v>1.85730666151211E-3</v>
      </c>
      <c r="D274">
        <v>1.85730666151211E-3</v>
      </c>
      <c r="E274">
        <v>1.8573066599999999E-3</v>
      </c>
      <c r="F274">
        <v>2.3029467500000002E-3</v>
      </c>
      <c r="G274">
        <v>2.85551323E-3</v>
      </c>
      <c r="H274">
        <v>3.5406618999999999E-3</v>
      </c>
      <c r="I274">
        <v>4.3902043700000002E-3</v>
      </c>
      <c r="J274">
        <v>5.4435851100000003E-3</v>
      </c>
      <c r="K274">
        <v>6.7497128599999998E-3</v>
      </c>
      <c r="L274">
        <v>8.3692314399999995E-3</v>
      </c>
      <c r="M274">
        <v>1.0377335499999999E-2</v>
      </c>
      <c r="N274">
        <v>1.28672618E-2</v>
      </c>
      <c r="O274">
        <v>1.5169190399999999E-2</v>
      </c>
      <c r="P274">
        <v>1.7843283599999999E-2</v>
      </c>
      <c r="Q274">
        <v>2.0937894499999998E-2</v>
      </c>
      <c r="R274">
        <v>2.45041275E-2</v>
      </c>
      <c r="S274">
        <v>3.6998234300000002E-2</v>
      </c>
      <c r="T274">
        <v>3.8852336899999999E-2</v>
      </c>
      <c r="U274">
        <v>4.0629438699999999E-2</v>
      </c>
      <c r="V274">
        <v>4.23342388E-2</v>
      </c>
      <c r="W274">
        <v>4.8363738900000001E-2</v>
      </c>
      <c r="X274">
        <v>5.4378422599999997E-2</v>
      </c>
      <c r="Y274">
        <v>6.31716747E-2</v>
      </c>
      <c r="Z274">
        <v>7.1917461700000004E-2</v>
      </c>
      <c r="AA274">
        <v>8.0616166700000005E-2</v>
      </c>
      <c r="AB274">
        <v>8.8746043799999896E-2</v>
      </c>
      <c r="AC274">
        <v>9.6838659600000002E-2</v>
      </c>
      <c r="AD274">
        <v>0.1039757067</v>
      </c>
      <c r="AE274">
        <v>0.1109901355</v>
      </c>
      <c r="AF274">
        <v>0.1178850791</v>
      </c>
      <c r="AG274">
        <v>0.1243455854</v>
      </c>
      <c r="AH274">
        <v>0.13070127679999999</v>
      </c>
      <c r="AI274">
        <v>0.13489016249999999</v>
      </c>
      <c r="AJ274">
        <v>0.13901033209999999</v>
      </c>
      <c r="AK274">
        <v>0.1430634627</v>
      </c>
      <c r="AL274">
        <v>0.1467582459</v>
      </c>
      <c r="AM274">
        <v>0.1503960131</v>
      </c>
      <c r="AN274">
        <v>0.1564281142</v>
      </c>
      <c r="AO274">
        <v>0.1624243591</v>
      </c>
      <c r="AP274">
        <v>0.1683850667</v>
      </c>
      <c r="AQ274">
        <v>0.1743105519</v>
      </c>
      <c r="AR274">
        <v>0.18020112599999999</v>
      </c>
      <c r="AS274">
        <v>0.18491657719999999</v>
      </c>
      <c r="AT274">
        <v>0.1896719174</v>
      </c>
      <c r="AU274">
        <v>0.1944676548</v>
      </c>
      <c r="AV274">
        <v>0.19930430639999999</v>
      </c>
      <c r="AW274">
        <v>0.2041823981</v>
      </c>
    </row>
    <row r="275" spans="2:49" x14ac:dyDescent="0.25">
      <c r="B275" t="s">
        <v>277</v>
      </c>
      <c r="C275">
        <v>9.2848272947954696E-2</v>
      </c>
      <c r="D275">
        <v>9.2848272947954599E-2</v>
      </c>
      <c r="E275">
        <v>9.2848272900000001E-2</v>
      </c>
      <c r="F275">
        <v>9.2738145600000002E-2</v>
      </c>
      <c r="G275">
        <v>9.2628149000000007E-2</v>
      </c>
      <c r="H275">
        <v>9.2518282699999996E-2</v>
      </c>
      <c r="I275">
        <v>9.2408546800000005E-2</v>
      </c>
      <c r="J275">
        <v>9.2298941100000004E-2</v>
      </c>
      <c r="K275">
        <v>9.2189465400000004E-2</v>
      </c>
      <c r="L275">
        <v>9.2080119500000002E-2</v>
      </c>
      <c r="M275">
        <v>9.1970903300000004E-2</v>
      </c>
      <c r="N275">
        <v>9.1861816600000007E-2</v>
      </c>
      <c r="O275">
        <v>9.5526416500000003E-2</v>
      </c>
      <c r="P275">
        <v>9.9116978100000003E-2</v>
      </c>
      <c r="Q275">
        <v>0.1025931762</v>
      </c>
      <c r="R275">
        <v>0.1059099842</v>
      </c>
      <c r="S275">
        <v>0.10258601320000001</v>
      </c>
      <c r="T275">
        <v>0.1077269341</v>
      </c>
      <c r="U275">
        <v>0.11265435259999999</v>
      </c>
      <c r="V275">
        <v>0.11738129849999999</v>
      </c>
      <c r="W275">
        <v>0.1196975339</v>
      </c>
      <c r="X275">
        <v>0.11909036739999999</v>
      </c>
      <c r="Y275">
        <v>0.1174431589</v>
      </c>
      <c r="Z275">
        <v>0.1158048419</v>
      </c>
      <c r="AA275">
        <v>0.11417534460000001</v>
      </c>
      <c r="AB275">
        <v>0.1129086651</v>
      </c>
      <c r="AC275">
        <v>0.1116477912</v>
      </c>
      <c r="AD275">
        <v>0.1101397358</v>
      </c>
      <c r="AE275">
        <v>0.1086575897</v>
      </c>
      <c r="AF275">
        <v>0.1072006907</v>
      </c>
      <c r="AG275">
        <v>0.105893156</v>
      </c>
      <c r="AH275">
        <v>0.1046068346</v>
      </c>
      <c r="AI275">
        <v>0.10213729439999999</v>
      </c>
      <c r="AJ275">
        <v>9.9708265399999996E-2</v>
      </c>
      <c r="AK275">
        <v>9.7318759099999999E-2</v>
      </c>
      <c r="AL275">
        <v>9.5265141100000006E-2</v>
      </c>
      <c r="AM275">
        <v>9.3243213599999999E-2</v>
      </c>
      <c r="AN275">
        <v>9.3110189699999998E-2</v>
      </c>
      <c r="AO275">
        <v>9.29779565E-2</v>
      </c>
      <c r="AP275">
        <v>9.2846507100000003E-2</v>
      </c>
      <c r="AQ275">
        <v>9.2715834299999994E-2</v>
      </c>
      <c r="AR275">
        <v>9.2585931499999996E-2</v>
      </c>
      <c r="AS275">
        <v>9.2156244100000007E-2</v>
      </c>
      <c r="AT275">
        <v>9.1722921900000004E-2</v>
      </c>
      <c r="AU275">
        <v>9.1285918600000002E-2</v>
      </c>
      <c r="AV275">
        <v>9.0845186999999994E-2</v>
      </c>
      <c r="AW275">
        <v>9.0400679299999995E-2</v>
      </c>
    </row>
    <row r="276" spans="2:49" x14ac:dyDescent="0.25">
      <c r="B276" t="s">
        <v>278</v>
      </c>
      <c r="C276">
        <v>6.0146533669896496E-3</v>
      </c>
      <c r="D276">
        <v>6.0146533669896496E-3</v>
      </c>
      <c r="E276">
        <v>6.0146533700000003E-3</v>
      </c>
      <c r="F276">
        <v>6.2696692400000002E-3</v>
      </c>
      <c r="G276">
        <v>6.5354975499999999E-3</v>
      </c>
      <c r="H276">
        <v>6.8125967500000002E-3</v>
      </c>
      <c r="I276">
        <v>7.1014447E-3</v>
      </c>
      <c r="J276">
        <v>7.4025395400000001E-3</v>
      </c>
      <c r="K276">
        <v>7.7164005299999996E-3</v>
      </c>
      <c r="L276">
        <v>8.0435689499999997E-3</v>
      </c>
      <c r="M276">
        <v>8.3846090100000003E-3</v>
      </c>
      <c r="N276">
        <v>8.7401088599999999E-3</v>
      </c>
      <c r="O276">
        <v>1.01335816E-2</v>
      </c>
      <c r="P276">
        <v>1.17231739E-2</v>
      </c>
      <c r="Q276">
        <v>1.35292368E-2</v>
      </c>
      <c r="R276">
        <v>1.55721794E-2</v>
      </c>
      <c r="S276">
        <v>1.21941333E-2</v>
      </c>
      <c r="T276">
        <v>1.5992557300000002E-2</v>
      </c>
      <c r="U276">
        <v>1.9633232899999999E-2</v>
      </c>
      <c r="V276">
        <v>2.3125786999999998E-2</v>
      </c>
      <c r="W276">
        <v>2.5429612300000001E-2</v>
      </c>
      <c r="X276">
        <v>2.59525582E-2</v>
      </c>
      <c r="Y276">
        <v>2.5402885900000002E-2</v>
      </c>
      <c r="Z276">
        <v>2.4856180799999999E-2</v>
      </c>
      <c r="AA276">
        <v>2.4312418700000001E-2</v>
      </c>
      <c r="AB276">
        <v>2.37581485E-2</v>
      </c>
      <c r="AC276">
        <v>2.3206418699999998E-2</v>
      </c>
      <c r="AD276">
        <v>2.3999714200000001E-2</v>
      </c>
      <c r="AE276">
        <v>2.47793805E-2</v>
      </c>
      <c r="AF276">
        <v>2.5545765799999998E-2</v>
      </c>
      <c r="AG276">
        <v>2.6272993500000001E-2</v>
      </c>
      <c r="AH276">
        <v>2.6988422599999999E-2</v>
      </c>
      <c r="AI276">
        <v>2.7338905199999999E-2</v>
      </c>
      <c r="AJ276">
        <v>2.7683638399999998E-2</v>
      </c>
      <c r="AK276">
        <v>2.8022762400000002E-2</v>
      </c>
      <c r="AL276">
        <v>2.8338569000000001E-2</v>
      </c>
      <c r="AM276">
        <v>2.86495022E-2</v>
      </c>
      <c r="AN276">
        <v>2.74711742E-2</v>
      </c>
      <c r="AO276">
        <v>2.6299850499999999E-2</v>
      </c>
      <c r="AP276">
        <v>2.51354687E-2</v>
      </c>
      <c r="AQ276">
        <v>2.3977967400000001E-2</v>
      </c>
      <c r="AR276">
        <v>2.2827285700000002E-2</v>
      </c>
      <c r="AS276">
        <v>2.2358453800000001E-2</v>
      </c>
      <c r="AT276">
        <v>2.1885656E-2</v>
      </c>
      <c r="AU276">
        <v>2.14088417E-2</v>
      </c>
      <c r="AV276">
        <v>2.0927959499999999E-2</v>
      </c>
      <c r="AW276">
        <v>2.04429572E-2</v>
      </c>
    </row>
    <row r="277" spans="2:49" x14ac:dyDescent="0.25">
      <c r="B277" t="s">
        <v>279</v>
      </c>
      <c r="C277">
        <v>0.92287069498865704</v>
      </c>
      <c r="D277">
        <v>0.92287069498865704</v>
      </c>
      <c r="E277">
        <v>0.92285345399999996</v>
      </c>
      <c r="F277">
        <v>0.91580034519999998</v>
      </c>
      <c r="G277">
        <v>0.90892104730000001</v>
      </c>
      <c r="H277">
        <v>0.90182068319999997</v>
      </c>
      <c r="I277">
        <v>0.89502733079999997</v>
      </c>
      <c r="J277">
        <v>0.8883145992</v>
      </c>
      <c r="K277">
        <v>0.88167376330000002</v>
      </c>
      <c r="L277">
        <v>0.87507744799999998</v>
      </c>
      <c r="M277">
        <v>0.86844038999999995</v>
      </c>
      <c r="N277">
        <v>0.86180637689999995</v>
      </c>
      <c r="O277">
        <v>0.83691448589999995</v>
      </c>
      <c r="P277">
        <v>0.80739007060000001</v>
      </c>
      <c r="Q277">
        <v>0.7728920896</v>
      </c>
      <c r="R277">
        <v>0.73287661260000003</v>
      </c>
      <c r="S277">
        <v>0.70219252340000005</v>
      </c>
      <c r="T277">
        <v>0.69978838109999997</v>
      </c>
      <c r="U277">
        <v>0.69723132160000001</v>
      </c>
      <c r="V277">
        <v>0.69468584229999997</v>
      </c>
      <c r="W277">
        <v>0.62319001230000004</v>
      </c>
      <c r="X277">
        <v>0.60372006869999995</v>
      </c>
      <c r="Y277">
        <v>0.57968867609999997</v>
      </c>
      <c r="Z277">
        <v>0.55495493240000004</v>
      </c>
      <c r="AA277">
        <v>0.52944154170000002</v>
      </c>
      <c r="AB277">
        <v>0.50513863349999999</v>
      </c>
      <c r="AC277">
        <v>0.48005240580000003</v>
      </c>
      <c r="AD277">
        <v>0.4560713367</v>
      </c>
      <c r="AE277">
        <v>0.43218862180000001</v>
      </c>
      <c r="AF277">
        <v>0.40825922640000001</v>
      </c>
      <c r="AG277">
        <v>0.38683043389999999</v>
      </c>
      <c r="AH277">
        <v>0.36525775290000001</v>
      </c>
      <c r="AI277">
        <v>0.34520776530000002</v>
      </c>
      <c r="AJ277">
        <v>0.32499813350000001</v>
      </c>
      <c r="AK277">
        <v>0.3051544417</v>
      </c>
      <c r="AL277">
        <v>0.28731568260000001</v>
      </c>
      <c r="AM277">
        <v>0.27032451740000002</v>
      </c>
      <c r="AN277">
        <v>0.2570237031</v>
      </c>
      <c r="AO277">
        <v>0.24553066160000001</v>
      </c>
      <c r="AP277">
        <v>0.231332487</v>
      </c>
      <c r="AQ277">
        <v>0.2213312791</v>
      </c>
      <c r="AR277">
        <v>0.20725432769999999</v>
      </c>
      <c r="AS277">
        <v>0.19138467640000001</v>
      </c>
      <c r="AT277">
        <v>0.17476414160000001</v>
      </c>
      <c r="AU277">
        <v>0.15923835310000001</v>
      </c>
      <c r="AV277">
        <v>0.14185047570000001</v>
      </c>
      <c r="AW277">
        <v>0.1270803523</v>
      </c>
    </row>
    <row r="278" spans="2:49" x14ac:dyDescent="0.25">
      <c r="B278" t="s">
        <v>280</v>
      </c>
      <c r="C278">
        <v>4.1245617653124303E-2</v>
      </c>
      <c r="D278">
        <v>4.1245617653124303E-2</v>
      </c>
      <c r="E278">
        <v>4.1254837400000001E-2</v>
      </c>
      <c r="F278">
        <v>4.7474178200000001E-2</v>
      </c>
      <c r="G278">
        <v>5.3373724300000001E-2</v>
      </c>
      <c r="H278">
        <v>5.9167075E-2</v>
      </c>
      <c r="I278">
        <v>6.4520142799999999E-2</v>
      </c>
      <c r="J278">
        <v>6.9541849399999994E-2</v>
      </c>
      <c r="K278">
        <v>7.4211054299999996E-2</v>
      </c>
      <c r="L278">
        <v>7.8515116600000004E-2</v>
      </c>
      <c r="M278">
        <v>8.2473652999999994E-2</v>
      </c>
      <c r="N278">
        <v>8.6019665300000006E-2</v>
      </c>
      <c r="O278">
        <v>0.109237846</v>
      </c>
      <c r="P278">
        <v>0.13749655329999999</v>
      </c>
      <c r="Q278">
        <v>0.17125877170000001</v>
      </c>
      <c r="R278">
        <v>0.21108966479999999</v>
      </c>
      <c r="S278">
        <v>0.1830585861</v>
      </c>
      <c r="T278">
        <v>0.188650348</v>
      </c>
      <c r="U278">
        <v>0.1942437541</v>
      </c>
      <c r="V278">
        <v>0.1997425514</v>
      </c>
      <c r="W278">
        <v>0.1955951437</v>
      </c>
      <c r="X278">
        <v>0.19259061960000001</v>
      </c>
      <c r="Y278">
        <v>0.19385789549999999</v>
      </c>
      <c r="Z278">
        <v>0.1951557988</v>
      </c>
      <c r="AA278">
        <v>0.19650569940000001</v>
      </c>
      <c r="AB278">
        <v>0.19780292329999999</v>
      </c>
      <c r="AC278">
        <v>0.19915582060000001</v>
      </c>
      <c r="AD278">
        <v>0.19790330040000001</v>
      </c>
      <c r="AE278">
        <v>0.19655818629999999</v>
      </c>
      <c r="AF278">
        <v>0.19517981540000001</v>
      </c>
      <c r="AG278">
        <v>0.19366996219999999</v>
      </c>
      <c r="AH278">
        <v>0.19216891320000001</v>
      </c>
      <c r="AI278">
        <v>0.1902693805</v>
      </c>
      <c r="AJ278">
        <v>0.18843005430000001</v>
      </c>
      <c r="AK278">
        <v>0.18650332040000001</v>
      </c>
      <c r="AL278">
        <v>0.18465884430000001</v>
      </c>
      <c r="AM278">
        <v>0.1826069421</v>
      </c>
      <c r="AN278">
        <v>0.18132444070000001</v>
      </c>
      <c r="AO278">
        <v>0.17961232590000001</v>
      </c>
      <c r="AP278">
        <v>0.17855018210000001</v>
      </c>
      <c r="AQ278">
        <v>0.17652687419999999</v>
      </c>
      <c r="AR278">
        <v>0.17544163700000001</v>
      </c>
      <c r="AS278">
        <v>0.17459782569999999</v>
      </c>
      <c r="AT278">
        <v>0.1738953479</v>
      </c>
      <c r="AU278">
        <v>0.17294410869999999</v>
      </c>
      <c r="AV278">
        <v>0.17235510200000001</v>
      </c>
      <c r="AW278">
        <v>0.1712239613</v>
      </c>
    </row>
    <row r="279" spans="2:49" x14ac:dyDescent="0.25">
      <c r="B279" t="s">
        <v>281</v>
      </c>
      <c r="C279">
        <v>5.1557022066405396E-3</v>
      </c>
      <c r="D279">
        <v>5.1557022066405396E-3</v>
      </c>
      <c r="E279">
        <v>5.1568546799999997E-3</v>
      </c>
      <c r="F279">
        <v>4.8228147299999996E-3</v>
      </c>
      <c r="G279">
        <v>4.5046035099999999E-3</v>
      </c>
      <c r="H279">
        <v>4.22005464E-3</v>
      </c>
      <c r="I279">
        <v>3.9431288899999997E-3</v>
      </c>
      <c r="J279">
        <v>3.68393612E-3</v>
      </c>
      <c r="K279">
        <v>3.4416757899999998E-3</v>
      </c>
      <c r="L279">
        <v>3.2159528599999998E-3</v>
      </c>
      <c r="M279">
        <v>3.00745089E-3</v>
      </c>
      <c r="N279">
        <v>2.8135024199999999E-3</v>
      </c>
      <c r="O279">
        <v>2.7293854399999999E-3</v>
      </c>
      <c r="P279">
        <v>2.6243741699999998E-3</v>
      </c>
      <c r="Q279">
        <v>2.49705993E-3</v>
      </c>
      <c r="R279">
        <v>2.3511769300000001E-3</v>
      </c>
      <c r="S279">
        <v>1.0237739500000001E-2</v>
      </c>
      <c r="T279">
        <v>9.5592488500000003E-3</v>
      </c>
      <c r="U279">
        <v>8.90310144E-3</v>
      </c>
      <c r="V279">
        <v>8.2627428499999905E-3</v>
      </c>
      <c r="W279">
        <v>3.3541511500000003E-2</v>
      </c>
      <c r="X279">
        <v>4.148686E-2</v>
      </c>
      <c r="Y279">
        <v>5.0071534000000001E-2</v>
      </c>
      <c r="Z279">
        <v>5.8910843499999997E-2</v>
      </c>
      <c r="AA279">
        <v>6.8022320900000002E-2</v>
      </c>
      <c r="AB279">
        <v>7.5292271600000002E-2</v>
      </c>
      <c r="AC279">
        <v>8.2790660599999996E-2</v>
      </c>
      <c r="AD279">
        <v>9.6728493499999998E-2</v>
      </c>
      <c r="AE279">
        <v>0.1107039101</v>
      </c>
      <c r="AF279">
        <v>0.1247363354</v>
      </c>
      <c r="AG279">
        <v>0.1362450945</v>
      </c>
      <c r="AH279">
        <v>0.14781569219999999</v>
      </c>
      <c r="AI279">
        <v>0.16018882749999999</v>
      </c>
      <c r="AJ279">
        <v>0.17258766179999999</v>
      </c>
      <c r="AK279">
        <v>0.18487867629999999</v>
      </c>
      <c r="AL279">
        <v>0.1947383993</v>
      </c>
      <c r="AM279">
        <v>0.20435712389999999</v>
      </c>
      <c r="AN279">
        <v>0.21101361790000001</v>
      </c>
      <c r="AO279">
        <v>0.21714932510000001</v>
      </c>
      <c r="AP279">
        <v>0.22405981780000001</v>
      </c>
      <c r="AQ279">
        <v>0.22973820340000001</v>
      </c>
      <c r="AR279">
        <v>0.2366101407</v>
      </c>
      <c r="AS279">
        <v>0.24759827279999999</v>
      </c>
      <c r="AT279">
        <v>0.25884617560000001</v>
      </c>
      <c r="AU279">
        <v>0.26977663660000001</v>
      </c>
      <c r="AV279">
        <v>0.28133443819999998</v>
      </c>
      <c r="AW279">
        <v>0.29205753470000001</v>
      </c>
    </row>
    <row r="280" spans="2:49" x14ac:dyDescent="0.25">
      <c r="B280" t="s">
        <v>282</v>
      </c>
      <c r="C280">
        <v>1.5260878531656001E-2</v>
      </c>
      <c r="D280">
        <v>1.5260878531656001E-2</v>
      </c>
      <c r="E280">
        <v>1.52642899E-2</v>
      </c>
      <c r="F280">
        <v>1.4960673799999999E-2</v>
      </c>
      <c r="G280">
        <v>1.4644212E-2</v>
      </c>
      <c r="H280">
        <v>1.4377599200000001E-2</v>
      </c>
      <c r="I280">
        <v>1.40788809E-2</v>
      </c>
      <c r="J280">
        <v>1.37847253E-2</v>
      </c>
      <c r="K280">
        <v>1.34963037E-2</v>
      </c>
      <c r="L280">
        <v>1.3216407600000001E-2</v>
      </c>
      <c r="M280">
        <v>1.29527254E-2</v>
      </c>
      <c r="N280">
        <v>1.26989779E-2</v>
      </c>
      <c r="O280">
        <v>1.27406124E-2</v>
      </c>
      <c r="P280">
        <v>1.26693736E-2</v>
      </c>
      <c r="Q280">
        <v>1.24670101E-2</v>
      </c>
      <c r="R280">
        <v>1.21401097E-2</v>
      </c>
      <c r="S280">
        <v>3.4474586299999999E-2</v>
      </c>
      <c r="T280">
        <v>3.0100979E-2</v>
      </c>
      <c r="U280">
        <v>2.5849501699999999E-2</v>
      </c>
      <c r="V280">
        <v>2.1695615000000001E-2</v>
      </c>
      <c r="W280">
        <v>2.75537735E-2</v>
      </c>
      <c r="X280">
        <v>2.86919954E-2</v>
      </c>
      <c r="Y280">
        <v>2.9259509600000001E-2</v>
      </c>
      <c r="Z280">
        <v>2.9842888500000001E-2</v>
      </c>
      <c r="AA280">
        <v>3.04459046E-2</v>
      </c>
      <c r="AB280">
        <v>3.0902201099999999E-2</v>
      </c>
      <c r="AC280">
        <v>3.1374952599999999E-2</v>
      </c>
      <c r="AD280">
        <v>3.1056731600000002E-2</v>
      </c>
      <c r="AE280">
        <v>3.0723287200000001E-2</v>
      </c>
      <c r="AF280">
        <v>3.03840113E-2</v>
      </c>
      <c r="AG280">
        <v>3.00247415E-2</v>
      </c>
      <c r="AH280">
        <v>2.9666282400000001E-2</v>
      </c>
      <c r="AI280">
        <v>2.9680971E-2</v>
      </c>
      <c r="AJ280">
        <v>2.97044952E-2</v>
      </c>
      <c r="AK280">
        <v>2.9713622299999999E-2</v>
      </c>
      <c r="AL280">
        <v>2.9737962600000001E-2</v>
      </c>
      <c r="AM280">
        <v>2.9728292600000001E-2</v>
      </c>
      <c r="AN280">
        <v>2.97785315E-2</v>
      </c>
      <c r="AO280">
        <v>2.9757549000000001E-2</v>
      </c>
      <c r="AP280">
        <v>2.9843898600000002E-2</v>
      </c>
      <c r="AQ280">
        <v>2.9768762800000001E-2</v>
      </c>
      <c r="AR280">
        <v>2.9850946E-2</v>
      </c>
      <c r="AS280">
        <v>2.9888957899999999E-2</v>
      </c>
      <c r="AT280">
        <v>2.9952052999999999E-2</v>
      </c>
      <c r="AU280">
        <v>2.99730923E-2</v>
      </c>
      <c r="AV280">
        <v>3.00578432E-2</v>
      </c>
      <c r="AW280">
        <v>3.0048800800000001E-2</v>
      </c>
    </row>
    <row r="281" spans="2:49" x14ac:dyDescent="0.25">
      <c r="B281" t="s">
        <v>283</v>
      </c>
      <c r="C281">
        <v>5.1557022066405396E-3</v>
      </c>
      <c r="D281">
        <v>5.1557022066405396E-3</v>
      </c>
      <c r="E281">
        <v>5.1568546799999997E-3</v>
      </c>
      <c r="F281">
        <v>5.3427632800000001E-3</v>
      </c>
      <c r="G281">
        <v>5.5282449399999996E-3</v>
      </c>
      <c r="H281">
        <v>5.7373868599999997E-3</v>
      </c>
      <c r="I281">
        <v>5.9388504199999999E-3</v>
      </c>
      <c r="J281">
        <v>6.1466552899999997E-3</v>
      </c>
      <c r="K281">
        <v>6.3615372800000002E-3</v>
      </c>
      <c r="L281">
        <v>6.5851723900000004E-3</v>
      </c>
      <c r="M281">
        <v>6.8221516900000001E-3</v>
      </c>
      <c r="N281">
        <v>7.0702614500000004E-3</v>
      </c>
      <c r="O281">
        <v>7.3420021199999998E-3</v>
      </c>
      <c r="P281">
        <v>7.5567810899999999E-3</v>
      </c>
      <c r="Q281">
        <v>7.69664592E-3</v>
      </c>
      <c r="R281">
        <v>7.7574557199999996E-3</v>
      </c>
      <c r="S281">
        <v>8.9533592000000002E-3</v>
      </c>
      <c r="T281">
        <v>8.6540378500000008E-3</v>
      </c>
      <c r="U281">
        <v>8.3676556800000006E-3</v>
      </c>
      <c r="V281">
        <v>8.0888280800000007E-3</v>
      </c>
      <c r="W281">
        <v>1.2534192499999999E-2</v>
      </c>
      <c r="X281">
        <v>1.3990969000000001E-2</v>
      </c>
      <c r="Y281">
        <v>1.50530986E-2</v>
      </c>
      <c r="Z281">
        <v>1.6146402000000001E-2</v>
      </c>
      <c r="AA281">
        <v>1.7273940500000001E-2</v>
      </c>
      <c r="AB281">
        <v>1.84737115E-2</v>
      </c>
      <c r="AC281">
        <v>1.9711671199999999E-2</v>
      </c>
      <c r="AD281">
        <v>2.1329809599999999E-2</v>
      </c>
      <c r="AE281">
        <v>2.2947949799999999E-2</v>
      </c>
      <c r="AF281">
        <v>2.45713332E-2</v>
      </c>
      <c r="AG281">
        <v>2.61998378E-2</v>
      </c>
      <c r="AH281">
        <v>2.7837646099999998E-2</v>
      </c>
      <c r="AI281">
        <v>2.82568682E-2</v>
      </c>
      <c r="AJ281">
        <v>2.86837772E-2</v>
      </c>
      <c r="AK281">
        <v>2.9095987199999999E-2</v>
      </c>
      <c r="AL281">
        <v>2.9527153600000001E-2</v>
      </c>
      <c r="AM281">
        <v>2.9923783799999999E-2</v>
      </c>
      <c r="AN281">
        <v>3.0344181599999999E-2</v>
      </c>
      <c r="AO281">
        <v>3.0691061400000001E-2</v>
      </c>
      <c r="AP281">
        <v>3.11481454E-2</v>
      </c>
      <c r="AQ281">
        <v>3.1435531099999997E-2</v>
      </c>
      <c r="AR281">
        <v>3.1887840200000003E-2</v>
      </c>
      <c r="AS281">
        <v>3.22499022E-2</v>
      </c>
      <c r="AT281">
        <v>3.2640592400000001E-2</v>
      </c>
      <c r="AU281">
        <v>3.2986835499999999E-2</v>
      </c>
      <c r="AV281">
        <v>3.3404817599999997E-2</v>
      </c>
      <c r="AW281">
        <v>3.3719861099999998E-2</v>
      </c>
    </row>
    <row r="282" spans="2:49" x14ac:dyDescent="0.25">
      <c r="B282" t="s">
        <v>284</v>
      </c>
      <c r="C282">
        <v>1.0311404413280999E-2</v>
      </c>
      <c r="D282">
        <v>1.0311404413280999E-2</v>
      </c>
      <c r="E282">
        <v>1.0313709399999999E-2</v>
      </c>
      <c r="F282">
        <v>1.15992248E-2</v>
      </c>
      <c r="G282">
        <v>1.3028168E-2</v>
      </c>
      <c r="H282">
        <v>1.46772011E-2</v>
      </c>
      <c r="I282">
        <v>1.6491666200000001E-2</v>
      </c>
      <c r="J282">
        <v>1.85282347E-2</v>
      </c>
      <c r="K282">
        <v>2.08156655E-2</v>
      </c>
      <c r="L282">
        <v>2.33899025E-2</v>
      </c>
      <c r="M282">
        <v>2.63036291E-2</v>
      </c>
      <c r="N282">
        <v>2.9591216E-2</v>
      </c>
      <c r="O282">
        <v>3.1035668200000002E-2</v>
      </c>
      <c r="P282">
        <v>3.2262847300000001E-2</v>
      </c>
      <c r="Q282">
        <v>3.3188422799999999E-2</v>
      </c>
      <c r="R282">
        <v>3.3784980200000002E-2</v>
      </c>
      <c r="S282">
        <v>6.1083205500000001E-2</v>
      </c>
      <c r="T282">
        <v>6.3247005199999998E-2</v>
      </c>
      <c r="U282">
        <v>6.54046655E-2</v>
      </c>
      <c r="V282">
        <v>6.7524420399999896E-2</v>
      </c>
      <c r="W282">
        <v>0.1075853665</v>
      </c>
      <c r="X282">
        <v>0.1195194874</v>
      </c>
      <c r="Y282">
        <v>0.1320692862</v>
      </c>
      <c r="Z282">
        <v>0.1449891348</v>
      </c>
      <c r="AA282">
        <v>0.15831059289999999</v>
      </c>
      <c r="AB282">
        <v>0.17239025899999999</v>
      </c>
      <c r="AC282">
        <v>0.18691448920000001</v>
      </c>
      <c r="AD282">
        <v>0.19691032829999999</v>
      </c>
      <c r="AE282">
        <v>0.20687804470000001</v>
      </c>
      <c r="AF282">
        <v>0.2168692783</v>
      </c>
      <c r="AG282">
        <v>0.2270299301</v>
      </c>
      <c r="AH282">
        <v>0.23725371310000001</v>
      </c>
      <c r="AI282">
        <v>0.2463961875</v>
      </c>
      <c r="AJ282">
        <v>0.255595878</v>
      </c>
      <c r="AK282">
        <v>0.26465395219999999</v>
      </c>
      <c r="AL282">
        <v>0.27402195759999998</v>
      </c>
      <c r="AM282">
        <v>0.2830593401</v>
      </c>
      <c r="AN282">
        <v>0.2905155251</v>
      </c>
      <c r="AO282">
        <v>0.29725907709999999</v>
      </c>
      <c r="AP282">
        <v>0.30506546919999999</v>
      </c>
      <c r="AQ282">
        <v>0.31119934929999998</v>
      </c>
      <c r="AR282">
        <v>0.31895510840000002</v>
      </c>
      <c r="AS282">
        <v>0.32428036500000001</v>
      </c>
      <c r="AT282">
        <v>0.32990168959999999</v>
      </c>
      <c r="AU282">
        <v>0.33508097370000001</v>
      </c>
      <c r="AV282">
        <v>0.34099732329999999</v>
      </c>
      <c r="AW282">
        <v>0.34586948979999999</v>
      </c>
    </row>
    <row r="283" spans="2:49" x14ac:dyDescent="0.25">
      <c r="B283" t="s">
        <v>285</v>
      </c>
      <c r="C283">
        <v>0.99172610111270199</v>
      </c>
      <c r="D283">
        <v>0.99172610111270199</v>
      </c>
      <c r="E283">
        <v>0.99172610110000003</v>
      </c>
      <c r="F283">
        <v>0.98692243619999998</v>
      </c>
      <c r="G283">
        <v>0.98214203899999997</v>
      </c>
      <c r="H283">
        <v>0.97738479680000001</v>
      </c>
      <c r="I283">
        <v>0.97265059740000004</v>
      </c>
      <c r="J283">
        <v>0.96793932930000004</v>
      </c>
      <c r="K283">
        <v>0.96325088140000004</v>
      </c>
      <c r="L283">
        <v>0.95858514299999997</v>
      </c>
      <c r="M283">
        <v>0.95394200429999998</v>
      </c>
      <c r="N283">
        <v>0.94932135579999999</v>
      </c>
      <c r="O283">
        <v>0.94649834600000005</v>
      </c>
      <c r="P283">
        <v>0.94352743750000001</v>
      </c>
      <c r="Q283">
        <v>0.94040194440000002</v>
      </c>
      <c r="R283">
        <v>0.93711499880000004</v>
      </c>
      <c r="S283">
        <v>0.95161573820000001</v>
      </c>
      <c r="T283">
        <v>0.94863721099999998</v>
      </c>
      <c r="U283">
        <v>0.94569023600000002</v>
      </c>
      <c r="V283">
        <v>0.94277431450000004</v>
      </c>
      <c r="W283">
        <v>0.92508293470000003</v>
      </c>
      <c r="X283">
        <v>0.91990019570000003</v>
      </c>
      <c r="Y283">
        <v>0.91458085170000003</v>
      </c>
      <c r="Z283">
        <v>0.90876938439999999</v>
      </c>
      <c r="AA283">
        <v>0.90239418770000002</v>
      </c>
      <c r="AB283">
        <v>0.89572874390000001</v>
      </c>
      <c r="AC283">
        <v>0.88835184919999999</v>
      </c>
      <c r="AD283">
        <v>0.87271637950000003</v>
      </c>
      <c r="AE283">
        <v>0.85535379339999995</v>
      </c>
      <c r="AF283">
        <v>0.83596119219999998</v>
      </c>
      <c r="AG283">
        <v>0.81460574409999997</v>
      </c>
      <c r="AH283">
        <v>0.79043580189999996</v>
      </c>
      <c r="AI283">
        <v>0.75683640210000003</v>
      </c>
      <c r="AJ283">
        <v>0.71826303300000005</v>
      </c>
      <c r="AK283">
        <v>0.67352290510000001</v>
      </c>
      <c r="AL283">
        <v>0.62296323119999997</v>
      </c>
      <c r="AM283">
        <v>0.5628175876</v>
      </c>
      <c r="AN283">
        <v>0.53680529440000002</v>
      </c>
      <c r="AO283">
        <v>0.50636456480000003</v>
      </c>
      <c r="AP283">
        <v>0.47025930859999998</v>
      </c>
      <c r="AQ283">
        <v>0.4267462091</v>
      </c>
      <c r="AR283">
        <v>0.373284809</v>
      </c>
      <c r="AS283">
        <v>0.37769387129999998</v>
      </c>
      <c r="AT283">
        <v>0.3828154446</v>
      </c>
      <c r="AU283">
        <v>0.38883742539999999</v>
      </c>
      <c r="AV283">
        <v>0.39602014429999999</v>
      </c>
      <c r="AW283">
        <v>0.40473499280000003</v>
      </c>
    </row>
    <row r="284" spans="2:49" x14ac:dyDescent="0.25">
      <c r="B284" t="s">
        <v>286</v>
      </c>
      <c r="C284">
        <v>0.91950930808135101</v>
      </c>
      <c r="D284">
        <v>0.91950930808135101</v>
      </c>
      <c r="E284">
        <v>0.91950930809999998</v>
      </c>
      <c r="F284">
        <v>0.91215096689999997</v>
      </c>
      <c r="G284">
        <v>0.90485151050000001</v>
      </c>
      <c r="H284">
        <v>0.89761046779999998</v>
      </c>
      <c r="I284">
        <v>0.89042737130000005</v>
      </c>
      <c r="J284">
        <v>0.88330175730000005</v>
      </c>
      <c r="K284">
        <v>0.87623316569999998</v>
      </c>
      <c r="L284">
        <v>0.86922114029999997</v>
      </c>
      <c r="M284">
        <v>0.86226522839999997</v>
      </c>
      <c r="N284">
        <v>0.85536498090000002</v>
      </c>
      <c r="O284">
        <v>0.82919865599999998</v>
      </c>
      <c r="P284">
        <v>0.79785612839999998</v>
      </c>
      <c r="Q284">
        <v>0.76080142579999999</v>
      </c>
      <c r="R284">
        <v>0.71772633799999996</v>
      </c>
      <c r="S284">
        <v>0.68442251590000003</v>
      </c>
      <c r="T284">
        <v>0.68128557830000003</v>
      </c>
      <c r="U284">
        <v>0.67821213570000005</v>
      </c>
      <c r="V284">
        <v>0.67520027940000005</v>
      </c>
      <c r="W284">
        <v>0.59819520029999995</v>
      </c>
      <c r="X284">
        <v>0.57643558719999999</v>
      </c>
      <c r="Y284">
        <v>0.54958941120000004</v>
      </c>
      <c r="Z284">
        <v>0.52179472319999998</v>
      </c>
      <c r="AA284">
        <v>0.4930003509</v>
      </c>
      <c r="AB284">
        <v>0.46541008690000002</v>
      </c>
      <c r="AC284">
        <v>0.43682571349999999</v>
      </c>
      <c r="AD284">
        <v>0.40987338810000001</v>
      </c>
      <c r="AE284">
        <v>0.38266548299999997</v>
      </c>
      <c r="AF284">
        <v>0.35519834550000001</v>
      </c>
      <c r="AG284">
        <v>0.33021461600000002</v>
      </c>
      <c r="AH284">
        <v>0.30499904690000001</v>
      </c>
      <c r="AI284">
        <v>0.28119961659999998</v>
      </c>
      <c r="AJ284">
        <v>0.25732735270000001</v>
      </c>
      <c r="AK284">
        <v>0.2333819204</v>
      </c>
      <c r="AL284">
        <v>0.21212098939999999</v>
      </c>
      <c r="AM284">
        <v>0.1907903708</v>
      </c>
      <c r="AN284">
        <v>0.1746595212</v>
      </c>
      <c r="AO284">
        <v>0.15847728150000001</v>
      </c>
      <c r="AP284">
        <v>0.1422434058</v>
      </c>
      <c r="AQ284">
        <v>0.12595764640000001</v>
      </c>
      <c r="AR284">
        <v>0.1096197543</v>
      </c>
      <c r="AS284">
        <v>8.9338193900000001E-2</v>
      </c>
      <c r="AT284">
        <v>6.8864096299999997E-2</v>
      </c>
      <c r="AU284">
        <v>4.8194706800000001E-2</v>
      </c>
      <c r="AV284">
        <v>2.7327217800000001E-2</v>
      </c>
      <c r="AW284">
        <v>6.2587675799999996E-3</v>
      </c>
    </row>
    <row r="285" spans="2:49" x14ac:dyDescent="0.25">
      <c r="B285" t="s">
        <v>287</v>
      </c>
      <c r="C285">
        <v>383714635.27038902</v>
      </c>
      <c r="D285">
        <v>389875297.85567099</v>
      </c>
      <c r="E285">
        <v>396134871.89999998</v>
      </c>
      <c r="F285">
        <v>412015962.39999998</v>
      </c>
      <c r="G285">
        <v>421142046.19999999</v>
      </c>
      <c r="H285">
        <v>439537742.5</v>
      </c>
      <c r="I285">
        <v>454175219.19999999</v>
      </c>
      <c r="J285">
        <v>471399717.39999998</v>
      </c>
      <c r="K285">
        <v>493298723.89999998</v>
      </c>
      <c r="L285">
        <v>519361374.69999999</v>
      </c>
      <c r="M285">
        <v>549574613.60000002</v>
      </c>
      <c r="N285">
        <v>565404891.79999995</v>
      </c>
      <c r="O285">
        <v>564692559.5</v>
      </c>
      <c r="P285">
        <v>564413232</v>
      </c>
      <c r="Q285">
        <v>563182343.39999998</v>
      </c>
      <c r="R285">
        <v>562978063.29999995</v>
      </c>
      <c r="S285">
        <v>568377327.89999998</v>
      </c>
      <c r="T285">
        <v>573702959.79999995</v>
      </c>
      <c r="U285">
        <v>576506816.20000005</v>
      </c>
      <c r="V285">
        <v>578374129.29999995</v>
      </c>
      <c r="W285">
        <v>572078281</v>
      </c>
      <c r="X285">
        <v>562930567.60000002</v>
      </c>
      <c r="Y285">
        <v>553929114.70000005</v>
      </c>
      <c r="Z285">
        <v>545571722.60000002</v>
      </c>
      <c r="AA285">
        <v>537762186.39999998</v>
      </c>
      <c r="AB285">
        <v>530293607.69999999</v>
      </c>
      <c r="AC285">
        <v>522993639.5</v>
      </c>
      <c r="AD285">
        <v>517753798.30000001</v>
      </c>
      <c r="AE285">
        <v>513461271.39999998</v>
      </c>
      <c r="AF285">
        <v>509533133.80000001</v>
      </c>
      <c r="AG285">
        <v>505718503</v>
      </c>
      <c r="AH285">
        <v>501907326.30000001</v>
      </c>
      <c r="AI285">
        <v>498041293</v>
      </c>
      <c r="AJ285">
        <v>494116060.10000002</v>
      </c>
      <c r="AK285">
        <v>490180020.89999998</v>
      </c>
      <c r="AL285">
        <v>486243137</v>
      </c>
      <c r="AM285">
        <v>482386187.60000002</v>
      </c>
      <c r="AN285">
        <v>478703834</v>
      </c>
      <c r="AO285">
        <v>475255398.10000002</v>
      </c>
      <c r="AP285">
        <v>471871093.89999998</v>
      </c>
      <c r="AQ285">
        <v>468687556.69999999</v>
      </c>
      <c r="AR285">
        <v>465483940.5</v>
      </c>
      <c r="AS285">
        <v>462327413.5</v>
      </c>
      <c r="AT285">
        <v>459173528.69999999</v>
      </c>
      <c r="AU285">
        <v>456059499.60000002</v>
      </c>
      <c r="AV285">
        <v>452926631.89999998</v>
      </c>
      <c r="AW285">
        <v>449873469.60000002</v>
      </c>
    </row>
    <row r="286" spans="2:49" x14ac:dyDescent="0.25">
      <c r="B286" t="s">
        <v>288</v>
      </c>
      <c r="C286">
        <v>261485.90393552999</v>
      </c>
      <c r="D286">
        <v>265684.14470322698</v>
      </c>
      <c r="E286">
        <v>269949.78960000002</v>
      </c>
      <c r="F286">
        <v>277098.17170000001</v>
      </c>
      <c r="G286">
        <v>283659.86829999997</v>
      </c>
      <c r="H286">
        <v>284994.99819999997</v>
      </c>
      <c r="I286">
        <v>276969.24219999998</v>
      </c>
      <c r="J286">
        <v>276311.07939999999</v>
      </c>
      <c r="K286">
        <v>278560.18609999999</v>
      </c>
      <c r="L286">
        <v>278778.19709999999</v>
      </c>
      <c r="M286">
        <v>284116.59600000002</v>
      </c>
      <c r="N286">
        <v>292990.47159999999</v>
      </c>
      <c r="O286">
        <v>300379.13520000002</v>
      </c>
      <c r="P286">
        <v>308878.95010000002</v>
      </c>
      <c r="Q286">
        <v>317365.6201</v>
      </c>
      <c r="R286">
        <v>328595.4534</v>
      </c>
      <c r="S286">
        <v>344344.00790000003</v>
      </c>
      <c r="T286">
        <v>360897.24969999999</v>
      </c>
      <c r="U286">
        <v>372023.09620000003</v>
      </c>
      <c r="V286">
        <v>382660.10930000001</v>
      </c>
      <c r="W286">
        <v>391677.37699999998</v>
      </c>
      <c r="X286">
        <v>398807.1874</v>
      </c>
      <c r="Y286">
        <v>406517.08110000001</v>
      </c>
      <c r="Z286">
        <v>415440.6005</v>
      </c>
      <c r="AA286">
        <v>424930.61709999997</v>
      </c>
      <c r="AB286">
        <v>434492.08590000001</v>
      </c>
      <c r="AC286">
        <v>443840.29310000001</v>
      </c>
      <c r="AD286">
        <v>448874.48210000002</v>
      </c>
      <c r="AE286">
        <v>455479.34899999999</v>
      </c>
      <c r="AF286">
        <v>461970.52549999999</v>
      </c>
      <c r="AG286">
        <v>467764.18709999998</v>
      </c>
      <c r="AH286">
        <v>472705.9558</v>
      </c>
      <c r="AI286">
        <v>477036.5208</v>
      </c>
      <c r="AJ286">
        <v>480960.01059999998</v>
      </c>
      <c r="AK286">
        <v>484840.69870000001</v>
      </c>
      <c r="AL286">
        <v>488590.08380000002</v>
      </c>
      <c r="AM286">
        <v>493155.67070000002</v>
      </c>
      <c r="AN286">
        <v>497626.65740000003</v>
      </c>
      <c r="AO286">
        <v>502897.17599999998</v>
      </c>
      <c r="AP286">
        <v>507354.76329999999</v>
      </c>
      <c r="AQ286">
        <v>513396.69449999998</v>
      </c>
      <c r="AR286">
        <v>518272.47139999998</v>
      </c>
      <c r="AS286">
        <v>524007.07140000002</v>
      </c>
      <c r="AT286">
        <v>529611.32140000002</v>
      </c>
      <c r="AU286">
        <v>535688.62320000003</v>
      </c>
      <c r="AV286">
        <v>541326.49800000002</v>
      </c>
      <c r="AW286">
        <v>547924.83360000001</v>
      </c>
    </row>
    <row r="287" spans="2:49" x14ac:dyDescent="0.25">
      <c r="B287" t="s">
        <v>289</v>
      </c>
      <c r="C287">
        <v>158336.21117690401</v>
      </c>
      <c r="D287">
        <v>160878.35026264799</v>
      </c>
      <c r="E287">
        <v>163461.30420000001</v>
      </c>
      <c r="F287">
        <v>168432.22510000001</v>
      </c>
      <c r="G287">
        <v>175099.23300000001</v>
      </c>
      <c r="H287">
        <v>184375.0638</v>
      </c>
      <c r="I287">
        <v>192030.4235</v>
      </c>
      <c r="J287">
        <v>200640.8302</v>
      </c>
      <c r="K287">
        <v>215030.5569</v>
      </c>
      <c r="L287">
        <v>230856.481</v>
      </c>
      <c r="M287">
        <v>247457.1078</v>
      </c>
      <c r="N287">
        <v>260450.02830000001</v>
      </c>
      <c r="O287">
        <v>261242.96429999999</v>
      </c>
      <c r="P287">
        <v>258856.2923</v>
      </c>
      <c r="Q287">
        <v>254988.948</v>
      </c>
      <c r="R287">
        <v>253654.0907</v>
      </c>
      <c r="S287">
        <v>254237.47889999999</v>
      </c>
      <c r="T287">
        <v>256757.45250000001</v>
      </c>
      <c r="U287">
        <v>258383.55420000001</v>
      </c>
      <c r="V287">
        <v>259201.42600000001</v>
      </c>
      <c r="W287">
        <v>262516.83159999998</v>
      </c>
      <c r="X287">
        <v>261941.42819999999</v>
      </c>
      <c r="Y287">
        <v>260623.9572</v>
      </c>
      <c r="Z287">
        <v>259158.58</v>
      </c>
      <c r="AA287">
        <v>257686.8786</v>
      </c>
      <c r="AB287">
        <v>256174.02220000001</v>
      </c>
      <c r="AC287">
        <v>254522.5601</v>
      </c>
      <c r="AD287">
        <v>253778.30230000001</v>
      </c>
      <c r="AE287">
        <v>254100.88810000001</v>
      </c>
      <c r="AF287">
        <v>255116.56589999999</v>
      </c>
      <c r="AG287">
        <v>256574.7243</v>
      </c>
      <c r="AH287">
        <v>258293.75049999999</v>
      </c>
      <c r="AI287">
        <v>260087.78330000001</v>
      </c>
      <c r="AJ287">
        <v>261878.25450000001</v>
      </c>
      <c r="AK287">
        <v>263645.09580000001</v>
      </c>
      <c r="AL287">
        <v>265403.50300000003</v>
      </c>
      <c r="AM287">
        <v>267145.56829999998</v>
      </c>
      <c r="AN287">
        <v>268711.39039999997</v>
      </c>
      <c r="AO287">
        <v>270279.61330000003</v>
      </c>
      <c r="AP287">
        <v>271988.48590000003</v>
      </c>
      <c r="AQ287">
        <v>273671.71269999997</v>
      </c>
      <c r="AR287">
        <v>275525.1899</v>
      </c>
      <c r="AS287">
        <v>277348.92320000002</v>
      </c>
      <c r="AT287">
        <v>279224.11900000001</v>
      </c>
      <c r="AU287">
        <v>281100.0625</v>
      </c>
      <c r="AV287">
        <v>283033.13740000001</v>
      </c>
      <c r="AW287">
        <v>284938.16450000001</v>
      </c>
    </row>
    <row r="288" spans="2:49" x14ac:dyDescent="0.25">
      <c r="B288" t="s">
        <v>290</v>
      </c>
      <c r="C288">
        <v>516755.579312385</v>
      </c>
      <c r="D288">
        <v>525052.257287574</v>
      </c>
      <c r="E288">
        <v>533482.14110000001</v>
      </c>
      <c r="F288">
        <v>549193.42949999997</v>
      </c>
      <c r="G288">
        <v>552125.20750000002</v>
      </c>
      <c r="H288">
        <v>567689.07709999999</v>
      </c>
      <c r="I288">
        <v>577881.47109999997</v>
      </c>
      <c r="J288">
        <v>590938.95559999999</v>
      </c>
      <c r="K288">
        <v>606348.71059999999</v>
      </c>
      <c r="L288">
        <v>626362.15890000004</v>
      </c>
      <c r="M288">
        <v>651249.59259999997</v>
      </c>
      <c r="N288">
        <v>668543.24080000003</v>
      </c>
      <c r="O288">
        <v>664369.31969999999</v>
      </c>
      <c r="P288">
        <v>663263.02879999997</v>
      </c>
      <c r="Q288">
        <v>661839.09210000001</v>
      </c>
      <c r="R288">
        <v>660077.05740000005</v>
      </c>
      <c r="S288">
        <v>665326.45510000002</v>
      </c>
      <c r="T288">
        <v>668966.18889999995</v>
      </c>
      <c r="U288">
        <v>669460.45779999997</v>
      </c>
      <c r="V288">
        <v>669146.8774</v>
      </c>
      <c r="W288">
        <v>661165.83059999999</v>
      </c>
      <c r="X288">
        <v>651728.35900000005</v>
      </c>
      <c r="Y288">
        <v>642946.04260000004</v>
      </c>
      <c r="Z288">
        <v>635131.9</v>
      </c>
      <c r="AA288">
        <v>628045.42520000006</v>
      </c>
      <c r="AB288">
        <v>621406.38919999998</v>
      </c>
      <c r="AC288">
        <v>615029.36560000002</v>
      </c>
      <c r="AD288">
        <v>611060.80220000003</v>
      </c>
      <c r="AE288">
        <v>607690.86510000005</v>
      </c>
      <c r="AF288">
        <v>604309.40969999996</v>
      </c>
      <c r="AG288">
        <v>600718.85160000005</v>
      </c>
      <c r="AH288">
        <v>596884.81590000005</v>
      </c>
      <c r="AI288">
        <v>592855.05889999995</v>
      </c>
      <c r="AJ288">
        <v>588680.74109999998</v>
      </c>
      <c r="AK288">
        <v>584453.07640000002</v>
      </c>
      <c r="AL288">
        <v>580176.37540000002</v>
      </c>
      <c r="AM288">
        <v>575986.73910000001</v>
      </c>
      <c r="AN288">
        <v>572159.47250000003</v>
      </c>
      <c r="AO288">
        <v>568659.96849999996</v>
      </c>
      <c r="AP288">
        <v>565111.80440000002</v>
      </c>
      <c r="AQ288">
        <v>561865.51190000004</v>
      </c>
      <c r="AR288">
        <v>558414.19369999995</v>
      </c>
      <c r="AS288">
        <v>555019.1202</v>
      </c>
      <c r="AT288">
        <v>551546.32149999996</v>
      </c>
      <c r="AU288">
        <v>548096.0699</v>
      </c>
      <c r="AV288">
        <v>544528.50219999999</v>
      </c>
      <c r="AW288">
        <v>541072.95929999999</v>
      </c>
    </row>
    <row r="289" spans="2:49" x14ac:dyDescent="0.25">
      <c r="B289" t="s">
        <v>291</v>
      </c>
      <c r="C289">
        <v>82711.5521017555</v>
      </c>
      <c r="D289">
        <v>84039.512824558697</v>
      </c>
      <c r="E289">
        <v>85388.794389999995</v>
      </c>
      <c r="F289">
        <v>94624.030620000005</v>
      </c>
      <c r="G289">
        <v>97309.61477</v>
      </c>
      <c r="H289">
        <v>103596.51669999999</v>
      </c>
      <c r="I289">
        <v>107572.88219999999</v>
      </c>
      <c r="J289">
        <v>114868.29549999999</v>
      </c>
      <c r="K289">
        <v>120273.13920000001</v>
      </c>
      <c r="L289">
        <v>126785.8879</v>
      </c>
      <c r="M289">
        <v>135784.2187</v>
      </c>
      <c r="N289">
        <v>145687.5558</v>
      </c>
      <c r="O289">
        <v>136449.88690000001</v>
      </c>
      <c r="P289">
        <v>131145.65659999999</v>
      </c>
      <c r="Q289">
        <v>126036.6703</v>
      </c>
      <c r="R289">
        <v>114478.12579999999</v>
      </c>
      <c r="S289">
        <v>113957.9507</v>
      </c>
      <c r="T289">
        <v>113598.7643</v>
      </c>
      <c r="U289">
        <v>113194.19349999999</v>
      </c>
      <c r="V289">
        <v>113144.0331</v>
      </c>
      <c r="W289">
        <v>113610.8524</v>
      </c>
      <c r="X289">
        <v>115374.567</v>
      </c>
      <c r="Y289">
        <v>117412.7893</v>
      </c>
      <c r="Z289">
        <v>119777.2933</v>
      </c>
      <c r="AA289">
        <v>122415.98179999999</v>
      </c>
      <c r="AB289">
        <v>125313.5485</v>
      </c>
      <c r="AC289">
        <v>128502.516</v>
      </c>
      <c r="AD289">
        <v>129768.0858</v>
      </c>
      <c r="AE289">
        <v>130753.20909999999</v>
      </c>
      <c r="AF289">
        <v>131456.7493</v>
      </c>
      <c r="AG289">
        <v>131930.3462</v>
      </c>
      <c r="AH289">
        <v>132236.4075</v>
      </c>
      <c r="AI289">
        <v>132468.3965</v>
      </c>
      <c r="AJ289">
        <v>132676.9958</v>
      </c>
      <c r="AK289">
        <v>132902.1974</v>
      </c>
      <c r="AL289">
        <v>133138.72760000001</v>
      </c>
      <c r="AM289">
        <v>133460.25690000001</v>
      </c>
      <c r="AN289">
        <v>133829.37609999999</v>
      </c>
      <c r="AO289">
        <v>134262.55220000001</v>
      </c>
      <c r="AP289">
        <v>134602.65479999999</v>
      </c>
      <c r="AQ289">
        <v>135069.4529</v>
      </c>
      <c r="AR289">
        <v>135397.86129999999</v>
      </c>
      <c r="AS289">
        <v>135762.88630000001</v>
      </c>
      <c r="AT289">
        <v>136077.6066</v>
      </c>
      <c r="AU289">
        <v>136402.46739999999</v>
      </c>
      <c r="AV289">
        <v>136656.0723</v>
      </c>
      <c r="AW289">
        <v>136795.85870000001</v>
      </c>
    </row>
    <row r="290" spans="2:49" x14ac:dyDescent="0.25">
      <c r="B290" t="s">
        <v>292</v>
      </c>
      <c r="C290">
        <v>45689.201708803201</v>
      </c>
      <c r="D290">
        <v>46422.756620829103</v>
      </c>
      <c r="E290">
        <v>47168.089010000003</v>
      </c>
      <c r="F290">
        <v>49526.52895</v>
      </c>
      <c r="G290">
        <v>49189.323729999996</v>
      </c>
      <c r="H290">
        <v>50577.665509999999</v>
      </c>
      <c r="I290">
        <v>51404.659030000003</v>
      </c>
      <c r="J290">
        <v>52652.29189</v>
      </c>
      <c r="K290">
        <v>53240.421770000001</v>
      </c>
      <c r="L290">
        <v>54441.881390000002</v>
      </c>
      <c r="M290">
        <v>56442.274799999999</v>
      </c>
      <c r="N290">
        <v>57916.760419999999</v>
      </c>
      <c r="O290">
        <v>56790.046549999999</v>
      </c>
      <c r="P290">
        <v>56687.282290000003</v>
      </c>
      <c r="Q290">
        <v>56747.768029999999</v>
      </c>
      <c r="R290">
        <v>55974.758280000002</v>
      </c>
      <c r="S290">
        <v>56548.240140000002</v>
      </c>
      <c r="T290">
        <v>56685.369749999998</v>
      </c>
      <c r="U290">
        <v>56519.798439999999</v>
      </c>
      <c r="V290">
        <v>56391.776680000003</v>
      </c>
      <c r="W290">
        <v>55744.621769999998</v>
      </c>
      <c r="X290">
        <v>55552.850290000002</v>
      </c>
      <c r="Y290">
        <v>55576.297380000004</v>
      </c>
      <c r="Z290">
        <v>55791.073709999997</v>
      </c>
      <c r="AA290">
        <v>56158.094729999997</v>
      </c>
      <c r="AB290">
        <v>56661.121379999997</v>
      </c>
      <c r="AC290">
        <v>57314.31755</v>
      </c>
      <c r="AD290">
        <v>55359.259729999998</v>
      </c>
      <c r="AE290">
        <v>53732.754889999997</v>
      </c>
      <c r="AF290">
        <v>52268.4859</v>
      </c>
      <c r="AG290">
        <v>50910.485430000001</v>
      </c>
      <c r="AH290">
        <v>49640.712229999997</v>
      </c>
      <c r="AI290">
        <v>48463.55573</v>
      </c>
      <c r="AJ290">
        <v>47374.003909999999</v>
      </c>
      <c r="AK290">
        <v>46369.439400000003</v>
      </c>
      <c r="AL290">
        <v>45433.455479999997</v>
      </c>
      <c r="AM290">
        <v>44576.174279999999</v>
      </c>
      <c r="AN290">
        <v>43837.238640000003</v>
      </c>
      <c r="AO290">
        <v>43181.736550000001</v>
      </c>
      <c r="AP290">
        <v>42538.575669999998</v>
      </c>
      <c r="AQ290">
        <v>41970.961159999999</v>
      </c>
      <c r="AR290">
        <v>41387.354939999997</v>
      </c>
      <c r="AS290">
        <v>40843.959060000001</v>
      </c>
      <c r="AT290">
        <v>40311.989540000002</v>
      </c>
      <c r="AU290">
        <v>39807.745260000003</v>
      </c>
      <c r="AV290">
        <v>39305.719210000003</v>
      </c>
      <c r="AW290">
        <v>38842.850870000002</v>
      </c>
    </row>
    <row r="291" spans="2:49" x14ac:dyDescent="0.25">
      <c r="B291" t="s">
        <v>293</v>
      </c>
      <c r="C291">
        <v>562444.78102118894</v>
      </c>
      <c r="D291">
        <v>571475.01390840299</v>
      </c>
      <c r="E291">
        <v>580650.23010000004</v>
      </c>
      <c r="F291">
        <v>598711.18119999999</v>
      </c>
      <c r="G291">
        <v>601302.35640000005</v>
      </c>
      <c r="H291">
        <v>618254.22450000001</v>
      </c>
      <c r="I291">
        <v>629273.33019999997</v>
      </c>
      <c r="J291">
        <v>643578.0919</v>
      </c>
      <c r="K291">
        <v>659570.36589999998</v>
      </c>
      <c r="L291">
        <v>680782.07160000002</v>
      </c>
      <c r="M291">
        <v>707668.81539999996</v>
      </c>
      <c r="N291">
        <v>726436.33310000005</v>
      </c>
      <c r="O291">
        <v>721131.15060000005</v>
      </c>
      <c r="P291">
        <v>719922.1422</v>
      </c>
      <c r="Q291">
        <v>718558.47479999997</v>
      </c>
      <c r="R291">
        <v>716020.36100000003</v>
      </c>
      <c r="S291">
        <v>721842.85049999994</v>
      </c>
      <c r="T291">
        <v>726288.39240000001</v>
      </c>
      <c r="U291">
        <v>727287.19279999996</v>
      </c>
      <c r="V291">
        <v>727515.27800000005</v>
      </c>
      <c r="W291">
        <v>726758.22629999998</v>
      </c>
      <c r="X291">
        <v>724867.73289999994</v>
      </c>
      <c r="Y291">
        <v>723747.35270000005</v>
      </c>
      <c r="Z291">
        <v>723727.16509999998</v>
      </c>
      <c r="AA291">
        <v>724548.7243</v>
      </c>
      <c r="AB291">
        <v>725922.96770000004</v>
      </c>
      <c r="AC291">
        <v>727682.52350000001</v>
      </c>
      <c r="AD291">
        <v>729164.47860000003</v>
      </c>
      <c r="AE291">
        <v>731625.12250000006</v>
      </c>
      <c r="AF291">
        <v>734225.21389999997</v>
      </c>
      <c r="AG291">
        <v>736681.51100000006</v>
      </c>
      <c r="AH291">
        <v>738928.80680000002</v>
      </c>
      <c r="AI291">
        <v>741020.31559999997</v>
      </c>
      <c r="AJ291">
        <v>743004.55539999995</v>
      </c>
      <c r="AK291">
        <v>744982.44900000002</v>
      </c>
      <c r="AL291">
        <v>746939.15769999998</v>
      </c>
      <c r="AM291">
        <v>749050.58900000004</v>
      </c>
      <c r="AN291">
        <v>751706.5098</v>
      </c>
      <c r="AO291">
        <v>754838.74750000006</v>
      </c>
      <c r="AP291">
        <v>757904.32220000005</v>
      </c>
      <c r="AQ291">
        <v>761422.94149999996</v>
      </c>
      <c r="AR291">
        <v>764645.94539999997</v>
      </c>
      <c r="AS291">
        <v>767972.82169999997</v>
      </c>
      <c r="AT291">
        <v>771194.54469999997</v>
      </c>
      <c r="AU291">
        <v>774461.06270000001</v>
      </c>
      <c r="AV291">
        <v>777553.30200000003</v>
      </c>
      <c r="AW291">
        <v>780824.01809999999</v>
      </c>
    </row>
    <row r="292" spans="2:49" x14ac:dyDescent="0.25">
      <c r="B292" t="s">
        <v>294</v>
      </c>
      <c r="C292">
        <v>241047.76327865999</v>
      </c>
      <c r="D292">
        <v>244917.86308720699</v>
      </c>
      <c r="E292">
        <v>248850.0986</v>
      </c>
      <c r="F292">
        <v>262898.27980000002</v>
      </c>
      <c r="G292">
        <v>272241.5797</v>
      </c>
      <c r="H292">
        <v>287790.76390000002</v>
      </c>
      <c r="I292">
        <v>299414.87190000003</v>
      </c>
      <c r="J292">
        <v>315293.48210000002</v>
      </c>
      <c r="K292">
        <v>335053.53840000002</v>
      </c>
      <c r="L292">
        <v>357361.83149999997</v>
      </c>
      <c r="M292">
        <v>382940.67560000002</v>
      </c>
      <c r="N292">
        <v>405801.78539999999</v>
      </c>
      <c r="O292">
        <v>397150.76010000001</v>
      </c>
      <c r="P292">
        <v>389429.723</v>
      </c>
      <c r="Q292">
        <v>380440.76630000002</v>
      </c>
      <c r="R292">
        <v>367234.37349999999</v>
      </c>
      <c r="S292">
        <v>367295.58689999999</v>
      </c>
      <c r="T292">
        <v>369444.41210000002</v>
      </c>
      <c r="U292">
        <v>370659.09279999998</v>
      </c>
      <c r="V292">
        <v>371424.39559999999</v>
      </c>
      <c r="W292">
        <v>375194.33809999999</v>
      </c>
      <c r="X292">
        <v>376367.38410000002</v>
      </c>
      <c r="Y292">
        <v>377065.90500000003</v>
      </c>
      <c r="Z292">
        <v>377936.16759999999</v>
      </c>
      <c r="AA292">
        <v>379069.0172</v>
      </c>
      <c r="AB292">
        <v>380414.22730000003</v>
      </c>
      <c r="AC292">
        <v>381905.20140000002</v>
      </c>
      <c r="AD292">
        <v>382418.07290000003</v>
      </c>
      <c r="AE292">
        <v>383720.23320000002</v>
      </c>
      <c r="AF292">
        <v>385434.304</v>
      </c>
      <c r="AG292">
        <v>387360.1753</v>
      </c>
      <c r="AH292">
        <v>389378.46519999998</v>
      </c>
      <c r="AI292">
        <v>391397.34179999999</v>
      </c>
      <c r="AJ292">
        <v>393389.28249999997</v>
      </c>
      <c r="AK292">
        <v>395374.32370000001</v>
      </c>
      <c r="AL292">
        <v>397362.31099999999</v>
      </c>
      <c r="AM292">
        <v>399419.03860000003</v>
      </c>
      <c r="AN292">
        <v>401347.82439999998</v>
      </c>
      <c r="AO292">
        <v>403342.99249999999</v>
      </c>
      <c r="AP292">
        <v>405385.25449999998</v>
      </c>
      <c r="AQ292">
        <v>407528.57199999999</v>
      </c>
      <c r="AR292">
        <v>409703.13880000002</v>
      </c>
      <c r="AS292">
        <v>411884.7059</v>
      </c>
      <c r="AT292">
        <v>414067.22389999998</v>
      </c>
      <c r="AU292">
        <v>416260.63429999998</v>
      </c>
      <c r="AV292">
        <v>418439.6617</v>
      </c>
      <c r="AW292">
        <v>420476.89569999999</v>
      </c>
    </row>
    <row r="293" spans="2:49" x14ac:dyDescent="0.25">
      <c r="B293" t="s">
        <v>295</v>
      </c>
      <c r="C293">
        <v>383714635.27038902</v>
      </c>
      <c r="D293">
        <v>389875297.85567099</v>
      </c>
      <c r="E293">
        <v>396134871.89999998</v>
      </c>
      <c r="F293">
        <v>412015962.39999998</v>
      </c>
      <c r="G293">
        <v>421142046.19999999</v>
      </c>
      <c r="H293">
        <v>439537742.5</v>
      </c>
      <c r="I293">
        <v>454175219.19999999</v>
      </c>
      <c r="J293">
        <v>471399717.39999998</v>
      </c>
      <c r="K293">
        <v>493298723.89999998</v>
      </c>
      <c r="L293">
        <v>519361374.69999999</v>
      </c>
      <c r="M293">
        <v>549574613.60000002</v>
      </c>
      <c r="N293">
        <v>565404891.79999995</v>
      </c>
      <c r="O293">
        <v>564692559.5</v>
      </c>
      <c r="P293">
        <v>564413232</v>
      </c>
      <c r="Q293">
        <v>563182343.39999998</v>
      </c>
      <c r="R293">
        <v>562978063.29999995</v>
      </c>
      <c r="S293">
        <v>568376145.29999995</v>
      </c>
      <c r="T293">
        <v>573130308.20000005</v>
      </c>
      <c r="U293">
        <v>575742986.79999995</v>
      </c>
      <c r="V293">
        <v>577610805.79999995</v>
      </c>
      <c r="W293">
        <v>578416411.20000005</v>
      </c>
      <c r="X293">
        <v>578452667.39999998</v>
      </c>
      <c r="Y293">
        <v>579305115.5</v>
      </c>
      <c r="Z293">
        <v>580988517.20000005</v>
      </c>
      <c r="AA293">
        <v>583336682.20000005</v>
      </c>
      <c r="AB293">
        <v>586136116.60000002</v>
      </c>
      <c r="AC293">
        <v>589237677.89999998</v>
      </c>
      <c r="AD293">
        <v>592455015.39999998</v>
      </c>
      <c r="AE293">
        <v>595710259.39999998</v>
      </c>
      <c r="AF293">
        <v>598957768.20000005</v>
      </c>
      <c r="AG293">
        <v>602183028.10000002</v>
      </c>
      <c r="AH293">
        <v>605401851.10000002</v>
      </c>
      <c r="AI293">
        <v>608582403.10000002</v>
      </c>
      <c r="AJ293">
        <v>611762384.20000005</v>
      </c>
      <c r="AK293">
        <v>614968929.10000002</v>
      </c>
      <c r="AL293">
        <v>618230789.5</v>
      </c>
      <c r="AM293">
        <v>621561052.5</v>
      </c>
      <c r="AN293">
        <v>625064560.60000002</v>
      </c>
      <c r="AO293">
        <v>628723486.20000005</v>
      </c>
      <c r="AP293">
        <v>632497190.20000005</v>
      </c>
      <c r="AQ293">
        <v>636361446.60000002</v>
      </c>
      <c r="AR293">
        <v>640284618.60000002</v>
      </c>
      <c r="AS293">
        <v>644233261.60000002</v>
      </c>
      <c r="AT293">
        <v>648202990.29999995</v>
      </c>
      <c r="AU293">
        <v>652187986.10000002</v>
      </c>
      <c r="AV293">
        <v>656182660.20000005</v>
      </c>
      <c r="AW293">
        <v>660218561.10000002</v>
      </c>
    </row>
    <row r="294" spans="2:49" x14ac:dyDescent="0.25">
      <c r="B294" t="s">
        <v>296</v>
      </c>
      <c r="C294">
        <v>261485.90393552999</v>
      </c>
      <c r="D294">
        <v>265684.14470322698</v>
      </c>
      <c r="E294">
        <v>269949.78960000002</v>
      </c>
      <c r="F294">
        <v>277098.17170000001</v>
      </c>
      <c r="G294">
        <v>283659.86829999997</v>
      </c>
      <c r="H294">
        <v>284994.99819999997</v>
      </c>
      <c r="I294">
        <v>276969.24219999998</v>
      </c>
      <c r="J294">
        <v>276311.07939999999</v>
      </c>
      <c r="K294">
        <v>278560.18609999999</v>
      </c>
      <c r="L294">
        <v>278778.19709999999</v>
      </c>
      <c r="M294">
        <v>284116.59600000002</v>
      </c>
      <c r="N294">
        <v>292990.47159999999</v>
      </c>
      <c r="O294">
        <v>300379.13520000002</v>
      </c>
      <c r="P294">
        <v>308878.95010000002</v>
      </c>
      <c r="Q294">
        <v>317365.6201</v>
      </c>
      <c r="R294">
        <v>328595.4534</v>
      </c>
      <c r="S294">
        <v>327873.1421</v>
      </c>
      <c r="T294">
        <v>327196.73859999998</v>
      </c>
      <c r="U294">
        <v>327409.57990000001</v>
      </c>
      <c r="V294">
        <v>326764.87479999999</v>
      </c>
      <c r="W294">
        <v>333217.77730000002</v>
      </c>
      <c r="X294">
        <v>338119.90350000001</v>
      </c>
      <c r="Y294">
        <v>343709.4852</v>
      </c>
      <c r="Z294">
        <v>349759.48340000003</v>
      </c>
      <c r="AA294">
        <v>356370.87469999999</v>
      </c>
      <c r="AB294">
        <v>363340.02039999998</v>
      </c>
      <c r="AC294">
        <v>370552.8284</v>
      </c>
      <c r="AD294">
        <v>377970.97330000001</v>
      </c>
      <c r="AE294">
        <v>385430.85960000003</v>
      </c>
      <c r="AF294">
        <v>392795.27899999998</v>
      </c>
      <c r="AG294">
        <v>400035.85989999998</v>
      </c>
      <c r="AH294">
        <v>407221.97249999997</v>
      </c>
      <c r="AI294">
        <v>414341.52409999998</v>
      </c>
      <c r="AJ294">
        <v>421455.72859999997</v>
      </c>
      <c r="AK294">
        <v>428582.18430000002</v>
      </c>
      <c r="AL294">
        <v>435914.51770000003</v>
      </c>
      <c r="AM294">
        <v>443504.58110000001</v>
      </c>
      <c r="AN294">
        <v>451457.88699999999</v>
      </c>
      <c r="AO294">
        <v>459809.89630000002</v>
      </c>
      <c r="AP294">
        <v>468508.27549999999</v>
      </c>
      <c r="AQ294">
        <v>477624.98100000003</v>
      </c>
      <c r="AR294">
        <v>487160.99959999998</v>
      </c>
      <c r="AS294">
        <v>497061.38179999997</v>
      </c>
      <c r="AT294">
        <v>507397.16580000002</v>
      </c>
      <c r="AU294">
        <v>518157.02309999999</v>
      </c>
      <c r="AV294">
        <v>529301.63500000001</v>
      </c>
      <c r="AW294">
        <v>541036.3517</v>
      </c>
    </row>
    <row r="295" spans="2:49" x14ac:dyDescent="0.25">
      <c r="B295" t="s">
        <v>297</v>
      </c>
      <c r="C295">
        <v>158336.21117690401</v>
      </c>
      <c r="D295">
        <v>160878.35026264799</v>
      </c>
      <c r="E295">
        <v>163461.30420000001</v>
      </c>
      <c r="F295">
        <v>168432.22510000001</v>
      </c>
      <c r="G295">
        <v>175099.23300000001</v>
      </c>
      <c r="H295">
        <v>184375.0638</v>
      </c>
      <c r="I295">
        <v>192030.4235</v>
      </c>
      <c r="J295">
        <v>200640.8302</v>
      </c>
      <c r="K295">
        <v>215030.5569</v>
      </c>
      <c r="L295">
        <v>230856.481</v>
      </c>
      <c r="M295">
        <v>247457.1078</v>
      </c>
      <c r="N295">
        <v>260450.02830000001</v>
      </c>
      <c r="O295">
        <v>261242.96429999999</v>
      </c>
      <c r="P295">
        <v>258856.2923</v>
      </c>
      <c r="Q295">
        <v>254988.948</v>
      </c>
      <c r="R295">
        <v>253654.0907</v>
      </c>
      <c r="S295">
        <v>254237.35339999999</v>
      </c>
      <c r="T295">
        <v>257189.93580000001</v>
      </c>
      <c r="U295">
        <v>258543.78959999999</v>
      </c>
      <c r="V295">
        <v>259386.63159999999</v>
      </c>
      <c r="W295">
        <v>259903.5073</v>
      </c>
      <c r="X295">
        <v>259956.198</v>
      </c>
      <c r="Y295">
        <v>260437.76130000001</v>
      </c>
      <c r="Z295">
        <v>261237.78630000001</v>
      </c>
      <c r="AA295">
        <v>262227.15639999998</v>
      </c>
      <c r="AB295">
        <v>263286.02970000001</v>
      </c>
      <c r="AC295">
        <v>264344.2329</v>
      </c>
      <c r="AD295">
        <v>265424.76549999998</v>
      </c>
      <c r="AE295">
        <v>266439.77189999999</v>
      </c>
      <c r="AF295">
        <v>267368.20740000001</v>
      </c>
      <c r="AG295">
        <v>268203.45500000002</v>
      </c>
      <c r="AH295">
        <v>268956.33779999998</v>
      </c>
      <c r="AI295">
        <v>269612.45480000001</v>
      </c>
      <c r="AJ295">
        <v>270206.88860000001</v>
      </c>
      <c r="AK295">
        <v>270786.21990000003</v>
      </c>
      <c r="AL295">
        <v>271368.24249999999</v>
      </c>
      <c r="AM295">
        <v>271978.18670000002</v>
      </c>
      <c r="AN295">
        <v>272532.17509999999</v>
      </c>
      <c r="AO295">
        <v>273149.50439999998</v>
      </c>
      <c r="AP295">
        <v>273853.734</v>
      </c>
      <c r="AQ295">
        <v>274637.43</v>
      </c>
      <c r="AR295">
        <v>275494.42930000002</v>
      </c>
      <c r="AS295">
        <v>276407.62</v>
      </c>
      <c r="AT295">
        <v>277370.5686</v>
      </c>
      <c r="AU295">
        <v>278382.20299999998</v>
      </c>
      <c r="AV295">
        <v>279442.02380000002</v>
      </c>
      <c r="AW295">
        <v>280541.99550000002</v>
      </c>
    </row>
    <row r="296" spans="2:49" x14ac:dyDescent="0.25">
      <c r="B296" t="s">
        <v>298</v>
      </c>
      <c r="C296">
        <v>516755.579312385</v>
      </c>
      <c r="D296">
        <v>525052.257287574</v>
      </c>
      <c r="E296">
        <v>533482.14110000001</v>
      </c>
      <c r="F296">
        <v>549193.42949999997</v>
      </c>
      <c r="G296">
        <v>552125.20750000002</v>
      </c>
      <c r="H296">
        <v>567689.07709999999</v>
      </c>
      <c r="I296">
        <v>577881.47109999997</v>
      </c>
      <c r="J296">
        <v>590938.95559999999</v>
      </c>
      <c r="K296">
        <v>606348.71059999999</v>
      </c>
      <c r="L296">
        <v>626362.15890000004</v>
      </c>
      <c r="M296">
        <v>651249.59259999997</v>
      </c>
      <c r="N296">
        <v>668543.24080000003</v>
      </c>
      <c r="O296">
        <v>664369.31969999999</v>
      </c>
      <c r="P296">
        <v>663263.02879999997</v>
      </c>
      <c r="Q296">
        <v>661839.09210000001</v>
      </c>
      <c r="R296">
        <v>660077.05740000005</v>
      </c>
      <c r="S296">
        <v>665324.76679999998</v>
      </c>
      <c r="T296">
        <v>667779.48219999997</v>
      </c>
      <c r="U296">
        <v>668194.7977</v>
      </c>
      <c r="V296">
        <v>667866.45589999994</v>
      </c>
      <c r="W296">
        <v>666191.7683</v>
      </c>
      <c r="X296">
        <v>663723.80429999996</v>
      </c>
      <c r="Y296">
        <v>662148.92079999996</v>
      </c>
      <c r="Z296">
        <v>661561.65280000004</v>
      </c>
      <c r="AA296">
        <v>661803.85589999997</v>
      </c>
      <c r="AB296">
        <v>662643.79059999995</v>
      </c>
      <c r="AC296">
        <v>663910.21329999994</v>
      </c>
      <c r="AD296">
        <v>665309.8824</v>
      </c>
      <c r="AE296">
        <v>666794.22259999998</v>
      </c>
      <c r="AF296">
        <v>668312.43180000002</v>
      </c>
      <c r="AG296">
        <v>669848.67509999999</v>
      </c>
      <c r="AH296">
        <v>671418.0013</v>
      </c>
      <c r="AI296">
        <v>672985.6078</v>
      </c>
      <c r="AJ296">
        <v>674579.74950000003</v>
      </c>
      <c r="AK296">
        <v>676204.26850000001</v>
      </c>
      <c r="AL296">
        <v>677886.55689999997</v>
      </c>
      <c r="AM296">
        <v>679625.64029999997</v>
      </c>
      <c r="AN296">
        <v>681632.74459999998</v>
      </c>
      <c r="AO296">
        <v>683790.73210000002</v>
      </c>
      <c r="AP296">
        <v>686022.71840000001</v>
      </c>
      <c r="AQ296">
        <v>688298.93240000005</v>
      </c>
      <c r="AR296">
        <v>690578.65049999999</v>
      </c>
      <c r="AS296">
        <v>692827.38690000004</v>
      </c>
      <c r="AT296">
        <v>695043.68039999995</v>
      </c>
      <c r="AU296">
        <v>697220.10919999995</v>
      </c>
      <c r="AV296">
        <v>699349.23259999999</v>
      </c>
      <c r="AW296">
        <v>701480.72640000004</v>
      </c>
    </row>
    <row r="297" spans="2:49" x14ac:dyDescent="0.25">
      <c r="B297" t="s">
        <v>299</v>
      </c>
      <c r="C297">
        <v>82711.5521017555</v>
      </c>
      <c r="D297">
        <v>84039.512824558697</v>
      </c>
      <c r="E297">
        <v>85388.794389999995</v>
      </c>
      <c r="F297">
        <v>94624.030620000005</v>
      </c>
      <c r="G297">
        <v>97309.61477</v>
      </c>
      <c r="H297">
        <v>103596.51669999999</v>
      </c>
      <c r="I297">
        <v>107572.88219999999</v>
      </c>
      <c r="J297">
        <v>114868.29549999999</v>
      </c>
      <c r="K297">
        <v>120273.13920000001</v>
      </c>
      <c r="L297">
        <v>126785.8879</v>
      </c>
      <c r="M297">
        <v>135784.2187</v>
      </c>
      <c r="N297">
        <v>145687.5558</v>
      </c>
      <c r="O297">
        <v>136449.88690000001</v>
      </c>
      <c r="P297">
        <v>131145.65659999999</v>
      </c>
      <c r="Q297">
        <v>126036.6703</v>
      </c>
      <c r="R297">
        <v>114478.12579999999</v>
      </c>
      <c r="S297">
        <v>113957.5534</v>
      </c>
      <c r="T297">
        <v>113452.2179</v>
      </c>
      <c r="U297">
        <v>113141.73759999999</v>
      </c>
      <c r="V297">
        <v>113072.56299999999</v>
      </c>
      <c r="W297">
        <v>112874.747</v>
      </c>
      <c r="X297">
        <v>112776.14320000001</v>
      </c>
      <c r="Y297">
        <v>112539.6443</v>
      </c>
      <c r="Z297">
        <v>112400.64720000001</v>
      </c>
      <c r="AA297">
        <v>112466.8627</v>
      </c>
      <c r="AB297">
        <v>112592.7674</v>
      </c>
      <c r="AC297">
        <v>112818.2389</v>
      </c>
      <c r="AD297">
        <v>113136.394</v>
      </c>
      <c r="AE297">
        <v>113540.7948</v>
      </c>
      <c r="AF297">
        <v>114008.87699999999</v>
      </c>
      <c r="AG297">
        <v>114528.3138</v>
      </c>
      <c r="AH297">
        <v>115094.8662</v>
      </c>
      <c r="AI297">
        <v>115706.08990000001</v>
      </c>
      <c r="AJ297">
        <v>116349.0866</v>
      </c>
      <c r="AK297">
        <v>117008.68580000001</v>
      </c>
      <c r="AL297">
        <v>117689.6056</v>
      </c>
      <c r="AM297">
        <v>118382.5619</v>
      </c>
      <c r="AN297">
        <v>119126.9765</v>
      </c>
      <c r="AO297">
        <v>119874.96219999999</v>
      </c>
      <c r="AP297">
        <v>120609.4492</v>
      </c>
      <c r="AQ297">
        <v>121335.57369999999</v>
      </c>
      <c r="AR297">
        <v>122046.9359</v>
      </c>
      <c r="AS297">
        <v>122744.4856</v>
      </c>
      <c r="AT297">
        <v>123431.1514</v>
      </c>
      <c r="AU297">
        <v>124102.45110000001</v>
      </c>
      <c r="AV297">
        <v>124754.2381</v>
      </c>
      <c r="AW297">
        <v>125408.1202</v>
      </c>
    </row>
    <row r="298" spans="2:49" x14ac:dyDescent="0.25">
      <c r="B298" t="s">
        <v>300</v>
      </c>
      <c r="C298">
        <v>45689.201708803201</v>
      </c>
      <c r="D298">
        <v>46422.756620829103</v>
      </c>
      <c r="E298">
        <v>47168.089010000003</v>
      </c>
      <c r="F298">
        <v>49526.52895</v>
      </c>
      <c r="G298">
        <v>49189.323729999996</v>
      </c>
      <c r="H298">
        <v>50577.665509999999</v>
      </c>
      <c r="I298">
        <v>51404.659030000003</v>
      </c>
      <c r="J298">
        <v>52652.29189</v>
      </c>
      <c r="K298">
        <v>53240.421770000001</v>
      </c>
      <c r="L298">
        <v>54441.881390000002</v>
      </c>
      <c r="M298">
        <v>56442.274799999999</v>
      </c>
      <c r="N298">
        <v>57916.760419999999</v>
      </c>
      <c r="O298">
        <v>56790.046549999999</v>
      </c>
      <c r="P298">
        <v>56687.282290000003</v>
      </c>
      <c r="Q298">
        <v>56747.768029999999</v>
      </c>
      <c r="R298">
        <v>55974.758280000002</v>
      </c>
      <c r="S298">
        <v>56547.996440000003</v>
      </c>
      <c r="T298">
        <v>56516.294699999999</v>
      </c>
      <c r="U298">
        <v>56388.970679999999</v>
      </c>
      <c r="V298">
        <v>56254.180350000002</v>
      </c>
      <c r="W298">
        <v>55974.155650000001</v>
      </c>
      <c r="X298">
        <v>55664.8626</v>
      </c>
      <c r="Y298">
        <v>55409.21</v>
      </c>
      <c r="Z298">
        <v>55258.398009999997</v>
      </c>
      <c r="AA298">
        <v>55214.919900000001</v>
      </c>
      <c r="AB298">
        <v>55252.533790000001</v>
      </c>
      <c r="AC298">
        <v>55359.742689999999</v>
      </c>
      <c r="AD298">
        <v>55489.44889</v>
      </c>
      <c r="AE298">
        <v>55648.073859999997</v>
      </c>
      <c r="AF298">
        <v>55830.375970000001</v>
      </c>
      <c r="AG298">
        <v>56034.3338</v>
      </c>
      <c r="AH298">
        <v>56260.084049999998</v>
      </c>
      <c r="AI298">
        <v>56504.36969</v>
      </c>
      <c r="AJ298">
        <v>56764.978439999999</v>
      </c>
      <c r="AK298">
        <v>57034.523529999999</v>
      </c>
      <c r="AL298">
        <v>57313.917820000002</v>
      </c>
      <c r="AM298">
        <v>57598.368470000001</v>
      </c>
      <c r="AN298">
        <v>57934.873590000003</v>
      </c>
      <c r="AO298">
        <v>58284.309229999999</v>
      </c>
      <c r="AP298">
        <v>58630.705020000001</v>
      </c>
      <c r="AQ298">
        <v>58970.924299999999</v>
      </c>
      <c r="AR298">
        <v>59299.249909999999</v>
      </c>
      <c r="AS298">
        <v>59613.372049999998</v>
      </c>
      <c r="AT298">
        <v>59914.023410000002</v>
      </c>
      <c r="AU298">
        <v>60199.967960000002</v>
      </c>
      <c r="AV298">
        <v>60470.056900000003</v>
      </c>
      <c r="AW298">
        <v>60734.0939</v>
      </c>
    </row>
    <row r="299" spans="2:49" x14ac:dyDescent="0.25">
      <c r="B299" t="s">
        <v>301</v>
      </c>
      <c r="C299">
        <v>562444.78102118894</v>
      </c>
      <c r="D299">
        <v>571475.01390840299</v>
      </c>
      <c r="E299">
        <v>580650.23010000004</v>
      </c>
      <c r="F299">
        <v>598711.18119999999</v>
      </c>
      <c r="G299">
        <v>601302.35640000005</v>
      </c>
      <c r="H299">
        <v>618254.22450000001</v>
      </c>
      <c r="I299">
        <v>629273.33019999997</v>
      </c>
      <c r="J299">
        <v>643578.0919</v>
      </c>
      <c r="K299">
        <v>659570.36589999998</v>
      </c>
      <c r="L299">
        <v>680782.07160000002</v>
      </c>
      <c r="M299">
        <v>707668.81539999996</v>
      </c>
      <c r="N299">
        <v>726436.33310000005</v>
      </c>
      <c r="O299">
        <v>721131.15060000005</v>
      </c>
      <c r="P299">
        <v>719922.1422</v>
      </c>
      <c r="Q299">
        <v>718558.47479999997</v>
      </c>
      <c r="R299">
        <v>716020.36100000003</v>
      </c>
      <c r="S299">
        <v>721840.91879999998</v>
      </c>
      <c r="T299">
        <v>726382.50430000003</v>
      </c>
      <c r="U299">
        <v>727341.38769999996</v>
      </c>
      <c r="V299">
        <v>727547.01690000005</v>
      </c>
      <c r="W299">
        <v>726252.41949999996</v>
      </c>
      <c r="X299">
        <v>724127.05319999997</v>
      </c>
      <c r="Y299">
        <v>722951.03500000003</v>
      </c>
      <c r="Z299">
        <v>722874.06770000001</v>
      </c>
      <c r="AA299">
        <v>723742.07869999995</v>
      </c>
      <c r="AB299">
        <v>725296.98270000005</v>
      </c>
      <c r="AC299">
        <v>727355.84039999999</v>
      </c>
      <c r="AD299">
        <v>729575.51899999997</v>
      </c>
      <c r="AE299">
        <v>731913.73510000005</v>
      </c>
      <c r="AF299">
        <v>734313.95349999995</v>
      </c>
      <c r="AG299">
        <v>736758.19090000005</v>
      </c>
      <c r="AH299">
        <v>739261.96699999995</v>
      </c>
      <c r="AI299">
        <v>741786.7169</v>
      </c>
      <c r="AJ299">
        <v>744358.98549999995</v>
      </c>
      <c r="AK299">
        <v>746975.28850000002</v>
      </c>
      <c r="AL299">
        <v>749664.6</v>
      </c>
      <c r="AM299">
        <v>752421.23529999994</v>
      </c>
      <c r="AN299">
        <v>755509.09230000002</v>
      </c>
      <c r="AO299">
        <v>758769.34849999996</v>
      </c>
      <c r="AP299">
        <v>762107.46620000002</v>
      </c>
      <c r="AQ299">
        <v>765489.95059999998</v>
      </c>
      <c r="AR299">
        <v>768869.31110000005</v>
      </c>
      <c r="AS299">
        <v>772207.77579999994</v>
      </c>
      <c r="AT299">
        <v>775504.48199999996</v>
      </c>
      <c r="AU299">
        <v>778750.41310000001</v>
      </c>
      <c r="AV299">
        <v>781936.59019999998</v>
      </c>
      <c r="AW299">
        <v>785124.10979999998</v>
      </c>
    </row>
    <row r="300" spans="2:49" x14ac:dyDescent="0.25">
      <c r="B300" t="s">
        <v>302</v>
      </c>
      <c r="C300">
        <v>241047.76327865999</v>
      </c>
      <c r="D300">
        <v>244917.86308720699</v>
      </c>
      <c r="E300">
        <v>248850.0986</v>
      </c>
      <c r="F300">
        <v>262898.27980000002</v>
      </c>
      <c r="G300">
        <v>272241.5797</v>
      </c>
      <c r="H300">
        <v>287790.76390000002</v>
      </c>
      <c r="I300">
        <v>299414.87190000003</v>
      </c>
      <c r="J300">
        <v>315293.48210000002</v>
      </c>
      <c r="K300">
        <v>335053.53840000002</v>
      </c>
      <c r="L300">
        <v>357361.83149999997</v>
      </c>
      <c r="M300">
        <v>382940.67560000002</v>
      </c>
      <c r="N300">
        <v>405801.78539999999</v>
      </c>
      <c r="O300">
        <v>397150.76010000001</v>
      </c>
      <c r="P300">
        <v>389429.723</v>
      </c>
      <c r="Q300">
        <v>380440.76630000002</v>
      </c>
      <c r="R300">
        <v>367234.37349999999</v>
      </c>
      <c r="S300">
        <v>367295.0638</v>
      </c>
      <c r="T300">
        <v>369726.24790000002</v>
      </c>
      <c r="U300">
        <v>370764.53159999999</v>
      </c>
      <c r="V300">
        <v>371535.69420000003</v>
      </c>
      <c r="W300">
        <v>371853.41269999999</v>
      </c>
      <c r="X300">
        <v>371807.56809999997</v>
      </c>
      <c r="Y300">
        <v>372051.41220000002</v>
      </c>
      <c r="Z300">
        <v>372710.0724</v>
      </c>
      <c r="AA300">
        <v>373762.63520000002</v>
      </c>
      <c r="AB300">
        <v>374944.13459999999</v>
      </c>
      <c r="AC300">
        <v>376224.45779999997</v>
      </c>
      <c r="AD300">
        <v>377619.60369999998</v>
      </c>
      <c r="AE300">
        <v>379035.47820000001</v>
      </c>
      <c r="AF300">
        <v>380428.50640000001</v>
      </c>
      <c r="AG300">
        <v>381779.73979999998</v>
      </c>
      <c r="AH300">
        <v>383095.71049999999</v>
      </c>
      <c r="AI300">
        <v>384359.56800000003</v>
      </c>
      <c r="AJ300">
        <v>385593.467</v>
      </c>
      <c r="AK300">
        <v>386828.81060000003</v>
      </c>
      <c r="AL300">
        <v>388088.0601</v>
      </c>
      <c r="AM300">
        <v>389387.17259999999</v>
      </c>
      <c r="AN300">
        <v>390681.59720000002</v>
      </c>
      <c r="AO300">
        <v>392042.84139999998</v>
      </c>
      <c r="AP300">
        <v>393477.4437</v>
      </c>
      <c r="AQ300">
        <v>394983.07640000002</v>
      </c>
      <c r="AR300">
        <v>396547.20289999997</v>
      </c>
      <c r="AS300">
        <v>398153.67320000002</v>
      </c>
      <c r="AT300">
        <v>399798.97330000001</v>
      </c>
      <c r="AU300">
        <v>401477.56089999998</v>
      </c>
      <c r="AV300">
        <v>403184.79690000002</v>
      </c>
      <c r="AW300">
        <v>404934.18900000001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AM56"/>
  <sheetViews>
    <sheetView zoomScale="90" zoomScaleNormal="90" workbookViewId="0">
      <selection activeCell="U5" sqref="U5"/>
    </sheetView>
  </sheetViews>
  <sheetFormatPr baseColWidth="10" defaultRowHeight="15" x14ac:dyDescent="0.25"/>
  <cols>
    <col min="2" max="2" width="14.42578125" customWidth="1"/>
    <col min="3" max="3" width="18.5703125" bestFit="1" customWidth="1"/>
    <col min="4" max="4" width="18.5703125" customWidth="1"/>
    <col min="5" max="6" width="5.5703125" customWidth="1"/>
    <col min="7" max="8" width="7.140625" customWidth="1"/>
    <col min="9" max="23" width="7.42578125" customWidth="1"/>
  </cols>
  <sheetData>
    <row r="1" spans="1:29" ht="28.5" x14ac:dyDescent="0.45">
      <c r="A1" s="225" t="s">
        <v>215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9" ht="23.25" x14ac:dyDescent="0.35">
      <c r="A2" s="70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9" ht="21" x14ac:dyDescent="0.35">
      <c r="A3" s="226" t="s">
        <v>199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9" ht="23.25" x14ac:dyDescent="0.35">
      <c r="A4" s="194" t="str">
        <f>Résultats!B1</f>
        <v>TEND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spans="1:29" ht="23.25" x14ac:dyDescent="0.35">
      <c r="A5" s="70"/>
      <c r="B5" s="3"/>
      <c r="C5" s="3"/>
      <c r="D5" s="7"/>
      <c r="E5" s="238">
        <v>4</v>
      </c>
      <c r="F5" s="238">
        <f>E5+9</f>
        <v>13</v>
      </c>
      <c r="G5" s="238">
        <f>F5+3</f>
        <v>16</v>
      </c>
      <c r="H5" s="238">
        <f t="shared" ref="H5:S5" si="0">G5+1</f>
        <v>17</v>
      </c>
      <c r="I5" s="238">
        <f t="shared" si="0"/>
        <v>18</v>
      </c>
      <c r="J5" s="238">
        <f t="shared" si="0"/>
        <v>19</v>
      </c>
      <c r="K5" s="238">
        <f t="shared" si="0"/>
        <v>20</v>
      </c>
      <c r="L5" s="238">
        <f t="shared" si="0"/>
        <v>21</v>
      </c>
      <c r="M5" s="238">
        <f t="shared" si="0"/>
        <v>22</v>
      </c>
      <c r="N5" s="238">
        <f t="shared" si="0"/>
        <v>23</v>
      </c>
      <c r="O5" s="238">
        <f t="shared" si="0"/>
        <v>24</v>
      </c>
      <c r="P5" s="238">
        <f t="shared" si="0"/>
        <v>25</v>
      </c>
      <c r="Q5" s="238">
        <f t="shared" si="0"/>
        <v>26</v>
      </c>
      <c r="R5" s="238">
        <f t="shared" si="0"/>
        <v>27</v>
      </c>
      <c r="S5" s="238">
        <f t="shared" si="0"/>
        <v>28</v>
      </c>
      <c r="T5" s="238">
        <f>S5+5</f>
        <v>33</v>
      </c>
      <c r="U5" s="238">
        <f>T5+5</f>
        <v>38</v>
      </c>
      <c r="V5" s="238">
        <f>U5+5</f>
        <v>43</v>
      </c>
      <c r="W5" s="238">
        <f>V5+5</f>
        <v>48</v>
      </c>
      <c r="X5" s="3"/>
    </row>
    <row r="6" spans="1:29" x14ac:dyDescent="0.25">
      <c r="A6" s="3"/>
      <c r="B6" s="205"/>
      <c r="C6" s="2"/>
      <c r="D6" s="18"/>
      <c r="E6" s="4">
        <v>2006</v>
      </c>
      <c r="F6" s="4">
        <v>2015</v>
      </c>
      <c r="G6" s="26">
        <v>2018</v>
      </c>
      <c r="H6" s="33">
        <v>2019</v>
      </c>
      <c r="I6" s="108">
        <v>2020</v>
      </c>
      <c r="J6" s="116">
        <v>2021</v>
      </c>
      <c r="K6" s="33">
        <v>2022</v>
      </c>
      <c r="L6" s="33">
        <v>2023</v>
      </c>
      <c r="M6" s="33">
        <v>2024</v>
      </c>
      <c r="N6" s="108">
        <v>2025</v>
      </c>
      <c r="O6" s="116">
        <v>2026</v>
      </c>
      <c r="P6" s="33">
        <v>2027</v>
      </c>
      <c r="Q6" s="33">
        <v>2028</v>
      </c>
      <c r="R6" s="33">
        <v>2029</v>
      </c>
      <c r="S6" s="117">
        <v>2030</v>
      </c>
      <c r="T6" s="118">
        <v>2035</v>
      </c>
      <c r="U6" s="118">
        <v>2040</v>
      </c>
      <c r="V6" s="118">
        <v>2045</v>
      </c>
      <c r="W6" s="118">
        <v>2050</v>
      </c>
      <c r="X6" s="3"/>
      <c r="Y6" s="44"/>
      <c r="Z6" s="51" t="s">
        <v>208</v>
      </c>
      <c r="AA6" s="51"/>
      <c r="AB6" s="51"/>
      <c r="AC6" s="53"/>
    </row>
    <row r="7" spans="1:29" ht="15" customHeight="1" x14ac:dyDescent="0.25">
      <c r="A7" s="3"/>
      <c r="B7" s="272" t="s">
        <v>0</v>
      </c>
      <c r="C7" s="5" t="s">
        <v>1</v>
      </c>
      <c r="D7" s="2"/>
      <c r="E7" s="6" t="e">
        <f>SUM(E8:E9)</f>
        <v>#N/A</v>
      </c>
      <c r="F7" s="6" t="e">
        <f>SUM(F8:F9)</f>
        <v>#N/A</v>
      </c>
      <c r="G7" s="109" t="e">
        <f t="shared" ref="G7:R7" si="1">SUM(G8:G9)</f>
        <v>#N/A</v>
      </c>
      <c r="H7" s="6" t="e">
        <f t="shared" si="1"/>
        <v>#N/A</v>
      </c>
      <c r="I7" s="110" t="e">
        <f t="shared" si="1"/>
        <v>#N/A</v>
      </c>
      <c r="J7" s="109" t="e">
        <f t="shared" si="1"/>
        <v>#N/A</v>
      </c>
      <c r="K7" s="6" t="e">
        <f t="shared" si="1"/>
        <v>#N/A</v>
      </c>
      <c r="L7" s="6" t="e">
        <f t="shared" si="1"/>
        <v>#N/A</v>
      </c>
      <c r="M7" s="6" t="e">
        <f t="shared" si="1"/>
        <v>#N/A</v>
      </c>
      <c r="N7" s="110" t="e">
        <f t="shared" si="1"/>
        <v>#N/A</v>
      </c>
      <c r="O7" s="109" t="e">
        <f t="shared" si="1"/>
        <v>#N/A</v>
      </c>
      <c r="P7" s="6" t="e">
        <f t="shared" si="1"/>
        <v>#N/A</v>
      </c>
      <c r="Q7" s="6" t="e">
        <f t="shared" si="1"/>
        <v>#N/A</v>
      </c>
      <c r="R7" s="6" t="e">
        <f t="shared" si="1"/>
        <v>#N/A</v>
      </c>
      <c r="S7" s="110" t="e">
        <f>SUM(S8:S9)</f>
        <v>#N/A</v>
      </c>
      <c r="T7" s="119" t="e">
        <f>SUM(T8:T9)</f>
        <v>#N/A</v>
      </c>
      <c r="U7" s="119" t="e">
        <f>SUM(U8:U9)</f>
        <v>#N/A</v>
      </c>
      <c r="V7" s="119" t="e">
        <f>SUM(V8:V9)</f>
        <v>#N/A</v>
      </c>
      <c r="W7" s="119" t="e">
        <f>SUM(W8:W9)</f>
        <v>#N/A</v>
      </c>
      <c r="X7" s="3"/>
      <c r="Y7" s="34"/>
      <c r="Z7" s="208"/>
      <c r="AA7" s="209">
        <v>2020</v>
      </c>
      <c r="AB7" s="209">
        <v>2030</v>
      </c>
      <c r="AC7" s="210">
        <v>2050</v>
      </c>
    </row>
    <row r="8" spans="1:29" x14ac:dyDescent="0.25">
      <c r="A8" s="3"/>
      <c r="B8" s="273"/>
      <c r="C8" s="3" t="s">
        <v>2</v>
      </c>
      <c r="D8" s="18" t="s">
        <v>112</v>
      </c>
      <c r="E8" s="19" t="e">
        <f>VLOOKUP($D8,Résultats!$B$2:$AX$476,E$5,FALSE)</f>
        <v>#N/A</v>
      </c>
      <c r="F8" s="19" t="e">
        <f>VLOOKUP($D8,Résultats!$B$2:$AX$476,F$5,FALSE)</f>
        <v>#N/A</v>
      </c>
      <c r="G8" s="28" t="e">
        <f>VLOOKUP($D8,Résultats!$B$2:$AX$476,G$5,FALSE)</f>
        <v>#N/A</v>
      </c>
      <c r="H8" s="19" t="e">
        <f>VLOOKUP($D8,Résultats!$B$2:$AX$476,H$5,FALSE)</f>
        <v>#N/A</v>
      </c>
      <c r="I8" s="111" t="e">
        <f>VLOOKUP($D8,Résultats!$B$2:$AX$476,I$5,FALSE)</f>
        <v>#N/A</v>
      </c>
      <c r="J8" s="28" t="e">
        <f>VLOOKUP($D8,Résultats!$B$2:$AX$476,J$5,FALSE)</f>
        <v>#N/A</v>
      </c>
      <c r="K8" s="19" t="e">
        <f>VLOOKUP($D8,Résultats!$B$2:$AX$476,K$5,FALSE)</f>
        <v>#N/A</v>
      </c>
      <c r="L8" s="19" t="e">
        <f>VLOOKUP($D8,Résultats!$B$2:$AX$476,L$5,FALSE)</f>
        <v>#N/A</v>
      </c>
      <c r="M8" s="19" t="e">
        <f>VLOOKUP($D8,Résultats!$B$2:$AX$476,M$5,FALSE)</f>
        <v>#N/A</v>
      </c>
      <c r="N8" s="111" t="e">
        <f>VLOOKUP($D8,Résultats!$B$2:$AX$476,N$5,FALSE)</f>
        <v>#N/A</v>
      </c>
      <c r="O8" s="28" t="e">
        <f>VLOOKUP($D8,Résultats!$B$2:$AX$476,O$5,FALSE)</f>
        <v>#N/A</v>
      </c>
      <c r="P8" s="19" t="e">
        <f>VLOOKUP($D8,Résultats!$B$2:$AX$476,P$5,FALSE)</f>
        <v>#N/A</v>
      </c>
      <c r="Q8" s="19" t="e">
        <f>VLOOKUP($D8,Résultats!$B$2:$AX$476,Q$5,FALSE)</f>
        <v>#N/A</v>
      </c>
      <c r="R8" s="19" t="e">
        <f>VLOOKUP($D8,Résultats!$B$2:$AX$476,R$5,FALSE)</f>
        <v>#N/A</v>
      </c>
      <c r="S8" s="111" t="e">
        <f>VLOOKUP($D8,Résultats!$B$2:$AX$476,S$5,FALSE)</f>
        <v>#N/A</v>
      </c>
      <c r="T8" s="120" t="e">
        <f>VLOOKUP($D8,Résultats!$B$2:$AX$476,T$5,FALSE)</f>
        <v>#N/A</v>
      </c>
      <c r="U8" s="120" t="e">
        <f>VLOOKUP($D8,Résultats!$B$2:$AX$476,U$5,FALSE)</f>
        <v>#N/A</v>
      </c>
      <c r="V8" s="120" t="e">
        <f>VLOOKUP($D8,Résultats!$B$2:$AX$476,V$5,FALSE)</f>
        <v>#N/A</v>
      </c>
      <c r="W8" s="120" t="e">
        <f>VLOOKUP($D8,Résultats!$B$2:$AX$476,W$5,FALSE)</f>
        <v>#N/A</v>
      </c>
      <c r="X8" s="3"/>
      <c r="Y8" s="34"/>
      <c r="Z8" s="213" t="s">
        <v>150</v>
      </c>
      <c r="AA8" s="215" t="e">
        <f>I27</f>
        <v>#N/A</v>
      </c>
      <c r="AB8" s="215" t="e">
        <f>S27</f>
        <v>#N/A</v>
      </c>
      <c r="AC8" s="216" t="e">
        <f>W27</f>
        <v>#N/A</v>
      </c>
    </row>
    <row r="9" spans="1:29" x14ac:dyDescent="0.25">
      <c r="A9" s="3"/>
      <c r="B9" s="274"/>
      <c r="C9" s="7" t="s">
        <v>3</v>
      </c>
      <c r="D9" s="18" t="s">
        <v>113</v>
      </c>
      <c r="E9" s="19" t="e">
        <f>VLOOKUP($D9,Résultats!$B$2:$AX$476,E$5,FALSE)</f>
        <v>#N/A</v>
      </c>
      <c r="F9" s="19" t="e">
        <f>VLOOKUP($D9,Résultats!$B$2:$AX$476,F$5,FALSE)</f>
        <v>#N/A</v>
      </c>
      <c r="G9" s="28" t="e">
        <f>VLOOKUP($D9,Résultats!$B$2:$AX$476,G$5,FALSE)</f>
        <v>#N/A</v>
      </c>
      <c r="H9" s="19" t="e">
        <f>VLOOKUP($D9,Résultats!$B$2:$AX$476,H$5,FALSE)</f>
        <v>#N/A</v>
      </c>
      <c r="I9" s="111" t="e">
        <f>VLOOKUP($D9,Résultats!$B$2:$AX$476,I$5,FALSE)</f>
        <v>#N/A</v>
      </c>
      <c r="J9" s="28" t="e">
        <f>VLOOKUP($D9,Résultats!$B$2:$AX$476,J$5,FALSE)</f>
        <v>#N/A</v>
      </c>
      <c r="K9" s="19" t="e">
        <f>VLOOKUP($D9,Résultats!$B$2:$AX$476,K$5,FALSE)</f>
        <v>#N/A</v>
      </c>
      <c r="L9" s="19" t="e">
        <f>VLOOKUP($D9,Résultats!$B$2:$AX$476,L$5,FALSE)</f>
        <v>#N/A</v>
      </c>
      <c r="M9" s="19" t="e">
        <f>VLOOKUP($D9,Résultats!$B$2:$AX$476,M$5,FALSE)</f>
        <v>#N/A</v>
      </c>
      <c r="N9" s="111" t="e">
        <f>VLOOKUP($D9,Résultats!$B$2:$AX$476,N$5,FALSE)</f>
        <v>#N/A</v>
      </c>
      <c r="O9" s="28" t="e">
        <f>VLOOKUP($D9,Résultats!$B$2:$AX$476,O$5,FALSE)</f>
        <v>#N/A</v>
      </c>
      <c r="P9" s="19" t="e">
        <f>VLOOKUP($D9,Résultats!$B$2:$AX$476,P$5,FALSE)</f>
        <v>#N/A</v>
      </c>
      <c r="Q9" s="19" t="e">
        <f>VLOOKUP($D9,Résultats!$B$2:$AX$476,Q$5,FALSE)</f>
        <v>#N/A</v>
      </c>
      <c r="R9" s="19" t="e">
        <f>VLOOKUP($D9,Résultats!$B$2:$AX$476,R$5,FALSE)</f>
        <v>#N/A</v>
      </c>
      <c r="S9" s="111" t="e">
        <f>VLOOKUP($D9,Résultats!$B$2:$AX$476,S$5,FALSE)</f>
        <v>#N/A</v>
      </c>
      <c r="T9" s="120" t="e">
        <f>VLOOKUP($D9,Résultats!$B$2:$AX$476,T$5,FALSE)</f>
        <v>#N/A</v>
      </c>
      <c r="U9" s="120" t="e">
        <f>VLOOKUP($D9,Résultats!$B$2:$AX$476,U$5,FALSE)</f>
        <v>#N/A</v>
      </c>
      <c r="V9" s="120" t="e">
        <f>VLOOKUP($D9,Résultats!$B$2:$AX$476,V$5,FALSE)</f>
        <v>#N/A</v>
      </c>
      <c r="W9" s="120" t="e">
        <f>VLOOKUP($D9,Résultats!$B$2:$AX$476,W$5,FALSE)</f>
        <v>#N/A</v>
      </c>
      <c r="X9" s="3"/>
      <c r="Y9" s="34"/>
      <c r="Z9" s="34"/>
      <c r="AA9" s="34"/>
      <c r="AB9" s="34"/>
      <c r="AC9" s="34"/>
    </row>
    <row r="10" spans="1:29" ht="15" customHeight="1" x14ac:dyDescent="0.25">
      <c r="A10" s="3"/>
      <c r="B10" s="272" t="s">
        <v>4</v>
      </c>
      <c r="C10" s="5" t="s">
        <v>1</v>
      </c>
      <c r="D10" s="2"/>
      <c r="E10" s="8" t="e">
        <f>SUM(E11:E18)</f>
        <v>#N/A</v>
      </c>
      <c r="F10" s="8" t="e">
        <f>SUM(F11:F18)</f>
        <v>#N/A</v>
      </c>
      <c r="G10" s="27" t="e">
        <f t="shared" ref="G10:R10" si="2">SUM(G11:G18)</f>
        <v>#N/A</v>
      </c>
      <c r="H10" s="8" t="e">
        <f t="shared" si="2"/>
        <v>#N/A</v>
      </c>
      <c r="I10" s="112" t="e">
        <f t="shared" si="2"/>
        <v>#N/A</v>
      </c>
      <c r="J10" s="27" t="e">
        <f t="shared" si="2"/>
        <v>#N/A</v>
      </c>
      <c r="K10" s="8" t="e">
        <f t="shared" si="2"/>
        <v>#N/A</v>
      </c>
      <c r="L10" s="8" t="e">
        <f t="shared" si="2"/>
        <v>#N/A</v>
      </c>
      <c r="M10" s="8" t="e">
        <f t="shared" si="2"/>
        <v>#N/A</v>
      </c>
      <c r="N10" s="112" t="e">
        <f t="shared" si="2"/>
        <v>#N/A</v>
      </c>
      <c r="O10" s="27" t="e">
        <f t="shared" si="2"/>
        <v>#N/A</v>
      </c>
      <c r="P10" s="8" t="e">
        <f t="shared" si="2"/>
        <v>#N/A</v>
      </c>
      <c r="Q10" s="8" t="e">
        <f t="shared" si="2"/>
        <v>#N/A</v>
      </c>
      <c r="R10" s="8" t="e">
        <f t="shared" si="2"/>
        <v>#N/A</v>
      </c>
      <c r="S10" s="112" t="e">
        <f>SUM(S11:S18)</f>
        <v>#N/A</v>
      </c>
      <c r="T10" s="121" t="e">
        <f>SUM(T11:T18)</f>
        <v>#N/A</v>
      </c>
      <c r="U10" s="121" t="e">
        <f>SUM(U11:U18)</f>
        <v>#N/A</v>
      </c>
      <c r="V10" s="121" t="e">
        <f>SUM(V11:V18)</f>
        <v>#N/A</v>
      </c>
      <c r="W10" s="121" t="e">
        <f>SUM(W11:W18)</f>
        <v>#N/A</v>
      </c>
      <c r="X10" s="3"/>
      <c r="Y10" s="34"/>
      <c r="Z10" s="34"/>
      <c r="AA10" s="34"/>
      <c r="AB10" s="34"/>
      <c r="AC10" s="34"/>
    </row>
    <row r="11" spans="1:29" x14ac:dyDescent="0.25">
      <c r="A11" s="3"/>
      <c r="B11" s="273"/>
      <c r="C11" s="3" t="s">
        <v>5</v>
      </c>
      <c r="D11" s="3" t="s">
        <v>114</v>
      </c>
      <c r="E11" s="19" t="e">
        <f>VLOOKUP($D11,Résultats!$B$2:$AX$476,E$5,FALSE)</f>
        <v>#N/A</v>
      </c>
      <c r="F11" s="19" t="e">
        <f>VLOOKUP($D11,Résultats!$B$2:$AX$476,F$5,FALSE)</f>
        <v>#N/A</v>
      </c>
      <c r="G11" s="28" t="e">
        <f>VLOOKUP($D11,Résultats!$B$2:$AX$476,G$5,FALSE)</f>
        <v>#N/A</v>
      </c>
      <c r="H11" s="19" t="e">
        <f>VLOOKUP($D11,Résultats!$B$2:$AX$476,H$5,FALSE)</f>
        <v>#N/A</v>
      </c>
      <c r="I11" s="111" t="e">
        <f>VLOOKUP($D11,Résultats!$B$2:$AX$476,I$5,FALSE)</f>
        <v>#N/A</v>
      </c>
      <c r="J11" s="28" t="e">
        <f>VLOOKUP($D11,Résultats!$B$2:$AX$476,J$5,FALSE)</f>
        <v>#N/A</v>
      </c>
      <c r="K11" s="19" t="e">
        <f>VLOOKUP($D11,Résultats!$B$2:$AX$476,K$5,FALSE)</f>
        <v>#N/A</v>
      </c>
      <c r="L11" s="19" t="e">
        <f>VLOOKUP($D11,Résultats!$B$2:$AX$476,L$5,FALSE)</f>
        <v>#N/A</v>
      </c>
      <c r="M11" s="19" t="e">
        <f>VLOOKUP($D11,Résultats!$B$2:$AX$476,M$5,FALSE)</f>
        <v>#N/A</v>
      </c>
      <c r="N11" s="111" t="e">
        <f>VLOOKUP($D11,Résultats!$B$2:$AX$476,N$5,FALSE)</f>
        <v>#N/A</v>
      </c>
      <c r="O11" s="28" t="e">
        <f>VLOOKUP($D11,Résultats!$B$2:$AX$476,O$5,FALSE)</f>
        <v>#N/A</v>
      </c>
      <c r="P11" s="19" t="e">
        <f>VLOOKUP($D11,Résultats!$B$2:$AX$476,P$5,FALSE)</f>
        <v>#N/A</v>
      </c>
      <c r="Q11" s="19" t="e">
        <f>VLOOKUP($D11,Résultats!$B$2:$AX$476,Q$5,FALSE)</f>
        <v>#N/A</v>
      </c>
      <c r="R11" s="19" t="e">
        <f>VLOOKUP($D11,Résultats!$B$2:$AX$476,R$5,FALSE)</f>
        <v>#N/A</v>
      </c>
      <c r="S11" s="111" t="e">
        <f>VLOOKUP($D11,Résultats!$B$2:$AX$476,S$5,FALSE)</f>
        <v>#N/A</v>
      </c>
      <c r="T11" s="120" t="e">
        <f>VLOOKUP($D11,Résultats!$B$2:$AX$476,T$5,FALSE)</f>
        <v>#N/A</v>
      </c>
      <c r="U11" s="120" t="e">
        <f>VLOOKUP($D11,Résultats!$B$2:$AX$476,U$5,FALSE)</f>
        <v>#N/A</v>
      </c>
      <c r="V11" s="120" t="e">
        <f>VLOOKUP($D11,Résultats!$B$2:$AX$476,V$5,FALSE)</f>
        <v>#N/A</v>
      </c>
      <c r="W11" s="120" t="e">
        <f>VLOOKUP($D11,Résultats!$B$2:$AX$476,W$5,FALSE)</f>
        <v>#N/A</v>
      </c>
      <c r="X11" s="3"/>
      <c r="Y11" s="34"/>
      <c r="Z11" s="34"/>
      <c r="AA11" s="34"/>
      <c r="AB11" s="34"/>
      <c r="AC11" s="34"/>
    </row>
    <row r="12" spans="1:29" x14ac:dyDescent="0.25">
      <c r="A12" s="3"/>
      <c r="B12" s="273"/>
      <c r="C12" s="3" t="s">
        <v>6</v>
      </c>
      <c r="D12" s="3" t="s">
        <v>115</v>
      </c>
      <c r="E12" s="19" t="e">
        <f>VLOOKUP($D12,Résultats!$B$2:$AX$476,E$5,FALSE)</f>
        <v>#N/A</v>
      </c>
      <c r="F12" s="19" t="e">
        <f>VLOOKUP($D12,Résultats!$B$2:$AX$476,F$5,FALSE)</f>
        <v>#N/A</v>
      </c>
      <c r="G12" s="28" t="e">
        <f>VLOOKUP($D12,Résultats!$B$2:$AX$476,G$5,FALSE)</f>
        <v>#N/A</v>
      </c>
      <c r="H12" s="19" t="e">
        <f>VLOOKUP($D12,Résultats!$B$2:$AX$476,H$5,FALSE)</f>
        <v>#N/A</v>
      </c>
      <c r="I12" s="111" t="e">
        <f>VLOOKUP($D12,Résultats!$B$2:$AX$476,I$5,FALSE)</f>
        <v>#N/A</v>
      </c>
      <c r="J12" s="28" t="e">
        <f>VLOOKUP($D12,Résultats!$B$2:$AX$476,J$5,FALSE)</f>
        <v>#N/A</v>
      </c>
      <c r="K12" s="19" t="e">
        <f>VLOOKUP($D12,Résultats!$B$2:$AX$476,K$5,FALSE)</f>
        <v>#N/A</v>
      </c>
      <c r="L12" s="19" t="e">
        <f>VLOOKUP($D12,Résultats!$B$2:$AX$476,L$5,FALSE)</f>
        <v>#N/A</v>
      </c>
      <c r="M12" s="19" t="e">
        <f>VLOOKUP($D12,Résultats!$B$2:$AX$476,M$5,FALSE)</f>
        <v>#N/A</v>
      </c>
      <c r="N12" s="111" t="e">
        <f>VLOOKUP($D12,Résultats!$B$2:$AX$476,N$5,FALSE)</f>
        <v>#N/A</v>
      </c>
      <c r="O12" s="28" t="e">
        <f>VLOOKUP($D12,Résultats!$B$2:$AX$476,O$5,FALSE)</f>
        <v>#N/A</v>
      </c>
      <c r="P12" s="19" t="e">
        <f>VLOOKUP($D12,Résultats!$B$2:$AX$476,P$5,FALSE)</f>
        <v>#N/A</v>
      </c>
      <c r="Q12" s="19" t="e">
        <f>VLOOKUP($D12,Résultats!$B$2:$AX$476,Q$5,FALSE)</f>
        <v>#N/A</v>
      </c>
      <c r="R12" s="19" t="e">
        <f>VLOOKUP($D12,Résultats!$B$2:$AX$476,R$5,FALSE)</f>
        <v>#N/A</v>
      </c>
      <c r="S12" s="111" t="e">
        <f>VLOOKUP($D12,Résultats!$B$2:$AX$476,S$5,FALSE)</f>
        <v>#N/A</v>
      </c>
      <c r="T12" s="120" t="e">
        <f>VLOOKUP($D12,Résultats!$B$2:$AX$476,T$5,FALSE)</f>
        <v>#N/A</v>
      </c>
      <c r="U12" s="120" t="e">
        <f>VLOOKUP($D12,Résultats!$B$2:$AX$476,U$5,FALSE)</f>
        <v>#N/A</v>
      </c>
      <c r="V12" s="120" t="e">
        <f>VLOOKUP($D12,Résultats!$B$2:$AX$476,V$5,FALSE)</f>
        <v>#N/A</v>
      </c>
      <c r="W12" s="120" t="e">
        <f>VLOOKUP($D12,Résultats!$B$2:$AX$476,W$5,FALSE)</f>
        <v>#N/A</v>
      </c>
      <c r="X12" s="3"/>
      <c r="Y12" s="34"/>
      <c r="Z12" s="217"/>
      <c r="AA12" s="218"/>
      <c r="AB12" s="218"/>
      <c r="AC12" s="218"/>
    </row>
    <row r="13" spans="1:29" x14ac:dyDescent="0.25">
      <c r="A13" s="3"/>
      <c r="B13" s="273"/>
      <c r="C13" s="3" t="s">
        <v>7</v>
      </c>
      <c r="D13" s="3" t="s">
        <v>116</v>
      </c>
      <c r="E13" s="19" t="e">
        <f>VLOOKUP($D13,Résultats!$B$2:$AX$476,E$5,FALSE)</f>
        <v>#N/A</v>
      </c>
      <c r="F13" s="19" t="e">
        <f>VLOOKUP($D13,Résultats!$B$2:$AX$476,F$5,FALSE)</f>
        <v>#N/A</v>
      </c>
      <c r="G13" s="28" t="e">
        <f>VLOOKUP($D13,Résultats!$B$2:$AX$476,G$5,FALSE)</f>
        <v>#N/A</v>
      </c>
      <c r="H13" s="19" t="e">
        <f>VLOOKUP($D13,Résultats!$B$2:$AX$476,H$5,FALSE)</f>
        <v>#N/A</v>
      </c>
      <c r="I13" s="111" t="e">
        <f>VLOOKUP($D13,Résultats!$B$2:$AX$476,I$5,FALSE)</f>
        <v>#N/A</v>
      </c>
      <c r="J13" s="28" t="e">
        <f>VLOOKUP($D13,Résultats!$B$2:$AX$476,J$5,FALSE)</f>
        <v>#N/A</v>
      </c>
      <c r="K13" s="19" t="e">
        <f>VLOOKUP($D13,Résultats!$B$2:$AX$476,K$5,FALSE)</f>
        <v>#N/A</v>
      </c>
      <c r="L13" s="19" t="e">
        <f>VLOOKUP($D13,Résultats!$B$2:$AX$476,L$5,FALSE)</f>
        <v>#N/A</v>
      </c>
      <c r="M13" s="19" t="e">
        <f>VLOOKUP($D13,Résultats!$B$2:$AX$476,M$5,FALSE)</f>
        <v>#N/A</v>
      </c>
      <c r="N13" s="111" t="e">
        <f>VLOOKUP($D13,Résultats!$B$2:$AX$476,N$5,FALSE)</f>
        <v>#N/A</v>
      </c>
      <c r="O13" s="28" t="e">
        <f>VLOOKUP($D13,Résultats!$B$2:$AX$476,O$5,FALSE)</f>
        <v>#N/A</v>
      </c>
      <c r="P13" s="19" t="e">
        <f>VLOOKUP($D13,Résultats!$B$2:$AX$476,P$5,FALSE)</f>
        <v>#N/A</v>
      </c>
      <c r="Q13" s="19" t="e">
        <f>VLOOKUP($D13,Résultats!$B$2:$AX$476,Q$5,FALSE)</f>
        <v>#N/A</v>
      </c>
      <c r="R13" s="19" t="e">
        <f>VLOOKUP($D13,Résultats!$B$2:$AX$476,R$5,FALSE)</f>
        <v>#N/A</v>
      </c>
      <c r="S13" s="111" t="e">
        <f>VLOOKUP($D13,Résultats!$B$2:$AX$476,S$5,FALSE)</f>
        <v>#N/A</v>
      </c>
      <c r="T13" s="120" t="e">
        <f>VLOOKUP($D13,Résultats!$B$2:$AX$476,T$5,FALSE)</f>
        <v>#N/A</v>
      </c>
      <c r="U13" s="120" t="e">
        <f>VLOOKUP($D13,Résultats!$B$2:$AX$476,U$5,FALSE)</f>
        <v>#N/A</v>
      </c>
      <c r="V13" s="120" t="e">
        <f>VLOOKUP($D13,Résultats!$B$2:$AX$476,V$5,FALSE)</f>
        <v>#N/A</v>
      </c>
      <c r="W13" s="120" t="e">
        <f>VLOOKUP($D13,Résultats!$B$2:$AX$476,W$5,FALSE)</f>
        <v>#N/A</v>
      </c>
      <c r="X13" s="3"/>
      <c r="Y13" s="34"/>
    </row>
    <row r="14" spans="1:29" x14ac:dyDescent="0.25">
      <c r="A14" s="3"/>
      <c r="B14" s="273"/>
      <c r="C14" s="3" t="s">
        <v>8</v>
      </c>
      <c r="D14" s="3" t="s">
        <v>117</v>
      </c>
      <c r="E14" s="19" t="e">
        <f>VLOOKUP($D14,Résultats!$B$2:$AX$476,E$5,FALSE)</f>
        <v>#N/A</v>
      </c>
      <c r="F14" s="19" t="e">
        <f>VLOOKUP($D14,Résultats!$B$2:$AX$476,F$5,FALSE)</f>
        <v>#N/A</v>
      </c>
      <c r="G14" s="28" t="e">
        <f>VLOOKUP($D14,Résultats!$B$2:$AX$476,G$5,FALSE)</f>
        <v>#N/A</v>
      </c>
      <c r="H14" s="19" t="e">
        <f>VLOOKUP($D14,Résultats!$B$2:$AX$476,H$5,FALSE)</f>
        <v>#N/A</v>
      </c>
      <c r="I14" s="111" t="e">
        <f>VLOOKUP($D14,Résultats!$B$2:$AX$476,I$5,FALSE)</f>
        <v>#N/A</v>
      </c>
      <c r="J14" s="28" t="e">
        <f>VLOOKUP($D14,Résultats!$B$2:$AX$476,J$5,FALSE)</f>
        <v>#N/A</v>
      </c>
      <c r="K14" s="19" t="e">
        <f>VLOOKUP($D14,Résultats!$B$2:$AX$476,K$5,FALSE)</f>
        <v>#N/A</v>
      </c>
      <c r="L14" s="19" t="e">
        <f>VLOOKUP($D14,Résultats!$B$2:$AX$476,L$5,FALSE)</f>
        <v>#N/A</v>
      </c>
      <c r="M14" s="19" t="e">
        <f>VLOOKUP($D14,Résultats!$B$2:$AX$476,M$5,FALSE)</f>
        <v>#N/A</v>
      </c>
      <c r="N14" s="111" t="e">
        <f>VLOOKUP($D14,Résultats!$B$2:$AX$476,N$5,FALSE)</f>
        <v>#N/A</v>
      </c>
      <c r="O14" s="28" t="e">
        <f>VLOOKUP($D14,Résultats!$B$2:$AX$476,O$5,FALSE)</f>
        <v>#N/A</v>
      </c>
      <c r="P14" s="19" t="e">
        <f>VLOOKUP($D14,Résultats!$B$2:$AX$476,P$5,FALSE)</f>
        <v>#N/A</v>
      </c>
      <c r="Q14" s="19" t="e">
        <f>VLOOKUP($D14,Résultats!$B$2:$AX$476,Q$5,FALSE)</f>
        <v>#N/A</v>
      </c>
      <c r="R14" s="19" t="e">
        <f>VLOOKUP($D14,Résultats!$B$2:$AX$476,R$5,FALSE)</f>
        <v>#N/A</v>
      </c>
      <c r="S14" s="111" t="e">
        <f>VLOOKUP($D14,Résultats!$B$2:$AX$476,S$5,FALSE)</f>
        <v>#N/A</v>
      </c>
      <c r="T14" s="120" t="e">
        <f>VLOOKUP($D14,Résultats!$B$2:$AX$476,T$5,FALSE)</f>
        <v>#N/A</v>
      </c>
      <c r="U14" s="120" t="e">
        <f>VLOOKUP($D14,Résultats!$B$2:$AX$476,U$5,FALSE)</f>
        <v>#N/A</v>
      </c>
      <c r="V14" s="120" t="e">
        <f>VLOOKUP($D14,Résultats!$B$2:$AX$476,V$5,FALSE)</f>
        <v>#N/A</v>
      </c>
      <c r="W14" s="120" t="e">
        <f>VLOOKUP($D14,Résultats!$B$2:$AX$476,W$5,FALSE)</f>
        <v>#N/A</v>
      </c>
      <c r="X14" s="3"/>
      <c r="Y14" s="34"/>
    </row>
    <row r="15" spans="1:29" x14ac:dyDescent="0.25">
      <c r="A15" s="3"/>
      <c r="B15" s="273"/>
      <c r="C15" s="3" t="s">
        <v>9</v>
      </c>
      <c r="D15" s="3" t="s">
        <v>118</v>
      </c>
      <c r="E15" s="19" t="e">
        <f>VLOOKUP($D15,Résultats!$B$2:$AX$476,E$5,FALSE)</f>
        <v>#N/A</v>
      </c>
      <c r="F15" s="19" t="e">
        <f>VLOOKUP($D15,Résultats!$B$2:$AX$476,F$5,FALSE)</f>
        <v>#N/A</v>
      </c>
      <c r="G15" s="28" t="e">
        <f>VLOOKUP($D15,Résultats!$B$2:$AX$476,G$5,FALSE)</f>
        <v>#N/A</v>
      </c>
      <c r="H15" s="19" t="e">
        <f>VLOOKUP($D15,Résultats!$B$2:$AX$476,H$5,FALSE)</f>
        <v>#N/A</v>
      </c>
      <c r="I15" s="111" t="e">
        <f>VLOOKUP($D15,Résultats!$B$2:$AX$476,I$5,FALSE)</f>
        <v>#N/A</v>
      </c>
      <c r="J15" s="28" t="e">
        <f>VLOOKUP($D15,Résultats!$B$2:$AX$476,J$5,FALSE)</f>
        <v>#N/A</v>
      </c>
      <c r="K15" s="19" t="e">
        <f>VLOOKUP($D15,Résultats!$B$2:$AX$476,K$5,FALSE)</f>
        <v>#N/A</v>
      </c>
      <c r="L15" s="19" t="e">
        <f>VLOOKUP($D15,Résultats!$B$2:$AX$476,L$5,FALSE)</f>
        <v>#N/A</v>
      </c>
      <c r="M15" s="19" t="e">
        <f>VLOOKUP($D15,Résultats!$B$2:$AX$476,M$5,FALSE)</f>
        <v>#N/A</v>
      </c>
      <c r="N15" s="111" t="e">
        <f>VLOOKUP($D15,Résultats!$B$2:$AX$476,N$5,FALSE)</f>
        <v>#N/A</v>
      </c>
      <c r="O15" s="28" t="e">
        <f>VLOOKUP($D15,Résultats!$B$2:$AX$476,O$5,FALSE)</f>
        <v>#N/A</v>
      </c>
      <c r="P15" s="19" t="e">
        <f>VLOOKUP($D15,Résultats!$B$2:$AX$476,P$5,FALSE)</f>
        <v>#N/A</v>
      </c>
      <c r="Q15" s="19" t="e">
        <f>VLOOKUP($D15,Résultats!$B$2:$AX$476,Q$5,FALSE)</f>
        <v>#N/A</v>
      </c>
      <c r="R15" s="19" t="e">
        <f>VLOOKUP($D15,Résultats!$B$2:$AX$476,R$5,FALSE)</f>
        <v>#N/A</v>
      </c>
      <c r="S15" s="111" t="e">
        <f>VLOOKUP($D15,Résultats!$B$2:$AX$476,S$5,FALSE)</f>
        <v>#N/A</v>
      </c>
      <c r="T15" s="120" t="e">
        <f>VLOOKUP($D15,Résultats!$B$2:$AX$476,T$5,FALSE)</f>
        <v>#N/A</v>
      </c>
      <c r="U15" s="120" t="e">
        <f>VLOOKUP($D15,Résultats!$B$2:$AX$476,U$5,FALSE)</f>
        <v>#N/A</v>
      </c>
      <c r="V15" s="120" t="e">
        <f>VLOOKUP($D15,Résultats!$B$2:$AX$476,V$5,FALSE)</f>
        <v>#N/A</v>
      </c>
      <c r="W15" s="120" t="e">
        <f>VLOOKUP($D15,Résultats!$B$2:$AX$476,W$5,FALSE)</f>
        <v>#N/A</v>
      </c>
      <c r="X15" s="3"/>
      <c r="Y15" s="34"/>
    </row>
    <row r="16" spans="1:29" x14ac:dyDescent="0.25">
      <c r="A16" s="3"/>
      <c r="B16" s="273"/>
      <c r="C16" s="3" t="s">
        <v>10</v>
      </c>
      <c r="D16" s="3" t="s">
        <v>119</v>
      </c>
      <c r="E16" s="19" t="e">
        <f>VLOOKUP($D16,Résultats!$B$2:$AX$476,E$5,FALSE)</f>
        <v>#N/A</v>
      </c>
      <c r="F16" s="19" t="e">
        <f>VLOOKUP($D16,Résultats!$B$2:$AX$476,F$5,FALSE)</f>
        <v>#N/A</v>
      </c>
      <c r="G16" s="28" t="e">
        <f>VLOOKUP($D16,Résultats!$B$2:$AX$476,G$5,FALSE)</f>
        <v>#N/A</v>
      </c>
      <c r="H16" s="19" t="e">
        <f>VLOOKUP($D16,Résultats!$B$2:$AX$476,H$5,FALSE)</f>
        <v>#N/A</v>
      </c>
      <c r="I16" s="111" t="e">
        <f>VLOOKUP($D16,Résultats!$B$2:$AX$476,I$5,FALSE)</f>
        <v>#N/A</v>
      </c>
      <c r="J16" s="28" t="e">
        <f>VLOOKUP($D16,Résultats!$B$2:$AX$476,J$5,FALSE)</f>
        <v>#N/A</v>
      </c>
      <c r="K16" s="19" t="e">
        <f>VLOOKUP($D16,Résultats!$B$2:$AX$476,K$5,FALSE)</f>
        <v>#N/A</v>
      </c>
      <c r="L16" s="19" t="e">
        <f>VLOOKUP($D16,Résultats!$B$2:$AX$476,L$5,FALSE)</f>
        <v>#N/A</v>
      </c>
      <c r="M16" s="19" t="e">
        <f>VLOOKUP($D16,Résultats!$B$2:$AX$476,M$5,FALSE)</f>
        <v>#N/A</v>
      </c>
      <c r="N16" s="111" t="e">
        <f>VLOOKUP($D16,Résultats!$B$2:$AX$476,N$5,FALSE)</f>
        <v>#N/A</v>
      </c>
      <c r="O16" s="28" t="e">
        <f>VLOOKUP($D16,Résultats!$B$2:$AX$476,O$5,FALSE)</f>
        <v>#N/A</v>
      </c>
      <c r="P16" s="19" t="e">
        <f>VLOOKUP($D16,Résultats!$B$2:$AX$476,P$5,FALSE)</f>
        <v>#N/A</v>
      </c>
      <c r="Q16" s="19" t="e">
        <f>VLOOKUP($D16,Résultats!$B$2:$AX$476,Q$5,FALSE)</f>
        <v>#N/A</v>
      </c>
      <c r="R16" s="19" t="e">
        <f>VLOOKUP($D16,Résultats!$B$2:$AX$476,R$5,FALSE)</f>
        <v>#N/A</v>
      </c>
      <c r="S16" s="111" t="e">
        <f>VLOOKUP($D16,Résultats!$B$2:$AX$476,S$5,FALSE)</f>
        <v>#N/A</v>
      </c>
      <c r="T16" s="120" t="e">
        <f>VLOOKUP($D16,Résultats!$B$2:$AX$476,T$5,FALSE)</f>
        <v>#N/A</v>
      </c>
      <c r="U16" s="120" t="e">
        <f>VLOOKUP($D16,Résultats!$B$2:$AX$476,U$5,FALSE)</f>
        <v>#N/A</v>
      </c>
      <c r="V16" s="120" t="e">
        <f>VLOOKUP($D16,Résultats!$B$2:$AX$476,V$5,FALSE)</f>
        <v>#N/A</v>
      </c>
      <c r="W16" s="120" t="e">
        <f>VLOOKUP($D16,Résultats!$B$2:$AX$476,W$5,FALSE)</f>
        <v>#N/A</v>
      </c>
      <c r="X16" s="3"/>
      <c r="Y16" s="34"/>
    </row>
    <row r="17" spans="1:39" x14ac:dyDescent="0.25">
      <c r="A17" s="3"/>
      <c r="B17" s="273"/>
      <c r="C17" s="3" t="s">
        <v>11</v>
      </c>
      <c r="D17" s="3" t="s">
        <v>120</v>
      </c>
      <c r="E17" s="19" t="e">
        <f>VLOOKUP($D17,Résultats!$B$2:$AX$476,E$5,FALSE)</f>
        <v>#N/A</v>
      </c>
      <c r="F17" s="19" t="e">
        <f>VLOOKUP($D17,Résultats!$B$2:$AX$476,F$5,FALSE)</f>
        <v>#N/A</v>
      </c>
      <c r="G17" s="28" t="e">
        <f>VLOOKUP($D17,Résultats!$B$2:$AX$476,G$5,FALSE)</f>
        <v>#N/A</v>
      </c>
      <c r="H17" s="19" t="e">
        <f>VLOOKUP($D17,Résultats!$B$2:$AX$476,H$5,FALSE)</f>
        <v>#N/A</v>
      </c>
      <c r="I17" s="111" t="e">
        <f>VLOOKUP($D17,Résultats!$B$2:$AX$476,I$5,FALSE)</f>
        <v>#N/A</v>
      </c>
      <c r="J17" s="28" t="e">
        <f>VLOOKUP($D17,Résultats!$B$2:$AX$476,J$5,FALSE)</f>
        <v>#N/A</v>
      </c>
      <c r="K17" s="19" t="e">
        <f>VLOOKUP($D17,Résultats!$B$2:$AX$476,K$5,FALSE)</f>
        <v>#N/A</v>
      </c>
      <c r="L17" s="19" t="e">
        <f>VLOOKUP($D17,Résultats!$B$2:$AX$476,L$5,FALSE)</f>
        <v>#N/A</v>
      </c>
      <c r="M17" s="19" t="e">
        <f>VLOOKUP($D17,Résultats!$B$2:$AX$476,M$5,FALSE)</f>
        <v>#N/A</v>
      </c>
      <c r="N17" s="111" t="e">
        <f>VLOOKUP($D17,Résultats!$B$2:$AX$476,N$5,FALSE)</f>
        <v>#N/A</v>
      </c>
      <c r="O17" s="28" t="e">
        <f>VLOOKUP($D17,Résultats!$B$2:$AX$476,O$5,FALSE)</f>
        <v>#N/A</v>
      </c>
      <c r="P17" s="19" t="e">
        <f>VLOOKUP($D17,Résultats!$B$2:$AX$476,P$5,FALSE)</f>
        <v>#N/A</v>
      </c>
      <c r="Q17" s="19" t="e">
        <f>VLOOKUP($D17,Résultats!$B$2:$AX$476,Q$5,FALSE)</f>
        <v>#N/A</v>
      </c>
      <c r="R17" s="19" t="e">
        <f>VLOOKUP($D17,Résultats!$B$2:$AX$476,R$5,FALSE)</f>
        <v>#N/A</v>
      </c>
      <c r="S17" s="111" t="e">
        <f>VLOOKUP($D17,Résultats!$B$2:$AX$476,S$5,FALSE)</f>
        <v>#N/A</v>
      </c>
      <c r="T17" s="120" t="e">
        <f>VLOOKUP($D17,Résultats!$B$2:$AX$476,T$5,FALSE)</f>
        <v>#N/A</v>
      </c>
      <c r="U17" s="120" t="e">
        <f>VLOOKUP($D17,Résultats!$B$2:$AX$476,U$5,FALSE)</f>
        <v>#N/A</v>
      </c>
      <c r="V17" s="120" t="e">
        <f>VLOOKUP($D17,Résultats!$B$2:$AX$476,V$5,FALSE)</f>
        <v>#N/A</v>
      </c>
      <c r="W17" s="120" t="e">
        <f>VLOOKUP($D17,Résultats!$B$2:$AX$476,W$5,FALSE)</f>
        <v>#N/A</v>
      </c>
      <c r="X17" s="3"/>
      <c r="Y17" s="34"/>
    </row>
    <row r="18" spans="1:39" x14ac:dyDescent="0.25">
      <c r="A18" s="3"/>
      <c r="B18" s="274"/>
      <c r="C18" s="7" t="s">
        <v>12</v>
      </c>
      <c r="D18" s="3" t="s">
        <v>121</v>
      </c>
      <c r="E18" s="20" t="e">
        <f>VLOOKUP($D18,Résultats!$B$2:$AX$476,E$5,FALSE)</f>
        <v>#N/A</v>
      </c>
      <c r="F18" s="20" t="e">
        <f>VLOOKUP($D18,Résultats!$B$2:$AX$476,F$5,FALSE)</f>
        <v>#N/A</v>
      </c>
      <c r="G18" s="113" t="e">
        <f>VLOOKUP($D18,Résultats!$B$2:$AX$476,G$5,FALSE)</f>
        <v>#N/A</v>
      </c>
      <c r="H18" s="20" t="e">
        <f>VLOOKUP($D18,Résultats!$B$2:$AX$476,H$5,FALSE)</f>
        <v>#N/A</v>
      </c>
      <c r="I18" s="114" t="e">
        <f>VLOOKUP($D18,Résultats!$B$2:$AX$476,I$5,FALSE)</f>
        <v>#N/A</v>
      </c>
      <c r="J18" s="113" t="e">
        <f>VLOOKUP($D18,Résultats!$B$2:$AX$476,J$5,FALSE)</f>
        <v>#N/A</v>
      </c>
      <c r="K18" s="20" t="e">
        <f>VLOOKUP($D18,Résultats!$B$2:$AX$476,K$5,FALSE)</f>
        <v>#N/A</v>
      </c>
      <c r="L18" s="20" t="e">
        <f>VLOOKUP($D18,Résultats!$B$2:$AX$476,L$5,FALSE)</f>
        <v>#N/A</v>
      </c>
      <c r="M18" s="20" t="e">
        <f>VLOOKUP($D18,Résultats!$B$2:$AX$476,M$5,FALSE)</f>
        <v>#N/A</v>
      </c>
      <c r="N18" s="114" t="e">
        <f>VLOOKUP($D18,Résultats!$B$2:$AX$476,N$5,FALSE)</f>
        <v>#N/A</v>
      </c>
      <c r="O18" s="113" t="e">
        <f>VLOOKUP($D18,Résultats!$B$2:$AX$476,O$5,FALSE)</f>
        <v>#N/A</v>
      </c>
      <c r="P18" s="20" t="e">
        <f>VLOOKUP($D18,Résultats!$B$2:$AX$476,P$5,FALSE)</f>
        <v>#N/A</v>
      </c>
      <c r="Q18" s="20" t="e">
        <f>VLOOKUP($D18,Résultats!$B$2:$AX$476,Q$5,FALSE)</f>
        <v>#N/A</v>
      </c>
      <c r="R18" s="20" t="e">
        <f>VLOOKUP($D18,Résultats!$B$2:$AX$476,R$5,FALSE)</f>
        <v>#N/A</v>
      </c>
      <c r="S18" s="114" t="e">
        <f>VLOOKUP($D18,Résultats!$B$2:$AX$476,S$5,FALSE)</f>
        <v>#N/A</v>
      </c>
      <c r="T18" s="122" t="e">
        <f>VLOOKUP($D18,Résultats!$B$2:$AX$476,T$5,FALSE)</f>
        <v>#N/A</v>
      </c>
      <c r="U18" s="122" t="e">
        <f>VLOOKUP($D18,Résultats!$B$2:$AX$476,U$5,FALSE)</f>
        <v>#N/A</v>
      </c>
      <c r="V18" s="122" t="e">
        <f>VLOOKUP($D18,Résultats!$B$2:$AX$476,V$5,FALSE)</f>
        <v>#N/A</v>
      </c>
      <c r="W18" s="122" t="e">
        <f>VLOOKUP($D18,Résultats!$B$2:$AX$476,W$5,FALSE)</f>
        <v>#N/A</v>
      </c>
      <c r="X18" s="3"/>
      <c r="Y18" s="34"/>
    </row>
    <row r="19" spans="1:39" ht="15" customHeight="1" x14ac:dyDescent="0.25">
      <c r="A19" s="3"/>
      <c r="B19" s="272" t="s">
        <v>135</v>
      </c>
      <c r="C19" s="5" t="s">
        <v>1</v>
      </c>
      <c r="D19" s="2"/>
      <c r="E19" s="6" t="e">
        <f>SUM(E20:E25)</f>
        <v>#N/A</v>
      </c>
      <c r="F19" s="6" t="e">
        <f>SUM(F20:F25)</f>
        <v>#N/A</v>
      </c>
      <c r="G19" s="109" t="e">
        <f t="shared" ref="G19:R19" si="3">SUM(G20:G25)</f>
        <v>#N/A</v>
      </c>
      <c r="H19" s="6" t="e">
        <f t="shared" si="3"/>
        <v>#N/A</v>
      </c>
      <c r="I19" s="110" t="e">
        <f t="shared" si="3"/>
        <v>#N/A</v>
      </c>
      <c r="J19" s="109" t="e">
        <f t="shared" si="3"/>
        <v>#N/A</v>
      </c>
      <c r="K19" s="6" t="e">
        <f t="shared" si="3"/>
        <v>#N/A</v>
      </c>
      <c r="L19" s="6" t="e">
        <f t="shared" si="3"/>
        <v>#N/A</v>
      </c>
      <c r="M19" s="6" t="e">
        <f t="shared" si="3"/>
        <v>#N/A</v>
      </c>
      <c r="N19" s="110" t="e">
        <f t="shared" si="3"/>
        <v>#N/A</v>
      </c>
      <c r="O19" s="109" t="e">
        <f t="shared" si="3"/>
        <v>#N/A</v>
      </c>
      <c r="P19" s="6" t="e">
        <f t="shared" si="3"/>
        <v>#N/A</v>
      </c>
      <c r="Q19" s="6" t="e">
        <f t="shared" si="3"/>
        <v>#N/A</v>
      </c>
      <c r="R19" s="6" t="e">
        <f t="shared" si="3"/>
        <v>#N/A</v>
      </c>
      <c r="S19" s="110" t="e">
        <f>SUM(S20:S25)</f>
        <v>#N/A</v>
      </c>
      <c r="T19" s="119" t="e">
        <f>SUM(T20:T25)</f>
        <v>#N/A</v>
      </c>
      <c r="U19" s="119" t="e">
        <f>SUM(U20:U25)</f>
        <v>#N/A</v>
      </c>
      <c r="V19" s="119" t="e">
        <f>SUM(V20:V25)</f>
        <v>#N/A</v>
      </c>
      <c r="W19" s="119" t="e">
        <f>SUM(W20:W25)</f>
        <v>#N/A</v>
      </c>
      <c r="X19" s="3"/>
      <c r="Y19" s="34"/>
    </row>
    <row r="20" spans="1:39" x14ac:dyDescent="0.25">
      <c r="A20" s="3"/>
      <c r="B20" s="273"/>
      <c r="C20" s="3" t="s">
        <v>13</v>
      </c>
      <c r="D20" s="3" t="s">
        <v>122</v>
      </c>
      <c r="E20" s="19" t="e">
        <f>VLOOKUP($D20,Résultats!$B$2:$AX$476,E$5,FALSE)</f>
        <v>#N/A</v>
      </c>
      <c r="F20" s="19" t="e">
        <f>VLOOKUP($D20,Résultats!$B$2:$AX$476,F$5,FALSE)</f>
        <v>#N/A</v>
      </c>
      <c r="G20" s="28" t="e">
        <f>VLOOKUP($D20,Résultats!$B$2:$AX$476,G$5,FALSE)</f>
        <v>#N/A</v>
      </c>
      <c r="H20" s="19" t="e">
        <f>VLOOKUP($D20,Résultats!$B$2:$AX$476,H$5,FALSE)</f>
        <v>#N/A</v>
      </c>
      <c r="I20" s="111" t="e">
        <f>VLOOKUP($D20,Résultats!$B$2:$AX$476,I$5,FALSE)</f>
        <v>#N/A</v>
      </c>
      <c r="J20" s="28" t="e">
        <f>VLOOKUP($D20,Résultats!$B$2:$AX$476,J$5,FALSE)</f>
        <v>#N/A</v>
      </c>
      <c r="K20" s="19" t="e">
        <f>VLOOKUP($D20,Résultats!$B$2:$AX$476,K$5,FALSE)</f>
        <v>#N/A</v>
      </c>
      <c r="L20" s="19" t="e">
        <f>VLOOKUP($D20,Résultats!$B$2:$AX$476,L$5,FALSE)</f>
        <v>#N/A</v>
      </c>
      <c r="M20" s="19" t="e">
        <f>VLOOKUP($D20,Résultats!$B$2:$AX$476,M$5,FALSE)</f>
        <v>#N/A</v>
      </c>
      <c r="N20" s="111" t="e">
        <f>VLOOKUP($D20,Résultats!$B$2:$AX$476,N$5,FALSE)</f>
        <v>#N/A</v>
      </c>
      <c r="O20" s="28" t="e">
        <f>VLOOKUP($D20,Résultats!$B$2:$AX$476,O$5,FALSE)</f>
        <v>#N/A</v>
      </c>
      <c r="P20" s="19" t="e">
        <f>VLOOKUP($D20,Résultats!$B$2:$AX$476,P$5,FALSE)</f>
        <v>#N/A</v>
      </c>
      <c r="Q20" s="19" t="e">
        <f>VLOOKUP($D20,Résultats!$B$2:$AX$476,Q$5,FALSE)</f>
        <v>#N/A</v>
      </c>
      <c r="R20" s="19" t="e">
        <f>VLOOKUP($D20,Résultats!$B$2:$AX$476,R$5,FALSE)</f>
        <v>#N/A</v>
      </c>
      <c r="S20" s="111" t="e">
        <f>VLOOKUP($D20,Résultats!$B$2:$AX$476,S$5,FALSE)</f>
        <v>#N/A</v>
      </c>
      <c r="T20" s="120" t="e">
        <f>VLOOKUP($D20,Résultats!$B$2:$AX$476,T$5,FALSE)</f>
        <v>#N/A</v>
      </c>
      <c r="U20" s="120" t="e">
        <f>VLOOKUP($D20,Résultats!$B$2:$AX$476,U$5,FALSE)</f>
        <v>#N/A</v>
      </c>
      <c r="V20" s="120" t="e">
        <f>VLOOKUP($D20,Résultats!$B$2:$AX$476,V$5,FALSE)</f>
        <v>#N/A</v>
      </c>
      <c r="W20" s="120" t="e">
        <f>VLOOKUP($D20,Résultats!$B$2:$AX$476,W$5,FALSE)</f>
        <v>#N/A</v>
      </c>
      <c r="X20" s="3"/>
      <c r="Y20" s="34"/>
    </row>
    <row r="21" spans="1:39" x14ac:dyDescent="0.25">
      <c r="A21" s="3"/>
      <c r="B21" s="273"/>
      <c r="C21" s="3" t="s">
        <v>14</v>
      </c>
      <c r="D21" s="3" t="s">
        <v>123</v>
      </c>
      <c r="E21" s="19" t="e">
        <f>VLOOKUP($D21,Résultats!$B$2:$AX$476,E$5,FALSE)</f>
        <v>#N/A</v>
      </c>
      <c r="F21" s="19" t="e">
        <f>VLOOKUP($D21,Résultats!$B$2:$AX$476,F$5,FALSE)</f>
        <v>#N/A</v>
      </c>
      <c r="G21" s="28" t="e">
        <f>VLOOKUP($D21,Résultats!$B$2:$AX$476,G$5,FALSE)</f>
        <v>#N/A</v>
      </c>
      <c r="H21" s="19" t="e">
        <f>VLOOKUP($D21,Résultats!$B$2:$AX$476,H$5,FALSE)</f>
        <v>#N/A</v>
      </c>
      <c r="I21" s="111" t="e">
        <f>VLOOKUP($D21,Résultats!$B$2:$AX$476,I$5,FALSE)</f>
        <v>#N/A</v>
      </c>
      <c r="J21" s="28" t="e">
        <f>VLOOKUP($D21,Résultats!$B$2:$AX$476,J$5,FALSE)</f>
        <v>#N/A</v>
      </c>
      <c r="K21" s="19" t="e">
        <f>VLOOKUP($D21,Résultats!$B$2:$AX$476,K$5,FALSE)</f>
        <v>#N/A</v>
      </c>
      <c r="L21" s="19" t="e">
        <f>VLOOKUP($D21,Résultats!$B$2:$AX$476,L$5,FALSE)</f>
        <v>#N/A</v>
      </c>
      <c r="M21" s="19" t="e">
        <f>VLOOKUP($D21,Résultats!$B$2:$AX$476,M$5,FALSE)</f>
        <v>#N/A</v>
      </c>
      <c r="N21" s="111" t="e">
        <f>VLOOKUP($D21,Résultats!$B$2:$AX$476,N$5,FALSE)</f>
        <v>#N/A</v>
      </c>
      <c r="O21" s="28" t="e">
        <f>VLOOKUP($D21,Résultats!$B$2:$AX$476,O$5,FALSE)</f>
        <v>#N/A</v>
      </c>
      <c r="P21" s="19" t="e">
        <f>VLOOKUP($D21,Résultats!$B$2:$AX$476,P$5,FALSE)</f>
        <v>#N/A</v>
      </c>
      <c r="Q21" s="19" t="e">
        <f>VLOOKUP($D21,Résultats!$B$2:$AX$476,Q$5,FALSE)</f>
        <v>#N/A</v>
      </c>
      <c r="R21" s="19" t="e">
        <f>VLOOKUP($D21,Résultats!$B$2:$AX$476,R$5,FALSE)</f>
        <v>#N/A</v>
      </c>
      <c r="S21" s="111" t="e">
        <f>VLOOKUP($D21,Résultats!$B$2:$AX$476,S$5,FALSE)</f>
        <v>#N/A</v>
      </c>
      <c r="T21" s="120" t="e">
        <f>VLOOKUP($D21,Résultats!$B$2:$AX$476,T$5,FALSE)</f>
        <v>#N/A</v>
      </c>
      <c r="U21" s="120" t="e">
        <f>VLOOKUP($D21,Résultats!$B$2:$AX$476,U$5,FALSE)</f>
        <v>#N/A</v>
      </c>
      <c r="V21" s="120" t="e">
        <f>VLOOKUP($D21,Résultats!$B$2:$AX$476,V$5,FALSE)</f>
        <v>#N/A</v>
      </c>
      <c r="W21" s="120" t="e">
        <f>VLOOKUP($D21,Résultats!$B$2:$AX$476,W$5,FALSE)</f>
        <v>#N/A</v>
      </c>
      <c r="X21" s="3"/>
      <c r="Y21" s="34"/>
    </row>
    <row r="22" spans="1:39" x14ac:dyDescent="0.25">
      <c r="A22" s="3"/>
      <c r="B22" s="273"/>
      <c r="C22" s="3" t="s">
        <v>15</v>
      </c>
      <c r="D22" s="3" t="s">
        <v>124</v>
      </c>
      <c r="E22" s="19" t="e">
        <f>VLOOKUP($D22,Résultats!$B$2:$AX$476,E$5,FALSE)</f>
        <v>#N/A</v>
      </c>
      <c r="F22" s="19" t="e">
        <f>VLOOKUP($D22,Résultats!$B$2:$AX$476,F$5,FALSE)</f>
        <v>#N/A</v>
      </c>
      <c r="G22" s="28" t="e">
        <f>VLOOKUP($D22,Résultats!$B$2:$AX$476,G$5,FALSE)</f>
        <v>#N/A</v>
      </c>
      <c r="H22" s="19" t="e">
        <f>VLOOKUP($D22,Résultats!$B$2:$AX$476,H$5,FALSE)</f>
        <v>#N/A</v>
      </c>
      <c r="I22" s="111" t="e">
        <f>VLOOKUP($D22,Résultats!$B$2:$AX$476,I$5,FALSE)</f>
        <v>#N/A</v>
      </c>
      <c r="J22" s="28" t="e">
        <f>VLOOKUP($D22,Résultats!$B$2:$AX$476,J$5,FALSE)</f>
        <v>#N/A</v>
      </c>
      <c r="K22" s="19" t="e">
        <f>VLOOKUP($D22,Résultats!$B$2:$AX$476,K$5,FALSE)</f>
        <v>#N/A</v>
      </c>
      <c r="L22" s="19" t="e">
        <f>VLOOKUP($D22,Résultats!$B$2:$AX$476,L$5,FALSE)</f>
        <v>#N/A</v>
      </c>
      <c r="M22" s="19" t="e">
        <f>VLOOKUP($D22,Résultats!$B$2:$AX$476,M$5,FALSE)</f>
        <v>#N/A</v>
      </c>
      <c r="N22" s="111" t="e">
        <f>VLOOKUP($D22,Résultats!$B$2:$AX$476,N$5,FALSE)</f>
        <v>#N/A</v>
      </c>
      <c r="O22" s="28" t="e">
        <f>VLOOKUP($D22,Résultats!$B$2:$AX$476,O$5,FALSE)</f>
        <v>#N/A</v>
      </c>
      <c r="P22" s="19" t="e">
        <f>VLOOKUP($D22,Résultats!$B$2:$AX$476,P$5,FALSE)</f>
        <v>#N/A</v>
      </c>
      <c r="Q22" s="19" t="e">
        <f>VLOOKUP($D22,Résultats!$B$2:$AX$476,Q$5,FALSE)</f>
        <v>#N/A</v>
      </c>
      <c r="R22" s="19" t="e">
        <f>VLOOKUP($D22,Résultats!$B$2:$AX$476,R$5,FALSE)</f>
        <v>#N/A</v>
      </c>
      <c r="S22" s="111" t="e">
        <f>VLOOKUP($D22,Résultats!$B$2:$AX$476,S$5,FALSE)</f>
        <v>#N/A</v>
      </c>
      <c r="T22" s="120" t="e">
        <f>VLOOKUP($D22,Résultats!$B$2:$AX$476,T$5,FALSE)</f>
        <v>#N/A</v>
      </c>
      <c r="U22" s="120" t="e">
        <f>VLOOKUP($D22,Résultats!$B$2:$AX$476,U$5,FALSE)</f>
        <v>#N/A</v>
      </c>
      <c r="V22" s="120" t="e">
        <f>VLOOKUP($D22,Résultats!$B$2:$AX$476,V$5,FALSE)</f>
        <v>#N/A</v>
      </c>
      <c r="W22" s="120" t="e">
        <f>VLOOKUP($D22,Résultats!$B$2:$AX$476,W$5,FALSE)</f>
        <v>#N/A</v>
      </c>
      <c r="X22" s="3"/>
      <c r="Y22" s="34"/>
      <c r="Z22" s="34"/>
      <c r="AA22" s="34"/>
    </row>
    <row r="23" spans="1:39" x14ac:dyDescent="0.25">
      <c r="A23" s="3"/>
      <c r="B23" s="273"/>
      <c r="C23" s="3" t="s">
        <v>16</v>
      </c>
      <c r="D23" s="3" t="s">
        <v>125</v>
      </c>
      <c r="E23" s="19" t="e">
        <f>VLOOKUP($D23,Résultats!$B$2:$AX$476,E$5,FALSE)</f>
        <v>#N/A</v>
      </c>
      <c r="F23" s="19" t="e">
        <f>VLOOKUP($D23,Résultats!$B$2:$AX$476,F$5,FALSE)</f>
        <v>#N/A</v>
      </c>
      <c r="G23" s="28" t="e">
        <f>VLOOKUP($D23,Résultats!$B$2:$AX$476,G$5,FALSE)</f>
        <v>#N/A</v>
      </c>
      <c r="H23" s="19" t="e">
        <f>VLOOKUP($D23,Résultats!$B$2:$AX$476,H$5,FALSE)</f>
        <v>#N/A</v>
      </c>
      <c r="I23" s="111" t="e">
        <f>VLOOKUP($D23,Résultats!$B$2:$AX$476,I$5,FALSE)</f>
        <v>#N/A</v>
      </c>
      <c r="J23" s="28" t="e">
        <f>VLOOKUP($D23,Résultats!$B$2:$AX$476,J$5,FALSE)</f>
        <v>#N/A</v>
      </c>
      <c r="K23" s="19" t="e">
        <f>VLOOKUP($D23,Résultats!$B$2:$AX$476,K$5,FALSE)</f>
        <v>#N/A</v>
      </c>
      <c r="L23" s="19" t="e">
        <f>VLOOKUP($D23,Résultats!$B$2:$AX$476,L$5,FALSE)</f>
        <v>#N/A</v>
      </c>
      <c r="M23" s="19" t="e">
        <f>VLOOKUP($D23,Résultats!$B$2:$AX$476,M$5,FALSE)</f>
        <v>#N/A</v>
      </c>
      <c r="N23" s="111" t="e">
        <f>VLOOKUP($D23,Résultats!$B$2:$AX$476,N$5,FALSE)</f>
        <v>#N/A</v>
      </c>
      <c r="O23" s="28" t="e">
        <f>VLOOKUP($D23,Résultats!$B$2:$AX$476,O$5,FALSE)</f>
        <v>#N/A</v>
      </c>
      <c r="P23" s="19" t="e">
        <f>VLOOKUP($D23,Résultats!$B$2:$AX$476,P$5,FALSE)</f>
        <v>#N/A</v>
      </c>
      <c r="Q23" s="19" t="e">
        <f>VLOOKUP($D23,Résultats!$B$2:$AX$476,Q$5,FALSE)</f>
        <v>#N/A</v>
      </c>
      <c r="R23" s="19" t="e">
        <f>VLOOKUP($D23,Résultats!$B$2:$AX$476,R$5,FALSE)</f>
        <v>#N/A</v>
      </c>
      <c r="S23" s="111" t="e">
        <f>VLOOKUP($D23,Résultats!$B$2:$AX$476,S$5,FALSE)</f>
        <v>#N/A</v>
      </c>
      <c r="T23" s="120" t="e">
        <f>VLOOKUP($D23,Résultats!$B$2:$AX$476,T$5,FALSE)</f>
        <v>#N/A</v>
      </c>
      <c r="U23" s="120" t="e">
        <f>VLOOKUP($D23,Résultats!$B$2:$AX$476,U$5,FALSE)</f>
        <v>#N/A</v>
      </c>
      <c r="V23" s="120" t="e">
        <f>VLOOKUP($D23,Résultats!$B$2:$AX$476,V$5,FALSE)</f>
        <v>#N/A</v>
      </c>
      <c r="W23" s="120" t="e">
        <f>VLOOKUP($D23,Résultats!$B$2:$AX$476,W$5,FALSE)</f>
        <v>#N/A</v>
      </c>
      <c r="X23" s="3"/>
      <c r="Y23" s="34"/>
      <c r="Z23" s="34"/>
      <c r="AA23" s="34"/>
    </row>
    <row r="24" spans="1:39" x14ac:dyDescent="0.25">
      <c r="A24" s="3"/>
      <c r="B24" s="273"/>
      <c r="C24" s="3" t="s">
        <v>17</v>
      </c>
      <c r="D24" s="3" t="s">
        <v>126</v>
      </c>
      <c r="E24" s="19" t="e">
        <f>VLOOKUP($D24,Résultats!$B$2:$AX$476,E$5,FALSE)</f>
        <v>#N/A</v>
      </c>
      <c r="F24" s="19" t="e">
        <f>VLOOKUP($D24,Résultats!$B$2:$AX$476,F$5,FALSE)</f>
        <v>#N/A</v>
      </c>
      <c r="G24" s="28" t="e">
        <f>VLOOKUP($D24,Résultats!$B$2:$AX$476,G$5,FALSE)</f>
        <v>#N/A</v>
      </c>
      <c r="H24" s="19" t="e">
        <f>VLOOKUP($D24,Résultats!$B$2:$AX$476,H$5,FALSE)</f>
        <v>#N/A</v>
      </c>
      <c r="I24" s="111" t="e">
        <f>VLOOKUP($D24,Résultats!$B$2:$AX$476,I$5,FALSE)</f>
        <v>#N/A</v>
      </c>
      <c r="J24" s="28" t="e">
        <f>VLOOKUP($D24,Résultats!$B$2:$AX$476,J$5,FALSE)</f>
        <v>#N/A</v>
      </c>
      <c r="K24" s="19" t="e">
        <f>VLOOKUP($D24,Résultats!$B$2:$AX$476,K$5,FALSE)</f>
        <v>#N/A</v>
      </c>
      <c r="L24" s="19" t="e">
        <f>VLOOKUP($D24,Résultats!$B$2:$AX$476,L$5,FALSE)</f>
        <v>#N/A</v>
      </c>
      <c r="M24" s="19" t="e">
        <f>VLOOKUP($D24,Résultats!$B$2:$AX$476,M$5,FALSE)</f>
        <v>#N/A</v>
      </c>
      <c r="N24" s="111" t="e">
        <f>VLOOKUP($D24,Résultats!$B$2:$AX$476,N$5,FALSE)</f>
        <v>#N/A</v>
      </c>
      <c r="O24" s="28" t="e">
        <f>VLOOKUP($D24,Résultats!$B$2:$AX$476,O$5,FALSE)</f>
        <v>#N/A</v>
      </c>
      <c r="P24" s="19" t="e">
        <f>VLOOKUP($D24,Résultats!$B$2:$AX$476,P$5,FALSE)</f>
        <v>#N/A</v>
      </c>
      <c r="Q24" s="19" t="e">
        <f>VLOOKUP($D24,Résultats!$B$2:$AX$476,Q$5,FALSE)</f>
        <v>#N/A</v>
      </c>
      <c r="R24" s="19" t="e">
        <f>VLOOKUP($D24,Résultats!$B$2:$AX$476,R$5,FALSE)</f>
        <v>#N/A</v>
      </c>
      <c r="S24" s="111" t="e">
        <f>VLOOKUP($D24,Résultats!$B$2:$AX$476,S$5,FALSE)</f>
        <v>#N/A</v>
      </c>
      <c r="T24" s="120" t="e">
        <f>VLOOKUP($D24,Résultats!$B$2:$AX$476,T$5,FALSE)</f>
        <v>#N/A</v>
      </c>
      <c r="U24" s="120" t="e">
        <f>VLOOKUP($D24,Résultats!$B$2:$AX$476,U$5,FALSE)</f>
        <v>#N/A</v>
      </c>
      <c r="V24" s="120" t="e">
        <f>VLOOKUP($D24,Résultats!$B$2:$AX$476,V$5,FALSE)</f>
        <v>#N/A</v>
      </c>
      <c r="W24" s="120" t="e">
        <f>VLOOKUP($D24,Résultats!$B$2:$AX$476,W$5,FALSE)</f>
        <v>#N/A</v>
      </c>
      <c r="X24" s="3"/>
      <c r="Y24" s="34"/>
      <c r="Z24" s="34"/>
      <c r="AA24" s="34"/>
    </row>
    <row r="25" spans="1:39" x14ac:dyDescent="0.25">
      <c r="A25" s="3"/>
      <c r="B25" s="274"/>
      <c r="C25" s="7" t="s">
        <v>12</v>
      </c>
      <c r="D25" s="3" t="s">
        <v>127</v>
      </c>
      <c r="E25" s="20" t="e">
        <f>VLOOKUP($D25,Résultats!$B$2:$AX$476,E$5,FALSE)</f>
        <v>#N/A</v>
      </c>
      <c r="F25" s="20" t="e">
        <f>VLOOKUP($D25,Résultats!$B$2:$AX$476,F$5,FALSE)</f>
        <v>#N/A</v>
      </c>
      <c r="G25" s="113" t="e">
        <f>VLOOKUP($D25,Résultats!$B$2:$AX$476,G$5,FALSE)</f>
        <v>#N/A</v>
      </c>
      <c r="H25" s="20" t="e">
        <f>VLOOKUP($D25,Résultats!$B$2:$AX$476,H$5,FALSE)</f>
        <v>#N/A</v>
      </c>
      <c r="I25" s="114" t="e">
        <f>VLOOKUP($D25,Résultats!$B$2:$AX$476,I$5,FALSE)</f>
        <v>#N/A</v>
      </c>
      <c r="J25" s="113" t="e">
        <f>VLOOKUP($D25,Résultats!$B$2:$AX$476,J$5,FALSE)</f>
        <v>#N/A</v>
      </c>
      <c r="K25" s="20" t="e">
        <f>VLOOKUP($D25,Résultats!$B$2:$AX$476,K$5,FALSE)</f>
        <v>#N/A</v>
      </c>
      <c r="L25" s="20" t="e">
        <f>VLOOKUP($D25,Résultats!$B$2:$AX$476,L$5,FALSE)</f>
        <v>#N/A</v>
      </c>
      <c r="M25" s="20" t="e">
        <f>VLOOKUP($D25,Résultats!$B$2:$AX$476,M$5,FALSE)</f>
        <v>#N/A</v>
      </c>
      <c r="N25" s="114" t="e">
        <f>VLOOKUP($D25,Résultats!$B$2:$AX$476,N$5,FALSE)</f>
        <v>#N/A</v>
      </c>
      <c r="O25" s="113" t="e">
        <f>VLOOKUP($D25,Résultats!$B$2:$AX$476,O$5,FALSE)</f>
        <v>#N/A</v>
      </c>
      <c r="P25" s="20" t="e">
        <f>VLOOKUP($D25,Résultats!$B$2:$AX$476,P$5,FALSE)</f>
        <v>#N/A</v>
      </c>
      <c r="Q25" s="20" t="e">
        <f>VLOOKUP($D25,Résultats!$B$2:$AX$476,Q$5,FALSE)</f>
        <v>#N/A</v>
      </c>
      <c r="R25" s="20" t="e">
        <f>VLOOKUP($D25,Résultats!$B$2:$AX$476,R$5,FALSE)</f>
        <v>#N/A</v>
      </c>
      <c r="S25" s="114" t="e">
        <f>VLOOKUP($D25,Résultats!$B$2:$AX$476,S$5,FALSE)</f>
        <v>#N/A</v>
      </c>
      <c r="T25" s="122" t="e">
        <f>VLOOKUP($D25,Résultats!$B$2:$AX$476,T$5,FALSE)</f>
        <v>#N/A</v>
      </c>
      <c r="U25" s="122" t="e">
        <f>VLOOKUP($D25,Résultats!$B$2:$AX$476,U$5,FALSE)</f>
        <v>#N/A</v>
      </c>
      <c r="V25" s="122" t="e">
        <f>VLOOKUP($D25,Résultats!$B$2:$AX$476,V$5,FALSE)</f>
        <v>#N/A</v>
      </c>
      <c r="W25" s="122" t="e">
        <f>VLOOKUP($D25,Résultats!$B$2:$AX$476,W$5,FALSE)</f>
        <v>#N/A</v>
      </c>
      <c r="X25" s="3"/>
      <c r="Y25" s="34"/>
      <c r="Z25" s="34"/>
      <c r="AA25" s="34"/>
    </row>
    <row r="26" spans="1:39" x14ac:dyDescent="0.25">
      <c r="A26" s="3"/>
      <c r="B26" s="207" t="s">
        <v>8</v>
      </c>
      <c r="C26" s="2"/>
      <c r="D26" s="17" t="s">
        <v>128</v>
      </c>
      <c r="E26" s="6" t="e">
        <f>VLOOKUP($D26,Résultats!$B$2:$AX$476,E$5,FALSE)</f>
        <v>#N/A</v>
      </c>
      <c r="F26" s="6" t="e">
        <f>VLOOKUP($D26,Résultats!$B$2:$AX$476,F$5,FALSE)</f>
        <v>#N/A</v>
      </c>
      <c r="G26" s="109" t="e">
        <f>VLOOKUP($D26,Résultats!$B$2:$AX$476,G$5,FALSE)</f>
        <v>#N/A</v>
      </c>
      <c r="H26" s="6" t="e">
        <f>VLOOKUP($D26,Résultats!$B$2:$AX$476,H$5,FALSE)</f>
        <v>#N/A</v>
      </c>
      <c r="I26" s="110" t="e">
        <f>VLOOKUP($D26,Résultats!$B$2:$AX$476,I$5,FALSE)</f>
        <v>#N/A</v>
      </c>
      <c r="J26" s="109" t="e">
        <f>VLOOKUP($D26,Résultats!$B$2:$AX$476,J$5,FALSE)</f>
        <v>#N/A</v>
      </c>
      <c r="K26" s="6" t="e">
        <f>VLOOKUP($D26,Résultats!$B$2:$AX$476,K$5,FALSE)</f>
        <v>#N/A</v>
      </c>
      <c r="L26" s="6" t="e">
        <f>VLOOKUP($D26,Résultats!$B$2:$AX$476,L$5,FALSE)</f>
        <v>#N/A</v>
      </c>
      <c r="M26" s="6" t="e">
        <f>VLOOKUP($D26,Résultats!$B$2:$AX$476,M$5,FALSE)</f>
        <v>#N/A</v>
      </c>
      <c r="N26" s="110" t="e">
        <f>VLOOKUP($D26,Résultats!$B$2:$AX$476,N$5,FALSE)</f>
        <v>#N/A</v>
      </c>
      <c r="O26" s="109" t="e">
        <f>VLOOKUP($D26,Résultats!$B$2:$AX$476,O$5,FALSE)</f>
        <v>#N/A</v>
      </c>
      <c r="P26" s="6" t="e">
        <f>VLOOKUP($D26,Résultats!$B$2:$AX$476,P$5,FALSE)</f>
        <v>#N/A</v>
      </c>
      <c r="Q26" s="6" t="e">
        <f>VLOOKUP($D26,Résultats!$B$2:$AX$476,Q$5,FALSE)</f>
        <v>#N/A</v>
      </c>
      <c r="R26" s="6" t="e">
        <f>VLOOKUP($D26,Résultats!$B$2:$AX$476,R$5,FALSE)</f>
        <v>#N/A</v>
      </c>
      <c r="S26" s="110" t="e">
        <f>VLOOKUP($D26,Résultats!$B$2:$AX$476,S$5,FALSE)</f>
        <v>#N/A</v>
      </c>
      <c r="T26" s="119" t="e">
        <f>VLOOKUP($D26,Résultats!$B$2:$AX$476,T$5,FALSE)</f>
        <v>#N/A</v>
      </c>
      <c r="U26" s="119" t="e">
        <f>VLOOKUP($D26,Résultats!$B$2:$AX$476,U$5,FALSE)</f>
        <v>#N/A</v>
      </c>
      <c r="V26" s="119" t="e">
        <f>VLOOKUP($D26,Résultats!$B$2:$AX$476,V$5,FALSE)</f>
        <v>#N/A</v>
      </c>
      <c r="W26" s="119" t="e">
        <f>VLOOKUP($D26,Résultats!$B$2:$AX$476,W$5,FALSE)</f>
        <v>#N/A</v>
      </c>
      <c r="X26" s="3"/>
      <c r="Y26" s="34"/>
      <c r="Z26" s="34"/>
      <c r="AA26" s="34"/>
    </row>
    <row r="27" spans="1:39" x14ac:dyDescent="0.25">
      <c r="A27" s="3"/>
      <c r="B27" s="206" t="s">
        <v>1</v>
      </c>
      <c r="C27" s="2"/>
      <c r="D27" s="2"/>
      <c r="E27" s="9" t="e">
        <f>E26+E19+E10+E7</f>
        <v>#N/A</v>
      </c>
      <c r="F27" s="9" t="e">
        <f>F26+F19+F10+F7</f>
        <v>#N/A</v>
      </c>
      <c r="G27" s="29" t="e">
        <f t="shared" ref="G27:R27" si="4">G26+G19+G10+G7</f>
        <v>#N/A</v>
      </c>
      <c r="H27" s="9" t="e">
        <f t="shared" si="4"/>
        <v>#N/A</v>
      </c>
      <c r="I27" s="115" t="e">
        <f t="shared" si="4"/>
        <v>#N/A</v>
      </c>
      <c r="J27" s="29" t="e">
        <f t="shared" si="4"/>
        <v>#N/A</v>
      </c>
      <c r="K27" s="9" t="e">
        <f t="shared" si="4"/>
        <v>#N/A</v>
      </c>
      <c r="L27" s="9" t="e">
        <f t="shared" si="4"/>
        <v>#N/A</v>
      </c>
      <c r="M27" s="9" t="e">
        <f t="shared" si="4"/>
        <v>#N/A</v>
      </c>
      <c r="N27" s="115" t="e">
        <f t="shared" si="4"/>
        <v>#N/A</v>
      </c>
      <c r="O27" s="29" t="e">
        <f t="shared" si="4"/>
        <v>#N/A</v>
      </c>
      <c r="P27" s="9" t="e">
        <f t="shared" si="4"/>
        <v>#N/A</v>
      </c>
      <c r="Q27" s="9" t="e">
        <f t="shared" si="4"/>
        <v>#N/A</v>
      </c>
      <c r="R27" s="9" t="e">
        <f t="shared" si="4"/>
        <v>#N/A</v>
      </c>
      <c r="S27" s="115" t="e">
        <f>S26+S19+S10+S7</f>
        <v>#N/A</v>
      </c>
      <c r="T27" s="123" t="e">
        <f>T26+T19+T10+T7</f>
        <v>#N/A</v>
      </c>
      <c r="U27" s="123" t="e">
        <f>U26+U19+U10+U7</f>
        <v>#N/A</v>
      </c>
      <c r="V27" s="123" t="e">
        <f>V26+V19+V10+V7</f>
        <v>#N/A</v>
      </c>
      <c r="W27" s="123" t="e">
        <f>W26+W19+W10+W7</f>
        <v>#N/A</v>
      </c>
      <c r="X27" s="3"/>
      <c r="Y27" s="34"/>
      <c r="Z27" s="34"/>
      <c r="AA27" s="34"/>
    </row>
    <row r="28" spans="1:39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39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39" ht="21" x14ac:dyDescent="0.35">
      <c r="A30" s="226" t="s">
        <v>200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39" ht="23.25" x14ac:dyDescent="0.35">
      <c r="A31" s="194" t="str">
        <f>Résultats!B1</f>
        <v>TEND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Z31" s="51" t="s">
        <v>209</v>
      </c>
      <c r="AA31" s="51"/>
      <c r="AB31" s="51"/>
      <c r="AC31" s="53"/>
      <c r="AE31" s="51" t="s">
        <v>212</v>
      </c>
      <c r="AF31" s="51"/>
      <c r="AG31" s="51"/>
      <c r="AH31" s="53"/>
      <c r="AJ31" s="51" t="s">
        <v>213</v>
      </c>
      <c r="AK31" s="51"/>
      <c r="AL31" s="51"/>
      <c r="AM31" s="53"/>
    </row>
    <row r="32" spans="1:39" x14ac:dyDescent="0.25">
      <c r="A32" s="3"/>
      <c r="B32" s="205"/>
      <c r="C32" s="2"/>
      <c r="D32" s="18"/>
      <c r="E32" s="4">
        <v>2006</v>
      </c>
      <c r="F32" s="4">
        <v>2015</v>
      </c>
      <c r="G32" s="26">
        <v>2018</v>
      </c>
      <c r="H32" s="33">
        <v>2019</v>
      </c>
      <c r="I32" s="108">
        <v>2020</v>
      </c>
      <c r="J32" s="116">
        <v>2021</v>
      </c>
      <c r="K32" s="33">
        <v>2022</v>
      </c>
      <c r="L32" s="33">
        <v>2023</v>
      </c>
      <c r="M32" s="33">
        <v>2024</v>
      </c>
      <c r="N32" s="108">
        <v>2025</v>
      </c>
      <c r="O32" s="116">
        <v>2026</v>
      </c>
      <c r="P32" s="33">
        <v>2027</v>
      </c>
      <c r="Q32" s="33">
        <v>2028</v>
      </c>
      <c r="R32" s="33">
        <v>2029</v>
      </c>
      <c r="S32" s="117">
        <v>2030</v>
      </c>
      <c r="T32" s="118">
        <v>2035</v>
      </c>
      <c r="U32" s="118">
        <v>2040</v>
      </c>
      <c r="V32" s="118">
        <v>2045</v>
      </c>
      <c r="W32" s="118">
        <v>2050</v>
      </c>
      <c r="X32" s="3"/>
      <c r="Z32" s="208"/>
      <c r="AA32" s="209">
        <v>2020</v>
      </c>
      <c r="AB32" s="209">
        <v>2030</v>
      </c>
      <c r="AC32" s="210">
        <v>2050</v>
      </c>
      <c r="AE32" s="208"/>
      <c r="AF32" s="209">
        <v>2020</v>
      </c>
      <c r="AG32" s="209">
        <v>2030</v>
      </c>
      <c r="AH32" s="210">
        <v>2050</v>
      </c>
      <c r="AJ32" s="208"/>
      <c r="AK32" s="209">
        <v>2020</v>
      </c>
      <c r="AL32" s="209">
        <v>2030</v>
      </c>
      <c r="AM32" s="210">
        <v>2050</v>
      </c>
    </row>
    <row r="33" spans="1:39" x14ac:dyDescent="0.25">
      <c r="A33" s="3"/>
      <c r="B33" s="272" t="s">
        <v>0</v>
      </c>
      <c r="C33" s="5" t="s">
        <v>1</v>
      </c>
      <c r="D33" s="2" t="s">
        <v>89</v>
      </c>
      <c r="E33" s="6" t="e">
        <f>SUM(E34:E35)</f>
        <v>#N/A</v>
      </c>
      <c r="F33" s="6" t="e">
        <f>SUM(F34:F35)</f>
        <v>#N/A</v>
      </c>
      <c r="G33" s="109" t="e">
        <f t="shared" ref="G33:R33" si="5">SUM(G34:G35)</f>
        <v>#N/A</v>
      </c>
      <c r="H33" s="6" t="e">
        <f t="shared" si="5"/>
        <v>#N/A</v>
      </c>
      <c r="I33" s="110" t="e">
        <f t="shared" si="5"/>
        <v>#N/A</v>
      </c>
      <c r="J33" s="109" t="e">
        <f t="shared" si="5"/>
        <v>#N/A</v>
      </c>
      <c r="K33" s="6" t="e">
        <f t="shared" si="5"/>
        <v>#N/A</v>
      </c>
      <c r="L33" s="6" t="e">
        <f t="shared" si="5"/>
        <v>#N/A</v>
      </c>
      <c r="M33" s="6" t="e">
        <f t="shared" si="5"/>
        <v>#N/A</v>
      </c>
      <c r="N33" s="110" t="e">
        <f t="shared" si="5"/>
        <v>#N/A</v>
      </c>
      <c r="O33" s="109" t="e">
        <f t="shared" si="5"/>
        <v>#N/A</v>
      </c>
      <c r="P33" s="6" t="e">
        <f t="shared" si="5"/>
        <v>#N/A</v>
      </c>
      <c r="Q33" s="6" t="e">
        <f t="shared" si="5"/>
        <v>#N/A</v>
      </c>
      <c r="R33" s="6" t="e">
        <f t="shared" si="5"/>
        <v>#N/A</v>
      </c>
      <c r="S33" s="110" t="e">
        <f>SUM(S34:S35)</f>
        <v>#N/A</v>
      </c>
      <c r="T33" s="119" t="e">
        <f>SUM(T34:T35)</f>
        <v>#N/A</v>
      </c>
      <c r="U33" s="119" t="e">
        <f>SUM(U34:U35)</f>
        <v>#N/A</v>
      </c>
      <c r="V33" s="119" t="e">
        <f>SUM(V34:V35)</f>
        <v>#N/A</v>
      </c>
      <c r="W33" s="119" t="e">
        <f>SUM(W34:W35)</f>
        <v>#N/A</v>
      </c>
      <c r="X33" s="3"/>
      <c r="Z33" s="211" t="s">
        <v>42</v>
      </c>
      <c r="AA33" s="220" t="e">
        <f>(I38+I40)/I36</f>
        <v>#N/A</v>
      </c>
      <c r="AB33" s="220" t="e">
        <f>(S38+S40)/S36</f>
        <v>#N/A</v>
      </c>
      <c r="AC33" s="221" t="e">
        <f>(W38+W40)/W36</f>
        <v>#N/A</v>
      </c>
      <c r="AE33" s="211" t="s">
        <v>214</v>
      </c>
      <c r="AF33" s="220" t="e">
        <f>I34/I33</f>
        <v>#N/A</v>
      </c>
      <c r="AG33" s="220" t="e">
        <f>S34/S33</f>
        <v>#N/A</v>
      </c>
      <c r="AH33" s="221" t="e">
        <f>W34/W33</f>
        <v>#N/A</v>
      </c>
      <c r="AJ33" s="211" t="s">
        <v>148</v>
      </c>
      <c r="AK33" s="220" t="e">
        <f>I46/(I46+I48)</f>
        <v>#N/A</v>
      </c>
      <c r="AL33" s="220" t="e">
        <f>S46/(S46+S48)</f>
        <v>#N/A</v>
      </c>
      <c r="AM33" s="221" t="e">
        <f>W46/(W46+W48)</f>
        <v>#N/A</v>
      </c>
    </row>
    <row r="34" spans="1:39" x14ac:dyDescent="0.25">
      <c r="A34" s="3"/>
      <c r="B34" s="273"/>
      <c r="C34" s="3" t="s">
        <v>2</v>
      </c>
      <c r="D34" s="18" t="s">
        <v>104</v>
      </c>
      <c r="E34" s="19" t="e">
        <f>VLOOKUP($D34,Résultats!$B$2:$AX$476,E$5,FALSE)</f>
        <v>#N/A</v>
      </c>
      <c r="F34" s="19" t="e">
        <f>VLOOKUP($D34,Résultats!$B$2:$AX$476,F$5,FALSE)</f>
        <v>#N/A</v>
      </c>
      <c r="G34" s="28" t="e">
        <f>VLOOKUP($D34,Résultats!$B$2:$AX$476,G$5,FALSE)</f>
        <v>#N/A</v>
      </c>
      <c r="H34" s="19" t="e">
        <f>VLOOKUP($D34,Résultats!$B$2:$AX$476,H$5,FALSE)</f>
        <v>#N/A</v>
      </c>
      <c r="I34" s="111" t="e">
        <f>VLOOKUP($D34,Résultats!$B$2:$AX$476,I$5,FALSE)</f>
        <v>#N/A</v>
      </c>
      <c r="J34" s="28" t="e">
        <f>VLOOKUP($D34,Résultats!$B$2:$AX$476,J$5,FALSE)</f>
        <v>#N/A</v>
      </c>
      <c r="K34" s="19" t="e">
        <f>VLOOKUP($D34,Résultats!$B$2:$AX$476,K$5,FALSE)</f>
        <v>#N/A</v>
      </c>
      <c r="L34" s="19" t="e">
        <f>VLOOKUP($D34,Résultats!$B$2:$AX$476,L$5,FALSE)</f>
        <v>#N/A</v>
      </c>
      <c r="M34" s="19" t="e">
        <f>VLOOKUP($D34,Résultats!$B$2:$AX$476,M$5,FALSE)</f>
        <v>#N/A</v>
      </c>
      <c r="N34" s="111" t="e">
        <f>VLOOKUP($D34,Résultats!$B$2:$AX$476,N$5,FALSE)</f>
        <v>#N/A</v>
      </c>
      <c r="O34" s="28" t="e">
        <f>VLOOKUP($D34,Résultats!$B$2:$AX$476,O$5,FALSE)</f>
        <v>#N/A</v>
      </c>
      <c r="P34" s="19" t="e">
        <f>VLOOKUP($D34,Résultats!$B$2:$AX$476,P$5,FALSE)</f>
        <v>#N/A</v>
      </c>
      <c r="Q34" s="19" t="e">
        <f>VLOOKUP($D34,Résultats!$B$2:$AX$476,Q$5,FALSE)</f>
        <v>#N/A</v>
      </c>
      <c r="R34" s="19" t="e">
        <f>VLOOKUP($D34,Résultats!$B$2:$AX$476,R$5,FALSE)</f>
        <v>#N/A</v>
      </c>
      <c r="S34" s="111" t="e">
        <f>VLOOKUP($D34,Résultats!$B$2:$AX$476,S$5,FALSE)</f>
        <v>#N/A</v>
      </c>
      <c r="T34" s="120" t="e">
        <f>VLOOKUP($D34,Résultats!$B$2:$AX$476,T$5,FALSE)</f>
        <v>#N/A</v>
      </c>
      <c r="U34" s="120" t="e">
        <f>VLOOKUP($D34,Résultats!$B$2:$AX$476,U$5,FALSE)</f>
        <v>#N/A</v>
      </c>
      <c r="V34" s="120" t="e">
        <f>VLOOKUP($D34,Résultats!$B$2:$AX$476,V$5,FALSE)</f>
        <v>#N/A</v>
      </c>
      <c r="W34" s="120" t="e">
        <f>VLOOKUP($D34,Résultats!$B$2:$AX$476,W$5,FALSE)</f>
        <v>#N/A</v>
      </c>
      <c r="X34" s="3"/>
      <c r="Z34" s="211" t="s">
        <v>143</v>
      </c>
      <c r="AA34" s="220" t="e">
        <f>I37/I36</f>
        <v>#N/A</v>
      </c>
      <c r="AB34" s="220" t="e">
        <f>S37/S36</f>
        <v>#N/A</v>
      </c>
      <c r="AC34" s="221" t="e">
        <f>W37/W36</f>
        <v>#N/A</v>
      </c>
      <c r="AE34" s="213" t="s">
        <v>147</v>
      </c>
      <c r="AF34" s="222" t="e">
        <f>I35/I33</f>
        <v>#N/A</v>
      </c>
      <c r="AG34" s="222" t="e">
        <f>S35/S33</f>
        <v>#N/A</v>
      </c>
      <c r="AH34" s="223" t="e">
        <f>W35/W33</f>
        <v>#N/A</v>
      </c>
      <c r="AJ34" s="213" t="s">
        <v>149</v>
      </c>
      <c r="AK34" s="222" t="e">
        <f>I48/(I46+I48)</f>
        <v>#N/A</v>
      </c>
      <c r="AL34" s="222" t="e">
        <f>S48/(S46+S48)</f>
        <v>#N/A</v>
      </c>
      <c r="AM34" s="223" t="e">
        <f>W48/(W46+W48)</f>
        <v>#N/A</v>
      </c>
    </row>
    <row r="35" spans="1:39" x14ac:dyDescent="0.25">
      <c r="A35" s="3"/>
      <c r="B35" s="274"/>
      <c r="C35" s="7" t="s">
        <v>3</v>
      </c>
      <c r="D35" s="3" t="s">
        <v>105</v>
      </c>
      <c r="E35" s="19" t="e">
        <f>VLOOKUP($D35,Résultats!$B$2:$AX$476,E$5,FALSE)</f>
        <v>#N/A</v>
      </c>
      <c r="F35" s="19" t="e">
        <f>VLOOKUP($D35,Résultats!$B$2:$AX$476,F$5,FALSE)</f>
        <v>#N/A</v>
      </c>
      <c r="G35" s="28" t="e">
        <f>VLOOKUP($D35,Résultats!$B$2:$AX$476,G$5,FALSE)</f>
        <v>#N/A</v>
      </c>
      <c r="H35" s="19" t="e">
        <f>VLOOKUP($D35,Résultats!$B$2:$AX$476,H$5,FALSE)</f>
        <v>#N/A</v>
      </c>
      <c r="I35" s="111" t="e">
        <f>VLOOKUP($D35,Résultats!$B$2:$AX$476,I$5,FALSE)</f>
        <v>#N/A</v>
      </c>
      <c r="J35" s="28" t="e">
        <f>VLOOKUP($D35,Résultats!$B$2:$AX$476,J$5,FALSE)</f>
        <v>#N/A</v>
      </c>
      <c r="K35" s="19" t="e">
        <f>VLOOKUP($D35,Résultats!$B$2:$AX$476,K$5,FALSE)</f>
        <v>#N/A</v>
      </c>
      <c r="L35" s="19" t="e">
        <f>VLOOKUP($D35,Résultats!$B$2:$AX$476,L$5,FALSE)</f>
        <v>#N/A</v>
      </c>
      <c r="M35" s="19" t="e">
        <f>VLOOKUP($D35,Résultats!$B$2:$AX$476,M$5,FALSE)</f>
        <v>#N/A</v>
      </c>
      <c r="N35" s="111" t="e">
        <f>VLOOKUP($D35,Résultats!$B$2:$AX$476,N$5,FALSE)</f>
        <v>#N/A</v>
      </c>
      <c r="O35" s="28" t="e">
        <f>VLOOKUP($D35,Résultats!$B$2:$AX$476,O$5,FALSE)</f>
        <v>#N/A</v>
      </c>
      <c r="P35" s="19" t="e">
        <f>VLOOKUP($D35,Résultats!$B$2:$AX$476,P$5,FALSE)</f>
        <v>#N/A</v>
      </c>
      <c r="Q35" s="19" t="e">
        <f>VLOOKUP($D35,Résultats!$B$2:$AX$476,Q$5,FALSE)</f>
        <v>#N/A</v>
      </c>
      <c r="R35" s="19" t="e">
        <f>VLOOKUP($D35,Résultats!$B$2:$AX$476,R$5,FALSE)</f>
        <v>#N/A</v>
      </c>
      <c r="S35" s="111" t="e">
        <f>VLOOKUP($D35,Résultats!$B$2:$AX$476,S$5,FALSE)</f>
        <v>#N/A</v>
      </c>
      <c r="T35" s="120" t="e">
        <f>VLOOKUP($D35,Résultats!$B$2:$AX$476,T$5,FALSE)</f>
        <v>#N/A</v>
      </c>
      <c r="U35" s="120" t="e">
        <f>VLOOKUP($D35,Résultats!$B$2:$AX$476,U$5,FALSE)</f>
        <v>#N/A</v>
      </c>
      <c r="V35" s="120" t="e">
        <f>VLOOKUP($D35,Résultats!$B$2:$AX$476,V$5,FALSE)</f>
        <v>#N/A</v>
      </c>
      <c r="W35" s="120" t="e">
        <f>VLOOKUP($D35,Résultats!$B$2:$AX$476,W$5,FALSE)</f>
        <v>#N/A</v>
      </c>
      <c r="X35" s="3"/>
      <c r="Z35" s="211" t="s">
        <v>211</v>
      </c>
      <c r="AA35" s="220" t="e">
        <f>I43/I36</f>
        <v>#N/A</v>
      </c>
      <c r="AB35" s="220" t="e">
        <f>S43/S36</f>
        <v>#N/A</v>
      </c>
      <c r="AC35" s="221" t="e">
        <f>W43/W36</f>
        <v>#N/A</v>
      </c>
      <c r="AE35" s="219" t="s">
        <v>210</v>
      </c>
      <c r="AF35" s="224" t="e">
        <f>SUM(AF33:AF34)</f>
        <v>#N/A</v>
      </c>
      <c r="AG35" s="224" t="e">
        <f t="shared" ref="AG35:AH35" si="6">SUM(AG33:AG34)</f>
        <v>#N/A</v>
      </c>
      <c r="AH35" s="224" t="e">
        <f t="shared" si="6"/>
        <v>#N/A</v>
      </c>
      <c r="AJ35" s="219" t="s">
        <v>210</v>
      </c>
      <c r="AK35" s="224" t="e">
        <f>SUM(AK33:AK34)</f>
        <v>#N/A</v>
      </c>
      <c r="AL35" s="224" t="e">
        <f t="shared" ref="AL35" si="7">SUM(AL33:AL34)</f>
        <v>#N/A</v>
      </c>
      <c r="AM35" s="224" t="e">
        <f t="shared" ref="AM35" si="8">SUM(AM33:AM34)</f>
        <v>#N/A</v>
      </c>
    </row>
    <row r="36" spans="1:39" x14ac:dyDescent="0.25">
      <c r="A36" s="3"/>
      <c r="B36" s="272" t="s">
        <v>4</v>
      </c>
      <c r="C36" s="5" t="s">
        <v>1</v>
      </c>
      <c r="D36" s="2" t="s">
        <v>90</v>
      </c>
      <c r="E36" s="8" t="e">
        <f>SUM(E37:E44)</f>
        <v>#N/A</v>
      </c>
      <c r="F36" s="8" t="e">
        <f>SUM(F37:F44)</f>
        <v>#N/A</v>
      </c>
      <c r="G36" s="27" t="e">
        <f t="shared" ref="G36:R36" si="9">SUM(G37:G44)</f>
        <v>#N/A</v>
      </c>
      <c r="H36" s="8" t="e">
        <f t="shared" si="9"/>
        <v>#N/A</v>
      </c>
      <c r="I36" s="112" t="e">
        <f t="shared" si="9"/>
        <v>#N/A</v>
      </c>
      <c r="J36" s="27" t="e">
        <f t="shared" si="9"/>
        <v>#N/A</v>
      </c>
      <c r="K36" s="8" t="e">
        <f t="shared" si="9"/>
        <v>#N/A</v>
      </c>
      <c r="L36" s="8" t="e">
        <f t="shared" si="9"/>
        <v>#N/A</v>
      </c>
      <c r="M36" s="8" t="e">
        <f t="shared" si="9"/>
        <v>#N/A</v>
      </c>
      <c r="N36" s="112" t="e">
        <f t="shared" si="9"/>
        <v>#N/A</v>
      </c>
      <c r="O36" s="27" t="e">
        <f t="shared" si="9"/>
        <v>#N/A</v>
      </c>
      <c r="P36" s="8" t="e">
        <f t="shared" si="9"/>
        <v>#N/A</v>
      </c>
      <c r="Q36" s="8" t="e">
        <f t="shared" si="9"/>
        <v>#N/A</v>
      </c>
      <c r="R36" s="8" t="e">
        <f t="shared" si="9"/>
        <v>#N/A</v>
      </c>
      <c r="S36" s="112" t="e">
        <f>SUM(S37:S44)</f>
        <v>#N/A</v>
      </c>
      <c r="T36" s="121" t="e">
        <f>SUM(T37:T44)</f>
        <v>#N/A</v>
      </c>
      <c r="U36" s="121" t="e">
        <f>SUM(U37:U44)</f>
        <v>#N/A</v>
      </c>
      <c r="V36" s="121" t="e">
        <f>SUM(V37:V44)</f>
        <v>#N/A</v>
      </c>
      <c r="W36" s="121" t="e">
        <f>SUM(W37:W44)</f>
        <v>#N/A</v>
      </c>
      <c r="X36" s="3"/>
      <c r="Z36" s="211" t="s">
        <v>144</v>
      </c>
      <c r="AA36" s="220" t="e">
        <f>I42/I36</f>
        <v>#N/A</v>
      </c>
      <c r="AB36" s="220" t="e">
        <f>S42/S36</f>
        <v>#N/A</v>
      </c>
      <c r="AC36" s="221" t="e">
        <f>W42/W36</f>
        <v>#N/A</v>
      </c>
    </row>
    <row r="37" spans="1:39" x14ac:dyDescent="0.25">
      <c r="A37" s="3"/>
      <c r="B37" s="273"/>
      <c r="C37" s="3" t="s">
        <v>5</v>
      </c>
      <c r="D37" s="3" t="s">
        <v>96</v>
      </c>
      <c r="E37" s="19" t="e">
        <f>VLOOKUP($D37,Résultats!$B$2:$AX$476,E$5,FALSE)</f>
        <v>#N/A</v>
      </c>
      <c r="F37" s="19" t="e">
        <f>VLOOKUP($D37,Résultats!$B$2:$AX$476,F$5,FALSE)</f>
        <v>#N/A</v>
      </c>
      <c r="G37" s="28" t="e">
        <f>VLOOKUP($D37,Résultats!$B$2:$AX$476,G$5,FALSE)</f>
        <v>#N/A</v>
      </c>
      <c r="H37" s="19" t="e">
        <f>VLOOKUP($D37,Résultats!$B$2:$AX$476,H$5,FALSE)</f>
        <v>#N/A</v>
      </c>
      <c r="I37" s="111" t="e">
        <f>VLOOKUP($D37,Résultats!$B$2:$AX$476,I$5,FALSE)</f>
        <v>#N/A</v>
      </c>
      <c r="J37" s="28" t="e">
        <f>VLOOKUP($D37,Résultats!$B$2:$AX$476,J$5,FALSE)</f>
        <v>#N/A</v>
      </c>
      <c r="K37" s="19" t="e">
        <f>VLOOKUP($D37,Résultats!$B$2:$AX$476,K$5,FALSE)</f>
        <v>#N/A</v>
      </c>
      <c r="L37" s="19" t="e">
        <f>VLOOKUP($D37,Résultats!$B$2:$AX$476,L$5,FALSE)</f>
        <v>#N/A</v>
      </c>
      <c r="M37" s="19" t="e">
        <f>VLOOKUP($D37,Résultats!$B$2:$AX$476,M$5,FALSE)</f>
        <v>#N/A</v>
      </c>
      <c r="N37" s="111" t="e">
        <f>VLOOKUP($D37,Résultats!$B$2:$AX$476,N$5,FALSE)</f>
        <v>#N/A</v>
      </c>
      <c r="O37" s="28" t="e">
        <f>VLOOKUP($D37,Résultats!$B$2:$AX$476,O$5,FALSE)</f>
        <v>#N/A</v>
      </c>
      <c r="P37" s="19" t="e">
        <f>VLOOKUP($D37,Résultats!$B$2:$AX$476,P$5,FALSE)</f>
        <v>#N/A</v>
      </c>
      <c r="Q37" s="19" t="e">
        <f>VLOOKUP($D37,Résultats!$B$2:$AX$476,Q$5,FALSE)</f>
        <v>#N/A</v>
      </c>
      <c r="R37" s="19" t="e">
        <f>VLOOKUP($D37,Résultats!$B$2:$AX$476,R$5,FALSE)</f>
        <v>#N/A</v>
      </c>
      <c r="S37" s="111" t="e">
        <f>VLOOKUP($D37,Résultats!$B$2:$AX$476,S$5,FALSE)</f>
        <v>#N/A</v>
      </c>
      <c r="T37" s="120" t="e">
        <f>VLOOKUP($D37,Résultats!$B$2:$AX$476,T$5,FALSE)</f>
        <v>#N/A</v>
      </c>
      <c r="U37" s="120" t="e">
        <f>VLOOKUP($D37,Résultats!$B$2:$AX$476,U$5,FALSE)</f>
        <v>#N/A</v>
      </c>
      <c r="V37" s="120" t="e">
        <f>VLOOKUP($D37,Résultats!$B$2:$AX$476,V$5,FALSE)</f>
        <v>#N/A</v>
      </c>
      <c r="W37" s="120" t="e">
        <f>VLOOKUP($D37,Résultats!$B$2:$AX$476,W$5,FALSE)</f>
        <v>#N/A</v>
      </c>
      <c r="X37" s="3"/>
      <c r="Z37" s="211" t="s">
        <v>145</v>
      </c>
      <c r="AA37" s="220" t="e">
        <f>I41/I36</f>
        <v>#N/A</v>
      </c>
      <c r="AB37" s="220" t="e">
        <f>S41/S36</f>
        <v>#N/A</v>
      </c>
      <c r="AC37" s="221" t="e">
        <f>W41/W36</f>
        <v>#N/A</v>
      </c>
    </row>
    <row r="38" spans="1:39" x14ac:dyDescent="0.25">
      <c r="A38" s="3"/>
      <c r="B38" s="273"/>
      <c r="C38" s="3" t="s">
        <v>6</v>
      </c>
      <c r="D38" s="3" t="s">
        <v>97</v>
      </c>
      <c r="E38" s="19" t="e">
        <f>VLOOKUP($D38,Résultats!$B$2:$AX$476,E$5,FALSE)</f>
        <v>#N/A</v>
      </c>
      <c r="F38" s="19" t="e">
        <f>VLOOKUP($D38,Résultats!$B$2:$AX$476,F$5,FALSE)</f>
        <v>#N/A</v>
      </c>
      <c r="G38" s="28" t="e">
        <f>VLOOKUP($D38,Résultats!$B$2:$AX$476,G$5,FALSE)</f>
        <v>#N/A</v>
      </c>
      <c r="H38" s="19" t="e">
        <f>VLOOKUP($D38,Résultats!$B$2:$AX$476,H$5,FALSE)</f>
        <v>#N/A</v>
      </c>
      <c r="I38" s="111" t="e">
        <f>VLOOKUP($D38,Résultats!$B$2:$AX$476,I$5,FALSE)</f>
        <v>#N/A</v>
      </c>
      <c r="J38" s="28" t="e">
        <f>VLOOKUP($D38,Résultats!$B$2:$AX$476,J$5,FALSE)</f>
        <v>#N/A</v>
      </c>
      <c r="K38" s="19" t="e">
        <f>VLOOKUP($D38,Résultats!$B$2:$AX$476,K$5,FALSE)</f>
        <v>#N/A</v>
      </c>
      <c r="L38" s="19" t="e">
        <f>VLOOKUP($D38,Résultats!$B$2:$AX$476,L$5,FALSE)</f>
        <v>#N/A</v>
      </c>
      <c r="M38" s="19" t="e">
        <f>VLOOKUP($D38,Résultats!$B$2:$AX$476,M$5,FALSE)</f>
        <v>#N/A</v>
      </c>
      <c r="N38" s="111" t="e">
        <f>VLOOKUP($D38,Résultats!$B$2:$AX$476,N$5,FALSE)</f>
        <v>#N/A</v>
      </c>
      <c r="O38" s="28" t="e">
        <f>VLOOKUP($D38,Résultats!$B$2:$AX$476,O$5,FALSE)</f>
        <v>#N/A</v>
      </c>
      <c r="P38" s="19" t="e">
        <f>VLOOKUP($D38,Résultats!$B$2:$AX$476,P$5,FALSE)</f>
        <v>#N/A</v>
      </c>
      <c r="Q38" s="19" t="e">
        <f>VLOOKUP($D38,Résultats!$B$2:$AX$476,Q$5,FALSE)</f>
        <v>#N/A</v>
      </c>
      <c r="R38" s="19" t="e">
        <f>VLOOKUP($D38,Résultats!$B$2:$AX$476,R$5,FALSE)</f>
        <v>#N/A</v>
      </c>
      <c r="S38" s="111" t="e">
        <f>VLOOKUP($D38,Résultats!$B$2:$AX$476,S$5,FALSE)</f>
        <v>#N/A</v>
      </c>
      <c r="T38" s="120" t="e">
        <f>VLOOKUP($D38,Résultats!$B$2:$AX$476,T$5,FALSE)</f>
        <v>#N/A</v>
      </c>
      <c r="U38" s="120" t="e">
        <f>VLOOKUP($D38,Résultats!$B$2:$AX$476,U$5,FALSE)</f>
        <v>#N/A</v>
      </c>
      <c r="V38" s="120" t="e">
        <f>VLOOKUP($D38,Résultats!$B$2:$AX$476,V$5,FALSE)</f>
        <v>#N/A</v>
      </c>
      <c r="W38" s="120" t="e">
        <f>VLOOKUP($D38,Résultats!$B$2:$AX$476,W$5,FALSE)</f>
        <v>#N/A</v>
      </c>
      <c r="X38" s="3"/>
      <c r="Z38" s="213" t="s">
        <v>146</v>
      </c>
      <c r="AA38" s="222" t="e">
        <f>(I39+I44)/I36</f>
        <v>#N/A</v>
      </c>
      <c r="AB38" s="222" t="e">
        <f>(S39+S44)/S36</f>
        <v>#N/A</v>
      </c>
      <c r="AC38" s="223" t="e">
        <f>(W39+W44)/W36</f>
        <v>#N/A</v>
      </c>
    </row>
    <row r="39" spans="1:39" x14ac:dyDescent="0.25">
      <c r="A39" s="3"/>
      <c r="B39" s="273"/>
      <c r="C39" s="3" t="s">
        <v>7</v>
      </c>
      <c r="D39" s="3" t="s">
        <v>98</v>
      </c>
      <c r="E39" s="19" t="e">
        <f>VLOOKUP($D39,Résultats!$B$2:$AX$476,E$5,FALSE)</f>
        <v>#N/A</v>
      </c>
      <c r="F39" s="19" t="e">
        <f>VLOOKUP($D39,Résultats!$B$2:$AX$476,F$5,FALSE)</f>
        <v>#N/A</v>
      </c>
      <c r="G39" s="28" t="e">
        <f>VLOOKUP($D39,Résultats!$B$2:$AX$476,G$5,FALSE)</f>
        <v>#N/A</v>
      </c>
      <c r="H39" s="19" t="e">
        <f>VLOOKUP($D39,Résultats!$B$2:$AX$476,H$5,FALSE)</f>
        <v>#N/A</v>
      </c>
      <c r="I39" s="111" t="e">
        <f>VLOOKUP($D39,Résultats!$B$2:$AX$476,I$5,FALSE)</f>
        <v>#N/A</v>
      </c>
      <c r="J39" s="28" t="e">
        <f>VLOOKUP($D39,Résultats!$B$2:$AX$476,J$5,FALSE)</f>
        <v>#N/A</v>
      </c>
      <c r="K39" s="19" t="e">
        <f>VLOOKUP($D39,Résultats!$B$2:$AX$476,K$5,FALSE)</f>
        <v>#N/A</v>
      </c>
      <c r="L39" s="19" t="e">
        <f>VLOOKUP($D39,Résultats!$B$2:$AX$476,L$5,FALSE)</f>
        <v>#N/A</v>
      </c>
      <c r="M39" s="19" t="e">
        <f>VLOOKUP($D39,Résultats!$B$2:$AX$476,M$5,FALSE)</f>
        <v>#N/A</v>
      </c>
      <c r="N39" s="111" t="e">
        <f>VLOOKUP($D39,Résultats!$B$2:$AX$476,N$5,FALSE)</f>
        <v>#N/A</v>
      </c>
      <c r="O39" s="28" t="e">
        <f>VLOOKUP($D39,Résultats!$B$2:$AX$476,O$5,FALSE)</f>
        <v>#N/A</v>
      </c>
      <c r="P39" s="19" t="e">
        <f>VLOOKUP($D39,Résultats!$B$2:$AX$476,P$5,FALSE)</f>
        <v>#N/A</v>
      </c>
      <c r="Q39" s="19" t="e">
        <f>VLOOKUP($D39,Résultats!$B$2:$AX$476,Q$5,FALSE)</f>
        <v>#N/A</v>
      </c>
      <c r="R39" s="19" t="e">
        <f>VLOOKUP($D39,Résultats!$B$2:$AX$476,R$5,FALSE)</f>
        <v>#N/A</v>
      </c>
      <c r="S39" s="111" t="e">
        <f>VLOOKUP($D39,Résultats!$B$2:$AX$476,S$5,FALSE)</f>
        <v>#N/A</v>
      </c>
      <c r="T39" s="120" t="e">
        <f>VLOOKUP($D39,Résultats!$B$2:$AX$476,T$5,FALSE)</f>
        <v>#N/A</v>
      </c>
      <c r="U39" s="120" t="e">
        <f>VLOOKUP($D39,Résultats!$B$2:$AX$476,U$5,FALSE)</f>
        <v>#N/A</v>
      </c>
      <c r="V39" s="120" t="e">
        <f>VLOOKUP($D39,Résultats!$B$2:$AX$476,V$5,FALSE)</f>
        <v>#N/A</v>
      </c>
      <c r="W39" s="120" t="e">
        <f>VLOOKUP($D39,Résultats!$B$2:$AX$476,W$5,FALSE)</f>
        <v>#N/A</v>
      </c>
      <c r="X39" s="3"/>
      <c r="Z39" s="219" t="s">
        <v>210</v>
      </c>
      <c r="AA39" s="224" t="e">
        <f>SUM(AA33:AA38)</f>
        <v>#N/A</v>
      </c>
      <c r="AB39" s="224" t="e">
        <f t="shared" ref="AB39:AC39" si="10">SUM(AB33:AB38)</f>
        <v>#N/A</v>
      </c>
      <c r="AC39" s="224" t="e">
        <f t="shared" si="10"/>
        <v>#N/A</v>
      </c>
      <c r="AJ39" s="219"/>
      <c r="AK39" s="224"/>
      <c r="AL39" s="224"/>
      <c r="AM39" s="224"/>
    </row>
    <row r="40" spans="1:39" x14ac:dyDescent="0.25">
      <c r="A40" s="3"/>
      <c r="B40" s="273"/>
      <c r="C40" s="3" t="s">
        <v>8</v>
      </c>
      <c r="D40" s="3" t="s">
        <v>99</v>
      </c>
      <c r="E40" s="19" t="e">
        <f>VLOOKUP($D40,Résultats!$B$2:$AX$476,E$5,FALSE)</f>
        <v>#N/A</v>
      </c>
      <c r="F40" s="19" t="e">
        <f>VLOOKUP($D40,Résultats!$B$2:$AX$476,F$5,FALSE)</f>
        <v>#N/A</v>
      </c>
      <c r="G40" s="28" t="e">
        <f>VLOOKUP($D40,Résultats!$B$2:$AX$476,G$5,FALSE)</f>
        <v>#N/A</v>
      </c>
      <c r="H40" s="19" t="e">
        <f>VLOOKUP($D40,Résultats!$B$2:$AX$476,H$5,FALSE)</f>
        <v>#N/A</v>
      </c>
      <c r="I40" s="111" t="e">
        <f>VLOOKUP($D40,Résultats!$B$2:$AX$476,I$5,FALSE)</f>
        <v>#N/A</v>
      </c>
      <c r="J40" s="28" t="e">
        <f>VLOOKUP($D40,Résultats!$B$2:$AX$476,J$5,FALSE)</f>
        <v>#N/A</v>
      </c>
      <c r="K40" s="19" t="e">
        <f>VLOOKUP($D40,Résultats!$B$2:$AX$476,K$5,FALSE)</f>
        <v>#N/A</v>
      </c>
      <c r="L40" s="19" t="e">
        <f>VLOOKUP($D40,Résultats!$B$2:$AX$476,L$5,FALSE)</f>
        <v>#N/A</v>
      </c>
      <c r="M40" s="19" t="e">
        <f>VLOOKUP($D40,Résultats!$B$2:$AX$476,M$5,FALSE)</f>
        <v>#N/A</v>
      </c>
      <c r="N40" s="111" t="e">
        <f>VLOOKUP($D40,Résultats!$B$2:$AX$476,N$5,FALSE)</f>
        <v>#N/A</v>
      </c>
      <c r="O40" s="28" t="e">
        <f>VLOOKUP($D40,Résultats!$B$2:$AX$476,O$5,FALSE)</f>
        <v>#N/A</v>
      </c>
      <c r="P40" s="19" t="e">
        <f>VLOOKUP($D40,Résultats!$B$2:$AX$476,P$5,FALSE)</f>
        <v>#N/A</v>
      </c>
      <c r="Q40" s="19" t="e">
        <f>VLOOKUP($D40,Résultats!$B$2:$AX$476,Q$5,FALSE)</f>
        <v>#N/A</v>
      </c>
      <c r="R40" s="19" t="e">
        <f>VLOOKUP($D40,Résultats!$B$2:$AX$476,R$5,FALSE)</f>
        <v>#N/A</v>
      </c>
      <c r="S40" s="111" t="e">
        <f>VLOOKUP($D40,Résultats!$B$2:$AX$476,S$5,FALSE)</f>
        <v>#N/A</v>
      </c>
      <c r="T40" s="120" t="e">
        <f>VLOOKUP($D40,Résultats!$B$2:$AX$476,T$5,FALSE)</f>
        <v>#N/A</v>
      </c>
      <c r="U40" s="120" t="e">
        <f>VLOOKUP($D40,Résultats!$B$2:$AX$476,U$5,FALSE)</f>
        <v>#N/A</v>
      </c>
      <c r="V40" s="120" t="e">
        <f>VLOOKUP($D40,Résultats!$B$2:$AX$476,V$5,FALSE)</f>
        <v>#N/A</v>
      </c>
      <c r="W40" s="120" t="e">
        <f>VLOOKUP($D40,Résultats!$B$2:$AX$476,W$5,FALSE)</f>
        <v>#N/A</v>
      </c>
      <c r="X40" s="3"/>
    </row>
    <row r="41" spans="1:39" x14ac:dyDescent="0.25">
      <c r="A41" s="3"/>
      <c r="B41" s="273"/>
      <c r="C41" s="3" t="s">
        <v>9</v>
      </c>
      <c r="D41" s="3" t="s">
        <v>100</v>
      </c>
      <c r="E41" s="19" t="e">
        <f>VLOOKUP($D41,Résultats!$B$2:$AX$476,E$5,FALSE)</f>
        <v>#N/A</v>
      </c>
      <c r="F41" s="19" t="e">
        <f>VLOOKUP($D41,Résultats!$B$2:$AX$476,F$5,FALSE)</f>
        <v>#N/A</v>
      </c>
      <c r="G41" s="28" t="e">
        <f>VLOOKUP($D41,Résultats!$B$2:$AX$476,G$5,FALSE)</f>
        <v>#N/A</v>
      </c>
      <c r="H41" s="19" t="e">
        <f>VLOOKUP($D41,Résultats!$B$2:$AX$476,H$5,FALSE)</f>
        <v>#N/A</v>
      </c>
      <c r="I41" s="111" t="e">
        <f>VLOOKUP($D41,Résultats!$B$2:$AX$476,I$5,FALSE)</f>
        <v>#N/A</v>
      </c>
      <c r="J41" s="28" t="e">
        <f>VLOOKUP($D41,Résultats!$B$2:$AX$476,J$5,FALSE)</f>
        <v>#N/A</v>
      </c>
      <c r="K41" s="19" t="e">
        <f>VLOOKUP($D41,Résultats!$B$2:$AX$476,K$5,FALSE)</f>
        <v>#N/A</v>
      </c>
      <c r="L41" s="19" t="e">
        <f>VLOOKUP($D41,Résultats!$B$2:$AX$476,L$5,FALSE)</f>
        <v>#N/A</v>
      </c>
      <c r="M41" s="19" t="e">
        <f>VLOOKUP($D41,Résultats!$B$2:$AX$476,M$5,FALSE)</f>
        <v>#N/A</v>
      </c>
      <c r="N41" s="111" t="e">
        <f>VLOOKUP($D41,Résultats!$B$2:$AX$476,N$5,FALSE)</f>
        <v>#N/A</v>
      </c>
      <c r="O41" s="28" t="e">
        <f>VLOOKUP($D41,Résultats!$B$2:$AX$476,O$5,FALSE)</f>
        <v>#N/A</v>
      </c>
      <c r="P41" s="19" t="e">
        <f>VLOOKUP($D41,Résultats!$B$2:$AX$476,P$5,FALSE)</f>
        <v>#N/A</v>
      </c>
      <c r="Q41" s="19" t="e">
        <f>VLOOKUP($D41,Résultats!$B$2:$AX$476,Q$5,FALSE)</f>
        <v>#N/A</v>
      </c>
      <c r="R41" s="19" t="e">
        <f>VLOOKUP($D41,Résultats!$B$2:$AX$476,R$5,FALSE)</f>
        <v>#N/A</v>
      </c>
      <c r="S41" s="111" t="e">
        <f>VLOOKUP($D41,Résultats!$B$2:$AX$476,S$5,FALSE)</f>
        <v>#N/A</v>
      </c>
      <c r="T41" s="120" t="e">
        <f>VLOOKUP($D41,Résultats!$B$2:$AX$476,T$5,FALSE)</f>
        <v>#N/A</v>
      </c>
      <c r="U41" s="120" t="e">
        <f>VLOOKUP($D41,Résultats!$B$2:$AX$476,U$5,FALSE)</f>
        <v>#N/A</v>
      </c>
      <c r="V41" s="120" t="e">
        <f>VLOOKUP($D41,Résultats!$B$2:$AX$476,V$5,FALSE)</f>
        <v>#N/A</v>
      </c>
      <c r="W41" s="120" t="e">
        <f>VLOOKUP($D41,Résultats!$B$2:$AX$476,W$5,FALSE)</f>
        <v>#N/A</v>
      </c>
      <c r="X41" s="3"/>
    </row>
    <row r="42" spans="1:39" x14ac:dyDescent="0.25">
      <c r="A42" s="3"/>
      <c r="B42" s="273"/>
      <c r="C42" s="3" t="s">
        <v>10</v>
      </c>
      <c r="D42" s="3" t="s">
        <v>101</v>
      </c>
      <c r="E42" s="19" t="e">
        <f>VLOOKUP($D42,Résultats!$B$2:$AX$476,E$5,FALSE)</f>
        <v>#N/A</v>
      </c>
      <c r="F42" s="19" t="e">
        <f>VLOOKUP($D42,Résultats!$B$2:$AX$476,F$5,FALSE)</f>
        <v>#N/A</v>
      </c>
      <c r="G42" s="28" t="e">
        <f>VLOOKUP($D42,Résultats!$B$2:$AX$476,G$5,FALSE)</f>
        <v>#N/A</v>
      </c>
      <c r="H42" s="19" t="e">
        <f>VLOOKUP($D42,Résultats!$B$2:$AX$476,H$5,FALSE)</f>
        <v>#N/A</v>
      </c>
      <c r="I42" s="111" t="e">
        <f>VLOOKUP($D42,Résultats!$B$2:$AX$476,I$5,FALSE)</f>
        <v>#N/A</v>
      </c>
      <c r="J42" s="28" t="e">
        <f>VLOOKUP($D42,Résultats!$B$2:$AX$476,J$5,FALSE)</f>
        <v>#N/A</v>
      </c>
      <c r="K42" s="19" t="e">
        <f>VLOOKUP($D42,Résultats!$B$2:$AX$476,K$5,FALSE)</f>
        <v>#N/A</v>
      </c>
      <c r="L42" s="19" t="e">
        <f>VLOOKUP($D42,Résultats!$B$2:$AX$476,L$5,FALSE)</f>
        <v>#N/A</v>
      </c>
      <c r="M42" s="19" t="e">
        <f>VLOOKUP($D42,Résultats!$B$2:$AX$476,M$5,FALSE)</f>
        <v>#N/A</v>
      </c>
      <c r="N42" s="111" t="e">
        <f>VLOOKUP($D42,Résultats!$B$2:$AX$476,N$5,FALSE)</f>
        <v>#N/A</v>
      </c>
      <c r="O42" s="28" t="e">
        <f>VLOOKUP($D42,Résultats!$B$2:$AX$476,O$5,FALSE)</f>
        <v>#N/A</v>
      </c>
      <c r="P42" s="19" t="e">
        <f>VLOOKUP($D42,Résultats!$B$2:$AX$476,P$5,FALSE)</f>
        <v>#N/A</v>
      </c>
      <c r="Q42" s="19" t="e">
        <f>VLOOKUP($D42,Résultats!$B$2:$AX$476,Q$5,FALSE)</f>
        <v>#N/A</v>
      </c>
      <c r="R42" s="19" t="e">
        <f>VLOOKUP($D42,Résultats!$B$2:$AX$476,R$5,FALSE)</f>
        <v>#N/A</v>
      </c>
      <c r="S42" s="111" t="e">
        <f>VLOOKUP($D42,Résultats!$B$2:$AX$476,S$5,FALSE)</f>
        <v>#N/A</v>
      </c>
      <c r="T42" s="120" t="e">
        <f>VLOOKUP($D42,Résultats!$B$2:$AX$476,T$5,FALSE)</f>
        <v>#N/A</v>
      </c>
      <c r="U42" s="120" t="e">
        <f>VLOOKUP($D42,Résultats!$B$2:$AX$476,U$5,FALSE)</f>
        <v>#N/A</v>
      </c>
      <c r="V42" s="120" t="e">
        <f>VLOOKUP($D42,Résultats!$B$2:$AX$476,V$5,FALSE)</f>
        <v>#N/A</v>
      </c>
      <c r="W42" s="120" t="e">
        <f>VLOOKUP($D42,Résultats!$B$2:$AX$476,W$5,FALSE)</f>
        <v>#N/A</v>
      </c>
      <c r="X42" s="3"/>
    </row>
    <row r="43" spans="1:39" x14ac:dyDescent="0.25">
      <c r="A43" s="3"/>
      <c r="B43" s="273"/>
      <c r="C43" s="3" t="s">
        <v>11</v>
      </c>
      <c r="D43" s="3" t="s">
        <v>102</v>
      </c>
      <c r="E43" s="19" t="e">
        <f>VLOOKUP($D43,Résultats!$B$2:$AX$476,E$5,FALSE)</f>
        <v>#N/A</v>
      </c>
      <c r="F43" s="19" t="e">
        <f>VLOOKUP($D43,Résultats!$B$2:$AX$476,F$5,FALSE)</f>
        <v>#N/A</v>
      </c>
      <c r="G43" s="28" t="e">
        <f>VLOOKUP($D43,Résultats!$B$2:$AX$476,G$5,FALSE)</f>
        <v>#N/A</v>
      </c>
      <c r="H43" s="19" t="e">
        <f>VLOOKUP($D43,Résultats!$B$2:$AX$476,H$5,FALSE)</f>
        <v>#N/A</v>
      </c>
      <c r="I43" s="111" t="e">
        <f>VLOOKUP($D43,Résultats!$B$2:$AX$476,I$5,FALSE)</f>
        <v>#N/A</v>
      </c>
      <c r="J43" s="28" t="e">
        <f>VLOOKUP($D43,Résultats!$B$2:$AX$476,J$5,FALSE)</f>
        <v>#N/A</v>
      </c>
      <c r="K43" s="19" t="e">
        <f>VLOOKUP($D43,Résultats!$B$2:$AX$476,K$5,FALSE)</f>
        <v>#N/A</v>
      </c>
      <c r="L43" s="19" t="e">
        <f>VLOOKUP($D43,Résultats!$B$2:$AX$476,L$5,FALSE)</f>
        <v>#N/A</v>
      </c>
      <c r="M43" s="19" t="e">
        <f>VLOOKUP($D43,Résultats!$B$2:$AX$476,M$5,FALSE)</f>
        <v>#N/A</v>
      </c>
      <c r="N43" s="111" t="e">
        <f>VLOOKUP($D43,Résultats!$B$2:$AX$476,N$5,FALSE)</f>
        <v>#N/A</v>
      </c>
      <c r="O43" s="28" t="e">
        <f>VLOOKUP($D43,Résultats!$B$2:$AX$476,O$5,FALSE)</f>
        <v>#N/A</v>
      </c>
      <c r="P43" s="19" t="e">
        <f>VLOOKUP($D43,Résultats!$B$2:$AX$476,P$5,FALSE)</f>
        <v>#N/A</v>
      </c>
      <c r="Q43" s="19" t="e">
        <f>VLOOKUP($D43,Résultats!$B$2:$AX$476,Q$5,FALSE)</f>
        <v>#N/A</v>
      </c>
      <c r="R43" s="19" t="e">
        <f>VLOOKUP($D43,Résultats!$B$2:$AX$476,R$5,FALSE)</f>
        <v>#N/A</v>
      </c>
      <c r="S43" s="111" t="e">
        <f>VLOOKUP($D43,Résultats!$B$2:$AX$476,S$5,FALSE)</f>
        <v>#N/A</v>
      </c>
      <c r="T43" s="120" t="e">
        <f>VLOOKUP($D43,Résultats!$B$2:$AX$476,T$5,FALSE)</f>
        <v>#N/A</v>
      </c>
      <c r="U43" s="120" t="e">
        <f>VLOOKUP($D43,Résultats!$B$2:$AX$476,U$5,FALSE)</f>
        <v>#N/A</v>
      </c>
      <c r="V43" s="120" t="e">
        <f>VLOOKUP($D43,Résultats!$B$2:$AX$476,V$5,FALSE)</f>
        <v>#N/A</v>
      </c>
      <c r="W43" s="120" t="e">
        <f>VLOOKUP($D43,Résultats!$B$2:$AX$476,W$5,FALSE)</f>
        <v>#N/A</v>
      </c>
      <c r="X43" s="3"/>
    </row>
    <row r="44" spans="1:39" x14ac:dyDescent="0.25">
      <c r="A44" s="3"/>
      <c r="B44" s="274"/>
      <c r="C44" s="7" t="s">
        <v>12</v>
      </c>
      <c r="D44" s="3" t="s">
        <v>103</v>
      </c>
      <c r="E44" s="20" t="e">
        <f>VLOOKUP($D44,Résultats!$B$2:$AX$476,E$5,FALSE)</f>
        <v>#N/A</v>
      </c>
      <c r="F44" s="20" t="e">
        <f>VLOOKUP($D44,Résultats!$B$2:$AX$476,F$5,FALSE)</f>
        <v>#N/A</v>
      </c>
      <c r="G44" s="113" t="e">
        <f>VLOOKUP($D44,Résultats!$B$2:$AX$476,G$5,FALSE)</f>
        <v>#N/A</v>
      </c>
      <c r="H44" s="20" t="e">
        <f>VLOOKUP($D44,Résultats!$B$2:$AX$476,H$5,FALSE)</f>
        <v>#N/A</v>
      </c>
      <c r="I44" s="114" t="e">
        <f>VLOOKUP($D44,Résultats!$B$2:$AX$476,I$5,FALSE)</f>
        <v>#N/A</v>
      </c>
      <c r="J44" s="113" t="e">
        <f>VLOOKUP($D44,Résultats!$B$2:$AX$476,J$5,FALSE)</f>
        <v>#N/A</v>
      </c>
      <c r="K44" s="20" t="e">
        <f>VLOOKUP($D44,Résultats!$B$2:$AX$476,K$5,FALSE)</f>
        <v>#N/A</v>
      </c>
      <c r="L44" s="20" t="e">
        <f>VLOOKUP($D44,Résultats!$B$2:$AX$476,L$5,FALSE)</f>
        <v>#N/A</v>
      </c>
      <c r="M44" s="20" t="e">
        <f>VLOOKUP($D44,Résultats!$B$2:$AX$476,M$5,FALSE)</f>
        <v>#N/A</v>
      </c>
      <c r="N44" s="114" t="e">
        <f>VLOOKUP($D44,Résultats!$B$2:$AX$476,N$5,FALSE)</f>
        <v>#N/A</v>
      </c>
      <c r="O44" s="113" t="e">
        <f>VLOOKUP($D44,Résultats!$B$2:$AX$476,O$5,FALSE)</f>
        <v>#N/A</v>
      </c>
      <c r="P44" s="20" t="e">
        <f>VLOOKUP($D44,Résultats!$B$2:$AX$476,P$5,FALSE)</f>
        <v>#N/A</v>
      </c>
      <c r="Q44" s="20" t="e">
        <f>VLOOKUP($D44,Résultats!$B$2:$AX$476,Q$5,FALSE)</f>
        <v>#N/A</v>
      </c>
      <c r="R44" s="20" t="e">
        <f>VLOOKUP($D44,Résultats!$B$2:$AX$476,R$5,FALSE)</f>
        <v>#N/A</v>
      </c>
      <c r="S44" s="114" t="e">
        <f>VLOOKUP($D44,Résultats!$B$2:$AX$476,S$5,FALSE)</f>
        <v>#N/A</v>
      </c>
      <c r="T44" s="122" t="e">
        <f>VLOOKUP($D44,Résultats!$B$2:$AX$476,T$5,FALSE)</f>
        <v>#N/A</v>
      </c>
      <c r="U44" s="122" t="e">
        <f>VLOOKUP($D44,Résultats!$B$2:$AX$476,U$5,FALSE)</f>
        <v>#N/A</v>
      </c>
      <c r="V44" s="122" t="e">
        <f>VLOOKUP($D44,Résultats!$B$2:$AX$476,V$5,FALSE)</f>
        <v>#N/A</v>
      </c>
      <c r="W44" s="122" t="e">
        <f>VLOOKUP($D44,Résultats!$B$2:$AX$476,W$5,FALSE)</f>
        <v>#N/A</v>
      </c>
      <c r="X44" s="3"/>
    </row>
    <row r="45" spans="1:39" x14ac:dyDescent="0.25">
      <c r="A45" s="3"/>
      <c r="B45" s="272" t="s">
        <v>135</v>
      </c>
      <c r="C45" s="5" t="s">
        <v>1</v>
      </c>
      <c r="D45" s="2" t="s">
        <v>91</v>
      </c>
      <c r="E45" s="6" t="e">
        <f>SUM(E46:E51)</f>
        <v>#N/A</v>
      </c>
      <c r="F45" s="6" t="e">
        <f>SUM(F46:F51)</f>
        <v>#N/A</v>
      </c>
      <c r="G45" s="109" t="e">
        <f t="shared" ref="G45:R45" si="11">SUM(G46:G51)</f>
        <v>#N/A</v>
      </c>
      <c r="H45" s="6" t="e">
        <f t="shared" si="11"/>
        <v>#N/A</v>
      </c>
      <c r="I45" s="110" t="e">
        <f t="shared" si="11"/>
        <v>#N/A</v>
      </c>
      <c r="J45" s="109" t="e">
        <f t="shared" si="11"/>
        <v>#N/A</v>
      </c>
      <c r="K45" s="6" t="e">
        <f t="shared" si="11"/>
        <v>#N/A</v>
      </c>
      <c r="L45" s="6" t="e">
        <f t="shared" si="11"/>
        <v>#N/A</v>
      </c>
      <c r="M45" s="6" t="e">
        <f t="shared" si="11"/>
        <v>#N/A</v>
      </c>
      <c r="N45" s="110" t="e">
        <f t="shared" si="11"/>
        <v>#N/A</v>
      </c>
      <c r="O45" s="109" t="e">
        <f t="shared" si="11"/>
        <v>#N/A</v>
      </c>
      <c r="P45" s="6" t="e">
        <f t="shared" si="11"/>
        <v>#N/A</v>
      </c>
      <c r="Q45" s="6" t="e">
        <f t="shared" si="11"/>
        <v>#N/A</v>
      </c>
      <c r="R45" s="6" t="e">
        <f t="shared" si="11"/>
        <v>#N/A</v>
      </c>
      <c r="S45" s="110" t="e">
        <f>SUM(S46:S51)</f>
        <v>#N/A</v>
      </c>
      <c r="T45" s="119" t="e">
        <f>SUM(T46:T51)</f>
        <v>#N/A</v>
      </c>
      <c r="U45" s="119" t="e">
        <f>SUM(U46:U51)</f>
        <v>#N/A</v>
      </c>
      <c r="V45" s="119" t="e">
        <f>SUM(V46:V51)</f>
        <v>#N/A</v>
      </c>
      <c r="W45" s="119" t="e">
        <f>SUM(W46:W51)</f>
        <v>#N/A</v>
      </c>
      <c r="X45" s="3"/>
    </row>
    <row r="46" spans="1:39" x14ac:dyDescent="0.25">
      <c r="A46" s="3"/>
      <c r="B46" s="273"/>
      <c r="C46" s="3" t="s">
        <v>13</v>
      </c>
      <c r="D46" s="3" t="s">
        <v>106</v>
      </c>
      <c r="E46" s="19" t="e">
        <f>VLOOKUP($D46,Résultats!$B$2:$AX$476,E$5,FALSE)</f>
        <v>#N/A</v>
      </c>
      <c r="F46" s="19" t="e">
        <f>VLOOKUP($D46,Résultats!$B$2:$AX$476,F$5,FALSE)</f>
        <v>#N/A</v>
      </c>
      <c r="G46" s="28" t="e">
        <f>VLOOKUP($D46,Résultats!$B$2:$AX$476,G$5,FALSE)</f>
        <v>#N/A</v>
      </c>
      <c r="H46" s="19" t="e">
        <f>VLOOKUP($D46,Résultats!$B$2:$AX$476,H$5,FALSE)</f>
        <v>#N/A</v>
      </c>
      <c r="I46" s="111" t="e">
        <f>VLOOKUP($D46,Résultats!$B$2:$AX$476,I$5,FALSE)</f>
        <v>#N/A</v>
      </c>
      <c r="J46" s="28" t="e">
        <f>VLOOKUP($D46,Résultats!$B$2:$AX$476,J$5,FALSE)</f>
        <v>#N/A</v>
      </c>
      <c r="K46" s="19" t="e">
        <f>VLOOKUP($D46,Résultats!$B$2:$AX$476,K$5,FALSE)</f>
        <v>#N/A</v>
      </c>
      <c r="L46" s="19" t="e">
        <f>VLOOKUP($D46,Résultats!$B$2:$AX$476,L$5,FALSE)</f>
        <v>#N/A</v>
      </c>
      <c r="M46" s="19" t="e">
        <f>VLOOKUP($D46,Résultats!$B$2:$AX$476,M$5,FALSE)</f>
        <v>#N/A</v>
      </c>
      <c r="N46" s="111" t="e">
        <f>VLOOKUP($D46,Résultats!$B$2:$AX$476,N$5,FALSE)</f>
        <v>#N/A</v>
      </c>
      <c r="O46" s="28" t="e">
        <f>VLOOKUP($D46,Résultats!$B$2:$AX$476,O$5,FALSE)</f>
        <v>#N/A</v>
      </c>
      <c r="P46" s="19" t="e">
        <f>VLOOKUP($D46,Résultats!$B$2:$AX$476,P$5,FALSE)</f>
        <v>#N/A</v>
      </c>
      <c r="Q46" s="19" t="e">
        <f>VLOOKUP($D46,Résultats!$B$2:$AX$476,Q$5,FALSE)</f>
        <v>#N/A</v>
      </c>
      <c r="R46" s="19" t="e">
        <f>VLOOKUP($D46,Résultats!$B$2:$AX$476,R$5,FALSE)</f>
        <v>#N/A</v>
      </c>
      <c r="S46" s="111" t="e">
        <f>VLOOKUP($D46,Résultats!$B$2:$AX$476,S$5,FALSE)</f>
        <v>#N/A</v>
      </c>
      <c r="T46" s="120" t="e">
        <f>VLOOKUP($D46,Résultats!$B$2:$AX$476,T$5,FALSE)</f>
        <v>#N/A</v>
      </c>
      <c r="U46" s="120" t="e">
        <f>VLOOKUP($D46,Résultats!$B$2:$AX$476,U$5,FALSE)</f>
        <v>#N/A</v>
      </c>
      <c r="V46" s="120" t="e">
        <f>VLOOKUP($D46,Résultats!$B$2:$AX$476,V$5,FALSE)</f>
        <v>#N/A</v>
      </c>
      <c r="W46" s="120" t="e">
        <f>VLOOKUP($D46,Résultats!$B$2:$AX$476,W$5,FALSE)</f>
        <v>#N/A</v>
      </c>
      <c r="X46" s="3"/>
    </row>
    <row r="47" spans="1:39" x14ac:dyDescent="0.25">
      <c r="A47" s="3"/>
      <c r="B47" s="273"/>
      <c r="C47" s="3" t="s">
        <v>14</v>
      </c>
      <c r="D47" s="3" t="s">
        <v>107</v>
      </c>
      <c r="E47" s="19" t="e">
        <f>VLOOKUP($D47,Résultats!$B$2:$AX$476,E$5,FALSE)</f>
        <v>#N/A</v>
      </c>
      <c r="F47" s="19" t="e">
        <f>VLOOKUP($D47,Résultats!$B$2:$AX$476,F$5,FALSE)</f>
        <v>#N/A</v>
      </c>
      <c r="G47" s="28" t="e">
        <f>VLOOKUP($D47,Résultats!$B$2:$AX$476,G$5,FALSE)</f>
        <v>#N/A</v>
      </c>
      <c r="H47" s="19" t="e">
        <f>VLOOKUP($D47,Résultats!$B$2:$AX$476,H$5,FALSE)</f>
        <v>#N/A</v>
      </c>
      <c r="I47" s="111" t="e">
        <f>VLOOKUP($D47,Résultats!$B$2:$AX$476,I$5,FALSE)</f>
        <v>#N/A</v>
      </c>
      <c r="J47" s="28" t="e">
        <f>VLOOKUP($D47,Résultats!$B$2:$AX$476,J$5,FALSE)</f>
        <v>#N/A</v>
      </c>
      <c r="K47" s="19" t="e">
        <f>VLOOKUP($D47,Résultats!$B$2:$AX$476,K$5,FALSE)</f>
        <v>#N/A</v>
      </c>
      <c r="L47" s="19" t="e">
        <f>VLOOKUP($D47,Résultats!$B$2:$AX$476,L$5,FALSE)</f>
        <v>#N/A</v>
      </c>
      <c r="M47" s="19" t="e">
        <f>VLOOKUP($D47,Résultats!$B$2:$AX$476,M$5,FALSE)</f>
        <v>#N/A</v>
      </c>
      <c r="N47" s="111" t="e">
        <f>VLOOKUP($D47,Résultats!$B$2:$AX$476,N$5,FALSE)</f>
        <v>#N/A</v>
      </c>
      <c r="O47" s="28" t="e">
        <f>VLOOKUP($D47,Résultats!$B$2:$AX$476,O$5,FALSE)</f>
        <v>#N/A</v>
      </c>
      <c r="P47" s="19" t="e">
        <f>VLOOKUP($D47,Résultats!$B$2:$AX$476,P$5,FALSE)</f>
        <v>#N/A</v>
      </c>
      <c r="Q47" s="19" t="e">
        <f>VLOOKUP($D47,Résultats!$B$2:$AX$476,Q$5,FALSE)</f>
        <v>#N/A</v>
      </c>
      <c r="R47" s="19" t="e">
        <f>VLOOKUP($D47,Résultats!$B$2:$AX$476,R$5,FALSE)</f>
        <v>#N/A</v>
      </c>
      <c r="S47" s="111" t="e">
        <f>VLOOKUP($D47,Résultats!$B$2:$AX$476,S$5,FALSE)</f>
        <v>#N/A</v>
      </c>
      <c r="T47" s="120" t="e">
        <f>VLOOKUP($D47,Résultats!$B$2:$AX$476,T$5,FALSE)</f>
        <v>#N/A</v>
      </c>
      <c r="U47" s="120" t="e">
        <f>VLOOKUP($D47,Résultats!$B$2:$AX$476,U$5,FALSE)</f>
        <v>#N/A</v>
      </c>
      <c r="V47" s="120" t="e">
        <f>VLOOKUP($D47,Résultats!$B$2:$AX$476,V$5,FALSE)</f>
        <v>#N/A</v>
      </c>
      <c r="W47" s="120" t="e">
        <f>VLOOKUP($D47,Résultats!$B$2:$AX$476,W$5,FALSE)</f>
        <v>#N/A</v>
      </c>
      <c r="X47" s="3"/>
    </row>
    <row r="48" spans="1:39" x14ac:dyDescent="0.25">
      <c r="A48" s="3"/>
      <c r="B48" s="273"/>
      <c r="C48" s="3" t="s">
        <v>15</v>
      </c>
      <c r="D48" s="3" t="s">
        <v>108</v>
      </c>
      <c r="E48" s="19" t="e">
        <f>VLOOKUP($D48,Résultats!$B$2:$AX$476,E$5,FALSE)</f>
        <v>#N/A</v>
      </c>
      <c r="F48" s="19" t="e">
        <f>VLOOKUP($D48,Résultats!$B$2:$AX$476,F$5,FALSE)</f>
        <v>#N/A</v>
      </c>
      <c r="G48" s="28" t="e">
        <f>VLOOKUP($D48,Résultats!$B$2:$AX$476,G$5,FALSE)</f>
        <v>#N/A</v>
      </c>
      <c r="H48" s="19" t="e">
        <f>VLOOKUP($D48,Résultats!$B$2:$AX$476,H$5,FALSE)</f>
        <v>#N/A</v>
      </c>
      <c r="I48" s="111" t="e">
        <f>VLOOKUP($D48,Résultats!$B$2:$AX$476,I$5,FALSE)</f>
        <v>#N/A</v>
      </c>
      <c r="J48" s="28" t="e">
        <f>VLOOKUP($D48,Résultats!$B$2:$AX$476,J$5,FALSE)</f>
        <v>#N/A</v>
      </c>
      <c r="K48" s="19" t="e">
        <f>VLOOKUP($D48,Résultats!$B$2:$AX$476,K$5,FALSE)</f>
        <v>#N/A</v>
      </c>
      <c r="L48" s="19" t="e">
        <f>VLOOKUP($D48,Résultats!$B$2:$AX$476,L$5,FALSE)</f>
        <v>#N/A</v>
      </c>
      <c r="M48" s="19" t="e">
        <f>VLOOKUP($D48,Résultats!$B$2:$AX$476,M$5,FALSE)</f>
        <v>#N/A</v>
      </c>
      <c r="N48" s="111" t="e">
        <f>VLOOKUP($D48,Résultats!$B$2:$AX$476,N$5,FALSE)</f>
        <v>#N/A</v>
      </c>
      <c r="O48" s="28" t="e">
        <f>VLOOKUP($D48,Résultats!$B$2:$AX$476,O$5,FALSE)</f>
        <v>#N/A</v>
      </c>
      <c r="P48" s="19" t="e">
        <f>VLOOKUP($D48,Résultats!$B$2:$AX$476,P$5,FALSE)</f>
        <v>#N/A</v>
      </c>
      <c r="Q48" s="19" t="e">
        <f>VLOOKUP($D48,Résultats!$B$2:$AX$476,Q$5,FALSE)</f>
        <v>#N/A</v>
      </c>
      <c r="R48" s="19" t="e">
        <f>VLOOKUP($D48,Résultats!$B$2:$AX$476,R$5,FALSE)</f>
        <v>#N/A</v>
      </c>
      <c r="S48" s="111" t="e">
        <f>VLOOKUP($D48,Résultats!$B$2:$AX$476,S$5,FALSE)</f>
        <v>#N/A</v>
      </c>
      <c r="T48" s="120" t="e">
        <f>VLOOKUP($D48,Résultats!$B$2:$AX$476,T$5,FALSE)</f>
        <v>#N/A</v>
      </c>
      <c r="U48" s="120" t="e">
        <f>VLOOKUP($D48,Résultats!$B$2:$AX$476,U$5,FALSE)</f>
        <v>#N/A</v>
      </c>
      <c r="V48" s="120" t="e">
        <f>VLOOKUP($D48,Résultats!$B$2:$AX$476,V$5,FALSE)</f>
        <v>#N/A</v>
      </c>
      <c r="W48" s="120" t="e">
        <f>VLOOKUP($D48,Résultats!$B$2:$AX$476,W$5,FALSE)</f>
        <v>#N/A</v>
      </c>
      <c r="X48" s="3"/>
    </row>
    <row r="49" spans="1:24" x14ac:dyDescent="0.25">
      <c r="A49" s="3"/>
      <c r="B49" s="273"/>
      <c r="C49" s="3" t="s">
        <v>16</v>
      </c>
      <c r="D49" s="3" t="s">
        <v>109</v>
      </c>
      <c r="E49" s="19" t="e">
        <f>VLOOKUP($D49,Résultats!$B$2:$AX$476,E$5,FALSE)</f>
        <v>#N/A</v>
      </c>
      <c r="F49" s="19" t="e">
        <f>VLOOKUP($D49,Résultats!$B$2:$AX$476,F$5,FALSE)</f>
        <v>#N/A</v>
      </c>
      <c r="G49" s="28" t="e">
        <f>VLOOKUP($D49,Résultats!$B$2:$AX$476,G$5,FALSE)</f>
        <v>#N/A</v>
      </c>
      <c r="H49" s="19" t="e">
        <f>VLOOKUP($D49,Résultats!$B$2:$AX$476,H$5,FALSE)</f>
        <v>#N/A</v>
      </c>
      <c r="I49" s="111" t="e">
        <f>VLOOKUP($D49,Résultats!$B$2:$AX$476,I$5,FALSE)</f>
        <v>#N/A</v>
      </c>
      <c r="J49" s="28" t="e">
        <f>VLOOKUP($D49,Résultats!$B$2:$AX$476,J$5,FALSE)</f>
        <v>#N/A</v>
      </c>
      <c r="K49" s="19" t="e">
        <f>VLOOKUP($D49,Résultats!$B$2:$AX$476,K$5,FALSE)</f>
        <v>#N/A</v>
      </c>
      <c r="L49" s="19" t="e">
        <f>VLOOKUP($D49,Résultats!$B$2:$AX$476,L$5,FALSE)</f>
        <v>#N/A</v>
      </c>
      <c r="M49" s="19" t="e">
        <f>VLOOKUP($D49,Résultats!$B$2:$AX$476,M$5,FALSE)</f>
        <v>#N/A</v>
      </c>
      <c r="N49" s="111" t="e">
        <f>VLOOKUP($D49,Résultats!$B$2:$AX$476,N$5,FALSE)</f>
        <v>#N/A</v>
      </c>
      <c r="O49" s="28" t="e">
        <f>VLOOKUP($D49,Résultats!$B$2:$AX$476,O$5,FALSE)</f>
        <v>#N/A</v>
      </c>
      <c r="P49" s="19" t="e">
        <f>VLOOKUP($D49,Résultats!$B$2:$AX$476,P$5,FALSE)</f>
        <v>#N/A</v>
      </c>
      <c r="Q49" s="19" t="e">
        <f>VLOOKUP($D49,Résultats!$B$2:$AX$476,Q$5,FALSE)</f>
        <v>#N/A</v>
      </c>
      <c r="R49" s="19" t="e">
        <f>VLOOKUP($D49,Résultats!$B$2:$AX$476,R$5,FALSE)</f>
        <v>#N/A</v>
      </c>
      <c r="S49" s="111" t="e">
        <f>VLOOKUP($D49,Résultats!$B$2:$AX$476,S$5,FALSE)</f>
        <v>#N/A</v>
      </c>
      <c r="T49" s="120" t="e">
        <f>VLOOKUP($D49,Résultats!$B$2:$AX$476,T$5,FALSE)</f>
        <v>#N/A</v>
      </c>
      <c r="U49" s="120" t="e">
        <f>VLOOKUP($D49,Résultats!$B$2:$AX$476,U$5,FALSE)</f>
        <v>#N/A</v>
      </c>
      <c r="V49" s="120" t="e">
        <f>VLOOKUP($D49,Résultats!$B$2:$AX$476,V$5,FALSE)</f>
        <v>#N/A</v>
      </c>
      <c r="W49" s="120" t="e">
        <f>VLOOKUP($D49,Résultats!$B$2:$AX$476,W$5,FALSE)</f>
        <v>#N/A</v>
      </c>
      <c r="X49" s="3"/>
    </row>
    <row r="50" spans="1:24" x14ac:dyDescent="0.25">
      <c r="A50" s="3"/>
      <c r="B50" s="273"/>
      <c r="C50" s="3" t="s">
        <v>17</v>
      </c>
      <c r="D50" s="3" t="s">
        <v>110</v>
      </c>
      <c r="E50" s="19" t="e">
        <f>VLOOKUP($D50,Résultats!$B$2:$AX$476,E$5,FALSE)</f>
        <v>#N/A</v>
      </c>
      <c r="F50" s="19" t="e">
        <f>VLOOKUP($D50,Résultats!$B$2:$AX$476,F$5,FALSE)</f>
        <v>#N/A</v>
      </c>
      <c r="G50" s="28" t="e">
        <f>VLOOKUP($D50,Résultats!$B$2:$AX$476,G$5,FALSE)</f>
        <v>#N/A</v>
      </c>
      <c r="H50" s="19" t="e">
        <f>VLOOKUP($D50,Résultats!$B$2:$AX$476,H$5,FALSE)</f>
        <v>#N/A</v>
      </c>
      <c r="I50" s="111" t="e">
        <f>VLOOKUP($D50,Résultats!$B$2:$AX$476,I$5,FALSE)</f>
        <v>#N/A</v>
      </c>
      <c r="J50" s="28" t="e">
        <f>VLOOKUP($D50,Résultats!$B$2:$AX$476,J$5,FALSE)</f>
        <v>#N/A</v>
      </c>
      <c r="K50" s="19" t="e">
        <f>VLOOKUP($D50,Résultats!$B$2:$AX$476,K$5,FALSE)</f>
        <v>#N/A</v>
      </c>
      <c r="L50" s="19" t="e">
        <f>VLOOKUP($D50,Résultats!$B$2:$AX$476,L$5,FALSE)</f>
        <v>#N/A</v>
      </c>
      <c r="M50" s="19" t="e">
        <f>VLOOKUP($D50,Résultats!$B$2:$AX$476,M$5,FALSE)</f>
        <v>#N/A</v>
      </c>
      <c r="N50" s="111" t="e">
        <f>VLOOKUP($D50,Résultats!$B$2:$AX$476,N$5,FALSE)</f>
        <v>#N/A</v>
      </c>
      <c r="O50" s="28" t="e">
        <f>VLOOKUP($D50,Résultats!$B$2:$AX$476,O$5,FALSE)</f>
        <v>#N/A</v>
      </c>
      <c r="P50" s="19" t="e">
        <f>VLOOKUP($D50,Résultats!$B$2:$AX$476,P$5,FALSE)</f>
        <v>#N/A</v>
      </c>
      <c r="Q50" s="19" t="e">
        <f>VLOOKUP($D50,Résultats!$B$2:$AX$476,Q$5,FALSE)</f>
        <v>#N/A</v>
      </c>
      <c r="R50" s="19" t="e">
        <f>VLOOKUP($D50,Résultats!$B$2:$AX$476,R$5,FALSE)</f>
        <v>#N/A</v>
      </c>
      <c r="S50" s="111" t="e">
        <f>VLOOKUP($D50,Résultats!$B$2:$AX$476,S$5,FALSE)</f>
        <v>#N/A</v>
      </c>
      <c r="T50" s="120" t="e">
        <f>VLOOKUP($D50,Résultats!$B$2:$AX$476,T$5,FALSE)</f>
        <v>#N/A</v>
      </c>
      <c r="U50" s="120" t="e">
        <f>VLOOKUP($D50,Résultats!$B$2:$AX$476,U$5,FALSE)</f>
        <v>#N/A</v>
      </c>
      <c r="V50" s="120" t="e">
        <f>VLOOKUP($D50,Résultats!$B$2:$AX$476,V$5,FALSE)</f>
        <v>#N/A</v>
      </c>
      <c r="W50" s="120" t="e">
        <f>VLOOKUP($D50,Résultats!$B$2:$AX$476,W$5,FALSE)</f>
        <v>#N/A</v>
      </c>
      <c r="X50" s="3"/>
    </row>
    <row r="51" spans="1:24" x14ac:dyDescent="0.25">
      <c r="A51" s="3"/>
      <c r="B51" s="274"/>
      <c r="C51" s="7" t="s">
        <v>12</v>
      </c>
      <c r="D51" s="3" t="s">
        <v>111</v>
      </c>
      <c r="E51" s="20" t="e">
        <f>VLOOKUP($D51,Résultats!$B$2:$AX$476,E$5,FALSE)</f>
        <v>#N/A</v>
      </c>
      <c r="F51" s="20" t="e">
        <f>VLOOKUP($D51,Résultats!$B$2:$AX$476,F$5,FALSE)</f>
        <v>#N/A</v>
      </c>
      <c r="G51" s="113" t="e">
        <f>VLOOKUP($D51,Résultats!$B$2:$AX$476,G$5,FALSE)</f>
        <v>#N/A</v>
      </c>
      <c r="H51" s="20" t="e">
        <f>VLOOKUP($D51,Résultats!$B$2:$AX$476,H$5,FALSE)</f>
        <v>#N/A</v>
      </c>
      <c r="I51" s="114" t="e">
        <f>VLOOKUP($D51,Résultats!$B$2:$AX$476,I$5,FALSE)</f>
        <v>#N/A</v>
      </c>
      <c r="J51" s="113" t="e">
        <f>VLOOKUP($D51,Résultats!$B$2:$AX$476,J$5,FALSE)</f>
        <v>#N/A</v>
      </c>
      <c r="K51" s="20" t="e">
        <f>VLOOKUP($D51,Résultats!$B$2:$AX$476,K$5,FALSE)</f>
        <v>#N/A</v>
      </c>
      <c r="L51" s="20" t="e">
        <f>VLOOKUP($D51,Résultats!$B$2:$AX$476,L$5,FALSE)</f>
        <v>#N/A</v>
      </c>
      <c r="M51" s="20" t="e">
        <f>VLOOKUP($D51,Résultats!$B$2:$AX$476,M$5,FALSE)</f>
        <v>#N/A</v>
      </c>
      <c r="N51" s="114" t="e">
        <f>VLOOKUP($D51,Résultats!$B$2:$AX$476,N$5,FALSE)</f>
        <v>#N/A</v>
      </c>
      <c r="O51" s="113" t="e">
        <f>VLOOKUP($D51,Résultats!$B$2:$AX$476,O$5,FALSE)</f>
        <v>#N/A</v>
      </c>
      <c r="P51" s="20" t="e">
        <f>VLOOKUP($D51,Résultats!$B$2:$AX$476,P$5,FALSE)</f>
        <v>#N/A</v>
      </c>
      <c r="Q51" s="20" t="e">
        <f>VLOOKUP($D51,Résultats!$B$2:$AX$476,Q$5,FALSE)</f>
        <v>#N/A</v>
      </c>
      <c r="R51" s="20" t="e">
        <f>VLOOKUP($D51,Résultats!$B$2:$AX$476,R$5,FALSE)</f>
        <v>#N/A</v>
      </c>
      <c r="S51" s="114" t="e">
        <f>VLOOKUP($D51,Résultats!$B$2:$AX$476,S$5,FALSE)</f>
        <v>#N/A</v>
      </c>
      <c r="T51" s="122" t="e">
        <f>VLOOKUP($D51,Résultats!$B$2:$AX$476,T$5,FALSE)</f>
        <v>#N/A</v>
      </c>
      <c r="U51" s="122" t="e">
        <f>VLOOKUP($D51,Résultats!$B$2:$AX$476,U$5,FALSE)</f>
        <v>#N/A</v>
      </c>
      <c r="V51" s="122" t="e">
        <f>VLOOKUP($D51,Résultats!$B$2:$AX$476,V$5,FALSE)</f>
        <v>#N/A</v>
      </c>
      <c r="W51" s="122" t="e">
        <f>VLOOKUP($D51,Résultats!$B$2:$AX$476,W$5,FALSE)</f>
        <v>#N/A</v>
      </c>
      <c r="X51" s="3"/>
    </row>
    <row r="52" spans="1:24" x14ac:dyDescent="0.25">
      <c r="A52" s="3"/>
      <c r="B52" s="207" t="s">
        <v>8</v>
      </c>
      <c r="C52" s="2"/>
      <c r="D52" s="17" t="s">
        <v>92</v>
      </c>
      <c r="E52" s="6" t="e">
        <f>VLOOKUP($D52,Résultats!$B$2:$AX$476,E$5,FALSE)</f>
        <v>#N/A</v>
      </c>
      <c r="F52" s="6" t="e">
        <f>VLOOKUP($D52,Résultats!$B$2:$AX$476,F$5,FALSE)</f>
        <v>#N/A</v>
      </c>
      <c r="G52" s="109" t="e">
        <f>VLOOKUP($D52,Résultats!$B$2:$AX$476,G$5,FALSE)</f>
        <v>#N/A</v>
      </c>
      <c r="H52" s="6" t="e">
        <f>VLOOKUP($D52,Résultats!$B$2:$AX$476,H$5,FALSE)</f>
        <v>#N/A</v>
      </c>
      <c r="I52" s="110" t="e">
        <f>VLOOKUP($D52,Résultats!$B$2:$AX$476,I$5,FALSE)</f>
        <v>#N/A</v>
      </c>
      <c r="J52" s="109" t="e">
        <f>VLOOKUP($D52,Résultats!$B$2:$AX$476,J$5,FALSE)</f>
        <v>#N/A</v>
      </c>
      <c r="K52" s="6" t="e">
        <f>VLOOKUP($D52,Résultats!$B$2:$AX$476,K$5,FALSE)</f>
        <v>#N/A</v>
      </c>
      <c r="L52" s="6" t="e">
        <f>VLOOKUP($D52,Résultats!$B$2:$AX$476,L$5,FALSE)</f>
        <v>#N/A</v>
      </c>
      <c r="M52" s="6" t="e">
        <f>VLOOKUP($D52,Résultats!$B$2:$AX$476,M$5,FALSE)</f>
        <v>#N/A</v>
      </c>
      <c r="N52" s="110" t="e">
        <f>VLOOKUP($D52,Résultats!$B$2:$AX$476,N$5,FALSE)</f>
        <v>#N/A</v>
      </c>
      <c r="O52" s="109" t="e">
        <f>VLOOKUP($D52,Résultats!$B$2:$AX$476,O$5,FALSE)</f>
        <v>#N/A</v>
      </c>
      <c r="P52" s="6" t="e">
        <f>VLOOKUP($D52,Résultats!$B$2:$AX$476,P$5,FALSE)</f>
        <v>#N/A</v>
      </c>
      <c r="Q52" s="6" t="e">
        <f>VLOOKUP($D52,Résultats!$B$2:$AX$476,Q$5,FALSE)</f>
        <v>#N/A</v>
      </c>
      <c r="R52" s="6" t="e">
        <f>VLOOKUP($D52,Résultats!$B$2:$AX$476,R$5,FALSE)</f>
        <v>#N/A</v>
      </c>
      <c r="S52" s="110" t="e">
        <f>VLOOKUP($D52,Résultats!$B$2:$AX$476,S$5,FALSE)</f>
        <v>#N/A</v>
      </c>
      <c r="T52" s="119" t="e">
        <f>VLOOKUP($D52,Résultats!$B$2:$AX$476,T$5,FALSE)</f>
        <v>#N/A</v>
      </c>
      <c r="U52" s="119" t="e">
        <f>VLOOKUP($D52,Résultats!$B$2:$AX$476,U$5,FALSE)</f>
        <v>#N/A</v>
      </c>
      <c r="V52" s="119" t="e">
        <f>VLOOKUP($D52,Résultats!$B$2:$AX$476,V$5,FALSE)</f>
        <v>#N/A</v>
      </c>
      <c r="W52" s="119" t="e">
        <f>VLOOKUP($D52,Résultats!$B$2:$AX$476,W$5,FALSE)</f>
        <v>#N/A</v>
      </c>
      <c r="X52" s="3"/>
    </row>
    <row r="53" spans="1:24" x14ac:dyDescent="0.25">
      <c r="A53" s="3"/>
      <c r="B53" s="206" t="s">
        <v>1</v>
      </c>
      <c r="C53" s="2"/>
      <c r="D53" s="2" t="s">
        <v>93</v>
      </c>
      <c r="E53" s="9" t="e">
        <f>E52+E45+E36+E33</f>
        <v>#N/A</v>
      </c>
      <c r="F53" s="9" t="e">
        <f>F52+F45+F36+F33</f>
        <v>#N/A</v>
      </c>
      <c r="G53" s="29" t="e">
        <f t="shared" ref="G53:R53" si="12">G52+G45+G36+G33</f>
        <v>#N/A</v>
      </c>
      <c r="H53" s="9" t="e">
        <f t="shared" si="12"/>
        <v>#N/A</v>
      </c>
      <c r="I53" s="115" t="e">
        <f t="shared" si="12"/>
        <v>#N/A</v>
      </c>
      <c r="J53" s="29" t="e">
        <f t="shared" si="12"/>
        <v>#N/A</v>
      </c>
      <c r="K53" s="9" t="e">
        <f t="shared" si="12"/>
        <v>#N/A</v>
      </c>
      <c r="L53" s="9" t="e">
        <f t="shared" si="12"/>
        <v>#N/A</v>
      </c>
      <c r="M53" s="9" t="e">
        <f t="shared" si="12"/>
        <v>#N/A</v>
      </c>
      <c r="N53" s="115" t="e">
        <f t="shared" si="12"/>
        <v>#N/A</v>
      </c>
      <c r="O53" s="29" t="e">
        <f t="shared" si="12"/>
        <v>#N/A</v>
      </c>
      <c r="P53" s="9" t="e">
        <f t="shared" si="12"/>
        <v>#N/A</v>
      </c>
      <c r="Q53" s="9" t="e">
        <f t="shared" si="12"/>
        <v>#N/A</v>
      </c>
      <c r="R53" s="9" t="e">
        <f t="shared" si="12"/>
        <v>#N/A</v>
      </c>
      <c r="S53" s="115" t="e">
        <f>S52+S45+S36+S33</f>
        <v>#N/A</v>
      </c>
      <c r="T53" s="123" t="e">
        <f>T52+T45+T36+T33</f>
        <v>#N/A</v>
      </c>
      <c r="U53" s="123" t="e">
        <f>U52+U45+U36+U33</f>
        <v>#N/A</v>
      </c>
      <c r="V53" s="123" t="e">
        <f>V52+V45+V36+V33</f>
        <v>#N/A</v>
      </c>
      <c r="W53" s="123" t="e">
        <f>W52+W45+W36+W33</f>
        <v>#N/A</v>
      </c>
      <c r="X53" s="3"/>
    </row>
    <row r="54" spans="1:24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spans="1:24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spans="1:24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</sheetData>
  <mergeCells count="6">
    <mergeCell ref="B45:B51"/>
    <mergeCell ref="B7:B9"/>
    <mergeCell ref="B10:B18"/>
    <mergeCell ref="B19:B25"/>
    <mergeCell ref="B33:B35"/>
    <mergeCell ref="B36:B44"/>
  </mergeCells>
  <pageMargins left="0.7" right="0.7" top="0.75" bottom="0.75" header="0.3" footer="0.3"/>
  <ignoredErrors>
    <ignoredError sqref="F10:W10 E19:W19 E10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AG371"/>
  <sheetViews>
    <sheetView tabSelected="1" topLeftCell="A107" zoomScale="77" zoomScaleNormal="77" workbookViewId="0">
      <selection activeCell="J118" sqref="J118"/>
    </sheetView>
  </sheetViews>
  <sheetFormatPr baseColWidth="10" defaultRowHeight="15" x14ac:dyDescent="0.25"/>
  <cols>
    <col min="1" max="1" width="11.42578125" style="3"/>
    <col min="2" max="2" width="11.42578125" style="3" customWidth="1"/>
    <col min="3" max="3" width="24.85546875" customWidth="1"/>
    <col min="4" max="4" width="15.7109375" hidden="1" customWidth="1"/>
    <col min="5" max="5" width="24" hidden="1" customWidth="1"/>
    <col min="6" max="6" width="25.42578125" hidden="1" customWidth="1"/>
    <col min="7" max="7" width="24.5703125" hidden="1" customWidth="1"/>
    <col min="8" max="8" width="15.7109375" customWidth="1"/>
    <col min="9" max="9" width="14" customWidth="1"/>
    <col min="11" max="11" width="11.42578125" customWidth="1"/>
    <col min="14" max="14" width="24.85546875" style="3" customWidth="1"/>
    <col min="20" max="20" width="11.42578125" style="3"/>
    <col min="21" max="21" width="15.7109375" customWidth="1"/>
    <col min="22" max="22" width="15.7109375" hidden="1" customWidth="1"/>
    <col min="23" max="23" width="24" hidden="1" customWidth="1"/>
    <col min="24" max="24" width="25.42578125" hidden="1" customWidth="1"/>
    <col min="25" max="25" width="24.5703125" hidden="1" customWidth="1"/>
    <col min="26" max="26" width="15.7109375" customWidth="1"/>
    <col min="27" max="27" width="14" customWidth="1"/>
    <col min="29" max="29" width="11.42578125" customWidth="1"/>
    <col min="31" max="33" width="11.42578125" style="3"/>
  </cols>
  <sheetData>
    <row r="1" spans="1:30" ht="28.5" x14ac:dyDescent="0.45">
      <c r="A1" s="225" t="s">
        <v>216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O1" s="3"/>
      <c r="P1" s="3"/>
      <c r="Q1" s="3"/>
      <c r="R1" s="3"/>
      <c r="S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pans="1:30" x14ac:dyDescent="0.25">
      <c r="B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O2" s="3"/>
      <c r="P2" s="3"/>
      <c r="Q2" s="3"/>
      <c r="R2" s="3"/>
      <c r="S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 ht="23.25" x14ac:dyDescent="0.35">
      <c r="A3" s="1" t="s">
        <v>200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O3" s="3"/>
      <c r="P3" s="3"/>
      <c r="Q3" s="3"/>
      <c r="R3" s="65"/>
      <c r="S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1:30" ht="23.25" x14ac:dyDescent="0.35">
      <c r="A4" s="194" t="str">
        <f>Résultats!B1</f>
        <v>TEND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O4" s="3"/>
      <c r="P4" s="3"/>
      <c r="Q4" s="3"/>
      <c r="R4" s="65"/>
      <c r="S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ht="23.25" x14ac:dyDescent="0.35">
      <c r="A5" s="1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O5" s="3"/>
      <c r="P5" s="3"/>
      <c r="Q5" s="3"/>
      <c r="R5" s="65"/>
      <c r="S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ht="18.75" x14ac:dyDescent="0.3">
      <c r="B6" s="66"/>
      <c r="C6" s="66"/>
      <c r="D6" s="66"/>
      <c r="E6" s="66"/>
      <c r="F6" s="66"/>
      <c r="G6" s="66"/>
      <c r="H6" s="66"/>
      <c r="I6" s="66"/>
      <c r="J6" s="3"/>
      <c r="K6" s="3"/>
      <c r="M6" s="3"/>
      <c r="O6" s="3"/>
      <c r="P6" s="3"/>
      <c r="Q6" s="3"/>
      <c r="R6" s="65"/>
      <c r="S6" s="65"/>
      <c r="T6" s="66"/>
      <c r="U6" s="66"/>
      <c r="V6" s="66"/>
      <c r="W6" s="66"/>
      <c r="X6" s="66"/>
      <c r="Y6" s="66"/>
      <c r="Z6" s="66"/>
      <c r="AA6" s="66"/>
      <c r="AB6" s="3"/>
      <c r="AC6" s="3"/>
    </row>
    <row r="7" spans="1:30" ht="18.75" x14ac:dyDescent="0.3">
      <c r="C7" s="65" t="s">
        <v>201</v>
      </c>
      <c r="I7" s="3"/>
      <c r="J7" s="3"/>
      <c r="K7" s="3"/>
      <c r="L7" s="3"/>
      <c r="M7" s="3"/>
      <c r="N7" s="65" t="s">
        <v>202</v>
      </c>
      <c r="O7" s="3"/>
      <c r="P7" s="3"/>
      <c r="Q7" s="3"/>
      <c r="R7" s="3"/>
      <c r="S7" s="3"/>
      <c r="U7" s="65" t="s">
        <v>201</v>
      </c>
      <c r="AA7" s="3"/>
      <c r="AB7" s="3"/>
      <c r="AC7" s="3"/>
      <c r="AD7" s="3"/>
    </row>
    <row r="8" spans="1:30" ht="23.25" x14ac:dyDescent="0.35">
      <c r="B8" s="70"/>
      <c r="C8" s="66" t="s">
        <v>132</v>
      </c>
      <c r="D8" s="3"/>
      <c r="E8" s="66"/>
      <c r="F8" s="66"/>
      <c r="G8" s="66"/>
      <c r="H8" s="66"/>
      <c r="I8" s="66"/>
      <c r="J8" s="66"/>
      <c r="K8" s="66"/>
      <c r="L8" s="3"/>
      <c r="M8" s="3"/>
      <c r="N8" t="s">
        <v>203</v>
      </c>
      <c r="U8" s="66" t="s">
        <v>132</v>
      </c>
      <c r="V8" s="3"/>
      <c r="W8" s="66"/>
      <c r="X8" s="66"/>
      <c r="Y8" s="66"/>
      <c r="Z8" s="66"/>
      <c r="AA8" s="66"/>
      <c r="AB8" s="66"/>
      <c r="AC8" s="66"/>
      <c r="AD8" s="3"/>
    </row>
    <row r="9" spans="1:30" x14ac:dyDescent="0.25">
      <c r="B9" s="66"/>
      <c r="C9" s="3"/>
      <c r="D9" s="3"/>
      <c r="E9" s="3"/>
      <c r="F9" s="3"/>
      <c r="G9" s="3"/>
      <c r="H9" s="66"/>
      <c r="I9" s="66"/>
      <c r="J9" s="66"/>
      <c r="K9" s="66"/>
      <c r="L9" s="3"/>
      <c r="M9" s="3"/>
      <c r="O9" s="3"/>
      <c r="P9" s="3"/>
      <c r="Q9" s="3"/>
      <c r="R9" s="3"/>
      <c r="S9" s="3"/>
      <c r="U9" s="3"/>
      <c r="V9" s="3"/>
      <c r="W9" s="3"/>
      <c r="X9" s="3"/>
      <c r="Y9" s="3"/>
      <c r="Z9" s="66"/>
      <c r="AA9" s="66"/>
      <c r="AB9" s="66"/>
      <c r="AC9" s="66"/>
      <c r="AD9" s="3"/>
    </row>
    <row r="10" spans="1:30" ht="31.5" x14ac:dyDescent="0.35">
      <c r="B10" s="66"/>
      <c r="C10" s="174">
        <v>2015</v>
      </c>
      <c r="D10" s="175"/>
      <c r="E10" s="175"/>
      <c r="F10" s="175"/>
      <c r="G10" s="175"/>
      <c r="H10" s="101" t="s">
        <v>36</v>
      </c>
      <c r="I10" s="101" t="s">
        <v>131</v>
      </c>
      <c r="J10" s="101" t="s">
        <v>38</v>
      </c>
      <c r="K10" s="101" t="s">
        <v>130</v>
      </c>
      <c r="L10" s="118" t="s">
        <v>1</v>
      </c>
      <c r="M10" s="25"/>
      <c r="N10" s="174">
        <v>2015</v>
      </c>
      <c r="O10" s="170" t="s">
        <v>36</v>
      </c>
      <c r="P10" s="101" t="s">
        <v>131</v>
      </c>
      <c r="Q10" s="101" t="s">
        <v>38</v>
      </c>
      <c r="R10" s="101" t="s">
        <v>130</v>
      </c>
      <c r="S10" s="118" t="s">
        <v>1</v>
      </c>
      <c r="U10" s="174">
        <v>2015</v>
      </c>
      <c r="V10" s="175"/>
      <c r="W10" s="175"/>
      <c r="X10" s="175"/>
      <c r="Y10" s="175"/>
      <c r="Z10" s="101" t="s">
        <v>36</v>
      </c>
      <c r="AA10" s="101" t="s">
        <v>131</v>
      </c>
      <c r="AB10" s="101" t="s">
        <v>38</v>
      </c>
      <c r="AC10" s="101" t="s">
        <v>130</v>
      </c>
      <c r="AD10" s="118" t="s">
        <v>1</v>
      </c>
    </row>
    <row r="11" spans="1:30" x14ac:dyDescent="0.25">
      <c r="C11" s="176" t="s">
        <v>18</v>
      </c>
      <c r="H11" s="8">
        <f>SUM(H12:H13)</f>
        <v>0</v>
      </c>
      <c r="I11" s="8">
        <f>SUM(I12:I13)</f>
        <v>43.368138809999998</v>
      </c>
      <c r="J11" s="8">
        <f>SUM(J12:J13)</f>
        <v>1.2122363029000001</v>
      </c>
      <c r="K11" s="8">
        <f>SUM(K12:K13)</f>
        <v>0.24394011805812998</v>
      </c>
      <c r="L11" s="121">
        <f>SUM(H11:K11)</f>
        <v>44.824315230958128</v>
      </c>
      <c r="M11" s="99"/>
      <c r="N11" s="179" t="s">
        <v>18</v>
      </c>
      <c r="O11" s="36">
        <f>'[1]Bilan 2015'!$X$46</f>
        <v>0</v>
      </c>
      <c r="P11" s="35">
        <f>SUM('[1]Bilan 2015'!$X$41:$X$43)</f>
        <v>42.748696780825377</v>
      </c>
      <c r="Q11" s="35">
        <f>'[1]Bilan 2015'!$X$13</f>
        <v>0.94471195184866696</v>
      </c>
      <c r="R11" s="35">
        <f>('[1]Bilan 2015'!$X$22+'[1]Bilan 2015'!$X$30+SUM('[1]Bilan 2015'!$X$36:$X$40)+SUM('[1]Bilan 2015'!$X$44:$X$45)+'[1]Bilan 2015'!$X$47)</f>
        <v>7.267406707154804E-2</v>
      </c>
      <c r="S11" s="171">
        <f>SUM(O11:R11)</f>
        <v>43.76608279974559</v>
      </c>
      <c r="U11" s="176" t="s">
        <v>18</v>
      </c>
      <c r="Z11" s="8">
        <v>0</v>
      </c>
      <c r="AA11" s="8">
        <v>43.296715939999999</v>
      </c>
      <c r="AB11" s="8">
        <v>1.2190163543999999</v>
      </c>
      <c r="AC11" s="8">
        <v>0.24408603343621002</v>
      </c>
      <c r="AD11" s="121">
        <v>44.759818327836207</v>
      </c>
    </row>
    <row r="12" spans="1:30" x14ac:dyDescent="0.25">
      <c r="C12" s="177" t="s">
        <v>19</v>
      </c>
      <c r="D12" t="s">
        <v>552</v>
      </c>
      <c r="E12" t="s">
        <v>553</v>
      </c>
      <c r="F12" t="s">
        <v>554</v>
      </c>
      <c r="G12" t="s">
        <v>555</v>
      </c>
      <c r="H12" s="19">
        <f>VLOOKUP(D12,Résultats!$B$2:$AX$476,'T energie vecteurs'!F5,FALSE)</f>
        <v>0</v>
      </c>
      <c r="I12" s="19">
        <f>VLOOKUP(E12,Résultats!$B$2:$AX$476,'T energie vecteurs'!F5,FALSE)</f>
        <v>24.332070699999999</v>
      </c>
      <c r="J12" s="19">
        <f>VLOOKUP(F12,Résultats!$B$2:$AX$476,'T energie vecteurs'!F5,FALSE)</f>
        <v>2.2854451899999999E-2</v>
      </c>
      <c r="K12" s="19">
        <f>VLOOKUP(G12,Résultats!$B$2:$AX$476,'T energie vecteurs'!F5,FALSE)</f>
        <v>8.0286581299999994E-6</v>
      </c>
      <c r="L12" s="120">
        <f t="shared" ref="L12:L20" si="0">SUM(H12:K12)</f>
        <v>24.354933180558128</v>
      </c>
      <c r="M12" s="19"/>
      <c r="N12" s="177" t="s">
        <v>19</v>
      </c>
      <c r="O12" s="172"/>
      <c r="P12" s="19"/>
      <c r="Q12" s="55"/>
      <c r="R12" s="19"/>
      <c r="S12" s="120"/>
      <c r="U12" s="177" t="s">
        <v>19</v>
      </c>
      <c r="V12" t="s">
        <v>552</v>
      </c>
      <c r="W12" t="s">
        <v>553</v>
      </c>
      <c r="X12" t="s">
        <v>554</v>
      </c>
      <c r="Y12" t="s">
        <v>555</v>
      </c>
      <c r="Z12" s="19">
        <v>0</v>
      </c>
      <c r="AA12" s="19">
        <v>24.25561944</v>
      </c>
      <c r="AB12" s="19">
        <v>2.90133404E-2</v>
      </c>
      <c r="AC12" s="19">
        <v>9.1395362099999892E-6</v>
      </c>
      <c r="AD12" s="120">
        <v>24.28464191993621</v>
      </c>
    </row>
    <row r="13" spans="1:30" x14ac:dyDescent="0.25">
      <c r="C13" s="178" t="s">
        <v>20</v>
      </c>
      <c r="D13" t="s">
        <v>556</v>
      </c>
      <c r="E13" t="s">
        <v>557</v>
      </c>
      <c r="F13" t="s">
        <v>558</v>
      </c>
      <c r="G13" t="s">
        <v>559</v>
      </c>
      <c r="H13" s="19">
        <f>VLOOKUP(D13,Résultats!$B$2:$AX$476,'T energie vecteurs'!F5,FALSE)</f>
        <v>0</v>
      </c>
      <c r="I13" s="19">
        <f>VLOOKUP(E13,Résultats!$B$2:$AX$476,'T energie vecteurs'!F5,FALSE)</f>
        <v>19.036068109999999</v>
      </c>
      <c r="J13" s="19">
        <f>VLOOKUP(F13,Résultats!$B$2:$AX$476,'T energie vecteurs'!F5,FALSE)</f>
        <v>1.189381851</v>
      </c>
      <c r="K13" s="19">
        <f>VLOOKUP(G13,Résultats!$B$2:$AX$476,'T energie vecteurs'!F5,FALSE)</f>
        <v>0.2439320894</v>
      </c>
      <c r="L13" s="120">
        <f t="shared" si="0"/>
        <v>20.4693820504</v>
      </c>
      <c r="M13" s="19"/>
      <c r="N13" s="178" t="s">
        <v>20</v>
      </c>
      <c r="O13" s="172"/>
      <c r="P13" s="19"/>
      <c r="Q13" s="55"/>
      <c r="R13" s="19"/>
      <c r="S13" s="120"/>
      <c r="U13" s="178" t="s">
        <v>20</v>
      </c>
      <c r="V13" t="s">
        <v>556</v>
      </c>
      <c r="W13" t="s">
        <v>557</v>
      </c>
      <c r="X13" t="s">
        <v>558</v>
      </c>
      <c r="Y13" t="s">
        <v>559</v>
      </c>
      <c r="Z13" s="19">
        <v>0</v>
      </c>
      <c r="AA13" s="19">
        <v>19.041096499999998</v>
      </c>
      <c r="AB13" s="19">
        <v>1.190003014</v>
      </c>
      <c r="AC13" s="19">
        <v>0.24407689390000001</v>
      </c>
      <c r="AD13" s="120">
        <v>20.475176407899998</v>
      </c>
    </row>
    <row r="14" spans="1:30" x14ac:dyDescent="0.25">
      <c r="C14" s="176" t="s">
        <v>21</v>
      </c>
      <c r="D14" t="s">
        <v>560</v>
      </c>
      <c r="E14" t="s">
        <v>561</v>
      </c>
      <c r="F14" t="s">
        <v>562</v>
      </c>
      <c r="G14" t="s">
        <v>563</v>
      </c>
      <c r="H14" s="8">
        <f>VLOOKUP(D14,Résultats!$B$2:$AX$476,'T energie vecteurs'!F5,FALSE)</f>
        <v>0.33704253179999999</v>
      </c>
      <c r="I14" s="8">
        <f>VLOOKUP(E14,Résultats!$B$2:$AX$476,'T energie vecteurs'!F5,FALSE)</f>
        <v>7.1923807609999999</v>
      </c>
      <c r="J14" s="8">
        <f>VLOOKUP(F14,Résultats!$B$2:$AX$476,'T energie vecteurs'!F5,FALSE)</f>
        <v>13.80444393</v>
      </c>
      <c r="K14" s="8">
        <f>VLOOKUP(G14,Résultats!$B$2:$AX$476,'T energie vecteurs'!F5,FALSE)+2</f>
        <v>20.357479949999998</v>
      </c>
      <c r="L14" s="121">
        <f>SUM(H14:K14)</f>
        <v>41.691347172799993</v>
      </c>
      <c r="M14" s="99"/>
      <c r="N14" s="179" t="s">
        <v>21</v>
      </c>
      <c r="O14" s="36">
        <f>'[1]Bilan 2015'!$V$46</f>
        <v>3.6764196608413298E-2</v>
      </c>
      <c r="P14" s="35">
        <f>SUM('[1]Bilan 2015'!$V$41:$V$43)</f>
        <v>6.6752954110546101</v>
      </c>
      <c r="Q14" s="35">
        <f>'[1]Bilan 2015'!$V$13</f>
        <v>13.6203670581426</v>
      </c>
      <c r="R14" s="35">
        <f>('[1]Bilan 2015'!$V$22+'[1]Bilan 2015'!$V$30+SUM('[1]Bilan 2015'!$V$36:$V$40)+SUM('[1]Bilan 2015'!$V$44:$V$45)+'[1]Bilan 2015'!$V$47)</f>
        <v>21.832863706323721</v>
      </c>
      <c r="S14" s="171">
        <f t="shared" ref="S14:S19" si="1">SUM(O14:R14)</f>
        <v>42.165290372129348</v>
      </c>
      <c r="U14" s="176" t="s">
        <v>21</v>
      </c>
      <c r="V14" t="s">
        <v>560</v>
      </c>
      <c r="W14" t="s">
        <v>561</v>
      </c>
      <c r="X14" t="s">
        <v>562</v>
      </c>
      <c r="Y14" t="s">
        <v>563</v>
      </c>
      <c r="Z14" s="8">
        <v>0.33699222420000002</v>
      </c>
      <c r="AA14" s="8">
        <v>7.1888095700000001</v>
      </c>
      <c r="AB14" s="8">
        <v>13.80657761</v>
      </c>
      <c r="AC14" s="8">
        <v>20.35437817</v>
      </c>
      <c r="AD14" s="121">
        <v>41.686757574200001</v>
      </c>
    </row>
    <row r="15" spans="1:30" x14ac:dyDescent="0.25">
      <c r="C15" s="176" t="s">
        <v>22</v>
      </c>
      <c r="D15" t="s">
        <v>564</v>
      </c>
      <c r="E15" t="s">
        <v>565</v>
      </c>
      <c r="F15" t="s">
        <v>566</v>
      </c>
      <c r="G15" t="s">
        <v>567</v>
      </c>
      <c r="H15" s="8">
        <f>VLOOKUP(D15,Résultats!$B$2:$AX$476,'T energie vecteurs'!F5,FALSE)</f>
        <v>0</v>
      </c>
      <c r="I15" s="8">
        <f>VLOOKUP(E15,Résultats!$B$2:$AX$476,'T energie vecteurs'!F5,FALSE)</f>
        <v>4.1783663439999996</v>
      </c>
      <c r="J15" s="8">
        <f>VLOOKUP(F15,Résultats!$B$2:$AX$476,'T energie vecteurs'!F5,FALSE)</f>
        <v>13.06948058</v>
      </c>
      <c r="K15" s="8"/>
      <c r="L15" s="121">
        <f t="shared" si="0"/>
        <v>17.247846924000001</v>
      </c>
      <c r="M15" s="99"/>
      <c r="N15" s="179" t="s">
        <v>22</v>
      </c>
      <c r="O15" s="36">
        <f>'[1]Bilan 2015'!$W$46</f>
        <v>4.3073392295861899E-2</v>
      </c>
      <c r="P15" s="35">
        <f>SUM('[1]Bilan 2015'!$W$41:$W$43)</f>
        <v>3.01546564464017</v>
      </c>
      <c r="Q15" s="35">
        <f>'[1]Bilan 2015'!$W$13</f>
        <v>12.701365476499801</v>
      </c>
      <c r="R15" s="35">
        <f>('[1]Bilan 2015'!$W$22+'[1]Bilan 2015'!$W$30+SUM('[1]Bilan 2015'!$W$36:$W$40)+SUM('[1]Bilan 2015'!$W$44:$W$45)+'[1]Bilan 2015'!$W$47)</f>
        <v>8.7461122445901367</v>
      </c>
      <c r="S15" s="171">
        <f t="shared" si="1"/>
        <v>24.506016758025968</v>
      </c>
      <c r="U15" s="176" t="s">
        <v>22</v>
      </c>
      <c r="V15" t="s">
        <v>564</v>
      </c>
      <c r="W15" t="s">
        <v>565</v>
      </c>
      <c r="X15" t="s">
        <v>566</v>
      </c>
      <c r="Y15" t="s">
        <v>567</v>
      </c>
      <c r="Z15" s="8">
        <v>0</v>
      </c>
      <c r="AA15" s="271">
        <v>4.1772130589999996</v>
      </c>
      <c r="AB15" s="271">
        <v>13.072682670000001</v>
      </c>
      <c r="AC15" s="271"/>
      <c r="AD15" s="121">
        <v>17.249895729000002</v>
      </c>
    </row>
    <row r="16" spans="1:30" x14ac:dyDescent="0.25">
      <c r="C16" s="176" t="s">
        <v>23</v>
      </c>
      <c r="H16" s="8">
        <f>SUM(H17:H19)</f>
        <v>4.8785881231000001</v>
      </c>
      <c r="I16" s="8">
        <f>SUM(I17:I19)</f>
        <v>18.506935418999998</v>
      </c>
      <c r="J16" s="8">
        <f>SUM(J17:J19)</f>
        <v>11.2380073239</v>
      </c>
      <c r="K16" s="8">
        <f>SUM(K17:K19)</f>
        <v>14.995644387399999</v>
      </c>
      <c r="L16" s="121">
        <f>SUM(H16:K16)</f>
        <v>49.619175253399995</v>
      </c>
      <c r="M16" s="99"/>
      <c r="N16" s="179" t="s">
        <v>252</v>
      </c>
      <c r="O16" s="36">
        <f>O17+O18</f>
        <v>4.2636280705371687</v>
      </c>
      <c r="P16" s="35">
        <f t="shared" ref="P16:R16" si="2">P17+P18</f>
        <v>14.865720748941945</v>
      </c>
      <c r="Q16" s="35">
        <f t="shared" si="2"/>
        <v>10.069552160228</v>
      </c>
      <c r="R16" s="35">
        <f t="shared" si="2"/>
        <v>13.756399814544654</v>
      </c>
      <c r="S16" s="171">
        <f t="shared" si="1"/>
        <v>42.95530079425177</v>
      </c>
      <c r="U16" s="176" t="s">
        <v>23</v>
      </c>
      <c r="Z16" s="8">
        <v>4.8765354159999994</v>
      </c>
      <c r="AA16" s="8">
        <v>18.491929931999998</v>
      </c>
      <c r="AB16" s="8">
        <v>11.204931141700001</v>
      </c>
      <c r="AC16" s="8">
        <v>14.968213004800001</v>
      </c>
      <c r="AD16" s="121">
        <v>49.541609494500001</v>
      </c>
    </row>
    <row r="17" spans="2:30" x14ac:dyDescent="0.25">
      <c r="C17" s="178" t="s">
        <v>24</v>
      </c>
      <c r="D17" t="s">
        <v>568</v>
      </c>
      <c r="E17" t="s">
        <v>569</v>
      </c>
      <c r="F17" t="s">
        <v>570</v>
      </c>
      <c r="G17" t="s">
        <v>571</v>
      </c>
      <c r="H17" s="19">
        <f>VLOOKUP(D17,Résultats!$B$2:$AX$476,'T energie vecteurs'!F5,FALSE)</f>
        <v>3.884387239</v>
      </c>
      <c r="I17" s="19">
        <f>VLOOKUP(E17,Résultats!$B$2:$AX$476,'T energie vecteurs'!F5,FALSE)</f>
        <v>14.169108530000001</v>
      </c>
      <c r="J17" s="19">
        <f>VLOOKUP(F17,Résultats!$B$2:$AX$476,'T energie vecteurs'!F5,FALSE)</f>
        <v>10.92062949</v>
      </c>
      <c r="K17" s="19">
        <f>VLOOKUP(G17,Résultats!$B$2:$AX$476,'T energie vecteurs'!F5,FALSE)</f>
        <v>12.80895503</v>
      </c>
      <c r="L17" s="120">
        <f t="shared" si="0"/>
        <v>41.783080288999997</v>
      </c>
      <c r="M17" s="19"/>
      <c r="N17" s="178" t="s">
        <v>253</v>
      </c>
      <c r="O17" s="172">
        <f>'[1]Bilan 2015'!$U$46</f>
        <v>1.0493092649428299</v>
      </c>
      <c r="P17" s="37">
        <f>SUM('[1]Bilan 2015'!$U$41:$U$43)</f>
        <v>2.4127207489419455</v>
      </c>
      <c r="Q17" s="37">
        <f>'[1]Bilan 2015'!$U$13</f>
        <v>10.069552160228</v>
      </c>
      <c r="R17" s="37">
        <f>('[1]Bilan 2015'!$U$22+'[1]Bilan 2015'!$U$30+SUM('[1]Bilan 2015'!$U$36:$U$40)+SUM('[1]Bilan 2015'!$U$44:$U$45)+'[1]Bilan 2015'!$U$47)</f>
        <v>12.654813573219924</v>
      </c>
      <c r="S17" s="120">
        <f t="shared" si="1"/>
        <v>26.186395747332696</v>
      </c>
      <c r="U17" s="178" t="s">
        <v>24</v>
      </c>
      <c r="V17" t="s">
        <v>568</v>
      </c>
      <c r="W17" t="s">
        <v>569</v>
      </c>
      <c r="X17" t="s">
        <v>570</v>
      </c>
      <c r="Y17" t="s">
        <v>571</v>
      </c>
      <c r="Z17" s="19">
        <v>3.8823198269999999</v>
      </c>
      <c r="AA17" s="19">
        <v>14.15502992</v>
      </c>
      <c r="AB17" s="19">
        <v>10.887530870000001</v>
      </c>
      <c r="AC17" s="19">
        <v>12.78159413</v>
      </c>
      <c r="AD17" s="120">
        <v>41.706474747000001</v>
      </c>
    </row>
    <row r="18" spans="2:30" x14ac:dyDescent="0.25">
      <c r="C18" s="178" t="s">
        <v>129</v>
      </c>
      <c r="D18" t="s">
        <v>572</v>
      </c>
      <c r="E18" t="s">
        <v>573</v>
      </c>
      <c r="F18" t="s">
        <v>574</v>
      </c>
      <c r="G18" t="s">
        <v>575</v>
      </c>
      <c r="H18" s="19">
        <f>VLOOKUP(D18,Résultats!$B$2:$AX$476,'T energie vecteurs'!F5,FALSE)</f>
        <v>0.99420088409999996</v>
      </c>
      <c r="I18" s="19">
        <f>VLOOKUP(E18,Résultats!$B$2:$AX$476,'T energie vecteurs'!F5,FALSE)</f>
        <v>1.8954178779999999</v>
      </c>
      <c r="J18" s="19">
        <f>VLOOKUP(F18,Résultats!$B$2:$AX$476,'T energie vecteurs'!F5,FALSE)</f>
        <v>0</v>
      </c>
      <c r="K18" s="19">
        <f>VLOOKUP(G18,Résultats!$B$2:$AX$476,'T energie vecteurs'!F5,FALSE)</f>
        <v>1.787273307</v>
      </c>
      <c r="L18" s="120">
        <f t="shared" si="0"/>
        <v>4.6768920691</v>
      </c>
      <c r="M18" s="19"/>
      <c r="N18" s="178" t="s">
        <v>129</v>
      </c>
      <c r="O18" s="28">
        <f>'[1]Bilan 2015'!$E$52</f>
        <v>3.2143188055943388</v>
      </c>
      <c r="P18" s="19">
        <f>('[1]Bilan 2015'!$E$54+'[1]Bilan 2015'!$E$56)</f>
        <v>12.452999999999999</v>
      </c>
      <c r="Q18" s="19">
        <v>0</v>
      </c>
      <c r="R18" s="19">
        <f>('[1]Bilan 2015'!$E$53+'[1]Bilan 2015'!$E$55+'[1]Bilan 2015'!$E$57)</f>
        <v>1.1015862413247299</v>
      </c>
      <c r="S18" s="120">
        <f t="shared" si="1"/>
        <v>16.768905046919066</v>
      </c>
      <c r="U18" s="178" t="s">
        <v>129</v>
      </c>
      <c r="V18" t="s">
        <v>572</v>
      </c>
      <c r="W18" t="s">
        <v>573</v>
      </c>
      <c r="X18" t="s">
        <v>574</v>
      </c>
      <c r="Y18" t="s">
        <v>575</v>
      </c>
      <c r="Z18" s="19">
        <v>0.99421558899999996</v>
      </c>
      <c r="AA18" s="19">
        <v>1.8954507620000001</v>
      </c>
      <c r="AB18" s="19">
        <v>0</v>
      </c>
      <c r="AC18" s="19">
        <v>1.7872898909999999</v>
      </c>
      <c r="AD18" s="120">
        <v>4.6769562419999993</v>
      </c>
    </row>
    <row r="19" spans="2:30" x14ac:dyDescent="0.25">
      <c r="C19" s="178" t="s">
        <v>25</v>
      </c>
      <c r="D19" t="s">
        <v>576</v>
      </c>
      <c r="E19" t="s">
        <v>577</v>
      </c>
      <c r="F19" t="s">
        <v>578</v>
      </c>
      <c r="G19" t="s">
        <v>579</v>
      </c>
      <c r="H19" s="19">
        <f>VLOOKUP(D19,Résultats!$B$2:$AX$476,'T energie vecteurs'!F5,FALSE)</f>
        <v>0</v>
      </c>
      <c r="I19" s="19">
        <f>VLOOKUP(E19,Résultats!$B$2:$AX$476,'T energie vecteurs'!F5,FALSE)</f>
        <v>2.4424090110000001</v>
      </c>
      <c r="J19" s="19">
        <f>VLOOKUP(F19,Résultats!$B$2:$AX$476,'T energie vecteurs'!F5,FALSE)</f>
        <v>0.31737783390000002</v>
      </c>
      <c r="K19" s="19">
        <f>VLOOKUP(G19,Résultats!$B$2:$AX$476,'T energie vecteurs'!F5,FALSE)</f>
        <v>0.3994160504</v>
      </c>
      <c r="L19" s="120">
        <f t="shared" si="0"/>
        <v>3.1592028953000004</v>
      </c>
      <c r="M19" s="19"/>
      <c r="N19" s="179" t="s">
        <v>25</v>
      </c>
      <c r="O19" s="36">
        <f>'[1]Bilan 2015'!$T$46</f>
        <v>2.2137192704974398E-3</v>
      </c>
      <c r="P19" s="35">
        <f>SUM('[1]Bilan 2015'!$T$41:$T$43)</f>
        <v>3.4936667755496749</v>
      </c>
      <c r="Q19" s="35">
        <f>'[1]Bilan 2015'!$T$13</f>
        <v>0.74651762682717104</v>
      </c>
      <c r="R19" s="35">
        <f>('[1]Bilan 2015'!$T$22+'[1]Bilan 2015'!$T$30+SUM('[1]Bilan 2015'!$T$36:$T$40)+SUM('[1]Bilan 2015'!$T$44:$T$45)+'[1]Bilan 2015'!$T$47)</f>
        <v>0.24365267378081518</v>
      </c>
      <c r="S19" s="171">
        <f t="shared" si="1"/>
        <v>4.4860507954281585</v>
      </c>
      <c r="U19" s="178" t="s">
        <v>25</v>
      </c>
      <c r="V19" t="s">
        <v>576</v>
      </c>
      <c r="W19" t="s">
        <v>577</v>
      </c>
      <c r="X19" t="s">
        <v>578</v>
      </c>
      <c r="Y19" t="s">
        <v>579</v>
      </c>
      <c r="Z19" s="19">
        <v>0</v>
      </c>
      <c r="AA19" s="19">
        <v>2.4414492499999998</v>
      </c>
      <c r="AB19" s="19">
        <v>0.31740027170000001</v>
      </c>
      <c r="AC19" s="19">
        <v>0.39932898379999998</v>
      </c>
      <c r="AD19" s="120">
        <v>3.1581785054999996</v>
      </c>
    </row>
    <row r="20" spans="2:30" x14ac:dyDescent="0.25">
      <c r="C20" s="29" t="s">
        <v>26</v>
      </c>
      <c r="D20" s="10"/>
      <c r="E20" s="10"/>
      <c r="F20" s="10"/>
      <c r="G20" s="10"/>
      <c r="H20" s="9">
        <f>SUM(H11,H14:H16)</f>
        <v>5.2156306549</v>
      </c>
      <c r="I20" s="9">
        <f>SUM(I11,I14:I16)</f>
        <v>73.245821333999999</v>
      </c>
      <c r="J20" s="9">
        <f>SUM(J11,J14:J16)</f>
        <v>39.324168136799997</v>
      </c>
      <c r="K20" s="9">
        <f>SUM(K11,K14:K16)</f>
        <v>35.597064455458124</v>
      </c>
      <c r="L20" s="123">
        <f t="shared" si="0"/>
        <v>153.38268458115812</v>
      </c>
      <c r="M20" s="105"/>
      <c r="N20" s="180" t="s">
        <v>26</v>
      </c>
      <c r="O20" s="40">
        <f>O11+O14+O15+O16+O19</f>
        <v>4.3456793787119414</v>
      </c>
      <c r="P20" s="38">
        <f>P11+P14+P15+P16+P19</f>
        <v>70.798845361011772</v>
      </c>
      <c r="Q20" s="38">
        <f>Q11+Q14+Q15+Q16+Q19</f>
        <v>38.082514273546238</v>
      </c>
      <c r="R20" s="38">
        <f>R11+R14+R15+R16+R19</f>
        <v>44.651702506310876</v>
      </c>
      <c r="S20" s="173">
        <f>SUM(O20:R20)</f>
        <v>157.87874151958081</v>
      </c>
      <c r="T20" s="69"/>
      <c r="U20" s="29" t="s">
        <v>26</v>
      </c>
      <c r="V20" s="10"/>
      <c r="W20" s="10"/>
      <c r="X20" s="10"/>
      <c r="Y20" s="10"/>
      <c r="Z20" s="9">
        <v>5.2135276401999997</v>
      </c>
      <c r="AA20" s="9">
        <v>73.154668501000003</v>
      </c>
      <c r="AB20" s="9">
        <v>39.303207776100002</v>
      </c>
      <c r="AC20" s="9">
        <v>35.566677208236214</v>
      </c>
      <c r="AD20" s="123">
        <v>153.23808112553621</v>
      </c>
    </row>
    <row r="21" spans="2:30" s="3" customFormat="1" x14ac:dyDescent="0.25">
      <c r="B21" s="84"/>
      <c r="H21" s="69"/>
      <c r="I21" s="69"/>
      <c r="J21" s="69"/>
      <c r="K21" s="69"/>
      <c r="L21" s="69"/>
      <c r="M21" s="69"/>
      <c r="N21" s="69"/>
      <c r="O21" s="103"/>
      <c r="P21" s="103"/>
      <c r="Q21" s="103"/>
      <c r="R21" s="104"/>
      <c r="S21" s="69">
        <f>S11+S14+S15+S16+S19</f>
        <v>157.87874151958081</v>
      </c>
      <c r="Z21" s="69"/>
      <c r="AA21" s="69"/>
      <c r="AB21" s="69"/>
      <c r="AC21" s="69"/>
      <c r="AD21" s="69"/>
    </row>
    <row r="22" spans="2:30" s="3" customFormat="1" x14ac:dyDescent="0.25">
      <c r="I22" s="69"/>
      <c r="J22" s="69"/>
      <c r="K22" s="69"/>
      <c r="AA22" s="69"/>
      <c r="AB22" s="69"/>
      <c r="AC22" s="69"/>
    </row>
    <row r="23" spans="2:30" ht="31.5" x14ac:dyDescent="0.35">
      <c r="C23" s="174">
        <v>2020</v>
      </c>
      <c r="D23" s="175"/>
      <c r="E23" s="175"/>
      <c r="F23" s="175"/>
      <c r="G23" s="175"/>
      <c r="H23" s="101" t="s">
        <v>36</v>
      </c>
      <c r="I23" s="101" t="s">
        <v>131</v>
      </c>
      <c r="J23" s="101" t="s">
        <v>38</v>
      </c>
      <c r="K23" s="101" t="s">
        <v>130</v>
      </c>
      <c r="L23" s="118" t="s">
        <v>1</v>
      </c>
      <c r="M23" s="25"/>
      <c r="N23" s="174">
        <v>2020</v>
      </c>
      <c r="O23" s="170" t="s">
        <v>36</v>
      </c>
      <c r="P23" s="101" t="s">
        <v>131</v>
      </c>
      <c r="Q23" s="101" t="s">
        <v>38</v>
      </c>
      <c r="R23" s="101" t="s">
        <v>130</v>
      </c>
      <c r="S23" s="118" t="s">
        <v>1</v>
      </c>
      <c r="T23" s="25"/>
      <c r="U23" s="174">
        <v>2020</v>
      </c>
      <c r="V23" s="175"/>
      <c r="W23" s="175"/>
      <c r="X23" s="175"/>
      <c r="Y23" s="175"/>
      <c r="Z23" s="101" t="s">
        <v>36</v>
      </c>
      <c r="AA23" s="101" t="s">
        <v>131</v>
      </c>
      <c r="AB23" s="101" t="s">
        <v>38</v>
      </c>
      <c r="AC23" s="101" t="s">
        <v>130</v>
      </c>
      <c r="AD23" s="118" t="s">
        <v>1</v>
      </c>
    </row>
    <row r="24" spans="2:30" x14ac:dyDescent="0.25">
      <c r="C24" s="176" t="s">
        <v>18</v>
      </c>
      <c r="H24" s="8">
        <f>SUM(H25:H26)</f>
        <v>0</v>
      </c>
      <c r="I24" s="8">
        <f>SUM(I25:I26)</f>
        <v>42.60669789</v>
      </c>
      <c r="J24" s="8">
        <f>SUM(J25:J26)</f>
        <v>1.4173615506999999</v>
      </c>
      <c r="K24" s="8">
        <f>SUM(K25:K26)</f>
        <v>0.26828863290689997</v>
      </c>
      <c r="L24" s="121">
        <f t="shared" ref="L24:L33" si="3">SUM(H24:K24)</f>
        <v>44.292348073606902</v>
      </c>
      <c r="M24" s="99"/>
      <c r="N24" s="179" t="s">
        <v>18</v>
      </c>
      <c r="O24" s="36">
        <f>'[1]Bilan 2020'!$X$46/11.63</f>
        <v>0</v>
      </c>
      <c r="P24" s="35">
        <f>SUM('[1]Bilan 2020'!$X$41:$X$43)/11.63</f>
        <v>35.668036461633939</v>
      </c>
      <c r="Q24" s="35">
        <f>'[1]Bilan 2020'!$X$13/11.63</f>
        <v>0.71687008340498715</v>
      </c>
      <c r="R24" s="35">
        <f>('[1]Bilan 2020'!$X$22+'[1]Bilan 2020'!$X$30+SUM('[1]Bilan 2020'!$X$36:$X$40)+SUM('[1]Bilan 2020'!$X$44:$X$45)+'[1]Bilan 2020'!$X$47)/11.63</f>
        <v>0.19326865864144452</v>
      </c>
      <c r="S24" s="171">
        <f>SUM(O24:R24)</f>
        <v>36.578175203680367</v>
      </c>
      <c r="T24" s="169"/>
      <c r="U24" s="176" t="s">
        <v>18</v>
      </c>
      <c r="Z24" s="8">
        <v>0</v>
      </c>
      <c r="AA24" s="8">
        <v>42.470170709999998</v>
      </c>
      <c r="AB24" s="8">
        <v>1.4398483075000001</v>
      </c>
      <c r="AC24" s="8">
        <v>0.26857153999110001</v>
      </c>
      <c r="AD24" s="121">
        <v>44.178590557491098</v>
      </c>
    </row>
    <row r="25" spans="2:30" x14ac:dyDescent="0.25">
      <c r="C25" s="177" t="s">
        <v>19</v>
      </c>
      <c r="D25" t="s">
        <v>552</v>
      </c>
      <c r="E25" t="s">
        <v>553</v>
      </c>
      <c r="F25" t="s">
        <v>554</v>
      </c>
      <c r="G25" t="s">
        <v>555</v>
      </c>
      <c r="H25" s="19">
        <f>VLOOKUP(D25,Résultats!$B$2:$AX$476,'T energie vecteurs'!I5,FALSE)</f>
        <v>0</v>
      </c>
      <c r="I25" s="19">
        <f>VLOOKUP(E25,Résultats!$B$2:$AX$476,'T energie vecteurs'!I5,FALSE)</f>
        <v>24.08860327</v>
      </c>
      <c r="J25" s="19">
        <f>VLOOKUP(F25,Résultats!$B$2:$AX$476,'T energie vecteurs'!I5,FALSE)</f>
        <v>9.1123452699999996E-2</v>
      </c>
      <c r="K25" s="19">
        <f>VLOOKUP(G77,Résultats!$B$2:$AX$476,'T energie vecteurs'!I5,FALSE)</f>
        <v>1.1698606899999999E-5</v>
      </c>
      <c r="L25" s="120">
        <f t="shared" si="3"/>
        <v>24.179738421306901</v>
      </c>
      <c r="M25" s="19"/>
      <c r="N25" s="177" t="s">
        <v>19</v>
      </c>
      <c r="O25" s="172"/>
      <c r="P25" s="19"/>
      <c r="Q25" s="55"/>
      <c r="R25" s="19"/>
      <c r="S25" s="120"/>
      <c r="T25" s="169"/>
      <c r="U25" s="177" t="s">
        <v>19</v>
      </c>
      <c r="V25" t="s">
        <v>552</v>
      </c>
      <c r="W25" t="s">
        <v>553</v>
      </c>
      <c r="X25" t="s">
        <v>554</v>
      </c>
      <c r="Y25" t="s">
        <v>555</v>
      </c>
      <c r="Z25" s="19">
        <v>0</v>
      </c>
      <c r="AA25" s="19">
        <v>23.933606399999999</v>
      </c>
      <c r="AB25" s="19">
        <v>0.1115936015</v>
      </c>
      <c r="AC25" s="19">
        <v>1.3015391099999999E-5</v>
      </c>
      <c r="AD25" s="120">
        <v>24.0452130168911</v>
      </c>
    </row>
    <row r="26" spans="2:30" x14ac:dyDescent="0.25">
      <c r="C26" s="178" t="s">
        <v>20</v>
      </c>
      <c r="D26" t="s">
        <v>556</v>
      </c>
      <c r="E26" t="s">
        <v>557</v>
      </c>
      <c r="F26" t="s">
        <v>558</v>
      </c>
      <c r="G26" t="s">
        <v>559</v>
      </c>
      <c r="H26" s="19">
        <f>VLOOKUP(D26,Résultats!$B$2:$AX$476,'T energie vecteurs'!I5,FALSE)</f>
        <v>0</v>
      </c>
      <c r="I26" s="19">
        <f>VLOOKUP(E26,Résultats!$B$2:$AX$476,'T energie vecteurs'!I5,FALSE)</f>
        <v>18.518094619999999</v>
      </c>
      <c r="J26" s="19">
        <f>VLOOKUP(F26,Résultats!$B$2:$AX$476,'T energie vecteurs'!I5,FALSE)</f>
        <v>1.3262380979999999</v>
      </c>
      <c r="K26" s="19">
        <f>VLOOKUP(G26,Résultats!$B$2:$AX$476,'T energie vecteurs'!I5,FALSE)</f>
        <v>0.26827693429999999</v>
      </c>
      <c r="L26" s="120">
        <f t="shared" si="3"/>
        <v>20.112609652300002</v>
      </c>
      <c r="M26" s="19"/>
      <c r="N26" s="178" t="s">
        <v>20</v>
      </c>
      <c r="O26" s="172"/>
      <c r="P26" s="19"/>
      <c r="Q26" s="55"/>
      <c r="R26" s="19"/>
      <c r="S26" s="120"/>
      <c r="T26" s="169"/>
      <c r="U26" s="178" t="s">
        <v>20</v>
      </c>
      <c r="V26" t="s">
        <v>556</v>
      </c>
      <c r="W26" t="s">
        <v>557</v>
      </c>
      <c r="X26" t="s">
        <v>558</v>
      </c>
      <c r="Y26" t="s">
        <v>559</v>
      </c>
      <c r="Z26" s="19">
        <v>0</v>
      </c>
      <c r="AA26" s="19">
        <v>18.536564309999999</v>
      </c>
      <c r="AB26" s="19">
        <v>1.3282547060000001</v>
      </c>
      <c r="AC26" s="19">
        <v>0.26855852460000001</v>
      </c>
      <c r="AD26" s="120">
        <v>20.133377540599998</v>
      </c>
    </row>
    <row r="27" spans="2:30" x14ac:dyDescent="0.25">
      <c r="C27" s="176" t="s">
        <v>21</v>
      </c>
      <c r="D27" t="s">
        <v>560</v>
      </c>
      <c r="E27" t="s">
        <v>561</v>
      </c>
      <c r="F27" t="s">
        <v>562</v>
      </c>
      <c r="G27" t="s">
        <v>563</v>
      </c>
      <c r="H27" s="8">
        <f>VLOOKUP(D27,Résultats!$B$2:$AX$476,'T energie vecteurs'!I5,FALSE)</f>
        <v>0.32541000609999998</v>
      </c>
      <c r="I27" s="8">
        <f>VLOOKUP(E27,Résultats!$B$2:$AX$476,'T energie vecteurs'!I5,FALSE)</f>
        <v>6.4339713879999998</v>
      </c>
      <c r="J27" s="8">
        <f>VLOOKUP(F27,Résultats!$B$2:$AX$476,'T energie vecteurs'!I5,FALSE)</f>
        <v>14.546819060000001</v>
      </c>
      <c r="K27" s="8">
        <f>VLOOKUP(G27,Résultats!$B$2:$AX$476,'T energie vecteurs'!I5,FALSE)+2</f>
        <v>19.703286720000001</v>
      </c>
      <c r="L27" s="121">
        <f t="shared" si="3"/>
        <v>41.009487174100002</v>
      </c>
      <c r="M27" s="99"/>
      <c r="N27" s="179" t="s">
        <v>21</v>
      </c>
      <c r="O27" s="36">
        <f>'[1]Bilan 2020'!$V$46/11.63</f>
        <v>2.0700734999999998E-2</v>
      </c>
      <c r="P27" s="35">
        <f>SUM('[1]Bilan 2020'!$V$41:$V$43)/11.63</f>
        <v>4.2874727518867157</v>
      </c>
      <c r="Q27" s="35">
        <f>'[1]Bilan 2020'!$V$13/11.63</f>
        <v>13.618731599337918</v>
      </c>
      <c r="R27" s="35">
        <f>('[1]Bilan 2020'!$V$22+'[1]Bilan 2020'!$V$30+SUM('[1]Bilan 2020'!$V$36:$V$40)+SUM('[1]Bilan 2020'!$V$44:$V$45)+'[1]Bilan 2020'!$V$47)/11.63</f>
        <v>20.408410382607048</v>
      </c>
      <c r="S27" s="171">
        <f t="shared" ref="S27:S33" si="4">SUM(O27:R27)</f>
        <v>38.335315468831681</v>
      </c>
      <c r="T27" s="169"/>
      <c r="U27" s="176" t="s">
        <v>21</v>
      </c>
      <c r="V27" t="s">
        <v>560</v>
      </c>
      <c r="W27" t="s">
        <v>561</v>
      </c>
      <c r="X27" t="s">
        <v>562</v>
      </c>
      <c r="Y27" t="s">
        <v>563</v>
      </c>
      <c r="Z27" s="8">
        <v>0.32532885449999999</v>
      </c>
      <c r="AA27" s="8">
        <v>6.4298124789999997</v>
      </c>
      <c r="AB27" s="8">
        <v>14.548182280000001</v>
      </c>
      <c r="AC27" s="8">
        <v>19.699657599999998</v>
      </c>
      <c r="AD27" s="121">
        <v>41.0029812135</v>
      </c>
    </row>
    <row r="28" spans="2:30" x14ac:dyDescent="0.25">
      <c r="C28" s="176" t="s">
        <v>22</v>
      </c>
      <c r="D28" t="s">
        <v>564</v>
      </c>
      <c r="E28" t="s">
        <v>565</v>
      </c>
      <c r="F28" t="s">
        <v>566</v>
      </c>
      <c r="G28" t="s">
        <v>567</v>
      </c>
      <c r="H28" s="8">
        <f>VLOOKUP(D28,Résultats!$B$2:$AX$476,'T energie vecteurs'!I5,FALSE)</f>
        <v>0</v>
      </c>
      <c r="I28" s="8">
        <f>VLOOKUP(E28,Résultats!$B$2:$AX$476,'T energie vecteurs'!I5,FALSE)</f>
        <v>3.0109655950000001</v>
      </c>
      <c r="J28" s="8">
        <f>VLOOKUP(F28,Résultats!$B$2:$AX$476,'T energie vecteurs'!I5,FALSE)</f>
        <v>12.6589928</v>
      </c>
      <c r="K28" s="8">
        <f>VLOOKUP(G28,Résultats!$B$2:$AX$476,'T energie vecteurs'!I5,FALSE)</f>
        <v>9.4082873300000003</v>
      </c>
      <c r="L28" s="121">
        <f t="shared" si="3"/>
        <v>25.078245725000002</v>
      </c>
      <c r="M28" s="99"/>
      <c r="N28" s="179" t="s">
        <v>22</v>
      </c>
      <c r="O28" s="36">
        <f>('[1]Bilan 2020'!$W$46)/11.63</f>
        <v>3.0546421000000001E-2</v>
      </c>
      <c r="P28" s="35">
        <f>SUM('[1]Bilan 2020'!$W$41:$W$43)/11.63</f>
        <v>2.7068355531694666</v>
      </c>
      <c r="Q28" s="35">
        <f>('[1]Bilan 2020'!$W$13)/11.63</f>
        <v>10.724850576412381</v>
      </c>
      <c r="R28" s="35">
        <f>('[1]Bilan 2020'!$W$22+'[1]Bilan 2020'!$W$30+SUM('[1]Bilan 2020'!$W$36:$W$40)+SUM('[1]Bilan 2020'!$W$44:$W$45)+'[1]Bilan 2020'!$W$47)/11.63</f>
        <v>7.1906336380053082</v>
      </c>
      <c r="S28" s="171">
        <f t="shared" si="4"/>
        <v>20.652866188587154</v>
      </c>
      <c r="T28" s="169"/>
      <c r="U28" s="176" t="s">
        <v>22</v>
      </c>
      <c r="V28" t="s">
        <v>564</v>
      </c>
      <c r="W28" t="s">
        <v>565</v>
      </c>
      <c r="X28" t="s">
        <v>566</v>
      </c>
      <c r="Y28" t="s">
        <v>567</v>
      </c>
      <c r="Z28" s="8">
        <v>0</v>
      </c>
      <c r="AA28" s="8">
        <v>3.0099111129999998</v>
      </c>
      <c r="AB28" s="8">
        <v>12.66223059</v>
      </c>
      <c r="AC28" s="8">
        <v>9.4093188350000005</v>
      </c>
      <c r="AD28" s="121">
        <v>25.081460538000002</v>
      </c>
    </row>
    <row r="29" spans="2:30" x14ac:dyDescent="0.25">
      <c r="C29" s="176" t="s">
        <v>23</v>
      </c>
      <c r="H29" s="8">
        <f>SUM(H30:H32)</f>
        <v>2.6000972103</v>
      </c>
      <c r="I29" s="8">
        <f>SUM(I30:I32)</f>
        <v>13.115854042999999</v>
      </c>
      <c r="J29" s="8">
        <f>SUM(J30:J32)</f>
        <v>9.2750860378000013</v>
      </c>
      <c r="K29" s="8">
        <f>SUM(K30:K32)</f>
        <v>15.633293612699999</v>
      </c>
      <c r="L29" s="121">
        <f t="shared" si="3"/>
        <v>40.624330903800001</v>
      </c>
      <c r="M29" s="99"/>
      <c r="N29" s="179" t="s">
        <v>252</v>
      </c>
      <c r="O29" s="36">
        <f>O30+O31</f>
        <v>3.1626378182920636</v>
      </c>
      <c r="P29" s="35">
        <f t="shared" ref="P29:R29" si="5">P30+P31</f>
        <v>13.919973516612528</v>
      </c>
      <c r="Q29" s="35">
        <f t="shared" si="5"/>
        <v>9.0413234941421319</v>
      </c>
      <c r="R29" s="35">
        <f t="shared" si="5"/>
        <v>14.312071337572707</v>
      </c>
      <c r="S29" s="171">
        <f t="shared" si="4"/>
        <v>40.436006166619435</v>
      </c>
      <c r="T29" s="169"/>
      <c r="U29" s="176" t="s">
        <v>23</v>
      </c>
      <c r="Z29" s="8">
        <v>2.6041915935</v>
      </c>
      <c r="AA29" s="8">
        <v>13.11843627199999</v>
      </c>
      <c r="AB29" s="8">
        <v>9.2676307303000005</v>
      </c>
      <c r="AC29" s="8">
        <v>15.630882400800001</v>
      </c>
      <c r="AD29" s="121">
        <v>40.621140996599991</v>
      </c>
    </row>
    <row r="30" spans="2:30" x14ac:dyDescent="0.25">
      <c r="C30" s="178" t="s">
        <v>24</v>
      </c>
      <c r="D30" t="s">
        <v>568</v>
      </c>
      <c r="E30" t="s">
        <v>569</v>
      </c>
      <c r="F30" t="s">
        <v>570</v>
      </c>
      <c r="G30" t="s">
        <v>571</v>
      </c>
      <c r="H30" s="19">
        <f>VLOOKUP(D30,Résultats!$B$2:$AX$476,'T energie vecteurs'!I5,FALSE)</f>
        <v>1.736578629</v>
      </c>
      <c r="I30" s="19">
        <f>VLOOKUP(E30,Résultats!$B$2:$AX$476,'T energie vecteurs'!I5,FALSE)</f>
        <v>8.8532432669999999</v>
      </c>
      <c r="J30" s="19">
        <f>VLOOKUP(F30,Résultats!$B$2:$AX$476,'T energie vecteurs'!I5,FALSE)</f>
        <v>8.9617964850000007</v>
      </c>
      <c r="K30" s="19">
        <f>VLOOKUP(G30,Résultats!$B$2:$AX$476,'T energie vecteurs'!I5,FALSE)</f>
        <v>13.13262471</v>
      </c>
      <c r="L30" s="120">
        <f t="shared" si="3"/>
        <v>32.684243090999999</v>
      </c>
      <c r="M30" s="19"/>
      <c r="N30" s="178" t="s">
        <v>253</v>
      </c>
      <c r="O30" s="172">
        <f>'[1]Bilan 2020'!$U$46/11.63</f>
        <v>0.77267988499999996</v>
      </c>
      <c r="P30" s="37">
        <f>SUM('[1]Bilan 2020'!$U$41:$U$43)/11.63</f>
        <v>2.7003587770125286</v>
      </c>
      <c r="Q30" s="37">
        <f>'[1]Bilan 2020'!$U$13/11.63</f>
        <v>9.0413234941421319</v>
      </c>
      <c r="R30" s="37">
        <f>('[1]Bilan 2020'!$U$22+'[1]Bilan 2020'!$U$30+SUM('[1]Bilan 2020'!$U$36:$U$40)+SUM('[1]Bilan 2020'!$U$44:$U$45)+'[1]Bilan 2020'!$U$47)/11.63</f>
        <v>13.277854957521116</v>
      </c>
      <c r="S30" s="120">
        <f t="shared" si="4"/>
        <v>25.792217113675775</v>
      </c>
      <c r="T30" s="169"/>
      <c r="U30" s="178" t="s">
        <v>24</v>
      </c>
      <c r="V30" t="s">
        <v>568</v>
      </c>
      <c r="W30" t="s">
        <v>569</v>
      </c>
      <c r="X30" t="s">
        <v>570</v>
      </c>
      <c r="Y30" t="s">
        <v>571</v>
      </c>
      <c r="Z30" s="19">
        <v>1.7388215869999999</v>
      </c>
      <c r="AA30" s="19">
        <v>8.8549437999999903</v>
      </c>
      <c r="AB30" s="19">
        <v>8.9540998980000008</v>
      </c>
      <c r="AC30" s="19">
        <v>13.12985211</v>
      </c>
      <c r="AD30" s="120">
        <v>32.677717394999995</v>
      </c>
    </row>
    <row r="31" spans="2:30" x14ac:dyDescent="0.25">
      <c r="C31" s="178" t="s">
        <v>129</v>
      </c>
      <c r="D31" t="s">
        <v>572</v>
      </c>
      <c r="E31" t="s">
        <v>573</v>
      </c>
      <c r="F31" t="s">
        <v>574</v>
      </c>
      <c r="G31" t="s">
        <v>575</v>
      </c>
      <c r="H31" s="19">
        <f>VLOOKUP(D31,Résultats!$B$2:$AX$476,'T energie vecteurs'!I5,FALSE)</f>
        <v>0.86351858130000003</v>
      </c>
      <c r="I31" s="19">
        <f>VLOOKUP(E31,Résultats!$B$2:$AX$476,'T energie vecteurs'!I5,FALSE)</f>
        <v>1.875702033</v>
      </c>
      <c r="J31" s="19">
        <f>VLOOKUP(F31,Résultats!$B$2:$AX$476,'T energie vecteurs'!I5,FALSE)</f>
        <v>0</v>
      </c>
      <c r="K31" s="19">
        <f>VLOOKUP(G31,Résultats!$B$2:$AX$476,'T energie vecteurs'!I5,FALSE)</f>
        <v>2.1263836719999998</v>
      </c>
      <c r="L31" s="120">
        <f t="shared" si="3"/>
        <v>4.8656042863</v>
      </c>
      <c r="M31" s="19"/>
      <c r="N31" s="178" t="s">
        <v>129</v>
      </c>
      <c r="O31" s="28">
        <f>'[1]Bilan 2020'!$E$52/11.63</f>
        <v>2.3899579332920635</v>
      </c>
      <c r="P31" s="19">
        <f>('[1]Bilan 2020'!$E$54+'[1]Bilan 2020'!$E$56)/11.63</f>
        <v>11.219614739599999</v>
      </c>
      <c r="Q31" s="19">
        <v>0</v>
      </c>
      <c r="R31" s="19">
        <f>('[1]Bilan 2020'!$E$53+'[1]Bilan 2020'!$E$55+'[1]Bilan 2020'!$E$57)/11.63</f>
        <v>1.0342163800515907</v>
      </c>
      <c r="S31" s="120">
        <f t="shared" si="4"/>
        <v>14.643789052943653</v>
      </c>
      <c r="T31" s="169"/>
      <c r="U31" s="178" t="s">
        <v>129</v>
      </c>
      <c r="V31" t="s">
        <v>572</v>
      </c>
      <c r="W31" t="s">
        <v>573</v>
      </c>
      <c r="X31" t="s">
        <v>574</v>
      </c>
      <c r="Y31" t="s">
        <v>575</v>
      </c>
      <c r="Z31" s="19">
        <v>0.86537000649999996</v>
      </c>
      <c r="AA31" s="19">
        <v>1.8757407829999999</v>
      </c>
      <c r="AB31" s="19">
        <v>0</v>
      </c>
      <c r="AC31" s="19">
        <v>2.1265502610000002</v>
      </c>
      <c r="AD31" s="120">
        <v>4.8676610505000006</v>
      </c>
    </row>
    <row r="32" spans="2:30" x14ac:dyDescent="0.25">
      <c r="C32" s="178" t="s">
        <v>25</v>
      </c>
      <c r="D32" t="s">
        <v>576</v>
      </c>
      <c r="E32" t="s">
        <v>577</v>
      </c>
      <c r="F32" t="s">
        <v>578</v>
      </c>
      <c r="G32" t="s">
        <v>579</v>
      </c>
      <c r="H32" s="19">
        <f>VLOOKUP(D32,Résultats!$B$2:$AX$476,'T energie vecteurs'!I5,FALSE)</f>
        <v>0</v>
      </c>
      <c r="I32" s="19">
        <f>VLOOKUP(E32,Résultats!$B$2:$AX$476,'T energie vecteurs'!I5,FALSE)</f>
        <v>2.3869087430000002</v>
      </c>
      <c r="J32" s="19">
        <f>VLOOKUP(F32,Résultats!$B$2:$AX$476,'T energie vecteurs'!I5,FALSE)</f>
        <v>0.31328955279999998</v>
      </c>
      <c r="K32" s="19">
        <f>VLOOKUP(G32,Résultats!$B$2:$AX$476,'T energie vecteurs'!I5,FALSE)</f>
        <v>0.37428523070000003</v>
      </c>
      <c r="L32" s="120">
        <f t="shared" si="3"/>
        <v>3.0744835265000003</v>
      </c>
      <c r="M32" s="19"/>
      <c r="N32" s="179" t="s">
        <v>25</v>
      </c>
      <c r="O32" s="36">
        <f>'[1]Bilan 2020'!$T$46/11.63</f>
        <v>1.3217009999999998E-3</v>
      </c>
      <c r="P32" s="35">
        <f>SUM('[1]Bilan 2020'!$T$41:$T$43)/11.63</f>
        <v>3.3486884684627563</v>
      </c>
      <c r="Q32" s="35">
        <f>'[1]Bilan 2020'!$T$13/11.63</f>
        <v>0.69143728159498707</v>
      </c>
      <c r="R32" s="35">
        <f>('[1]Bilan 2020'!$T$22+'[1]Bilan 2020'!$T$30+SUM('[1]Bilan 2020'!$T$36:$T$40)+SUM('[1]Bilan 2020'!$T$44:$T$45)+'[1]Bilan 2020'!$T$47)/11.63</f>
        <v>0.41959097162510717</v>
      </c>
      <c r="S32" s="171">
        <f t="shared" si="4"/>
        <v>4.4610384226828508</v>
      </c>
      <c r="T32" s="169"/>
      <c r="U32" s="178" t="s">
        <v>25</v>
      </c>
      <c r="V32" t="s">
        <v>576</v>
      </c>
      <c r="W32" t="s">
        <v>577</v>
      </c>
      <c r="X32" t="s">
        <v>578</v>
      </c>
      <c r="Y32" t="s">
        <v>579</v>
      </c>
      <c r="Z32" s="19">
        <v>0</v>
      </c>
      <c r="AA32" s="19">
        <v>2.3877516889999999</v>
      </c>
      <c r="AB32" s="19">
        <v>0.31353083230000001</v>
      </c>
      <c r="AC32" s="19">
        <v>0.3744800298</v>
      </c>
      <c r="AD32" s="120">
        <v>3.0757625511</v>
      </c>
    </row>
    <row r="33" spans="3:30" x14ac:dyDescent="0.25">
      <c r="C33" s="29" t="s">
        <v>26</v>
      </c>
      <c r="D33" s="10"/>
      <c r="E33" s="10"/>
      <c r="F33" s="10"/>
      <c r="G33" s="10"/>
      <c r="H33" s="9">
        <f>SUM(H24,H27:H29)</f>
        <v>2.9255072163999998</v>
      </c>
      <c r="I33" s="9">
        <f>SUM(I24,I27:I29)</f>
        <v>65.167488915999996</v>
      </c>
      <c r="J33" s="9">
        <f>SUM(J24,J27:J29)</f>
        <v>37.898259448499999</v>
      </c>
      <c r="K33" s="9">
        <f>SUM(K24,K27:K29)</f>
        <v>45.013156295606898</v>
      </c>
      <c r="L33" s="123">
        <f t="shared" si="3"/>
        <v>151.00441187650691</v>
      </c>
      <c r="M33" s="105"/>
      <c r="N33" s="180" t="s">
        <v>26</v>
      </c>
      <c r="O33" s="40">
        <f>O24+O27+O28+O29+O32</f>
        <v>3.2152066752920638</v>
      </c>
      <c r="P33" s="38">
        <f>P24+P27+P28+P29+P32</f>
        <v>59.931006751765409</v>
      </c>
      <c r="Q33" s="38">
        <f>Q24+Q27+Q28+Q29+Q32</f>
        <v>34.793213034892403</v>
      </c>
      <c r="R33" s="38">
        <f>R24+R27+R28+R29+R32</f>
        <v>42.523974988451613</v>
      </c>
      <c r="S33" s="173">
        <f t="shared" si="4"/>
        <v>140.46340145040148</v>
      </c>
      <c r="T33" s="105"/>
      <c r="U33" s="29" t="s">
        <v>26</v>
      </c>
      <c r="V33" s="10"/>
      <c r="W33" s="10"/>
      <c r="X33" s="10"/>
      <c r="Y33" s="10"/>
      <c r="Z33" s="9">
        <v>2.9295204479999999</v>
      </c>
      <c r="AA33" s="9">
        <v>65.028330573999995</v>
      </c>
      <c r="AB33" s="9">
        <v>37.917891907799998</v>
      </c>
      <c r="AC33" s="9">
        <v>45.0084303757911</v>
      </c>
      <c r="AD33" s="123">
        <v>150.8841733055911</v>
      </c>
    </row>
    <row r="34" spans="3:30" s="3" customFormat="1" x14ac:dyDescent="0.25">
      <c r="H34" s="69"/>
      <c r="I34" s="69"/>
      <c r="J34" s="69"/>
      <c r="K34" s="69"/>
      <c r="L34" s="69"/>
      <c r="M34" s="69"/>
      <c r="N34" s="69"/>
      <c r="O34" s="103"/>
      <c r="P34" s="103"/>
      <c r="Q34" s="103"/>
      <c r="R34" s="104"/>
      <c r="S34" s="69"/>
      <c r="T34" s="69"/>
      <c r="Z34" s="69"/>
      <c r="AA34" s="69"/>
      <c r="AB34" s="69"/>
      <c r="AC34" s="69"/>
      <c r="AD34" s="69"/>
    </row>
    <row r="35" spans="3:30" s="3" customFormat="1" x14ac:dyDescent="0.25"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Z35" s="69"/>
      <c r="AA35" s="69"/>
      <c r="AB35" s="69"/>
      <c r="AC35" s="69"/>
      <c r="AD35" s="69"/>
    </row>
    <row r="36" spans="3:30" ht="31.5" x14ac:dyDescent="0.35">
      <c r="C36" s="174">
        <v>2022</v>
      </c>
      <c r="D36" s="175"/>
      <c r="E36" s="175"/>
      <c r="F36" s="175"/>
      <c r="G36" s="175"/>
      <c r="H36" s="101" t="s">
        <v>36</v>
      </c>
      <c r="I36" s="101" t="s">
        <v>131</v>
      </c>
      <c r="J36" s="101" t="s">
        <v>38</v>
      </c>
      <c r="K36" s="101" t="s">
        <v>130</v>
      </c>
      <c r="L36" s="118" t="s">
        <v>1</v>
      </c>
      <c r="M36" s="25"/>
      <c r="N36" s="174">
        <v>2022</v>
      </c>
      <c r="O36" s="170" t="s">
        <v>36</v>
      </c>
      <c r="P36" s="101" t="s">
        <v>131</v>
      </c>
      <c r="Q36" s="101" t="s">
        <v>38</v>
      </c>
      <c r="R36" s="101" t="s">
        <v>130</v>
      </c>
      <c r="S36" s="118" t="s">
        <v>1</v>
      </c>
      <c r="T36" s="25"/>
      <c r="U36" s="174">
        <v>2022</v>
      </c>
      <c r="V36" s="175"/>
      <c r="W36" s="175"/>
      <c r="X36" s="175"/>
      <c r="Y36" s="175"/>
      <c r="Z36" s="101" t="s">
        <v>36</v>
      </c>
      <c r="AA36" s="101" t="s">
        <v>131</v>
      </c>
      <c r="AB36" s="101" t="s">
        <v>38</v>
      </c>
      <c r="AC36" s="101" t="s">
        <v>130</v>
      </c>
      <c r="AD36" s="118" t="s">
        <v>1</v>
      </c>
    </row>
    <row r="37" spans="3:30" x14ac:dyDescent="0.25">
      <c r="C37" s="176" t="s">
        <v>18</v>
      </c>
      <c r="H37" s="8">
        <f>SUM(H38:H39)</f>
        <v>0</v>
      </c>
      <c r="I37" s="8">
        <f>SUM(I38:I39)</f>
        <v>42.303729599999997</v>
      </c>
      <c r="J37" s="8">
        <f>SUM(J38:J39)</f>
        <v>1.5179923567</v>
      </c>
      <c r="K37" s="8">
        <f>SUM(K38:K39)</f>
        <v>0.37643359210120003</v>
      </c>
      <c r="L37" s="121">
        <f t="shared" ref="L37:L46" si="6">SUM(H37:K37)</f>
        <v>44.198155548801196</v>
      </c>
      <c r="M37" s="99"/>
      <c r="N37" s="179" t="s">
        <v>18</v>
      </c>
      <c r="O37" s="36">
        <f>'[1]Bilan 2022 réel'!$X$46/11.63</f>
        <v>0</v>
      </c>
      <c r="P37" s="35">
        <f>SUM('[1]Bilan 2022 réel'!$X$41:$X$43)/11.63</f>
        <v>43.395882986244146</v>
      </c>
      <c r="Q37" s="35">
        <f>'[1]Bilan 2022 réel'!$X$13/11.63</f>
        <v>0.93062751504729158</v>
      </c>
      <c r="R37" s="35">
        <f>('[1]Bilan 2022 réel'!$X$22+'[1]Bilan 2022 réel'!$X$30+SUM('[1]Bilan 2022 réel'!$X$36:$X$40)+SUM('[1]Bilan 2022 réel'!$X$44:$X$45)+'[1]Bilan 2022 réel'!$X$47)/11.63</f>
        <v>0.31885683576956142</v>
      </c>
      <c r="S37" s="171">
        <f>SUM(O37:R37)</f>
        <v>44.645367337060996</v>
      </c>
      <c r="T37" s="99"/>
      <c r="U37" s="176" t="s">
        <v>18</v>
      </c>
      <c r="Z37" s="8">
        <v>0</v>
      </c>
      <c r="AA37" s="8">
        <v>42.196799800000001</v>
      </c>
      <c r="AB37" s="8">
        <v>1.5518960473000001</v>
      </c>
      <c r="AC37" s="8">
        <v>0.37730478291210001</v>
      </c>
      <c r="AD37" s="121">
        <v>44.126000630212097</v>
      </c>
    </row>
    <row r="38" spans="3:30" x14ac:dyDescent="0.25">
      <c r="C38" s="177" t="s">
        <v>19</v>
      </c>
      <c r="D38" t="s">
        <v>552</v>
      </c>
      <c r="E38" t="s">
        <v>553</v>
      </c>
      <c r="F38" t="s">
        <v>554</v>
      </c>
      <c r="G38" t="s">
        <v>555</v>
      </c>
      <c r="H38" s="19">
        <f>VLOOKUP(D38,Résultats!$B$2:$AX$476,'T energie vecteurs'!K5,FALSE)</f>
        <v>0</v>
      </c>
      <c r="I38" s="19">
        <f>VLOOKUP(E38,Résultats!$B$2:$AX$476,'T energie vecteurs'!K5,FALSE)</f>
        <v>23.552964079999999</v>
      </c>
      <c r="J38" s="19">
        <f>VLOOKUP(F38,Résultats!$B$2:$AX$476,'T energie vecteurs'!K5,FALSE)</f>
        <v>0.1447862637</v>
      </c>
      <c r="K38" s="19">
        <f>VLOOKUP(G51,Résultats!$B$2:$AX$476,'T energie vecteurs'!K5,FALSE)</f>
        <v>1.51267012E-5</v>
      </c>
      <c r="L38" s="120">
        <f t="shared" si="6"/>
        <v>23.697765470401198</v>
      </c>
      <c r="M38" s="19"/>
      <c r="N38" s="177" t="s">
        <v>19</v>
      </c>
      <c r="O38" s="172"/>
      <c r="P38" s="19"/>
      <c r="Q38" s="55"/>
      <c r="R38" s="19"/>
      <c r="S38" s="120"/>
      <c r="T38" s="19"/>
      <c r="U38" s="177" t="s">
        <v>19</v>
      </c>
      <c r="V38" t="s">
        <v>552</v>
      </c>
      <c r="W38" t="s">
        <v>553</v>
      </c>
      <c r="X38" t="s">
        <v>554</v>
      </c>
      <c r="Y38" t="s">
        <v>555</v>
      </c>
      <c r="Z38" s="19">
        <v>0</v>
      </c>
      <c r="AA38" s="19">
        <v>23.39484934</v>
      </c>
      <c r="AB38" s="19">
        <v>0.1762139583</v>
      </c>
      <c r="AC38" s="19">
        <v>1.6439012100000001E-5</v>
      </c>
      <c r="AD38" s="120">
        <v>23.5710797373121</v>
      </c>
    </row>
    <row r="39" spans="3:30" x14ac:dyDescent="0.25">
      <c r="C39" s="178" t="s">
        <v>20</v>
      </c>
      <c r="D39" t="s">
        <v>556</v>
      </c>
      <c r="E39" t="s">
        <v>557</v>
      </c>
      <c r="F39" t="s">
        <v>558</v>
      </c>
      <c r="G39" t="s">
        <v>559</v>
      </c>
      <c r="H39" s="19">
        <f>VLOOKUP(D39,Résultats!$B$2:$AX$476,'T energie vecteurs'!K5,FALSE)</f>
        <v>0</v>
      </c>
      <c r="I39" s="19">
        <f>VLOOKUP(E39,Résultats!$B$2:$AX$476,'T energie vecteurs'!K5,FALSE)</f>
        <v>18.750765520000002</v>
      </c>
      <c r="J39" s="19">
        <f>VLOOKUP(F39,Résultats!$B$2:$AX$476,'T energie vecteurs'!K5,FALSE)</f>
        <v>1.3732060930000001</v>
      </c>
      <c r="K39" s="19">
        <f>VLOOKUP(G39,Résultats!$B$2:$AX$476,'T energie vecteurs'!K5,FALSE)</f>
        <v>0.37641846540000001</v>
      </c>
      <c r="L39" s="120">
        <f t="shared" si="6"/>
        <v>20.500390078400002</v>
      </c>
      <c r="M39" s="19"/>
      <c r="N39" s="178" t="s">
        <v>20</v>
      </c>
      <c r="O39" s="172"/>
      <c r="P39" s="19"/>
      <c r="Q39" s="55"/>
      <c r="R39" s="19"/>
      <c r="S39" s="120"/>
      <c r="T39" s="19"/>
      <c r="U39" s="178" t="s">
        <v>20</v>
      </c>
      <c r="V39" t="s">
        <v>556</v>
      </c>
      <c r="W39" t="s">
        <v>557</v>
      </c>
      <c r="X39" t="s">
        <v>558</v>
      </c>
      <c r="Y39" t="s">
        <v>559</v>
      </c>
      <c r="Z39" s="19">
        <v>0</v>
      </c>
      <c r="AA39" s="19">
        <v>18.80195046</v>
      </c>
      <c r="AB39" s="19">
        <v>1.3756820890000001</v>
      </c>
      <c r="AC39" s="19">
        <v>0.37728834389999999</v>
      </c>
      <c r="AD39" s="120">
        <v>20.5549208929</v>
      </c>
    </row>
    <row r="40" spans="3:30" x14ac:dyDescent="0.25">
      <c r="C40" s="176" t="s">
        <v>21</v>
      </c>
      <c r="D40" t="s">
        <v>560</v>
      </c>
      <c r="E40" t="s">
        <v>561</v>
      </c>
      <c r="F40" t="s">
        <v>562</v>
      </c>
      <c r="G40" t="s">
        <v>563</v>
      </c>
      <c r="H40" s="8">
        <f>VLOOKUP(D40,Résultats!$B$2:$AX$476,'T energie vecteurs'!K5,FALSE)</f>
        <v>0.30942877520000001</v>
      </c>
      <c r="I40" s="8">
        <f>VLOOKUP(E40,Résultats!$B$2:$AX$476,'T energie vecteurs'!K5,FALSE)</f>
        <v>6.1205859570000003</v>
      </c>
      <c r="J40" s="8">
        <f>VLOOKUP(F40,Résultats!$B$2:$AX$476,'T energie vecteurs'!K5,FALSE)</f>
        <v>14.672787250000001</v>
      </c>
      <c r="K40" s="8">
        <f>VLOOKUP(G40,Résultats!$B$2:$AX$476,'T energie vecteurs'!K5,FALSE)+2</f>
        <v>19.068182790000002</v>
      </c>
      <c r="L40" s="121">
        <f t="shared" si="6"/>
        <v>40.170984772200001</v>
      </c>
      <c r="M40" s="99"/>
      <c r="N40" s="179" t="s">
        <v>21</v>
      </c>
      <c r="O40" s="36">
        <f>'[1]Bilan 2022 réel'!$V$46/11.63</f>
        <v>2.6476317000000003E-2</v>
      </c>
      <c r="P40" s="35">
        <f>SUM('[1]Bilan 2022 réel'!$V$41:$V$43)/11.63</f>
        <v>3.5006052343</v>
      </c>
      <c r="Q40" s="35">
        <f>'[1]Bilan 2022 réel'!$V$13/11.63</f>
        <v>13.359407222699915</v>
      </c>
      <c r="R40" s="35">
        <f>('[1]Bilan 2022 réel'!$V$22+'[1]Bilan 2022 réel'!$V$30+SUM('[1]Bilan 2022 réel'!$V$36:$V$40)+SUM('[1]Bilan 2022 réel'!$V$44:$V$45)+'[1]Bilan 2022 réel'!$V$47)/11.63</f>
        <v>20.358936597126686</v>
      </c>
      <c r="S40" s="171">
        <f t="shared" ref="S40:S46" si="7">SUM(O40:R40)</f>
        <v>37.245425371126601</v>
      </c>
      <c r="T40" s="99"/>
      <c r="U40" s="176" t="s">
        <v>21</v>
      </c>
      <c r="V40" t="s">
        <v>560</v>
      </c>
      <c r="W40" t="s">
        <v>561</v>
      </c>
      <c r="X40" t="s">
        <v>562</v>
      </c>
      <c r="Y40" t="s">
        <v>563</v>
      </c>
      <c r="Z40" s="263">
        <v>0.30935707070000001</v>
      </c>
      <c r="AA40" s="263">
        <v>6.1152615319999999</v>
      </c>
      <c r="AB40" s="263">
        <v>14.673588240000001</v>
      </c>
      <c r="AC40" s="263">
        <v>19.069665570000002</v>
      </c>
      <c r="AD40" s="264">
        <v>40.167872412700007</v>
      </c>
    </row>
    <row r="41" spans="3:30" x14ac:dyDescent="0.25">
      <c r="C41" s="176" t="s">
        <v>22</v>
      </c>
      <c r="D41" t="s">
        <v>564</v>
      </c>
      <c r="E41" t="s">
        <v>565</v>
      </c>
      <c r="F41" t="s">
        <v>566</v>
      </c>
      <c r="G41" t="s">
        <v>567</v>
      </c>
      <c r="H41" s="8">
        <f>VLOOKUP(D41,Résultats!$B$2:$AX$476,'T energie vecteurs'!K5,FALSE)</f>
        <v>0</v>
      </c>
      <c r="I41" s="8">
        <f>VLOOKUP(E41,Résultats!$B$2:$AX$476,'T energie vecteurs'!K5,FALSE)</f>
        <v>3.010593445</v>
      </c>
      <c r="J41" s="8">
        <f>VLOOKUP(F41,Résultats!$B$2:$AX$476,'T energie vecteurs'!K5,FALSE)</f>
        <v>12.793686109999999</v>
      </c>
      <c r="K41" s="8">
        <f>VLOOKUP(G41,Résultats!$B$2:$AX$476,'T energie vecteurs'!K5,FALSE)</f>
        <v>9.256715346</v>
      </c>
      <c r="L41" s="121">
        <f t="shared" si="6"/>
        <v>25.060994901000001</v>
      </c>
      <c r="M41" s="99"/>
      <c r="N41" s="179" t="s">
        <v>22</v>
      </c>
      <c r="O41" s="36">
        <f>('[1]Bilan 2022 réel'!$W$46)/11.63</f>
        <v>3.2835727999999995E-2</v>
      </c>
      <c r="P41" s="35">
        <f>SUM('[1]Bilan 2022 réel'!$W$41:$W$43)/11.63</f>
        <v>2.0815720291000002</v>
      </c>
      <c r="Q41" s="35">
        <f>('[1]Bilan 2022 réel'!$W$13)/11.63</f>
        <v>11.4388796216681</v>
      </c>
      <c r="R41" s="35">
        <f>('[1]Bilan 2022 réel'!$W$22+'[1]Bilan 2022 réel'!$W$30+SUM('[1]Bilan 2022 réel'!$W$36:$W$40)+SUM('[1]Bilan 2022 réel'!$W$44:$W$45)+'[1]Bilan 2022 réel'!$W$47)/11.63</f>
        <v>7.4016622456291197</v>
      </c>
      <c r="S41" s="171">
        <f t="shared" si="7"/>
        <v>20.954949624397219</v>
      </c>
      <c r="T41" s="99"/>
      <c r="U41" s="176" t="s">
        <v>22</v>
      </c>
      <c r="V41" t="s">
        <v>564</v>
      </c>
      <c r="W41" t="s">
        <v>565</v>
      </c>
      <c r="X41" t="s">
        <v>566</v>
      </c>
      <c r="Y41" t="s">
        <v>567</v>
      </c>
      <c r="Z41" s="8">
        <v>0</v>
      </c>
      <c r="AA41" s="8">
        <v>3.0089517360000002</v>
      </c>
      <c r="AB41" s="8">
        <v>12.796412650000001</v>
      </c>
      <c r="AC41" s="8">
        <v>9.2626327990000004</v>
      </c>
      <c r="AD41" s="121">
        <v>25.067997185000003</v>
      </c>
    </row>
    <row r="42" spans="3:30" x14ac:dyDescent="0.25">
      <c r="C42" s="176" t="s">
        <v>23</v>
      </c>
      <c r="H42" s="8">
        <f>SUM(H43:H45)</f>
        <v>2.5741682769000001</v>
      </c>
      <c r="I42" s="8">
        <f>SUM(I43:I45)</f>
        <v>12.822305802999999</v>
      </c>
      <c r="J42" s="8">
        <f>SUM(J43:J45)</f>
        <v>9.6397206490999992</v>
      </c>
      <c r="K42" s="8">
        <f>SUM(K43:K45)</f>
        <v>15.956515691400002</v>
      </c>
      <c r="L42" s="121">
        <f t="shared" si="6"/>
        <v>40.992710420400002</v>
      </c>
      <c r="M42" s="99"/>
      <c r="N42" s="179" t="s">
        <v>252</v>
      </c>
      <c r="O42" s="36">
        <f>O43+O44</f>
        <v>4.5030917883254036</v>
      </c>
      <c r="P42" s="35">
        <f t="shared" ref="P42:R42" si="8">P43+P44</f>
        <v>11.747675010745624</v>
      </c>
      <c r="Q42" s="35">
        <f t="shared" si="8"/>
        <v>9.2559822012037838</v>
      </c>
      <c r="R42" s="35">
        <f t="shared" si="8"/>
        <v>13.798624448265977</v>
      </c>
      <c r="S42" s="171">
        <f t="shared" si="7"/>
        <v>39.305373448540784</v>
      </c>
      <c r="T42" s="99"/>
      <c r="U42" s="176" t="s">
        <v>23</v>
      </c>
      <c r="Z42" s="8">
        <v>2.5894166891000001</v>
      </c>
      <c r="AA42" s="8">
        <v>12.838508321000001</v>
      </c>
      <c r="AB42" s="8">
        <v>9.6564707698000003</v>
      </c>
      <c r="AC42" s="8">
        <v>15.9895936569</v>
      </c>
      <c r="AD42" s="121">
        <v>41.073989436799998</v>
      </c>
    </row>
    <row r="43" spans="3:30" x14ac:dyDescent="0.25">
      <c r="C43" s="178" t="s">
        <v>24</v>
      </c>
      <c r="D43" t="s">
        <v>568</v>
      </c>
      <c r="E43" t="s">
        <v>569</v>
      </c>
      <c r="F43" t="s">
        <v>570</v>
      </c>
      <c r="G43" t="s">
        <v>571</v>
      </c>
      <c r="H43" s="19">
        <f>VLOOKUP(D43,Résultats!$B$2:$AX$476,'T energie vecteurs'!K5,FALSE)</f>
        <v>1.6954696490000001</v>
      </c>
      <c r="I43" s="19">
        <f>VLOOKUP(E43,Résultats!$B$2:$AX$476,'T energie vecteurs'!K5,FALSE)</f>
        <v>8.4961406210000003</v>
      </c>
      <c r="J43" s="19">
        <f>VLOOKUP(F43,Résultats!$B$2:$AX$476,'T energie vecteurs'!K5,FALSE)</f>
        <v>9.3166203109999994</v>
      </c>
      <c r="K43" s="19">
        <f>VLOOKUP(G43,Résultats!$B$2:$AX$476,'T energie vecteurs'!K5,FALSE)</f>
        <v>13.4195881</v>
      </c>
      <c r="L43" s="120">
        <f t="shared" si="6"/>
        <v>32.927818680999998</v>
      </c>
      <c r="M43" s="19"/>
      <c r="N43" s="178" t="s">
        <v>253</v>
      </c>
      <c r="O43" s="172">
        <f>'[1]Bilan 2022 réel'!$U$46/11.63</f>
        <v>0.63402045200000001</v>
      </c>
      <c r="P43" s="37">
        <f>SUM('[1]Bilan 2022 réel'!$U$41:$U$43)/11.63</f>
        <v>2.4775829957456241</v>
      </c>
      <c r="Q43" s="37">
        <f>'[1]Bilan 2022 réel'!$U$13/11.63</f>
        <v>9.2559822012037838</v>
      </c>
      <c r="R43" s="37">
        <f>('[1]Bilan 2022 réel'!$U$22+'[1]Bilan 2022 réel'!$U$30+SUM('[1]Bilan 2022 réel'!$U$36:$U$40)+SUM('[1]Bilan 2022 réel'!$U$44:$U$45)+'[1]Bilan 2022 réel'!$U$47)/11.63</f>
        <v>12.926272664087129</v>
      </c>
      <c r="S43" s="120">
        <f t="shared" si="7"/>
        <v>25.293858313036537</v>
      </c>
      <c r="T43" s="19"/>
      <c r="U43" s="178" t="s">
        <v>24</v>
      </c>
      <c r="V43" t="s">
        <v>568</v>
      </c>
      <c r="W43" t="s">
        <v>569</v>
      </c>
      <c r="X43" t="s">
        <v>570</v>
      </c>
      <c r="Y43" t="s">
        <v>571</v>
      </c>
      <c r="Z43" s="19">
        <v>1.704645185</v>
      </c>
      <c r="AA43" s="19">
        <v>8.5110894259999998</v>
      </c>
      <c r="AB43" s="19">
        <v>9.3330364479999997</v>
      </c>
      <c r="AC43" s="19">
        <v>13.451678599999999</v>
      </c>
      <c r="AD43" s="120">
        <v>33.000449658999997</v>
      </c>
    </row>
    <row r="44" spans="3:30" x14ac:dyDescent="0.25">
      <c r="C44" s="178" t="s">
        <v>129</v>
      </c>
      <c r="D44" t="s">
        <v>572</v>
      </c>
      <c r="E44" t="s">
        <v>573</v>
      </c>
      <c r="F44" t="s">
        <v>574</v>
      </c>
      <c r="G44" t="s">
        <v>575</v>
      </c>
      <c r="H44" s="19">
        <f>VLOOKUP(D44,Résultats!$B$2:$AX$476,'T energie vecteurs'!K5,FALSE)</f>
        <v>0.87869862789999997</v>
      </c>
      <c r="I44" s="19">
        <f>VLOOKUP(E44,Résultats!$B$2:$AX$476,'T energie vecteurs'!K5,FALSE)</f>
        <v>1.9045354729999999</v>
      </c>
      <c r="J44" s="19">
        <f>VLOOKUP(F44,Résultats!$B$2:$AX$476,'T energie vecteurs'!K5,FALSE)</f>
        <v>0</v>
      </c>
      <c r="K44" s="19">
        <f>VLOOKUP(G44,Résultats!$B$2:$AX$476,'T energie vecteurs'!K5,FALSE)</f>
        <v>2.1517736080000001</v>
      </c>
      <c r="L44" s="120">
        <f t="shared" si="6"/>
        <v>4.9350077088999997</v>
      </c>
      <c r="M44" s="19"/>
      <c r="N44" s="178" t="s">
        <v>129</v>
      </c>
      <c r="O44" s="28">
        <f>'[1]Bilan 2022 réel'!$E$52/11.63</f>
        <v>3.8690713363254039</v>
      </c>
      <c r="P44" s="19">
        <f>('[1]Bilan 2022 réel'!$E$54+'[1]Bilan 2022 réel'!$E$56)/11.63</f>
        <v>9.2700920149999995</v>
      </c>
      <c r="Q44" s="19">
        <v>0</v>
      </c>
      <c r="R44" s="19">
        <f>('[1]Bilan 2022 réel'!$E$53+'[1]Bilan 2022 réel'!$E$55+'[1]Bilan 2022 réel'!$E$57)/11.63</f>
        <v>0.87235178417884784</v>
      </c>
      <c r="S44" s="120">
        <f t="shared" si="7"/>
        <v>14.011515135504252</v>
      </c>
      <c r="T44" s="19"/>
      <c r="U44" s="178" t="s">
        <v>129</v>
      </c>
      <c r="V44" t="s">
        <v>572</v>
      </c>
      <c r="W44" t="s">
        <v>573</v>
      </c>
      <c r="X44" t="s">
        <v>574</v>
      </c>
      <c r="Y44" t="s">
        <v>575</v>
      </c>
      <c r="Z44" s="19">
        <v>0.88477150410000005</v>
      </c>
      <c r="AA44" s="19">
        <v>1.9045931359999999</v>
      </c>
      <c r="AB44" s="19">
        <v>0</v>
      </c>
      <c r="AC44" s="19">
        <v>2.1523416530000001</v>
      </c>
      <c r="AD44" s="120">
        <v>4.9417062931000002</v>
      </c>
    </row>
    <row r="45" spans="3:30" x14ac:dyDescent="0.25">
      <c r="C45" s="178" t="s">
        <v>25</v>
      </c>
      <c r="D45" t="s">
        <v>576</v>
      </c>
      <c r="E45" t="s">
        <v>577</v>
      </c>
      <c r="F45" t="s">
        <v>578</v>
      </c>
      <c r="G45" t="s">
        <v>579</v>
      </c>
      <c r="H45" s="19">
        <f>VLOOKUP(D45,Résultats!$B$2:$AX$476,'T energie vecteurs'!K5,FALSE)</f>
        <v>0</v>
      </c>
      <c r="I45" s="19">
        <f>VLOOKUP(E45,Résultats!$B$2:$AX$476,'T energie vecteurs'!K5,FALSE)</f>
        <v>2.4216297089999999</v>
      </c>
      <c r="J45" s="19">
        <f>VLOOKUP(F45,Résultats!$B$2:$AX$476,'T energie vecteurs'!K5,FALSE)</f>
        <v>0.3231003381</v>
      </c>
      <c r="K45" s="19">
        <f>VLOOKUP(G45,Résultats!$B$2:$AX$476,'T energie vecteurs'!K5,FALSE)</f>
        <v>0.38515398340000001</v>
      </c>
      <c r="L45" s="120">
        <f t="shared" si="6"/>
        <v>3.1298840305</v>
      </c>
      <c r="M45" s="19"/>
      <c r="N45" s="179" t="s">
        <v>25</v>
      </c>
      <c r="O45" s="36">
        <f>'[1]Bilan 2022 réel'!$T$46/11.63</f>
        <v>1.651664E-3</v>
      </c>
      <c r="P45" s="35">
        <f>SUM('[1]Bilan 2022 réel'!$T$41:$T$43)/11.63</f>
        <v>3.5697769387513203</v>
      </c>
      <c r="Q45" s="35">
        <f>'[1]Bilan 2022 réel'!$T$13/11.63</f>
        <v>0.67291487532244199</v>
      </c>
      <c r="R45" s="35">
        <f>('[1]Bilan 2022 réel'!$T$22+'[1]Bilan 2022 réel'!$T$30+SUM('[1]Bilan 2022 réel'!$T$36:$T$40)+SUM('[1]Bilan 2022 réel'!$T$44:$T$45)+'[1]Bilan 2022 réel'!$T$47)/11.63</f>
        <v>0.43996563007547523</v>
      </c>
      <c r="S45" s="171">
        <f t="shared" si="7"/>
        <v>4.6843091081492378</v>
      </c>
      <c r="T45" s="19"/>
      <c r="U45" s="178" t="s">
        <v>25</v>
      </c>
      <c r="V45" t="s">
        <v>576</v>
      </c>
      <c r="W45" t="s">
        <v>577</v>
      </c>
      <c r="X45" t="s">
        <v>578</v>
      </c>
      <c r="Y45" t="s">
        <v>579</v>
      </c>
      <c r="Z45" s="19">
        <v>0</v>
      </c>
      <c r="AA45" s="19">
        <v>2.4228257590000002</v>
      </c>
      <c r="AB45" s="19">
        <v>0.32343432179999998</v>
      </c>
      <c r="AC45" s="19">
        <v>0.3855734039</v>
      </c>
      <c r="AD45" s="120">
        <v>3.1318334847</v>
      </c>
    </row>
    <row r="46" spans="3:30" x14ac:dyDescent="0.25">
      <c r="C46" s="29" t="s">
        <v>26</v>
      </c>
      <c r="D46" s="10"/>
      <c r="E46" s="10"/>
      <c r="F46" s="10"/>
      <c r="G46" s="10"/>
      <c r="H46" s="9">
        <f>SUM(H37,H40:H42)</f>
        <v>2.8835970520999998</v>
      </c>
      <c r="I46" s="9">
        <f>SUM(I37,I40:I42)</f>
        <v>64.25721480499999</v>
      </c>
      <c r="J46" s="9">
        <f>SUM(J37,J40:J42)</f>
        <v>38.6241863658</v>
      </c>
      <c r="K46" s="9">
        <f>SUM(K37,K40:K42)</f>
        <v>44.657847419501202</v>
      </c>
      <c r="L46" s="123">
        <f t="shared" si="6"/>
        <v>150.4228456424012</v>
      </c>
      <c r="M46" s="105"/>
      <c r="N46" s="180" t="s">
        <v>26</v>
      </c>
      <c r="O46" s="40">
        <f>O37+O40+O41+O42+O45</f>
        <v>4.5640554973254037</v>
      </c>
      <c r="P46" s="38">
        <f>P37+P40+P41+P42+P45</f>
        <v>64.295512199141086</v>
      </c>
      <c r="Q46" s="38">
        <f>Q37+Q40+Q41+Q42+Q45</f>
        <v>35.657811435941532</v>
      </c>
      <c r="R46" s="38">
        <f>R37+R40+R41+R42+R45</f>
        <v>42.318045756866823</v>
      </c>
      <c r="S46" s="173">
        <f t="shared" si="7"/>
        <v>146.83542488927486</v>
      </c>
      <c r="T46" s="105"/>
      <c r="U46" s="29" t="s">
        <v>26</v>
      </c>
      <c r="V46" s="10"/>
      <c r="W46" s="10"/>
      <c r="X46" s="10"/>
      <c r="Y46" s="10"/>
      <c r="Z46" s="9">
        <v>2.8987737598000001</v>
      </c>
      <c r="AA46" s="9">
        <v>64.159521389000005</v>
      </c>
      <c r="AB46" s="9">
        <v>38.678367707100001</v>
      </c>
      <c r="AC46" s="9">
        <v>44.699196808812097</v>
      </c>
      <c r="AD46" s="123">
        <v>150.4358596647121</v>
      </c>
    </row>
    <row r="47" spans="3:30" s="3" customFormat="1" x14ac:dyDescent="0.25">
      <c r="H47" s="69"/>
      <c r="I47" s="69"/>
      <c r="J47" s="69"/>
      <c r="K47" s="69"/>
      <c r="L47" s="69"/>
      <c r="M47" s="69"/>
      <c r="N47" s="69"/>
      <c r="O47" s="103"/>
      <c r="P47" s="103"/>
      <c r="Q47" s="103"/>
      <c r="R47" s="104"/>
      <c r="S47" s="69"/>
      <c r="T47" s="69"/>
      <c r="Z47" s="69"/>
      <c r="AA47" s="69"/>
      <c r="AB47" s="69"/>
      <c r="AC47" s="69"/>
      <c r="AD47" s="69"/>
    </row>
    <row r="48" spans="3:30" s="3" customFormat="1" x14ac:dyDescent="0.25"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Z48" s="69"/>
      <c r="AA48" s="69"/>
      <c r="AB48" s="69"/>
      <c r="AC48" s="69"/>
      <c r="AD48" s="69"/>
    </row>
    <row r="49" spans="2:30" ht="31.5" x14ac:dyDescent="0.35">
      <c r="C49" s="174">
        <v>2023</v>
      </c>
      <c r="D49" s="175"/>
      <c r="E49" s="175"/>
      <c r="F49" s="175"/>
      <c r="G49" s="175"/>
      <c r="H49" s="101" t="s">
        <v>36</v>
      </c>
      <c r="I49" s="101" t="s">
        <v>131</v>
      </c>
      <c r="J49" s="101" t="s">
        <v>38</v>
      </c>
      <c r="K49" s="101" t="s">
        <v>130</v>
      </c>
      <c r="L49" s="118" t="s">
        <v>1</v>
      </c>
      <c r="M49" s="25"/>
      <c r="N49" s="174">
        <v>2023</v>
      </c>
      <c r="O49" s="170" t="s">
        <v>36</v>
      </c>
      <c r="P49" s="101" t="s">
        <v>131</v>
      </c>
      <c r="Q49" s="101" t="s">
        <v>38</v>
      </c>
      <c r="R49" s="101" t="s">
        <v>130</v>
      </c>
      <c r="S49" s="118" t="s">
        <v>1</v>
      </c>
      <c r="T49" s="25"/>
      <c r="U49" s="174">
        <v>2023</v>
      </c>
      <c r="V49" s="175"/>
      <c r="W49" s="175"/>
      <c r="X49" s="175"/>
      <c r="Y49" s="175"/>
      <c r="Z49" s="101" t="s">
        <v>36</v>
      </c>
      <c r="AA49" s="101" t="s">
        <v>131</v>
      </c>
      <c r="AB49" s="101" t="s">
        <v>38</v>
      </c>
      <c r="AC49" s="101" t="s">
        <v>130</v>
      </c>
      <c r="AD49" s="118" t="s">
        <v>1</v>
      </c>
    </row>
    <row r="50" spans="2:30" x14ac:dyDescent="0.25">
      <c r="C50" s="176" t="s">
        <v>18</v>
      </c>
      <c r="H50" s="8">
        <f>SUM(H51:H52)</f>
        <v>0</v>
      </c>
      <c r="I50" s="8">
        <f>SUM(I51:I52)</f>
        <v>42.159572760000003</v>
      </c>
      <c r="J50" s="8">
        <f>SUM(J51:J52)</f>
        <v>1.5888344160000001</v>
      </c>
      <c r="K50" s="8">
        <f>SUM(K51:K52)</f>
        <v>0.41950289961250004</v>
      </c>
      <c r="L50" s="121">
        <f>SUM(H50:K50)</f>
        <v>44.167910075612504</v>
      </c>
      <c r="M50" s="99"/>
      <c r="N50" s="179" t="s">
        <v>18</v>
      </c>
      <c r="O50" s="36">
        <f>'[1]Bilan 2023 réel'!$X$46/11.63</f>
        <v>0</v>
      </c>
      <c r="P50" s="35">
        <f>SUM('[1]Bilan 2023 réel'!$X$41:$X$43)/11.63</f>
        <v>42.139633010859157</v>
      </c>
      <c r="Q50" s="35">
        <f>'[1]Bilan 2023 réel'!$X$13/11.63</f>
        <v>0.9065512467755803</v>
      </c>
      <c r="R50" s="35">
        <f>('[1]Bilan 2023 réel'!$X$22+'[1]Bilan 2023 réel'!$X$30+SUM('[1]Bilan 2023 réel'!$X$36:$X$40)+SUM('[1]Bilan 2023 réel'!$X$44:$X$45)+'[1]Bilan 2023 réel'!$X$47)/11.63</f>
        <v>0.31885683576956142</v>
      </c>
      <c r="S50" s="171">
        <f>SUM(O50:R50)</f>
        <v>43.365041093404294</v>
      </c>
      <c r="T50" s="245"/>
      <c r="U50" s="176" t="s">
        <v>18</v>
      </c>
      <c r="Z50" s="8">
        <v>0</v>
      </c>
      <c r="AA50" s="8">
        <v>42.04377126</v>
      </c>
      <c r="AB50" s="8">
        <v>1.6290970059000001</v>
      </c>
      <c r="AC50" s="8">
        <v>0.42044466549120002</v>
      </c>
      <c r="AD50" s="121">
        <v>44.093312931391203</v>
      </c>
    </row>
    <row r="51" spans="2:30" x14ac:dyDescent="0.25">
      <c r="C51" s="177" t="s">
        <v>19</v>
      </c>
      <c r="D51" t="s">
        <v>552</v>
      </c>
      <c r="E51" t="s">
        <v>553</v>
      </c>
      <c r="F51" t="s">
        <v>554</v>
      </c>
      <c r="G51" t="s">
        <v>555</v>
      </c>
      <c r="H51" s="19">
        <f>VLOOKUP(D51,Résultats!$B$2:$AX$476,'T energie vecteurs'!L5,FALSE)</f>
        <v>0</v>
      </c>
      <c r="I51" s="19">
        <f>VLOOKUP(E51,Résultats!$B$2:$AX$476,'T energie vecteurs'!L5,FALSE)</f>
        <v>23.171026350000002</v>
      </c>
      <c r="J51" s="19">
        <f>VLOOKUP(F51,Résultats!$B$2:$AX$476,'T energie vecteurs'!L5,FALSE)</f>
        <v>0.18315404599999999</v>
      </c>
      <c r="K51" s="19">
        <f>VLOOKUP(G51,Résultats!$B$2:$AX$476,'T energie vecteurs'!L5,FALSE)</f>
        <v>1.7678512500000001E-5</v>
      </c>
      <c r="L51" s="120">
        <f t="shared" ref="L51:L52" si="9">SUM(H51:K51)</f>
        <v>23.3541980745125</v>
      </c>
      <c r="M51" s="19"/>
      <c r="N51" s="177" t="s">
        <v>19</v>
      </c>
      <c r="O51" s="172"/>
      <c r="P51" s="19"/>
      <c r="Q51" s="55"/>
      <c r="R51" s="19"/>
      <c r="S51" s="120"/>
      <c r="T51" s="245"/>
      <c r="U51" s="177" t="s">
        <v>19</v>
      </c>
      <c r="V51" t="s">
        <v>552</v>
      </c>
      <c r="W51" t="s">
        <v>553</v>
      </c>
      <c r="X51" t="s">
        <v>554</v>
      </c>
      <c r="Y51" t="s">
        <v>555</v>
      </c>
      <c r="Z51" s="19">
        <v>0</v>
      </c>
      <c r="AA51" s="19">
        <v>23.003747260000001</v>
      </c>
      <c r="AB51" s="19">
        <v>0.22141492290000001</v>
      </c>
      <c r="AC51" s="19">
        <v>1.89428912E-5</v>
      </c>
      <c r="AD51" s="120">
        <v>23.225181125791199</v>
      </c>
    </row>
    <row r="52" spans="2:30" x14ac:dyDescent="0.25">
      <c r="C52" s="178" t="s">
        <v>20</v>
      </c>
      <c r="D52" t="s">
        <v>556</v>
      </c>
      <c r="E52" t="s">
        <v>557</v>
      </c>
      <c r="F52" t="s">
        <v>558</v>
      </c>
      <c r="G52" t="s">
        <v>559</v>
      </c>
      <c r="H52" s="19">
        <f>VLOOKUP(D52,Résultats!$B$2:$AX$476,'T energie vecteurs'!L5,FALSE)</f>
        <v>0</v>
      </c>
      <c r="I52" s="19">
        <f>VLOOKUP(E52,Résultats!$B$2:$AX$476,'T energie vecteurs'!L5,FALSE)</f>
        <v>18.988546410000001</v>
      </c>
      <c r="J52" s="19">
        <f>VLOOKUP(F52,Résultats!$B$2:$AX$476,'T energie vecteurs'!L5,FALSE)</f>
        <v>1.40568037</v>
      </c>
      <c r="K52" s="19">
        <f>VLOOKUP(G52,Résultats!$B$2:$AX$476,'T energie vecteurs'!L5,FALSE)</f>
        <v>0.41948522110000003</v>
      </c>
      <c r="L52" s="120">
        <f t="shared" si="9"/>
        <v>20.813712001100001</v>
      </c>
      <c r="M52" s="19"/>
      <c r="N52" s="178" t="s">
        <v>20</v>
      </c>
      <c r="O52" s="172"/>
      <c r="P52" s="19"/>
      <c r="Q52" s="55"/>
      <c r="R52" s="19"/>
      <c r="S52" s="120"/>
      <c r="T52" s="245"/>
      <c r="U52" s="178" t="s">
        <v>20</v>
      </c>
      <c r="V52" t="s">
        <v>556</v>
      </c>
      <c r="W52" t="s">
        <v>557</v>
      </c>
      <c r="X52" t="s">
        <v>558</v>
      </c>
      <c r="Y52" t="s">
        <v>559</v>
      </c>
      <c r="Z52" s="19">
        <v>0</v>
      </c>
      <c r="AA52" s="19">
        <v>19.040023999999999</v>
      </c>
      <c r="AB52" s="19">
        <v>1.4076820830000001</v>
      </c>
      <c r="AC52" s="19">
        <v>0.4204257226</v>
      </c>
      <c r="AD52" s="120">
        <v>20.868131805600001</v>
      </c>
    </row>
    <row r="53" spans="2:30" x14ac:dyDescent="0.25">
      <c r="C53" s="176" t="s">
        <v>21</v>
      </c>
      <c r="D53" t="s">
        <v>560</v>
      </c>
      <c r="E53" t="s">
        <v>561</v>
      </c>
      <c r="F53" t="s">
        <v>562</v>
      </c>
      <c r="G53" t="s">
        <v>563</v>
      </c>
      <c r="H53" s="8">
        <f>VLOOKUP(D53,Résultats!$B$2:$AX$476,'T energie vecteurs'!L5,FALSE)</f>
        <v>0.30121744760000002</v>
      </c>
      <c r="I53" s="8">
        <f>VLOOKUP(E53,Résultats!$B$2:$AX$476,'T energie vecteurs'!L5,FALSE)</f>
        <v>5.9430059789999996</v>
      </c>
      <c r="J53" s="8">
        <f>VLOOKUP(F53,Résultats!$B$2:$AX$476,'T energie vecteurs'!L5,FALSE)</f>
        <v>14.8048824</v>
      </c>
      <c r="K53" s="8">
        <f>VLOOKUP(G53,Résultats!$B$2:$AX$476,'T energie vecteurs'!L5,FALSE)+2</f>
        <v>18.842492719999999</v>
      </c>
      <c r="L53" s="121">
        <f>SUM(H53:K53)</f>
        <v>39.891598546599994</v>
      </c>
      <c r="M53" s="99"/>
      <c r="N53" s="179" t="s">
        <v>21</v>
      </c>
      <c r="O53" s="36">
        <f>'[1]Bilan 2023 réel'!$V$46/11.63</f>
        <v>1.9785054E-2</v>
      </c>
      <c r="P53" s="35">
        <f>SUM('[1]Bilan 2023 réel'!$V$41:$V$43)/11.63</f>
        <v>3.0423469738</v>
      </c>
      <c r="Q53" s="35">
        <f>'[1]Bilan 2023 réel'!$V$13/11.63</f>
        <v>13.020267239896821</v>
      </c>
      <c r="R53" s="35">
        <f>('[1]Bilan 2023 réel'!$V$22+'[1]Bilan 2023 réel'!$V$30+SUM('[1]Bilan 2023 réel'!$V$36:$V$40)+SUM('[1]Bilan 2023 réel'!$V$44:$V$45)+'[1]Bilan 2023 réel'!$V$47)/11.63</f>
        <v>20.330842243575045</v>
      </c>
      <c r="S53" s="171">
        <f t="shared" ref="S53:S59" si="10">SUM(O53:R53)</f>
        <v>36.413241511271863</v>
      </c>
      <c r="T53" s="245"/>
      <c r="U53" s="176" t="s">
        <v>21</v>
      </c>
      <c r="V53" t="s">
        <v>560</v>
      </c>
      <c r="W53" t="s">
        <v>561</v>
      </c>
      <c r="X53" t="s">
        <v>562</v>
      </c>
      <c r="Y53" t="s">
        <v>563</v>
      </c>
      <c r="Z53" s="263">
        <v>0.3011587309</v>
      </c>
      <c r="AA53" s="263">
        <v>5.937017838</v>
      </c>
      <c r="AB53" s="263">
        <v>14.805342960000001</v>
      </c>
      <c r="AC53" s="263">
        <v>18.847947080000001</v>
      </c>
      <c r="AD53" s="264">
        <v>39.891466608900004</v>
      </c>
    </row>
    <row r="54" spans="2:30" x14ac:dyDescent="0.25">
      <c r="C54" s="176" t="s">
        <v>22</v>
      </c>
      <c r="D54" t="s">
        <v>564</v>
      </c>
      <c r="E54" t="s">
        <v>565</v>
      </c>
      <c r="F54" t="s">
        <v>566</v>
      </c>
      <c r="G54" t="s">
        <v>567</v>
      </c>
      <c r="H54" s="8">
        <f>VLOOKUP(D54,Résultats!$B$2:$AX$476,'T energie vecteurs'!L5,FALSE)</f>
        <v>0</v>
      </c>
      <c r="I54" s="8">
        <f>VLOOKUP(E54,Résultats!$B$2:$AX$476,'T energie vecteurs'!L5,FALSE)</f>
        <v>3.0126546919999999</v>
      </c>
      <c r="J54" s="8">
        <f>VLOOKUP(F54,Résultats!$B$2:$AX$476,'T energie vecteurs'!L5,FALSE)</f>
        <v>12.83102221</v>
      </c>
      <c r="K54" s="8">
        <f>VLOOKUP(G54,Résultats!$B$2:$AX$476,'T energie vecteurs'!L5,FALSE)</f>
        <v>9.2021929399999998</v>
      </c>
      <c r="L54" s="121">
        <f t="shared" ref="L54:L56" si="11">SUM(H54:K54)</f>
        <v>25.045869842000002</v>
      </c>
      <c r="M54" s="99"/>
      <c r="N54" s="179" t="s">
        <v>22</v>
      </c>
      <c r="O54" s="36">
        <f>('[1]Bilan 2023 réel'!$W$46)/11.63</f>
        <v>2.9470376E-2</v>
      </c>
      <c r="P54" s="35">
        <f>SUM('[1]Bilan 2023 réel'!$W$41:$W$43)/11.63</f>
        <v>2.063881609425366</v>
      </c>
      <c r="Q54" s="35">
        <f>('[1]Bilan 2023 réel'!$W$13)/11.63</f>
        <v>11.200373602751505</v>
      </c>
      <c r="R54" s="35">
        <f>('[1]Bilan 2023 réel'!$W$22+'[1]Bilan 2023 réel'!$W$30+SUM('[1]Bilan 2023 réel'!$W$36:$W$40)+SUM('[1]Bilan 2023 réel'!$W$44:$W$45)+'[1]Bilan 2023 réel'!$W$47)/11.63</f>
        <v>7.0633917765357781</v>
      </c>
      <c r="S54" s="171">
        <f t="shared" si="10"/>
        <v>20.35711736471265</v>
      </c>
      <c r="T54" s="245"/>
      <c r="U54" s="176" t="s">
        <v>22</v>
      </c>
      <c r="V54" t="s">
        <v>564</v>
      </c>
      <c r="W54" t="s">
        <v>565</v>
      </c>
      <c r="X54" t="s">
        <v>566</v>
      </c>
      <c r="Y54" t="s">
        <v>567</v>
      </c>
      <c r="Z54" s="8">
        <v>0</v>
      </c>
      <c r="AA54" s="8">
        <v>3.0105893930000001</v>
      </c>
      <c r="AB54" s="8">
        <v>12.833197009999999</v>
      </c>
      <c r="AC54" s="8">
        <v>9.2118265479999994</v>
      </c>
      <c r="AD54" s="121">
        <v>25.055612951000001</v>
      </c>
    </row>
    <row r="55" spans="2:30" x14ac:dyDescent="0.25">
      <c r="C55" s="176" t="s">
        <v>23</v>
      </c>
      <c r="H55" s="8">
        <f>SUM(H56:H58)</f>
        <v>2.587058785</v>
      </c>
      <c r="I55" s="8">
        <f>SUM(I56:I58)</f>
        <v>12.779081969</v>
      </c>
      <c r="J55" s="8">
        <f>SUM(J56:J58)</f>
        <v>9.9673540506999991</v>
      </c>
      <c r="K55" s="8">
        <f>SUM(K56:K58)</f>
        <v>16.2324818825</v>
      </c>
      <c r="L55" s="121">
        <f t="shared" si="11"/>
        <v>41.565976687199999</v>
      </c>
      <c r="M55" s="99"/>
      <c r="N55" s="179" t="s">
        <v>252</v>
      </c>
      <c r="O55" s="36">
        <f>O56+O57</f>
        <v>3.8091541290558895</v>
      </c>
      <c r="P55" s="35">
        <f t="shared" ref="P55:R55" si="12">P56+P57</f>
        <v>12.120619615422576</v>
      </c>
      <c r="Q55" s="35">
        <f t="shared" si="12"/>
        <v>8.8688043852106624</v>
      </c>
      <c r="R55" s="35">
        <f t="shared" si="12"/>
        <v>13.00955432637566</v>
      </c>
      <c r="S55" s="171">
        <f t="shared" si="10"/>
        <v>37.808132456064783</v>
      </c>
      <c r="T55" s="245"/>
      <c r="U55" s="176" t="s">
        <v>23</v>
      </c>
      <c r="Z55" s="244">
        <v>2.6017189035000001</v>
      </c>
      <c r="AA55" s="244">
        <v>12.792955195000001</v>
      </c>
      <c r="AB55" s="8">
        <v>9.9821471652000007</v>
      </c>
      <c r="AC55" s="244">
        <v>16.2672360593</v>
      </c>
      <c r="AD55" s="121">
        <v>41.644057322999998</v>
      </c>
    </row>
    <row r="56" spans="2:30" x14ac:dyDescent="0.25">
      <c r="C56" s="178" t="s">
        <v>24</v>
      </c>
      <c r="D56" t="s">
        <v>568</v>
      </c>
      <c r="E56" t="s">
        <v>569</v>
      </c>
      <c r="F56" t="s">
        <v>570</v>
      </c>
      <c r="G56" t="s">
        <v>571</v>
      </c>
      <c r="H56" s="19">
        <f>VLOOKUP(D56,Résultats!$B$2:$AX$476,'T energie vecteurs'!L5,FALSE)</f>
        <v>1.6916691930000001</v>
      </c>
      <c r="I56" s="19">
        <f>VLOOKUP(E56,Résultats!$B$2:$AX$476,'T energie vecteurs'!L5,FALSE)</f>
        <v>8.3806197440000005</v>
      </c>
      <c r="J56" s="19">
        <f>VLOOKUP(F56,Résultats!$B$2:$AX$476,'T energie vecteurs'!L5,FALSE)</f>
        <v>9.6357052599999999</v>
      </c>
      <c r="K56" s="19">
        <f>VLOOKUP(G56,Résultats!$B$2:$AX$476,'T energie vecteurs'!L5,FALSE)</f>
        <v>13.65442154</v>
      </c>
      <c r="L56" s="120">
        <f t="shared" si="11"/>
        <v>33.362415736999999</v>
      </c>
      <c r="M56" s="19"/>
      <c r="N56" s="178" t="s">
        <v>253</v>
      </c>
      <c r="O56" s="172">
        <f>'[1]Bilan 2023 réel'!$U$46/11.63</f>
        <v>0.58092196100000004</v>
      </c>
      <c r="P56" s="37">
        <f>SUM('[1]Bilan 2023 réel'!$U$41:$U$43)/11.63</f>
        <v>2.395717067522579</v>
      </c>
      <c r="Q56" s="37">
        <f>'[1]Bilan 2023 réel'!$U$13/11.63</f>
        <v>8.8688043852106624</v>
      </c>
      <c r="R56" s="37">
        <f>('[1]Bilan 2023 réel'!$U$22+'[1]Bilan 2023 réel'!$U$30+SUM('[1]Bilan 2023 réel'!$U$36:$U$40)+SUM('[1]Bilan 2023 réel'!$U$44:$U$45)+'[1]Bilan 2023 réel'!$U$47)/11.63</f>
        <v>12.148361914509795</v>
      </c>
      <c r="S56" s="120">
        <f t="shared" si="10"/>
        <v>23.993805328243035</v>
      </c>
      <c r="T56" s="245"/>
      <c r="U56" s="178" t="s">
        <v>24</v>
      </c>
      <c r="V56" t="s">
        <v>568</v>
      </c>
      <c r="W56" t="s">
        <v>569</v>
      </c>
      <c r="X56" t="s">
        <v>570</v>
      </c>
      <c r="Y56" t="s">
        <v>571</v>
      </c>
      <c r="Z56" s="19">
        <v>1.700369947</v>
      </c>
      <c r="AA56" s="19">
        <v>8.3935604060000006</v>
      </c>
      <c r="AB56" s="19">
        <v>9.6501702859999998</v>
      </c>
      <c r="AC56" s="19">
        <v>13.68784718</v>
      </c>
      <c r="AD56" s="120">
        <v>33.431947819000001</v>
      </c>
    </row>
    <row r="57" spans="2:30" x14ac:dyDescent="0.25">
      <c r="C57" s="178" t="s">
        <v>129</v>
      </c>
      <c r="D57" t="s">
        <v>572</v>
      </c>
      <c r="E57" t="s">
        <v>573</v>
      </c>
      <c r="F57" t="s">
        <v>574</v>
      </c>
      <c r="G57" t="s">
        <v>575</v>
      </c>
      <c r="H57" s="19">
        <f>VLOOKUP(D57,Résultats!$B$2:$AX$476,'T energie vecteurs'!L5,FALSE)</f>
        <v>0.89538959200000001</v>
      </c>
      <c r="I57" s="19">
        <f>VLOOKUP(E57,Résultats!$B$2:$AX$476,'T energie vecteurs'!L5,FALSE)</f>
        <v>1.940837363</v>
      </c>
      <c r="J57" s="19">
        <f>VLOOKUP(F57,Résultats!$B$2:$AX$476,'T energie vecteurs'!L5,FALSE)</f>
        <v>0</v>
      </c>
      <c r="K57" s="19">
        <f>VLOOKUP(G57,Résultats!$B$2:$AX$476,'T energie vecteurs'!L5,FALSE)</f>
        <v>2.1825602420000001</v>
      </c>
      <c r="L57" s="120">
        <f>SUM(H57:K57)</f>
        <v>5.018787197</v>
      </c>
      <c r="M57" s="19"/>
      <c r="N57" s="178" t="s">
        <v>129</v>
      </c>
      <c r="O57" s="28">
        <f>'[1]Bilan 2023 réel'!$E$52/11.63</f>
        <v>3.2282321680558894</v>
      </c>
      <c r="P57" s="19">
        <f>('[1]Bilan 2023 réel'!$E$54+'[1]Bilan 2023 réel'!$E$56)/11.63</f>
        <v>9.7249025478999975</v>
      </c>
      <c r="Q57" s="19">
        <v>0</v>
      </c>
      <c r="R57" s="19">
        <f>('[1]Bilan 2023 réel'!$E$53+'[1]Bilan 2023 réel'!$E$55+'[1]Bilan 2023 réel'!$E$57)/11.63</f>
        <v>0.86119241186586415</v>
      </c>
      <c r="S57" s="120">
        <f t="shared" si="10"/>
        <v>13.814327127821752</v>
      </c>
      <c r="T57" s="245"/>
      <c r="U57" s="178" t="s">
        <v>129</v>
      </c>
      <c r="V57" t="s">
        <v>572</v>
      </c>
      <c r="W57" t="s">
        <v>573</v>
      </c>
      <c r="X57" t="s">
        <v>574</v>
      </c>
      <c r="Y57" t="s">
        <v>575</v>
      </c>
      <c r="Z57" s="19">
        <v>0.90134895650000002</v>
      </c>
      <c r="AA57" s="19">
        <v>1.9408582679999999</v>
      </c>
      <c r="AB57" s="19">
        <v>0</v>
      </c>
      <c r="AC57" s="19">
        <v>2.183374583</v>
      </c>
      <c r="AD57" s="120">
        <v>5.0255818075000001</v>
      </c>
    </row>
    <row r="58" spans="2:30" x14ac:dyDescent="0.25">
      <c r="C58" s="178" t="s">
        <v>25</v>
      </c>
      <c r="D58" t="s">
        <v>576</v>
      </c>
      <c r="E58" t="s">
        <v>577</v>
      </c>
      <c r="F58" t="s">
        <v>578</v>
      </c>
      <c r="G58" t="s">
        <v>579</v>
      </c>
      <c r="H58" s="19">
        <f>VLOOKUP(D58,Résultats!$B$2:$AX$476,'T energie vecteurs'!L5,FALSE)</f>
        <v>0</v>
      </c>
      <c r="I58" s="19">
        <f>VLOOKUP(E58,Résultats!$B$2:$AX$476,'T energie vecteurs'!L5,FALSE)</f>
        <v>2.4576248619999999</v>
      </c>
      <c r="J58" s="19">
        <f>VLOOKUP(F58,Résultats!$B$2:$AX$476,'T energie vecteurs'!L5,FALSE)</f>
        <v>0.33164879069999997</v>
      </c>
      <c r="K58" s="19">
        <f>VLOOKUP(G58,Résultats!$B$2:$AX$476,'T energie vecteurs'!L5,FALSE)</f>
        <v>0.39550010050000001</v>
      </c>
      <c r="L58" s="120">
        <f t="shared" ref="L58" si="13">SUM(H58:K58)</f>
        <v>3.1847737532</v>
      </c>
      <c r="M58" s="19"/>
      <c r="N58" s="179" t="s">
        <v>25</v>
      </c>
      <c r="O58" s="36">
        <f>'[1]Bilan 2023 réel'!$T$46/11.63</f>
        <v>1.221354E-3</v>
      </c>
      <c r="P58" s="35">
        <f>SUM('[1]Bilan 2023 réel'!$T$41:$T$43)/11.63</f>
        <v>3.4194391444513199</v>
      </c>
      <c r="Q58" s="35">
        <f>'[1]Bilan 2023 réel'!$T$13/11.63</f>
        <v>0.65647798796216683</v>
      </c>
      <c r="R58" s="35">
        <f>('[1]Bilan 2023 réel'!$T$22+'[1]Bilan 2023 réel'!$T$30+SUM('[1]Bilan 2023 réel'!$T$36:$T$40)+SUM('[1]Bilan 2023 réel'!$T$44:$T$45)+'[1]Bilan 2023 réel'!$T$47)/11.63</f>
        <v>0.44186481322250887</v>
      </c>
      <c r="S58" s="171">
        <f t="shared" si="10"/>
        <v>4.5190032996359957</v>
      </c>
      <c r="T58" s="245"/>
      <c r="U58" s="178" t="s">
        <v>25</v>
      </c>
      <c r="V58" t="s">
        <v>576</v>
      </c>
      <c r="W58" t="s">
        <v>577</v>
      </c>
      <c r="X58" t="s">
        <v>578</v>
      </c>
      <c r="Y58" t="s">
        <v>579</v>
      </c>
      <c r="Z58" s="19">
        <v>0</v>
      </c>
      <c r="AA58" s="19">
        <v>2.4585365210000001</v>
      </c>
      <c r="AB58" s="19">
        <v>0.33197687920000002</v>
      </c>
      <c r="AC58" s="19">
        <v>0.39601429630000001</v>
      </c>
      <c r="AD58" s="120">
        <v>3.1865276965000002</v>
      </c>
    </row>
    <row r="59" spans="2:30" x14ac:dyDescent="0.25">
      <c r="C59" s="29" t="s">
        <v>26</v>
      </c>
      <c r="D59" s="10"/>
      <c r="E59" s="10"/>
      <c r="F59" s="10"/>
      <c r="G59" s="10"/>
      <c r="H59" s="9">
        <f>SUM(H50,H53:H55)</f>
        <v>2.8882762326</v>
      </c>
      <c r="I59" s="9">
        <f>SUM(I50,I53:I55)</f>
        <v>63.894315399999996</v>
      </c>
      <c r="J59" s="9">
        <f>SUM(J50,J53:J55)</f>
        <v>39.192093076700004</v>
      </c>
      <c r="K59" s="9">
        <f>SUM(K50,K53:K55)</f>
        <v>44.696670442112499</v>
      </c>
      <c r="L59" s="123">
        <f>SUM(H59:K59)</f>
        <v>150.67135515141251</v>
      </c>
      <c r="M59" s="105"/>
      <c r="N59" s="180" t="s">
        <v>26</v>
      </c>
      <c r="O59" s="40">
        <f>O50+O53+O54+O55+O58</f>
        <v>3.8596309130558897</v>
      </c>
      <c r="P59" s="38">
        <f>P50+P53+P54+P55+P58</f>
        <v>62.785920353958417</v>
      </c>
      <c r="Q59" s="38">
        <f>Q50+Q53+Q54+Q55+Q58</f>
        <v>34.652474462596736</v>
      </c>
      <c r="R59" s="38">
        <f>R50+R53+R54+R55+R58</f>
        <v>41.164509995478554</v>
      </c>
      <c r="S59" s="173">
        <f t="shared" si="10"/>
        <v>142.46253572508959</v>
      </c>
      <c r="T59" s="105"/>
      <c r="U59" s="29" t="s">
        <v>26</v>
      </c>
      <c r="V59" s="10"/>
      <c r="W59" s="10"/>
      <c r="X59" s="10"/>
      <c r="Y59" s="10"/>
      <c r="Z59" s="9">
        <v>2.9028776344000002</v>
      </c>
      <c r="AA59" s="9">
        <v>63.784333686000011</v>
      </c>
      <c r="AB59" s="9">
        <v>39.249784141100001</v>
      </c>
      <c r="AC59" s="9">
        <v>44.747454352791195</v>
      </c>
      <c r="AD59" s="123">
        <v>150.68444981429121</v>
      </c>
    </row>
    <row r="60" spans="2:30" s="3" customFormat="1" x14ac:dyDescent="0.25">
      <c r="O60" s="103"/>
      <c r="P60" s="103"/>
      <c r="Q60" s="103"/>
      <c r="R60" s="104"/>
      <c r="S60" s="69"/>
    </row>
    <row r="61" spans="2:30" s="3" customFormat="1" x14ac:dyDescent="0.25">
      <c r="B61" s="84"/>
      <c r="K61" s="71"/>
      <c r="O61" s="105"/>
      <c r="P61" s="105"/>
      <c r="Q61" s="105"/>
      <c r="R61" s="106"/>
      <c r="S61" s="107"/>
      <c r="AC61" s="71"/>
    </row>
    <row r="62" spans="2:30" ht="31.5" x14ac:dyDescent="0.35">
      <c r="C62" s="174">
        <v>2025</v>
      </c>
      <c r="D62" s="175"/>
      <c r="E62" s="175"/>
      <c r="F62" s="175"/>
      <c r="G62" s="175"/>
      <c r="H62" s="101" t="s">
        <v>36</v>
      </c>
      <c r="I62" s="101" t="s">
        <v>131</v>
      </c>
      <c r="J62" s="101" t="s">
        <v>38</v>
      </c>
      <c r="K62" s="101" t="s">
        <v>130</v>
      </c>
      <c r="L62" s="118" t="s">
        <v>1</v>
      </c>
      <c r="M62" s="25"/>
      <c r="N62" s="174">
        <v>2025</v>
      </c>
      <c r="O62" s="170" t="s">
        <v>36</v>
      </c>
      <c r="P62" s="101" t="s">
        <v>131</v>
      </c>
      <c r="Q62" s="101" t="s">
        <v>38</v>
      </c>
      <c r="R62" s="101" t="s">
        <v>130</v>
      </c>
      <c r="S62" s="118" t="s">
        <v>1</v>
      </c>
      <c r="T62" s="25"/>
      <c r="U62" s="174">
        <v>2025</v>
      </c>
      <c r="V62" s="175"/>
      <c r="W62" s="175"/>
      <c r="X62" s="175"/>
      <c r="Y62" s="175"/>
      <c r="Z62" s="101" t="s">
        <v>36</v>
      </c>
      <c r="AA62" s="101" t="s">
        <v>131</v>
      </c>
      <c r="AB62" s="101" t="s">
        <v>38</v>
      </c>
      <c r="AC62" s="101" t="s">
        <v>130</v>
      </c>
      <c r="AD62" s="118" t="s">
        <v>1</v>
      </c>
    </row>
    <row r="63" spans="2:30" x14ac:dyDescent="0.25">
      <c r="C63" s="176" t="s">
        <v>18</v>
      </c>
      <c r="H63" s="8">
        <f>SUM(H64:H65)</f>
        <v>0</v>
      </c>
      <c r="I63" s="8">
        <f>SUM(I64:I65)</f>
        <v>41.504460160000001</v>
      </c>
      <c r="J63" s="8">
        <f>SUM(J64:J65)</f>
        <v>1.7505509971</v>
      </c>
      <c r="K63" s="8">
        <f>SUM(K64:K65)</f>
        <v>0.58079168156509997</v>
      </c>
      <c r="L63" s="121">
        <f t="shared" ref="L63:L72" si="14">SUM(H63:K63)</f>
        <v>43.835802838665103</v>
      </c>
      <c r="M63" s="99"/>
      <c r="N63" s="179" t="s">
        <v>18</v>
      </c>
      <c r="O63" s="36">
        <f>'[1]Bilan 2025'!$X$46/11.63</f>
        <v>0</v>
      </c>
      <c r="P63" s="35">
        <f>SUM('[1]Bilan 2025'!$X$41:$X$43)/11.63</f>
        <v>38.545929814739537</v>
      </c>
      <c r="Q63" s="35">
        <f>'[1]Bilan 2025'!$X$13/11.63</f>
        <v>1.5398477407339692</v>
      </c>
      <c r="R63" s="35">
        <f>('[1]Bilan 2025'!$X$22+'[1]Bilan 2025'!$X$30+SUM('[1]Bilan 2025'!$X$36:$X$40)+SUM('[1]Bilan 2025'!$X$44:$X$45)+'[1]Bilan 2025'!$X$47)/11.63</f>
        <v>0.58333134363889538</v>
      </c>
      <c r="S63" s="171">
        <f>SUM(O63:R63)</f>
        <v>40.669108899112402</v>
      </c>
      <c r="T63" s="99"/>
      <c r="U63" s="176" t="s">
        <v>18</v>
      </c>
      <c r="Z63" s="8">
        <v>0</v>
      </c>
      <c r="AA63" s="8">
        <v>41.375778089999997</v>
      </c>
      <c r="AB63" s="8">
        <v>1.8059260915999999</v>
      </c>
      <c r="AC63" s="8">
        <v>0.58233724264620002</v>
      </c>
      <c r="AD63" s="121">
        <v>43.764041424246194</v>
      </c>
    </row>
    <row r="64" spans="2:30" x14ac:dyDescent="0.25">
      <c r="C64" s="177" t="s">
        <v>19</v>
      </c>
      <c r="D64" t="s">
        <v>552</v>
      </c>
      <c r="E64" t="s">
        <v>553</v>
      </c>
      <c r="F64" t="s">
        <v>554</v>
      </c>
      <c r="G64" t="s">
        <v>555</v>
      </c>
      <c r="H64" s="19">
        <f>VLOOKUP(D64,Résultats!$B$2:$AX$476,'T energie vecteurs'!N5,FALSE)</f>
        <v>0</v>
      </c>
      <c r="I64" s="19">
        <f>VLOOKUP(E64,Résultats!$B$2:$AX$476,'T energie vecteurs'!N5,FALSE)</f>
        <v>22.375364090000001</v>
      </c>
      <c r="J64" s="19">
        <f>VLOOKUP(F64,Résultats!$B$2:$AX$476,'T energie vecteurs'!N5,FALSE)</f>
        <v>0.28346644209999999</v>
      </c>
      <c r="K64" s="19">
        <f>VLOOKUP(G77,Résultats!$B$2:$AX$476,'T energie vecteurs'!N5,FALSE)</f>
        <v>2.2678365099999999E-5</v>
      </c>
      <c r="L64" s="120">
        <f t="shared" si="14"/>
        <v>22.6588532104651</v>
      </c>
      <c r="M64" s="19"/>
      <c r="N64" s="177" t="s">
        <v>19</v>
      </c>
      <c r="O64" s="172"/>
      <c r="P64" s="19"/>
      <c r="Q64" s="55"/>
      <c r="R64" s="19"/>
      <c r="S64" s="120"/>
      <c r="T64" s="19"/>
      <c r="U64" s="177" t="s">
        <v>19</v>
      </c>
      <c r="V64" t="s">
        <v>552</v>
      </c>
      <c r="W64" t="s">
        <v>553</v>
      </c>
      <c r="X64" t="s">
        <v>554</v>
      </c>
      <c r="Y64" t="s">
        <v>555</v>
      </c>
      <c r="Z64" s="19">
        <v>0</v>
      </c>
      <c r="AA64" s="19">
        <v>22.185905399999999</v>
      </c>
      <c r="AB64" s="19">
        <v>0.3373448926</v>
      </c>
      <c r="AC64" s="19">
        <v>2.3801746199999999E-5</v>
      </c>
      <c r="AD64" s="120">
        <v>22.523274094346199</v>
      </c>
    </row>
    <row r="65" spans="3:30" x14ac:dyDescent="0.25">
      <c r="C65" s="178" t="s">
        <v>20</v>
      </c>
      <c r="D65" t="s">
        <v>556</v>
      </c>
      <c r="E65" t="s">
        <v>557</v>
      </c>
      <c r="F65" t="s">
        <v>558</v>
      </c>
      <c r="G65" t="s">
        <v>559</v>
      </c>
      <c r="H65" s="19">
        <f>VLOOKUP(D65,Résultats!$B$2:$AX$476,'T energie vecteurs'!N5,FALSE)</f>
        <v>0</v>
      </c>
      <c r="I65" s="19">
        <f>VLOOKUP(E65,Résultats!$B$2:$AX$476,'T energie vecteurs'!N5,FALSE)</f>
        <v>19.129096069999999</v>
      </c>
      <c r="J65" s="19">
        <f>VLOOKUP(F65,Résultats!$B$2:$AX$476,'T energie vecteurs'!N5,FALSE)</f>
        <v>1.467084555</v>
      </c>
      <c r="K65" s="19">
        <f>VLOOKUP(G65,Résultats!$B$2:$AX$476,'T energie vecteurs'!N5,FALSE)</f>
        <v>0.58076900320000002</v>
      </c>
      <c r="L65" s="120">
        <f t="shared" si="14"/>
        <v>21.176949628199999</v>
      </c>
      <c r="M65" s="19"/>
      <c r="N65" s="178" t="s">
        <v>20</v>
      </c>
      <c r="O65" s="172"/>
      <c r="P65" s="19"/>
      <c r="Q65" s="55"/>
      <c r="R65" s="19"/>
      <c r="S65" s="120"/>
      <c r="T65" s="19"/>
      <c r="U65" s="178" t="s">
        <v>20</v>
      </c>
      <c r="V65" t="s">
        <v>556</v>
      </c>
      <c r="W65" t="s">
        <v>557</v>
      </c>
      <c r="X65" t="s">
        <v>558</v>
      </c>
      <c r="Y65" t="s">
        <v>559</v>
      </c>
      <c r="Z65" s="19">
        <v>0</v>
      </c>
      <c r="AA65" s="19">
        <v>19.189872690000001</v>
      </c>
      <c r="AB65" s="19">
        <v>1.4685811989999999</v>
      </c>
      <c r="AC65" s="19">
        <v>0.58231344090000003</v>
      </c>
      <c r="AD65" s="120">
        <v>21.240767329899999</v>
      </c>
    </row>
    <row r="66" spans="3:30" x14ac:dyDescent="0.25">
      <c r="C66" s="176" t="s">
        <v>21</v>
      </c>
      <c r="D66" t="s">
        <v>560</v>
      </c>
      <c r="E66" t="s">
        <v>561</v>
      </c>
      <c r="F66" t="s">
        <v>562</v>
      </c>
      <c r="G66" t="s">
        <v>563</v>
      </c>
      <c r="H66" s="8">
        <f>VLOOKUP(D66,Résultats!$B$2:$AX$476,'T energie vecteurs'!N5,FALSE)</f>
        <v>0.28714719020000001</v>
      </c>
      <c r="I66" s="8">
        <f>VLOOKUP(E66,Résultats!$B$2:$AX$476,'T energie vecteurs'!N5,FALSE)</f>
        <v>5.6597559650000004</v>
      </c>
      <c r="J66" s="8">
        <f>VLOOKUP(F66,Résultats!$B$2:$AX$476,'T energie vecteurs'!N5,FALSE)</f>
        <v>15.116978530000001</v>
      </c>
      <c r="K66" s="8">
        <f>VLOOKUP(G66,Résultats!$B$2:$AX$476,'T energie vecteurs'!N5,FALSE)+2</f>
        <v>18.412748400000002</v>
      </c>
      <c r="L66" s="121">
        <f t="shared" si="14"/>
        <v>39.4766300852</v>
      </c>
      <c r="M66" s="99"/>
      <c r="N66" s="179" t="s">
        <v>21</v>
      </c>
      <c r="O66" s="36">
        <f>'[1]Bilan 2025'!$V$46/11.63</f>
        <v>0</v>
      </c>
      <c r="P66" s="35">
        <f>SUM('[1]Bilan 2025'!$V$41:$V$43)/11.63</f>
        <v>3.5326526805330594</v>
      </c>
      <c r="Q66" s="35">
        <f>'[1]Bilan 2025'!$V$13/11.63</f>
        <v>14.460312572692807</v>
      </c>
      <c r="R66" s="35">
        <f>('[1]Bilan 2025'!$V$22+'[1]Bilan 2025'!$V$30+SUM('[1]Bilan 2025'!$V$36:$V$40)+SUM('[1]Bilan 2025'!$V$44:$V$45)+'[1]Bilan 2025'!$V$47)/11.63</f>
        <v>21.112528803330196</v>
      </c>
      <c r="S66" s="171">
        <f t="shared" ref="S66:S72" si="15">SUM(O66:R66)</f>
        <v>39.105494056556061</v>
      </c>
      <c r="T66" s="99"/>
      <c r="U66" s="176" t="s">
        <v>21</v>
      </c>
      <c r="V66" t="s">
        <v>560</v>
      </c>
      <c r="W66" t="s">
        <v>561</v>
      </c>
      <c r="X66" t="s">
        <v>562</v>
      </c>
      <c r="Y66" t="s">
        <v>563</v>
      </c>
      <c r="Z66" s="263">
        <v>0.2871436798</v>
      </c>
      <c r="AA66" s="263">
        <v>5.6510821059999996</v>
      </c>
      <c r="AB66" s="263">
        <v>15.114046630000001</v>
      </c>
      <c r="AC66" s="263">
        <v>18.440587870000002</v>
      </c>
      <c r="AD66" s="264">
        <v>39.492860285800006</v>
      </c>
    </row>
    <row r="67" spans="3:30" x14ac:dyDescent="0.25">
      <c r="C67" s="176" t="s">
        <v>22</v>
      </c>
      <c r="D67" t="s">
        <v>564</v>
      </c>
      <c r="E67" t="s">
        <v>565</v>
      </c>
      <c r="F67" t="s">
        <v>566</v>
      </c>
      <c r="G67" t="s">
        <v>567</v>
      </c>
      <c r="H67" s="8">
        <f>VLOOKUP(D67,Résultats!$B$2:$AX$476,'T energie vecteurs'!N5,FALSE)</f>
        <v>0</v>
      </c>
      <c r="I67" s="8">
        <f>VLOOKUP(E67,Résultats!$B$2:$AX$476,'T energie vecteurs'!N5,FALSE)</f>
        <v>2.8134112670000002</v>
      </c>
      <c r="J67" s="8">
        <f>VLOOKUP(F67,Résultats!$B$2:$AX$476,'T energie vecteurs'!N5,FALSE)</f>
        <v>13.43193232</v>
      </c>
      <c r="K67" s="8">
        <f>VLOOKUP(G67,Résultats!$B$2:$AX$476,'T energie vecteurs'!N5,FALSE)</f>
        <v>9.2054358549999904</v>
      </c>
      <c r="L67" s="121">
        <f t="shared" si="14"/>
        <v>25.450779441999991</v>
      </c>
      <c r="M67" s="99"/>
      <c r="N67" s="179" t="s">
        <v>22</v>
      </c>
      <c r="O67" s="36">
        <f>('[1]Bilan 2025'!$W$46)/11.63</f>
        <v>0</v>
      </c>
      <c r="P67" s="35">
        <f>SUM('[1]Bilan 2025'!$W$41:$W$43)/11.63</f>
        <v>1.829600236722577</v>
      </c>
      <c r="Q67" s="35">
        <f>('[1]Bilan 2025'!$W$13)/11.63</f>
        <v>11.310258924417251</v>
      </c>
      <c r="R67" s="35">
        <f>('[1]Bilan 2025'!$W$22+'[1]Bilan 2025'!$W$30+SUM('[1]Bilan 2025'!$W$36:$W$40)+SUM('[1]Bilan 2025'!$W$44:$W$45)+'[1]Bilan 2025'!$W$47)/11.63</f>
        <v>7.3063892907205394</v>
      </c>
      <c r="S67" s="171">
        <f t="shared" si="15"/>
        <v>20.446248451860367</v>
      </c>
      <c r="T67" s="99"/>
      <c r="U67" s="176" t="s">
        <v>22</v>
      </c>
      <c r="V67" t="s">
        <v>564</v>
      </c>
      <c r="W67" t="s">
        <v>565</v>
      </c>
      <c r="X67" t="s">
        <v>566</v>
      </c>
      <c r="Y67" t="s">
        <v>567</v>
      </c>
      <c r="Z67" s="8">
        <v>0</v>
      </c>
      <c r="AA67" s="8">
        <v>2.8097945599999998</v>
      </c>
      <c r="AB67" s="8">
        <v>13.42823798</v>
      </c>
      <c r="AC67" s="8">
        <v>9.2338452610000008</v>
      </c>
      <c r="AD67" s="121">
        <v>25.471877800999998</v>
      </c>
    </row>
    <row r="68" spans="3:30" x14ac:dyDescent="0.25">
      <c r="C68" s="176" t="s">
        <v>23</v>
      </c>
      <c r="H68" s="8">
        <f>SUM(H69:H71)</f>
        <v>2.527364629</v>
      </c>
      <c r="I68" s="8">
        <f>SUM(I69:I71)</f>
        <v>12.585563083</v>
      </c>
      <c r="J68" s="8">
        <f>SUM(J69:J71)</f>
        <v>10.6956173153</v>
      </c>
      <c r="K68" s="8">
        <f>SUM(K69:K71)</f>
        <v>16.314339847100001</v>
      </c>
      <c r="L68" s="121">
        <f t="shared" si="14"/>
        <v>42.1228848744</v>
      </c>
      <c r="M68" s="99"/>
      <c r="N68" s="179" t="s">
        <v>252</v>
      </c>
      <c r="O68" s="36">
        <f>O69+O70</f>
        <v>4.2119673749809596</v>
      </c>
      <c r="P68" s="35">
        <f t="shared" ref="P68:R68" si="16">P69+P70</f>
        <v>13.344099936220454</v>
      </c>
      <c r="Q68" s="35">
        <f t="shared" si="16"/>
        <v>9.4854890713287645</v>
      </c>
      <c r="R68" s="35">
        <f t="shared" si="16"/>
        <v>13.855608235952786</v>
      </c>
      <c r="S68" s="171">
        <f t="shared" si="15"/>
        <v>40.897164618482961</v>
      </c>
      <c r="T68" s="99"/>
      <c r="U68" s="176" t="s">
        <v>23</v>
      </c>
      <c r="Z68" s="8">
        <v>2.5441308317</v>
      </c>
      <c r="AA68" s="8">
        <v>12.599775060000001</v>
      </c>
      <c r="AB68" s="8">
        <v>10.7155223476</v>
      </c>
      <c r="AC68" s="8">
        <v>16.376152019500001</v>
      </c>
      <c r="AD68" s="121">
        <v>42.235580258799999</v>
      </c>
    </row>
    <row r="69" spans="3:30" x14ac:dyDescent="0.25">
      <c r="C69" s="178" t="s">
        <v>24</v>
      </c>
      <c r="D69" t="s">
        <v>568</v>
      </c>
      <c r="E69" t="s">
        <v>569</v>
      </c>
      <c r="F69" t="s">
        <v>570</v>
      </c>
      <c r="G69" t="s">
        <v>571</v>
      </c>
      <c r="H69" s="19">
        <f>VLOOKUP(D69,Résultats!$B$2:$AX$476,'T energie vecteurs'!N5,FALSE)</f>
        <v>1.626260781</v>
      </c>
      <c r="I69" s="19">
        <f>VLOOKUP(E69,Résultats!$B$2:$AX$476,'T energie vecteurs'!N5,FALSE)</f>
        <v>8.1143690169999996</v>
      </c>
      <c r="J69" s="19">
        <f>VLOOKUP(F69,Résultats!$B$2:$AX$476,'T energie vecteurs'!N5,FALSE)</f>
        <v>10.35515831</v>
      </c>
      <c r="K69" s="19">
        <f>VLOOKUP(G69,Résultats!$B$2:$AX$476,'T energie vecteurs'!N5,FALSE)</f>
        <v>13.69621963</v>
      </c>
      <c r="L69" s="120">
        <f t="shared" si="14"/>
        <v>33.792007738000002</v>
      </c>
      <c r="M69" s="19"/>
      <c r="N69" s="178" t="s">
        <v>253</v>
      </c>
      <c r="O69" s="172">
        <f>'[1]Bilan 2025'!$U$46/11.63</f>
        <v>0.6091486948433853</v>
      </c>
      <c r="P69" s="37">
        <f>SUM('[1]Bilan 2025'!$U$41:$U$43)/11.63</f>
        <v>2.4024529807619608</v>
      </c>
      <c r="Q69" s="37">
        <f>'[1]Bilan 2025'!$U$13/11.63</f>
        <v>9.4854890713287645</v>
      </c>
      <c r="R69" s="37">
        <f>('[1]Bilan 2025'!$U$22+'[1]Bilan 2025'!$U$30+SUM('[1]Bilan 2025'!$U$36:$U$40)+SUM('[1]Bilan 2025'!$U$44:$U$45)+'[1]Bilan 2025'!$U$47)/11.63</f>
        <v>12.777479857495365</v>
      </c>
      <c r="S69" s="120">
        <f t="shared" si="15"/>
        <v>25.274570604429478</v>
      </c>
      <c r="T69" s="19"/>
      <c r="U69" s="178" t="s">
        <v>24</v>
      </c>
      <c r="V69" t="s">
        <v>568</v>
      </c>
      <c r="W69" t="s">
        <v>569</v>
      </c>
      <c r="X69" t="s">
        <v>570</v>
      </c>
      <c r="Y69" t="s">
        <v>571</v>
      </c>
      <c r="Z69" s="19">
        <v>1.6360452649999999</v>
      </c>
      <c r="AA69" s="19">
        <v>8.1276443910000005</v>
      </c>
      <c r="AB69" s="19">
        <v>10.37466731</v>
      </c>
      <c r="AC69" s="19">
        <v>13.754958029999999</v>
      </c>
      <c r="AD69" s="120">
        <v>33.893314996000001</v>
      </c>
    </row>
    <row r="70" spans="3:30" x14ac:dyDescent="0.25">
      <c r="C70" s="178" t="s">
        <v>129</v>
      </c>
      <c r="D70" t="s">
        <v>572</v>
      </c>
      <c r="E70" t="s">
        <v>573</v>
      </c>
      <c r="F70" t="s">
        <v>574</v>
      </c>
      <c r="G70" t="s">
        <v>575</v>
      </c>
      <c r="H70" s="19">
        <f>VLOOKUP(D70,Résultats!$B$2:$AX$476,'T energie vecteurs'!N5,FALSE)</f>
        <v>0.90110384799999999</v>
      </c>
      <c r="I70" s="19">
        <f>VLOOKUP(E70,Résultats!$B$2:$AX$476,'T energie vecteurs'!N5,FALSE)</f>
        <v>1.9962577079999999</v>
      </c>
      <c r="J70" s="19">
        <f>VLOOKUP(F70,Résultats!$B$2:$AX$476,'T energie vecteurs'!N5,FALSE)</f>
        <v>0</v>
      </c>
      <c r="K70" s="19">
        <f>VLOOKUP(G70,Résultats!$B$2:$AX$476,'T energie vecteurs'!N5,FALSE)</f>
        <v>2.2170896099999999</v>
      </c>
      <c r="L70" s="120">
        <f t="shared" si="14"/>
        <v>5.1144511660000003</v>
      </c>
      <c r="M70" s="19"/>
      <c r="N70" s="178" t="s">
        <v>129</v>
      </c>
      <c r="O70" s="28">
        <f>'[1]Bilan 2025'!$E$52/11.63</f>
        <v>3.6028186801375743</v>
      </c>
      <c r="P70" s="19">
        <f>('[1]Bilan 2025'!$E$54+'[1]Bilan 2025'!$E$56)/11.63</f>
        <v>10.941646955458493</v>
      </c>
      <c r="Q70" s="19">
        <v>0</v>
      </c>
      <c r="R70" s="19">
        <f>('[1]Bilan 2025'!$E$53+'[1]Bilan 2025'!$E$55+'[1]Bilan 2025'!$E$57)/11.63</f>
        <v>1.0781283784574212</v>
      </c>
      <c r="S70" s="120">
        <f t="shared" si="15"/>
        <v>15.622594014053488</v>
      </c>
      <c r="T70" s="19"/>
      <c r="U70" s="178" t="s">
        <v>129</v>
      </c>
      <c r="V70" t="s">
        <v>572</v>
      </c>
      <c r="W70" t="s">
        <v>573</v>
      </c>
      <c r="X70" t="s">
        <v>574</v>
      </c>
      <c r="Y70" t="s">
        <v>575</v>
      </c>
      <c r="Z70" s="19">
        <v>0.90808556669999996</v>
      </c>
      <c r="AA70" s="19">
        <v>1.995999332</v>
      </c>
      <c r="AB70" s="19">
        <v>0</v>
      </c>
      <c r="AC70" s="19">
        <v>2.2189311420000002</v>
      </c>
      <c r="AD70" s="120">
        <v>5.1230160406999996</v>
      </c>
    </row>
    <row r="71" spans="3:30" x14ac:dyDescent="0.25">
      <c r="C71" s="178" t="s">
        <v>25</v>
      </c>
      <c r="D71" t="s">
        <v>576</v>
      </c>
      <c r="E71" t="s">
        <v>577</v>
      </c>
      <c r="F71" t="s">
        <v>578</v>
      </c>
      <c r="G71" t="s">
        <v>579</v>
      </c>
      <c r="H71" s="19">
        <f>VLOOKUP(D71,Résultats!$B$2:$AX$476,'T energie vecteurs'!N5,FALSE)</f>
        <v>0</v>
      </c>
      <c r="I71" s="19">
        <f>VLOOKUP(E71,Résultats!$B$2:$AX$476,'T energie vecteurs'!N5,FALSE)</f>
        <v>2.4749363579999999</v>
      </c>
      <c r="J71" s="19">
        <f>VLOOKUP(F71,Résultats!$B$2:$AX$476,'T energie vecteurs'!N5,FALSE)</f>
        <v>0.34045900530000001</v>
      </c>
      <c r="K71" s="19">
        <f>VLOOKUP(G71,Résultats!$B$2:$AX$476,'T energie vecteurs'!N5,FALSE)</f>
        <v>0.40103060709999999</v>
      </c>
      <c r="L71" s="120">
        <f t="shared" si="14"/>
        <v>3.2164259704</v>
      </c>
      <c r="M71" s="19"/>
      <c r="N71" s="179" t="s">
        <v>25</v>
      </c>
      <c r="O71" s="36">
        <f>'[1]Bilan 2025'!$T$46/11.63</f>
        <v>0</v>
      </c>
      <c r="P71" s="35">
        <f>SUM('[1]Bilan 2025'!$T$41:$T$43)/11.63</f>
        <v>3.1602006312216266</v>
      </c>
      <c r="Q71" s="35">
        <f>'[1]Bilan 2025'!$T$13/11.63</f>
        <v>0.70898600777464971</v>
      </c>
      <c r="R71" s="35">
        <f>('[1]Bilan 2025'!$T$22+'[1]Bilan 2025'!$T$30+SUM('[1]Bilan 2025'!$T$36:$T$40)+SUM('[1]Bilan 2025'!$T$44:$T$45)+'[1]Bilan 2025'!$T$47)/11.63</f>
        <v>0.28264741564176488</v>
      </c>
      <c r="S71" s="171">
        <f t="shared" si="15"/>
        <v>4.1518340546380408</v>
      </c>
      <c r="T71" s="19"/>
      <c r="U71" s="178" t="s">
        <v>25</v>
      </c>
      <c r="V71" t="s">
        <v>576</v>
      </c>
      <c r="W71" t="s">
        <v>577</v>
      </c>
      <c r="X71" t="s">
        <v>578</v>
      </c>
      <c r="Y71" t="s">
        <v>579</v>
      </c>
      <c r="Z71" s="19">
        <v>0</v>
      </c>
      <c r="AA71" s="19">
        <v>2.476131337</v>
      </c>
      <c r="AB71" s="19">
        <v>0.34085503760000002</v>
      </c>
      <c r="AC71" s="19">
        <v>0.40226284750000002</v>
      </c>
      <c r="AD71" s="120">
        <v>3.2192492220999998</v>
      </c>
    </row>
    <row r="72" spans="3:30" x14ac:dyDescent="0.25">
      <c r="C72" s="29" t="s">
        <v>26</v>
      </c>
      <c r="D72" s="10"/>
      <c r="E72" s="10"/>
      <c r="F72" s="10"/>
      <c r="G72" s="10"/>
      <c r="H72" s="9">
        <f>SUM(H63,H66:H68)</f>
        <v>2.8145118191999998</v>
      </c>
      <c r="I72" s="9">
        <f>SUM(I63,I66:I68)</f>
        <v>62.563190474999999</v>
      </c>
      <c r="J72" s="9">
        <f>SUM(J63,J66:J68)</f>
        <v>40.995079162399996</v>
      </c>
      <c r="K72" s="9">
        <f>SUM(K63,K66:K68)</f>
        <v>44.513315783665092</v>
      </c>
      <c r="L72" s="123">
        <f t="shared" si="14"/>
        <v>150.88609724026509</v>
      </c>
      <c r="M72" s="105"/>
      <c r="N72" s="180" t="s">
        <v>26</v>
      </c>
      <c r="O72" s="40">
        <f>O63+O66+O67+O68+O71</f>
        <v>4.2119673749809596</v>
      </c>
      <c r="P72" s="38">
        <f>P63+P66+P67+P68+P71</f>
        <v>60.412483299437255</v>
      </c>
      <c r="Q72" s="38">
        <f>Q63+Q66+Q67+Q68+Q71</f>
        <v>37.504894316947436</v>
      </c>
      <c r="R72" s="38">
        <f>R63+R66+R67+R68+R71</f>
        <v>43.140505089284176</v>
      </c>
      <c r="S72" s="173">
        <f t="shared" si="15"/>
        <v>145.26985008064983</v>
      </c>
      <c r="T72" s="105"/>
      <c r="U72" s="29" t="s">
        <v>26</v>
      </c>
      <c r="V72" s="10"/>
      <c r="W72" s="10"/>
      <c r="X72" s="10"/>
      <c r="Y72" s="10"/>
      <c r="Z72" s="9">
        <v>2.8312745115000002</v>
      </c>
      <c r="AA72" s="9">
        <v>62.436429815999993</v>
      </c>
      <c r="AB72" s="9">
        <v>41.063733049200003</v>
      </c>
      <c r="AC72" s="9">
        <v>44.632922393146202</v>
      </c>
      <c r="AD72" s="123">
        <v>150.9643597698462</v>
      </c>
    </row>
    <row r="73" spans="3:30" s="3" customFormat="1" x14ac:dyDescent="0.25">
      <c r="H73" s="69"/>
      <c r="I73" s="69"/>
      <c r="J73" s="69"/>
      <c r="K73" s="69"/>
      <c r="L73" s="69"/>
      <c r="M73" s="69"/>
      <c r="N73" s="69"/>
      <c r="O73" s="103"/>
      <c r="P73" s="103"/>
      <c r="Q73" s="103"/>
      <c r="R73" s="104"/>
      <c r="S73" s="69"/>
      <c r="T73" s="69"/>
      <c r="Z73" s="69"/>
      <c r="AA73" s="69"/>
      <c r="AB73" s="69"/>
      <c r="AC73" s="69"/>
      <c r="AD73" s="69"/>
    </row>
    <row r="74" spans="3:30" s="3" customFormat="1" x14ac:dyDescent="0.25"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Z74" s="69"/>
      <c r="AA74" s="69"/>
      <c r="AB74" s="69"/>
      <c r="AC74" s="69"/>
      <c r="AD74" s="69"/>
    </row>
    <row r="75" spans="3:30" ht="31.5" x14ac:dyDescent="0.35">
      <c r="C75" s="174">
        <v>2030</v>
      </c>
      <c r="D75" s="175"/>
      <c r="E75" s="175"/>
      <c r="F75" s="175"/>
      <c r="G75" s="175"/>
      <c r="H75" s="101" t="s">
        <v>36</v>
      </c>
      <c r="I75" s="101" t="s">
        <v>131</v>
      </c>
      <c r="J75" s="101" t="s">
        <v>38</v>
      </c>
      <c r="K75" s="101" t="s">
        <v>130</v>
      </c>
      <c r="L75" s="118" t="s">
        <v>1</v>
      </c>
      <c r="M75" s="25"/>
      <c r="N75" s="174">
        <v>2030</v>
      </c>
      <c r="O75" s="170" t="s">
        <v>36</v>
      </c>
      <c r="P75" s="101" t="s">
        <v>131</v>
      </c>
      <c r="Q75" s="101" t="s">
        <v>38</v>
      </c>
      <c r="R75" s="101" t="s">
        <v>130</v>
      </c>
      <c r="S75" s="118" t="s">
        <v>1</v>
      </c>
      <c r="T75" s="25"/>
      <c r="U75" s="174">
        <v>2030</v>
      </c>
      <c r="V75" s="175"/>
      <c r="W75" s="175"/>
      <c r="X75" s="175"/>
      <c r="Y75" s="175"/>
      <c r="Z75" s="101" t="s">
        <v>36</v>
      </c>
      <c r="AA75" s="101" t="s">
        <v>131</v>
      </c>
      <c r="AB75" s="101" t="s">
        <v>38</v>
      </c>
      <c r="AC75" s="101" t="s">
        <v>130</v>
      </c>
      <c r="AD75" s="118" t="s">
        <v>1</v>
      </c>
    </row>
    <row r="76" spans="3:30" x14ac:dyDescent="0.25">
      <c r="C76" s="176" t="s">
        <v>18</v>
      </c>
      <c r="H76" s="8">
        <f>SUM(H77:H78)</f>
        <v>0</v>
      </c>
      <c r="I76" s="8">
        <f>SUM(I77:I78)</f>
        <v>39.272992299999999</v>
      </c>
      <c r="J76" s="8">
        <f>SUM(J77:J78)</f>
        <v>2.4277460138000002</v>
      </c>
      <c r="K76" s="8">
        <f>SUM(K77:K78)</f>
        <v>1.3363712864481001</v>
      </c>
      <c r="L76" s="121">
        <f>SUM(H76:K76)</f>
        <v>43.037109600248101</v>
      </c>
      <c r="M76" s="99"/>
      <c r="N76" s="179" t="s">
        <v>18</v>
      </c>
      <c r="O76" s="36">
        <f>'[1]Bilan 2030'!$X$46/11.63</f>
        <v>0</v>
      </c>
      <c r="P76" s="35">
        <f>SUM('[1]Bilan 2030'!$X$41:$X$43)/11.63</f>
        <v>32.470940737285289</v>
      </c>
      <c r="Q76" s="35">
        <f>'[1]Bilan 2030'!$X$13/11.63</f>
        <v>2.5998015829265277</v>
      </c>
      <c r="R76" s="35">
        <f>('[1]Bilan 2030'!$X$22+'[1]Bilan 2030'!$X$30+SUM('[1]Bilan 2030'!$X$36:$X$40)+SUM('[1]Bilan 2030'!$X$44:$X$45)+'[1]Bilan 2030'!$X$47)/11.63</f>
        <v>1.3190285045112766</v>
      </c>
      <c r="S76" s="171">
        <f>SUM(O76:R76)</f>
        <v>36.389770824723101</v>
      </c>
      <c r="T76" s="245">
        <f>S76-'[1]Bilan 2030'!$X$5/11.63</f>
        <v>0</v>
      </c>
      <c r="U76" s="176" t="s">
        <v>18</v>
      </c>
      <c r="Z76" s="8">
        <v>0</v>
      </c>
      <c r="AA76" s="8">
        <v>39.112774309999999</v>
      </c>
      <c r="AB76" s="8">
        <v>2.5240941948</v>
      </c>
      <c r="AC76" s="8">
        <v>1.3412343432161999</v>
      </c>
      <c r="AD76" s="121">
        <v>42.978102848016199</v>
      </c>
    </row>
    <row r="77" spans="3:30" x14ac:dyDescent="0.25">
      <c r="C77" s="177" t="s">
        <v>19</v>
      </c>
      <c r="D77" t="s">
        <v>552</v>
      </c>
      <c r="E77" t="s">
        <v>553</v>
      </c>
      <c r="F77" t="s">
        <v>554</v>
      </c>
      <c r="G77" t="s">
        <v>555</v>
      </c>
      <c r="H77" s="19">
        <f>VLOOKUP(D77,Résultats!$B$2:$AX$476,'T energie vecteurs'!S5,FALSE)</f>
        <v>0</v>
      </c>
      <c r="I77" s="19">
        <f>VLOOKUP(E77,Résultats!$B$2:$AX$476,'T energie vecteurs'!S5,FALSE)</f>
        <v>20.260136419999998</v>
      </c>
      <c r="J77" s="19">
        <f>VLOOKUP(F77,Résultats!$B$2:$AX$476,'T energie vecteurs'!S5,FALSE)</f>
        <v>0.69379991880000003</v>
      </c>
      <c r="K77" s="19">
        <f>VLOOKUP(G77,Résultats!$B$2:$AX$476,'T energie vecteurs'!S5,FALSE)</f>
        <v>3.3286448100000003E-5</v>
      </c>
      <c r="L77" s="120">
        <f t="shared" ref="L77:L84" si="17">SUM(H77:K77)</f>
        <v>20.953969625248099</v>
      </c>
      <c r="M77" s="19"/>
      <c r="N77" s="177" t="s">
        <v>19</v>
      </c>
      <c r="O77" s="172"/>
      <c r="P77" s="19"/>
      <c r="Q77" s="55"/>
      <c r="R77" s="19"/>
      <c r="S77" s="120"/>
      <c r="T77" s="245"/>
      <c r="U77" s="177" t="s">
        <v>19</v>
      </c>
      <c r="V77" t="s">
        <v>552</v>
      </c>
      <c r="W77" t="s">
        <v>553</v>
      </c>
      <c r="X77" t="s">
        <v>554</v>
      </c>
      <c r="Y77" t="s">
        <v>555</v>
      </c>
      <c r="Z77" s="19">
        <v>0</v>
      </c>
      <c r="AA77" s="19">
        <v>20.0216709</v>
      </c>
      <c r="AB77" s="19">
        <v>0.79003121980000002</v>
      </c>
      <c r="AC77" s="19">
        <v>3.3964216200000003E-5</v>
      </c>
      <c r="AD77" s="120">
        <v>20.8117360840162</v>
      </c>
    </row>
    <row r="78" spans="3:30" x14ac:dyDescent="0.25">
      <c r="C78" s="178" t="s">
        <v>20</v>
      </c>
      <c r="D78" t="s">
        <v>556</v>
      </c>
      <c r="E78" t="s">
        <v>557</v>
      </c>
      <c r="F78" t="s">
        <v>558</v>
      </c>
      <c r="G78" t="s">
        <v>559</v>
      </c>
      <c r="H78" s="19">
        <f>VLOOKUP(D78,Résultats!$B$2:$AX$476,'T energie vecteurs'!S5,FALSE)</f>
        <v>0</v>
      </c>
      <c r="I78" s="19">
        <f>VLOOKUP(E78,Résultats!$B$2:$AX$476,'T energie vecteurs'!S5,FALSE)</f>
        <v>19.01285588</v>
      </c>
      <c r="J78" s="19">
        <f>VLOOKUP(F78,Résultats!$B$2:$AX$476,'T energie vecteurs'!S5,FALSE)</f>
        <v>1.7339460950000001</v>
      </c>
      <c r="K78" s="19">
        <f>VLOOKUP(G78,Résultats!$B$2:$AX$476,'T energie vecteurs'!S5,FALSE)</f>
        <v>1.336338</v>
      </c>
      <c r="L78" s="120">
        <f t="shared" si="17"/>
        <v>22.083139975000002</v>
      </c>
      <c r="M78" s="19"/>
      <c r="N78" s="178" t="s">
        <v>20</v>
      </c>
      <c r="O78" s="172"/>
      <c r="P78" s="19"/>
      <c r="Q78" s="55"/>
      <c r="R78" s="19"/>
      <c r="S78" s="120"/>
      <c r="T78" s="245"/>
      <c r="U78" s="178" t="s">
        <v>20</v>
      </c>
      <c r="V78" t="s">
        <v>556</v>
      </c>
      <c r="W78" t="s">
        <v>557</v>
      </c>
      <c r="X78" t="s">
        <v>558</v>
      </c>
      <c r="Y78" t="s">
        <v>559</v>
      </c>
      <c r="Z78" s="19">
        <v>0</v>
      </c>
      <c r="AA78" s="19">
        <v>19.091103409999999</v>
      </c>
      <c r="AB78" s="19">
        <v>1.7340629750000001</v>
      </c>
      <c r="AC78" s="19">
        <v>1.341200379</v>
      </c>
      <c r="AD78" s="120">
        <v>22.166366763999999</v>
      </c>
    </row>
    <row r="79" spans="3:30" x14ac:dyDescent="0.25">
      <c r="C79" s="176" t="s">
        <v>21</v>
      </c>
      <c r="D79" t="s">
        <v>560</v>
      </c>
      <c r="E79" t="s">
        <v>561</v>
      </c>
      <c r="F79" t="s">
        <v>562</v>
      </c>
      <c r="G79" t="s">
        <v>563</v>
      </c>
      <c r="H79" s="8">
        <f>VLOOKUP(D79,Résultats!$B$2:$AX$476,'T energie vecteurs'!S5,FALSE)</f>
        <v>0.26780283430000001</v>
      </c>
      <c r="I79" s="8">
        <f>VLOOKUP(E79,Résultats!$B$2:$AX$476,'T energie vecteurs'!S5,FALSE)</f>
        <v>5.4670869030000002</v>
      </c>
      <c r="J79" s="8">
        <f>VLOOKUP(F79,Résultats!$B$2:$AX$476,'T energie vecteurs'!S5,FALSE)</f>
        <v>15.86945504</v>
      </c>
      <c r="K79" s="8">
        <f>VLOOKUP(G79,Résultats!$B$2:$AX$476,'T energie vecteurs'!S5,FALSE)+2</f>
        <v>18.315581219999999</v>
      </c>
      <c r="L79" s="121">
        <f>SUM(H79:K79)</f>
        <v>39.919925997299998</v>
      </c>
      <c r="M79" s="99"/>
      <c r="N79" s="179" t="s">
        <v>21</v>
      </c>
      <c r="O79" s="36">
        <f>'[1]Bilan 2030'!$V$46/11.63</f>
        <v>0</v>
      </c>
      <c r="P79" s="35">
        <f>SUM('[1]Bilan 2030'!$V$41:$V$43)/11.63</f>
        <v>2.7093021384311076</v>
      </c>
      <c r="Q79" s="35">
        <f>'[1]Bilan 2030'!$V$13/11.63</f>
        <v>15.128221930185923</v>
      </c>
      <c r="R79" s="35">
        <f>('[1]Bilan 2030'!$V$22+'[1]Bilan 2030'!$V$30+SUM('[1]Bilan 2030'!$V$36:$V$40)+SUM('[1]Bilan 2030'!$V$44:$V$45)+'[1]Bilan 2030'!$V$47)/11.63</f>
        <v>20.957031397748882</v>
      </c>
      <c r="S79" s="171">
        <f t="shared" ref="S79:S85" si="18">SUM(O79:R79)</f>
        <v>38.794555466365907</v>
      </c>
      <c r="T79" s="245">
        <f>S79-'[1]Bilan 2030'!$V$5/11.63</f>
        <v>0</v>
      </c>
      <c r="U79" s="176" t="s">
        <v>21</v>
      </c>
      <c r="V79" t="s">
        <v>560</v>
      </c>
      <c r="W79" t="s">
        <v>561</v>
      </c>
      <c r="X79" t="s">
        <v>562</v>
      </c>
      <c r="Y79" t="s">
        <v>563</v>
      </c>
      <c r="Z79" s="263">
        <v>0.2681498967</v>
      </c>
      <c r="AA79" s="263">
        <v>5.4593729160000004</v>
      </c>
      <c r="AB79" s="263">
        <v>15.86649334</v>
      </c>
      <c r="AC79" s="263">
        <v>18.385815560000001</v>
      </c>
      <c r="AD79" s="264">
        <v>39.979831712700005</v>
      </c>
    </row>
    <row r="80" spans="3:30" x14ac:dyDescent="0.25">
      <c r="C80" s="176" t="s">
        <v>22</v>
      </c>
      <c r="D80" t="s">
        <v>564</v>
      </c>
      <c r="E80" t="s">
        <v>565</v>
      </c>
      <c r="F80" t="s">
        <v>566</v>
      </c>
      <c r="G80" t="s">
        <v>567</v>
      </c>
      <c r="H80" s="8">
        <f>VLOOKUP(D80,Résultats!$B$2:$AX$476,'T energie vecteurs'!S5,FALSE)</f>
        <v>0</v>
      </c>
      <c r="I80" s="8">
        <f>VLOOKUP(E80,Résultats!$B$2:$AX$476,'T energie vecteurs'!S5,FALSE)</f>
        <v>2.4319797369999998</v>
      </c>
      <c r="J80" s="8">
        <f>VLOOKUP(F80,Résultats!$B$2:$AX$476,'T energie vecteurs'!S5,FALSE)</f>
        <v>14.20221343</v>
      </c>
      <c r="K80" s="8">
        <f>VLOOKUP(G80,Résultats!$B$2:$AX$476,'T energie vecteurs'!S5,FALSE)</f>
        <v>9.2501299600000007</v>
      </c>
      <c r="L80" s="121">
        <f t="shared" si="17"/>
        <v>25.884323127000002</v>
      </c>
      <c r="M80" s="99"/>
      <c r="N80" s="179" t="s">
        <v>22</v>
      </c>
      <c r="O80" s="36">
        <f>('[1]Bilan 2030'!$W$46)/11.63</f>
        <v>0</v>
      </c>
      <c r="P80" s="35">
        <f>SUM('[1]Bilan 2030'!$W$41:$W$43)/11.63</f>
        <v>1.1254931356288962</v>
      </c>
      <c r="Q80" s="35">
        <f>('[1]Bilan 2030'!$W$13)/11.63</f>
        <v>11.284622800503366</v>
      </c>
      <c r="R80" s="35">
        <f>('[1]Bilan 2030'!$W$22+'[1]Bilan 2030'!$W$30+SUM('[1]Bilan 2030'!$W$36:$W$40)+SUM('[1]Bilan 2030'!$W$44:$W$45)+'[1]Bilan 2030'!$W$47)/11.63</f>
        <v>6.9189644390334015</v>
      </c>
      <c r="S80" s="171">
        <f t="shared" si="18"/>
        <v>19.329080375165663</v>
      </c>
      <c r="T80" s="245">
        <f>S80-'[1]Bilan 2030'!$W$5/11.63</f>
        <v>0</v>
      </c>
      <c r="U80" s="176" t="s">
        <v>22</v>
      </c>
      <c r="V80" t="s">
        <v>564</v>
      </c>
      <c r="W80" t="s">
        <v>565</v>
      </c>
      <c r="X80" t="s">
        <v>566</v>
      </c>
      <c r="Y80" t="s">
        <v>567</v>
      </c>
      <c r="Z80" s="8">
        <v>0</v>
      </c>
      <c r="AA80" s="8">
        <v>2.4264424249999998</v>
      </c>
      <c r="AB80" s="8">
        <v>14.188732460000001</v>
      </c>
      <c r="AC80" s="8">
        <v>9.3048820570000004</v>
      </c>
      <c r="AD80" s="121">
        <v>25.920056942000002</v>
      </c>
    </row>
    <row r="81" spans="2:30" x14ac:dyDescent="0.25">
      <c r="C81" s="176" t="s">
        <v>23</v>
      </c>
      <c r="H81" s="8">
        <f>SUM(H82:H84)</f>
        <v>2.6819021216000003</v>
      </c>
      <c r="I81" s="8">
        <f>SUM(I82:I84)</f>
        <v>14.190408572999992</v>
      </c>
      <c r="J81" s="8">
        <f>SUM(J82:J84)</f>
        <v>12.226836108999999</v>
      </c>
      <c r="K81" s="8">
        <f>SUM(K82:K84)</f>
        <v>18.121690344600001</v>
      </c>
      <c r="L81" s="121">
        <f t="shared" si="17"/>
        <v>47.22083714819999</v>
      </c>
      <c r="M81" s="99"/>
      <c r="N81" s="179" t="s">
        <v>252</v>
      </c>
      <c r="O81" s="36">
        <f>O82+O83</f>
        <v>3.9851054274374702</v>
      </c>
      <c r="P81" s="35">
        <f t="shared" ref="P81:R81" si="19">P82+P83</f>
        <v>12.588919196501005</v>
      </c>
      <c r="Q81" s="35">
        <f t="shared" si="19"/>
        <v>9.4169455866228393</v>
      </c>
      <c r="R81" s="35">
        <f t="shared" si="19"/>
        <v>13.466989601471942</v>
      </c>
      <c r="S81" s="171">
        <f t="shared" si="18"/>
        <v>39.457959812033259</v>
      </c>
      <c r="T81" s="245"/>
      <c r="U81" s="176" t="s">
        <v>23</v>
      </c>
      <c r="Z81" s="244">
        <v>2.7031635456999998</v>
      </c>
      <c r="AA81" s="244">
        <v>14.225509622000001</v>
      </c>
      <c r="AB81" s="8">
        <v>12.2691131415</v>
      </c>
      <c r="AC81" s="244">
        <v>18.2577798672</v>
      </c>
      <c r="AD81" s="121">
        <v>47.455566176399998</v>
      </c>
    </row>
    <row r="82" spans="2:30" x14ac:dyDescent="0.25">
      <c r="C82" s="178" t="s">
        <v>24</v>
      </c>
      <c r="D82" t="s">
        <v>568</v>
      </c>
      <c r="E82" t="s">
        <v>569</v>
      </c>
      <c r="F82" t="s">
        <v>570</v>
      </c>
      <c r="G82" t="s">
        <v>571</v>
      </c>
      <c r="H82" s="19">
        <f>VLOOKUP(D82,Résultats!$B$2:$AX$476,'T energie vecteurs'!S5,FALSE)</f>
        <v>1.7435799540000001</v>
      </c>
      <c r="I82" s="19">
        <f>VLOOKUP(E82,Résultats!$B$2:$AX$476,'T energie vecteurs'!S5,FALSE)</f>
        <v>9.3591440709999905</v>
      </c>
      <c r="J82" s="19">
        <f>VLOOKUP(F82,Résultats!$B$2:$AX$476,'T energie vecteurs'!S5,FALSE)</f>
        <v>11.86879529</v>
      </c>
      <c r="K82" s="19">
        <f>VLOOKUP(G82,Résultats!$B$2:$AX$476,'T energie vecteurs'!S5,FALSE)</f>
        <v>15.32411888</v>
      </c>
      <c r="L82" s="120">
        <f t="shared" si="17"/>
        <v>38.295638194999988</v>
      </c>
      <c r="M82" s="19"/>
      <c r="N82" s="178" t="s">
        <v>253</v>
      </c>
      <c r="O82" s="172">
        <f>'[1]Bilan 2030'!$U$46/11.63</f>
        <v>0.55918092587900114</v>
      </c>
      <c r="P82" s="37">
        <f>SUM('[1]Bilan 2030'!$U$41:$U$43)/11.63</f>
        <v>2.2272873473675703</v>
      </c>
      <c r="Q82" s="37">
        <f>'[1]Bilan 2030'!$U$13/11.63</f>
        <v>9.4169455866228393</v>
      </c>
      <c r="R82" s="37">
        <f>('[1]Bilan 2030'!$U$22+'[1]Bilan 2030'!$U$30+SUM('[1]Bilan 2030'!$U$36:$U$40)+SUM('[1]Bilan 2030'!$U$44:$U$45)+'[1]Bilan 2030'!$U$47)/11.63</f>
        <v>12.399810480766773</v>
      </c>
      <c r="S82" s="120">
        <f t="shared" si="18"/>
        <v>24.603224340636181</v>
      </c>
      <c r="T82" s="245">
        <f>S82-'[1]Bilan 2030'!$U$5/11.63</f>
        <v>0</v>
      </c>
      <c r="U82" s="178" t="s">
        <v>24</v>
      </c>
      <c r="V82" t="s">
        <v>568</v>
      </c>
      <c r="W82" t="s">
        <v>569</v>
      </c>
      <c r="X82" t="s">
        <v>570</v>
      </c>
      <c r="Y82" t="s">
        <v>571</v>
      </c>
      <c r="Z82" s="19">
        <v>1.7561564039999999</v>
      </c>
      <c r="AA82" s="19">
        <v>9.3824675850000006</v>
      </c>
      <c r="AB82" s="19">
        <v>11.91057363</v>
      </c>
      <c r="AC82" s="19">
        <v>15.441733109999999</v>
      </c>
      <c r="AD82" s="120">
        <v>38.490930728999999</v>
      </c>
    </row>
    <row r="83" spans="2:30" x14ac:dyDescent="0.25">
      <c r="C83" s="178" t="s">
        <v>129</v>
      </c>
      <c r="D83" t="s">
        <v>572</v>
      </c>
      <c r="E83" t="s">
        <v>573</v>
      </c>
      <c r="F83" t="s">
        <v>574</v>
      </c>
      <c r="G83" t="s">
        <v>575</v>
      </c>
      <c r="H83" s="19">
        <f>VLOOKUP(D83,Résultats!$B$2:$AX$476,'T energie vecteurs'!S5,FALSE)</f>
        <v>0.93832216759999998</v>
      </c>
      <c r="I83" s="19">
        <f>VLOOKUP(E83,Résultats!$B$2:$AX$476,'T energie vecteurs'!S5,FALSE)</f>
        <v>2.1705607850000002</v>
      </c>
      <c r="J83" s="19">
        <f>VLOOKUP(F83,Résultats!$B$2:$AX$476,'T energie vecteurs'!S5,FALSE)</f>
        <v>0</v>
      </c>
      <c r="K83" s="19">
        <f>VLOOKUP(G83,Résultats!$B$2:$AX$476,'T energie vecteurs'!S5,FALSE)</f>
        <v>2.3735412180000002</v>
      </c>
      <c r="L83" s="120">
        <f>SUM(H83:K83)</f>
        <v>5.4824241705999999</v>
      </c>
      <c r="M83" s="19"/>
      <c r="N83" s="178" t="s">
        <v>129</v>
      </c>
      <c r="O83" s="28">
        <f>'[1]Bilan 2030'!$E$52/11.63</f>
        <v>3.4259245015584692</v>
      </c>
      <c r="P83" s="19">
        <f>('[1]Bilan 2030'!$E$54+'[1]Bilan 2030'!$E$56)/11.63</f>
        <v>10.361631849133435</v>
      </c>
      <c r="Q83" s="19">
        <v>0</v>
      </c>
      <c r="R83" s="19">
        <f>('[1]Bilan 2030'!$E$53+'[1]Bilan 2030'!$E$55+'[1]Bilan 2030'!$E$57)/11.63</f>
        <v>1.0671791207051695</v>
      </c>
      <c r="S83" s="120">
        <f t="shared" si="18"/>
        <v>14.854735471397074</v>
      </c>
      <c r="T83" s="245">
        <f>S83-SUM('[1]Bilan 2030'!$E$52:$E$57)/11.63</f>
        <v>0</v>
      </c>
      <c r="U83" s="178" t="s">
        <v>129</v>
      </c>
      <c r="V83" t="s">
        <v>572</v>
      </c>
      <c r="W83" t="s">
        <v>573</v>
      </c>
      <c r="X83" t="s">
        <v>574</v>
      </c>
      <c r="Y83" t="s">
        <v>575</v>
      </c>
      <c r="Z83" s="19">
        <v>0.9470071417</v>
      </c>
      <c r="AA83" s="19">
        <v>2.181241838</v>
      </c>
      <c r="AB83" s="19">
        <v>0</v>
      </c>
      <c r="AC83" s="19">
        <v>2.389587745</v>
      </c>
      <c r="AD83" s="120">
        <v>5.5178367247000004</v>
      </c>
    </row>
    <row r="84" spans="2:30" x14ac:dyDescent="0.25">
      <c r="C84" s="178" t="s">
        <v>25</v>
      </c>
      <c r="D84" t="s">
        <v>576</v>
      </c>
      <c r="E84" t="s">
        <v>577</v>
      </c>
      <c r="F84" t="s">
        <v>578</v>
      </c>
      <c r="G84" t="s">
        <v>579</v>
      </c>
      <c r="H84" s="19">
        <f>VLOOKUP(D84,Résultats!$B$2:$AX$476,'T energie vecteurs'!S5,FALSE)</f>
        <v>0</v>
      </c>
      <c r="I84" s="19">
        <f>VLOOKUP(E84,Résultats!$B$2:$AX$476,'T energie vecteurs'!S5,FALSE)</f>
        <v>2.6607037170000001</v>
      </c>
      <c r="J84" s="19">
        <f>VLOOKUP(F84,Résultats!$B$2:$AX$476,'T energie vecteurs'!S5,FALSE)</f>
        <v>0.35804081900000001</v>
      </c>
      <c r="K84" s="19">
        <f>VLOOKUP(G84,Résultats!$B$2:$AX$476,'T energie vecteurs'!S5,FALSE)</f>
        <v>0.42403024659999999</v>
      </c>
      <c r="L84" s="120">
        <f t="shared" si="17"/>
        <v>3.4427747826000004</v>
      </c>
      <c r="M84" s="19"/>
      <c r="N84" s="179" t="s">
        <v>25</v>
      </c>
      <c r="O84" s="36">
        <f>'[1]Bilan 2030'!$T$46/11.63</f>
        <v>0</v>
      </c>
      <c r="P84" s="35">
        <f>SUM('[1]Bilan 2030'!$T$41:$T$43)/11.63</f>
        <v>3.0639411119175732</v>
      </c>
      <c r="Q84" s="35">
        <f>'[1]Bilan 2030'!$T$13/11.63</f>
        <v>0.66849749048065465</v>
      </c>
      <c r="R84" s="35">
        <f>('[1]Bilan 2030'!$T$22+'[1]Bilan 2030'!$T$30+SUM('[1]Bilan 2030'!$T$36:$T$40)+SUM('[1]Bilan 2030'!$T$44:$T$45)+'[1]Bilan 2030'!$T$47)/11.63</f>
        <v>0.321548699857926</v>
      </c>
      <c r="S84" s="171">
        <f t="shared" si="18"/>
        <v>4.0539873022561537</v>
      </c>
      <c r="T84" s="245">
        <f>S84-'[1]Bilan 2030'!$T$5/11.63</f>
        <v>0</v>
      </c>
      <c r="U84" s="178" t="s">
        <v>25</v>
      </c>
      <c r="V84" t="s">
        <v>576</v>
      </c>
      <c r="W84" t="s">
        <v>577</v>
      </c>
      <c r="X84" t="s">
        <v>578</v>
      </c>
      <c r="Y84" t="s">
        <v>579</v>
      </c>
      <c r="Z84" s="19">
        <v>0</v>
      </c>
      <c r="AA84" s="19">
        <v>2.661800199</v>
      </c>
      <c r="AB84" s="19">
        <v>0.35853951150000002</v>
      </c>
      <c r="AC84" s="19">
        <v>0.42645901219999999</v>
      </c>
      <c r="AD84" s="120">
        <v>3.4467987227000001</v>
      </c>
    </row>
    <row r="85" spans="2:30" x14ac:dyDescent="0.25">
      <c r="C85" s="29" t="s">
        <v>26</v>
      </c>
      <c r="D85" s="10"/>
      <c r="E85" s="10"/>
      <c r="F85" s="10"/>
      <c r="G85" s="10"/>
      <c r="H85" s="9">
        <f>SUM(H76,H79:H81)</f>
        <v>2.9497049559000001</v>
      </c>
      <c r="I85" s="9">
        <f>SUM(I76,I79:I81)</f>
        <v>61.362467512999991</v>
      </c>
      <c r="J85" s="9">
        <f>SUM(J76,J79:J81)</f>
        <v>44.7262505928</v>
      </c>
      <c r="K85" s="9">
        <f>SUM(K76,K79:K81)</f>
        <v>47.023772811048104</v>
      </c>
      <c r="L85" s="123">
        <f>SUM(H85:K85)</f>
        <v>156.06219587274808</v>
      </c>
      <c r="M85" s="105"/>
      <c r="N85" s="180" t="s">
        <v>26</v>
      </c>
      <c r="O85" s="40">
        <f>O76+O79+O80+O81+O84</f>
        <v>3.9851054274374702</v>
      </c>
      <c r="P85" s="38">
        <f>P76+P79+P80+P81+P84</f>
        <v>51.958596319763863</v>
      </c>
      <c r="Q85" s="38">
        <f>Q76+Q79+Q80+Q81+Q84</f>
        <v>39.098089390719309</v>
      </c>
      <c r="R85" s="38">
        <f>R76+R79+R80+R81+R84</f>
        <v>42.983562642623433</v>
      </c>
      <c r="S85" s="173">
        <f t="shared" si="18"/>
        <v>138.02535378054407</v>
      </c>
      <c r="T85" s="105"/>
      <c r="U85" s="29" t="s">
        <v>26</v>
      </c>
      <c r="V85" s="10"/>
      <c r="W85" s="10"/>
      <c r="X85" s="10"/>
      <c r="Y85" s="10"/>
      <c r="Z85" s="9">
        <v>2.9713134423999996</v>
      </c>
      <c r="AA85" s="9">
        <v>61.224099272999993</v>
      </c>
      <c r="AB85" s="9">
        <v>44.848433136300002</v>
      </c>
      <c r="AC85" s="9">
        <v>47.289711827416198</v>
      </c>
      <c r="AD85" s="123">
        <v>156.33355767911621</v>
      </c>
    </row>
    <row r="86" spans="2:30" s="3" customFormat="1" x14ac:dyDescent="0.25">
      <c r="O86" s="103"/>
      <c r="P86" s="103"/>
      <c r="Q86" s="103"/>
      <c r="R86" s="104"/>
      <c r="S86" s="69"/>
    </row>
    <row r="87" spans="2:30" s="3" customFormat="1" x14ac:dyDescent="0.25">
      <c r="B87" s="84"/>
      <c r="K87" s="71"/>
      <c r="O87" s="105"/>
      <c r="P87" s="105"/>
      <c r="Q87" s="105"/>
      <c r="R87" s="106"/>
      <c r="S87" s="107"/>
      <c r="AC87" s="71"/>
    </row>
    <row r="88" spans="2:30" ht="31.5" x14ac:dyDescent="0.35">
      <c r="C88" s="174">
        <v>2035</v>
      </c>
      <c r="D88" s="175"/>
      <c r="E88" s="175"/>
      <c r="F88" s="175"/>
      <c r="G88" s="175"/>
      <c r="H88" s="101" t="s">
        <v>36</v>
      </c>
      <c r="I88" s="101" t="s">
        <v>131</v>
      </c>
      <c r="J88" s="101" t="s">
        <v>38</v>
      </c>
      <c r="K88" s="101" t="s">
        <v>130</v>
      </c>
      <c r="L88" s="118" t="s">
        <v>1</v>
      </c>
      <c r="M88" s="25"/>
      <c r="N88" s="174">
        <v>2035</v>
      </c>
      <c r="O88" s="170" t="s">
        <v>36</v>
      </c>
      <c r="P88" s="101" t="s">
        <v>131</v>
      </c>
      <c r="Q88" s="101" t="s">
        <v>38</v>
      </c>
      <c r="R88" s="101" t="s">
        <v>130</v>
      </c>
      <c r="S88" s="118" t="s">
        <v>1</v>
      </c>
      <c r="T88" s="25"/>
      <c r="U88" s="174">
        <v>2035</v>
      </c>
      <c r="V88" s="175"/>
      <c r="W88" s="175"/>
      <c r="X88" s="175"/>
      <c r="Y88" s="175"/>
      <c r="Z88" s="101" t="s">
        <v>36</v>
      </c>
      <c r="AA88" s="101" t="s">
        <v>131</v>
      </c>
      <c r="AB88" s="101" t="s">
        <v>38</v>
      </c>
      <c r="AC88" s="101" t="s">
        <v>130</v>
      </c>
      <c r="AD88" s="118" t="s">
        <v>1</v>
      </c>
    </row>
    <row r="89" spans="2:30" x14ac:dyDescent="0.25">
      <c r="C89" s="176" t="s">
        <v>18</v>
      </c>
      <c r="H89" s="8">
        <f>SUM(H90:H91)</f>
        <v>0</v>
      </c>
      <c r="I89" s="8">
        <f>SUM(I90:I91)</f>
        <v>36.140929650000004</v>
      </c>
      <c r="J89" s="8">
        <f>SUM(J90:J91)</f>
        <v>3.3766481480000001</v>
      </c>
      <c r="K89" s="8">
        <f>SUM(K90:K91)</f>
        <v>2.3123416218695003</v>
      </c>
      <c r="L89" s="121">
        <f t="shared" ref="L89:L98" si="20">SUM(H89:K89)</f>
        <v>41.829919419869505</v>
      </c>
      <c r="M89" s="99"/>
      <c r="N89" s="179" t="s">
        <v>18</v>
      </c>
      <c r="O89" s="36">
        <f>'[1]Bilan 2035'!$X$46/11.63</f>
        <v>0</v>
      </c>
      <c r="P89" s="35">
        <f>SUM('[1]Bilan 2035'!$X$41:$X$43)/11.63</f>
        <v>27.486457521711181</v>
      </c>
      <c r="Q89" s="35">
        <f>'[1]Bilan 2035'!$X$13/11.63</f>
        <v>4.0115827656184662</v>
      </c>
      <c r="R89" s="35">
        <f>('[1]Bilan 2035'!$X$22+'[1]Bilan 2035'!$X$30+SUM('[1]Bilan 2035'!$X$36:$X$40)+SUM('[1]Bilan 2035'!$X$44:$X$45)+'[1]Bilan 2035'!$X$47)/11.63</f>
        <v>2.2033171859401204</v>
      </c>
      <c r="S89" s="171">
        <f>SUM(O89:R89)</f>
        <v>33.701357473269766</v>
      </c>
      <c r="T89" s="99"/>
      <c r="U89" s="176" t="s">
        <v>18</v>
      </c>
      <c r="Z89" s="8">
        <v>0</v>
      </c>
      <c r="AA89" s="8">
        <v>35.980119439999996</v>
      </c>
      <c r="AB89" s="8">
        <v>3.5022054750000002</v>
      </c>
      <c r="AC89" s="8">
        <v>2.3213832691259002</v>
      </c>
      <c r="AD89" s="121">
        <v>41.803708184125895</v>
      </c>
    </row>
    <row r="90" spans="2:30" x14ac:dyDescent="0.25">
      <c r="C90" s="177" t="s">
        <v>19</v>
      </c>
      <c r="D90" t="s">
        <v>552</v>
      </c>
      <c r="E90" t="s">
        <v>553</v>
      </c>
      <c r="F90" t="s">
        <v>554</v>
      </c>
      <c r="G90" t="s">
        <v>555</v>
      </c>
      <c r="H90" s="19">
        <f>VLOOKUP(D90,Résultats!$B$2:$AX$476,'T energie vecteurs'!T5,FALSE)</f>
        <v>0</v>
      </c>
      <c r="I90" s="19">
        <f>VLOOKUP(E90,Résultats!$B$2:$AX$476,'T energie vecteurs'!T5,FALSE)</f>
        <v>17.75938171</v>
      </c>
      <c r="J90" s="19">
        <f>VLOOKUP(F90,Résultats!$B$2:$AX$476,'T energie vecteurs'!T5,FALSE)</f>
        <v>1.262369522</v>
      </c>
      <c r="K90" s="19">
        <f>VLOOKUP(G90,Résultats!$B$2:$AX$476,'T energie vecteurs'!T5,FALSE)</f>
        <v>3.9542869499999997E-5</v>
      </c>
      <c r="L90" s="120">
        <f t="shared" si="20"/>
        <v>19.021790774869501</v>
      </c>
      <c r="M90" s="19"/>
      <c r="N90" s="177" t="s">
        <v>19</v>
      </c>
      <c r="O90" s="172"/>
      <c r="P90" s="19"/>
      <c r="Q90" s="55"/>
      <c r="R90" s="19"/>
      <c r="S90" s="120"/>
      <c r="T90" s="19"/>
      <c r="U90" s="177" t="s">
        <v>19</v>
      </c>
      <c r="V90" t="s">
        <v>552</v>
      </c>
      <c r="W90" t="s">
        <v>553</v>
      </c>
      <c r="X90" t="s">
        <v>554</v>
      </c>
      <c r="Y90" t="s">
        <v>555</v>
      </c>
      <c r="Z90" s="19">
        <v>0</v>
      </c>
      <c r="AA90" s="19">
        <v>17.51785125</v>
      </c>
      <c r="AB90" s="59">
        <v>1.388944395</v>
      </c>
      <c r="AC90" s="19">
        <v>3.9863125900000001E-5</v>
      </c>
      <c r="AD90" s="120">
        <v>18.906835508125898</v>
      </c>
    </row>
    <row r="91" spans="2:30" x14ac:dyDescent="0.25">
      <c r="C91" s="178" t="s">
        <v>20</v>
      </c>
      <c r="D91" t="s">
        <v>556</v>
      </c>
      <c r="E91" t="s">
        <v>557</v>
      </c>
      <c r="F91" t="s">
        <v>558</v>
      </c>
      <c r="G91" t="s">
        <v>559</v>
      </c>
      <c r="H91" s="19">
        <f>VLOOKUP(D91,Résultats!$B$2:$AX$476,'T energie vecteurs'!T5,FALSE)</f>
        <v>0</v>
      </c>
      <c r="I91" s="19">
        <f>VLOOKUP(E91,Résultats!$B$2:$AX$476,'T energie vecteurs'!T5,FALSE)</f>
        <v>18.381547940000001</v>
      </c>
      <c r="J91" s="19">
        <f>VLOOKUP(F91,Résultats!$B$2:$AX$476,'T energie vecteurs'!T5,FALSE)</f>
        <v>2.1142786259999999</v>
      </c>
      <c r="K91" s="19">
        <f>VLOOKUP(G91,Résultats!$B$2:$AX$476,'T energie vecteurs'!T5,FALSE)</f>
        <v>2.3123020790000002</v>
      </c>
      <c r="L91" s="120">
        <f t="shared" si="20"/>
        <v>22.808128645000004</v>
      </c>
      <c r="M91" s="19"/>
      <c r="N91" s="178" t="s">
        <v>20</v>
      </c>
      <c r="O91" s="172"/>
      <c r="P91" s="19"/>
      <c r="Q91" s="55"/>
      <c r="R91" s="19"/>
      <c r="S91" s="120"/>
      <c r="T91" s="19"/>
      <c r="U91" s="178" t="s">
        <v>20</v>
      </c>
      <c r="V91" t="s">
        <v>556</v>
      </c>
      <c r="W91" t="s">
        <v>557</v>
      </c>
      <c r="X91" t="s">
        <v>558</v>
      </c>
      <c r="Y91" t="s">
        <v>559</v>
      </c>
      <c r="Z91" s="19">
        <v>0</v>
      </c>
      <c r="AA91" s="19">
        <v>18.46226819</v>
      </c>
      <c r="AB91" s="19">
        <v>2.11326108</v>
      </c>
      <c r="AC91" s="19">
        <v>2.321343406</v>
      </c>
      <c r="AD91" s="120">
        <v>22.896872676000001</v>
      </c>
    </row>
    <row r="92" spans="2:30" x14ac:dyDescent="0.25">
      <c r="C92" s="176" t="s">
        <v>21</v>
      </c>
      <c r="D92" t="s">
        <v>560</v>
      </c>
      <c r="E92" t="s">
        <v>561</v>
      </c>
      <c r="F92" t="s">
        <v>562</v>
      </c>
      <c r="G92" t="s">
        <v>563</v>
      </c>
      <c r="H92" s="8">
        <f>VLOOKUP(D92,Résultats!$B$2:$AX$476,'T energie vecteurs'!T5,FALSE)</f>
        <v>0.25724035890000002</v>
      </c>
      <c r="I92" s="8">
        <f>VLOOKUP(E92,Résultats!$B$2:$AX$476,'T energie vecteurs'!T5,FALSE)</f>
        <v>5.4210711229999999</v>
      </c>
      <c r="J92" s="8">
        <f>VLOOKUP(F92,Résultats!$B$2:$AX$476,'T energie vecteurs'!T5,FALSE)</f>
        <v>16.6512931</v>
      </c>
      <c r="K92" s="8">
        <f>VLOOKUP(G92,Résultats!$B$2:$AX$476,'T energie vecteurs'!T5,FALSE)+2</f>
        <v>18.607981259999999</v>
      </c>
      <c r="L92" s="121">
        <f t="shared" si="20"/>
        <v>40.937585841900002</v>
      </c>
      <c r="M92" s="99"/>
      <c r="N92" s="179" t="s">
        <v>21</v>
      </c>
      <c r="O92" s="36">
        <f>'[1]Bilan 2035'!$V$46/11.63</f>
        <v>0</v>
      </c>
      <c r="P92" s="35">
        <f>SUM('[1]Bilan 2035'!$V$41:$V$43)/11.63</f>
        <v>2.0951035895513908</v>
      </c>
      <c r="Q92" s="35">
        <f>'[1]Bilan 2035'!$V$13/11.63</f>
        <v>15.742193210619391</v>
      </c>
      <c r="R92" s="35">
        <f>('[1]Bilan 2035'!$V$22+'[1]Bilan 2035'!$V$30+SUM('[1]Bilan 2035'!$V$36:$V$40)+SUM('[1]Bilan 2035'!$V$44:$V$45)+'[1]Bilan 2035'!$V$47)/11.63</f>
        <v>20.967584673572926</v>
      </c>
      <c r="S92" s="171">
        <f t="shared" ref="S92:S98" si="21">SUM(O92:R92)</f>
        <v>38.804881473743706</v>
      </c>
      <c r="T92" s="99"/>
      <c r="U92" s="176" t="s">
        <v>21</v>
      </c>
      <c r="V92" t="s">
        <v>560</v>
      </c>
      <c r="W92" t="s">
        <v>561</v>
      </c>
      <c r="X92" t="s">
        <v>562</v>
      </c>
      <c r="Y92" t="s">
        <v>563</v>
      </c>
      <c r="Z92" s="263">
        <v>0.25792053129999998</v>
      </c>
      <c r="AA92" s="263">
        <v>5.4180996529999996</v>
      </c>
      <c r="AB92" s="263">
        <v>16.65422001</v>
      </c>
      <c r="AC92" s="263">
        <v>18.701198600000001</v>
      </c>
      <c r="AD92" s="264">
        <v>41.031438794300001</v>
      </c>
    </row>
    <row r="93" spans="2:30" x14ac:dyDescent="0.25">
      <c r="C93" s="176" t="s">
        <v>22</v>
      </c>
      <c r="D93" t="s">
        <v>564</v>
      </c>
      <c r="E93" t="s">
        <v>565</v>
      </c>
      <c r="F93" t="s">
        <v>566</v>
      </c>
      <c r="G93" t="s">
        <v>567</v>
      </c>
      <c r="H93" s="8">
        <f>VLOOKUP(D93,Résultats!$B$2:$AX$476,'T energie vecteurs'!T5,FALSE)</f>
        <v>0</v>
      </c>
      <c r="I93" s="8">
        <f>VLOOKUP(E93,Résultats!$B$2:$AX$476,'T energie vecteurs'!T5,FALSE)</f>
        <v>2.163570703</v>
      </c>
      <c r="J93" s="8">
        <f>VLOOKUP(F93,Résultats!$B$2:$AX$476,'T energie vecteurs'!T5,FALSE)</f>
        <v>14.47703583</v>
      </c>
      <c r="K93" s="8">
        <f>VLOOKUP(G93,Résultats!$B$2:$AX$476,'T energie vecteurs'!T5,FALSE)</f>
        <v>9.0941415279999998</v>
      </c>
      <c r="L93" s="121">
        <f t="shared" si="20"/>
        <v>25.734748060999998</v>
      </c>
      <c r="M93" s="99"/>
      <c r="N93" s="179" t="s">
        <v>22</v>
      </c>
      <c r="O93" s="36">
        <f>('[1]Bilan 2035'!$W$46)/11.63</f>
        <v>0</v>
      </c>
      <c r="P93" s="35">
        <f>SUM('[1]Bilan 2035'!$W$41:$W$43)/11.63</f>
        <v>0.78619437858671104</v>
      </c>
      <c r="Q93" s="35">
        <f>('[1]Bilan 2035'!$W$13)/11.63</f>
        <v>11.60340380118288</v>
      </c>
      <c r="R93" s="35">
        <f>('[1]Bilan 2035'!$W$22+'[1]Bilan 2035'!$W$30+SUM('[1]Bilan 2035'!$W$36:$W$40)+SUM('[1]Bilan 2035'!$W$44:$W$45)+'[1]Bilan 2035'!$W$47)/11.63</f>
        <v>6.9321344622243126</v>
      </c>
      <c r="S93" s="171">
        <f t="shared" si="21"/>
        <v>19.321732641993904</v>
      </c>
      <c r="T93" s="99"/>
      <c r="U93" s="176" t="s">
        <v>22</v>
      </c>
      <c r="V93" t="s">
        <v>564</v>
      </c>
      <c r="W93" t="s">
        <v>565</v>
      </c>
      <c r="X93" t="s">
        <v>566</v>
      </c>
      <c r="Y93" t="s">
        <v>567</v>
      </c>
      <c r="Z93" s="8">
        <v>0</v>
      </c>
      <c r="AA93" s="8">
        <v>2.1580490530000001</v>
      </c>
      <c r="AB93" s="8">
        <v>14.462548269999999</v>
      </c>
      <c r="AC93" s="8">
        <v>9.150532643</v>
      </c>
      <c r="AD93" s="121">
        <v>25.771129965999997</v>
      </c>
    </row>
    <row r="94" spans="2:30" x14ac:dyDescent="0.25">
      <c r="C94" s="176" t="s">
        <v>23</v>
      </c>
      <c r="H94" s="8">
        <f>SUM(H95:H97)</f>
        <v>2.7319085282</v>
      </c>
      <c r="I94" s="8">
        <f>SUM(I95:I97)</f>
        <v>15.091649637</v>
      </c>
      <c r="J94" s="8">
        <f>SUM(J95:J97)</f>
        <v>12.8678671075</v>
      </c>
      <c r="K94" s="8">
        <f>SUM(K95:K97)</f>
        <v>18.952489317799998</v>
      </c>
      <c r="L94" s="121">
        <f t="shared" si="20"/>
        <v>49.643914590499996</v>
      </c>
      <c r="M94" s="99"/>
      <c r="N94" s="179" t="s">
        <v>252</v>
      </c>
      <c r="O94" s="36">
        <f>O95+O96</f>
        <v>3.9553292854700368</v>
      </c>
      <c r="P94" s="35">
        <f t="shared" ref="P94:R94" si="22">P95+P96</f>
        <v>11.944511664213444</v>
      </c>
      <c r="Q94" s="35">
        <f t="shared" si="22"/>
        <v>9.4578136584636443</v>
      </c>
      <c r="R94" s="35">
        <f t="shared" si="22"/>
        <v>13.231890023314502</v>
      </c>
      <c r="S94" s="171">
        <f t="shared" si="21"/>
        <v>38.589544631461621</v>
      </c>
      <c r="T94" s="99"/>
      <c r="U94" s="176" t="s">
        <v>23</v>
      </c>
      <c r="Z94" s="8">
        <v>2.7574484517000002</v>
      </c>
      <c r="AA94" s="8">
        <v>15.123719317000001</v>
      </c>
      <c r="AB94" s="8">
        <v>12.9193646519</v>
      </c>
      <c r="AC94" s="8">
        <v>19.104192702000002</v>
      </c>
      <c r="AD94" s="121">
        <v>49.904725122600006</v>
      </c>
    </row>
    <row r="95" spans="2:30" x14ac:dyDescent="0.25">
      <c r="C95" s="178" t="s">
        <v>24</v>
      </c>
      <c r="D95" t="s">
        <v>568</v>
      </c>
      <c r="E95" t="s">
        <v>569</v>
      </c>
      <c r="F95" t="s">
        <v>570</v>
      </c>
      <c r="G95" t="s">
        <v>571</v>
      </c>
      <c r="H95" s="19">
        <f>VLOOKUP(D95,Résultats!$B$2:$AX$476,'T energie vecteurs'!T5,FALSE)</f>
        <v>1.792081783</v>
      </c>
      <c r="I95" s="19">
        <f>VLOOKUP(E95,Résultats!$B$2:$AX$476,'T energie vecteurs'!T5,FALSE)</f>
        <v>9.9220262699999999</v>
      </c>
      <c r="J95" s="19">
        <f>VLOOKUP(F95,Résultats!$B$2:$AX$476,'T energie vecteurs'!T5,FALSE)</f>
        <v>12.487752090000001</v>
      </c>
      <c r="K95" s="19">
        <f>VLOOKUP(G95,Résultats!$B$2:$AX$476,'T energie vecteurs'!T5,FALSE)</f>
        <v>16.025702949999999</v>
      </c>
      <c r="L95" s="120">
        <f t="shared" si="20"/>
        <v>40.227563093000001</v>
      </c>
      <c r="M95" s="19"/>
      <c r="N95" s="178" t="s">
        <v>253</v>
      </c>
      <c r="O95" s="172">
        <f>'[1]Bilan 2035'!$U$46/11.63</f>
        <v>0.53312193513684658</v>
      </c>
      <c r="P95" s="37">
        <f>SUM('[1]Bilan 2035'!$U$41:$U$43)/11.63</f>
        <v>2.0748420527036808</v>
      </c>
      <c r="Q95" s="37">
        <f>'[1]Bilan 2035'!$U$13/11.63</f>
        <v>9.4578136584636443</v>
      </c>
      <c r="R95" s="37">
        <f>('[1]Bilan 2035'!$U$22+'[1]Bilan 2035'!$U$30+SUM('[1]Bilan 2035'!$U$36:$U$40)+SUM('[1]Bilan 2035'!$U$44:$U$45)+'[1]Bilan 2035'!$U$47)/11.63</f>
        <v>12.12241416055519</v>
      </c>
      <c r="S95" s="120">
        <f t="shared" si="21"/>
        <v>24.188191806859361</v>
      </c>
      <c r="T95" s="19"/>
      <c r="U95" s="178" t="s">
        <v>24</v>
      </c>
      <c r="V95" t="s">
        <v>568</v>
      </c>
      <c r="W95" t="s">
        <v>569</v>
      </c>
      <c r="X95" t="s">
        <v>570</v>
      </c>
      <c r="Y95" t="s">
        <v>571</v>
      </c>
      <c r="Z95" s="19">
        <v>1.807217598</v>
      </c>
      <c r="AA95" s="19">
        <v>9.9457036760000008</v>
      </c>
      <c r="AB95" s="19">
        <v>12.538909370000001</v>
      </c>
      <c r="AC95" s="19">
        <v>16.159697040000001</v>
      </c>
      <c r="AD95" s="120">
        <v>40.451527683999998</v>
      </c>
    </row>
    <row r="96" spans="2:30" x14ac:dyDescent="0.25">
      <c r="C96" s="178" t="s">
        <v>129</v>
      </c>
      <c r="D96" t="s">
        <v>572</v>
      </c>
      <c r="E96" t="s">
        <v>573</v>
      </c>
      <c r="F96" t="s">
        <v>574</v>
      </c>
      <c r="G96" t="s">
        <v>575</v>
      </c>
      <c r="H96" s="19">
        <f>VLOOKUP(D96,Résultats!$B$2:$AX$476,'T energie vecteurs'!T5,FALSE)</f>
        <v>0.93982674519999998</v>
      </c>
      <c r="I96" s="19">
        <f>VLOOKUP(E96,Résultats!$B$2:$AX$476,'T energie vecteurs'!T5,FALSE)</f>
        <v>2.2899313870000002</v>
      </c>
      <c r="J96" s="19">
        <f>VLOOKUP(F96,Résultats!$B$2:$AX$476,'T energie vecteurs'!T5,FALSE)</f>
        <v>0</v>
      </c>
      <c r="K96" s="19">
        <f>VLOOKUP(G96,Résultats!$B$2:$AX$476,'T energie vecteurs'!T5,FALSE)</f>
        <v>2.4737658109999998</v>
      </c>
      <c r="L96" s="120">
        <f t="shared" si="20"/>
        <v>5.7035239432000004</v>
      </c>
      <c r="M96" s="19"/>
      <c r="N96" s="178" t="s">
        <v>129</v>
      </c>
      <c r="O96" s="28">
        <f>'[1]Bilan 2035'!$E$52/11.63</f>
        <v>3.4222073503331902</v>
      </c>
      <c r="P96" s="19">
        <f>('[1]Bilan 2035'!$E$54+'[1]Bilan 2035'!$E$56)/11.63</f>
        <v>9.8696696115097637</v>
      </c>
      <c r="Q96" s="19">
        <v>0</v>
      </c>
      <c r="R96" s="19">
        <f>('[1]Bilan 2035'!$E$53+'[1]Bilan 2035'!$E$55+'[1]Bilan 2035'!$E$57)/11.63</f>
        <v>1.1094758627593131</v>
      </c>
      <c r="S96" s="120">
        <f t="shared" si="21"/>
        <v>14.401352824602267</v>
      </c>
      <c r="T96" s="19"/>
      <c r="U96" s="178" t="s">
        <v>129</v>
      </c>
      <c r="V96" t="s">
        <v>572</v>
      </c>
      <c r="W96" t="s">
        <v>573</v>
      </c>
      <c r="X96" t="s">
        <v>574</v>
      </c>
      <c r="Y96" t="s">
        <v>575</v>
      </c>
      <c r="Z96" s="19">
        <v>0.95023085370000004</v>
      </c>
      <c r="AA96" s="19">
        <v>2.2993578320000001</v>
      </c>
      <c r="AB96" s="19">
        <v>0</v>
      </c>
      <c r="AC96" s="19">
        <v>2.4889309929999999</v>
      </c>
      <c r="AD96" s="120">
        <v>5.7385196786999995</v>
      </c>
    </row>
    <row r="97" spans="3:30" x14ac:dyDescent="0.25">
      <c r="C97" s="178" t="s">
        <v>25</v>
      </c>
      <c r="D97" t="s">
        <v>576</v>
      </c>
      <c r="E97" t="s">
        <v>577</v>
      </c>
      <c r="F97" t="s">
        <v>578</v>
      </c>
      <c r="G97" t="s">
        <v>579</v>
      </c>
      <c r="H97" s="19">
        <f>VLOOKUP(D97,Résultats!$B$2:$AX$476,'T energie vecteurs'!T5,FALSE)</f>
        <v>0</v>
      </c>
      <c r="I97" s="19">
        <f>VLOOKUP(E97,Résultats!$B$2:$AX$476,'T energie vecteurs'!T5,FALSE)</f>
        <v>2.87969198</v>
      </c>
      <c r="J97" s="19">
        <f>VLOOKUP(F97,Résultats!$B$2:$AX$476,'T energie vecteurs'!T5,FALSE)</f>
        <v>0.38011501749999999</v>
      </c>
      <c r="K97" s="19">
        <f>VLOOKUP(G97,Résultats!$B$2:$AX$476,'T energie vecteurs'!T5,FALSE)</f>
        <v>0.45302055679999997</v>
      </c>
      <c r="L97" s="120">
        <f t="shared" si="20"/>
        <v>3.7128275543</v>
      </c>
      <c r="M97" s="19"/>
      <c r="N97" s="179" t="s">
        <v>25</v>
      </c>
      <c r="O97" s="36">
        <f>'[1]Bilan 2035'!$T$46/11.63</f>
        <v>0</v>
      </c>
      <c r="P97" s="35">
        <f>SUM('[1]Bilan 2035'!$T$41:$T$43)/11.63</f>
        <v>2.9333630598729807</v>
      </c>
      <c r="Q97" s="35">
        <f>'[1]Bilan 2035'!$T$13/11.63</f>
        <v>0.61074147074884144</v>
      </c>
      <c r="R97" s="35">
        <f>('[1]Bilan 2035'!$T$22+'[1]Bilan 2035'!$T$30+SUM('[1]Bilan 2035'!$T$36:$T$40)+SUM('[1]Bilan 2035'!$T$44:$T$45)+'[1]Bilan 2035'!$T$47)/11.63</f>
        <v>0.3773602321326443</v>
      </c>
      <c r="S97" s="171">
        <f t="shared" si="21"/>
        <v>3.9214647627544661</v>
      </c>
      <c r="T97" s="19"/>
      <c r="U97" s="178" t="s">
        <v>25</v>
      </c>
      <c r="V97" t="s">
        <v>576</v>
      </c>
      <c r="W97" t="s">
        <v>577</v>
      </c>
      <c r="X97" t="s">
        <v>578</v>
      </c>
      <c r="Y97" t="s">
        <v>579</v>
      </c>
      <c r="Z97" s="19">
        <v>0</v>
      </c>
      <c r="AA97" s="19">
        <v>2.8786578089999999</v>
      </c>
      <c r="AB97" s="19">
        <v>0.3804552819</v>
      </c>
      <c r="AC97" s="19">
        <v>0.45556466899999998</v>
      </c>
      <c r="AD97" s="120">
        <v>3.7146777598999998</v>
      </c>
    </row>
    <row r="98" spans="3:30" x14ac:dyDescent="0.25">
      <c r="C98" s="29" t="s">
        <v>26</v>
      </c>
      <c r="D98" s="10"/>
      <c r="E98" s="10"/>
      <c r="F98" s="10"/>
      <c r="G98" s="10"/>
      <c r="H98" s="9">
        <f>SUM(H89,H92:H94)</f>
        <v>2.9891488870999998</v>
      </c>
      <c r="I98" s="9">
        <f>SUM(I89,I92:I94)</f>
        <v>58.817221113000002</v>
      </c>
      <c r="J98" s="9">
        <f>SUM(J89,J92:J94)</f>
        <v>47.3728441855</v>
      </c>
      <c r="K98" s="9">
        <f>SUM(K89,K92:K94)</f>
        <v>48.966953727669491</v>
      </c>
      <c r="L98" s="123">
        <f t="shared" si="20"/>
        <v>158.14616791326949</v>
      </c>
      <c r="M98" s="105"/>
      <c r="N98" s="180" t="s">
        <v>26</v>
      </c>
      <c r="O98" s="40">
        <f>O89+O92+O93+O94+O97</f>
        <v>3.9553292854700368</v>
      </c>
      <c r="P98" s="38">
        <f>P89+P92+P93+P94+P97</f>
        <v>45.245630213935705</v>
      </c>
      <c r="Q98" s="38">
        <f>Q89+Q92+Q93+Q94+Q97</f>
        <v>41.425734906633224</v>
      </c>
      <c r="R98" s="38">
        <f>R89+R92+R93+R94+R97</f>
        <v>43.7122865771845</v>
      </c>
      <c r="S98" s="173">
        <f t="shared" si="21"/>
        <v>134.33898098322345</v>
      </c>
      <c r="T98" s="105"/>
      <c r="U98" s="29" t="s">
        <v>26</v>
      </c>
      <c r="V98" s="10"/>
      <c r="W98" s="10"/>
      <c r="X98" s="10"/>
      <c r="Y98" s="10"/>
      <c r="Z98" s="9">
        <v>3.0153689830000001</v>
      </c>
      <c r="AA98" s="9">
        <v>58.679987462999996</v>
      </c>
      <c r="AB98" s="9">
        <v>47.538338406899996</v>
      </c>
      <c r="AC98" s="9">
        <v>49.277307214125898</v>
      </c>
      <c r="AD98" s="123">
        <v>158.51100206702588</v>
      </c>
    </row>
    <row r="99" spans="3:30" s="3" customFormat="1" x14ac:dyDescent="0.25"/>
    <row r="100" spans="3:30" s="3" customFormat="1" x14ac:dyDescent="0.25"/>
    <row r="101" spans="3:30" s="3" customFormat="1" ht="31.5" x14ac:dyDescent="0.35">
      <c r="C101" s="174">
        <v>2040</v>
      </c>
      <c r="D101" s="175"/>
      <c r="E101" s="175"/>
      <c r="F101" s="175"/>
      <c r="G101" s="175"/>
      <c r="H101" s="101" t="s">
        <v>36</v>
      </c>
      <c r="I101" s="101" t="s">
        <v>131</v>
      </c>
      <c r="J101" s="101" t="s">
        <v>38</v>
      </c>
      <c r="K101" s="101" t="s">
        <v>130</v>
      </c>
      <c r="L101" s="118" t="s">
        <v>1</v>
      </c>
      <c r="M101" s="25"/>
      <c r="N101" s="174">
        <v>2040</v>
      </c>
      <c r="O101" s="170" t="s">
        <v>36</v>
      </c>
      <c r="P101" s="101" t="s">
        <v>131</v>
      </c>
      <c r="Q101" s="101" t="s">
        <v>38</v>
      </c>
      <c r="R101" s="101" t="s">
        <v>130</v>
      </c>
      <c r="S101" s="118" t="s">
        <v>1</v>
      </c>
      <c r="U101" s="174">
        <v>2040</v>
      </c>
      <c r="V101" s="175"/>
      <c r="W101" s="175"/>
      <c r="X101" s="175"/>
      <c r="Y101" s="175"/>
      <c r="Z101" s="101" t="s">
        <v>36</v>
      </c>
      <c r="AA101" s="101" t="s">
        <v>131</v>
      </c>
      <c r="AB101" s="101" t="s">
        <v>38</v>
      </c>
      <c r="AC101" s="101" t="s">
        <v>130</v>
      </c>
      <c r="AD101" s="118" t="s">
        <v>1</v>
      </c>
    </row>
    <row r="102" spans="3:30" s="3" customFormat="1" x14ac:dyDescent="0.25">
      <c r="C102" s="176" t="s">
        <v>18</v>
      </c>
      <c r="D102"/>
      <c r="E102"/>
      <c r="F102"/>
      <c r="G102"/>
      <c r="H102" s="8">
        <f>SUM(H103:H104)</f>
        <v>0</v>
      </c>
      <c r="I102" s="8">
        <f>SUM(I103:I104)</f>
        <v>33.661621779999997</v>
      </c>
      <c r="J102" s="8">
        <f>SUM(J103:J104)</f>
        <v>4.4110572050000005</v>
      </c>
      <c r="K102" s="8">
        <f>SUM(K103:K104)</f>
        <v>3.1642521496741001</v>
      </c>
      <c r="L102" s="121">
        <f t="shared" ref="L102:L111" si="23">SUM(H102:K102)</f>
        <v>41.236931134674094</v>
      </c>
      <c r="M102" s="99"/>
      <c r="N102" s="179" t="s">
        <v>18</v>
      </c>
      <c r="O102" s="36">
        <f>'[1]Bilan 2040'!$X$46/11.63</f>
        <v>0</v>
      </c>
      <c r="P102" s="35">
        <f>SUM('[1]Bilan 2040'!$X$41:$X$43)/11.63</f>
        <v>23.504697168694122</v>
      </c>
      <c r="Q102" s="35">
        <f>'[1]Bilan 2040'!$X$13/11.63</f>
        <v>5.3384407017958537</v>
      </c>
      <c r="R102" s="35">
        <f>('[1]Bilan 2040'!$X$22+'[1]Bilan 2040'!$X$30+SUM('[1]Bilan 2040'!$X$36:$X$40)+SUM('[1]Bilan 2040'!$X$44:$X$45)+'[1]Bilan 2040'!$X$47)/11.63</f>
        <v>2.7897080492637398</v>
      </c>
      <c r="S102" s="171">
        <f>SUM(O102:R102)</f>
        <v>31.632845919753716</v>
      </c>
      <c r="U102" s="176" t="s">
        <v>18</v>
      </c>
      <c r="V102"/>
      <c r="W102"/>
      <c r="X102"/>
      <c r="Y102"/>
      <c r="Z102" s="8">
        <v>0</v>
      </c>
      <c r="AA102" s="8">
        <v>33.535766000000002</v>
      </c>
      <c r="AB102" s="8">
        <v>4.5528429769999992</v>
      </c>
      <c r="AC102" s="8">
        <v>3.1775192580817002</v>
      </c>
      <c r="AD102" s="121">
        <v>41.266128235081702</v>
      </c>
    </row>
    <row r="103" spans="3:30" s="3" customFormat="1" x14ac:dyDescent="0.25">
      <c r="C103" s="177" t="s">
        <v>19</v>
      </c>
      <c r="D103" t="s">
        <v>552</v>
      </c>
      <c r="E103" t="s">
        <v>553</v>
      </c>
      <c r="F103" t="s">
        <v>554</v>
      </c>
      <c r="G103" t="s">
        <v>555</v>
      </c>
      <c r="H103" s="37">
        <f>VLOOKUP(D103,Résultats!$B$2:$AX$476,'T energie vecteurs'!U5,FALSE)</f>
        <v>0</v>
      </c>
      <c r="I103" s="37">
        <f>VLOOKUP(E103,Résultats!$B$2:$AX$476,'T energie vecteurs'!U5,FALSE)</f>
        <v>15.29676235</v>
      </c>
      <c r="J103" s="37">
        <f>VLOOKUP(F103,Résultats!$B$2:$AX$476,'T energie vecteurs'!U5,FALSE)</f>
        <v>1.900820274</v>
      </c>
      <c r="K103" s="37">
        <f>VLOOKUP(G103,Résultats!$B$2:$AX$476,'T energie vecteurs'!U5,FALSE)</f>
        <v>4.3046674100000003E-5</v>
      </c>
      <c r="L103" s="266">
        <f t="shared" si="23"/>
        <v>17.1976256706741</v>
      </c>
      <c r="M103" s="19"/>
      <c r="N103" s="177" t="s">
        <v>19</v>
      </c>
      <c r="O103" s="172"/>
      <c r="P103" s="19"/>
      <c r="Q103" s="55"/>
      <c r="R103" s="19"/>
      <c r="S103" s="120"/>
      <c r="U103" s="177" t="s">
        <v>19</v>
      </c>
      <c r="V103" t="s">
        <v>552</v>
      </c>
      <c r="W103" t="s">
        <v>553</v>
      </c>
      <c r="X103" t="s">
        <v>554</v>
      </c>
      <c r="Y103" t="s">
        <v>555</v>
      </c>
      <c r="Z103" s="37">
        <v>0</v>
      </c>
      <c r="AA103" s="37">
        <v>15.08441288</v>
      </c>
      <c r="AB103" s="265">
        <v>2.0442654139999998</v>
      </c>
      <c r="AC103" s="37">
        <v>4.3170081699999998E-5</v>
      </c>
      <c r="AD103" s="266">
        <v>17.1287214640817</v>
      </c>
    </row>
    <row r="104" spans="3:30" s="3" customFormat="1" x14ac:dyDescent="0.25">
      <c r="C104" s="178" t="s">
        <v>20</v>
      </c>
      <c r="D104" t="s">
        <v>556</v>
      </c>
      <c r="E104" t="s">
        <v>557</v>
      </c>
      <c r="F104" t="s">
        <v>558</v>
      </c>
      <c r="G104" t="s">
        <v>559</v>
      </c>
      <c r="H104" s="37">
        <f>VLOOKUP(D104,Résultats!$B$2:$AX$476,'T energie vecteurs'!U5,FALSE)</f>
        <v>0</v>
      </c>
      <c r="I104" s="37">
        <f>VLOOKUP(E104,Résultats!$B$2:$AX$476,'T energie vecteurs'!U5,FALSE)</f>
        <v>18.364859429999999</v>
      </c>
      <c r="J104" s="37">
        <f>VLOOKUP(F104,Résultats!$B$2:$AX$476,'T energie vecteurs'!U5,FALSE)</f>
        <v>2.5102369310000001</v>
      </c>
      <c r="K104" s="37">
        <f>VLOOKUP(G104,Résultats!$B$2:$AX$476,'T energie vecteurs'!U5,FALSE)</f>
        <v>3.1642091030000001</v>
      </c>
      <c r="L104" s="266">
        <f t="shared" si="23"/>
        <v>24.039305464000002</v>
      </c>
      <c r="M104" s="19"/>
      <c r="N104" s="178" t="s">
        <v>20</v>
      </c>
      <c r="O104" s="172"/>
      <c r="P104" s="19"/>
      <c r="Q104" s="55"/>
      <c r="R104" s="19"/>
      <c r="S104" s="120"/>
      <c r="U104" s="178" t="s">
        <v>20</v>
      </c>
      <c r="V104" t="s">
        <v>556</v>
      </c>
      <c r="W104" t="s">
        <v>557</v>
      </c>
      <c r="X104" t="s">
        <v>558</v>
      </c>
      <c r="Y104" t="s">
        <v>559</v>
      </c>
      <c r="Z104" s="37">
        <v>0</v>
      </c>
      <c r="AA104" s="37">
        <v>18.45135312</v>
      </c>
      <c r="AB104" s="37">
        <v>2.5085775629999998</v>
      </c>
      <c r="AC104" s="37">
        <v>3.1774760880000001</v>
      </c>
      <c r="AD104" s="266">
        <v>24.137406770999998</v>
      </c>
    </row>
    <row r="105" spans="3:30" s="3" customFormat="1" x14ac:dyDescent="0.25">
      <c r="C105" s="176" t="s">
        <v>21</v>
      </c>
      <c r="D105" t="s">
        <v>560</v>
      </c>
      <c r="E105" t="s">
        <v>561</v>
      </c>
      <c r="F105" t="s">
        <v>562</v>
      </c>
      <c r="G105" t="s">
        <v>563</v>
      </c>
      <c r="H105" s="267">
        <f>VLOOKUP(D105,Résultats!$B$2:$AX$476,'T energie vecteurs'!U5,FALSE)</f>
        <v>0.24910096770000001</v>
      </c>
      <c r="I105" s="267">
        <f>VLOOKUP(E105,Résultats!$B$2:$AX$476,'T energie vecteurs'!U5,FALSE)</f>
        <v>5.4400769740000001</v>
      </c>
      <c r="J105" s="267">
        <f>VLOOKUP(F105,Résultats!$B$2:$AX$476,'T energie vecteurs'!U5,FALSE)</f>
        <v>17.388442059999999</v>
      </c>
      <c r="K105" s="267">
        <f>VLOOKUP(G105,Résultats!$B$2:$AX$476,'T energie vecteurs'!U5,FALSE)+2</f>
        <v>18.88769838</v>
      </c>
      <c r="L105" s="268">
        <f t="shared" si="23"/>
        <v>41.965318381700001</v>
      </c>
      <c r="M105" s="99"/>
      <c r="N105" s="179" t="s">
        <v>21</v>
      </c>
      <c r="O105" s="36">
        <f>'[1]Bilan 2040'!$V$46/11.63</f>
        <v>0</v>
      </c>
      <c r="P105" s="35">
        <f>SUM('[1]Bilan 2040'!$V$41:$V$43)/11.63</f>
        <v>1.5217705718446504</v>
      </c>
      <c r="Q105" s="35">
        <f>'[1]Bilan 2040'!$V$13/11.63</f>
        <v>16.100467182146332</v>
      </c>
      <c r="R105" s="35">
        <f>('[1]Bilan 2040'!$V$22+'[1]Bilan 2040'!$V$30+SUM('[1]Bilan 2040'!$V$36:$V$40)+SUM('[1]Bilan 2040'!$V$44:$V$45)+'[1]Bilan 2040'!$V$47)/11.63</f>
        <v>20.91841103225741</v>
      </c>
      <c r="S105" s="171">
        <f t="shared" ref="S105:S111" si="24">SUM(O105:R105)</f>
        <v>38.540648786248397</v>
      </c>
      <c r="U105" s="176" t="s">
        <v>21</v>
      </c>
      <c r="V105" t="s">
        <v>560</v>
      </c>
      <c r="W105" t="s">
        <v>561</v>
      </c>
      <c r="X105" t="s">
        <v>562</v>
      </c>
      <c r="Y105" t="s">
        <v>563</v>
      </c>
      <c r="Z105" s="267">
        <v>0.24994238460000001</v>
      </c>
      <c r="AA105" s="267">
        <v>5.4415372360000003</v>
      </c>
      <c r="AB105" s="267">
        <v>17.39844999</v>
      </c>
      <c r="AC105" s="267">
        <v>18.984336079999999</v>
      </c>
      <c r="AD105" s="268">
        <v>42.074265690600001</v>
      </c>
    </row>
    <row r="106" spans="3:30" s="3" customFormat="1" x14ac:dyDescent="0.25">
      <c r="C106" s="176" t="s">
        <v>22</v>
      </c>
      <c r="D106" t="s">
        <v>564</v>
      </c>
      <c r="E106" t="s">
        <v>565</v>
      </c>
      <c r="F106" t="s">
        <v>566</v>
      </c>
      <c r="G106" t="s">
        <v>567</v>
      </c>
      <c r="H106" s="267">
        <f>VLOOKUP(D106,Résultats!$B$2:$AX$476,'T energie vecteurs'!U5,FALSE)</f>
        <v>0</v>
      </c>
      <c r="I106" s="267">
        <f>VLOOKUP(E106,Résultats!$B$2:$AX$476,'T energie vecteurs'!U5,FALSE)</f>
        <v>1.963440447</v>
      </c>
      <c r="J106" s="267">
        <f>VLOOKUP(F106,Résultats!$B$2:$AX$476,'T energie vecteurs'!U5,FALSE)</f>
        <v>14.49097955</v>
      </c>
      <c r="K106" s="267">
        <f>VLOOKUP(G106,Résultats!$B$2:$AX$476,'T energie vecteurs'!U5,FALSE)</f>
        <v>8.7653310250000001</v>
      </c>
      <c r="L106" s="268">
        <f t="shared" si="23"/>
        <v>25.219751022000004</v>
      </c>
      <c r="M106" s="99"/>
      <c r="N106" s="179" t="s">
        <v>22</v>
      </c>
      <c r="O106" s="36">
        <f>('[1]Bilan 2040'!$W$46)/11.63</f>
        <v>0</v>
      </c>
      <c r="P106" s="35">
        <f>SUM('[1]Bilan 2040'!$W$41:$W$43)/11.63</f>
        <v>0.4952300504112862</v>
      </c>
      <c r="Q106" s="35">
        <f>('[1]Bilan 2040'!$W$13)/11.63</f>
        <v>11.924705484934304</v>
      </c>
      <c r="R106" s="35">
        <f>('[1]Bilan 2040'!$W$22+'[1]Bilan 2040'!$W$30+SUM('[1]Bilan 2040'!$W$36:$W$40)+SUM('[1]Bilan 2040'!$W$44:$W$45)+'[1]Bilan 2040'!$W$47)/11.63</f>
        <v>6.9475060506073669</v>
      </c>
      <c r="S106" s="171">
        <f t="shared" si="24"/>
        <v>19.367441585952957</v>
      </c>
      <c r="U106" s="176" t="s">
        <v>22</v>
      </c>
      <c r="V106" t="s">
        <v>564</v>
      </c>
      <c r="W106" t="s">
        <v>565</v>
      </c>
      <c r="X106" t="s">
        <v>566</v>
      </c>
      <c r="Y106" t="s">
        <v>567</v>
      </c>
      <c r="Z106" s="267">
        <v>0</v>
      </c>
      <c r="AA106" s="267">
        <v>1.9587686950000001</v>
      </c>
      <c r="AB106" s="267">
        <v>14.480386899999999</v>
      </c>
      <c r="AC106" s="267">
        <v>8.8115027230000003</v>
      </c>
      <c r="AD106" s="268">
        <v>25.250658317999999</v>
      </c>
    </row>
    <row r="107" spans="3:30" s="3" customFormat="1" x14ac:dyDescent="0.25">
      <c r="C107" s="176" t="s">
        <v>23</v>
      </c>
      <c r="D107"/>
      <c r="E107"/>
      <c r="F107"/>
      <c r="G107"/>
      <c r="H107" s="267">
        <f>SUM(H108:H110)</f>
        <v>2.8405652377999999</v>
      </c>
      <c r="I107" s="267">
        <f>SUM(I108:I110)</f>
        <v>16.332710512000002</v>
      </c>
      <c r="J107" s="267">
        <f>SUM(J108:J110)</f>
        <v>13.891242891500001</v>
      </c>
      <c r="K107" s="267">
        <f>SUM(K108:K110)</f>
        <v>20.150119436799997</v>
      </c>
      <c r="L107" s="268">
        <f t="shared" si="23"/>
        <v>53.214638078100002</v>
      </c>
      <c r="M107" s="99"/>
      <c r="N107" s="179" t="s">
        <v>252</v>
      </c>
      <c r="O107" s="36">
        <f>O108+O109</f>
        <v>3.8874337769367404</v>
      </c>
      <c r="P107" s="35">
        <f t="shared" ref="P107:R107" si="25">P108+P109</f>
        <v>11.388314604220763</v>
      </c>
      <c r="Q107" s="35">
        <f t="shared" si="25"/>
        <v>9.6134424318279077</v>
      </c>
      <c r="R107" s="35">
        <f t="shared" si="25"/>
        <v>13.104002297133148</v>
      </c>
      <c r="S107" s="171">
        <f t="shared" si="24"/>
        <v>37.993193110118561</v>
      </c>
      <c r="U107" s="176" t="s">
        <v>23</v>
      </c>
      <c r="V107"/>
      <c r="W107"/>
      <c r="X107"/>
      <c r="Y107"/>
      <c r="Z107" s="267">
        <v>2.8715387234</v>
      </c>
      <c r="AA107" s="267">
        <v>16.360434553000001</v>
      </c>
      <c r="AB107" s="267">
        <v>13.9542494377</v>
      </c>
      <c r="AC107" s="267">
        <v>20.299328719399998</v>
      </c>
      <c r="AD107" s="268">
        <v>53.485551433499992</v>
      </c>
    </row>
    <row r="108" spans="3:30" s="3" customFormat="1" x14ac:dyDescent="0.25">
      <c r="C108" s="178" t="s">
        <v>24</v>
      </c>
      <c r="D108" t="s">
        <v>568</v>
      </c>
      <c r="E108" t="s">
        <v>569</v>
      </c>
      <c r="F108" t="s">
        <v>570</v>
      </c>
      <c r="G108" t="s">
        <v>571</v>
      </c>
      <c r="H108" s="37">
        <f>VLOOKUP(D108,Résultats!$B$2:$AX$476,'T energie vecteurs'!U5,FALSE)</f>
        <v>1.8777215460000001</v>
      </c>
      <c r="I108" s="37">
        <f>VLOOKUP(E108,Résultats!$B$2:$AX$476,'T energie vecteurs'!U5,FALSE)</f>
        <v>10.699529500000001</v>
      </c>
      <c r="J108" s="37">
        <f>VLOOKUP(F108,Résultats!$B$2:$AX$476,'T energie vecteurs'!U5,FALSE)</f>
        <v>13.48071818</v>
      </c>
      <c r="K108" s="37">
        <f>VLOOKUP(G108,Résultats!$B$2:$AX$476,'T energie vecteurs'!U5,FALSE)</f>
        <v>17.015748670000001</v>
      </c>
      <c r="L108" s="266">
        <f t="shared" si="23"/>
        <v>43.073717896000005</v>
      </c>
      <c r="M108" s="19"/>
      <c r="N108" s="178" t="s">
        <v>253</v>
      </c>
      <c r="O108" s="172">
        <f>'[1]Bilan 2040'!$U$46/11.63</f>
        <v>0.46996817074585479</v>
      </c>
      <c r="P108" s="37">
        <f>SUM('[1]Bilan 2040'!$U$41:$U$43)/11.63</f>
        <v>1.9564072098333778</v>
      </c>
      <c r="Q108" s="37">
        <f>'[1]Bilan 2040'!$U$13/11.63</f>
        <v>9.6134424318279077</v>
      </c>
      <c r="R108" s="37">
        <f>('[1]Bilan 2040'!$U$22+'[1]Bilan 2040'!$U$30+SUM('[1]Bilan 2040'!$U$36:$U$40)+SUM('[1]Bilan 2040'!$U$44:$U$45)+'[1]Bilan 2040'!$U$47)/11.63</f>
        <v>11.936351978766361</v>
      </c>
      <c r="S108" s="120">
        <f t="shared" si="24"/>
        <v>23.976169791173501</v>
      </c>
      <c r="U108" s="178" t="s">
        <v>24</v>
      </c>
      <c r="V108" t="s">
        <v>568</v>
      </c>
      <c r="W108" t="s">
        <v>569</v>
      </c>
      <c r="X108" t="s">
        <v>570</v>
      </c>
      <c r="Y108" t="s">
        <v>571</v>
      </c>
      <c r="Z108" s="37">
        <v>1.8961780619999999</v>
      </c>
      <c r="AA108" s="37">
        <v>10.728680710000001</v>
      </c>
      <c r="AB108" s="37">
        <v>13.54320405</v>
      </c>
      <c r="AC108" s="37">
        <v>17.15850073</v>
      </c>
      <c r="AD108" s="266">
        <v>43.326563552000003</v>
      </c>
    </row>
    <row r="109" spans="3:30" s="3" customFormat="1" x14ac:dyDescent="0.25">
      <c r="C109" s="178" t="s">
        <v>129</v>
      </c>
      <c r="D109" t="s">
        <v>572</v>
      </c>
      <c r="E109" t="s">
        <v>573</v>
      </c>
      <c r="F109" t="s">
        <v>574</v>
      </c>
      <c r="G109" t="s">
        <v>575</v>
      </c>
      <c r="H109" s="37">
        <f>VLOOKUP(D109,Résultats!$B$2:$AX$476,'T energie vecteurs'!U5,FALSE)</f>
        <v>0.96284369179999996</v>
      </c>
      <c r="I109" s="37">
        <f>VLOOKUP(E109,Résultats!$B$2:$AX$476,'T energie vecteurs'!U5,FALSE)</f>
        <v>2.4800121480000001</v>
      </c>
      <c r="J109" s="37">
        <f>VLOOKUP(F109,Résultats!$B$2:$AX$476,'T energie vecteurs'!U5,FALSE)</f>
        <v>0</v>
      </c>
      <c r="K109" s="37">
        <f>VLOOKUP(G109,Résultats!$B$2:$AX$476,'T energie vecteurs'!U5,FALSE)</f>
        <v>2.6457021049999998</v>
      </c>
      <c r="L109" s="266">
        <f t="shared" si="23"/>
        <v>6.0885579447999998</v>
      </c>
      <c r="M109" s="19"/>
      <c r="N109" s="178" t="s">
        <v>129</v>
      </c>
      <c r="O109" s="28">
        <f>'[1]Bilan 2040'!$E$52/11.63</f>
        <v>3.4174656061908855</v>
      </c>
      <c r="P109" s="19">
        <f>('[1]Bilan 2040'!$E$54+'[1]Bilan 2040'!$E$56)/11.63</f>
        <v>9.4319073943873857</v>
      </c>
      <c r="Q109" s="19">
        <v>0</v>
      </c>
      <c r="R109" s="19">
        <f>('[1]Bilan 2040'!$E$53+'[1]Bilan 2040'!$E$55+'[1]Bilan 2040'!$E$57)/11.63</f>
        <v>1.1676503183667879</v>
      </c>
      <c r="S109" s="120">
        <f t="shared" si="24"/>
        <v>14.017023318945059</v>
      </c>
      <c r="U109" s="178" t="s">
        <v>129</v>
      </c>
      <c r="V109" t="s">
        <v>572</v>
      </c>
      <c r="W109" t="s">
        <v>573</v>
      </c>
      <c r="X109" t="s">
        <v>574</v>
      </c>
      <c r="Y109" t="s">
        <v>575</v>
      </c>
      <c r="Z109" s="37">
        <v>0.9753606614</v>
      </c>
      <c r="AA109" s="37">
        <v>2.4790604580000002</v>
      </c>
      <c r="AB109" s="37">
        <v>0</v>
      </c>
      <c r="AC109" s="37">
        <v>2.6495632800000002</v>
      </c>
      <c r="AD109" s="266">
        <v>6.1039843993999998</v>
      </c>
    </row>
    <row r="110" spans="3:30" s="3" customFormat="1" x14ac:dyDescent="0.25">
      <c r="C110" s="178" t="s">
        <v>25</v>
      </c>
      <c r="D110" t="s">
        <v>576</v>
      </c>
      <c r="E110" t="s">
        <v>577</v>
      </c>
      <c r="F110" t="s">
        <v>578</v>
      </c>
      <c r="G110" t="s">
        <v>579</v>
      </c>
      <c r="H110" s="37">
        <f>VLOOKUP(D110,Résultats!$B$2:$AX$476,'T energie vecteurs'!U5,FALSE)</f>
        <v>0</v>
      </c>
      <c r="I110" s="37">
        <f>VLOOKUP(E110,Résultats!$B$2:$AX$476,'T energie vecteurs'!U5,FALSE)</f>
        <v>3.153168864</v>
      </c>
      <c r="J110" s="37">
        <f>VLOOKUP(F110,Résultats!$B$2:$AX$476,'T energie vecteurs'!U5,FALSE)</f>
        <v>0.41052471149999997</v>
      </c>
      <c r="K110" s="37">
        <f>VLOOKUP(G110,Résultats!$B$2:$AX$476,'T energie vecteurs'!U5,FALSE)</f>
        <v>0.48866866180000001</v>
      </c>
      <c r="L110" s="266">
        <f t="shared" si="23"/>
        <v>4.0523622372999997</v>
      </c>
      <c r="M110" s="19"/>
      <c r="N110" s="179" t="s">
        <v>25</v>
      </c>
      <c r="O110" s="36">
        <f>'[1]Bilan 2040'!$T$46/11.63</f>
        <v>0</v>
      </c>
      <c r="P110" s="35">
        <f>SUM('[1]Bilan 2040'!$T$41:$T$43)/11.63</f>
        <v>2.79232070662915</v>
      </c>
      <c r="Q110" s="35">
        <f>'[1]Bilan 2040'!$T$13/11.63</f>
        <v>0.54723304841648379</v>
      </c>
      <c r="R110" s="35">
        <f>('[1]Bilan 2040'!$T$22+'[1]Bilan 2040'!$T$30+SUM('[1]Bilan 2040'!$T$36:$T$40)+SUM('[1]Bilan 2040'!$T$44:$T$45)+'[1]Bilan 2040'!$T$47)/11.63</f>
        <v>0.43855300175211398</v>
      </c>
      <c r="S110" s="171">
        <f t="shared" si="24"/>
        <v>3.7781067567977473</v>
      </c>
      <c r="U110" s="178" t="s">
        <v>25</v>
      </c>
      <c r="V110" t="s">
        <v>576</v>
      </c>
      <c r="W110" t="s">
        <v>577</v>
      </c>
      <c r="X110" t="s">
        <v>578</v>
      </c>
      <c r="Y110" t="s">
        <v>579</v>
      </c>
      <c r="Z110" s="37">
        <v>0</v>
      </c>
      <c r="AA110" s="37">
        <v>3.1526933850000001</v>
      </c>
      <c r="AB110" s="37">
        <v>0.41104538769999999</v>
      </c>
      <c r="AC110" s="37">
        <v>0.4912647094</v>
      </c>
      <c r="AD110" s="266">
        <v>4.0550034821000001</v>
      </c>
    </row>
    <row r="111" spans="3:30" s="3" customFormat="1" x14ac:dyDescent="0.25">
      <c r="C111" s="29" t="s">
        <v>26</v>
      </c>
      <c r="D111" s="10"/>
      <c r="E111" s="10"/>
      <c r="F111" s="10"/>
      <c r="G111" s="10"/>
      <c r="H111" s="269">
        <f>SUM(H102,H105:H107)</f>
        <v>3.0896662054999999</v>
      </c>
      <c r="I111" s="269">
        <f>SUM(I102,I105:I107)</f>
        <v>57.397849712999999</v>
      </c>
      <c r="J111" s="269">
        <f>SUM(J102,J105:J107)</f>
        <v>50.181721706499999</v>
      </c>
      <c r="K111" s="269">
        <f>SUM(K102,K105:K107)</f>
        <v>50.967400991474101</v>
      </c>
      <c r="L111" s="270">
        <f t="shared" si="23"/>
        <v>161.6366386164741</v>
      </c>
      <c r="M111" s="105"/>
      <c r="N111" s="180" t="s">
        <v>26</v>
      </c>
      <c r="O111" s="40">
        <f>O102+O105+O106+O107+O110</f>
        <v>3.8874337769367404</v>
      </c>
      <c r="P111" s="38">
        <f>P102+P105+P106+P107+P110</f>
        <v>39.702333101799972</v>
      </c>
      <c r="Q111" s="38">
        <f>Q102+Q105+Q106+Q107+Q110</f>
        <v>43.524288849120879</v>
      </c>
      <c r="R111" s="38">
        <f>R102+R105+R106+R107+R110</f>
        <v>44.198180431013775</v>
      </c>
      <c r="S111" s="173">
        <f t="shared" si="24"/>
        <v>131.31223615887137</v>
      </c>
      <c r="U111" s="29" t="s">
        <v>26</v>
      </c>
      <c r="V111" s="10"/>
      <c r="W111" s="10"/>
      <c r="X111" s="10"/>
      <c r="Y111" s="10"/>
      <c r="Z111" s="269">
        <v>3.1214811080000002</v>
      </c>
      <c r="AA111" s="269">
        <v>57.296506484000005</v>
      </c>
      <c r="AB111" s="269">
        <v>50.385929304699999</v>
      </c>
      <c r="AC111" s="269">
        <v>51.272686780481699</v>
      </c>
      <c r="AD111" s="270">
        <v>162.07660367718171</v>
      </c>
    </row>
    <row r="112" spans="3:30" s="3" customFormat="1" x14ac:dyDescent="0.25"/>
    <row r="113" spans="3:30" s="3" customFormat="1" x14ac:dyDescent="0.25"/>
    <row r="114" spans="3:30" ht="31.5" x14ac:dyDescent="0.35">
      <c r="C114" s="174">
        <v>2050</v>
      </c>
      <c r="D114" s="175"/>
      <c r="E114" s="175"/>
      <c r="F114" s="175"/>
      <c r="G114" s="175"/>
      <c r="H114" s="101" t="s">
        <v>36</v>
      </c>
      <c r="I114" s="101" t="s">
        <v>131</v>
      </c>
      <c r="J114" s="101" t="s">
        <v>38</v>
      </c>
      <c r="K114" s="101" t="s">
        <v>130</v>
      </c>
      <c r="L114" s="118" t="s">
        <v>1</v>
      </c>
      <c r="M114" s="25"/>
      <c r="N114" s="174">
        <v>2050</v>
      </c>
      <c r="O114" s="170" t="s">
        <v>36</v>
      </c>
      <c r="P114" s="101" t="s">
        <v>131</v>
      </c>
      <c r="Q114" s="101" t="s">
        <v>38</v>
      </c>
      <c r="R114" s="101" t="s">
        <v>130</v>
      </c>
      <c r="S114" s="118" t="s">
        <v>1</v>
      </c>
      <c r="T114" s="25"/>
      <c r="U114" s="174">
        <v>2050</v>
      </c>
      <c r="V114" s="175"/>
      <c r="W114" s="175"/>
      <c r="X114" s="175"/>
      <c r="Y114" s="175"/>
      <c r="Z114" s="101" t="s">
        <v>36</v>
      </c>
      <c r="AA114" s="101" t="s">
        <v>131</v>
      </c>
      <c r="AB114" s="101" t="s">
        <v>38</v>
      </c>
      <c r="AC114" s="101" t="s">
        <v>130</v>
      </c>
      <c r="AD114" s="118" t="s">
        <v>1</v>
      </c>
    </row>
    <row r="115" spans="3:30" x14ac:dyDescent="0.25">
      <c r="C115" s="176" t="s">
        <v>18</v>
      </c>
      <c r="H115" s="8">
        <f>SUM(H116:H117)</f>
        <v>0</v>
      </c>
      <c r="I115" s="8">
        <f>SUM(I116:I117)</f>
        <v>31.289810899999999</v>
      </c>
      <c r="J115" s="8">
        <f>SUM(J116:J117)</f>
        <v>6.0851038000000006</v>
      </c>
      <c r="K115" s="8">
        <f>SUM(K116:K117)</f>
        <v>3.8755546960561</v>
      </c>
      <c r="L115" s="121">
        <f>SUM(H115:K115)</f>
        <v>41.250469396056097</v>
      </c>
      <c r="M115" s="99"/>
      <c r="N115" s="179" t="s">
        <v>18</v>
      </c>
      <c r="O115" s="36">
        <f>'[1]Bilan 2050'!$X$46/11.63</f>
        <v>0</v>
      </c>
      <c r="P115" s="35">
        <f>SUM('[1]Bilan 2050'!$X$41:$X$43)/11.63</f>
        <v>20.444690116616325</v>
      </c>
      <c r="Q115" s="35">
        <f>'[1]Bilan 2050'!$X$13/11.63</f>
        <v>6.9492063867804656</v>
      </c>
      <c r="R115" s="35">
        <f>('[1]Bilan 2050'!$X$22+'[1]Bilan 2050'!$X$30+SUM('[1]Bilan 2050'!$X$36:$X$40)+SUM('[1]Bilan 2050'!$X$44:$X$45)+'[1]Bilan 2050'!$X$47)/11.63</f>
        <v>3.1240940704702966</v>
      </c>
      <c r="S115" s="171">
        <f>SUM(O115:R115)</f>
        <v>30.517990573867085</v>
      </c>
      <c r="T115" s="245"/>
      <c r="U115" s="176" t="s">
        <v>18</v>
      </c>
      <c r="Z115" s="8">
        <v>0</v>
      </c>
      <c r="AA115" s="8">
        <v>31.27378272</v>
      </c>
      <c r="AB115" s="8">
        <v>6.2415628230000006</v>
      </c>
      <c r="AC115" s="8">
        <v>3.8941090397083</v>
      </c>
      <c r="AD115" s="121">
        <v>41.4094545827083</v>
      </c>
    </row>
    <row r="116" spans="3:30" x14ac:dyDescent="0.25">
      <c r="C116" s="177" t="s">
        <v>19</v>
      </c>
      <c r="D116" t="s">
        <v>552</v>
      </c>
      <c r="E116" t="s">
        <v>553</v>
      </c>
      <c r="F116" t="s">
        <v>554</v>
      </c>
      <c r="G116" t="s">
        <v>555</v>
      </c>
      <c r="H116" s="19">
        <f>VLOOKUP(D116,Résultats!$B$2:$AX$476,'T energie vecteurs'!W5,FALSE)</f>
        <v>0</v>
      </c>
      <c r="I116" s="19">
        <f>VLOOKUP(E116,Résultats!$B$2:$AX$476,'T energie vecteurs'!W5,FALSE)</f>
        <v>10.977226119999999</v>
      </c>
      <c r="J116" s="19">
        <f>VLOOKUP(F116,Résultats!$B$2:$AX$476,'T energie vecteurs'!W5,FALSE)</f>
        <v>3.166398386</v>
      </c>
      <c r="K116" s="19">
        <f>VLOOKUP(G116,Résultats!$B$2:$AX$476,'T energie vecteurs'!W5,FALSE)</f>
        <v>4.7412056099999997E-5</v>
      </c>
      <c r="L116" s="120">
        <f t="shared" ref="L116:L124" si="26">SUM(H116:K116)</f>
        <v>14.143671918056098</v>
      </c>
      <c r="M116" s="19"/>
      <c r="N116" s="177" t="s">
        <v>19</v>
      </c>
      <c r="O116" s="172"/>
      <c r="P116" s="19"/>
      <c r="Q116" s="55"/>
      <c r="R116" s="19"/>
      <c r="S116" s="120"/>
      <c r="T116" s="245"/>
      <c r="U116" s="177" t="s">
        <v>19</v>
      </c>
      <c r="V116" t="s">
        <v>552</v>
      </c>
      <c r="W116" t="s">
        <v>553</v>
      </c>
      <c r="X116" t="s">
        <v>554</v>
      </c>
      <c r="Y116" t="s">
        <v>555</v>
      </c>
      <c r="Z116" s="19">
        <v>0</v>
      </c>
      <c r="AA116" s="19">
        <v>10.849947999999999</v>
      </c>
      <c r="AB116" s="19">
        <v>3.3265233510000001</v>
      </c>
      <c r="AC116" s="19">
        <v>4.7378708299999998E-5</v>
      </c>
      <c r="AD116" s="120">
        <v>14.176518729708301</v>
      </c>
    </row>
    <row r="117" spans="3:30" x14ac:dyDescent="0.25">
      <c r="C117" s="178" t="s">
        <v>20</v>
      </c>
      <c r="D117" t="s">
        <v>556</v>
      </c>
      <c r="E117" t="s">
        <v>557</v>
      </c>
      <c r="F117" t="s">
        <v>558</v>
      </c>
      <c r="G117" t="s">
        <v>559</v>
      </c>
      <c r="H117" s="19">
        <f>VLOOKUP(D117,Résultats!$B$2:$AX$476,'T energie vecteurs'!W5,FALSE)</f>
        <v>0</v>
      </c>
      <c r="I117" s="19">
        <f>VLOOKUP(E117,Résultats!$B$2:$AX$476,'T energie vecteurs'!W5,FALSE)</f>
        <v>20.312584780000002</v>
      </c>
      <c r="J117" s="19">
        <f>VLOOKUP(F117,Résultats!$B$2:$AX$476,'T energie vecteurs'!W5,FALSE)</f>
        <v>2.9187054140000002</v>
      </c>
      <c r="K117" s="19">
        <f>VLOOKUP(G117,Résultats!$B$2:$AX$476,'T energie vecteurs'!W5,FALSE)</f>
        <v>3.8755072840000002</v>
      </c>
      <c r="L117" s="120">
        <f t="shared" si="26"/>
        <v>27.106797478000004</v>
      </c>
      <c r="M117" s="19"/>
      <c r="N117" s="178" t="s">
        <v>20</v>
      </c>
      <c r="O117" s="172"/>
      <c r="P117" s="19"/>
      <c r="Q117" s="55"/>
      <c r="R117" s="19"/>
      <c r="S117" s="120"/>
      <c r="T117" s="245"/>
      <c r="U117" s="178" t="s">
        <v>20</v>
      </c>
      <c r="V117" t="s">
        <v>556</v>
      </c>
      <c r="W117" t="s">
        <v>557</v>
      </c>
      <c r="X117" t="s">
        <v>558</v>
      </c>
      <c r="Y117" t="s">
        <v>559</v>
      </c>
      <c r="Z117" s="19">
        <v>0</v>
      </c>
      <c r="AA117" s="19">
        <v>20.423834719999999</v>
      </c>
      <c r="AB117" s="19">
        <v>2.9150394720000001</v>
      </c>
      <c r="AC117" s="19">
        <v>3.8940616609999998</v>
      </c>
      <c r="AD117" s="120">
        <v>27.232935852999997</v>
      </c>
    </row>
    <row r="118" spans="3:30" x14ac:dyDescent="0.25">
      <c r="C118" s="176" t="s">
        <v>21</v>
      </c>
      <c r="D118" t="s">
        <v>560</v>
      </c>
      <c r="E118" t="s">
        <v>561</v>
      </c>
      <c r="F118" t="s">
        <v>562</v>
      </c>
      <c r="G118" t="s">
        <v>563</v>
      </c>
      <c r="H118" s="8">
        <f>VLOOKUP(D118,Résultats!$B$2:$AX$476,'T energie vecteurs'!W5,FALSE)</f>
        <v>0.22657439030000001</v>
      </c>
      <c r="I118" s="8">
        <f>VLOOKUP(E118,Résultats!$B$2:$AX$476,'T energie vecteurs'!W5,FALSE)</f>
        <v>5.1513212360000002</v>
      </c>
      <c r="J118" s="8">
        <f>VLOOKUP(F118,Résultats!$B$2:$AX$476,'T energie vecteurs'!W5,FALSE)</f>
        <v>18.362110210000001</v>
      </c>
      <c r="K118" s="8">
        <f>VLOOKUP(G118,Résultats!$B$2:$AX$476,'T energie vecteurs'!W5,FALSE)+2</f>
        <v>18.802945810000001</v>
      </c>
      <c r="L118" s="121">
        <f t="shared" si="26"/>
        <v>42.542951646299997</v>
      </c>
      <c r="M118" s="99"/>
      <c r="N118" s="179" t="s">
        <v>21</v>
      </c>
      <c r="O118" s="36">
        <f>'[1]Bilan 2050'!$V$46/11.63</f>
        <v>0</v>
      </c>
      <c r="P118" s="35">
        <f>SUM('[1]Bilan 2050'!$V$41:$V$43)/11.63</f>
        <v>0.44793357100944881</v>
      </c>
      <c r="Q118" s="35">
        <f>'[1]Bilan 2050'!$V$13/11.63</f>
        <v>16.722069816294518</v>
      </c>
      <c r="R118" s="35">
        <f>('[1]Bilan 2050'!$V$22+'[1]Bilan 2050'!$V$30+SUM('[1]Bilan 2050'!$V$36:$V$40)+SUM('[1]Bilan 2050'!$V$44:$V$45)+'[1]Bilan 2050'!$V$47)/11.63</f>
        <v>20.626598768707204</v>
      </c>
      <c r="S118" s="171">
        <f t="shared" ref="S118:S124" si="27">SUM(O118:R118)</f>
        <v>37.796602156011176</v>
      </c>
      <c r="T118" s="245"/>
      <c r="U118" s="176" t="s">
        <v>21</v>
      </c>
      <c r="V118" t="s">
        <v>560</v>
      </c>
      <c r="W118" t="s">
        <v>561</v>
      </c>
      <c r="X118" t="s">
        <v>562</v>
      </c>
      <c r="Y118" t="s">
        <v>563</v>
      </c>
      <c r="Z118" s="263">
        <v>0.22744577060000001</v>
      </c>
      <c r="AA118" s="263">
        <v>5.1556695259999996</v>
      </c>
      <c r="AB118" s="263">
        <v>18.388367980000002</v>
      </c>
      <c r="AC118" s="263">
        <v>18.888820169999999</v>
      </c>
      <c r="AD118" s="264">
        <v>42.660303446599997</v>
      </c>
    </row>
    <row r="119" spans="3:30" x14ac:dyDescent="0.25">
      <c r="C119" s="176" t="s">
        <v>22</v>
      </c>
      <c r="D119" t="s">
        <v>564</v>
      </c>
      <c r="E119" t="s">
        <v>565</v>
      </c>
      <c r="F119" t="s">
        <v>566</v>
      </c>
      <c r="G119" t="s">
        <v>567</v>
      </c>
      <c r="H119" s="8">
        <f>VLOOKUP(D119,Résultats!$B$2:$AX$476,'T energie vecteurs'!W5,FALSE)</f>
        <v>0</v>
      </c>
      <c r="I119" s="8">
        <f>VLOOKUP(E119,Résultats!$B$2:$AX$476,'T energie vecteurs'!W5,FALSE)</f>
        <v>1.9234180780000001</v>
      </c>
      <c r="J119" s="8">
        <f>VLOOKUP(F119,Résultats!$B$2:$AX$476,'T energie vecteurs'!W5,FALSE)</f>
        <v>12.84473288</v>
      </c>
      <c r="K119" s="8">
        <f>VLOOKUP(G119,Résultats!$B$2:$AX$476,'T energie vecteurs'!W5,FALSE)</f>
        <v>7.5080505950000003</v>
      </c>
      <c r="L119" s="121">
        <f t="shared" si="26"/>
        <v>22.276201553</v>
      </c>
      <c r="M119" s="99"/>
      <c r="N119" s="179" t="s">
        <v>22</v>
      </c>
      <c r="O119" s="36">
        <f>('[1]Bilan 2050'!$W$46)/11.63</f>
        <v>0</v>
      </c>
      <c r="P119" s="35">
        <f>SUM('[1]Bilan 2050'!$W$41:$W$43)/11.63</f>
        <v>0.19932306002356692</v>
      </c>
      <c r="Q119" s="35">
        <f>('[1]Bilan 2050'!$W$13)/11.63</f>
        <v>12.561375724275205</v>
      </c>
      <c r="R119" s="35">
        <f>('[1]Bilan 2050'!$W$22+'[1]Bilan 2050'!$W$30+SUM('[1]Bilan 2050'!$W$36:$W$40)+SUM('[1]Bilan 2050'!$W$44:$W$45)+'[1]Bilan 2050'!$W$47)/11.63</f>
        <v>6.8359123459815141</v>
      </c>
      <c r="S119" s="171">
        <f t="shared" si="27"/>
        <v>19.596611130280287</v>
      </c>
      <c r="T119" s="245"/>
      <c r="U119" s="176" t="s">
        <v>22</v>
      </c>
      <c r="V119" t="s">
        <v>564</v>
      </c>
      <c r="W119" t="s">
        <v>565</v>
      </c>
      <c r="X119" t="s">
        <v>566</v>
      </c>
      <c r="Y119" t="s">
        <v>567</v>
      </c>
      <c r="Z119" s="8">
        <v>0</v>
      </c>
      <c r="AA119" s="8">
        <v>1.9192569020000001</v>
      </c>
      <c r="AB119" s="8">
        <v>12.84679049</v>
      </c>
      <c r="AC119" s="8">
        <v>7.5356139539999996</v>
      </c>
      <c r="AD119" s="121">
        <v>22.301661345999999</v>
      </c>
    </row>
    <row r="120" spans="3:30" x14ac:dyDescent="0.25">
      <c r="C120" s="176" t="s">
        <v>23</v>
      </c>
      <c r="H120" s="8">
        <f>SUM(H121:H123)</f>
        <v>2.8030899201000001</v>
      </c>
      <c r="I120" s="8">
        <f>SUM(I121:I123)</f>
        <v>17.500268269999999</v>
      </c>
      <c r="J120" s="8">
        <f>SUM(J121:J123)</f>
        <v>16.664393584000003</v>
      </c>
      <c r="K120" s="8">
        <f>SUM(K121:K123)</f>
        <v>22.2759811313</v>
      </c>
      <c r="L120" s="8">
        <f>SUM(L121:L123)</f>
        <v>59.243732905400009</v>
      </c>
      <c r="M120" s="99"/>
      <c r="N120" s="179" t="s">
        <v>252</v>
      </c>
      <c r="O120" s="36">
        <f>O121+O122</f>
        <v>3.7208173415817956</v>
      </c>
      <c r="P120" s="35">
        <f t="shared" ref="P120:R120" si="28">P121+P122</f>
        <v>10.357640817267992</v>
      </c>
      <c r="Q120" s="35">
        <f t="shared" si="28"/>
        <v>9.8880397220191174</v>
      </c>
      <c r="R120" s="35">
        <f t="shared" si="28"/>
        <v>12.816914942214364</v>
      </c>
      <c r="S120" s="171">
        <f t="shared" si="27"/>
        <v>36.783412823083268</v>
      </c>
      <c r="T120" s="245"/>
      <c r="U120" s="176" t="s">
        <v>23</v>
      </c>
      <c r="Z120" s="8">
        <v>2.844695293</v>
      </c>
      <c r="AA120" s="8">
        <v>17.536048585</v>
      </c>
      <c r="AB120" s="8">
        <v>16.778899801399998</v>
      </c>
      <c r="AC120" s="8">
        <v>22.437208617699998</v>
      </c>
      <c r="AD120" s="8">
        <v>59.5968522971</v>
      </c>
    </row>
    <row r="121" spans="3:30" x14ac:dyDescent="0.25">
      <c r="C121" s="178" t="s">
        <v>24</v>
      </c>
      <c r="D121" t="s">
        <v>568</v>
      </c>
      <c r="E121" t="s">
        <v>569</v>
      </c>
      <c r="F121" t="s">
        <v>570</v>
      </c>
      <c r="G121" t="s">
        <v>571</v>
      </c>
      <c r="H121" s="19">
        <f>VLOOKUP(D121,Résultats!$B$2:$AX$476,'T energie vecteurs'!W5,FALSE)</f>
        <v>1.809969991</v>
      </c>
      <c r="I121" s="19">
        <f>VLOOKUP(E121,Résultats!$B$2:$AX$476,'T energie vecteurs'!W5,FALSE)</f>
        <v>10.909820910000001</v>
      </c>
      <c r="J121" s="19">
        <f>VLOOKUP(F121,Résultats!$B$2:$AX$476,'T energie vecteurs'!W5,FALSE)</f>
        <v>16.186834130000001</v>
      </c>
      <c r="K121" s="19">
        <f>VLOOKUP(G121,Résultats!$B$2:$AX$476,'T energie vecteurs'!W5,FALSE)</f>
        <v>18.653056280000001</v>
      </c>
      <c r="L121" s="120">
        <f t="shared" si="26"/>
        <v>47.559681311000006</v>
      </c>
      <c r="M121" s="19"/>
      <c r="N121" s="178" t="s">
        <v>253</v>
      </c>
      <c r="O121" s="172">
        <f>'[1]Bilan 2050'!$U$46/11.63</f>
        <v>0.31585492622281036</v>
      </c>
      <c r="P121" s="37">
        <f>SUM('[1]Bilan 2050'!$U$41:$U$43)/11.63</f>
        <v>1.7544463445123659</v>
      </c>
      <c r="Q121" s="37">
        <f>'[1]Bilan 2050'!$U$13/11.63</f>
        <v>9.8880397220191174</v>
      </c>
      <c r="R121" s="37">
        <f>('[1]Bilan 2050'!$U$22+'[1]Bilan 2050'!$U$30+SUM('[1]Bilan 2050'!$U$36:$U$40)+SUM('[1]Bilan 2050'!$U$44:$U$45)+'[1]Bilan 2050'!$U$47)/11.63</f>
        <v>11.51748338251616</v>
      </c>
      <c r="S121" s="120">
        <f t="shared" si="27"/>
        <v>23.475824375270456</v>
      </c>
      <c r="T121" s="245"/>
      <c r="U121" s="178" t="s">
        <v>24</v>
      </c>
      <c r="V121" t="s">
        <v>568</v>
      </c>
      <c r="W121" t="s">
        <v>569</v>
      </c>
      <c r="X121" t="s">
        <v>570</v>
      </c>
      <c r="Y121" t="s">
        <v>571</v>
      </c>
      <c r="Z121" s="19">
        <v>1.833853677</v>
      </c>
      <c r="AA121" s="19">
        <v>10.949307729999999</v>
      </c>
      <c r="AB121" s="19">
        <v>16.300642289999999</v>
      </c>
      <c r="AC121" s="19">
        <v>18.809146729999998</v>
      </c>
      <c r="AD121" s="120">
        <v>47.892950427000002</v>
      </c>
    </row>
    <row r="122" spans="3:30" x14ac:dyDescent="0.25">
      <c r="C122" s="178" t="s">
        <v>129</v>
      </c>
      <c r="D122" t="s">
        <v>572</v>
      </c>
      <c r="E122" t="s">
        <v>573</v>
      </c>
      <c r="F122" t="s">
        <v>574</v>
      </c>
      <c r="G122" t="s">
        <v>575</v>
      </c>
      <c r="H122" s="19">
        <f>VLOOKUP(D122,Résultats!$B$2:$AX$476,'T energie vecteurs'!W5,FALSE)</f>
        <v>0.99311992910000002</v>
      </c>
      <c r="I122" s="19">
        <f>VLOOKUP(E122,Résultats!$B$2:$AX$476,'T energie vecteurs'!W5,FALSE)</f>
        <v>2.9097603250000001</v>
      </c>
      <c r="J122" s="19">
        <f>VLOOKUP(F122,Résultats!$B$2:$AX$476,'T energie vecteurs'!W5,FALSE)</f>
        <v>0</v>
      </c>
      <c r="K122" s="19">
        <f>VLOOKUP(G122,Résultats!$B$2:$AX$476,'T energie vecteurs'!W5,FALSE)</f>
        <v>3.0499854329999998</v>
      </c>
      <c r="L122" s="120">
        <f t="shared" si="26"/>
        <v>6.9528656871000001</v>
      </c>
      <c r="M122" s="19"/>
      <c r="N122" s="178" t="s">
        <v>129</v>
      </c>
      <c r="O122" s="28">
        <f>'[1]Bilan 2050'!$E$52/11.63</f>
        <v>3.4049624153589853</v>
      </c>
      <c r="P122" s="19">
        <f>('[1]Bilan 2050'!$E$54+'[1]Bilan 2050'!$E$56)/11.63</f>
        <v>8.6031944727556251</v>
      </c>
      <c r="Q122" s="19">
        <v>0</v>
      </c>
      <c r="R122" s="19">
        <f>('[1]Bilan 2050'!$E$53+'[1]Bilan 2050'!$E$55+'[1]Bilan 2050'!$E$57)/11.63</f>
        <v>1.2994315596982036</v>
      </c>
      <c r="S122" s="120">
        <f t="shared" si="27"/>
        <v>13.307588447812815</v>
      </c>
      <c r="T122" s="245"/>
      <c r="U122" s="178" t="s">
        <v>129</v>
      </c>
      <c r="V122" t="s">
        <v>572</v>
      </c>
      <c r="W122" t="s">
        <v>573</v>
      </c>
      <c r="X122" t="s">
        <v>574</v>
      </c>
      <c r="Y122" t="s">
        <v>575</v>
      </c>
      <c r="Z122" s="19">
        <v>1.010841616</v>
      </c>
      <c r="AA122" s="19">
        <v>2.908419275</v>
      </c>
      <c r="AB122" s="19">
        <v>0</v>
      </c>
      <c r="AC122" s="19">
        <v>3.0529446299999998</v>
      </c>
      <c r="AD122" s="120">
        <v>6.9722055209999994</v>
      </c>
    </row>
    <row r="123" spans="3:30" x14ac:dyDescent="0.25">
      <c r="C123" s="178" t="s">
        <v>25</v>
      </c>
      <c r="D123" t="s">
        <v>576</v>
      </c>
      <c r="E123" t="s">
        <v>577</v>
      </c>
      <c r="F123" t="s">
        <v>578</v>
      </c>
      <c r="G123" t="s">
        <v>579</v>
      </c>
      <c r="H123" s="19">
        <f>VLOOKUP(D123,Résultats!$B$2:$AX$476,'T energie vecteurs'!W5,FALSE)</f>
        <v>0</v>
      </c>
      <c r="I123" s="19">
        <f>VLOOKUP(E123,Résultats!$B$2:$AX$476,'T energie vecteurs'!W5,FALSE)</f>
        <v>3.6806870350000001</v>
      </c>
      <c r="J123" s="19">
        <f>VLOOKUP(F123,Résultats!$B$2:$AX$476,'T energie vecteurs'!W5,FALSE)</f>
        <v>0.47755945399999999</v>
      </c>
      <c r="K123" s="19">
        <f>VLOOKUP(G123,Résultats!$B$2:$AX$476,'T energie vecteurs'!W5,FALSE)</f>
        <v>0.57293941829999995</v>
      </c>
      <c r="L123" s="120">
        <f t="shared" si="26"/>
        <v>4.7311859072999995</v>
      </c>
      <c r="M123" s="19"/>
      <c r="N123" s="179" t="s">
        <v>25</v>
      </c>
      <c r="O123" s="36">
        <f>'[1]Bilan 2050'!$T$46/11.63</f>
        <v>0</v>
      </c>
      <c r="P123" s="35">
        <f>SUM('[1]Bilan 2050'!$T$41:$T$43)/11.63</f>
        <v>2.6210382547955651</v>
      </c>
      <c r="Q123" s="35">
        <f>'[1]Bilan 2050'!$T$13/11.63</f>
        <v>0.47494021651696666</v>
      </c>
      <c r="R123" s="35">
        <f>('[1]Bilan 2050'!$T$22+'[1]Bilan 2050'!$T$30+SUM('[1]Bilan 2050'!$T$36:$T$40)+SUM('[1]Bilan 2050'!$T$44:$T$45)+'[1]Bilan 2050'!$T$47)/11.63</f>
        <v>0.5067259755592558</v>
      </c>
      <c r="S123" s="171">
        <f t="shared" si="27"/>
        <v>3.6027044468717877</v>
      </c>
      <c r="T123" s="245"/>
      <c r="U123" s="178" t="s">
        <v>25</v>
      </c>
      <c r="V123" t="s">
        <v>576</v>
      </c>
      <c r="W123" t="s">
        <v>577</v>
      </c>
      <c r="X123" t="s">
        <v>578</v>
      </c>
      <c r="Y123" t="s">
        <v>579</v>
      </c>
      <c r="Z123" s="19">
        <v>0</v>
      </c>
      <c r="AA123" s="19">
        <v>3.67832158</v>
      </c>
      <c r="AB123" s="19">
        <v>0.4782575114</v>
      </c>
      <c r="AC123" s="19">
        <v>0.5751172577</v>
      </c>
      <c r="AD123" s="120">
        <v>4.7316963490999999</v>
      </c>
    </row>
    <row r="124" spans="3:30" x14ac:dyDescent="0.25">
      <c r="C124" s="29" t="s">
        <v>26</v>
      </c>
      <c r="D124" s="10"/>
      <c r="E124" s="10"/>
      <c r="F124" s="10"/>
      <c r="G124" s="10"/>
      <c r="H124" s="9">
        <f>SUM(H115,H118:H120)</f>
        <v>3.0296643104000003</v>
      </c>
      <c r="I124" s="9">
        <f>SUM(I115,I118:I120)</f>
        <v>55.864818483999997</v>
      </c>
      <c r="J124" s="9">
        <f>SUM(J115,J118:J120)</f>
        <v>53.956340474000008</v>
      </c>
      <c r="K124" s="9">
        <f>SUM(K115,K118:K120)</f>
        <v>52.462532232356097</v>
      </c>
      <c r="L124" s="123">
        <f t="shared" si="26"/>
        <v>165.3133555007561</v>
      </c>
      <c r="M124" s="105"/>
      <c r="N124" s="180" t="s">
        <v>26</v>
      </c>
      <c r="O124" s="40">
        <f>O115+O118+O119+O120+O123</f>
        <v>3.7208173415817956</v>
      </c>
      <c r="P124" s="38">
        <f>P115+P118+P119+P120+P123</f>
        <v>34.070625819712902</v>
      </c>
      <c r="Q124" s="38">
        <f>Q115+Q118+Q119+Q120+Q123</f>
        <v>46.595631865886276</v>
      </c>
      <c r="R124" s="38">
        <f>R115+R118+R119+R120+R123</f>
        <v>43.910246102932639</v>
      </c>
      <c r="S124" s="173">
        <f t="shared" si="27"/>
        <v>128.2973211301136</v>
      </c>
      <c r="T124" s="105"/>
      <c r="U124" s="29" t="s">
        <v>26</v>
      </c>
      <c r="V124" s="10"/>
      <c r="W124" s="10"/>
      <c r="X124" s="10"/>
      <c r="Y124" s="10"/>
      <c r="Z124" s="9">
        <v>3.0721410636000002</v>
      </c>
      <c r="AA124" s="9">
        <v>55.884757733000001</v>
      </c>
      <c r="AB124" s="9">
        <v>54.255621094399999</v>
      </c>
      <c r="AC124" s="9">
        <v>52.755751781408293</v>
      </c>
      <c r="AD124" s="123">
        <v>165.96827167240829</v>
      </c>
    </row>
    <row r="125" spans="3:30" x14ac:dyDescent="0.25">
      <c r="C125" s="3"/>
      <c r="D125" s="3"/>
      <c r="E125" s="3"/>
      <c r="F125" s="3"/>
      <c r="G125" s="3"/>
      <c r="H125" s="3"/>
      <c r="I125" s="3"/>
      <c r="J125" s="3"/>
      <c r="K125" s="3"/>
      <c r="L125" s="69"/>
      <c r="M125" s="3"/>
      <c r="O125" s="103"/>
      <c r="P125" s="103"/>
      <c r="Q125" s="103"/>
      <c r="R125" s="104"/>
      <c r="S125" s="69"/>
      <c r="U125" s="3"/>
      <c r="V125" s="3"/>
      <c r="W125" s="3"/>
      <c r="X125" s="3"/>
      <c r="Y125" s="3"/>
      <c r="Z125" s="3"/>
      <c r="AA125" s="3"/>
      <c r="AB125" s="3"/>
      <c r="AC125" s="3"/>
      <c r="AD125" s="69"/>
    </row>
    <row r="126" spans="3:30" x14ac:dyDescent="0.25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O126" s="3"/>
      <c r="P126" s="3"/>
      <c r="Q126" s="3"/>
      <c r="R126" s="3"/>
      <c r="S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 spans="3:30" x14ac:dyDescent="0.25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O127" s="3"/>
      <c r="P127" s="3"/>
      <c r="Q127" s="3"/>
      <c r="R127" s="3"/>
      <c r="S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3:30" x14ac:dyDescent="0.25">
      <c r="C128" s="84" t="s">
        <v>222</v>
      </c>
      <c r="D128" s="3"/>
      <c r="E128" s="3"/>
      <c r="F128" s="3">
        <f>0.1/0.028*51.84</f>
        <v>185.14285714285717</v>
      </c>
      <c r="G128" s="3"/>
      <c r="H128" s="3"/>
      <c r="I128" s="3"/>
      <c r="J128" s="3"/>
      <c r="K128" s="3"/>
      <c r="L128" s="3"/>
      <c r="M128" s="3"/>
      <c r="N128" s="84" t="s">
        <v>223</v>
      </c>
      <c r="O128" s="3"/>
      <c r="P128" s="3"/>
      <c r="Q128" s="3"/>
      <c r="R128" s="3"/>
      <c r="S128" s="3"/>
      <c r="U128" s="84" t="s">
        <v>222</v>
      </c>
      <c r="V128" s="3"/>
      <c r="W128" s="3"/>
      <c r="X128" s="3">
        <v>185.14285714285717</v>
      </c>
      <c r="Y128" s="3"/>
      <c r="Z128" s="3"/>
      <c r="AA128" s="3"/>
      <c r="AB128" s="3"/>
      <c r="AC128" s="3"/>
      <c r="AD128" s="3"/>
    </row>
    <row r="129" spans="3:30" s="3" customFormat="1" ht="31.5" x14ac:dyDescent="0.35">
      <c r="C129" s="174">
        <v>2050</v>
      </c>
      <c r="D129" s="175"/>
      <c r="E129" s="175"/>
      <c r="F129" s="175"/>
      <c r="G129" s="175"/>
      <c r="H129" s="101" t="s">
        <v>36</v>
      </c>
      <c r="I129" s="101" t="s">
        <v>131</v>
      </c>
      <c r="J129" s="101" t="s">
        <v>38</v>
      </c>
      <c r="K129" s="101" t="s">
        <v>130</v>
      </c>
      <c r="L129" s="118" t="s">
        <v>1</v>
      </c>
      <c r="N129" s="174">
        <v>2050</v>
      </c>
      <c r="O129" s="170" t="s">
        <v>36</v>
      </c>
      <c r="P129" s="101" t="s">
        <v>131</v>
      </c>
      <c r="Q129" s="101" t="s">
        <v>38</v>
      </c>
      <c r="R129" s="101" t="s">
        <v>130</v>
      </c>
      <c r="S129" s="118" t="s">
        <v>1</v>
      </c>
      <c r="U129" s="174">
        <v>2050</v>
      </c>
      <c r="V129" s="175"/>
      <c r="W129" s="175"/>
      <c r="X129" s="175"/>
      <c r="Y129" s="175"/>
      <c r="Z129" s="101" t="s">
        <v>36</v>
      </c>
      <c r="AA129" s="101" t="s">
        <v>131</v>
      </c>
      <c r="AB129" s="101" t="s">
        <v>38</v>
      </c>
      <c r="AC129" s="101" t="s">
        <v>130</v>
      </c>
      <c r="AD129" s="118" t="s">
        <v>1</v>
      </c>
    </row>
    <row r="130" spans="3:30" s="3" customFormat="1" x14ac:dyDescent="0.25">
      <c r="C130" s="248" t="s">
        <v>18</v>
      </c>
      <c r="D130" s="249"/>
      <c r="E130" s="249"/>
      <c r="F130" s="249"/>
      <c r="G130" s="249"/>
      <c r="H130" s="250" t="e">
        <f>H115-#REF!</f>
        <v>#REF!</v>
      </c>
      <c r="I130" s="251" t="e">
        <f>I115-#REF!</f>
        <v>#REF!</v>
      </c>
      <c r="J130" s="251" t="e">
        <f>J115-#REF!</f>
        <v>#REF!</v>
      </c>
      <c r="K130" s="251" t="e">
        <f>K115-#REF!</f>
        <v>#REF!</v>
      </c>
      <c r="L130" s="252" t="e">
        <f>L115-#REF!</f>
        <v>#REF!</v>
      </c>
      <c r="N130" s="248" t="s">
        <v>18</v>
      </c>
      <c r="O130" s="250">
        <f>H115-O115</f>
        <v>0</v>
      </c>
      <c r="P130" s="251">
        <f t="shared" ref="P130:S139" si="29">I115-P115</f>
        <v>10.845120783383674</v>
      </c>
      <c r="Q130" s="251">
        <f t="shared" si="29"/>
        <v>-0.86410258678046503</v>
      </c>
      <c r="R130" s="251">
        <f t="shared" si="29"/>
        <v>0.7514606255858034</v>
      </c>
      <c r="S130" s="252">
        <f t="shared" si="29"/>
        <v>10.732478822189012</v>
      </c>
      <c r="U130" s="248" t="s">
        <v>18</v>
      </c>
      <c r="V130" s="249"/>
      <c r="W130" s="249"/>
      <c r="X130" s="249"/>
      <c r="Y130" s="249"/>
      <c r="Z130" s="250" t="e">
        <v>#REF!</v>
      </c>
      <c r="AA130" s="251" t="e">
        <v>#REF!</v>
      </c>
      <c r="AB130" s="251" t="e">
        <v>#REF!</v>
      </c>
      <c r="AC130" s="251" t="e">
        <v>#REF!</v>
      </c>
      <c r="AD130" s="252" t="e">
        <v>#REF!</v>
      </c>
    </row>
    <row r="131" spans="3:30" s="3" customFormat="1" x14ac:dyDescent="0.25">
      <c r="C131" s="177" t="s">
        <v>19</v>
      </c>
      <c r="D131" t="s">
        <v>224</v>
      </c>
      <c r="E131" t="s">
        <v>225</v>
      </c>
      <c r="F131" t="s">
        <v>226</v>
      </c>
      <c r="G131" t="s">
        <v>227</v>
      </c>
      <c r="H131" s="253" t="e">
        <f>H116-#REF!</f>
        <v>#REF!</v>
      </c>
      <c r="I131" s="55" t="e">
        <f>I116-#REF!</f>
        <v>#REF!</v>
      </c>
      <c r="J131" s="55" t="e">
        <f>J116-#REF!</f>
        <v>#REF!</v>
      </c>
      <c r="K131" s="55" t="e">
        <f>K116-#REF!</f>
        <v>#REF!</v>
      </c>
      <c r="L131" s="254" t="e">
        <f>L116-#REF!</f>
        <v>#REF!</v>
      </c>
      <c r="N131" s="177" t="s">
        <v>19</v>
      </c>
      <c r="O131" s="253">
        <f t="shared" ref="O131:O139" si="30">H116-O116</f>
        <v>0</v>
      </c>
      <c r="P131" s="55">
        <f t="shared" si="29"/>
        <v>10.977226119999999</v>
      </c>
      <c r="Q131" s="55">
        <f t="shared" si="29"/>
        <v>3.166398386</v>
      </c>
      <c r="R131" s="55">
        <f t="shared" si="29"/>
        <v>4.7412056099999997E-5</v>
      </c>
      <c r="S131" s="254">
        <f t="shared" si="29"/>
        <v>14.143671918056098</v>
      </c>
      <c r="U131" s="177" t="s">
        <v>19</v>
      </c>
      <c r="V131" t="s">
        <v>224</v>
      </c>
      <c r="W131" t="s">
        <v>225</v>
      </c>
      <c r="X131" t="s">
        <v>226</v>
      </c>
      <c r="Y131" t="s">
        <v>227</v>
      </c>
      <c r="Z131" s="253" t="e">
        <v>#REF!</v>
      </c>
      <c r="AA131" s="55" t="e">
        <v>#REF!</v>
      </c>
      <c r="AB131" s="55" t="e">
        <v>#REF!</v>
      </c>
      <c r="AC131" s="55" t="e">
        <v>#REF!</v>
      </c>
      <c r="AD131" s="254" t="e">
        <v>#REF!</v>
      </c>
    </row>
    <row r="132" spans="3:30" s="3" customFormat="1" x14ac:dyDescent="0.25">
      <c r="C132" s="178" t="s">
        <v>20</v>
      </c>
      <c r="D132" t="s">
        <v>228</v>
      </c>
      <c r="E132" t="s">
        <v>229</v>
      </c>
      <c r="F132" t="s">
        <v>230</v>
      </c>
      <c r="G132" t="s">
        <v>231</v>
      </c>
      <c r="H132" s="253" t="e">
        <f>H117-#REF!</f>
        <v>#REF!</v>
      </c>
      <c r="I132" s="55" t="e">
        <f>I117-#REF!</f>
        <v>#REF!</v>
      </c>
      <c r="J132" s="55" t="e">
        <f>J117-#REF!</f>
        <v>#REF!</v>
      </c>
      <c r="K132" s="55" t="e">
        <f>K117-#REF!</f>
        <v>#REF!</v>
      </c>
      <c r="L132" s="254" t="e">
        <f>L117-#REF!</f>
        <v>#REF!</v>
      </c>
      <c r="N132" s="178" t="s">
        <v>20</v>
      </c>
      <c r="O132" s="253">
        <f t="shared" si="30"/>
        <v>0</v>
      </c>
      <c r="P132" s="55">
        <f t="shared" si="29"/>
        <v>20.312584780000002</v>
      </c>
      <c r="Q132" s="55">
        <f t="shared" si="29"/>
        <v>2.9187054140000002</v>
      </c>
      <c r="R132" s="55">
        <f t="shared" si="29"/>
        <v>3.8755072840000002</v>
      </c>
      <c r="S132" s="254">
        <f t="shared" si="29"/>
        <v>27.106797478000004</v>
      </c>
      <c r="U132" s="178" t="s">
        <v>20</v>
      </c>
      <c r="V132" t="s">
        <v>228</v>
      </c>
      <c r="W132" t="s">
        <v>229</v>
      </c>
      <c r="X132" t="s">
        <v>230</v>
      </c>
      <c r="Y132" t="s">
        <v>231</v>
      </c>
      <c r="Z132" s="253" t="e">
        <v>#REF!</v>
      </c>
      <c r="AA132" s="55" t="e">
        <v>#REF!</v>
      </c>
      <c r="AB132" s="55" t="e">
        <v>#REF!</v>
      </c>
      <c r="AC132" s="55" t="e">
        <v>#REF!</v>
      </c>
      <c r="AD132" s="254" t="e">
        <v>#REF!</v>
      </c>
    </row>
    <row r="133" spans="3:30" s="3" customFormat="1" x14ac:dyDescent="0.25">
      <c r="C133" s="248" t="s">
        <v>21</v>
      </c>
      <c r="D133" s="249" t="s">
        <v>232</v>
      </c>
      <c r="E133" s="249" t="s">
        <v>233</v>
      </c>
      <c r="F133" s="249" t="s">
        <v>234</v>
      </c>
      <c r="G133" s="249" t="s">
        <v>235</v>
      </c>
      <c r="H133" s="255" t="e">
        <f>H118-#REF!</f>
        <v>#REF!</v>
      </c>
      <c r="I133" s="251" t="e">
        <f>I118-#REF!</f>
        <v>#REF!</v>
      </c>
      <c r="J133" s="251" t="e">
        <f>J118-#REF!</f>
        <v>#REF!</v>
      </c>
      <c r="K133" s="251" t="e">
        <f>K118-#REF!</f>
        <v>#REF!</v>
      </c>
      <c r="L133" s="252" t="e">
        <f>L118-#REF!</f>
        <v>#REF!</v>
      </c>
      <c r="N133" s="248" t="s">
        <v>21</v>
      </c>
      <c r="O133" s="255">
        <f t="shared" si="30"/>
        <v>0.22657439030000001</v>
      </c>
      <c r="P133" s="251">
        <f t="shared" si="29"/>
        <v>4.7033876649905517</v>
      </c>
      <c r="Q133" s="251">
        <f t="shared" si="29"/>
        <v>1.6400403937054833</v>
      </c>
      <c r="R133" s="251">
        <f t="shared" si="29"/>
        <v>-1.8236529587072035</v>
      </c>
      <c r="S133" s="252">
        <f t="shared" si="29"/>
        <v>4.7463494902888215</v>
      </c>
      <c r="U133" s="248" t="s">
        <v>21</v>
      </c>
      <c r="V133" s="249" t="s">
        <v>232</v>
      </c>
      <c r="W133" s="249" t="s">
        <v>233</v>
      </c>
      <c r="X133" s="249" t="s">
        <v>234</v>
      </c>
      <c r="Y133" s="249" t="s">
        <v>235</v>
      </c>
      <c r="Z133" s="255" t="e">
        <v>#REF!</v>
      </c>
      <c r="AA133" s="251" t="e">
        <v>#REF!</v>
      </c>
      <c r="AB133" s="251" t="e">
        <v>#REF!</v>
      </c>
      <c r="AC133" s="251" t="e">
        <v>#REF!</v>
      </c>
      <c r="AD133" s="252" t="e">
        <v>#REF!</v>
      </c>
    </row>
    <row r="134" spans="3:30" s="3" customFormat="1" x14ac:dyDescent="0.25">
      <c r="C134" s="248" t="s">
        <v>22</v>
      </c>
      <c r="D134" s="249" t="s">
        <v>236</v>
      </c>
      <c r="E134" s="249" t="s">
        <v>237</v>
      </c>
      <c r="F134" s="249" t="s">
        <v>238</v>
      </c>
      <c r="G134" s="249" t="s">
        <v>239</v>
      </c>
      <c r="H134" s="255" t="e">
        <f>H119-#REF!</f>
        <v>#REF!</v>
      </c>
      <c r="I134" s="251" t="e">
        <f>I119-#REF!</f>
        <v>#REF!</v>
      </c>
      <c r="J134" s="251" t="e">
        <f>J119-#REF!</f>
        <v>#REF!</v>
      </c>
      <c r="K134" s="251" t="e">
        <f>K119-#REF!</f>
        <v>#REF!</v>
      </c>
      <c r="L134" s="252" t="e">
        <f>L119-#REF!</f>
        <v>#REF!</v>
      </c>
      <c r="N134" s="248" t="s">
        <v>22</v>
      </c>
      <c r="O134" s="255">
        <f t="shared" si="30"/>
        <v>0</v>
      </c>
      <c r="P134" s="251">
        <f t="shared" si="29"/>
        <v>1.7240950179764332</v>
      </c>
      <c r="Q134" s="251">
        <f t="shared" si="29"/>
        <v>0.28335715572479536</v>
      </c>
      <c r="R134" s="251">
        <f t="shared" si="29"/>
        <v>0.67213824901848618</v>
      </c>
      <c r="S134" s="252">
        <f t="shared" si="29"/>
        <v>2.6795904227197127</v>
      </c>
      <c r="U134" s="248" t="s">
        <v>22</v>
      </c>
      <c r="V134" s="249" t="s">
        <v>236</v>
      </c>
      <c r="W134" s="249" t="s">
        <v>237</v>
      </c>
      <c r="X134" s="249" t="s">
        <v>238</v>
      </c>
      <c r="Y134" s="249" t="s">
        <v>239</v>
      </c>
      <c r="Z134" s="255" t="e">
        <v>#REF!</v>
      </c>
      <c r="AA134" s="251" t="e">
        <v>#REF!</v>
      </c>
      <c r="AB134" s="251" t="e">
        <v>#REF!</v>
      </c>
      <c r="AC134" s="251" t="e">
        <v>#REF!</v>
      </c>
      <c r="AD134" s="252" t="e">
        <v>#REF!</v>
      </c>
    </row>
    <row r="135" spans="3:30" s="3" customFormat="1" x14ac:dyDescent="0.25">
      <c r="C135" s="248" t="s">
        <v>23</v>
      </c>
      <c r="D135" s="249"/>
      <c r="E135" s="249"/>
      <c r="F135" s="249"/>
      <c r="G135" s="249"/>
      <c r="H135" s="255" t="e">
        <f>H120-#REF!</f>
        <v>#REF!</v>
      </c>
      <c r="I135" s="251" t="e">
        <f>I120-#REF!</f>
        <v>#REF!</v>
      </c>
      <c r="J135" s="251" t="e">
        <f>J120-#REF!</f>
        <v>#REF!</v>
      </c>
      <c r="K135" s="251" t="e">
        <f>K120-#REF!</f>
        <v>#REF!</v>
      </c>
      <c r="L135" s="252" t="e">
        <f>L120-#REF!</f>
        <v>#REF!</v>
      </c>
      <c r="N135" s="248" t="s">
        <v>23</v>
      </c>
      <c r="O135" s="255">
        <f t="shared" si="30"/>
        <v>-0.91772742148179542</v>
      </c>
      <c r="P135" s="251">
        <f t="shared" si="29"/>
        <v>7.1426274527320075</v>
      </c>
      <c r="Q135" s="251">
        <f t="shared" si="29"/>
        <v>6.7763538619808852</v>
      </c>
      <c r="R135" s="251">
        <f t="shared" si="29"/>
        <v>9.459066189085636</v>
      </c>
      <c r="S135" s="252">
        <f t="shared" si="29"/>
        <v>22.460320082316741</v>
      </c>
      <c r="U135" s="248" t="s">
        <v>23</v>
      </c>
      <c r="V135" s="249"/>
      <c r="W135" s="249"/>
      <c r="X135" s="249"/>
      <c r="Y135" s="249"/>
      <c r="Z135" s="255" t="e">
        <v>#REF!</v>
      </c>
      <c r="AA135" s="251" t="e">
        <v>#REF!</v>
      </c>
      <c r="AB135" s="251" t="e">
        <v>#REF!</v>
      </c>
      <c r="AC135" s="251" t="e">
        <v>#REF!</v>
      </c>
      <c r="AD135" s="252" t="e">
        <v>#REF!</v>
      </c>
    </row>
    <row r="136" spans="3:30" s="3" customFormat="1" x14ac:dyDescent="0.25">
      <c r="C136" s="178" t="s">
        <v>24</v>
      </c>
      <c r="D136" t="s">
        <v>240</v>
      </c>
      <c r="E136" t="s">
        <v>241</v>
      </c>
      <c r="F136" t="s">
        <v>242</v>
      </c>
      <c r="G136" t="s">
        <v>243</v>
      </c>
      <c r="H136" s="253" t="e">
        <f>H121-#REF!</f>
        <v>#REF!</v>
      </c>
      <c r="I136" s="256" t="e">
        <f>I121-#REF!</f>
        <v>#REF!</v>
      </c>
      <c r="J136" s="256" t="e">
        <f>J121-#REF!</f>
        <v>#REF!</v>
      </c>
      <c r="K136" s="256" t="e">
        <f>K121-#REF!</f>
        <v>#REF!</v>
      </c>
      <c r="L136" s="254" t="e">
        <f>L121-#REF!</f>
        <v>#REF!</v>
      </c>
      <c r="N136" s="178" t="s">
        <v>24</v>
      </c>
      <c r="O136" s="253">
        <f t="shared" si="30"/>
        <v>1.4941150647771897</v>
      </c>
      <c r="P136" s="256">
        <f t="shared" si="29"/>
        <v>9.1553745654876337</v>
      </c>
      <c r="Q136" s="256">
        <f t="shared" si="29"/>
        <v>6.2987944079808837</v>
      </c>
      <c r="R136" s="256">
        <f t="shared" si="29"/>
        <v>7.1355728974838417</v>
      </c>
      <c r="S136" s="254">
        <f t="shared" si="29"/>
        <v>24.08385693572955</v>
      </c>
      <c r="U136" s="178" t="s">
        <v>24</v>
      </c>
      <c r="V136" t="s">
        <v>240</v>
      </c>
      <c r="W136" t="s">
        <v>241</v>
      </c>
      <c r="X136" t="s">
        <v>242</v>
      </c>
      <c r="Y136" t="s">
        <v>243</v>
      </c>
      <c r="Z136" s="253" t="e">
        <v>#REF!</v>
      </c>
      <c r="AA136" s="256" t="e">
        <v>#REF!</v>
      </c>
      <c r="AB136" s="256" t="e">
        <v>#REF!</v>
      </c>
      <c r="AC136" s="256" t="e">
        <v>#REF!</v>
      </c>
      <c r="AD136" s="254" t="e">
        <v>#REF!</v>
      </c>
    </row>
    <row r="137" spans="3:30" s="3" customFormat="1" x14ac:dyDescent="0.25">
      <c r="C137" s="178" t="s">
        <v>129</v>
      </c>
      <c r="D137" t="s">
        <v>244</v>
      </c>
      <c r="E137" t="s">
        <v>245</v>
      </c>
      <c r="F137" t="s">
        <v>246</v>
      </c>
      <c r="G137" t="s">
        <v>247</v>
      </c>
      <c r="H137" s="257" t="e">
        <f>H122-#REF!</f>
        <v>#REF!</v>
      </c>
      <c r="I137" s="55" t="e">
        <f>I122-#REF!</f>
        <v>#REF!</v>
      </c>
      <c r="J137" s="55" t="e">
        <f>J122-#REF!</f>
        <v>#REF!</v>
      </c>
      <c r="K137" s="55" t="e">
        <f>K122-#REF!</f>
        <v>#REF!</v>
      </c>
      <c r="L137" s="254" t="e">
        <f>L122-#REF!</f>
        <v>#REF!</v>
      </c>
      <c r="N137" s="178" t="s">
        <v>129</v>
      </c>
      <c r="O137" s="257">
        <f t="shared" si="30"/>
        <v>-2.4118424862589851</v>
      </c>
      <c r="P137" s="55">
        <f t="shared" si="29"/>
        <v>-5.6934341477556245</v>
      </c>
      <c r="Q137" s="55">
        <f t="shared" si="29"/>
        <v>0</v>
      </c>
      <c r="R137" s="55">
        <f t="shared" si="29"/>
        <v>1.7505538733017962</v>
      </c>
      <c r="S137" s="254">
        <f t="shared" si="29"/>
        <v>-6.3547227607128152</v>
      </c>
      <c r="U137" s="178" t="s">
        <v>129</v>
      </c>
      <c r="V137" t="s">
        <v>244</v>
      </c>
      <c r="W137" t="s">
        <v>245</v>
      </c>
      <c r="X137" t="s">
        <v>246</v>
      </c>
      <c r="Y137" t="s">
        <v>247</v>
      </c>
      <c r="Z137" s="257" t="e">
        <v>#REF!</v>
      </c>
      <c r="AA137" s="55" t="e">
        <v>#REF!</v>
      </c>
      <c r="AB137" s="55" t="e">
        <v>#REF!</v>
      </c>
      <c r="AC137" s="55" t="e">
        <v>#REF!</v>
      </c>
      <c r="AD137" s="254" t="e">
        <v>#REF!</v>
      </c>
    </row>
    <row r="138" spans="3:30" s="3" customFormat="1" x14ac:dyDescent="0.25">
      <c r="C138" s="178" t="s">
        <v>25</v>
      </c>
      <c r="D138" t="s">
        <v>248</v>
      </c>
      <c r="E138" t="s">
        <v>249</v>
      </c>
      <c r="F138" t="s">
        <v>250</v>
      </c>
      <c r="G138" t="s">
        <v>251</v>
      </c>
      <c r="H138" s="253" t="e">
        <f>H123-#REF!</f>
        <v>#REF!</v>
      </c>
      <c r="I138" s="256" t="e">
        <f>I123-#REF!</f>
        <v>#REF!</v>
      </c>
      <c r="J138" s="256" t="e">
        <f>J123-#REF!</f>
        <v>#REF!</v>
      </c>
      <c r="K138" s="256" t="e">
        <f>K123-#REF!</f>
        <v>#REF!</v>
      </c>
      <c r="L138" s="254" t="e">
        <f>L123-#REF!</f>
        <v>#REF!</v>
      </c>
      <c r="N138" s="178" t="s">
        <v>25</v>
      </c>
      <c r="O138" s="253">
        <f t="shared" si="30"/>
        <v>0</v>
      </c>
      <c r="P138" s="256">
        <f t="shared" si="29"/>
        <v>1.059648780204435</v>
      </c>
      <c r="Q138" s="256">
        <f t="shared" si="29"/>
        <v>2.619237483033332E-3</v>
      </c>
      <c r="R138" s="256">
        <f t="shared" si="29"/>
        <v>6.6213442740744144E-2</v>
      </c>
      <c r="S138" s="254">
        <f t="shared" si="29"/>
        <v>1.1284814604282118</v>
      </c>
      <c r="U138" s="178" t="s">
        <v>25</v>
      </c>
      <c r="V138" t="s">
        <v>248</v>
      </c>
      <c r="W138" t="s">
        <v>249</v>
      </c>
      <c r="X138" t="s">
        <v>250</v>
      </c>
      <c r="Y138" t="s">
        <v>251</v>
      </c>
      <c r="Z138" s="253" t="e">
        <v>#REF!</v>
      </c>
      <c r="AA138" s="256" t="e">
        <v>#REF!</v>
      </c>
      <c r="AB138" s="256" t="e">
        <v>#REF!</v>
      </c>
      <c r="AC138" s="256" t="e">
        <v>#REF!</v>
      </c>
      <c r="AD138" s="254" t="e">
        <v>#REF!</v>
      </c>
    </row>
    <row r="139" spans="3:30" s="3" customFormat="1" x14ac:dyDescent="0.25">
      <c r="C139" s="258" t="s">
        <v>26</v>
      </c>
      <c r="D139" s="259"/>
      <c r="E139" s="259"/>
      <c r="F139" s="259"/>
      <c r="G139" s="259"/>
      <c r="H139" s="260" t="e">
        <f>H124-#REF!</f>
        <v>#REF!</v>
      </c>
      <c r="I139" s="261" t="e">
        <f>I124-#REF!</f>
        <v>#REF!</v>
      </c>
      <c r="J139" s="261" t="e">
        <f>J124-#REF!</f>
        <v>#REF!</v>
      </c>
      <c r="K139" s="261" t="e">
        <f>K124-#REF!</f>
        <v>#REF!</v>
      </c>
      <c r="L139" s="262" t="e">
        <f>L124-#REF!</f>
        <v>#REF!</v>
      </c>
      <c r="N139" s="258" t="s">
        <v>26</v>
      </c>
      <c r="O139" s="260">
        <f t="shared" si="30"/>
        <v>-0.69115303118179527</v>
      </c>
      <c r="P139" s="261">
        <f t="shared" si="29"/>
        <v>21.794192664287095</v>
      </c>
      <c r="Q139" s="261">
        <f t="shared" si="29"/>
        <v>7.3607086081137325</v>
      </c>
      <c r="R139" s="261">
        <f t="shared" si="29"/>
        <v>8.5522861294234573</v>
      </c>
      <c r="S139" s="262">
        <f t="shared" si="29"/>
        <v>37.016034370642501</v>
      </c>
      <c r="U139" s="258" t="s">
        <v>26</v>
      </c>
      <c r="V139" s="259"/>
      <c r="W139" s="259"/>
      <c r="X139" s="259"/>
      <c r="Y139" s="259"/>
      <c r="Z139" s="260" t="e">
        <v>#REF!</v>
      </c>
      <c r="AA139" s="261" t="e">
        <v>#REF!</v>
      </c>
      <c r="AB139" s="261" t="e">
        <v>#REF!</v>
      </c>
      <c r="AC139" s="261" t="e">
        <v>#REF!</v>
      </c>
      <c r="AD139" s="262" t="e">
        <v>#REF!</v>
      </c>
    </row>
    <row r="140" spans="3:30" s="3" customFormat="1" x14ac:dyDescent="0.25"/>
    <row r="141" spans="3:30" s="3" customFormat="1" x14ac:dyDescent="0.25"/>
    <row r="142" spans="3:30" s="3" customFormat="1" x14ac:dyDescent="0.25"/>
    <row r="143" spans="3:30" s="3" customFormat="1" x14ac:dyDescent="0.25"/>
    <row r="144" spans="3:30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70C0"/>
  </sheetPr>
  <dimension ref="A1:AB121"/>
  <sheetViews>
    <sheetView topLeftCell="A40" workbookViewId="0">
      <selection activeCell="E22" sqref="E22"/>
    </sheetView>
  </sheetViews>
  <sheetFormatPr baseColWidth="10" defaultRowHeight="15" x14ac:dyDescent="0.25"/>
  <cols>
    <col min="1" max="1" width="29.85546875" customWidth="1"/>
    <col min="5" max="6" width="11.42578125" customWidth="1"/>
    <col min="9" max="9" width="13.140625" customWidth="1"/>
    <col min="13" max="13" width="11.42578125" customWidth="1"/>
    <col min="16" max="16" width="13.42578125" customWidth="1"/>
    <col min="20" max="20" width="11.42578125" customWidth="1"/>
  </cols>
  <sheetData>
    <row r="1" spans="1:28" ht="23.25" x14ac:dyDescent="0.35">
      <c r="A1" s="1" t="s">
        <v>204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8" ht="18.75" x14ac:dyDescent="0.3">
      <c r="A2" s="65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65"/>
      <c r="S2" s="3"/>
      <c r="T2" s="3"/>
      <c r="U2" s="3"/>
      <c r="V2" s="69"/>
      <c r="W2" s="69"/>
      <c r="X2" s="3"/>
      <c r="Y2" s="3"/>
    </row>
    <row r="3" spans="1:28" ht="23.25" x14ac:dyDescent="0.35">
      <c r="A3" s="194" t="str">
        <f>Résultats!B1</f>
        <v>TEND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65"/>
      <c r="S3" s="3"/>
      <c r="T3" s="3"/>
      <c r="U3" s="3"/>
      <c r="V3" s="69"/>
      <c r="W3" s="69"/>
      <c r="X3" s="3"/>
      <c r="Y3" s="3"/>
    </row>
    <row r="4" spans="1:28" x14ac:dyDescent="0.25">
      <c r="A4" s="3"/>
      <c r="B4" s="67"/>
      <c r="C4" s="67"/>
      <c r="D4" s="67"/>
      <c r="E4" s="67"/>
      <c r="F4" s="68"/>
      <c r="G4" s="3"/>
      <c r="H4" s="3"/>
      <c r="I4" s="3"/>
      <c r="J4" s="43"/>
      <c r="K4" s="43"/>
      <c r="L4" s="43"/>
      <c r="M4" s="43"/>
      <c r="O4" s="12"/>
      <c r="Q4" s="43"/>
      <c r="R4" s="43"/>
      <c r="S4" s="43"/>
      <c r="T4" s="43"/>
      <c r="X4" s="43"/>
      <c r="Y4" s="43"/>
      <c r="Z4" s="43"/>
      <c r="AA4" s="43"/>
    </row>
    <row r="5" spans="1:28" ht="21" x14ac:dyDescent="0.35">
      <c r="A5" s="174">
        <v>2015</v>
      </c>
      <c r="B5" s="4" t="s">
        <v>36</v>
      </c>
      <c r="C5" s="4" t="s">
        <v>37</v>
      </c>
      <c r="D5" s="4" t="s">
        <v>38</v>
      </c>
      <c r="E5" s="4" t="s">
        <v>39</v>
      </c>
      <c r="F5" s="4" t="s">
        <v>40</v>
      </c>
      <c r="G5" s="118" t="s">
        <v>1</v>
      </c>
      <c r="H5" s="3"/>
      <c r="I5" s="25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</row>
    <row r="6" spans="1:28" x14ac:dyDescent="0.25">
      <c r="A6" s="195" t="s">
        <v>18</v>
      </c>
      <c r="B6" s="57">
        <f>B7+B8</f>
        <v>0</v>
      </c>
      <c r="C6" s="57">
        <f>C7+C8</f>
        <v>130.5135671240229</v>
      </c>
      <c r="D6" s="57">
        <f>D7+D8</f>
        <v>0.59845421917844055</v>
      </c>
      <c r="E6" s="57">
        <f>E7+E8</f>
        <v>0.4093669261175617</v>
      </c>
      <c r="F6" s="57">
        <f>F7+F8</f>
        <v>0</v>
      </c>
      <c r="G6" s="196">
        <f t="shared" ref="G6:G15" si="0">SUM(B6:F6)</f>
        <v>131.52138826931892</v>
      </c>
      <c r="H6" s="3"/>
      <c r="I6" s="203"/>
      <c r="J6" s="51"/>
      <c r="K6" s="51" t="s">
        <v>207</v>
      </c>
      <c r="L6" s="51"/>
      <c r="M6" s="51"/>
      <c r="N6" s="53"/>
      <c r="O6" s="54"/>
      <c r="P6" s="54"/>
      <c r="Q6" s="54"/>
      <c r="R6" s="54"/>
      <c r="S6" s="54"/>
      <c r="T6" s="46"/>
      <c r="U6" s="53"/>
      <c r="V6" s="24"/>
      <c r="W6" s="45"/>
      <c r="X6" s="52"/>
      <c r="Y6" s="52"/>
      <c r="Z6" s="52"/>
      <c r="AA6" s="52"/>
      <c r="AB6" s="52"/>
    </row>
    <row r="7" spans="1:28" x14ac:dyDescent="0.25">
      <c r="A7" s="177" t="s">
        <v>19</v>
      </c>
      <c r="B7" s="19">
        <v>0</v>
      </c>
      <c r="C7" s="19">
        <f>'T energie usages'!I12*3.2*Résultats!L250</f>
        <v>75.026645007822907</v>
      </c>
      <c r="D7" s="19">
        <f>'T energie usages'!J12/'T energie usages'!J$20*(Résultats!N$159+Résultats!N$60+Résultats!N$161)/1000000</f>
        <v>7.472714016724836E-3</v>
      </c>
      <c r="E7" s="19">
        <f>'T energie usages'!K12*2.394*Résultats!L251</f>
        <v>1.7673527561718047E-5</v>
      </c>
      <c r="F7" s="19">
        <v>0</v>
      </c>
      <c r="G7" s="120">
        <f t="shared" si="0"/>
        <v>75.034135395367201</v>
      </c>
      <c r="H7" s="3"/>
      <c r="I7" s="203"/>
      <c r="J7" s="51"/>
      <c r="K7" s="208"/>
      <c r="L7" s="209">
        <v>2020</v>
      </c>
      <c r="M7" s="209">
        <v>2030</v>
      </c>
      <c r="N7" s="210">
        <v>2050</v>
      </c>
      <c r="O7" s="54"/>
      <c r="P7" s="54"/>
      <c r="Q7" s="54"/>
      <c r="R7" s="54"/>
      <c r="S7" s="54"/>
      <c r="T7" s="46"/>
      <c r="U7" s="53"/>
      <c r="V7" s="24"/>
      <c r="W7" s="41"/>
      <c r="X7" s="52"/>
      <c r="Y7" s="52"/>
      <c r="Z7" s="52"/>
      <c r="AA7" s="52"/>
      <c r="AB7" s="52"/>
    </row>
    <row r="8" spans="1:28" x14ac:dyDescent="0.25">
      <c r="A8" s="178" t="s">
        <v>20</v>
      </c>
      <c r="B8" s="19">
        <v>0</v>
      </c>
      <c r="C8" s="19">
        <f>(Résultats!N$150+Résultats!N$151+Résultats!N$152+Résultats!N$153+Résultats!N$154)/1000000</f>
        <v>55.486922116199992</v>
      </c>
      <c r="D8" s="19">
        <f>'T energie usages'!J13/'T energie usages'!J$20*(Résultats!N$159+Résultats!N$160+Résultats!N$161)/1000000</f>
        <v>0.59098150516171566</v>
      </c>
      <c r="E8" s="19">
        <f>(Résultats!N$176+Résultats!N$177+Résultats!N$178+Résultats!N$179+Résultats!N$180)/1000000</f>
        <v>0.40934925258999999</v>
      </c>
      <c r="F8" s="19">
        <v>0</v>
      </c>
      <c r="G8" s="120">
        <f t="shared" si="0"/>
        <v>56.487252873951704</v>
      </c>
      <c r="H8" s="3"/>
      <c r="I8" s="203"/>
      <c r="J8" s="51"/>
      <c r="K8" s="211" t="s">
        <v>18</v>
      </c>
      <c r="L8" s="24">
        <f>G19</f>
        <v>128.05956760481084</v>
      </c>
      <c r="M8" s="24">
        <f>G45</f>
        <v>117.69461974867065</v>
      </c>
      <c r="N8" s="214">
        <f>G71</f>
        <v>97.702171498400304</v>
      </c>
      <c r="O8" s="54"/>
      <c r="P8" s="54"/>
      <c r="Q8" s="54"/>
      <c r="R8" s="54"/>
      <c r="S8" s="54"/>
      <c r="T8" s="46"/>
      <c r="U8" s="53"/>
      <c r="V8" s="24"/>
      <c r="W8" s="41"/>
      <c r="X8" s="52"/>
      <c r="Y8" s="52"/>
      <c r="Z8" s="52"/>
      <c r="AA8" s="52"/>
      <c r="AB8" s="52"/>
    </row>
    <row r="9" spans="1:28" x14ac:dyDescent="0.25">
      <c r="A9" s="195" t="s">
        <v>21</v>
      </c>
      <c r="B9" s="57">
        <f>Résultats!N$102/1000000</f>
        <v>1.033372403</v>
      </c>
      <c r="C9" s="57">
        <f>'T energie usages'!I14*3.2*Résultats!L250</f>
        <v>22.177323285380812</v>
      </c>
      <c r="D9" s="57">
        <f>'T energie usages'!J14/'T energie usages'!J$20*(Résultats!N$159+Résultats!N$160+Résultats!N$161)/1000000</f>
        <v>6.8591689412552741</v>
      </c>
      <c r="E9" s="57">
        <f>('T energie usages'!K14-5)*2.394*Résultats!L251</f>
        <v>33.806501756583991</v>
      </c>
      <c r="F9" s="57">
        <v>0</v>
      </c>
      <c r="G9" s="196">
        <f t="shared" si="0"/>
        <v>63.876366386220077</v>
      </c>
      <c r="H9" s="3"/>
      <c r="I9" s="203"/>
      <c r="J9" s="51"/>
      <c r="K9" s="211" t="s">
        <v>205</v>
      </c>
      <c r="L9" s="24">
        <f>G22</f>
        <v>53.865620919853328</v>
      </c>
      <c r="M9" s="24">
        <f>G48</f>
        <v>42.17541259343929</v>
      </c>
      <c r="N9" s="214">
        <f>G74</f>
        <v>43.832727154027943</v>
      </c>
      <c r="O9" s="54"/>
      <c r="P9" s="54"/>
      <c r="Q9" s="54"/>
      <c r="R9" s="54"/>
      <c r="S9" s="54"/>
      <c r="T9" s="46"/>
      <c r="U9" s="53"/>
      <c r="V9" s="24"/>
      <c r="W9" s="45"/>
      <c r="X9" s="52"/>
      <c r="Y9" s="52"/>
      <c r="Z9" s="52"/>
      <c r="AA9" s="52"/>
      <c r="AB9" s="52"/>
    </row>
    <row r="10" spans="1:28" x14ac:dyDescent="0.25">
      <c r="A10" s="195" t="s">
        <v>22</v>
      </c>
      <c r="B10" s="57">
        <f>(Résultats!N$135+Résultats!N$136)/1000000</f>
        <v>0</v>
      </c>
      <c r="C10" s="57">
        <f>(Résultats!N$155+Résultats!N$156)/1000000</f>
        <v>12.179231891799999</v>
      </c>
      <c r="D10" s="57">
        <f>'T energie usages'!J15/'T energie usages'!J$20*(Résultats!N$159+Résultats!N$160+Résultats!N$161)/1000000</f>
        <v>6.4939794552575636</v>
      </c>
      <c r="E10" s="57">
        <f>(Résultats!N$181+Résultats!N$182)/1000000</f>
        <v>18.661455416000003</v>
      </c>
      <c r="F10" s="57">
        <v>0</v>
      </c>
      <c r="G10" s="196">
        <f t="shared" si="0"/>
        <v>37.334666763057569</v>
      </c>
      <c r="H10" s="3"/>
      <c r="I10" s="203"/>
      <c r="J10" s="51"/>
      <c r="K10" s="212" t="s">
        <v>22</v>
      </c>
      <c r="L10" s="24">
        <f>G23</f>
        <v>28.815545658120186</v>
      </c>
      <c r="M10" s="24">
        <f>G49</f>
        <v>22.865160760679544</v>
      </c>
      <c r="N10" s="214">
        <f>G75</f>
        <v>18.098869363091438</v>
      </c>
      <c r="O10" s="54"/>
      <c r="P10" s="54"/>
      <c r="Q10" s="54"/>
      <c r="R10" s="54"/>
      <c r="S10" s="54"/>
      <c r="T10" s="46"/>
      <c r="U10" s="53"/>
      <c r="V10" s="24"/>
      <c r="W10" s="45"/>
      <c r="X10" s="52"/>
      <c r="Y10" s="52"/>
      <c r="Z10" s="52"/>
      <c r="AA10" s="52"/>
      <c r="AB10" s="52"/>
    </row>
    <row r="11" spans="1:28" x14ac:dyDescent="0.25">
      <c r="A11" s="195" t="s">
        <v>23</v>
      </c>
      <c r="B11" s="57">
        <f>B12+B13</f>
        <v>19.514352493299999</v>
      </c>
      <c r="C11" s="57">
        <f>C12+C13</f>
        <v>62.218943788786426</v>
      </c>
      <c r="D11" s="57">
        <f>D12+D13</f>
        <v>5.5839547893831156</v>
      </c>
      <c r="E11" s="57">
        <f>E12+E13</f>
        <v>25.951649112608145</v>
      </c>
      <c r="F11" s="57">
        <f>F12+F13</f>
        <v>12.05881789</v>
      </c>
      <c r="G11" s="196">
        <f t="shared" si="0"/>
        <v>125.32771807407769</v>
      </c>
      <c r="H11" s="3"/>
      <c r="I11" s="203"/>
      <c r="J11" s="51"/>
      <c r="K11" s="213" t="s">
        <v>206</v>
      </c>
      <c r="L11" s="215">
        <f>G24</f>
        <v>96.316808187582694</v>
      </c>
      <c r="M11" s="215">
        <f>G50</f>
        <v>106.35887798079183</v>
      </c>
      <c r="N11" s="216">
        <f>G76</f>
        <v>124.06355514389885</v>
      </c>
      <c r="O11" s="54"/>
      <c r="P11" s="54"/>
      <c r="Q11" s="54"/>
      <c r="R11" s="54"/>
      <c r="S11" s="54"/>
      <c r="T11" s="46"/>
      <c r="U11" s="53"/>
      <c r="V11" s="24"/>
      <c r="W11" s="45"/>
      <c r="X11" s="52"/>
      <c r="Y11" s="52"/>
      <c r="Z11" s="52"/>
      <c r="AA11" s="52"/>
      <c r="AB11" s="52"/>
    </row>
    <row r="12" spans="1:28" x14ac:dyDescent="0.25">
      <c r="A12" s="178" t="s">
        <v>24</v>
      </c>
      <c r="B12" s="19">
        <f>(Résultats!N$129+Résultats!N$130+Résultats!N$131+Résultats!N$132+Résultats!N$133+Résultats!N$134)/1000000</f>
        <v>19.514352493299999</v>
      </c>
      <c r="C12" s="19">
        <f>(Résultats!N$138+Résultats!N$140+Résultats!N$141+Résultats!N$142+Résultats!N$143+Résultats!N$144+Résultats!N$145+Résultats!N$146+Résultats!N$147+Résultats!N$148+Résultats!N$149)/1000000</f>
        <v>55.099734203786426</v>
      </c>
      <c r="D12" s="19">
        <f>'T energie usages'!J17/'T energie usages'!J$20*(Résultats!N$159+Résultats!N$160+Résultats!N$161)/1000000</f>
        <v>5.4262557040763335</v>
      </c>
      <c r="E12" s="19">
        <f>(Résultats!N$164+Résultats!N$165+Résultats!N$166+Résultats!N$167+Résultats!N$168+Résultats!N$169+Résultats!N$170+Résultats!N$171+Résultats!N$172+Résultats!N$173+Résultats!N$174+Résultats!N$175+Résultats!N$183+Résultats!N$185)/1000000</f>
        <v>25.281377882108146</v>
      </c>
      <c r="F12" s="19">
        <f>Résultats!N$100/1000000</f>
        <v>12.05881789</v>
      </c>
      <c r="G12" s="120">
        <f t="shared" si="0"/>
        <v>117.38053817327091</v>
      </c>
      <c r="H12" s="3"/>
      <c r="I12" s="203"/>
      <c r="J12" s="51"/>
      <c r="K12" s="217" t="s">
        <v>1</v>
      </c>
      <c r="L12" s="218">
        <f>SUM(L8:L11)</f>
        <v>307.05754237036706</v>
      </c>
      <c r="M12" s="218">
        <f t="shared" ref="M12:N12" si="1">SUM(M8:M11)</f>
        <v>289.0940710835813</v>
      </c>
      <c r="N12" s="218">
        <f t="shared" si="1"/>
        <v>283.69732315941854</v>
      </c>
      <c r="O12" s="54"/>
      <c r="P12" s="54"/>
      <c r="Q12" s="54"/>
      <c r="R12" s="54"/>
      <c r="S12" s="54"/>
      <c r="T12" s="46"/>
      <c r="U12" s="53"/>
      <c r="V12" s="24"/>
      <c r="W12" s="41"/>
      <c r="X12" s="52"/>
      <c r="Y12" s="52"/>
      <c r="Z12" s="52"/>
      <c r="AA12" s="52"/>
      <c r="AB12" s="52"/>
    </row>
    <row r="13" spans="1:28" x14ac:dyDescent="0.25">
      <c r="A13" s="178" t="s">
        <v>25</v>
      </c>
      <c r="B13" s="19">
        <v>0</v>
      </c>
      <c r="C13" s="19">
        <f>(Résultats!N$139)/1000000</f>
        <v>7.1192095850000001</v>
      </c>
      <c r="D13" s="19">
        <f>'T energie usages'!J19/'T energie usages'!J$20*(Résultats!N$159+Résultats!N$160+Résultats!N$161)/1000000</f>
        <v>0.15769908530678176</v>
      </c>
      <c r="E13" s="19">
        <f>(Résultats!N$163)/1000000</f>
        <v>0.67027123049999993</v>
      </c>
      <c r="F13" s="19">
        <v>0</v>
      </c>
      <c r="G13" s="120">
        <f t="shared" si="0"/>
        <v>7.9471799008067823</v>
      </c>
      <c r="H13" s="3"/>
      <c r="I13" s="203"/>
      <c r="J13" s="51"/>
      <c r="K13" s="51"/>
      <c r="L13" s="51"/>
      <c r="M13" s="51"/>
      <c r="N13" s="53"/>
      <c r="O13" s="54"/>
      <c r="P13" s="54"/>
      <c r="Q13" s="54"/>
      <c r="R13" s="54"/>
      <c r="S13" s="54"/>
      <c r="T13" s="46"/>
      <c r="U13" s="53"/>
      <c r="V13" s="24"/>
      <c r="W13" s="41"/>
      <c r="X13" s="52"/>
      <c r="Y13" s="52"/>
      <c r="Z13" s="52"/>
      <c r="AA13" s="52"/>
      <c r="AB13" s="52"/>
    </row>
    <row r="14" spans="1:28" x14ac:dyDescent="0.25">
      <c r="A14" s="72" t="s">
        <v>41</v>
      </c>
      <c r="B14" s="58">
        <f>SUM(B9:B11)+B6</f>
        <v>20.5477248963</v>
      </c>
      <c r="C14" s="58">
        <f>SUM(C9:C11)+C6</f>
        <v>227.08906608999013</v>
      </c>
      <c r="D14" s="58">
        <f>SUM(D9:D11)+D6</f>
        <v>19.535557405074393</v>
      </c>
      <c r="E14" s="58">
        <f>SUM(E9:E11)+E6</f>
        <v>78.828973211309702</v>
      </c>
      <c r="F14" s="58">
        <f>SUM(F9:F11)+F6</f>
        <v>12.05881789</v>
      </c>
      <c r="G14" s="197">
        <f t="shared" si="0"/>
        <v>358.06013949267418</v>
      </c>
      <c r="H14" s="3"/>
      <c r="I14" s="203"/>
      <c r="J14" s="51"/>
      <c r="K14" s="51"/>
      <c r="L14" s="51"/>
      <c r="M14" s="51"/>
      <c r="N14" s="53"/>
      <c r="O14" s="54"/>
      <c r="P14" s="54"/>
      <c r="Q14" s="54"/>
      <c r="R14" s="54"/>
      <c r="S14" s="54"/>
      <c r="T14" s="46"/>
      <c r="U14" s="53"/>
      <c r="V14" s="24"/>
      <c r="W14" s="47"/>
      <c r="X14" s="52"/>
      <c r="Y14" s="52"/>
      <c r="Z14" s="52"/>
      <c r="AA14" s="52"/>
      <c r="AB14" s="52"/>
    </row>
    <row r="15" spans="1:28" x14ac:dyDescent="0.25">
      <c r="A15" s="198" t="s">
        <v>43</v>
      </c>
      <c r="B15" s="201">
        <f>(Résultats!N$102+Résultats!N$129+Résultats!N$130+Résultats!N$131+Résultats!N$132+Résultats!N$133+Résultats!N$134+Résultats!N$135+Résultats!N$136)/1000000</f>
        <v>20.5477248963</v>
      </c>
      <c r="C15" s="201">
        <f>(Résultats!N$104+Résultats!N$138+Résultats!N$139+Résultats!N$140+Résultats!N$141+Résultats!N$142+Résultats!N$143+Résultats!N$144+Résultats!N$145+Résultats!N$146+Résultats!N$147+Résultats!N$148+Résultats!N$149+Résultats!N$150+Résultats!N$151+Résultats!N$152+Résultats!N$153+Résultats!N$154+Résultats!N$155+Résultats!N$156)/1000000</f>
        <v>226.35091056678638</v>
      </c>
      <c r="D15" s="201">
        <f>(Résultats!N$159+Résultats!N$160+Résultats!N$161)/1000000</f>
        <v>19.539440638999999</v>
      </c>
      <c r="E15" s="201">
        <f>(Résultats!N$106+Résultats!N$163+Résultats!N$164+Résultats!N$165+Résultats!N$166+Résultats!N$167+Résultats!N$168+Résultats!N$169+Résultats!N$170+Résultats!N$171+Résultats!N$172+Résultats!N$173+Résultats!N$174+Résultats!N$175+Résultats!N$176+Résultats!N$177+Résultats!N$178+Résultats!N$179+Résultats!N$180+Résultats!N$181+Résultats!N$182+Résultats!N$183+Résultats!N$185)/1000000</f>
        <v>75.968579741198141</v>
      </c>
      <c r="F15" s="201">
        <f>Résultats!N$100/1000000</f>
        <v>12.05881789</v>
      </c>
      <c r="G15" s="202">
        <f t="shared" si="0"/>
        <v>354.46547373328451</v>
      </c>
      <c r="H15" s="3"/>
      <c r="I15" s="203"/>
      <c r="J15" s="51"/>
      <c r="K15" s="51"/>
      <c r="L15" s="51"/>
      <c r="M15" s="46"/>
      <c r="N15" s="24"/>
      <c r="O15" s="51"/>
      <c r="P15" s="51"/>
      <c r="Q15" s="51"/>
      <c r="R15" s="51"/>
      <c r="S15" s="46"/>
      <c r="T15" s="46"/>
      <c r="U15" s="24"/>
      <c r="V15" s="24"/>
      <c r="W15" s="48"/>
      <c r="X15" s="52"/>
      <c r="Y15" s="52"/>
      <c r="Z15" s="52"/>
      <c r="AA15" s="52"/>
      <c r="AB15" s="52"/>
    </row>
    <row r="16" spans="1:28" x14ac:dyDescent="0.25">
      <c r="A16" s="198"/>
      <c r="B16" s="199"/>
      <c r="C16" s="199"/>
      <c r="D16" s="199"/>
      <c r="E16" s="199"/>
      <c r="F16" s="199"/>
      <c r="G16" s="200">
        <f>Résultats!N$194/1000000</f>
        <v>354.4654731</v>
      </c>
      <c r="H16" s="3"/>
      <c r="I16" s="203"/>
      <c r="J16" s="51"/>
      <c r="K16" s="51"/>
      <c r="L16" s="51"/>
      <c r="M16" s="46"/>
      <c r="N16" s="50"/>
      <c r="O16" s="51"/>
      <c r="P16" s="51"/>
      <c r="Q16" s="51"/>
      <c r="R16" s="51"/>
      <c r="S16" s="46"/>
      <c r="T16" s="46"/>
      <c r="U16" s="50"/>
      <c r="V16" s="50"/>
      <c r="W16" s="49"/>
      <c r="X16" s="52"/>
      <c r="Y16" s="52"/>
      <c r="Z16" s="52"/>
      <c r="AA16" s="52"/>
      <c r="AB16" s="52"/>
    </row>
    <row r="17" spans="1:28" x14ac:dyDescent="0.25">
      <c r="A17" s="3"/>
      <c r="B17" s="64"/>
      <c r="C17" s="64"/>
      <c r="D17" s="64"/>
      <c r="E17" s="64"/>
      <c r="F17" s="64"/>
      <c r="G17" s="3"/>
      <c r="H17" s="3"/>
      <c r="I17" s="203"/>
      <c r="J17" s="51"/>
      <c r="K17" s="51"/>
      <c r="L17" s="51"/>
      <c r="M17" s="46"/>
      <c r="O17" s="51"/>
      <c r="P17" s="51"/>
      <c r="Q17" s="51"/>
      <c r="R17" s="51"/>
      <c r="S17" s="46"/>
      <c r="T17" s="46"/>
      <c r="X17" s="52"/>
      <c r="Y17" s="52"/>
      <c r="Z17" s="52"/>
      <c r="AA17" s="52"/>
      <c r="AB17" s="52"/>
    </row>
    <row r="18" spans="1:28" ht="21" x14ac:dyDescent="0.35">
      <c r="A18" s="174">
        <v>2020</v>
      </c>
      <c r="B18" s="4" t="s">
        <v>36</v>
      </c>
      <c r="C18" s="4" t="s">
        <v>37</v>
      </c>
      <c r="D18" s="4" t="s">
        <v>38</v>
      </c>
      <c r="E18" s="4" t="s">
        <v>39</v>
      </c>
      <c r="F18" s="4" t="s">
        <v>40</v>
      </c>
      <c r="G18" s="118" t="s">
        <v>1</v>
      </c>
      <c r="H18" s="3"/>
      <c r="I18" s="25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W18" s="44"/>
      <c r="X18" s="44"/>
      <c r="Y18" s="44"/>
      <c r="Z18" s="44"/>
      <c r="AA18" s="44"/>
      <c r="AB18" s="52"/>
    </row>
    <row r="19" spans="1:28" x14ac:dyDescent="0.25">
      <c r="A19" s="195" t="s">
        <v>18</v>
      </c>
      <c r="B19" s="57">
        <f>B20+B21</f>
        <v>0</v>
      </c>
      <c r="C19" s="57">
        <f>C20+C21</f>
        <v>127.10133711926156</v>
      </c>
      <c r="D19" s="57">
        <f>D20+D21</f>
        <v>0.51752927498410317</v>
      </c>
      <c r="E19" s="61">
        <f>E20+E21</f>
        <v>0.44070121056517964</v>
      </c>
      <c r="F19" s="57">
        <f>F20+F21</f>
        <v>0</v>
      </c>
      <c r="G19" s="196">
        <f>SUM(B19:F19)</f>
        <v>128.05956760481084</v>
      </c>
      <c r="H19" s="3"/>
      <c r="I19" s="203"/>
      <c r="J19" s="51"/>
      <c r="K19" s="51"/>
      <c r="L19" s="51"/>
      <c r="M19" s="51"/>
      <c r="N19" s="53"/>
      <c r="O19" s="54"/>
      <c r="P19" s="54"/>
      <c r="Q19" s="54"/>
      <c r="R19" s="54"/>
      <c r="S19" s="54"/>
      <c r="T19" s="46"/>
      <c r="U19" s="34"/>
      <c r="W19" s="45"/>
      <c r="X19" s="52"/>
      <c r="Y19" s="52"/>
      <c r="Z19" s="52"/>
      <c r="AA19" s="52"/>
      <c r="AB19" s="52"/>
    </row>
    <row r="20" spans="1:28" x14ac:dyDescent="0.25">
      <c r="A20" s="177" t="s">
        <v>19</v>
      </c>
      <c r="B20" s="19">
        <v>0</v>
      </c>
      <c r="C20" s="19">
        <f>'T energie usages'!I25*3.2*Résultats!S250</f>
        <v>73.35390074556156</v>
      </c>
      <c r="D20" s="19">
        <f>'T energie usages'!J25/'T energie usages'!J$33*(Résultats!S$159+Résultats!S$160+Résultats!S$161)/1000000</f>
        <v>3.3272423953216827E-2</v>
      </c>
      <c r="E20" s="55">
        <f>'T energie usages'!K25*2.394*Résultats!S251</f>
        <v>2.5752205179628808E-5</v>
      </c>
      <c r="F20" s="19">
        <v>0</v>
      </c>
      <c r="G20" s="120">
        <f>SUM(B20:F20)</f>
        <v>73.387198921719957</v>
      </c>
      <c r="H20" s="3"/>
      <c r="I20" s="203"/>
      <c r="J20" s="51"/>
      <c r="K20" s="51"/>
      <c r="L20" s="51"/>
      <c r="M20" s="51"/>
      <c r="N20" s="53"/>
      <c r="O20" s="54"/>
      <c r="P20" s="54"/>
      <c r="Q20" s="54"/>
      <c r="R20" s="54"/>
      <c r="S20" s="54"/>
      <c r="T20" s="46"/>
      <c r="U20" s="42"/>
      <c r="W20" s="41"/>
      <c r="X20" s="52"/>
      <c r="Y20" s="52"/>
      <c r="Z20" s="52"/>
      <c r="AA20" s="52"/>
      <c r="AB20" s="52"/>
    </row>
    <row r="21" spans="1:28" x14ac:dyDescent="0.25">
      <c r="A21" s="178" t="s">
        <v>20</v>
      </c>
      <c r="B21" s="19">
        <v>0</v>
      </c>
      <c r="C21" s="19">
        <f>(Résultats!S$150+Résultats!S$151+Résultats!S$152+Résultats!S$153+Résultats!S$154)/1000000</f>
        <v>53.747436373700005</v>
      </c>
      <c r="D21" s="19">
        <f>'T energie usages'!J26/'T energie usages'!J$33*(Résultats!S$159+Résultats!S$160+Résultats!S$161)/1000000</f>
        <v>0.48425685103088634</v>
      </c>
      <c r="E21" s="55">
        <f>(Résultats!S$176+Résultats!S$177+Résultats!S$178+Résultats!S$179+Résultats!S$180)/1000000</f>
        <v>0.44067545835999999</v>
      </c>
      <c r="F21" s="19">
        <v>0</v>
      </c>
      <c r="G21" s="120">
        <f>SUM(B21:F21)</f>
        <v>54.672368683090887</v>
      </c>
      <c r="H21" s="3"/>
      <c r="I21" s="203"/>
      <c r="J21" s="51"/>
      <c r="K21" s="51"/>
      <c r="L21" s="51"/>
      <c r="M21" s="51"/>
      <c r="N21" s="53"/>
      <c r="O21" s="54"/>
      <c r="P21" s="54"/>
      <c r="Q21" s="54"/>
      <c r="R21" s="54"/>
      <c r="S21" s="54"/>
      <c r="T21" s="46"/>
      <c r="U21" s="42"/>
      <c r="W21" s="41"/>
      <c r="X21" s="52"/>
      <c r="Y21" s="52"/>
      <c r="Z21" s="52"/>
      <c r="AA21" s="52"/>
      <c r="AB21" s="52"/>
    </row>
    <row r="22" spans="1:28" x14ac:dyDescent="0.25">
      <c r="A22" s="195" t="s">
        <v>21</v>
      </c>
      <c r="B22" s="57">
        <f>Résultats!S$102/1000000</f>
        <v>0.99770707859999996</v>
      </c>
      <c r="C22" s="57">
        <f>'T energie usages'!I27*3.2*Résultats!S250</f>
        <v>19.592538982237755</v>
      </c>
      <c r="D22" s="57">
        <f>'T energie usages'!J27/'T energie usages'!J$33*(Résultats!S$159+Résultats!S$160+Résultats!S$161)/1000000</f>
        <v>5.3115626833030998</v>
      </c>
      <c r="E22" s="57">
        <f>('T energie usages'!K27-7)*2.394*Résultats!S251</f>
        <v>27.963812175712469</v>
      </c>
      <c r="F22" s="57">
        <v>0</v>
      </c>
      <c r="G22" s="196">
        <f>SUM(B22:F22)</f>
        <v>53.865620919853328</v>
      </c>
      <c r="H22" s="3"/>
      <c r="I22" s="203"/>
      <c r="J22" s="51"/>
      <c r="K22" s="51"/>
      <c r="L22" s="51"/>
      <c r="M22" s="51"/>
      <c r="N22" s="53"/>
      <c r="O22" s="54"/>
      <c r="P22" s="54"/>
      <c r="Q22" s="54"/>
      <c r="R22" s="54"/>
      <c r="S22" s="54"/>
      <c r="T22" s="46"/>
      <c r="U22" s="34"/>
      <c r="W22" s="45"/>
      <c r="X22" s="52"/>
      <c r="Y22" s="52"/>
      <c r="Z22" s="52"/>
      <c r="AA22" s="52"/>
      <c r="AB22" s="52"/>
    </row>
    <row r="23" spans="1:28" x14ac:dyDescent="0.25">
      <c r="A23" s="195" t="s">
        <v>22</v>
      </c>
      <c r="B23" s="57">
        <f>(Résultats!S$135+Résultats!S$136)/1000000</f>
        <v>0</v>
      </c>
      <c r="C23" s="57">
        <f>(Résultats!S$155+Résultats!S$156)/1000000</f>
        <v>8.7391108557999999</v>
      </c>
      <c r="D23" s="57">
        <f>'T energie usages'!J28/'T energie usages'!J$33*(Résultats!S$159+Résultats!S$160+Résultats!S$161)/1000000</f>
        <v>4.622249956320184</v>
      </c>
      <c r="E23" s="57">
        <f>(Résultats!S$181+Résultats!S$182)/1000000</f>
        <v>15.454184846</v>
      </c>
      <c r="F23" s="57">
        <v>0</v>
      </c>
      <c r="G23" s="196">
        <f t="shared" ref="G23:G28" si="2">SUM(B23:F23)</f>
        <v>28.815545658120186</v>
      </c>
      <c r="H23" s="3"/>
      <c r="I23" s="203"/>
      <c r="J23" s="51"/>
      <c r="K23" s="51"/>
      <c r="L23" s="51"/>
      <c r="M23" s="51"/>
      <c r="N23" s="53"/>
      <c r="O23" s="54"/>
      <c r="P23" s="54"/>
      <c r="Q23" s="54"/>
      <c r="R23" s="54"/>
      <c r="S23" s="54"/>
      <c r="T23" s="46"/>
      <c r="U23" s="34"/>
      <c r="W23" s="45"/>
      <c r="X23" s="52"/>
      <c r="Y23" s="52"/>
      <c r="Z23" s="52"/>
      <c r="AA23" s="52"/>
      <c r="AB23" s="52"/>
    </row>
    <row r="24" spans="1:28" x14ac:dyDescent="0.25">
      <c r="A24" s="195" t="s">
        <v>23</v>
      </c>
      <c r="B24" s="57">
        <f>B25+B26</f>
        <v>10.4003888427</v>
      </c>
      <c r="C24" s="57">
        <f>C25+C26</f>
        <v>42.831436666276275</v>
      </c>
      <c r="D24" s="57">
        <f>D25+D26</f>
        <v>3.3866648563926036</v>
      </c>
      <c r="E24" s="57">
        <f>E25+E26</f>
        <v>26.303116372213807</v>
      </c>
      <c r="F24" s="57">
        <f>F25+F26</f>
        <v>13.39520145</v>
      </c>
      <c r="G24" s="196">
        <f t="shared" si="2"/>
        <v>96.316808187582694</v>
      </c>
      <c r="H24" s="3"/>
      <c r="I24" s="203"/>
      <c r="J24" s="51"/>
      <c r="K24" s="51"/>
      <c r="L24" s="51"/>
      <c r="M24" s="51"/>
      <c r="N24" s="53"/>
      <c r="O24" s="54"/>
      <c r="P24" s="54"/>
      <c r="Q24" s="54"/>
      <c r="R24" s="54"/>
      <c r="S24" s="54"/>
      <c r="T24" s="46"/>
      <c r="U24" s="34"/>
      <c r="W24" s="45"/>
      <c r="X24" s="52"/>
      <c r="Y24" s="52"/>
      <c r="Z24" s="52"/>
      <c r="AA24" s="52"/>
      <c r="AB24" s="52"/>
    </row>
    <row r="25" spans="1:28" x14ac:dyDescent="0.25">
      <c r="A25" s="178" t="s">
        <v>24</v>
      </c>
      <c r="B25" s="19">
        <f>(Résultats!S$129+Résultats!S$130+Résultats!S$131+Résultats!S$132+Résultats!S$133+Résultats!S$134)/1000000</f>
        <v>10.4003888427</v>
      </c>
      <c r="C25" s="19">
        <f>(Résultats!S$138+Résultats!S$140+Résultats!S$141+Résultats!S$142+Résultats!S$143+Résultats!S$144+Résultats!S$145+Résultats!S$146+Résultats!S$147+Résultats!S$148+Résultats!V$149)/1000000</f>
        <v>35.903605892276275</v>
      </c>
      <c r="D25" s="19">
        <f>'T energie usages'!J30/'T energie usages'!J$33*(Résultats!S$159+Résultats!S$160+Résultats!S$161)/1000000</f>
        <v>3.2722716621927166</v>
      </c>
      <c r="E25" s="19">
        <f>(Résultats!S$164+Résultats!S$165+Résultats!S$166+Résultats!S$167+Résultats!S$168+Résultats!S$169+Résultats!S$170+Résultats!S$171+Résultats!S$172+Résultats!S$173+Résultats!S$174+Résultats!S$175+Résultats!S$183+Résultats!S$185)/1000000</f>
        <v>25.688310197913808</v>
      </c>
      <c r="F25" s="19">
        <f>Résultats!S$100/1000000</f>
        <v>13.39520145</v>
      </c>
      <c r="G25" s="120">
        <f t="shared" si="2"/>
        <v>88.659778045082788</v>
      </c>
      <c r="H25" s="3"/>
      <c r="I25" s="203"/>
      <c r="J25" s="51"/>
      <c r="K25" s="51"/>
      <c r="L25" s="51"/>
      <c r="M25" s="51"/>
      <c r="N25" s="53"/>
      <c r="O25" s="54"/>
      <c r="P25" s="54"/>
      <c r="Q25" s="54"/>
      <c r="R25" s="54"/>
      <c r="S25" s="54"/>
      <c r="T25" s="46"/>
      <c r="U25" s="42"/>
      <c r="W25" s="41"/>
      <c r="X25" s="52"/>
      <c r="Y25" s="52"/>
      <c r="Z25" s="52"/>
      <c r="AA25" s="52"/>
      <c r="AB25" s="52"/>
    </row>
    <row r="26" spans="1:28" x14ac:dyDescent="0.25">
      <c r="A26" s="178" t="s">
        <v>25</v>
      </c>
      <c r="B26" s="19">
        <v>0</v>
      </c>
      <c r="C26" s="19">
        <f>(Résultats!S$139)/1000000</f>
        <v>6.9278307740000002</v>
      </c>
      <c r="D26" s="19">
        <f>'T energie usages'!J32/'T energie usages'!J$33*(Résultats!S$159+Résultats!S$160+Résultats!S$161)/1000000</f>
        <v>0.1143931941998869</v>
      </c>
      <c r="E26" s="19">
        <f>(Résultats!S$163)/1000000</f>
        <v>0.61480617429999995</v>
      </c>
      <c r="F26" s="19">
        <v>0</v>
      </c>
      <c r="G26" s="120">
        <f t="shared" si="2"/>
        <v>7.6570301424998872</v>
      </c>
      <c r="H26" s="3"/>
      <c r="I26" s="203"/>
      <c r="J26" s="51"/>
      <c r="K26" s="51"/>
      <c r="L26" s="51"/>
      <c r="M26" s="51"/>
      <c r="N26" s="53"/>
      <c r="O26" s="54"/>
      <c r="P26" s="54"/>
      <c r="Q26" s="54"/>
      <c r="R26" s="54"/>
      <c r="S26" s="54"/>
      <c r="T26" s="46"/>
      <c r="U26" s="42"/>
      <c r="W26" s="41"/>
      <c r="X26" s="52"/>
      <c r="Y26" s="52"/>
      <c r="Z26" s="52"/>
      <c r="AA26" s="52"/>
      <c r="AB26" s="52"/>
    </row>
    <row r="27" spans="1:28" x14ac:dyDescent="0.25">
      <c r="A27" s="72" t="s">
        <v>41</v>
      </c>
      <c r="B27" s="58">
        <f>SUM(B22:B24)+B19</f>
        <v>11.398095921299999</v>
      </c>
      <c r="C27" s="58">
        <f>SUM(C22:C24)+C19</f>
        <v>198.2644236235756</v>
      </c>
      <c r="D27" s="58">
        <f>SUM(D22:D24)+D19</f>
        <v>13.838006770999989</v>
      </c>
      <c r="E27" s="58">
        <f>SUM(E22:E24)+E19</f>
        <v>70.161814604491454</v>
      </c>
      <c r="F27" s="58">
        <f>SUM(F22:F24)+F19</f>
        <v>13.39520145</v>
      </c>
      <c r="G27" s="197">
        <f t="shared" si="2"/>
        <v>307.05754237036706</v>
      </c>
      <c r="H27" s="3"/>
      <c r="I27" s="203"/>
      <c r="J27" s="51"/>
      <c r="K27" s="51"/>
      <c r="L27" s="51"/>
      <c r="M27" s="51"/>
      <c r="N27" s="53"/>
      <c r="O27" s="54"/>
      <c r="P27" s="54"/>
      <c r="Q27" s="54"/>
      <c r="R27" s="54"/>
      <c r="S27" s="54"/>
      <c r="T27" s="46"/>
      <c r="U27" s="48"/>
      <c r="W27" s="47"/>
      <c r="X27" s="52"/>
      <c r="Y27" s="52"/>
      <c r="Z27" s="52"/>
      <c r="AA27" s="52"/>
      <c r="AB27" s="52"/>
    </row>
    <row r="28" spans="1:28" x14ac:dyDescent="0.25">
      <c r="A28" s="198" t="s">
        <v>43</v>
      </c>
      <c r="B28" s="201">
        <f>(Résultats!S$102+Résultats!S$129+Résultats!S$130+Résultats!S$131+Résultats!S$132+Résultats!S$133+Résultats!S$134+Résultats!S$135+Résultats!S$136)/1000000</f>
        <v>11.398095921300001</v>
      </c>
      <c r="C28" s="201">
        <f>(Résultats!S$104+Résultats!S$138+Résultats!S$139+Résultats!S$140+Résultats!S$141+Résultats!S$142+Résultats!S$143+Résultats!S$144+Résultats!S$145+Résultats!S$146+Résultats!S$147+Résultats!S$148+Résultats!S$149+Résultats!S$150+Résultats!S$151+Résultats!S$152+Résultats!S$153+Résultats!S$154+Résultats!S$155+Résultats!S$156)/1000000</f>
        <v>198.32059116948648</v>
      </c>
      <c r="D28" s="201">
        <f>(Résultats!S$159+Résultats!S$160+Résultats!S$161)/1000000</f>
        <v>13.838006770999991</v>
      </c>
      <c r="E28" s="200">
        <f>(Résultats!S$106+Résultats!S$163+Résultats!S$164+Résultats!S$165+Résultats!S$166+Résultats!S$167+Résultats!S$168+Résultats!S$169+Résultats!S$170+Résultats!S$171+Résultats!S$172+Résultats!S$173+Résultats!S$174+Résultats!S$175+Résultats!S$176+Résultats!S$177+Résultats!S$178+Résultats!S$179+Résultats!S$180+Résultats!S$181+Résultats!S$182+Résultats!S$183)/1000000</f>
        <v>71.082339946673812</v>
      </c>
      <c r="F28" s="201">
        <f>Résultats!S$100/1000000</f>
        <v>13.39520145</v>
      </c>
      <c r="G28" s="202">
        <f t="shared" si="2"/>
        <v>308.03423525846028</v>
      </c>
      <c r="H28" s="3"/>
      <c r="I28" s="203"/>
      <c r="J28" s="51"/>
      <c r="K28" s="51"/>
      <c r="L28" s="51"/>
      <c r="M28" s="51"/>
      <c r="N28" s="24"/>
      <c r="O28" s="51"/>
      <c r="P28" s="51"/>
      <c r="Q28" s="51"/>
      <c r="R28" s="51"/>
      <c r="S28" s="51"/>
      <c r="T28" s="46"/>
      <c r="U28" s="24"/>
      <c r="V28" s="24"/>
      <c r="W28" s="24"/>
      <c r="X28" s="52"/>
      <c r="Y28" s="52"/>
      <c r="Z28" s="52"/>
      <c r="AA28" s="52"/>
      <c r="AB28" s="52"/>
    </row>
    <row r="29" spans="1:28" x14ac:dyDescent="0.25">
      <c r="A29" s="198"/>
      <c r="B29" s="199"/>
      <c r="C29" s="199"/>
      <c r="D29" s="199"/>
      <c r="E29" s="199"/>
      <c r="F29" s="199"/>
      <c r="G29" s="200">
        <f>Résultats!S$194/1000000</f>
        <v>308.36162910000002</v>
      </c>
      <c r="H29" s="3"/>
      <c r="I29" s="203"/>
      <c r="J29" s="51"/>
      <c r="K29" s="51"/>
      <c r="L29" s="51"/>
      <c r="M29" s="51"/>
      <c r="N29" s="24"/>
      <c r="O29" s="51"/>
      <c r="P29" s="51"/>
      <c r="Q29" s="51"/>
      <c r="R29" s="51"/>
      <c r="S29" s="51"/>
      <c r="T29" s="46"/>
      <c r="U29" s="24"/>
      <c r="V29" s="24"/>
      <c r="W29" s="24"/>
      <c r="X29" s="52"/>
      <c r="Y29" s="52"/>
      <c r="Z29" s="52"/>
      <c r="AA29" s="52"/>
      <c r="AB29" s="52"/>
    </row>
    <row r="30" spans="1:28" x14ac:dyDescent="0.25">
      <c r="A30" s="3"/>
      <c r="B30" s="63"/>
      <c r="C30" s="63"/>
      <c r="D30" s="63"/>
      <c r="E30" s="63"/>
      <c r="F30" s="64"/>
      <c r="G30" s="69"/>
      <c r="H30" s="3"/>
      <c r="I30" s="203"/>
      <c r="J30" s="51"/>
      <c r="K30" s="51"/>
      <c r="L30" s="51"/>
      <c r="N30" s="24"/>
      <c r="O30" s="51"/>
      <c r="P30" s="51"/>
      <c r="Q30" s="51"/>
      <c r="R30" s="51"/>
      <c r="S30" s="51"/>
      <c r="T30" s="46"/>
      <c r="U30" s="24"/>
      <c r="V30" s="24"/>
      <c r="W30" s="24"/>
      <c r="X30" s="52"/>
      <c r="Y30" s="52"/>
      <c r="Z30" s="52"/>
      <c r="AA30" s="52"/>
      <c r="AB30" s="52"/>
    </row>
    <row r="31" spans="1:28" ht="21" x14ac:dyDescent="0.35">
      <c r="A31" s="174">
        <v>2025</v>
      </c>
      <c r="B31" s="4" t="s">
        <v>36</v>
      </c>
      <c r="C31" s="4" t="s">
        <v>37</v>
      </c>
      <c r="D31" s="4" t="s">
        <v>38</v>
      </c>
      <c r="E31" s="4" t="s">
        <v>39</v>
      </c>
      <c r="F31" s="4" t="s">
        <v>40</v>
      </c>
      <c r="G31" s="118" t="s">
        <v>1</v>
      </c>
      <c r="H31" s="3"/>
      <c r="I31" s="25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24"/>
      <c r="W31" s="44"/>
      <c r="X31" s="44"/>
      <c r="Y31" s="44"/>
      <c r="Z31" s="44"/>
      <c r="AA31" s="44"/>
      <c r="AB31" s="52"/>
    </row>
    <row r="32" spans="1:28" x14ac:dyDescent="0.25">
      <c r="A32" s="195" t="s">
        <v>18</v>
      </c>
      <c r="B32" s="57">
        <f>B33+B34</f>
        <v>0</v>
      </c>
      <c r="C32" s="57">
        <f>C33+C34</f>
        <v>122.03750347399124</v>
      </c>
      <c r="D32" s="57">
        <f>D33+D34</f>
        <v>0.2800168947368003</v>
      </c>
      <c r="E32" s="61">
        <f>E33+E34</f>
        <v>0.92170632523491802</v>
      </c>
      <c r="F32" s="57">
        <f>F33+F34</f>
        <v>0</v>
      </c>
      <c r="G32" s="196">
        <f>SUM(B32:F32)</f>
        <v>123.23922669396296</v>
      </c>
      <c r="H32" s="3"/>
      <c r="I32" s="203"/>
      <c r="J32" s="51"/>
      <c r="K32" s="51"/>
      <c r="L32" s="51"/>
      <c r="M32" s="51"/>
      <c r="N32" s="53"/>
      <c r="O32" s="54"/>
      <c r="P32" s="54"/>
      <c r="Q32" s="54"/>
      <c r="R32" s="54"/>
      <c r="S32" s="54"/>
      <c r="T32" s="46"/>
      <c r="U32" s="34"/>
      <c r="V32" s="24"/>
      <c r="W32" s="45"/>
      <c r="X32" s="52"/>
      <c r="Y32" s="52"/>
      <c r="Z32" s="52"/>
      <c r="AA32" s="52"/>
      <c r="AB32" s="52"/>
    </row>
    <row r="33" spans="1:28" x14ac:dyDescent="0.25">
      <c r="A33" s="177" t="s">
        <v>19</v>
      </c>
      <c r="B33" s="19">
        <v>0</v>
      </c>
      <c r="C33" s="19">
        <f>'T energie usages'!I64*3.2*Résultats!X250</f>
        <v>67.244092601091239</v>
      </c>
      <c r="D33" s="19">
        <f>'T energie usages'!J64/'T energie usages'!J$72*(Résultats!X$159+Résultats!X$160+Résultats!X$161)/1000000</f>
        <v>4.5343090838499397E-2</v>
      </c>
      <c r="E33" s="55">
        <f>'T energie usages'!K64*2.394*Résultats!X251</f>
        <v>4.9922004917844812E-5</v>
      </c>
      <c r="F33" s="19">
        <v>0</v>
      </c>
      <c r="G33" s="120">
        <f>SUM(B33:F33)</f>
        <v>67.289485613934659</v>
      </c>
      <c r="H33" s="3"/>
      <c r="I33" s="203"/>
      <c r="J33" s="51"/>
      <c r="K33" s="51"/>
      <c r="L33" s="51"/>
      <c r="M33" s="51"/>
      <c r="N33" s="53"/>
      <c r="O33" s="54"/>
      <c r="P33" s="54"/>
      <c r="Q33" s="54"/>
      <c r="R33" s="54"/>
      <c r="S33" s="54"/>
      <c r="T33" s="46"/>
      <c r="U33" s="42"/>
      <c r="V33" s="24"/>
      <c r="W33" s="41"/>
      <c r="X33" s="52"/>
      <c r="Y33" s="52"/>
      <c r="Z33" s="52"/>
      <c r="AA33" s="52"/>
      <c r="AB33" s="52"/>
    </row>
    <row r="34" spans="1:28" x14ac:dyDescent="0.25">
      <c r="A34" s="178" t="s">
        <v>20</v>
      </c>
      <c r="B34" s="19">
        <v>0</v>
      </c>
      <c r="C34" s="19">
        <f>(Résultats!X$150+Résultats!X$151+Résultats!X$152+Résultats!X$153+Résultats!X$154)/1000000</f>
        <v>54.793410872899997</v>
      </c>
      <c r="D34" s="19">
        <f>'T energie usages'!J65/'T energie usages'!J$72*(Résultats!X$159+Résultats!X$160+Résultats!X$161)/1000000</f>
        <v>0.23467380389830089</v>
      </c>
      <c r="E34" s="55">
        <f>(Résultats!X$176+Résultats!X$177+Résultats!X$178+Résultats!X$179+Résultats!X$180)/1000000</f>
        <v>0.9216564032300002</v>
      </c>
      <c r="F34" s="19">
        <v>0</v>
      </c>
      <c r="G34" s="120">
        <f>SUM(B34:F34)</f>
        <v>55.949741080028303</v>
      </c>
      <c r="H34" s="3"/>
      <c r="I34" s="203"/>
      <c r="J34" s="51"/>
      <c r="K34" s="51"/>
      <c r="L34" s="51"/>
      <c r="M34" s="51"/>
      <c r="N34" s="53"/>
      <c r="O34" s="54"/>
      <c r="P34" s="54"/>
      <c r="Q34" s="54"/>
      <c r="R34" s="54"/>
      <c r="S34" s="54"/>
      <c r="T34" s="46"/>
      <c r="U34" s="42"/>
      <c r="V34" s="24"/>
      <c r="W34" s="41"/>
      <c r="X34" s="52"/>
      <c r="Y34" s="52"/>
      <c r="Z34" s="52"/>
      <c r="AA34" s="52"/>
      <c r="AB34" s="52"/>
    </row>
    <row r="35" spans="1:28" x14ac:dyDescent="0.25">
      <c r="A35" s="195" t="s">
        <v>21</v>
      </c>
      <c r="B35" s="57">
        <f>Résultats!X$102/1000000</f>
        <v>0.88039328529999994</v>
      </c>
      <c r="C35" s="57">
        <f>'T energie usages'!I66*3.2*Résultats!X250</f>
        <v>17.009115591559453</v>
      </c>
      <c r="D35" s="57">
        <f>'T energie usages'!J66/'T energie usages'!J$72*(Résultats!X$159+Résultats!X$160+Résultats!X$161)/1000000</f>
        <v>2.4181011537430064</v>
      </c>
      <c r="E35" s="57">
        <f>('T energie usages'!K66-8)*2.394*Résultats!X251</f>
        <v>22.9216380696279</v>
      </c>
      <c r="F35" s="57">
        <v>0</v>
      </c>
      <c r="G35" s="196">
        <f>SUM(B35:F35)</f>
        <v>43.229248100230357</v>
      </c>
      <c r="H35" s="3"/>
      <c r="I35" s="203"/>
      <c r="J35" s="51"/>
      <c r="K35" s="51"/>
      <c r="L35" s="51"/>
      <c r="M35" s="51"/>
      <c r="N35" s="53"/>
      <c r="O35" s="54"/>
      <c r="P35" s="54"/>
      <c r="Q35" s="54"/>
      <c r="R35" s="54"/>
      <c r="S35" s="54"/>
      <c r="T35" s="46"/>
      <c r="U35" s="34"/>
      <c r="V35" s="24"/>
      <c r="W35" s="45"/>
      <c r="X35" s="52"/>
      <c r="Y35" s="52"/>
      <c r="Z35" s="52"/>
      <c r="AA35" s="52"/>
      <c r="AB35" s="52"/>
    </row>
    <row r="36" spans="1:28" x14ac:dyDescent="0.25">
      <c r="A36" s="195" t="s">
        <v>22</v>
      </c>
      <c r="B36" s="57">
        <f>(Résultats!X$135+Résultats!X$136)/1000000</f>
        <v>0</v>
      </c>
      <c r="C36" s="57">
        <f>(Résultats!X$155+Résultats!X$156)/1000000</f>
        <v>8.0587393636999991</v>
      </c>
      <c r="D36" s="57">
        <f>'T energie usages'!J67/'T energie usages'!J$72*(Résultats!X$159+Résultats!X$160+Résultats!X$161)/1000000</f>
        <v>2.1485623582472582</v>
      </c>
      <c r="E36" s="57">
        <f>(Résultats!X$181+Résultats!X$182)/1000000</f>
        <v>14.608646219000001</v>
      </c>
      <c r="F36" s="57">
        <v>0</v>
      </c>
      <c r="G36" s="196">
        <f t="shared" ref="G36:G41" si="3">SUM(B36:F36)</f>
        <v>24.815947940947257</v>
      </c>
      <c r="H36" s="3"/>
      <c r="I36" s="203"/>
      <c r="J36" s="51"/>
      <c r="K36" s="51"/>
      <c r="L36" s="51"/>
      <c r="M36" s="51"/>
      <c r="N36" s="53"/>
      <c r="O36" s="54"/>
      <c r="P36" s="54"/>
      <c r="Q36" s="54"/>
      <c r="R36" s="54"/>
      <c r="S36" s="54"/>
      <c r="T36" s="46"/>
      <c r="U36" s="34"/>
      <c r="V36" s="24"/>
      <c r="W36" s="45"/>
      <c r="X36" s="52"/>
      <c r="Y36" s="52"/>
      <c r="Z36" s="52"/>
      <c r="AA36" s="52"/>
      <c r="AB36" s="52"/>
    </row>
    <row r="37" spans="1:28" x14ac:dyDescent="0.25">
      <c r="A37" s="195" t="s">
        <v>23</v>
      </c>
      <c r="B37" s="57">
        <f>B38+B39</f>
        <v>10.1094585167</v>
      </c>
      <c r="C37" s="57">
        <f>C38+C39</f>
        <v>45.93012795675606</v>
      </c>
      <c r="D37" s="57">
        <f>D38+D39</f>
        <v>1.7108633526729364</v>
      </c>
      <c r="E37" s="57">
        <f>E38+E39</f>
        <v>26.477884836658497</v>
      </c>
      <c r="F37" s="57">
        <f>F38+F39</f>
        <v>14.288725490000001</v>
      </c>
      <c r="G37" s="196">
        <f t="shared" si="3"/>
        <v>98.517060152787494</v>
      </c>
      <c r="H37" s="3"/>
      <c r="I37" s="203"/>
      <c r="J37" s="51"/>
      <c r="K37" s="51"/>
      <c r="L37" s="51"/>
      <c r="M37" s="51"/>
      <c r="N37" s="53"/>
      <c r="O37" s="54"/>
      <c r="P37" s="54"/>
      <c r="Q37" s="54"/>
      <c r="R37" s="54"/>
      <c r="S37" s="54"/>
      <c r="T37" s="46"/>
      <c r="U37" s="34"/>
      <c r="V37" s="24"/>
      <c r="W37" s="45"/>
      <c r="X37" s="52"/>
      <c r="Y37" s="52"/>
      <c r="Z37" s="52"/>
      <c r="AA37" s="52"/>
      <c r="AB37" s="52"/>
    </row>
    <row r="38" spans="1:28" x14ac:dyDescent="0.25">
      <c r="A38" s="178" t="s">
        <v>24</v>
      </c>
      <c r="B38" s="19">
        <f>(Résultats!X$129+Résultats!X$130+Résultats!X$131+Résultats!X$132+Résultats!X$133+Résultats!X$134)/1000000</f>
        <v>10.1094585167</v>
      </c>
      <c r="C38" s="19">
        <f>(Résultats!X$138+Résultats!X$140+Résultats!X$141+Résultats!X$142+Résultats!X$143+Résultats!X$144+Résultats!X$145+Résultats!X$146+Résultats!X$147+Résultats!X$148+Résultats!X149)/1000000</f>
        <v>38.840916619756058</v>
      </c>
      <c r="D38" s="19">
        <f>'T energie usages'!J69/'T energie usages'!J$72*(Résultats!X$159+Résultats!X$160+Résultats!X$161)/1000000</f>
        <v>1.656403771885391</v>
      </c>
      <c r="E38" s="19">
        <f>(Résultats!X$164+Résultats!X$165+Résultats!X$166+Résultats!X$167+Résultats!X$168+Résultats!X$169+Résultats!X$170+Résultats!X$171+Résultats!X$172+Résultats!X$173+Résultats!X$174+Résultats!X$175+Résultats!X$183+Résultats!X$185)/1000000</f>
        <v>25.841465838858497</v>
      </c>
      <c r="F38" s="19">
        <f>Résultats!X$100/1000000</f>
        <v>14.288725490000001</v>
      </c>
      <c r="G38" s="120">
        <f t="shared" si="3"/>
        <v>90.736970237199955</v>
      </c>
      <c r="H38" s="3"/>
      <c r="I38" s="203"/>
      <c r="J38" s="51"/>
      <c r="K38" s="51"/>
      <c r="L38" s="51"/>
      <c r="M38" s="51"/>
      <c r="N38" s="53"/>
      <c r="O38" s="54"/>
      <c r="P38" s="54"/>
      <c r="Q38" s="54"/>
      <c r="R38" s="54"/>
      <c r="S38" s="54"/>
      <c r="T38" s="46"/>
      <c r="U38" s="42"/>
      <c r="V38" s="24"/>
      <c r="W38" s="41"/>
      <c r="X38" s="52"/>
      <c r="Y38" s="52"/>
      <c r="Z38" s="52"/>
      <c r="AA38" s="52"/>
      <c r="AB38" s="52"/>
    </row>
    <row r="39" spans="1:28" x14ac:dyDescent="0.25">
      <c r="A39" s="178" t="s">
        <v>25</v>
      </c>
      <c r="B39" s="19">
        <v>0</v>
      </c>
      <c r="C39" s="19">
        <f>(Résultats!X$139)/1000000</f>
        <v>7.0892113370000001</v>
      </c>
      <c r="D39" s="19">
        <f>'T energie usages'!J71/'T energie usages'!J$72*(Résultats!X$159+Résultats!X$160+Résultats!X$161)/1000000</f>
        <v>5.4459580787545529E-2</v>
      </c>
      <c r="E39" s="19">
        <f>(Résultats!X$163)/1000000</f>
        <v>0.6364189978</v>
      </c>
      <c r="F39" s="19">
        <v>0</v>
      </c>
      <c r="G39" s="120">
        <f t="shared" si="3"/>
        <v>7.7800899155875456</v>
      </c>
      <c r="H39" s="3"/>
      <c r="I39" s="203"/>
      <c r="J39" s="51"/>
      <c r="K39" s="51"/>
      <c r="L39" s="51"/>
      <c r="M39" s="51"/>
      <c r="N39" s="53"/>
      <c r="O39" s="54"/>
      <c r="P39" s="54"/>
      <c r="Q39" s="54"/>
      <c r="R39" s="54"/>
      <c r="S39" s="54"/>
      <c r="T39" s="46"/>
      <c r="U39" s="42"/>
      <c r="V39" s="24"/>
      <c r="W39" s="41"/>
      <c r="X39" s="52"/>
      <c r="Y39" s="52"/>
      <c r="Z39" s="52"/>
      <c r="AA39" s="52"/>
      <c r="AB39" s="52"/>
    </row>
    <row r="40" spans="1:28" x14ac:dyDescent="0.25">
      <c r="A40" s="72" t="s">
        <v>41</v>
      </c>
      <c r="B40" s="58">
        <f>SUM(B35:B37)+B32</f>
        <v>10.989851802</v>
      </c>
      <c r="C40" s="58">
        <f>SUM(C35:C37)+C32</f>
        <v>193.03548638600677</v>
      </c>
      <c r="D40" s="58">
        <f>SUM(D35:D37)+D32</f>
        <v>6.5575437594000014</v>
      </c>
      <c r="E40" s="58">
        <f>SUM(E35:E37)+E32</f>
        <v>64.929875450521322</v>
      </c>
      <c r="F40" s="58">
        <f>SUM(F35:F37)+F32</f>
        <v>14.288725490000001</v>
      </c>
      <c r="G40" s="197">
        <f t="shared" si="3"/>
        <v>289.8014828879281</v>
      </c>
      <c r="H40" s="3"/>
      <c r="I40" s="203"/>
      <c r="J40" s="51"/>
      <c r="K40" s="51"/>
      <c r="L40" s="51"/>
      <c r="M40" s="51"/>
      <c r="N40" s="53"/>
      <c r="O40" s="54"/>
      <c r="P40" s="54"/>
      <c r="Q40" s="54"/>
      <c r="R40" s="54"/>
      <c r="S40" s="54"/>
      <c r="T40" s="46"/>
      <c r="U40" s="48"/>
      <c r="V40" s="24"/>
      <c r="W40" s="47"/>
      <c r="X40" s="52"/>
      <c r="Y40" s="52"/>
      <c r="Z40" s="52"/>
      <c r="AA40" s="52"/>
      <c r="AB40" s="52"/>
    </row>
    <row r="41" spans="1:28" x14ac:dyDescent="0.25">
      <c r="A41" s="198" t="s">
        <v>43</v>
      </c>
      <c r="B41" s="201">
        <f>(Résultats!X$102+Résultats!X$129+Résultats!X$130+Résultats!X$131+Résultats!X$132+Résultats!X$133+Résultats!X$134+Résultats!X$135+Résultats!X$136)/1000000</f>
        <v>10.989851801999999</v>
      </c>
      <c r="C41" s="201">
        <f>(Résultats!X$104+Résultats!X$139+Résultats!X$140+Résultats!X$141+Résultats!X$142+Résultats!X$143+Résultats!X$144+Résultats!X$145+Résultats!X$146+Résultats!X$147+Résultats!X$148+Résultats!X$149+Résultats!X$150+Résultats!X$151+Résultats!X$152+Résultats!X$153+Résultats!X$154+Résultats!X$155+Résultats!X$156++Résultats!X$157)/1000000</f>
        <v>193.08640020735606</v>
      </c>
      <c r="D41" s="201">
        <f>(Résultats!X$159+Résultats!X$160+Résultats!X$161)/1000000</f>
        <v>6.5575437594000006</v>
      </c>
      <c r="E41" s="200">
        <f>(Résultats!X$106+Résultats!X$163+Résultats!X$164+Résultats!X$165+Résultats!X$166+Résultats!X$167+Résultats!X$168+Résultats!X$169+Résultats!X$170+Résultats!X$171+Résultats!X$172+Résultats!X$173+Résultats!X$174+Résultats!X$175+Résultats!X$176+Résultats!X$177+Résultats!X$178+Résultats!X$179+Résultats!X$180+Résultats!X$181+Résultats!X$182+Résultats!X$183)/1000000</f>
        <v>67.883595620888485</v>
      </c>
      <c r="F41" s="201">
        <f>Résultats!X$100/1000000</f>
        <v>14.288725490000001</v>
      </c>
      <c r="G41" s="202">
        <f t="shared" si="3"/>
        <v>292.80611687964455</v>
      </c>
      <c r="H41" s="3"/>
      <c r="I41" s="203"/>
      <c r="J41" s="51"/>
      <c r="K41" s="51"/>
      <c r="L41" s="51"/>
      <c r="M41" s="46"/>
      <c r="N41" s="24"/>
      <c r="O41" s="51"/>
      <c r="P41" s="51"/>
      <c r="Q41" s="51"/>
      <c r="R41" s="51"/>
      <c r="S41" s="46"/>
      <c r="T41" s="46"/>
      <c r="U41" s="24"/>
      <c r="V41" s="24"/>
      <c r="W41" s="24"/>
      <c r="X41" s="52"/>
      <c r="Y41" s="52"/>
      <c r="Z41" s="52"/>
      <c r="AA41" s="52"/>
      <c r="AB41" s="52"/>
    </row>
    <row r="42" spans="1:28" x14ac:dyDescent="0.25">
      <c r="A42" s="198"/>
      <c r="B42" s="199"/>
      <c r="C42" s="199"/>
      <c r="D42" s="199"/>
      <c r="E42" s="199"/>
      <c r="F42" s="199"/>
      <c r="G42" s="200">
        <f>Résultats!X$194/1000000</f>
        <v>293.095393</v>
      </c>
      <c r="H42" s="3"/>
      <c r="I42" s="203"/>
      <c r="J42" s="51"/>
      <c r="K42" s="51"/>
      <c r="L42" s="51"/>
      <c r="M42" s="46"/>
      <c r="N42" s="24"/>
      <c r="O42" s="51"/>
      <c r="P42" s="51"/>
      <c r="Q42" s="51"/>
      <c r="R42" s="51"/>
      <c r="S42" s="46"/>
      <c r="T42" s="46"/>
      <c r="U42" s="24"/>
      <c r="V42" s="24"/>
      <c r="W42" s="24"/>
      <c r="X42" s="52"/>
      <c r="Y42" s="52"/>
      <c r="Z42" s="52"/>
      <c r="AA42" s="52"/>
      <c r="AB42" s="52"/>
    </row>
    <row r="43" spans="1:28" x14ac:dyDescent="0.25">
      <c r="A43" s="3"/>
      <c r="B43" s="64"/>
      <c r="C43" s="64"/>
      <c r="D43" s="64"/>
      <c r="E43" s="64"/>
      <c r="F43" s="64"/>
      <c r="G43" s="69"/>
      <c r="H43" s="3"/>
      <c r="I43" s="203"/>
      <c r="J43" s="51"/>
      <c r="K43" s="51"/>
      <c r="L43" s="51"/>
      <c r="M43" s="46"/>
      <c r="N43" s="24"/>
      <c r="O43" s="51"/>
      <c r="P43" s="51"/>
      <c r="Q43" s="51"/>
      <c r="R43" s="51"/>
      <c r="S43" s="46"/>
      <c r="T43" s="46"/>
      <c r="U43" s="24"/>
      <c r="V43" s="24"/>
      <c r="W43" s="48"/>
      <c r="X43" s="52"/>
      <c r="Y43" s="52"/>
      <c r="Z43" s="52"/>
      <c r="AA43" s="52"/>
      <c r="AB43" s="52"/>
    </row>
    <row r="44" spans="1:28" ht="21" x14ac:dyDescent="0.35">
      <c r="A44" s="174">
        <v>2030</v>
      </c>
      <c r="B44" s="4" t="s">
        <v>36</v>
      </c>
      <c r="C44" s="4" t="s">
        <v>37</v>
      </c>
      <c r="D44" s="4" t="s">
        <v>38</v>
      </c>
      <c r="E44" s="4" t="s">
        <v>39</v>
      </c>
      <c r="F44" s="4" t="s">
        <v>40</v>
      </c>
      <c r="G44" s="118" t="s">
        <v>1</v>
      </c>
      <c r="H44" s="3"/>
      <c r="I44" s="25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W44" s="44"/>
      <c r="X44" s="44"/>
      <c r="Y44" s="44"/>
      <c r="Z44" s="44"/>
      <c r="AA44" s="44"/>
      <c r="AB44" s="52"/>
    </row>
    <row r="45" spans="1:28" x14ac:dyDescent="0.25">
      <c r="A45" s="195" t="s">
        <v>18</v>
      </c>
      <c r="B45" s="57">
        <f>B46+B47</f>
        <v>0</v>
      </c>
      <c r="C45" s="57">
        <f>C46+C47</f>
        <v>115.34512058818831</v>
      </c>
      <c r="D45" s="57">
        <f>D46+D47</f>
        <v>0.33914064396826704</v>
      </c>
      <c r="E45" s="61">
        <f>E46+E47</f>
        <v>2.0103585165140743</v>
      </c>
      <c r="F45" s="57">
        <f>F46+F47</f>
        <v>0</v>
      </c>
      <c r="G45" s="196">
        <f>SUM(B45:F45)</f>
        <v>117.69461974867065</v>
      </c>
      <c r="H45" s="3"/>
      <c r="I45" s="203"/>
      <c r="J45" s="51"/>
      <c r="K45" s="51"/>
      <c r="L45" s="51"/>
      <c r="M45" s="51"/>
      <c r="N45" s="53"/>
      <c r="O45" s="54"/>
      <c r="P45" s="54"/>
      <c r="Q45" s="54"/>
      <c r="R45" s="54"/>
      <c r="S45" s="54"/>
      <c r="T45" s="46"/>
      <c r="U45" s="34"/>
      <c r="W45" s="45"/>
      <c r="X45" s="52"/>
      <c r="Y45" s="52"/>
      <c r="Z45" s="52"/>
      <c r="AA45" s="52"/>
      <c r="AB45" s="52"/>
    </row>
    <row r="46" spans="1:28" x14ac:dyDescent="0.25">
      <c r="A46" s="177" t="s">
        <v>19</v>
      </c>
      <c r="B46" s="19">
        <v>0</v>
      </c>
      <c r="C46" s="19">
        <f>'T energie usages'!I77*3.2*Résultats!AC250</f>
        <v>60.885889378088301</v>
      </c>
      <c r="D46" s="19">
        <f>'T energie usages'!J77/'T energie usages'!J$85*(Résultats!AC$159+Résultats!AC$160+Résultats!AC$161)/1000000</f>
        <v>9.6919426459553565E-2</v>
      </c>
      <c r="E46" s="55">
        <f>'T energie usages'!K77*2.394*Résultats!AC251</f>
        <v>7.3273634074520931E-5</v>
      </c>
      <c r="F46" s="19">
        <v>0</v>
      </c>
      <c r="G46" s="120">
        <f>SUM(B46:F46)</f>
        <v>60.982882078181923</v>
      </c>
      <c r="H46" s="3"/>
      <c r="I46" s="203"/>
      <c r="J46" s="51"/>
      <c r="K46" s="51"/>
      <c r="L46" s="51"/>
      <c r="M46" s="51"/>
      <c r="N46" s="53"/>
      <c r="O46" s="54"/>
      <c r="P46" s="54"/>
      <c r="Q46" s="54"/>
      <c r="R46" s="54"/>
      <c r="S46" s="54"/>
      <c r="T46" s="46"/>
      <c r="U46" s="42"/>
      <c r="W46" s="41"/>
      <c r="X46" s="52"/>
      <c r="Y46" s="52"/>
      <c r="Z46" s="52"/>
      <c r="AA46" s="52"/>
      <c r="AB46" s="52"/>
    </row>
    <row r="47" spans="1:28" x14ac:dyDescent="0.25">
      <c r="A47" s="178" t="s">
        <v>20</v>
      </c>
      <c r="B47" s="19">
        <v>0</v>
      </c>
      <c r="C47" s="19">
        <f>(Résultats!AC$150+Résultats!AC$151+Résultats!AC$152+Résultats!AC$153+Résultats!AC$154)/1000000</f>
        <v>54.459231210100008</v>
      </c>
      <c r="D47" s="19">
        <f>'T energie usages'!J78/'T energie usages'!J$85*(Résultats!AC$159+Résultats!AC$160+Résultats!AC$161)/1000000</f>
        <v>0.2422212175087135</v>
      </c>
      <c r="E47" s="55">
        <f>(Résultats!AC$176+Résultats!AC$177+Résultats!AC$178+Résultats!AC$179+Résultats!AC$180)/1000000</f>
        <v>2.0102852428799998</v>
      </c>
      <c r="F47" s="19">
        <v>0</v>
      </c>
      <c r="G47" s="120">
        <f>SUM(B47:F47)</f>
        <v>56.711737670488723</v>
      </c>
      <c r="H47" s="3"/>
      <c r="I47" s="203"/>
      <c r="J47" s="51"/>
      <c r="K47" s="51"/>
      <c r="L47" s="51"/>
      <c r="M47" s="51"/>
      <c r="N47" s="53"/>
      <c r="O47" s="54"/>
      <c r="P47" s="54"/>
      <c r="Q47" s="54"/>
      <c r="R47" s="54"/>
      <c r="S47" s="54"/>
      <c r="T47" s="46"/>
      <c r="U47" s="42"/>
      <c r="W47" s="41"/>
      <c r="X47" s="52"/>
      <c r="Y47" s="52"/>
      <c r="Z47" s="52"/>
      <c r="AA47" s="52"/>
      <c r="AB47" s="52"/>
    </row>
    <row r="48" spans="1:28" x14ac:dyDescent="0.25">
      <c r="A48" s="195" t="s">
        <v>21</v>
      </c>
      <c r="B48" s="57">
        <f>Résultats!AC$102/1000000</f>
        <v>0.82108349000000003</v>
      </c>
      <c r="C48" s="57">
        <f>'T energie usages'!I79*3.2*Résultats!AC250</f>
        <v>16.429723941436983</v>
      </c>
      <c r="D48" s="57">
        <f>'T energie usages'!J79/'T energie usages'!J$85*(Résultats!AC$159+Résultats!AC$160+Résultats!AC$161)/1000000</f>
        <v>2.2168617191000912</v>
      </c>
      <c r="E48" s="57">
        <f>('T energie usages'!K79-8)*2.394*Résultats!AC251</f>
        <v>22.707743442902217</v>
      </c>
      <c r="F48" s="57">
        <v>0</v>
      </c>
      <c r="G48" s="196">
        <f>SUM(B48:F48)</f>
        <v>42.17541259343929</v>
      </c>
      <c r="H48" s="3"/>
      <c r="I48" s="203"/>
      <c r="J48" s="51"/>
      <c r="K48" s="51"/>
      <c r="L48" s="51"/>
      <c r="M48" s="51"/>
      <c r="N48" s="53"/>
      <c r="O48" s="54"/>
      <c r="P48" s="54"/>
      <c r="Q48" s="54"/>
      <c r="R48" s="54"/>
      <c r="S48" s="54"/>
      <c r="T48" s="46"/>
      <c r="U48" s="34"/>
      <c r="W48" s="45"/>
      <c r="X48" s="52"/>
      <c r="Y48" s="52"/>
      <c r="Z48" s="52"/>
      <c r="AA48" s="52"/>
      <c r="AB48" s="52"/>
    </row>
    <row r="49" spans="1:28" x14ac:dyDescent="0.25">
      <c r="A49" s="195" t="s">
        <v>22</v>
      </c>
      <c r="B49" s="57">
        <f>(Résultats!AC$135+Résultats!AC$136)/1000000</f>
        <v>0</v>
      </c>
      <c r="C49" s="57">
        <f>(Résultats!AC$155+Résultats!AC$156)/1000000</f>
        <v>6.9660101366999996</v>
      </c>
      <c r="D49" s="57">
        <f>'T energie usages'!J80/'T energie usages'!J$85*(Résultats!AC$159+Résultats!AC$160+Résultats!AC$161)/1000000</f>
        <v>1.9839586929795541</v>
      </c>
      <c r="E49" s="57">
        <f>(Résultats!AC$181+Résultats!AC$182)/1000000</f>
        <v>13.91519193099999</v>
      </c>
      <c r="F49" s="57">
        <v>0</v>
      </c>
      <c r="G49" s="196">
        <f t="shared" ref="G49:G53" si="4">SUM(B49:F49)</f>
        <v>22.865160760679544</v>
      </c>
      <c r="H49" s="3"/>
      <c r="I49" s="203"/>
      <c r="J49" s="51"/>
      <c r="K49" s="51"/>
      <c r="L49" s="51"/>
      <c r="M49" s="51"/>
      <c r="N49" s="53"/>
      <c r="O49" s="54"/>
      <c r="P49" s="54"/>
      <c r="Q49" s="54"/>
      <c r="R49" s="54"/>
      <c r="S49" s="54"/>
      <c r="T49" s="46"/>
      <c r="U49" s="34"/>
      <c r="W49" s="45"/>
      <c r="X49" s="52"/>
      <c r="Y49" s="52"/>
      <c r="Z49" s="52"/>
      <c r="AA49" s="52"/>
      <c r="AB49" s="52"/>
    </row>
    <row r="50" spans="1:28" x14ac:dyDescent="0.25">
      <c r="A50" s="195" t="s">
        <v>23</v>
      </c>
      <c r="B50" s="57">
        <f>B51+B52</f>
        <v>10.7276084879</v>
      </c>
      <c r="C50" s="57">
        <f>C51+C52</f>
        <v>51.4772487980036</v>
      </c>
      <c r="D50" s="57">
        <f>D51+D52</f>
        <v>1.708011072052088</v>
      </c>
      <c r="E50" s="57">
        <f>E51+E52</f>
        <v>27.849623242836142</v>
      </c>
      <c r="F50" s="57">
        <f>F51+F52</f>
        <v>14.59638638</v>
      </c>
      <c r="G50" s="196">
        <f t="shared" si="4"/>
        <v>106.35887798079183</v>
      </c>
      <c r="H50" s="3"/>
      <c r="I50" s="203"/>
      <c r="J50" s="51"/>
      <c r="K50" s="51"/>
      <c r="L50" s="51"/>
      <c r="M50" s="51"/>
      <c r="N50" s="53"/>
      <c r="O50" s="54"/>
      <c r="P50" s="54"/>
      <c r="Q50" s="54"/>
      <c r="R50" s="54"/>
      <c r="S50" s="54"/>
      <c r="T50" s="46"/>
      <c r="U50" s="34"/>
      <c r="W50" s="45"/>
      <c r="X50" s="52"/>
      <c r="Y50" s="52"/>
      <c r="Z50" s="52"/>
      <c r="AA50" s="52"/>
      <c r="AB50" s="52"/>
    </row>
    <row r="51" spans="1:28" x14ac:dyDescent="0.25">
      <c r="A51" s="178" t="s">
        <v>24</v>
      </c>
      <c r="B51" s="19">
        <f>(Résultats!AC$129+Résultats!AC$130+Résultats!AC$131+Résultats!AC$132+Résultats!AC$133+Résultats!AC$134)/1000000</f>
        <v>10.7276084879</v>
      </c>
      <c r="C51" s="19">
        <f>(Résultats!AC$138+Résultats!AC$140+Résultats!AC$141+Résultats!AC$142+Résultats!AC$143+Résultats!AC$144+Résultats!AC$145+Résultats!AC$146+Résultats!AC$147+Résultats!AC$148+Résultats!AC$149)/1000000</f>
        <v>43.8560960460036</v>
      </c>
      <c r="D51" s="19">
        <f>'T energie usages'!J82/'T energie usages'!J$85*(Résultats!AC$159+Résultats!AC$160+Résultats!AC$161)/1000000</f>
        <v>1.6579950517466835</v>
      </c>
      <c r="E51" s="19">
        <f>(Résultats!AC$164+Résultats!AC$165+Résultats!AC$166+Résultats!AC$167+Résultats!AC$168+Résultats!AC$169+Résultats!AC$170+Résultats!AC$171+Résultats!AC$172+Résultats!AC$173+Résultats!AC$174+Résultats!AC$175+Résultats!AC$183+Résultats!AC$185)/1000000</f>
        <v>27.211744392236142</v>
      </c>
      <c r="F51" s="19">
        <f>Résultats!AC$100/1000000</f>
        <v>14.59638638</v>
      </c>
      <c r="G51" s="120">
        <f t="shared" si="4"/>
        <v>98.049830357886421</v>
      </c>
      <c r="H51" s="3"/>
      <c r="I51" s="203"/>
      <c r="J51" s="51"/>
      <c r="K51" s="51"/>
      <c r="L51" s="51"/>
      <c r="M51" s="51"/>
      <c r="N51" s="53"/>
      <c r="O51" s="54"/>
      <c r="P51" s="54"/>
      <c r="Q51" s="54"/>
      <c r="R51" s="54"/>
      <c r="S51" s="54"/>
      <c r="T51" s="46"/>
      <c r="U51" s="42"/>
      <c r="W51" s="41"/>
      <c r="X51" s="52"/>
      <c r="Y51" s="52"/>
      <c r="Z51" s="52"/>
      <c r="AA51" s="52"/>
      <c r="AB51" s="52"/>
    </row>
    <row r="52" spans="1:28" x14ac:dyDescent="0.25">
      <c r="A52" s="178" t="s">
        <v>25</v>
      </c>
      <c r="B52" s="19">
        <v>0</v>
      </c>
      <c r="C52" s="19">
        <f>(Résultats!AC$139)/1000000</f>
        <v>7.6211527520000004</v>
      </c>
      <c r="D52" s="19">
        <f>'T energie usages'!J84/'T energie usages'!J$85*(Résultats!AC$159+Résultats!AC$160+Résultats!AC$161)/1000000</f>
        <v>5.0016020305404557E-2</v>
      </c>
      <c r="E52" s="19">
        <f>(Résultats!AC$163)/1000000</f>
        <v>0.63787885060000005</v>
      </c>
      <c r="F52" s="19">
        <v>0</v>
      </c>
      <c r="G52" s="120">
        <f t="shared" si="4"/>
        <v>8.3090476229054051</v>
      </c>
      <c r="H52" s="3"/>
      <c r="I52" s="203"/>
      <c r="J52" s="51"/>
      <c r="K52" s="51"/>
      <c r="L52" s="51"/>
      <c r="M52" s="51"/>
      <c r="N52" s="53"/>
      <c r="O52" s="54"/>
      <c r="P52" s="54"/>
      <c r="Q52" s="54"/>
      <c r="R52" s="54"/>
      <c r="S52" s="54"/>
      <c r="T52" s="46"/>
      <c r="U52" s="42"/>
      <c r="W52" s="41"/>
      <c r="X52" s="52"/>
      <c r="Y52" s="52"/>
      <c r="Z52" s="52"/>
      <c r="AA52" s="52"/>
      <c r="AB52" s="52"/>
    </row>
    <row r="53" spans="1:28" x14ac:dyDescent="0.25">
      <c r="A53" s="72" t="s">
        <v>41</v>
      </c>
      <c r="B53" s="58">
        <f>SUM(B48:B50)+B45</f>
        <v>11.548691977899999</v>
      </c>
      <c r="C53" s="58">
        <f>SUM(C48:C50)+C45</f>
        <v>190.21810346432889</v>
      </c>
      <c r="D53" s="58">
        <f>SUM(D48:D50)+D45</f>
        <v>6.2479721280999998</v>
      </c>
      <c r="E53" s="58">
        <f>SUM(E48:E50)+E45</f>
        <v>66.482917133252428</v>
      </c>
      <c r="F53" s="58">
        <f>SUM(F48:F50)+F45</f>
        <v>14.59638638</v>
      </c>
      <c r="G53" s="197">
        <f t="shared" si="4"/>
        <v>289.09407108358135</v>
      </c>
      <c r="H53" s="3"/>
      <c r="I53" s="203"/>
      <c r="J53" s="51"/>
      <c r="K53" s="51"/>
      <c r="L53" s="51"/>
      <c r="M53" s="51"/>
      <c r="N53" s="53"/>
      <c r="O53" s="54"/>
      <c r="P53" s="54"/>
      <c r="Q53" s="54"/>
      <c r="R53" s="54"/>
      <c r="S53" s="54"/>
      <c r="T53" s="46"/>
      <c r="U53" s="48"/>
      <c r="W53" s="47"/>
      <c r="X53" s="52"/>
      <c r="Y53" s="52"/>
      <c r="Z53" s="52"/>
      <c r="AA53" s="52"/>
      <c r="AB53" s="52"/>
    </row>
    <row r="54" spans="1:28" x14ac:dyDescent="0.25">
      <c r="A54" s="198" t="s">
        <v>43</v>
      </c>
      <c r="B54" s="201">
        <f>(Résultats!AC$102+Résultats!AC$129+Résultats!AC$130+Résultats!AC$131+Résultats!AC$132+Résultats!AC$133+Résultats!AC$134+Résultats!AC$135+Résultats!AC$136)/1000000</f>
        <v>11.548691977900001</v>
      </c>
      <c r="C54" s="201">
        <f>(Résultats!AC$104+Résultats!AC$138+Résultats!AC$139+Résultats!AC$140+Résultats!AC$141+Résultats!AC$142+Résultats!AC$143+Résultats!AC$144+Résultats!AC$145+Résultats!AC$146+Résultats!AC$147+Résultats!AC$148+Résultats!AC$149+Résultats!AC$150+Résultats!AC$151+Résultats!AC$152+Résultats!AC$153+Résultats!AC$154+Résultats!AC$155+Résultats!AC$156)/1000000</f>
        <v>190.26482541480362</v>
      </c>
      <c r="D54" s="201">
        <f>(Résultats!AC$159+Résultats!AC$160+Résultats!AC$161)/1000000</f>
        <v>6.2479721281000007</v>
      </c>
      <c r="E54" s="200">
        <f>(Résultats!AC$106+Résultats!AC$163+Résultats!AC$164+Résultats!AC$165+Résultats!AC$166+Résultats!AC$167+Résultats!AC$168+Résultats!AC$169+Résultats!AC$170+Résultats!AC$171+Résultats!AC$172+Résultats!AC$173+Résultats!AC$174+Résultats!AC$175+Résultats!AC$176+Résultats!AC$177+Résultats!AC$178+Résultats!AC$179+Résultats!AC$180+Résultats!AC$181+Résultats!AC$182+Résultats!AC$183)/1000000</f>
        <v>68.144659144416153</v>
      </c>
      <c r="F54" s="201">
        <f>Résultats!AC$100/1000000</f>
        <v>14.59638638</v>
      </c>
      <c r="G54" s="202">
        <f>SUM(B54:F54)</f>
        <v>290.80253504521977</v>
      </c>
      <c r="H54" s="3"/>
      <c r="I54" s="203"/>
      <c r="J54" s="51"/>
      <c r="K54" s="51"/>
      <c r="L54" s="51"/>
      <c r="M54" s="46"/>
      <c r="O54" s="51"/>
      <c r="P54" s="51"/>
      <c r="Q54" s="51"/>
      <c r="R54" s="51"/>
      <c r="S54" s="46"/>
      <c r="T54" s="46"/>
      <c r="X54" s="52"/>
      <c r="Y54" s="52"/>
      <c r="Z54" s="52"/>
      <c r="AA54" s="52"/>
      <c r="AB54" s="52"/>
    </row>
    <row r="55" spans="1:28" x14ac:dyDescent="0.25">
      <c r="A55" s="198"/>
      <c r="B55" s="199"/>
      <c r="C55" s="199"/>
      <c r="D55" s="199"/>
      <c r="E55" s="199"/>
      <c r="F55" s="199"/>
      <c r="G55" s="200">
        <f>Résultats!AC$194/1000000</f>
        <v>291.08841669999998</v>
      </c>
      <c r="H55" s="3"/>
      <c r="I55" s="203"/>
      <c r="J55" s="51"/>
      <c r="K55" s="51"/>
      <c r="L55" s="51"/>
      <c r="M55" s="46"/>
      <c r="O55" s="51"/>
      <c r="P55" s="51"/>
      <c r="Q55" s="51"/>
      <c r="R55" s="51"/>
      <c r="S55" s="46"/>
      <c r="T55" s="46"/>
      <c r="W55" s="48"/>
      <c r="X55" s="52"/>
      <c r="Y55" s="52"/>
      <c r="Z55" s="52"/>
      <c r="AA55" s="52"/>
      <c r="AB55" s="52"/>
    </row>
    <row r="56" spans="1:28" x14ac:dyDescent="0.25">
      <c r="A56" s="3"/>
      <c r="B56" s="64"/>
      <c r="C56" s="64"/>
      <c r="D56" s="64"/>
      <c r="E56" s="64"/>
      <c r="F56" s="64"/>
      <c r="G56" s="3"/>
      <c r="H56" s="3"/>
      <c r="I56" s="203"/>
      <c r="J56" s="51"/>
      <c r="K56" s="51"/>
      <c r="L56" s="51"/>
      <c r="M56" s="46"/>
      <c r="O56" s="51"/>
      <c r="P56" s="51"/>
      <c r="Q56" s="51"/>
      <c r="R56" s="51"/>
      <c r="S56" s="46"/>
      <c r="T56" s="46"/>
      <c r="W56" s="49"/>
      <c r="X56" s="52"/>
      <c r="Y56" s="52"/>
      <c r="Z56" s="52"/>
      <c r="AA56" s="52"/>
      <c r="AB56" s="52"/>
    </row>
    <row r="57" spans="1:28" ht="21" x14ac:dyDescent="0.35">
      <c r="A57" s="174">
        <v>2035</v>
      </c>
      <c r="B57" s="4" t="s">
        <v>36</v>
      </c>
      <c r="C57" s="4" t="s">
        <v>37</v>
      </c>
      <c r="D57" s="4" t="s">
        <v>38</v>
      </c>
      <c r="E57" s="4" t="s">
        <v>39</v>
      </c>
      <c r="F57" s="4" t="s">
        <v>40</v>
      </c>
      <c r="G57" s="118" t="s">
        <v>1</v>
      </c>
      <c r="H57" s="3"/>
      <c r="I57" s="25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W57" s="44"/>
      <c r="X57" s="44"/>
      <c r="Y57" s="44"/>
      <c r="Z57" s="44"/>
      <c r="AA57" s="44"/>
      <c r="AB57" s="52"/>
    </row>
    <row r="58" spans="1:28" x14ac:dyDescent="0.25">
      <c r="A58" s="195" t="s">
        <v>18</v>
      </c>
      <c r="B58" s="57">
        <f>B59+B60</f>
        <v>0</v>
      </c>
      <c r="C58" s="57">
        <f>C59+C60</f>
        <v>106.05176394537428</v>
      </c>
      <c r="D58" s="57">
        <f>D59+D60</f>
        <v>0.45990707233882533</v>
      </c>
      <c r="E58" s="61">
        <f>E59+E60</f>
        <v>3.3105372750575586</v>
      </c>
      <c r="F58" s="57">
        <f>F59+F60</f>
        <v>0</v>
      </c>
      <c r="G58" s="196">
        <f t="shared" ref="G58:G67" si="5">SUM(B58:F58)</f>
        <v>109.82220829277065</v>
      </c>
      <c r="H58" s="3"/>
      <c r="I58" s="203"/>
      <c r="J58" s="51"/>
      <c r="K58" s="51"/>
      <c r="L58" s="51"/>
      <c r="M58" s="51"/>
      <c r="N58" s="53"/>
      <c r="O58" s="51"/>
      <c r="P58" s="51"/>
      <c r="Q58" s="51"/>
      <c r="R58" s="51"/>
      <c r="S58" s="51"/>
      <c r="T58" s="46"/>
      <c r="U58" s="34"/>
      <c r="W58" s="45"/>
      <c r="X58" s="52"/>
      <c r="Y58" s="52"/>
      <c r="Z58" s="52"/>
      <c r="AA58" s="52"/>
      <c r="AB58" s="52"/>
    </row>
    <row r="59" spans="1:28" x14ac:dyDescent="0.25">
      <c r="A59" s="177" t="s">
        <v>19</v>
      </c>
      <c r="B59" s="19">
        <v>0</v>
      </c>
      <c r="C59" s="19">
        <f>'T energie usages'!I90*3.2*Résultats!AH250</f>
        <v>53.385811111674272</v>
      </c>
      <c r="D59" s="19">
        <f>'T energie usages'!J90/'T energie usages'!J$98*(Résultats!AH$159+Résultats!AH$160+Résultats!AH$161)/1000000</f>
        <v>0.17193756815220959</v>
      </c>
      <c r="E59" s="55">
        <f>'T energie usages'!K90*2.394*Résultats!AH251</f>
        <v>8.7045927558715211E-5</v>
      </c>
      <c r="F59" s="19">
        <v>0</v>
      </c>
      <c r="G59" s="120">
        <f t="shared" si="5"/>
        <v>53.557835725754039</v>
      </c>
      <c r="H59" s="3"/>
      <c r="I59" s="203"/>
      <c r="J59" s="51"/>
      <c r="K59" s="51"/>
      <c r="L59" s="51"/>
      <c r="M59" s="51"/>
      <c r="N59" s="53"/>
      <c r="O59" s="51"/>
      <c r="P59" s="51"/>
      <c r="Q59" s="51"/>
      <c r="R59" s="51"/>
      <c r="S59" s="51"/>
      <c r="T59" s="46"/>
      <c r="U59" s="42"/>
      <c r="W59" s="41"/>
      <c r="X59" s="52"/>
      <c r="Y59" s="52"/>
      <c r="Z59" s="52"/>
      <c r="AA59" s="52"/>
      <c r="AB59" s="52"/>
    </row>
    <row r="60" spans="1:28" x14ac:dyDescent="0.25">
      <c r="A60" s="178" t="s">
        <v>20</v>
      </c>
      <c r="B60" s="19">
        <v>0</v>
      </c>
      <c r="C60" s="19">
        <f>(Résultats!AH$150+Résultats!AH$151+Résultats!AH$152+Résultats!AH$153+Résultats!AH$154)/1000000</f>
        <v>52.665952833700004</v>
      </c>
      <c r="D60" s="19">
        <f>'T energie usages'!J91/'T energie usages'!J$98*(Résultats!AH$159+Résultats!AH$160+Résultats!AH$161)/1000000</f>
        <v>0.28796950418661577</v>
      </c>
      <c r="E60" s="55">
        <f>(Résultats!AH$176+Résultats!AH$177+Résultats!AH$178+Résultats!AH$179+Résultats!AH$180)/1000000</f>
        <v>3.3104502291299998</v>
      </c>
      <c r="F60" s="19">
        <v>0</v>
      </c>
      <c r="G60" s="120">
        <f t="shared" si="5"/>
        <v>56.264372567016615</v>
      </c>
      <c r="H60" s="3"/>
      <c r="I60" s="203"/>
      <c r="J60" s="51"/>
      <c r="K60" s="51"/>
      <c r="L60" s="51"/>
      <c r="M60" s="51"/>
      <c r="N60" s="53"/>
      <c r="O60" s="51"/>
      <c r="P60" s="51"/>
      <c r="Q60" s="51"/>
      <c r="R60" s="51"/>
      <c r="S60" s="51"/>
      <c r="T60" s="46"/>
      <c r="U60" s="42"/>
      <c r="W60" s="41"/>
      <c r="X60" s="52"/>
      <c r="Y60" s="52"/>
      <c r="Z60" s="52"/>
      <c r="AA60" s="52"/>
      <c r="AB60" s="52"/>
    </row>
    <row r="61" spans="1:28" x14ac:dyDescent="0.25">
      <c r="A61" s="195" t="s">
        <v>21</v>
      </c>
      <c r="B61" s="57">
        <f>Résultats!AH$102/1000000</f>
        <v>0.78869894029999998</v>
      </c>
      <c r="C61" s="57">
        <f>'T energie usages'!I92*3.2*Résultats!AH250</f>
        <v>16.296078530282905</v>
      </c>
      <c r="D61" s="57">
        <f>'T energie usages'!J92/'T energie usages'!J$98*(Résultats!AH$159+Résultats!AH$160+Résultats!AH$161)/1000000</f>
        <v>2.2679435714415703</v>
      </c>
      <c r="E61" s="57">
        <f>('T energie usages'!K92-8)*2.394*Résultats!AH251</f>
        <v>23.351405195876556</v>
      </c>
      <c r="F61" s="57">
        <v>0</v>
      </c>
      <c r="G61" s="196">
        <f t="shared" si="5"/>
        <v>42.704126237901036</v>
      </c>
      <c r="H61" s="3"/>
      <c r="I61" s="203"/>
      <c r="J61" s="51"/>
      <c r="K61" s="51"/>
      <c r="L61" s="51"/>
      <c r="M61" s="51"/>
      <c r="N61" s="53"/>
      <c r="O61" s="51"/>
      <c r="P61" s="51"/>
      <c r="Q61" s="51"/>
      <c r="R61" s="51"/>
      <c r="S61" s="51"/>
      <c r="T61" s="46"/>
      <c r="U61" s="34"/>
      <c r="W61" s="45"/>
      <c r="X61" s="52"/>
      <c r="Y61" s="52"/>
      <c r="Z61" s="52"/>
      <c r="AA61" s="52"/>
      <c r="AB61" s="52"/>
    </row>
    <row r="62" spans="1:28" x14ac:dyDescent="0.25">
      <c r="A62" s="195" t="s">
        <v>22</v>
      </c>
      <c r="B62" s="57">
        <f>(Résultats!AH$135+Résultats!AH$136)/1000000</f>
        <v>0</v>
      </c>
      <c r="C62" s="57">
        <f>(Résultats!AH$155+Résultats!AH$156)/1000000</f>
        <v>6.1989617515999997</v>
      </c>
      <c r="D62" s="57">
        <f>'T energie usages'!J93/'T energie usages'!J$98*(Résultats!AH$159+Résultats!AH$160+Résultats!AH$161)/1000000</f>
        <v>1.9718048410413105</v>
      </c>
      <c r="E62" s="57">
        <f>(Résultats!AH$181+Résultats!AH$182)/1000000</f>
        <v>13.019796672</v>
      </c>
      <c r="F62" s="57">
        <v>0</v>
      </c>
      <c r="G62" s="196">
        <f t="shared" si="5"/>
        <v>21.190563264641312</v>
      </c>
      <c r="H62" s="3"/>
      <c r="I62" s="203"/>
      <c r="J62" s="51"/>
      <c r="K62" s="51"/>
      <c r="L62" s="51"/>
      <c r="M62" s="51"/>
      <c r="N62" s="53"/>
      <c r="O62" s="51"/>
      <c r="P62" s="51"/>
      <c r="Q62" s="51"/>
      <c r="R62" s="51"/>
      <c r="S62" s="51"/>
      <c r="T62" s="46"/>
      <c r="U62" s="34"/>
      <c r="W62" s="45"/>
      <c r="X62" s="52"/>
      <c r="Y62" s="52"/>
      <c r="Z62" s="52"/>
      <c r="AA62" s="52"/>
      <c r="AB62" s="52"/>
    </row>
    <row r="63" spans="1:28" x14ac:dyDescent="0.25">
      <c r="A63" s="195" t="s">
        <v>23</v>
      </c>
      <c r="B63" s="57">
        <f>B64+B65</f>
        <v>10.9276341134</v>
      </c>
      <c r="C63" s="57">
        <f>C64+C65</f>
        <v>54.68711798691465</v>
      </c>
      <c r="D63" s="57">
        <f>D64+D65</f>
        <v>1.7526324417782939</v>
      </c>
      <c r="E63" s="57">
        <f>E64+E65</f>
        <v>27.715032424182819</v>
      </c>
      <c r="F63" s="57">
        <f>F64+F65</f>
        <v>14.92464232</v>
      </c>
      <c r="G63" s="196">
        <f t="shared" si="5"/>
        <v>110.00705928627576</v>
      </c>
      <c r="H63" s="3"/>
      <c r="I63" s="203"/>
      <c r="J63" s="51"/>
      <c r="K63" s="51"/>
      <c r="L63" s="51"/>
      <c r="M63" s="51"/>
      <c r="N63" s="53"/>
      <c r="O63" s="51"/>
      <c r="P63" s="51"/>
      <c r="Q63" s="51"/>
      <c r="R63" s="51"/>
      <c r="S63" s="51"/>
      <c r="T63" s="46"/>
      <c r="U63" s="34"/>
      <c r="W63" s="45"/>
      <c r="X63" s="52"/>
      <c r="Y63" s="52"/>
      <c r="Z63" s="52"/>
      <c r="AA63" s="52"/>
      <c r="AB63" s="52"/>
    </row>
    <row r="64" spans="1:28" x14ac:dyDescent="0.25">
      <c r="A64" s="178" t="s">
        <v>24</v>
      </c>
      <c r="B64" s="99">
        <f>(Résultats!AH$129+Résultats!AH$130+Résultats!AH$131+Résultats!AH$132+Résultats!AH$133+Résultats!AH$134)/1000000</f>
        <v>10.9276341134</v>
      </c>
      <c r="C64" s="19">
        <f>(Résultats!AH$138+Résultats!AH$140+Résultats!AH$141+Résultats!AH$142+Résultats!AH$143+Résultats!AH$144+Résultats!AH$145+Résultats!AH$146+Résultats!AH$147+Résultats!AH$148+Résultats!AH$149)/1000000</f>
        <v>46.436358990914648</v>
      </c>
      <c r="D64" s="19">
        <f>'T energie usages'!J95/'T energie usages'!J$98*(Résultats!AH$159+Résultats!AH$160+Résultats!AH$161)/1000000</f>
        <v>1.7008599214598854</v>
      </c>
      <c r="E64" s="19">
        <f>(Résultats!AH$164+Résultats!AH$165+Résultats!AH$166+Résultats!AH$167+Résultats!AH$168+Résultats!AH$169+Résultats!AH$170+Résultats!AH$171+Résultats!AH$172+Résultats!AH$173+Résultats!AH$174+Résultats!AH$175+Résultats!AH$183+Résultats!AH$185)/1000000</f>
        <v>27.066457127782819</v>
      </c>
      <c r="F64" s="19">
        <f>Résultats!AH$100/1000000</f>
        <v>14.92464232</v>
      </c>
      <c r="G64" s="120">
        <f t="shared" si="5"/>
        <v>101.05595247355735</v>
      </c>
      <c r="H64" s="3"/>
      <c r="I64" s="203"/>
      <c r="K64" s="51"/>
      <c r="L64" s="51"/>
      <c r="M64" s="51"/>
      <c r="N64" s="53"/>
      <c r="O64" s="51"/>
      <c r="P64" s="51"/>
      <c r="Q64" s="51"/>
      <c r="R64" s="51"/>
      <c r="S64" s="51"/>
      <c r="T64" s="46"/>
      <c r="U64" s="42"/>
      <c r="W64" s="41"/>
      <c r="X64" s="52"/>
      <c r="Y64" s="52"/>
      <c r="Z64" s="52"/>
      <c r="AA64" s="52"/>
      <c r="AB64" s="52"/>
    </row>
    <row r="65" spans="1:28" x14ac:dyDescent="0.25">
      <c r="A65" s="178" t="s">
        <v>25</v>
      </c>
      <c r="B65" s="19">
        <v>0</v>
      </c>
      <c r="C65" s="19">
        <f>(Résultats!AH$139)/1000000</f>
        <v>8.2507589960000001</v>
      </c>
      <c r="D65" s="19">
        <f>'T energie usages'!J97/'T energie usages'!J$98*(Résultats!AH$159+Résultats!AH$160+Résultats!AH$161)/1000000</f>
        <v>5.1772520318408469E-2</v>
      </c>
      <c r="E65" s="19">
        <f>(Résultats!AH$163)/1000000</f>
        <v>0.6485752964</v>
      </c>
      <c r="F65" s="19">
        <v>0</v>
      </c>
      <c r="G65" s="120">
        <f t="shared" si="5"/>
        <v>8.9511068127184092</v>
      </c>
      <c r="H65" s="3"/>
      <c r="I65" s="203"/>
      <c r="K65" s="51"/>
      <c r="L65" s="51"/>
      <c r="M65" s="51"/>
      <c r="N65" s="53"/>
      <c r="O65" s="51"/>
      <c r="P65" s="51"/>
      <c r="Q65" s="51"/>
      <c r="R65" s="51"/>
      <c r="S65" s="51"/>
      <c r="T65" s="46"/>
      <c r="U65" s="42"/>
      <c r="W65" s="41"/>
      <c r="X65" s="52"/>
      <c r="Y65" s="52"/>
      <c r="Z65" s="52"/>
      <c r="AA65" s="52"/>
      <c r="AB65" s="52"/>
    </row>
    <row r="66" spans="1:28" x14ac:dyDescent="0.25">
      <c r="A66" s="72" t="s">
        <v>41</v>
      </c>
      <c r="B66" s="58">
        <f>SUM(B61:B63)+B58</f>
        <v>11.7163330537</v>
      </c>
      <c r="C66" s="58">
        <f>SUM(C61:C63)+C58</f>
        <v>183.23392221417183</v>
      </c>
      <c r="D66" s="58">
        <f>SUM(D61:D63)+D58</f>
        <v>6.4522879265999995</v>
      </c>
      <c r="E66" s="58">
        <f>SUM(E61:E63)+E58</f>
        <v>67.396771567116929</v>
      </c>
      <c r="F66" s="58">
        <f>SUM(F61:F63)+F58</f>
        <v>14.92464232</v>
      </c>
      <c r="G66" s="204">
        <f t="shared" si="5"/>
        <v>283.72395708158876</v>
      </c>
      <c r="H66" s="3"/>
      <c r="I66" s="105"/>
      <c r="J66" s="100"/>
      <c r="K66" s="51"/>
      <c r="L66" s="51"/>
      <c r="M66" s="51"/>
      <c r="N66" s="53"/>
      <c r="O66" s="51"/>
      <c r="P66" s="51"/>
      <c r="Q66" s="51"/>
      <c r="R66" s="51"/>
      <c r="S66" s="51"/>
      <c r="T66" s="46"/>
      <c r="U66" s="48"/>
      <c r="W66" s="47"/>
      <c r="X66" s="52"/>
      <c r="Y66" s="52"/>
      <c r="Z66" s="52"/>
      <c r="AA66" s="52"/>
      <c r="AB66" s="52"/>
    </row>
    <row r="67" spans="1:28" x14ac:dyDescent="0.25">
      <c r="A67" s="198" t="s">
        <v>43</v>
      </c>
      <c r="B67" s="201">
        <f>(Résultats!AH$102+Résultats!AH$129+Résultats!AH$130+Résultats!AH$131+Résultats!AH$132+Résultats!AH$133+Résultats!AH$134+Résultats!AH$135+Résultats!AH$136)/1000000</f>
        <v>11.7163330537</v>
      </c>
      <c r="C67" s="201">
        <f>(Résultats!AH$104+Résultats!AH$138+Résultats!AH$139+Résultats!AH$140+Résultats!AH$141+Résultats!AH$142+Résultats!AH$143+Résultats!AH$144+Résultats!AH$145+Résultats!AH$146+Résultats!AH$147+Résultats!AH$148+Résultats!AH$149+Résultats!AH$150+Résultats!AH$151+Résultats!AH$152+Résultats!AH$153+Résultats!AH$154+Résultats!AH$155+Résultats!AH$156)/1000000</f>
        <v>183.27603110221472</v>
      </c>
      <c r="D67" s="201">
        <f>(Résultats!AH$159+Résultats!AH$160+Résultats!AH$161)/1000000</f>
        <v>6.4522879265999995</v>
      </c>
      <c r="E67" s="200">
        <f>(Résultats!AH$106+Résultats!AH$163+Résultats!AH$164+Résultats!AH$165+Résultats!AH$166+Résultats!AH$167+Résultats!AH$168+Résultats!AH$169+Résultats!AH$170+Résultats!AH$171+Résultats!AH$172+Résultats!AH$173+Résultats!AH$174+Résultats!AH$175+Résultats!AH$176+Résultats!AH$177+Résultats!AH$178+Résultats!AH$179+Résultats!AH$180+Résultats!AH$181+Résultats!AH$182+Résultats!AH$183)/1000000</f>
        <v>67.649492692512823</v>
      </c>
      <c r="F67" s="201">
        <f>Résultats!AH$100/1000000</f>
        <v>14.92464232</v>
      </c>
      <c r="G67" s="202">
        <f t="shared" si="5"/>
        <v>284.01878709502751</v>
      </c>
      <c r="H67" s="3"/>
      <c r="I67" s="69"/>
      <c r="K67" s="24"/>
      <c r="L67" s="51"/>
    </row>
    <row r="68" spans="1:28" x14ac:dyDescent="0.25">
      <c r="A68" s="198"/>
      <c r="B68" s="198"/>
      <c r="C68" s="198"/>
      <c r="D68" s="198"/>
      <c r="E68" s="198"/>
      <c r="F68" s="198"/>
      <c r="G68" s="200">
        <f>Résultats!AH$194/1000000</f>
        <v>284.29974369999996</v>
      </c>
      <c r="H68" s="3"/>
      <c r="I68" s="69"/>
      <c r="K68" s="24"/>
      <c r="L68" s="51"/>
    </row>
    <row r="69" spans="1:28" x14ac:dyDescent="0.25">
      <c r="A69" s="3"/>
      <c r="B69" s="3"/>
      <c r="C69" s="3"/>
      <c r="D69" s="3"/>
      <c r="E69" s="3"/>
      <c r="F69" s="3"/>
      <c r="G69" s="3"/>
      <c r="H69" s="3"/>
      <c r="I69" s="69"/>
      <c r="K69" s="24"/>
      <c r="L69" s="51"/>
    </row>
    <row r="70" spans="1:28" ht="21" x14ac:dyDescent="0.35">
      <c r="A70" s="174">
        <v>2050</v>
      </c>
      <c r="B70" s="4" t="s">
        <v>36</v>
      </c>
      <c r="C70" s="4" t="s">
        <v>37</v>
      </c>
      <c r="D70" s="4" t="s">
        <v>38</v>
      </c>
      <c r="E70" s="4" t="s">
        <v>39</v>
      </c>
      <c r="F70" s="4" t="s">
        <v>40</v>
      </c>
      <c r="G70" s="118" t="s">
        <v>1</v>
      </c>
      <c r="H70" s="3"/>
      <c r="I70" s="3"/>
    </row>
    <row r="71" spans="1:28" x14ac:dyDescent="0.25">
      <c r="A71" s="195" t="s">
        <v>18</v>
      </c>
      <c r="B71" s="57">
        <f>B72+B73</f>
        <v>0.39512758279999999</v>
      </c>
      <c r="C71" s="57">
        <f>C72+C73</f>
        <v>90.916901455382444</v>
      </c>
      <c r="D71" s="57">
        <f>D72+D73</f>
        <v>1.2990064400782544</v>
      </c>
      <c r="E71" s="57">
        <f>E72+E73</f>
        <v>5.091136020139599</v>
      </c>
      <c r="F71" s="57">
        <f>F72+F73</f>
        <v>0</v>
      </c>
      <c r="G71" s="196">
        <f t="shared" ref="G71:G80" si="6">SUM(B71:F71)</f>
        <v>97.702171498400304</v>
      </c>
      <c r="H71" s="3"/>
      <c r="I71" s="3"/>
    </row>
    <row r="72" spans="1:28" x14ac:dyDescent="0.25">
      <c r="A72" s="177" t="s">
        <v>19</v>
      </c>
      <c r="B72" s="19">
        <f>Résultats!AF$118/1000000</f>
        <v>0.39512758279999999</v>
      </c>
      <c r="C72" s="19">
        <f>'T energie usages'!I116*3.2*Résultats!AW250</f>
        <v>32.896915420382463</v>
      </c>
      <c r="D72" s="19">
        <f>'T energie usages'!J116/'T energie usages'!J$124*(Résultats!AW$159+Résultats!AW$160+Résultats!AW$161)/1000000</f>
        <v>0.67594112285601282</v>
      </c>
      <c r="E72" s="19">
        <f>'T energie usages'!K116*2.394*Résultats!AW251</f>
        <v>1.0436840959886187E-4</v>
      </c>
      <c r="F72" s="19">
        <v>0</v>
      </c>
      <c r="G72" s="120">
        <f t="shared" si="6"/>
        <v>33.968088494448075</v>
      </c>
      <c r="H72" s="3"/>
      <c r="I72" s="3"/>
    </row>
    <row r="73" spans="1:28" x14ac:dyDescent="0.25">
      <c r="A73" s="178" t="s">
        <v>20</v>
      </c>
      <c r="B73" s="19">
        <v>0</v>
      </c>
      <c r="C73" s="19">
        <f>(Résultats!AW$150+Résultats!AW$151+Résultats!AW$152+Résultats!AW$153+Résultats!AW$154)/1000000</f>
        <v>58.019986034999981</v>
      </c>
      <c r="D73" s="19">
        <f>'T energie usages'!J117/'T energie usages'!J$124*(Résultats!AW$159+Résultats!AW$160+Résultats!AW$161)/1000000</f>
        <v>0.62306531722224157</v>
      </c>
      <c r="E73" s="19">
        <f>(Résultats!AW$176+Résultats!AW$177+Résultats!AW$178+Résultats!AW$179+Résultats!AW$180)/1000000</f>
        <v>5.0910316517299998</v>
      </c>
      <c r="F73" s="19">
        <v>0</v>
      </c>
      <c r="G73" s="120">
        <f t="shared" si="6"/>
        <v>63.734083003952222</v>
      </c>
      <c r="H73" s="3"/>
      <c r="I73" s="3"/>
    </row>
    <row r="74" spans="1:28" x14ac:dyDescent="0.25">
      <c r="A74" s="195" t="s">
        <v>21</v>
      </c>
      <c r="B74" s="57">
        <f>Résultats!AW$102/1000000</f>
        <v>0.6946770807</v>
      </c>
      <c r="C74" s="57">
        <f>'T energie usages'!I118*3.2*Résultats!AW250</f>
        <v>15.437650381926549</v>
      </c>
      <c r="D74" s="57">
        <f>'T energie usages'!J118/'T energie usages'!J$124*(Résultats!AW$159+Résultats!AW$160+Résultats!AW$161)/1000000</f>
        <v>3.9198180014968131</v>
      </c>
      <c r="E74" s="57">
        <f>('T energie usages'!K118-8)*2.394*Résultats!AW251</f>
        <v>23.780581689904579</v>
      </c>
      <c r="F74" s="57">
        <v>0</v>
      </c>
      <c r="G74" s="196">
        <f t="shared" si="6"/>
        <v>43.832727154027943</v>
      </c>
      <c r="H74" s="3"/>
      <c r="I74" s="3"/>
    </row>
    <row r="75" spans="1:28" x14ac:dyDescent="0.25">
      <c r="A75" s="195" t="s">
        <v>22</v>
      </c>
      <c r="B75" s="57">
        <f>(Résultats!AW$135+Résultats!AW$136)/1000000</f>
        <v>0</v>
      </c>
      <c r="C75" s="57">
        <f>(Résultats!AW$155+Résultats!AW$156)/1000000</f>
        <v>5.4939679625000002</v>
      </c>
      <c r="D75" s="57">
        <f>'T energie usages'!J119/'T energie usages'!J$124*(Résultats!AW$159+Résultats!AW$160+Résultats!AW$161)/1000000</f>
        <v>2.7420059345914369</v>
      </c>
      <c r="E75" s="57">
        <f>(Résultats!AW$181+Résultats!AW$182)/1000000</f>
        <v>9.8628954659999994</v>
      </c>
      <c r="F75" s="57">
        <v>0</v>
      </c>
      <c r="G75" s="196">
        <f t="shared" si="6"/>
        <v>18.098869363091438</v>
      </c>
      <c r="H75" s="3"/>
      <c r="I75" s="3"/>
    </row>
    <row r="76" spans="1:28" x14ac:dyDescent="0.25">
      <c r="A76" s="195" t="s">
        <v>23</v>
      </c>
      <c r="B76" s="57">
        <f>B77+B78</f>
        <v>11.212359678669999</v>
      </c>
      <c r="C76" s="57">
        <f>C77+C78</f>
        <v>62.684611492364382</v>
      </c>
      <c r="D76" s="57">
        <f>D77+D78</f>
        <v>3.5574010398334934</v>
      </c>
      <c r="E76" s="57">
        <f>E77+E78</f>
        <v>29.865053403030981</v>
      </c>
      <c r="F76" s="57">
        <f>F77+F78</f>
        <v>16.744129529999999</v>
      </c>
      <c r="G76" s="196">
        <f t="shared" si="6"/>
        <v>124.06355514389885</v>
      </c>
      <c r="H76" s="3"/>
      <c r="I76" s="3"/>
    </row>
    <row r="77" spans="1:28" x14ac:dyDescent="0.25">
      <c r="A77" s="178" t="s">
        <v>24</v>
      </c>
      <c r="B77" s="19">
        <f>(Résultats!AW$129+Résultats!AW$130+Résultats!AW$131+Résultats!AW$132+Résultats!AW$133+Résultats!AW$134)/1000000</f>
        <v>11.212359678669999</v>
      </c>
      <c r="C77" s="19">
        <f>(Résultats!AW$138+Résultats!AW$140+Résultats!AW$141+Résultats!AW$142+Résultats!AW$143+Résultats!AW$144+Résultats!AW$145+Résultats!AW$146+Résultats!AW$147+Résultats!AW$148+Résultats!AW$149)/1000000</f>
        <v>52.171256712364382</v>
      </c>
      <c r="D77" s="19">
        <f>'T energie usages'!J121/'T energie usages'!J$124*(Résultats!AW$159+Résultats!AW$160+Résultats!AW$161)/1000000</f>
        <v>3.4554549060195963</v>
      </c>
      <c r="E77" s="19">
        <f>(Résultats!AW162+Résultats!AW$164+Résultats!AW$165+Résultats!AW$166+Résultats!AW$167+Résultats!AW$168+Résultats!AW$169+Résultats!AW$170+Résultats!AW$171+Résultats!AW$172+Résultats!AW$173+Résultats!AW$174+Résultats!AW$175+Résultats!AW$183)/1000000</f>
        <v>29.112415748330982</v>
      </c>
      <c r="F77" s="19">
        <f>Résultats!AW$100/1000000</f>
        <v>16.744129529999999</v>
      </c>
      <c r="G77" s="120">
        <f t="shared" si="6"/>
        <v>112.69561657538496</v>
      </c>
      <c r="H77" s="3"/>
      <c r="I77" s="3"/>
    </row>
    <row r="78" spans="1:28" x14ac:dyDescent="0.25">
      <c r="A78" s="178" t="s">
        <v>25</v>
      </c>
      <c r="B78" s="19">
        <v>0</v>
      </c>
      <c r="C78" s="19">
        <f>(Résultats!AW$139)/1000000</f>
        <v>10.513354779999998</v>
      </c>
      <c r="D78" s="19">
        <f>'T energie usages'!J123/'T energie usages'!J$124*(Résultats!AW$159+Résultats!AW$160+Résultats!AW$161)/1000000</f>
        <v>0.10194613381389728</v>
      </c>
      <c r="E78" s="19">
        <f>(Résultats!AW$163)/1000000</f>
        <v>0.75263765469999999</v>
      </c>
      <c r="F78" s="19">
        <v>0</v>
      </c>
      <c r="G78" s="120">
        <f t="shared" si="6"/>
        <v>11.367938568513896</v>
      </c>
      <c r="H78" s="3"/>
      <c r="I78" s="3"/>
    </row>
    <row r="79" spans="1:28" x14ac:dyDescent="0.25">
      <c r="A79" s="72" t="s">
        <v>41</v>
      </c>
      <c r="B79" s="58">
        <f>SUM(B74:B76)+B71</f>
        <v>12.30216434217</v>
      </c>
      <c r="C79" s="58">
        <f>SUM(C74:C76)+C71</f>
        <v>174.53313129217338</v>
      </c>
      <c r="D79" s="58">
        <f>SUM(D74:D76)+D71</f>
        <v>11.518231415999999</v>
      </c>
      <c r="E79" s="60">
        <f>SUM(E74:E76)+E71</f>
        <v>68.599666579075162</v>
      </c>
      <c r="F79" s="58">
        <f>SUM(F74:F76)+F71</f>
        <v>16.744129529999999</v>
      </c>
      <c r="G79" s="197">
        <f t="shared" si="6"/>
        <v>283.69732315941854</v>
      </c>
      <c r="H79" s="3"/>
      <c r="I79" s="3"/>
    </row>
    <row r="80" spans="1:28" x14ac:dyDescent="0.25">
      <c r="A80" s="198" t="s">
        <v>43</v>
      </c>
      <c r="B80" s="201">
        <f>(Résultats!AW$102+Résultats!AW$129+Résultats!AW$130+Résultats!AW$131+Résultats!AW$132+Résultats!AW$133+Résultats!AW$134+Résultats!AW$135+Résultats!AW$136)/1000000</f>
        <v>11.90703675937</v>
      </c>
      <c r="C80" s="201">
        <f>(Résultats!AW$104+Résultats!AW$138+Résultats!AW$139+Résultats!AW$140+Résultats!AW$141+Résultats!AW$142+Résultats!AW$143+Résultats!AW$144+Résultats!AW$145+Résultats!AW$146+Résultats!AW$147+Résultats!AW$148+Résultats!AW$149+Résultats!AW$150+Résultats!AW$151+Résultats!AW$152+Résultats!AW$153+Résultats!AW$154+Résultats!AW$155+Résultats!AW$156)/1000000</f>
        <v>174.56233994986439</v>
      </c>
      <c r="D80" s="201">
        <f>(Résultats!AW$159+Résultats!AW$160+Résultats!AW$161)/1000000</f>
        <v>11.518231415999999</v>
      </c>
      <c r="E80" s="200">
        <f>(Résultats!AW$106+Résultats!AW162+Résultats!AW$163+Résultats!AW$164+Résultats!AW$165+Résultats!AW$166+Résultats!AW$167+Résultats!AW$168+Résultats!AW$169+Résultats!AW$170+Résultats!AW$171+Résultats!AW$172+Résultats!AW$173+Résultats!AW$174+Résultats!AW$175+Résultats!AW$176+Résultats!AW$177+Résultats!AW$178+Résultats!AW$179+Résultats!AW$180+Résultats!AW181+Résultats!AW182+Résultats!AW183)/1000000</f>
        <v>66.99235860076098</v>
      </c>
      <c r="F80" s="201">
        <f>Résultats!AW100/1000000</f>
        <v>16.744129529999999</v>
      </c>
      <c r="G80" s="202">
        <f t="shared" si="6"/>
        <v>281.72409625599539</v>
      </c>
      <c r="H80" s="3"/>
      <c r="I80" s="71"/>
    </row>
    <row r="81" spans="1:9" x14ac:dyDescent="0.25">
      <c r="A81" s="198"/>
      <c r="B81" s="201"/>
      <c r="C81" s="201"/>
      <c r="D81" s="201"/>
      <c r="E81" s="198"/>
      <c r="F81" s="198"/>
      <c r="G81" s="200">
        <f>Résultats!AW194/1000000</f>
        <v>281.72409589999995</v>
      </c>
      <c r="H81" s="3"/>
      <c r="I81" s="3"/>
    </row>
    <row r="82" spans="1:9" x14ac:dyDescent="0.25">
      <c r="A82" s="3"/>
      <c r="B82" s="3"/>
      <c r="C82" s="3"/>
      <c r="D82" s="3"/>
      <c r="E82" s="3"/>
      <c r="F82" s="3"/>
      <c r="G82" s="3"/>
      <c r="H82" s="3"/>
      <c r="I82" s="3"/>
    </row>
    <row r="83" spans="1:9" x14ac:dyDescent="0.25">
      <c r="A83" s="3"/>
      <c r="B83" s="3"/>
      <c r="C83" s="3"/>
      <c r="D83" s="3"/>
      <c r="E83" s="3"/>
      <c r="F83" s="3"/>
      <c r="G83" s="3"/>
      <c r="H83" s="3"/>
      <c r="I83" s="3"/>
    </row>
    <row r="84" spans="1:9" x14ac:dyDescent="0.25">
      <c r="A84" s="3"/>
      <c r="B84" s="3"/>
      <c r="C84" s="3"/>
      <c r="D84" s="3"/>
      <c r="E84" s="3"/>
      <c r="F84" s="3"/>
      <c r="G84" s="3"/>
      <c r="H84" s="3"/>
      <c r="I84" s="3"/>
    </row>
    <row r="85" spans="1:9" x14ac:dyDescent="0.25">
      <c r="F85" s="24"/>
    </row>
    <row r="86" spans="1:9" x14ac:dyDescent="0.25">
      <c r="G86" s="39"/>
    </row>
    <row r="87" spans="1:9" x14ac:dyDescent="0.25">
      <c r="B87" s="24"/>
      <c r="G87" s="39"/>
    </row>
    <row r="88" spans="1:9" x14ac:dyDescent="0.25">
      <c r="B88" s="24"/>
      <c r="G88" s="39"/>
    </row>
    <row r="89" spans="1:9" x14ac:dyDescent="0.25">
      <c r="B89" s="24"/>
      <c r="G89" s="39"/>
    </row>
    <row r="90" spans="1:9" x14ac:dyDescent="0.25">
      <c r="B90" s="24"/>
      <c r="G90" s="39"/>
    </row>
    <row r="91" spans="1:9" x14ac:dyDescent="0.25">
      <c r="B91" s="24"/>
      <c r="G91" s="39"/>
    </row>
    <row r="92" spans="1:9" x14ac:dyDescent="0.25">
      <c r="B92" s="24"/>
    </row>
    <row r="93" spans="1:9" x14ac:dyDescent="0.25">
      <c r="B93" s="24"/>
    </row>
    <row r="94" spans="1:9" x14ac:dyDescent="0.25">
      <c r="B94" s="24"/>
    </row>
    <row r="95" spans="1:9" x14ac:dyDescent="0.25">
      <c r="B95" s="24"/>
    </row>
    <row r="96" spans="1:9" x14ac:dyDescent="0.25">
      <c r="B96" s="24"/>
    </row>
    <row r="97" spans="2:4" x14ac:dyDescent="0.25">
      <c r="B97" s="24"/>
    </row>
    <row r="98" spans="2:4" x14ac:dyDescent="0.25">
      <c r="B98" s="24"/>
    </row>
    <row r="99" spans="2:4" x14ac:dyDescent="0.25">
      <c r="B99" s="24"/>
    </row>
    <row r="100" spans="2:4" x14ac:dyDescent="0.25">
      <c r="B100" s="24"/>
    </row>
    <row r="101" spans="2:4" x14ac:dyDescent="0.25">
      <c r="B101" s="24"/>
    </row>
    <row r="102" spans="2:4" x14ac:dyDescent="0.25">
      <c r="B102" s="24"/>
    </row>
    <row r="104" spans="2:4" x14ac:dyDescent="0.25">
      <c r="B104" s="24"/>
    </row>
    <row r="105" spans="2:4" x14ac:dyDescent="0.25">
      <c r="B105" s="24"/>
    </row>
    <row r="106" spans="2:4" x14ac:dyDescent="0.25">
      <c r="B106" s="24"/>
    </row>
    <row r="107" spans="2:4" x14ac:dyDescent="0.25">
      <c r="B107" s="24"/>
    </row>
    <row r="108" spans="2:4" x14ac:dyDescent="0.25">
      <c r="B108" s="24"/>
    </row>
    <row r="109" spans="2:4" x14ac:dyDescent="0.25">
      <c r="B109" s="24"/>
    </row>
    <row r="110" spans="2:4" x14ac:dyDescent="0.25">
      <c r="B110" s="24"/>
    </row>
    <row r="111" spans="2:4" x14ac:dyDescent="0.25">
      <c r="B111" s="24"/>
    </row>
    <row r="112" spans="2:4" x14ac:dyDescent="0.25">
      <c r="B112" s="24"/>
      <c r="C112" s="21"/>
      <c r="D112" s="21"/>
    </row>
    <row r="113" spans="2:2" x14ac:dyDescent="0.25">
      <c r="B113" s="24"/>
    </row>
    <row r="114" spans="2:2" x14ac:dyDescent="0.25">
      <c r="B114" s="24"/>
    </row>
    <row r="115" spans="2:2" x14ac:dyDescent="0.25">
      <c r="B115" s="24"/>
    </row>
    <row r="116" spans="2:2" x14ac:dyDescent="0.25">
      <c r="B116" s="24"/>
    </row>
    <row r="117" spans="2:2" x14ac:dyDescent="0.25">
      <c r="B117" s="24"/>
    </row>
    <row r="118" spans="2:2" x14ac:dyDescent="0.25">
      <c r="B118" s="24"/>
    </row>
    <row r="119" spans="2:2" x14ac:dyDescent="0.25">
      <c r="B119" s="24"/>
    </row>
    <row r="120" spans="2:2" x14ac:dyDescent="0.25">
      <c r="B120" s="24"/>
    </row>
    <row r="121" spans="2:2" x14ac:dyDescent="0.25">
      <c r="B121" s="24"/>
    </row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  <pageSetUpPr fitToPage="1"/>
  </sheetPr>
  <dimension ref="A1:AN108"/>
  <sheetViews>
    <sheetView topLeftCell="AB23" zoomScale="80" zoomScaleNormal="80" workbookViewId="0">
      <selection activeCell="AM26" sqref="AM26"/>
    </sheetView>
  </sheetViews>
  <sheetFormatPr baseColWidth="10" defaultRowHeight="15" x14ac:dyDescent="0.25"/>
  <cols>
    <col min="2" max="2" width="17.140625" customWidth="1"/>
    <col min="3" max="3" width="28.140625" bestFit="1" customWidth="1"/>
    <col min="4" max="4" width="41" hidden="1" customWidth="1"/>
    <col min="5" max="8" width="20.140625" hidden="1" customWidth="1"/>
    <col min="9" max="39" width="20.140625" customWidth="1"/>
    <col min="40" max="40" width="13" customWidth="1"/>
  </cols>
  <sheetData>
    <row r="1" spans="1:39" ht="23.25" x14ac:dyDescent="0.35">
      <c r="A1" s="15" t="s">
        <v>151</v>
      </c>
      <c r="C1" s="15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</row>
    <row r="2" spans="1:39" ht="23.25" x14ac:dyDescent="0.35">
      <c r="A2" s="1"/>
      <c r="C2" s="230"/>
      <c r="E2" s="238">
        <f>Résultats!E1</f>
        <v>4</v>
      </c>
      <c r="F2" s="238">
        <f>Résultats!N1</f>
        <v>13</v>
      </c>
      <c r="G2" s="238">
        <f>F2+3</f>
        <v>16</v>
      </c>
      <c r="H2" s="238">
        <f t="shared" ref="H2:AA2" si="0">G2+1</f>
        <v>17</v>
      </c>
      <c r="I2" s="238">
        <f t="shared" si="0"/>
        <v>18</v>
      </c>
      <c r="J2" s="238">
        <f t="shared" si="0"/>
        <v>19</v>
      </c>
      <c r="K2" s="238">
        <f t="shared" si="0"/>
        <v>20</v>
      </c>
      <c r="L2" s="238">
        <f t="shared" si="0"/>
        <v>21</v>
      </c>
      <c r="M2" s="238">
        <f t="shared" si="0"/>
        <v>22</v>
      </c>
      <c r="N2" s="238">
        <f t="shared" si="0"/>
        <v>23</v>
      </c>
      <c r="O2" s="238">
        <f t="shared" si="0"/>
        <v>24</v>
      </c>
      <c r="P2" s="238">
        <f t="shared" si="0"/>
        <v>25</v>
      </c>
      <c r="Q2" s="238">
        <f t="shared" si="0"/>
        <v>26</v>
      </c>
      <c r="R2" s="238">
        <f t="shared" si="0"/>
        <v>27</v>
      </c>
      <c r="S2" s="238">
        <f t="shared" si="0"/>
        <v>28</v>
      </c>
      <c r="T2" s="238">
        <f t="shared" si="0"/>
        <v>29</v>
      </c>
      <c r="U2" s="238">
        <f t="shared" si="0"/>
        <v>30</v>
      </c>
      <c r="V2" s="238">
        <f t="shared" si="0"/>
        <v>31</v>
      </c>
      <c r="W2" s="238">
        <f t="shared" si="0"/>
        <v>32</v>
      </c>
      <c r="X2" s="238">
        <f>S2+5</f>
        <v>33</v>
      </c>
      <c r="Y2" s="238">
        <f t="shared" si="0"/>
        <v>34</v>
      </c>
      <c r="Z2" s="238">
        <f t="shared" ref="Z2" si="1">U2+5</f>
        <v>35</v>
      </c>
      <c r="AA2" s="238">
        <f t="shared" si="0"/>
        <v>36</v>
      </c>
      <c r="AB2" s="238">
        <f t="shared" ref="AB2" si="2">W2+5</f>
        <v>37</v>
      </c>
      <c r="AC2" s="238">
        <f>X2+5</f>
        <v>38</v>
      </c>
      <c r="AD2" s="238">
        <f t="shared" ref="AD2:AG2" si="3">Y2+5</f>
        <v>39</v>
      </c>
      <c r="AE2" s="238">
        <f t="shared" si="3"/>
        <v>40</v>
      </c>
      <c r="AF2" s="238">
        <f t="shared" si="3"/>
        <v>41</v>
      </c>
      <c r="AG2" s="238">
        <f t="shared" si="3"/>
        <v>42</v>
      </c>
      <c r="AH2" s="238">
        <f>AC2+5</f>
        <v>43</v>
      </c>
      <c r="AI2" s="238">
        <f t="shared" ref="AI2:AL2" si="4">AD2+5</f>
        <v>44</v>
      </c>
      <c r="AJ2" s="238">
        <f t="shared" si="4"/>
        <v>45</v>
      </c>
      <c r="AK2" s="238">
        <f t="shared" si="4"/>
        <v>46</v>
      </c>
      <c r="AL2" s="238">
        <f t="shared" si="4"/>
        <v>47</v>
      </c>
      <c r="AM2" s="238">
        <f>AH2+5</f>
        <v>48</v>
      </c>
    </row>
    <row r="3" spans="1:39" ht="23.25" x14ac:dyDescent="0.35">
      <c r="B3" s="1"/>
      <c r="C3" s="229"/>
      <c r="D3" s="175"/>
      <c r="E3" s="117">
        <v>2006</v>
      </c>
      <c r="F3" s="117">
        <v>2015</v>
      </c>
      <c r="G3" s="117">
        <v>2018</v>
      </c>
      <c r="H3" s="117">
        <v>2019</v>
      </c>
      <c r="I3" s="117">
        <v>2020</v>
      </c>
      <c r="J3" s="26">
        <v>2021</v>
      </c>
      <c r="K3" s="4">
        <v>2022</v>
      </c>
      <c r="L3" s="4">
        <v>2023</v>
      </c>
      <c r="M3" s="4">
        <v>2024</v>
      </c>
      <c r="N3" s="117">
        <v>2025</v>
      </c>
      <c r="O3" s="26">
        <v>2026</v>
      </c>
      <c r="P3" s="4">
        <v>2027</v>
      </c>
      <c r="Q3" s="4">
        <v>2028</v>
      </c>
      <c r="R3" s="4">
        <v>2029</v>
      </c>
      <c r="S3" s="117">
        <v>2030</v>
      </c>
      <c r="T3" s="4">
        <v>2031</v>
      </c>
      <c r="U3" s="117">
        <v>2032</v>
      </c>
      <c r="V3" s="4">
        <v>2033</v>
      </c>
      <c r="W3" s="117">
        <v>2034</v>
      </c>
      <c r="X3" s="4">
        <v>2035</v>
      </c>
      <c r="Y3" s="117">
        <v>2036</v>
      </c>
      <c r="Z3" s="4">
        <v>2037</v>
      </c>
      <c r="AA3" s="117">
        <v>2038</v>
      </c>
      <c r="AB3" s="4">
        <v>2039</v>
      </c>
      <c r="AC3" s="118">
        <v>2040</v>
      </c>
      <c r="AD3" s="4">
        <v>2041</v>
      </c>
      <c r="AE3" s="118">
        <v>2042</v>
      </c>
      <c r="AF3" s="4">
        <v>2043</v>
      </c>
      <c r="AG3" s="118">
        <v>2044</v>
      </c>
      <c r="AH3" s="4">
        <v>2045</v>
      </c>
      <c r="AI3" s="118">
        <v>2046</v>
      </c>
      <c r="AJ3" s="4">
        <v>2047</v>
      </c>
      <c r="AK3" s="118">
        <v>2048</v>
      </c>
      <c r="AL3" s="4">
        <v>2049</v>
      </c>
      <c r="AM3" s="118">
        <v>2050</v>
      </c>
    </row>
    <row r="4" spans="1:39" x14ac:dyDescent="0.25">
      <c r="A4" s="181" t="str">
        <f>Résultats!B1</f>
        <v>TEND</v>
      </c>
      <c r="C4" s="231" t="s">
        <v>153</v>
      </c>
      <c r="D4" s="82" t="s">
        <v>45</v>
      </c>
      <c r="E4" s="83" t="e">
        <f t="shared" ref="E4:F4" si="5">E44</f>
        <v>#N/A</v>
      </c>
      <c r="F4" s="83" t="e">
        <f t="shared" si="5"/>
        <v>#N/A</v>
      </c>
      <c r="G4" s="83" t="e">
        <f>G44</f>
        <v>#N/A</v>
      </c>
      <c r="H4" s="83" t="e">
        <f t="shared" ref="H4:AM4" si="6">H44</f>
        <v>#N/A</v>
      </c>
      <c r="I4" s="83" t="e">
        <f t="shared" si="6"/>
        <v>#N/A</v>
      </c>
      <c r="J4" s="83" t="e">
        <f t="shared" si="6"/>
        <v>#N/A</v>
      </c>
      <c r="K4" s="83" t="e">
        <f t="shared" si="6"/>
        <v>#N/A</v>
      </c>
      <c r="L4" s="83" t="e">
        <f t="shared" si="6"/>
        <v>#N/A</v>
      </c>
      <c r="M4" s="83" t="e">
        <f t="shared" si="6"/>
        <v>#N/A</v>
      </c>
      <c r="N4" s="83" t="e">
        <f t="shared" si="6"/>
        <v>#N/A</v>
      </c>
      <c r="O4" s="83" t="e">
        <f t="shared" si="6"/>
        <v>#N/A</v>
      </c>
      <c r="P4" s="83" t="e">
        <f t="shared" si="6"/>
        <v>#N/A</v>
      </c>
      <c r="Q4" s="83" t="e">
        <f t="shared" si="6"/>
        <v>#N/A</v>
      </c>
      <c r="R4" s="83" t="e">
        <f t="shared" si="6"/>
        <v>#N/A</v>
      </c>
      <c r="S4" s="83" t="e">
        <f t="shared" si="6"/>
        <v>#N/A</v>
      </c>
      <c r="T4" s="83" t="e">
        <f t="shared" si="6"/>
        <v>#N/A</v>
      </c>
      <c r="U4" s="83" t="e">
        <f t="shared" si="6"/>
        <v>#N/A</v>
      </c>
      <c r="V4" s="83" t="e">
        <f t="shared" si="6"/>
        <v>#N/A</v>
      </c>
      <c r="W4" s="83" t="e">
        <f t="shared" si="6"/>
        <v>#N/A</v>
      </c>
      <c r="X4" s="83" t="e">
        <f t="shared" si="6"/>
        <v>#N/A</v>
      </c>
      <c r="Y4" s="83" t="e">
        <f t="shared" si="6"/>
        <v>#N/A</v>
      </c>
      <c r="Z4" s="83" t="e">
        <f t="shared" si="6"/>
        <v>#N/A</v>
      </c>
      <c r="AA4" s="83" t="e">
        <f t="shared" si="6"/>
        <v>#N/A</v>
      </c>
      <c r="AB4" s="83" t="e">
        <f t="shared" si="6"/>
        <v>#N/A</v>
      </c>
      <c r="AC4" s="83" t="e">
        <f t="shared" si="6"/>
        <v>#N/A</v>
      </c>
      <c r="AD4" s="83" t="e">
        <f t="shared" si="6"/>
        <v>#N/A</v>
      </c>
      <c r="AE4" s="83" t="e">
        <f t="shared" si="6"/>
        <v>#N/A</v>
      </c>
      <c r="AF4" s="83" t="e">
        <f t="shared" si="6"/>
        <v>#N/A</v>
      </c>
      <c r="AG4" s="83" t="e">
        <f t="shared" si="6"/>
        <v>#N/A</v>
      </c>
      <c r="AH4" s="83" t="e">
        <f t="shared" si="6"/>
        <v>#N/A</v>
      </c>
      <c r="AI4" s="83" t="e">
        <f t="shared" si="6"/>
        <v>#N/A</v>
      </c>
      <c r="AJ4" s="83" t="e">
        <f t="shared" si="6"/>
        <v>#N/A</v>
      </c>
      <c r="AK4" s="83" t="e">
        <f t="shared" si="6"/>
        <v>#N/A</v>
      </c>
      <c r="AL4" s="83" t="e">
        <f t="shared" si="6"/>
        <v>#N/A</v>
      </c>
      <c r="AM4" s="128" t="e">
        <f t="shared" si="6"/>
        <v>#N/A</v>
      </c>
    </row>
    <row r="5" spans="1:39" x14ac:dyDescent="0.25">
      <c r="C5" s="231" t="s">
        <v>154</v>
      </c>
      <c r="D5" s="82" t="s">
        <v>158</v>
      </c>
      <c r="E5" s="184"/>
      <c r="F5" s="184"/>
      <c r="G5" s="184" t="e">
        <f t="shared" ref="G5:AM5" si="7">G4/1000</f>
        <v>#N/A</v>
      </c>
      <c r="H5" s="184" t="e">
        <f t="shared" si="7"/>
        <v>#N/A</v>
      </c>
      <c r="I5" s="184" t="e">
        <f t="shared" si="7"/>
        <v>#N/A</v>
      </c>
      <c r="J5" s="184" t="e">
        <f t="shared" si="7"/>
        <v>#N/A</v>
      </c>
      <c r="K5" s="184" t="e">
        <f t="shared" si="7"/>
        <v>#N/A</v>
      </c>
      <c r="L5" s="184" t="e">
        <f t="shared" si="7"/>
        <v>#N/A</v>
      </c>
      <c r="M5" s="184" t="e">
        <f t="shared" si="7"/>
        <v>#N/A</v>
      </c>
      <c r="N5" s="184" t="e">
        <f t="shared" si="7"/>
        <v>#N/A</v>
      </c>
      <c r="O5" s="184" t="e">
        <f t="shared" si="7"/>
        <v>#N/A</v>
      </c>
      <c r="P5" s="184" t="e">
        <f t="shared" si="7"/>
        <v>#N/A</v>
      </c>
      <c r="Q5" s="184" t="e">
        <f t="shared" si="7"/>
        <v>#N/A</v>
      </c>
      <c r="R5" s="184" t="e">
        <f t="shared" si="7"/>
        <v>#N/A</v>
      </c>
      <c r="S5" s="184" t="e">
        <f t="shared" si="7"/>
        <v>#N/A</v>
      </c>
      <c r="T5" s="184" t="e">
        <f t="shared" si="7"/>
        <v>#N/A</v>
      </c>
      <c r="U5" s="184" t="e">
        <f t="shared" si="7"/>
        <v>#N/A</v>
      </c>
      <c r="V5" s="184" t="e">
        <f t="shared" si="7"/>
        <v>#N/A</v>
      </c>
      <c r="W5" s="184" t="e">
        <f t="shared" si="7"/>
        <v>#N/A</v>
      </c>
      <c r="X5" s="184" t="e">
        <f t="shared" si="7"/>
        <v>#N/A</v>
      </c>
      <c r="Y5" s="184" t="e">
        <f t="shared" si="7"/>
        <v>#N/A</v>
      </c>
      <c r="Z5" s="184" t="e">
        <f t="shared" si="7"/>
        <v>#N/A</v>
      </c>
      <c r="AA5" s="184" t="e">
        <f t="shared" si="7"/>
        <v>#N/A</v>
      </c>
      <c r="AB5" s="184" t="e">
        <f t="shared" si="7"/>
        <v>#N/A</v>
      </c>
      <c r="AC5" s="184" t="e">
        <f t="shared" si="7"/>
        <v>#N/A</v>
      </c>
      <c r="AD5" s="184" t="e">
        <f t="shared" si="7"/>
        <v>#N/A</v>
      </c>
      <c r="AE5" s="184" t="e">
        <f t="shared" si="7"/>
        <v>#N/A</v>
      </c>
      <c r="AF5" s="184" t="e">
        <f t="shared" si="7"/>
        <v>#N/A</v>
      </c>
      <c r="AG5" s="184" t="e">
        <f t="shared" si="7"/>
        <v>#N/A</v>
      </c>
      <c r="AH5" s="184" t="e">
        <f t="shared" si="7"/>
        <v>#N/A</v>
      </c>
      <c r="AI5" s="184" t="e">
        <f t="shared" si="7"/>
        <v>#N/A</v>
      </c>
      <c r="AJ5" s="184" t="e">
        <f t="shared" si="7"/>
        <v>#N/A</v>
      </c>
      <c r="AK5" s="184" t="e">
        <f t="shared" si="7"/>
        <v>#N/A</v>
      </c>
      <c r="AL5" s="184" t="e">
        <f t="shared" si="7"/>
        <v>#N/A</v>
      </c>
      <c r="AM5" s="232" t="e">
        <f t="shared" si="7"/>
        <v>#N/A</v>
      </c>
    </row>
    <row r="6" spans="1:39" x14ac:dyDescent="0.25">
      <c r="C6" s="187" t="s">
        <v>155</v>
      </c>
      <c r="D6" s="3" t="s">
        <v>159</v>
      </c>
      <c r="E6" s="185"/>
      <c r="F6" s="185"/>
      <c r="G6" s="185" t="e">
        <f>G93</f>
        <v>#N/A</v>
      </c>
      <c r="H6" s="185" t="e">
        <f t="shared" ref="H6:AM6" si="8">H93</f>
        <v>#N/A</v>
      </c>
      <c r="I6" s="185" t="e">
        <f t="shared" si="8"/>
        <v>#N/A</v>
      </c>
      <c r="J6" s="185" t="e">
        <f t="shared" si="8"/>
        <v>#N/A</v>
      </c>
      <c r="K6" s="185" t="e">
        <f t="shared" si="8"/>
        <v>#N/A</v>
      </c>
      <c r="L6" s="185" t="e">
        <f t="shared" si="8"/>
        <v>#N/A</v>
      </c>
      <c r="M6" s="185" t="e">
        <f t="shared" si="8"/>
        <v>#N/A</v>
      </c>
      <c r="N6" s="185" t="e">
        <f t="shared" si="8"/>
        <v>#N/A</v>
      </c>
      <c r="O6" s="185" t="e">
        <f t="shared" si="8"/>
        <v>#N/A</v>
      </c>
      <c r="P6" s="185" t="e">
        <f t="shared" si="8"/>
        <v>#N/A</v>
      </c>
      <c r="Q6" s="185" t="e">
        <f t="shared" si="8"/>
        <v>#N/A</v>
      </c>
      <c r="R6" s="185" t="e">
        <f t="shared" si="8"/>
        <v>#N/A</v>
      </c>
      <c r="S6" s="185" t="e">
        <f t="shared" si="8"/>
        <v>#N/A</v>
      </c>
      <c r="T6" s="185" t="e">
        <f t="shared" si="8"/>
        <v>#N/A</v>
      </c>
      <c r="U6" s="185" t="e">
        <f t="shared" si="8"/>
        <v>#N/A</v>
      </c>
      <c r="V6" s="185" t="e">
        <f t="shared" si="8"/>
        <v>#N/A</v>
      </c>
      <c r="W6" s="185" t="e">
        <f t="shared" si="8"/>
        <v>#N/A</v>
      </c>
      <c r="X6" s="185" t="e">
        <f t="shared" si="8"/>
        <v>#N/A</v>
      </c>
      <c r="Y6" s="185" t="e">
        <f t="shared" si="8"/>
        <v>#N/A</v>
      </c>
      <c r="Z6" s="185" t="e">
        <f t="shared" si="8"/>
        <v>#N/A</v>
      </c>
      <c r="AA6" s="185" t="e">
        <f t="shared" si="8"/>
        <v>#N/A</v>
      </c>
      <c r="AB6" s="185" t="e">
        <f t="shared" si="8"/>
        <v>#N/A</v>
      </c>
      <c r="AC6" s="185" t="e">
        <f t="shared" si="8"/>
        <v>#N/A</v>
      </c>
      <c r="AD6" s="185" t="e">
        <f t="shared" si="8"/>
        <v>#N/A</v>
      </c>
      <c r="AE6" s="185" t="e">
        <f t="shared" si="8"/>
        <v>#N/A</v>
      </c>
      <c r="AF6" s="185" t="e">
        <f t="shared" si="8"/>
        <v>#N/A</v>
      </c>
      <c r="AG6" s="185" t="e">
        <f t="shared" si="8"/>
        <v>#N/A</v>
      </c>
      <c r="AH6" s="185" t="e">
        <f t="shared" si="8"/>
        <v>#N/A</v>
      </c>
      <c r="AI6" s="185" t="e">
        <f t="shared" si="8"/>
        <v>#N/A</v>
      </c>
      <c r="AJ6" s="185" t="e">
        <f t="shared" si="8"/>
        <v>#N/A</v>
      </c>
      <c r="AK6" s="185" t="e">
        <f t="shared" si="8"/>
        <v>#N/A</v>
      </c>
      <c r="AL6" s="185" t="e">
        <f t="shared" si="8"/>
        <v>#N/A</v>
      </c>
      <c r="AM6" s="233" t="e">
        <f t="shared" si="8"/>
        <v>#N/A</v>
      </c>
    </row>
    <row r="7" spans="1:39" x14ac:dyDescent="0.25">
      <c r="C7" s="234" t="s">
        <v>160</v>
      </c>
      <c r="D7" s="7" t="s">
        <v>183</v>
      </c>
      <c r="E7" s="235"/>
      <c r="F7" s="235"/>
      <c r="G7" s="235" t="e">
        <f>G101</f>
        <v>#N/A</v>
      </c>
      <c r="H7" s="235" t="e">
        <f t="shared" ref="H7:AM7" si="9">H101</f>
        <v>#N/A</v>
      </c>
      <c r="I7" s="235" t="e">
        <f t="shared" si="9"/>
        <v>#N/A</v>
      </c>
      <c r="J7" s="235" t="e">
        <f t="shared" si="9"/>
        <v>#N/A</v>
      </c>
      <c r="K7" s="235" t="e">
        <f t="shared" si="9"/>
        <v>#N/A</v>
      </c>
      <c r="L7" s="235" t="e">
        <f t="shared" si="9"/>
        <v>#N/A</v>
      </c>
      <c r="M7" s="235" t="e">
        <f t="shared" si="9"/>
        <v>#N/A</v>
      </c>
      <c r="N7" s="235" t="e">
        <f t="shared" si="9"/>
        <v>#N/A</v>
      </c>
      <c r="O7" s="235" t="e">
        <f t="shared" si="9"/>
        <v>#N/A</v>
      </c>
      <c r="P7" s="235" t="e">
        <f t="shared" si="9"/>
        <v>#N/A</v>
      </c>
      <c r="Q7" s="235" t="e">
        <f t="shared" si="9"/>
        <v>#N/A</v>
      </c>
      <c r="R7" s="235" t="e">
        <f t="shared" si="9"/>
        <v>#N/A</v>
      </c>
      <c r="S7" s="235" t="e">
        <f t="shared" si="9"/>
        <v>#N/A</v>
      </c>
      <c r="T7" s="235" t="e">
        <f t="shared" si="9"/>
        <v>#N/A</v>
      </c>
      <c r="U7" s="235" t="e">
        <f t="shared" si="9"/>
        <v>#N/A</v>
      </c>
      <c r="V7" s="235" t="e">
        <f t="shared" si="9"/>
        <v>#N/A</v>
      </c>
      <c r="W7" s="235" t="e">
        <f t="shared" si="9"/>
        <v>#N/A</v>
      </c>
      <c r="X7" s="235" t="e">
        <f t="shared" si="9"/>
        <v>#N/A</v>
      </c>
      <c r="Y7" s="235" t="e">
        <f t="shared" si="9"/>
        <v>#N/A</v>
      </c>
      <c r="Z7" s="235" t="e">
        <f t="shared" si="9"/>
        <v>#N/A</v>
      </c>
      <c r="AA7" s="235" t="e">
        <f t="shared" si="9"/>
        <v>#N/A</v>
      </c>
      <c r="AB7" s="235" t="e">
        <f t="shared" si="9"/>
        <v>#N/A</v>
      </c>
      <c r="AC7" s="235" t="e">
        <f t="shared" si="9"/>
        <v>#N/A</v>
      </c>
      <c r="AD7" s="235" t="e">
        <f t="shared" si="9"/>
        <v>#N/A</v>
      </c>
      <c r="AE7" s="235" t="e">
        <f t="shared" si="9"/>
        <v>#N/A</v>
      </c>
      <c r="AF7" s="235" t="e">
        <f t="shared" si="9"/>
        <v>#N/A</v>
      </c>
      <c r="AG7" s="235" t="e">
        <f t="shared" si="9"/>
        <v>#N/A</v>
      </c>
      <c r="AH7" s="235" t="e">
        <f t="shared" si="9"/>
        <v>#N/A</v>
      </c>
      <c r="AI7" s="235" t="e">
        <f t="shared" si="9"/>
        <v>#N/A</v>
      </c>
      <c r="AJ7" s="235" t="e">
        <f t="shared" si="9"/>
        <v>#N/A</v>
      </c>
      <c r="AK7" s="235" t="e">
        <f t="shared" si="9"/>
        <v>#N/A</v>
      </c>
      <c r="AL7" s="235" t="e">
        <f t="shared" si="9"/>
        <v>#N/A</v>
      </c>
      <c r="AM7" s="236" t="e">
        <f t="shared" si="9"/>
        <v>#N/A</v>
      </c>
    </row>
    <row r="8" spans="1:39" x14ac:dyDescent="0.25">
      <c r="C8" s="182" t="s">
        <v>152</v>
      </c>
      <c r="E8" s="183"/>
      <c r="F8" s="183"/>
      <c r="G8" s="183" t="e">
        <f>SUM(G6:G7)</f>
        <v>#N/A</v>
      </c>
      <c r="H8" s="183" t="e">
        <f t="shared" ref="H8:AM8" si="10">SUM(H6:H7)</f>
        <v>#N/A</v>
      </c>
      <c r="I8" s="183" t="e">
        <f t="shared" si="10"/>
        <v>#N/A</v>
      </c>
      <c r="J8" s="183" t="e">
        <f t="shared" si="10"/>
        <v>#N/A</v>
      </c>
      <c r="K8" s="183" t="e">
        <f t="shared" si="10"/>
        <v>#N/A</v>
      </c>
      <c r="L8" s="183" t="e">
        <f t="shared" si="10"/>
        <v>#N/A</v>
      </c>
      <c r="M8" s="183" t="e">
        <f t="shared" si="10"/>
        <v>#N/A</v>
      </c>
      <c r="N8" s="183" t="e">
        <f t="shared" si="10"/>
        <v>#N/A</v>
      </c>
      <c r="O8" s="183" t="e">
        <f t="shared" si="10"/>
        <v>#N/A</v>
      </c>
      <c r="P8" s="183" t="e">
        <f t="shared" si="10"/>
        <v>#N/A</v>
      </c>
      <c r="Q8" s="183" t="e">
        <f t="shared" si="10"/>
        <v>#N/A</v>
      </c>
      <c r="R8" s="183" t="e">
        <f t="shared" si="10"/>
        <v>#N/A</v>
      </c>
      <c r="S8" s="183" t="e">
        <f t="shared" si="10"/>
        <v>#N/A</v>
      </c>
      <c r="T8" s="183" t="e">
        <f t="shared" si="10"/>
        <v>#N/A</v>
      </c>
      <c r="U8" s="183" t="e">
        <f t="shared" si="10"/>
        <v>#N/A</v>
      </c>
      <c r="V8" s="183" t="e">
        <f t="shared" si="10"/>
        <v>#N/A</v>
      </c>
      <c r="W8" s="183" t="e">
        <f t="shared" si="10"/>
        <v>#N/A</v>
      </c>
      <c r="X8" s="183" t="e">
        <f t="shared" si="10"/>
        <v>#N/A</v>
      </c>
      <c r="Y8" s="183" t="e">
        <f t="shared" si="10"/>
        <v>#N/A</v>
      </c>
      <c r="Z8" s="183" t="e">
        <f t="shared" si="10"/>
        <v>#N/A</v>
      </c>
      <c r="AA8" s="183" t="e">
        <f t="shared" si="10"/>
        <v>#N/A</v>
      </c>
      <c r="AB8" s="183" t="e">
        <f t="shared" si="10"/>
        <v>#N/A</v>
      </c>
      <c r="AC8" s="183" t="e">
        <f t="shared" si="10"/>
        <v>#N/A</v>
      </c>
      <c r="AD8" s="183" t="e">
        <f t="shared" si="10"/>
        <v>#N/A</v>
      </c>
      <c r="AE8" s="183" t="e">
        <f t="shared" si="10"/>
        <v>#N/A</v>
      </c>
      <c r="AF8" s="183" t="e">
        <f t="shared" si="10"/>
        <v>#N/A</v>
      </c>
      <c r="AG8" s="183" t="e">
        <f t="shared" si="10"/>
        <v>#N/A</v>
      </c>
      <c r="AH8" s="183" t="e">
        <f t="shared" si="10"/>
        <v>#N/A</v>
      </c>
      <c r="AI8" s="183" t="e">
        <f t="shared" si="10"/>
        <v>#N/A</v>
      </c>
      <c r="AJ8" s="183" t="e">
        <f t="shared" si="10"/>
        <v>#N/A</v>
      </c>
      <c r="AK8" s="183" t="e">
        <f t="shared" si="10"/>
        <v>#N/A</v>
      </c>
      <c r="AL8" s="183" t="e">
        <f t="shared" si="10"/>
        <v>#N/A</v>
      </c>
      <c r="AM8" s="183" t="e">
        <f t="shared" si="10"/>
        <v>#N/A</v>
      </c>
    </row>
    <row r="12" spans="1:39" x14ac:dyDescent="0.25">
      <c r="C12" s="186"/>
      <c r="E12" s="26"/>
      <c r="F12" s="26"/>
      <c r="G12" s="26"/>
      <c r="H12" s="26"/>
      <c r="I12" s="26">
        <v>2020</v>
      </c>
      <c r="J12" s="118">
        <v>2030</v>
      </c>
      <c r="K12" s="118">
        <v>2050</v>
      </c>
    </row>
    <row r="13" spans="1:39" x14ac:dyDescent="0.25">
      <c r="C13" s="187" t="s">
        <v>155</v>
      </c>
      <c r="E13" s="167"/>
      <c r="F13" s="167"/>
      <c r="G13" s="167"/>
      <c r="H13" s="167"/>
      <c r="I13" s="167" t="e">
        <f>I93</f>
        <v>#N/A</v>
      </c>
      <c r="J13" s="168" t="e">
        <f>S93</f>
        <v>#N/A</v>
      </c>
      <c r="K13" s="168" t="e">
        <f>AM93</f>
        <v>#N/A</v>
      </c>
    </row>
    <row r="14" spans="1:39" x14ac:dyDescent="0.25">
      <c r="C14" s="188" t="s">
        <v>141</v>
      </c>
      <c r="E14" s="189"/>
      <c r="F14" s="189"/>
      <c r="G14" s="189"/>
      <c r="H14" s="189"/>
      <c r="I14" s="189" t="e">
        <f>I93</f>
        <v>#N/A</v>
      </c>
      <c r="J14" s="189" t="e">
        <f>S93</f>
        <v>#N/A</v>
      </c>
      <c r="K14" s="189" t="e">
        <f>AM93</f>
        <v>#N/A</v>
      </c>
    </row>
    <row r="15" spans="1:39" x14ac:dyDescent="0.25">
      <c r="C15" s="187" t="s">
        <v>156</v>
      </c>
      <c r="E15" s="167"/>
      <c r="F15" s="167"/>
      <c r="G15" s="167"/>
      <c r="H15" s="167"/>
      <c r="I15" s="167" t="e">
        <f>I101</f>
        <v>#N/A</v>
      </c>
      <c r="J15" s="167" t="e">
        <f>S101</f>
        <v>#N/A</v>
      </c>
      <c r="K15" s="168" t="e">
        <f>AM101</f>
        <v>#N/A</v>
      </c>
    </row>
    <row r="16" spans="1:39" x14ac:dyDescent="0.25">
      <c r="C16" s="188" t="s">
        <v>138</v>
      </c>
      <c r="E16" s="190"/>
      <c r="F16" s="190"/>
      <c r="G16" s="190"/>
      <c r="H16" s="190"/>
      <c r="I16" s="190" t="e">
        <f>I102+I103</f>
        <v>#N/A</v>
      </c>
      <c r="J16" s="190" t="e">
        <f>S102+S103</f>
        <v>#N/A</v>
      </c>
      <c r="K16" s="190" t="e">
        <f>AM102+AM103</f>
        <v>#N/A</v>
      </c>
    </row>
    <row r="17" spans="1:39" x14ac:dyDescent="0.25">
      <c r="C17" s="191" t="s">
        <v>139</v>
      </c>
      <c r="E17" s="189"/>
      <c r="F17" s="189"/>
      <c r="G17" s="189"/>
      <c r="H17" s="189"/>
      <c r="I17" s="189" t="e">
        <f>I104+I105+I106</f>
        <v>#N/A</v>
      </c>
      <c r="J17" s="189" t="e">
        <f>S104+S105+S106</f>
        <v>#N/A</v>
      </c>
      <c r="K17" s="189" t="e">
        <f>AM104+AM105+AM106</f>
        <v>#N/A</v>
      </c>
    </row>
    <row r="18" spans="1:39" x14ac:dyDescent="0.25">
      <c r="C18" s="191" t="s">
        <v>140</v>
      </c>
      <c r="E18" s="189"/>
      <c r="F18" s="189"/>
      <c r="G18" s="189"/>
      <c r="H18" s="189"/>
      <c r="I18" s="189" t="e">
        <f>I107+I108</f>
        <v>#N/A</v>
      </c>
      <c r="J18" s="189" t="e">
        <f>S107+S108</f>
        <v>#N/A</v>
      </c>
      <c r="K18" s="189" t="e">
        <f>AM107+AM108</f>
        <v>#N/A</v>
      </c>
    </row>
    <row r="19" spans="1:39" x14ac:dyDescent="0.25">
      <c r="C19" s="192" t="s">
        <v>152</v>
      </c>
      <c r="E19" s="193"/>
      <c r="F19" s="193"/>
      <c r="G19" s="193"/>
      <c r="H19" s="193"/>
      <c r="I19" s="193" t="e">
        <f>SUM(I16:I18)</f>
        <v>#N/A</v>
      </c>
      <c r="J19" s="193" t="e">
        <f>SUM(J16:J18)</f>
        <v>#N/A</v>
      </c>
      <c r="K19" s="193" t="e">
        <f>SUM(K16:K18)</f>
        <v>#N/A</v>
      </c>
    </row>
    <row r="23" spans="1:39" ht="23.25" x14ac:dyDescent="0.35">
      <c r="B23" s="1"/>
      <c r="C23" s="11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</row>
    <row r="24" spans="1:39" ht="23.25" x14ac:dyDescent="0.35">
      <c r="A24" s="15" t="s">
        <v>161</v>
      </c>
      <c r="C24" s="15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</row>
    <row r="25" spans="1:39" x14ac:dyDescent="0.25">
      <c r="C25" s="12"/>
      <c r="D25" s="12"/>
      <c r="E25" s="117">
        <v>2006</v>
      </c>
      <c r="F25" s="117">
        <v>2015</v>
      </c>
      <c r="G25" s="117">
        <v>2018</v>
      </c>
      <c r="H25" s="117">
        <v>2019</v>
      </c>
      <c r="I25" s="117">
        <v>2020</v>
      </c>
      <c r="J25" s="26">
        <v>2021</v>
      </c>
      <c r="K25" s="4">
        <v>2022</v>
      </c>
      <c r="L25" s="4">
        <v>2023</v>
      </c>
      <c r="M25" s="4">
        <v>2024</v>
      </c>
      <c r="N25" s="117">
        <v>2025</v>
      </c>
      <c r="O25" s="26">
        <v>2026</v>
      </c>
      <c r="P25" s="4">
        <v>2027</v>
      </c>
      <c r="Q25" s="4">
        <v>2028</v>
      </c>
      <c r="R25" s="4">
        <v>2029</v>
      </c>
      <c r="S25" s="117">
        <v>2030</v>
      </c>
      <c r="T25" s="4">
        <v>2031</v>
      </c>
      <c r="U25" s="117">
        <v>2032</v>
      </c>
      <c r="V25" s="4">
        <v>2033</v>
      </c>
      <c r="W25" s="117">
        <v>2034</v>
      </c>
      <c r="X25" s="4">
        <v>2035</v>
      </c>
      <c r="Y25" s="117">
        <v>2036</v>
      </c>
      <c r="Z25" s="4">
        <v>2037</v>
      </c>
      <c r="AA25" s="117">
        <v>2038</v>
      </c>
      <c r="AB25" s="4">
        <v>2039</v>
      </c>
      <c r="AC25" s="118">
        <v>2040</v>
      </c>
      <c r="AD25" s="4"/>
      <c r="AE25" s="4"/>
      <c r="AF25" s="4"/>
      <c r="AG25" s="4"/>
      <c r="AH25" s="4">
        <v>2045</v>
      </c>
      <c r="AI25" s="4"/>
      <c r="AJ25" s="4"/>
      <c r="AK25" s="4"/>
      <c r="AL25" s="4"/>
      <c r="AM25" s="118">
        <v>2050</v>
      </c>
    </row>
    <row r="26" spans="1:39" x14ac:dyDescent="0.25">
      <c r="A26" s="181" t="str">
        <f>Résultats!B1</f>
        <v>TEND</v>
      </c>
      <c r="B26" s="23" t="s">
        <v>162</v>
      </c>
      <c r="C26" s="74" t="s">
        <v>133</v>
      </c>
      <c r="D26" s="74" t="s">
        <v>64</v>
      </c>
      <c r="E26" s="75" t="e">
        <f>VLOOKUP($D26,Résultats!$B$2:$AZ$251,E$2,FALSE)</f>
        <v>#N/A</v>
      </c>
      <c r="F26" s="75" t="e">
        <f>VLOOKUP($D26,Résultats!$B$2:$AZ$251,F$2,FALSE)</f>
        <v>#N/A</v>
      </c>
      <c r="G26" s="75" t="e">
        <f>VLOOKUP($D26,Résultats!$B$2:$AZ$251,G$2,FALSE)</f>
        <v>#N/A</v>
      </c>
      <c r="H26" s="75" t="e">
        <f>VLOOKUP($D26,Résultats!$B$2:$AZ$251,H$2,FALSE)</f>
        <v>#N/A</v>
      </c>
      <c r="I26" s="75" t="e">
        <f>VLOOKUP($D26,Résultats!$B$2:$AZ$251,I$2,FALSE)</f>
        <v>#N/A</v>
      </c>
      <c r="J26" s="75" t="e">
        <f>VLOOKUP($D26,Résultats!$B$2:$AZ$251,J$2,FALSE)</f>
        <v>#N/A</v>
      </c>
      <c r="K26" s="75" t="e">
        <f>VLOOKUP($D26,Résultats!$B$2:$AZ$251,K$2,FALSE)</f>
        <v>#N/A</v>
      </c>
      <c r="L26" s="75" t="e">
        <f>VLOOKUP($D26,Résultats!$B$2:$AZ$251,L$2,FALSE)</f>
        <v>#N/A</v>
      </c>
      <c r="M26" s="75" t="e">
        <f>VLOOKUP($D26,Résultats!$B$2:$AZ$251,M$2,FALSE)</f>
        <v>#N/A</v>
      </c>
      <c r="N26" s="75" t="e">
        <f>VLOOKUP($D26,Résultats!$B$2:$AZ$251,N$2,FALSE)</f>
        <v>#N/A</v>
      </c>
      <c r="O26" s="75" t="e">
        <f>VLOOKUP($D26,Résultats!$B$2:$AZ$251,O$2,FALSE)</f>
        <v>#N/A</v>
      </c>
      <c r="P26" s="75" t="e">
        <f>VLOOKUP($D26,Résultats!$B$2:$AZ$251,P$2,FALSE)</f>
        <v>#N/A</v>
      </c>
      <c r="Q26" s="75" t="e">
        <f>VLOOKUP($D26,Résultats!$B$2:$AZ$251,Q$2,FALSE)</f>
        <v>#N/A</v>
      </c>
      <c r="R26" s="75" t="e">
        <f>VLOOKUP($D26,Résultats!$B$2:$AZ$251,R$2,FALSE)</f>
        <v>#N/A</v>
      </c>
      <c r="S26" s="75" t="e">
        <f>VLOOKUP($D26,Résultats!$B$2:$AZ$251,S$2,FALSE)</f>
        <v>#N/A</v>
      </c>
      <c r="T26" s="75" t="e">
        <f>VLOOKUP($D26,Résultats!$B$2:$AZ$251,T$2,FALSE)</f>
        <v>#N/A</v>
      </c>
      <c r="U26" s="75" t="e">
        <f>VLOOKUP($D26,Résultats!$B$2:$AZ$251,U$2,FALSE)</f>
        <v>#N/A</v>
      </c>
      <c r="V26" s="75" t="e">
        <f>VLOOKUP($D26,Résultats!$B$2:$AZ$251,V$2,FALSE)</f>
        <v>#N/A</v>
      </c>
      <c r="W26" s="75" t="e">
        <f>VLOOKUP($D26,Résultats!$B$2:$AZ$251,W$2,FALSE)</f>
        <v>#N/A</v>
      </c>
      <c r="X26" s="75" t="e">
        <f>VLOOKUP($D26,Résultats!$B$2:$AZ$251,X$2,FALSE)</f>
        <v>#N/A</v>
      </c>
      <c r="Y26" s="75" t="e">
        <f>VLOOKUP($D26,Résultats!$B$2:$AZ$251,Y$2,FALSE)</f>
        <v>#N/A</v>
      </c>
      <c r="Z26" s="75" t="e">
        <f>VLOOKUP($D26,Résultats!$B$2:$AZ$251,Z$2,FALSE)</f>
        <v>#N/A</v>
      </c>
      <c r="AA26" s="75" t="e">
        <f>VLOOKUP($D26,Résultats!$B$2:$AZ$251,AA$2,FALSE)</f>
        <v>#N/A</v>
      </c>
      <c r="AB26" s="75" t="e">
        <f>VLOOKUP($D26,Résultats!$B$2:$AZ$251,AB$2,FALSE)</f>
        <v>#N/A</v>
      </c>
      <c r="AC26" s="75" t="e">
        <f>VLOOKUP($D26,Résultats!$B$2:$AZ$251,AC$2,FALSE)</f>
        <v>#N/A</v>
      </c>
      <c r="AD26" s="75" t="e">
        <f>VLOOKUP($D26,Résultats!$B$2:$AZ$251,AD$2,FALSE)</f>
        <v>#N/A</v>
      </c>
      <c r="AE26" s="75" t="e">
        <f>VLOOKUP($D26,Résultats!$B$2:$AZ$251,AE$2,FALSE)</f>
        <v>#N/A</v>
      </c>
      <c r="AF26" s="75" t="e">
        <f>VLOOKUP($D26,Résultats!$B$2:$AZ$251,AF$2,FALSE)</f>
        <v>#N/A</v>
      </c>
      <c r="AG26" s="75" t="e">
        <f>VLOOKUP($D26,Résultats!$B$2:$AZ$251,AG$2,FALSE)</f>
        <v>#N/A</v>
      </c>
      <c r="AH26" s="75" t="e">
        <f>VLOOKUP($D26,Résultats!$B$2:$AZ$251,AH$2,FALSE)</f>
        <v>#N/A</v>
      </c>
      <c r="AI26" s="75" t="e">
        <f>VLOOKUP($D26,Résultats!$B$2:$AZ$251,AI$2,FALSE)</f>
        <v>#N/A</v>
      </c>
      <c r="AJ26" s="75" t="e">
        <f>VLOOKUP($D26,Résultats!$B$2:$AZ$251,AJ$2,FALSE)</f>
        <v>#N/A</v>
      </c>
      <c r="AK26" s="75" t="e">
        <f>VLOOKUP($D26,Résultats!$B$2:$AZ$251,AK$2,FALSE)</f>
        <v>#N/A</v>
      </c>
      <c r="AL26" s="75" t="e">
        <f>VLOOKUP($D26,Résultats!$B$2:$AZ$251,AL$2,FALSE)</f>
        <v>#N/A</v>
      </c>
      <c r="AM26" s="75" t="e">
        <f>VLOOKUP($D26,Résultats!$B$2:$AZ$251,AM$2,FALSE)</f>
        <v>#N/A</v>
      </c>
    </row>
    <row r="27" spans="1:39" x14ac:dyDescent="0.25">
      <c r="C27" s="76" t="s">
        <v>94</v>
      </c>
      <c r="D27" s="76" t="s">
        <v>73</v>
      </c>
      <c r="E27" s="77" t="e">
        <f>VLOOKUP($D27,Résultats!$B$2:$AZ$251,E$2,FALSE)</f>
        <v>#N/A</v>
      </c>
      <c r="F27" s="77" t="e">
        <f>VLOOKUP($D27,Résultats!$B$2:$AZ$251,F$2,FALSE)</f>
        <v>#N/A</v>
      </c>
      <c r="G27" s="77" t="e">
        <f>VLOOKUP($D27,Résultats!$B$2:$AZ$251,G$2,FALSE)</f>
        <v>#N/A</v>
      </c>
      <c r="H27" s="77" t="e">
        <f>VLOOKUP($D27,Résultats!$B$2:$AZ$251,H$2,FALSE)</f>
        <v>#N/A</v>
      </c>
      <c r="I27" s="77" t="e">
        <f>VLOOKUP($D27,Résultats!$B$2:$AZ$251,I$2,FALSE)</f>
        <v>#N/A</v>
      </c>
      <c r="J27" s="77" t="e">
        <f>VLOOKUP($D27,Résultats!$B$2:$AZ$251,J$2,FALSE)</f>
        <v>#N/A</v>
      </c>
      <c r="K27" s="77" t="e">
        <f>VLOOKUP($D27,Résultats!$B$2:$AZ$251,K$2,FALSE)</f>
        <v>#N/A</v>
      </c>
      <c r="L27" s="77" t="e">
        <f>VLOOKUP($D27,Résultats!$B$2:$AZ$251,L$2,FALSE)</f>
        <v>#N/A</v>
      </c>
      <c r="M27" s="77" t="e">
        <f>VLOOKUP($D27,Résultats!$B$2:$AZ$251,M$2,FALSE)</f>
        <v>#N/A</v>
      </c>
      <c r="N27" s="77" t="e">
        <f>VLOOKUP($D27,Résultats!$B$2:$AZ$251,N$2,FALSE)</f>
        <v>#N/A</v>
      </c>
      <c r="O27" s="77" t="e">
        <f>VLOOKUP($D27,Résultats!$B$2:$AZ$251,O$2,FALSE)</f>
        <v>#N/A</v>
      </c>
      <c r="P27" s="77" t="e">
        <f>VLOOKUP($D27,Résultats!$B$2:$AZ$251,P$2,FALSE)</f>
        <v>#N/A</v>
      </c>
      <c r="Q27" s="77" t="e">
        <f>VLOOKUP($D27,Résultats!$B$2:$AZ$251,Q$2,FALSE)</f>
        <v>#N/A</v>
      </c>
      <c r="R27" s="77" t="e">
        <f>VLOOKUP($D27,Résultats!$B$2:$AZ$251,R$2,FALSE)</f>
        <v>#N/A</v>
      </c>
      <c r="S27" s="77" t="e">
        <f>VLOOKUP($D27,Résultats!$B$2:$AZ$251,S$2,FALSE)</f>
        <v>#N/A</v>
      </c>
      <c r="T27" s="77" t="e">
        <f>VLOOKUP($D27,Résultats!$B$2:$AZ$251,T$2,FALSE)</f>
        <v>#N/A</v>
      </c>
      <c r="U27" s="77" t="e">
        <f>VLOOKUP($D27,Résultats!$B$2:$AZ$251,U$2,FALSE)</f>
        <v>#N/A</v>
      </c>
      <c r="V27" s="77" t="e">
        <f>VLOOKUP($D27,Résultats!$B$2:$AZ$251,V$2,FALSE)</f>
        <v>#N/A</v>
      </c>
      <c r="W27" s="77" t="e">
        <f>VLOOKUP($D27,Résultats!$B$2:$AZ$251,W$2,FALSE)</f>
        <v>#N/A</v>
      </c>
      <c r="X27" s="77" t="e">
        <f>VLOOKUP($D27,Résultats!$B$2:$AZ$251,X$2,FALSE)</f>
        <v>#N/A</v>
      </c>
      <c r="Y27" s="77" t="e">
        <f>VLOOKUP($D27,Résultats!$B$2:$AZ$251,Y$2,FALSE)</f>
        <v>#N/A</v>
      </c>
      <c r="Z27" s="77" t="e">
        <f>VLOOKUP($D27,Résultats!$B$2:$AZ$251,Z$2,FALSE)</f>
        <v>#N/A</v>
      </c>
      <c r="AA27" s="77" t="e">
        <f>VLOOKUP($D27,Résultats!$B$2:$AZ$251,AA$2,FALSE)</f>
        <v>#N/A</v>
      </c>
      <c r="AB27" s="77" t="e">
        <f>VLOOKUP($D27,Résultats!$B$2:$AZ$251,AB$2,FALSE)</f>
        <v>#N/A</v>
      </c>
      <c r="AC27" s="77" t="e">
        <f>VLOOKUP($D27,Résultats!$B$2:$AZ$251,AC$2,FALSE)</f>
        <v>#N/A</v>
      </c>
      <c r="AD27" s="77" t="e">
        <f>VLOOKUP($D27,Résultats!$B$2:$AZ$251,AD$2,FALSE)</f>
        <v>#N/A</v>
      </c>
      <c r="AE27" s="77" t="e">
        <f>VLOOKUP($D27,Résultats!$B$2:$AZ$251,AE$2,FALSE)</f>
        <v>#N/A</v>
      </c>
      <c r="AF27" s="77" t="e">
        <f>VLOOKUP($D27,Résultats!$B$2:$AZ$251,AF$2,FALSE)</f>
        <v>#N/A</v>
      </c>
      <c r="AG27" s="77" t="e">
        <f>VLOOKUP($D27,Résultats!$B$2:$AZ$251,AG$2,FALSE)</f>
        <v>#N/A</v>
      </c>
      <c r="AH27" s="77" t="e">
        <f>VLOOKUP($D27,Résultats!$B$2:$AZ$251,AH$2,FALSE)</f>
        <v>#N/A</v>
      </c>
      <c r="AI27" s="77" t="e">
        <f>VLOOKUP($D27,Résultats!$B$2:$AZ$251,AI$2,FALSE)</f>
        <v>#N/A</v>
      </c>
      <c r="AJ27" s="77" t="e">
        <f>VLOOKUP($D27,Résultats!$B$2:$AZ$251,AJ$2,FALSE)</f>
        <v>#N/A</v>
      </c>
      <c r="AK27" s="77" t="e">
        <f>VLOOKUP($D27,Résultats!$B$2:$AZ$251,AK$2,FALSE)</f>
        <v>#N/A</v>
      </c>
      <c r="AL27" s="77" t="e">
        <f>VLOOKUP($D27,Résultats!$B$2:$AZ$251,AL$2,FALSE)</f>
        <v>#N/A</v>
      </c>
      <c r="AM27" s="77" t="e">
        <f>VLOOKUP($D27,Résultats!$B$2:$AZ$251,AM$2,FALSE)</f>
        <v>#N/A</v>
      </c>
    </row>
    <row r="28" spans="1:39" x14ac:dyDescent="0.25">
      <c r="C28" s="56" t="s">
        <v>27</v>
      </c>
      <c r="D28" s="78" t="s">
        <v>74</v>
      </c>
      <c r="E28" s="31" t="e">
        <f>VLOOKUP($D28,Résultats!$B$2:$AZ$251,E$2,FALSE)</f>
        <v>#N/A</v>
      </c>
      <c r="F28" s="31" t="e">
        <f>VLOOKUP($D28,Résultats!$B$2:$AZ$251,F$2,FALSE)</f>
        <v>#N/A</v>
      </c>
      <c r="G28" s="31" t="e">
        <f>VLOOKUP($D28,Résultats!$B$2:$AZ$251,G$2,FALSE)</f>
        <v>#N/A</v>
      </c>
      <c r="H28" s="31" t="e">
        <f>VLOOKUP($D28,Résultats!$B$2:$AZ$251,H$2,FALSE)</f>
        <v>#N/A</v>
      </c>
      <c r="I28" s="31" t="e">
        <f>VLOOKUP($D28,Résultats!$B$2:$AZ$251,I$2,FALSE)</f>
        <v>#N/A</v>
      </c>
      <c r="J28" s="31" t="e">
        <f>VLOOKUP($D28,Résultats!$B$2:$AZ$251,J$2,FALSE)</f>
        <v>#N/A</v>
      </c>
      <c r="K28" s="31" t="e">
        <f>VLOOKUP($D28,Résultats!$B$2:$AZ$251,K$2,FALSE)</f>
        <v>#N/A</v>
      </c>
      <c r="L28" s="31" t="e">
        <f>VLOOKUP($D28,Résultats!$B$2:$AZ$251,L$2,FALSE)</f>
        <v>#N/A</v>
      </c>
      <c r="M28" s="31" t="e">
        <f>VLOOKUP($D28,Résultats!$B$2:$AZ$251,M$2,FALSE)</f>
        <v>#N/A</v>
      </c>
      <c r="N28" s="31" t="e">
        <f>VLOOKUP($D28,Résultats!$B$2:$AZ$251,N$2,FALSE)</f>
        <v>#N/A</v>
      </c>
      <c r="O28" s="31" t="e">
        <f>VLOOKUP($D28,Résultats!$B$2:$AZ$251,O$2,FALSE)</f>
        <v>#N/A</v>
      </c>
      <c r="P28" s="31" t="e">
        <f>VLOOKUP($D28,Résultats!$B$2:$AZ$251,P$2,FALSE)</f>
        <v>#N/A</v>
      </c>
      <c r="Q28" s="31" t="e">
        <f>VLOOKUP($D28,Résultats!$B$2:$AZ$251,Q$2,FALSE)</f>
        <v>#N/A</v>
      </c>
      <c r="R28" s="31" t="e">
        <f>VLOOKUP($D28,Résultats!$B$2:$AZ$251,R$2,FALSE)</f>
        <v>#N/A</v>
      </c>
      <c r="S28" s="31" t="e">
        <f>VLOOKUP($D28,Résultats!$B$2:$AZ$251,S$2,FALSE)</f>
        <v>#N/A</v>
      </c>
      <c r="T28" s="31" t="e">
        <f>VLOOKUP($D28,Résultats!$B$2:$AZ$251,T$2,FALSE)</f>
        <v>#N/A</v>
      </c>
      <c r="U28" s="31" t="e">
        <f>VLOOKUP($D28,Résultats!$B$2:$AZ$251,U$2,FALSE)</f>
        <v>#N/A</v>
      </c>
      <c r="V28" s="31" t="e">
        <f>VLOOKUP($D28,Résultats!$B$2:$AZ$251,V$2,FALSE)</f>
        <v>#N/A</v>
      </c>
      <c r="W28" s="31" t="e">
        <f>VLOOKUP($D28,Résultats!$B$2:$AZ$251,W$2,FALSE)</f>
        <v>#N/A</v>
      </c>
      <c r="X28" s="31" t="e">
        <f>VLOOKUP($D28,Résultats!$B$2:$AZ$251,X$2,FALSE)</f>
        <v>#N/A</v>
      </c>
      <c r="Y28" s="31" t="e">
        <f>VLOOKUP($D28,Résultats!$B$2:$AZ$251,Y$2,FALSE)</f>
        <v>#N/A</v>
      </c>
      <c r="Z28" s="31" t="e">
        <f>VLOOKUP($D28,Résultats!$B$2:$AZ$251,Z$2,FALSE)</f>
        <v>#N/A</v>
      </c>
      <c r="AA28" s="31" t="e">
        <f>VLOOKUP($D28,Résultats!$B$2:$AZ$251,AA$2,FALSE)</f>
        <v>#N/A</v>
      </c>
      <c r="AB28" s="31" t="e">
        <f>VLOOKUP($D28,Résultats!$B$2:$AZ$251,AB$2,FALSE)</f>
        <v>#N/A</v>
      </c>
      <c r="AC28" s="31" t="e">
        <f>VLOOKUP($D28,Résultats!$B$2:$AZ$251,AC$2,FALSE)</f>
        <v>#N/A</v>
      </c>
      <c r="AD28" s="31" t="e">
        <f>VLOOKUP($D28,Résultats!$B$2:$AZ$251,AD$2,FALSE)</f>
        <v>#N/A</v>
      </c>
      <c r="AE28" s="31" t="e">
        <f>VLOOKUP($D28,Résultats!$B$2:$AZ$251,AE$2,FALSE)</f>
        <v>#N/A</v>
      </c>
      <c r="AF28" s="31" t="e">
        <f>VLOOKUP($D28,Résultats!$B$2:$AZ$251,AF$2,FALSE)</f>
        <v>#N/A</v>
      </c>
      <c r="AG28" s="31" t="e">
        <f>VLOOKUP($D28,Résultats!$B$2:$AZ$251,AG$2,FALSE)</f>
        <v>#N/A</v>
      </c>
      <c r="AH28" s="31" t="e">
        <f>VLOOKUP($D28,Résultats!$B$2:$AZ$251,AH$2,FALSE)</f>
        <v>#N/A</v>
      </c>
      <c r="AI28" s="31" t="e">
        <f>VLOOKUP($D28,Résultats!$B$2:$AZ$251,AI$2,FALSE)</f>
        <v>#N/A</v>
      </c>
      <c r="AJ28" s="31" t="e">
        <f>VLOOKUP($D28,Résultats!$B$2:$AZ$251,AJ$2,FALSE)</f>
        <v>#N/A</v>
      </c>
      <c r="AK28" s="31" t="e">
        <f>VLOOKUP($D28,Résultats!$B$2:$AZ$251,AK$2,FALSE)</f>
        <v>#N/A</v>
      </c>
      <c r="AL28" s="31" t="e">
        <f>VLOOKUP($D28,Résultats!$B$2:$AZ$251,AL$2,FALSE)</f>
        <v>#N/A</v>
      </c>
      <c r="AM28" s="31" t="e">
        <f>VLOOKUP($D28,Résultats!$B$2:$AZ$251,AM$2,FALSE)</f>
        <v>#N/A</v>
      </c>
    </row>
    <row r="29" spans="1:39" x14ac:dyDescent="0.25">
      <c r="C29" s="56" t="s">
        <v>28</v>
      </c>
      <c r="D29" s="78" t="s">
        <v>75</v>
      </c>
      <c r="E29" s="31" t="e">
        <f>VLOOKUP($D29,Résultats!$B$2:$AZ$251,E$2,FALSE)</f>
        <v>#N/A</v>
      </c>
      <c r="F29" s="31" t="e">
        <f>VLOOKUP($D29,Résultats!$B$2:$AZ$251,F$2,FALSE)</f>
        <v>#N/A</v>
      </c>
      <c r="G29" s="31" t="e">
        <f>VLOOKUP($D29,Résultats!$B$2:$AZ$251,G$2,FALSE)</f>
        <v>#N/A</v>
      </c>
      <c r="H29" s="31" t="e">
        <f>VLOOKUP($D29,Résultats!$B$2:$AZ$251,H$2,FALSE)</f>
        <v>#N/A</v>
      </c>
      <c r="I29" s="31" t="e">
        <f>VLOOKUP($D29,Résultats!$B$2:$AZ$251,I$2,FALSE)</f>
        <v>#N/A</v>
      </c>
      <c r="J29" s="31" t="e">
        <f>VLOOKUP($D29,Résultats!$B$2:$AZ$251,J$2,FALSE)</f>
        <v>#N/A</v>
      </c>
      <c r="K29" s="31" t="e">
        <f>VLOOKUP($D29,Résultats!$B$2:$AZ$251,K$2,FALSE)</f>
        <v>#N/A</v>
      </c>
      <c r="L29" s="31" t="e">
        <f>VLOOKUP($D29,Résultats!$B$2:$AZ$251,L$2,FALSE)</f>
        <v>#N/A</v>
      </c>
      <c r="M29" s="31" t="e">
        <f>VLOOKUP($D29,Résultats!$B$2:$AZ$251,M$2,FALSE)</f>
        <v>#N/A</v>
      </c>
      <c r="N29" s="31" t="e">
        <f>VLOOKUP($D29,Résultats!$B$2:$AZ$251,N$2,FALSE)</f>
        <v>#N/A</v>
      </c>
      <c r="O29" s="31" t="e">
        <f>VLOOKUP($D29,Résultats!$B$2:$AZ$251,O$2,FALSE)</f>
        <v>#N/A</v>
      </c>
      <c r="P29" s="31" t="e">
        <f>VLOOKUP($D29,Résultats!$B$2:$AZ$251,P$2,FALSE)</f>
        <v>#N/A</v>
      </c>
      <c r="Q29" s="31" t="e">
        <f>VLOOKUP($D29,Résultats!$B$2:$AZ$251,Q$2,FALSE)</f>
        <v>#N/A</v>
      </c>
      <c r="R29" s="31" t="e">
        <f>VLOOKUP($D29,Résultats!$B$2:$AZ$251,R$2,FALSE)</f>
        <v>#N/A</v>
      </c>
      <c r="S29" s="31" t="e">
        <f>VLOOKUP($D29,Résultats!$B$2:$AZ$251,S$2,FALSE)</f>
        <v>#N/A</v>
      </c>
      <c r="T29" s="31" t="e">
        <f>VLOOKUP($D29,Résultats!$B$2:$AZ$251,T$2,FALSE)</f>
        <v>#N/A</v>
      </c>
      <c r="U29" s="31" t="e">
        <f>VLOOKUP($D29,Résultats!$B$2:$AZ$251,U$2,FALSE)</f>
        <v>#N/A</v>
      </c>
      <c r="V29" s="31" t="e">
        <f>VLOOKUP($D29,Résultats!$B$2:$AZ$251,V$2,FALSE)</f>
        <v>#N/A</v>
      </c>
      <c r="W29" s="31" t="e">
        <f>VLOOKUP($D29,Résultats!$B$2:$AZ$251,W$2,FALSE)</f>
        <v>#N/A</v>
      </c>
      <c r="X29" s="31" t="e">
        <f>VLOOKUP($D29,Résultats!$B$2:$AZ$251,X$2,FALSE)</f>
        <v>#N/A</v>
      </c>
      <c r="Y29" s="31" t="e">
        <f>VLOOKUP($D29,Résultats!$B$2:$AZ$251,Y$2,FALSE)</f>
        <v>#N/A</v>
      </c>
      <c r="Z29" s="31" t="e">
        <f>VLOOKUP($D29,Résultats!$B$2:$AZ$251,Z$2,FALSE)</f>
        <v>#N/A</v>
      </c>
      <c r="AA29" s="31" t="e">
        <f>VLOOKUP($D29,Résultats!$B$2:$AZ$251,AA$2,FALSE)</f>
        <v>#N/A</v>
      </c>
      <c r="AB29" s="31" t="e">
        <f>VLOOKUP($D29,Résultats!$B$2:$AZ$251,AB$2,FALSE)</f>
        <v>#N/A</v>
      </c>
      <c r="AC29" s="31" t="e">
        <f>VLOOKUP($D29,Résultats!$B$2:$AZ$251,AC$2,FALSE)</f>
        <v>#N/A</v>
      </c>
      <c r="AD29" s="31" t="e">
        <f>VLOOKUP($D29,Résultats!$B$2:$AZ$251,AD$2,FALSE)</f>
        <v>#N/A</v>
      </c>
      <c r="AE29" s="31" t="e">
        <f>VLOOKUP($D29,Résultats!$B$2:$AZ$251,AE$2,FALSE)</f>
        <v>#N/A</v>
      </c>
      <c r="AF29" s="31" t="e">
        <f>VLOOKUP($D29,Résultats!$B$2:$AZ$251,AF$2,FALSE)</f>
        <v>#N/A</v>
      </c>
      <c r="AG29" s="31" t="e">
        <f>VLOOKUP($D29,Résultats!$B$2:$AZ$251,AG$2,FALSE)</f>
        <v>#N/A</v>
      </c>
      <c r="AH29" s="31" t="e">
        <f>VLOOKUP($D29,Résultats!$B$2:$AZ$251,AH$2,FALSE)</f>
        <v>#N/A</v>
      </c>
      <c r="AI29" s="31" t="e">
        <f>VLOOKUP($D29,Résultats!$B$2:$AZ$251,AI$2,FALSE)</f>
        <v>#N/A</v>
      </c>
      <c r="AJ29" s="31" t="e">
        <f>VLOOKUP($D29,Résultats!$B$2:$AZ$251,AJ$2,FALSE)</f>
        <v>#N/A</v>
      </c>
      <c r="AK29" s="31" t="e">
        <f>VLOOKUP($D29,Résultats!$B$2:$AZ$251,AK$2,FALSE)</f>
        <v>#N/A</v>
      </c>
      <c r="AL29" s="31" t="e">
        <f>VLOOKUP($D29,Résultats!$B$2:$AZ$251,AL$2,FALSE)</f>
        <v>#N/A</v>
      </c>
      <c r="AM29" s="31" t="e">
        <f>VLOOKUP($D29,Résultats!$B$2:$AZ$251,AM$2,FALSE)</f>
        <v>#N/A</v>
      </c>
    </row>
    <row r="30" spans="1:39" x14ac:dyDescent="0.25">
      <c r="C30" s="56" t="s">
        <v>29</v>
      </c>
      <c r="D30" s="78" t="s">
        <v>76</v>
      </c>
      <c r="E30" s="31" t="e">
        <f>VLOOKUP($D30,Résultats!$B$2:$AZ$251,E$2,FALSE)</f>
        <v>#N/A</v>
      </c>
      <c r="F30" s="31" t="e">
        <f>VLOOKUP($D30,Résultats!$B$2:$AZ$251,F$2,FALSE)</f>
        <v>#N/A</v>
      </c>
      <c r="G30" s="31" t="e">
        <f>VLOOKUP($D30,Résultats!$B$2:$AZ$251,G$2,FALSE)</f>
        <v>#N/A</v>
      </c>
      <c r="H30" s="31" t="e">
        <f>VLOOKUP($D30,Résultats!$B$2:$AZ$251,H$2,FALSE)</f>
        <v>#N/A</v>
      </c>
      <c r="I30" s="31" t="e">
        <f>VLOOKUP($D30,Résultats!$B$2:$AZ$251,I$2,FALSE)</f>
        <v>#N/A</v>
      </c>
      <c r="J30" s="31" t="e">
        <f>VLOOKUP($D30,Résultats!$B$2:$AZ$251,J$2,FALSE)</f>
        <v>#N/A</v>
      </c>
      <c r="K30" s="31" t="e">
        <f>VLOOKUP($D30,Résultats!$B$2:$AZ$251,K$2,FALSE)</f>
        <v>#N/A</v>
      </c>
      <c r="L30" s="31" t="e">
        <f>VLOOKUP($D30,Résultats!$B$2:$AZ$251,L$2,FALSE)</f>
        <v>#N/A</v>
      </c>
      <c r="M30" s="31" t="e">
        <f>VLOOKUP($D30,Résultats!$B$2:$AZ$251,M$2,FALSE)</f>
        <v>#N/A</v>
      </c>
      <c r="N30" s="31" t="e">
        <f>VLOOKUP($D30,Résultats!$B$2:$AZ$251,N$2,FALSE)</f>
        <v>#N/A</v>
      </c>
      <c r="O30" s="31" t="e">
        <f>VLOOKUP($D30,Résultats!$B$2:$AZ$251,O$2,FALSE)</f>
        <v>#N/A</v>
      </c>
      <c r="P30" s="31" t="e">
        <f>VLOOKUP($D30,Résultats!$B$2:$AZ$251,P$2,FALSE)</f>
        <v>#N/A</v>
      </c>
      <c r="Q30" s="31" t="e">
        <f>VLOOKUP($D30,Résultats!$B$2:$AZ$251,Q$2,FALSE)</f>
        <v>#N/A</v>
      </c>
      <c r="R30" s="31" t="e">
        <f>VLOOKUP($D30,Résultats!$B$2:$AZ$251,R$2,FALSE)</f>
        <v>#N/A</v>
      </c>
      <c r="S30" s="31" t="e">
        <f>VLOOKUP($D30,Résultats!$B$2:$AZ$251,S$2,FALSE)</f>
        <v>#N/A</v>
      </c>
      <c r="T30" s="31" t="e">
        <f>VLOOKUP($D30,Résultats!$B$2:$AZ$251,T$2,FALSE)</f>
        <v>#N/A</v>
      </c>
      <c r="U30" s="31" t="e">
        <f>VLOOKUP($D30,Résultats!$B$2:$AZ$251,U$2,FALSE)</f>
        <v>#N/A</v>
      </c>
      <c r="V30" s="31" t="e">
        <f>VLOOKUP($D30,Résultats!$B$2:$AZ$251,V$2,FALSE)</f>
        <v>#N/A</v>
      </c>
      <c r="W30" s="31" t="e">
        <f>VLOOKUP($D30,Résultats!$B$2:$AZ$251,W$2,FALSE)</f>
        <v>#N/A</v>
      </c>
      <c r="X30" s="31" t="e">
        <f>VLOOKUP($D30,Résultats!$B$2:$AZ$251,X$2,FALSE)</f>
        <v>#N/A</v>
      </c>
      <c r="Y30" s="31" t="e">
        <f>VLOOKUP($D30,Résultats!$B$2:$AZ$251,Y$2,FALSE)</f>
        <v>#N/A</v>
      </c>
      <c r="Z30" s="31" t="e">
        <f>VLOOKUP($D30,Résultats!$B$2:$AZ$251,Z$2,FALSE)</f>
        <v>#N/A</v>
      </c>
      <c r="AA30" s="31" t="e">
        <f>VLOOKUP($D30,Résultats!$B$2:$AZ$251,AA$2,FALSE)</f>
        <v>#N/A</v>
      </c>
      <c r="AB30" s="31" t="e">
        <f>VLOOKUP($D30,Résultats!$B$2:$AZ$251,AB$2,FALSE)</f>
        <v>#N/A</v>
      </c>
      <c r="AC30" s="31" t="e">
        <f>VLOOKUP($D30,Résultats!$B$2:$AZ$251,AC$2,FALSE)</f>
        <v>#N/A</v>
      </c>
      <c r="AD30" s="31" t="e">
        <f>VLOOKUP($D30,Résultats!$B$2:$AZ$251,AD$2,FALSE)</f>
        <v>#N/A</v>
      </c>
      <c r="AE30" s="31" t="e">
        <f>VLOOKUP($D30,Résultats!$B$2:$AZ$251,AE$2,FALSE)</f>
        <v>#N/A</v>
      </c>
      <c r="AF30" s="31" t="e">
        <f>VLOOKUP($D30,Résultats!$B$2:$AZ$251,AF$2,FALSE)</f>
        <v>#N/A</v>
      </c>
      <c r="AG30" s="31" t="e">
        <f>VLOOKUP($D30,Résultats!$B$2:$AZ$251,AG$2,FALSE)</f>
        <v>#N/A</v>
      </c>
      <c r="AH30" s="31" t="e">
        <f>VLOOKUP($D30,Résultats!$B$2:$AZ$251,AH$2,FALSE)</f>
        <v>#N/A</v>
      </c>
      <c r="AI30" s="31" t="e">
        <f>VLOOKUP($D30,Résultats!$B$2:$AZ$251,AI$2,FALSE)</f>
        <v>#N/A</v>
      </c>
      <c r="AJ30" s="31" t="e">
        <f>VLOOKUP($D30,Résultats!$B$2:$AZ$251,AJ$2,FALSE)</f>
        <v>#N/A</v>
      </c>
      <c r="AK30" s="31" t="e">
        <f>VLOOKUP($D30,Résultats!$B$2:$AZ$251,AK$2,FALSE)</f>
        <v>#N/A</v>
      </c>
      <c r="AL30" s="31" t="e">
        <f>VLOOKUP($D30,Résultats!$B$2:$AZ$251,AL$2,FALSE)</f>
        <v>#N/A</v>
      </c>
      <c r="AM30" s="31" t="e">
        <f>VLOOKUP($D30,Résultats!$B$2:$AZ$251,AM$2,FALSE)</f>
        <v>#N/A</v>
      </c>
    </row>
    <row r="31" spans="1:39" x14ac:dyDescent="0.25">
      <c r="C31" s="56" t="s">
        <v>30</v>
      </c>
      <c r="D31" s="78" t="s">
        <v>77</v>
      </c>
      <c r="E31" s="31" t="e">
        <f>VLOOKUP($D31,Résultats!$B$2:$AZ$251,E$2,FALSE)</f>
        <v>#N/A</v>
      </c>
      <c r="F31" s="31" t="e">
        <f>VLOOKUP($D31,Résultats!$B$2:$AZ$251,F$2,FALSE)</f>
        <v>#N/A</v>
      </c>
      <c r="G31" s="31" t="e">
        <f>VLOOKUP($D31,Résultats!$B$2:$AZ$251,G$2,FALSE)</f>
        <v>#N/A</v>
      </c>
      <c r="H31" s="31" t="e">
        <f>VLOOKUP($D31,Résultats!$B$2:$AZ$251,H$2,FALSE)</f>
        <v>#N/A</v>
      </c>
      <c r="I31" s="31" t="e">
        <f>VLOOKUP($D31,Résultats!$B$2:$AZ$251,I$2,FALSE)</f>
        <v>#N/A</v>
      </c>
      <c r="J31" s="31" t="e">
        <f>VLOOKUP($D31,Résultats!$B$2:$AZ$251,J$2,FALSE)</f>
        <v>#N/A</v>
      </c>
      <c r="K31" s="31" t="e">
        <f>VLOOKUP($D31,Résultats!$B$2:$AZ$251,K$2,FALSE)</f>
        <v>#N/A</v>
      </c>
      <c r="L31" s="31" t="e">
        <f>VLOOKUP($D31,Résultats!$B$2:$AZ$251,L$2,FALSE)</f>
        <v>#N/A</v>
      </c>
      <c r="M31" s="31" t="e">
        <f>VLOOKUP($D31,Résultats!$B$2:$AZ$251,M$2,FALSE)</f>
        <v>#N/A</v>
      </c>
      <c r="N31" s="31" t="e">
        <f>VLOOKUP($D31,Résultats!$B$2:$AZ$251,N$2,FALSE)</f>
        <v>#N/A</v>
      </c>
      <c r="O31" s="31" t="e">
        <f>VLOOKUP($D31,Résultats!$B$2:$AZ$251,O$2,FALSE)</f>
        <v>#N/A</v>
      </c>
      <c r="P31" s="31" t="e">
        <f>VLOOKUP($D31,Résultats!$B$2:$AZ$251,P$2,FALSE)</f>
        <v>#N/A</v>
      </c>
      <c r="Q31" s="31" t="e">
        <f>VLOOKUP($D31,Résultats!$B$2:$AZ$251,Q$2,FALSE)</f>
        <v>#N/A</v>
      </c>
      <c r="R31" s="31" t="e">
        <f>VLOOKUP($D31,Résultats!$B$2:$AZ$251,R$2,FALSE)</f>
        <v>#N/A</v>
      </c>
      <c r="S31" s="31" t="e">
        <f>VLOOKUP($D31,Résultats!$B$2:$AZ$251,S$2,FALSE)</f>
        <v>#N/A</v>
      </c>
      <c r="T31" s="31" t="e">
        <f>VLOOKUP($D31,Résultats!$B$2:$AZ$251,T$2,FALSE)</f>
        <v>#N/A</v>
      </c>
      <c r="U31" s="31" t="e">
        <f>VLOOKUP($D31,Résultats!$B$2:$AZ$251,U$2,FALSE)</f>
        <v>#N/A</v>
      </c>
      <c r="V31" s="31" t="e">
        <f>VLOOKUP($D31,Résultats!$B$2:$AZ$251,V$2,FALSE)</f>
        <v>#N/A</v>
      </c>
      <c r="W31" s="31" t="e">
        <f>VLOOKUP($D31,Résultats!$B$2:$AZ$251,W$2,FALSE)</f>
        <v>#N/A</v>
      </c>
      <c r="X31" s="31" t="e">
        <f>VLOOKUP($D31,Résultats!$B$2:$AZ$251,X$2,FALSE)</f>
        <v>#N/A</v>
      </c>
      <c r="Y31" s="31" t="e">
        <f>VLOOKUP($D31,Résultats!$B$2:$AZ$251,Y$2,FALSE)</f>
        <v>#N/A</v>
      </c>
      <c r="Z31" s="31" t="e">
        <f>VLOOKUP($D31,Résultats!$B$2:$AZ$251,Z$2,FALSE)</f>
        <v>#N/A</v>
      </c>
      <c r="AA31" s="31" t="e">
        <f>VLOOKUP($D31,Résultats!$B$2:$AZ$251,AA$2,FALSE)</f>
        <v>#N/A</v>
      </c>
      <c r="AB31" s="31" t="e">
        <f>VLOOKUP($D31,Résultats!$B$2:$AZ$251,AB$2,FALSE)</f>
        <v>#N/A</v>
      </c>
      <c r="AC31" s="31" t="e">
        <f>VLOOKUP($D31,Résultats!$B$2:$AZ$251,AC$2,FALSE)</f>
        <v>#N/A</v>
      </c>
      <c r="AD31" s="31" t="e">
        <f>VLOOKUP($D31,Résultats!$B$2:$AZ$251,AD$2,FALSE)</f>
        <v>#N/A</v>
      </c>
      <c r="AE31" s="31" t="e">
        <f>VLOOKUP($D31,Résultats!$B$2:$AZ$251,AE$2,FALSE)</f>
        <v>#N/A</v>
      </c>
      <c r="AF31" s="31" t="e">
        <f>VLOOKUP($D31,Résultats!$B$2:$AZ$251,AF$2,FALSE)</f>
        <v>#N/A</v>
      </c>
      <c r="AG31" s="31" t="e">
        <f>VLOOKUP($D31,Résultats!$B$2:$AZ$251,AG$2,FALSE)</f>
        <v>#N/A</v>
      </c>
      <c r="AH31" s="31" t="e">
        <f>VLOOKUP($D31,Résultats!$B$2:$AZ$251,AH$2,FALSE)</f>
        <v>#N/A</v>
      </c>
      <c r="AI31" s="31" t="e">
        <f>VLOOKUP($D31,Résultats!$B$2:$AZ$251,AI$2,FALSE)</f>
        <v>#N/A</v>
      </c>
      <c r="AJ31" s="31" t="e">
        <f>VLOOKUP($D31,Résultats!$B$2:$AZ$251,AJ$2,FALSE)</f>
        <v>#N/A</v>
      </c>
      <c r="AK31" s="31" t="e">
        <f>VLOOKUP($D31,Résultats!$B$2:$AZ$251,AK$2,FALSE)</f>
        <v>#N/A</v>
      </c>
      <c r="AL31" s="31" t="e">
        <f>VLOOKUP($D31,Résultats!$B$2:$AZ$251,AL$2,FALSE)</f>
        <v>#N/A</v>
      </c>
      <c r="AM31" s="31" t="e">
        <f>VLOOKUP($D31,Résultats!$B$2:$AZ$251,AM$2,FALSE)</f>
        <v>#N/A</v>
      </c>
    </row>
    <row r="32" spans="1:39" x14ac:dyDescent="0.25">
      <c r="C32" s="56" t="s">
        <v>31</v>
      </c>
      <c r="D32" s="78" t="s">
        <v>78</v>
      </c>
      <c r="E32" s="31" t="e">
        <f>VLOOKUP($D32,Résultats!$B$2:$AZ$251,E$2,FALSE)</f>
        <v>#N/A</v>
      </c>
      <c r="F32" s="31" t="e">
        <f>VLOOKUP($D32,Résultats!$B$2:$AZ$251,F$2,FALSE)</f>
        <v>#N/A</v>
      </c>
      <c r="G32" s="31" t="e">
        <f>VLOOKUP($D32,Résultats!$B$2:$AZ$251,G$2,FALSE)</f>
        <v>#N/A</v>
      </c>
      <c r="H32" s="31" t="e">
        <f>VLOOKUP($D32,Résultats!$B$2:$AZ$251,H$2,FALSE)</f>
        <v>#N/A</v>
      </c>
      <c r="I32" s="31" t="e">
        <f>VLOOKUP($D32,Résultats!$B$2:$AZ$251,I$2,FALSE)</f>
        <v>#N/A</v>
      </c>
      <c r="J32" s="31" t="e">
        <f>VLOOKUP($D32,Résultats!$B$2:$AZ$251,J$2,FALSE)</f>
        <v>#N/A</v>
      </c>
      <c r="K32" s="31" t="e">
        <f>VLOOKUP($D32,Résultats!$B$2:$AZ$251,K$2,FALSE)</f>
        <v>#N/A</v>
      </c>
      <c r="L32" s="31" t="e">
        <f>VLOOKUP($D32,Résultats!$B$2:$AZ$251,L$2,FALSE)</f>
        <v>#N/A</v>
      </c>
      <c r="M32" s="31" t="e">
        <f>VLOOKUP($D32,Résultats!$B$2:$AZ$251,M$2,FALSE)</f>
        <v>#N/A</v>
      </c>
      <c r="N32" s="31" t="e">
        <f>VLOOKUP($D32,Résultats!$B$2:$AZ$251,N$2,FALSE)</f>
        <v>#N/A</v>
      </c>
      <c r="O32" s="31" t="e">
        <f>VLOOKUP($D32,Résultats!$B$2:$AZ$251,O$2,FALSE)</f>
        <v>#N/A</v>
      </c>
      <c r="P32" s="31" t="e">
        <f>VLOOKUP($D32,Résultats!$B$2:$AZ$251,P$2,FALSE)</f>
        <v>#N/A</v>
      </c>
      <c r="Q32" s="31" t="e">
        <f>VLOOKUP($D32,Résultats!$B$2:$AZ$251,Q$2,FALSE)</f>
        <v>#N/A</v>
      </c>
      <c r="R32" s="31" t="e">
        <f>VLOOKUP($D32,Résultats!$B$2:$AZ$251,R$2,FALSE)</f>
        <v>#N/A</v>
      </c>
      <c r="S32" s="31" t="e">
        <f>VLOOKUP($D32,Résultats!$B$2:$AZ$251,S$2,FALSE)</f>
        <v>#N/A</v>
      </c>
      <c r="T32" s="31" t="e">
        <f>VLOOKUP($D32,Résultats!$B$2:$AZ$251,T$2,FALSE)</f>
        <v>#N/A</v>
      </c>
      <c r="U32" s="31" t="e">
        <f>VLOOKUP($D32,Résultats!$B$2:$AZ$251,U$2,FALSE)</f>
        <v>#N/A</v>
      </c>
      <c r="V32" s="31" t="e">
        <f>VLOOKUP($D32,Résultats!$B$2:$AZ$251,V$2,FALSE)</f>
        <v>#N/A</v>
      </c>
      <c r="W32" s="31" t="e">
        <f>VLOOKUP($D32,Résultats!$B$2:$AZ$251,W$2,FALSE)</f>
        <v>#N/A</v>
      </c>
      <c r="X32" s="31" t="e">
        <f>VLOOKUP($D32,Résultats!$B$2:$AZ$251,X$2,FALSE)</f>
        <v>#N/A</v>
      </c>
      <c r="Y32" s="31" t="e">
        <f>VLOOKUP($D32,Résultats!$B$2:$AZ$251,Y$2,FALSE)</f>
        <v>#N/A</v>
      </c>
      <c r="Z32" s="31" t="e">
        <f>VLOOKUP($D32,Résultats!$B$2:$AZ$251,Z$2,FALSE)</f>
        <v>#N/A</v>
      </c>
      <c r="AA32" s="31" t="e">
        <f>VLOOKUP($D32,Résultats!$B$2:$AZ$251,AA$2,FALSE)</f>
        <v>#N/A</v>
      </c>
      <c r="AB32" s="31" t="e">
        <f>VLOOKUP($D32,Résultats!$B$2:$AZ$251,AB$2,FALSE)</f>
        <v>#N/A</v>
      </c>
      <c r="AC32" s="31" t="e">
        <f>VLOOKUP($D32,Résultats!$B$2:$AZ$251,AC$2,FALSE)</f>
        <v>#N/A</v>
      </c>
      <c r="AD32" s="31" t="e">
        <f>VLOOKUP($D32,Résultats!$B$2:$AZ$251,AD$2,FALSE)</f>
        <v>#N/A</v>
      </c>
      <c r="AE32" s="31" t="e">
        <f>VLOOKUP($D32,Résultats!$B$2:$AZ$251,AE$2,FALSE)</f>
        <v>#N/A</v>
      </c>
      <c r="AF32" s="31" t="e">
        <f>VLOOKUP($D32,Résultats!$B$2:$AZ$251,AF$2,FALSE)</f>
        <v>#N/A</v>
      </c>
      <c r="AG32" s="31" t="e">
        <f>VLOOKUP($D32,Résultats!$B$2:$AZ$251,AG$2,FALSE)</f>
        <v>#N/A</v>
      </c>
      <c r="AH32" s="31" t="e">
        <f>VLOOKUP($D32,Résultats!$B$2:$AZ$251,AH$2,FALSE)</f>
        <v>#N/A</v>
      </c>
      <c r="AI32" s="31" t="e">
        <f>VLOOKUP($D32,Résultats!$B$2:$AZ$251,AI$2,FALSE)</f>
        <v>#N/A</v>
      </c>
      <c r="AJ32" s="31" t="e">
        <f>VLOOKUP($D32,Résultats!$B$2:$AZ$251,AJ$2,FALSE)</f>
        <v>#N/A</v>
      </c>
      <c r="AK32" s="31" t="e">
        <f>VLOOKUP($D32,Résultats!$B$2:$AZ$251,AK$2,FALSE)</f>
        <v>#N/A</v>
      </c>
      <c r="AL32" s="31" t="e">
        <f>VLOOKUP($D32,Résultats!$B$2:$AZ$251,AL$2,FALSE)</f>
        <v>#N/A</v>
      </c>
      <c r="AM32" s="31" t="e">
        <f>VLOOKUP($D32,Résultats!$B$2:$AZ$251,AM$2,FALSE)</f>
        <v>#N/A</v>
      </c>
    </row>
    <row r="33" spans="2:39" x14ac:dyDescent="0.25">
      <c r="C33" s="56" t="s">
        <v>32</v>
      </c>
      <c r="D33" s="78" t="s">
        <v>79</v>
      </c>
      <c r="E33" s="31" t="e">
        <f>VLOOKUP($D33,Résultats!$B$2:$AZ$251,E$2,FALSE)</f>
        <v>#N/A</v>
      </c>
      <c r="F33" s="31" t="e">
        <f>VLOOKUP($D33,Résultats!$B$2:$AZ$251,F$2,FALSE)</f>
        <v>#N/A</v>
      </c>
      <c r="G33" s="31" t="e">
        <f>VLOOKUP($D33,Résultats!$B$2:$AZ$251,G$2,FALSE)</f>
        <v>#N/A</v>
      </c>
      <c r="H33" s="31" t="e">
        <f>VLOOKUP($D33,Résultats!$B$2:$AZ$251,H$2,FALSE)</f>
        <v>#N/A</v>
      </c>
      <c r="I33" s="31" t="e">
        <f>VLOOKUP($D33,Résultats!$B$2:$AZ$251,I$2,FALSE)</f>
        <v>#N/A</v>
      </c>
      <c r="J33" s="31" t="e">
        <f>VLOOKUP($D33,Résultats!$B$2:$AZ$251,J$2,FALSE)</f>
        <v>#N/A</v>
      </c>
      <c r="K33" s="31" t="e">
        <f>VLOOKUP($D33,Résultats!$B$2:$AZ$251,K$2,FALSE)</f>
        <v>#N/A</v>
      </c>
      <c r="L33" s="31" t="e">
        <f>VLOOKUP($D33,Résultats!$B$2:$AZ$251,L$2,FALSE)</f>
        <v>#N/A</v>
      </c>
      <c r="M33" s="31" t="e">
        <f>VLOOKUP($D33,Résultats!$B$2:$AZ$251,M$2,FALSE)</f>
        <v>#N/A</v>
      </c>
      <c r="N33" s="31" t="e">
        <f>VLOOKUP($D33,Résultats!$B$2:$AZ$251,N$2,FALSE)</f>
        <v>#N/A</v>
      </c>
      <c r="O33" s="31" t="e">
        <f>VLOOKUP($D33,Résultats!$B$2:$AZ$251,O$2,FALSE)</f>
        <v>#N/A</v>
      </c>
      <c r="P33" s="31" t="e">
        <f>VLOOKUP($D33,Résultats!$B$2:$AZ$251,P$2,FALSE)</f>
        <v>#N/A</v>
      </c>
      <c r="Q33" s="31" t="e">
        <f>VLOOKUP($D33,Résultats!$B$2:$AZ$251,Q$2,FALSE)</f>
        <v>#N/A</v>
      </c>
      <c r="R33" s="31" t="e">
        <f>VLOOKUP($D33,Résultats!$B$2:$AZ$251,R$2,FALSE)</f>
        <v>#N/A</v>
      </c>
      <c r="S33" s="31" t="e">
        <f>VLOOKUP($D33,Résultats!$B$2:$AZ$251,S$2,FALSE)</f>
        <v>#N/A</v>
      </c>
      <c r="T33" s="31" t="e">
        <f>VLOOKUP($D33,Résultats!$B$2:$AZ$251,T$2,FALSE)</f>
        <v>#N/A</v>
      </c>
      <c r="U33" s="31" t="e">
        <f>VLOOKUP($D33,Résultats!$B$2:$AZ$251,U$2,FALSE)</f>
        <v>#N/A</v>
      </c>
      <c r="V33" s="31" t="e">
        <f>VLOOKUP($D33,Résultats!$B$2:$AZ$251,V$2,FALSE)</f>
        <v>#N/A</v>
      </c>
      <c r="W33" s="31" t="e">
        <f>VLOOKUP($D33,Résultats!$B$2:$AZ$251,W$2,FALSE)</f>
        <v>#N/A</v>
      </c>
      <c r="X33" s="31" t="e">
        <f>VLOOKUP($D33,Résultats!$B$2:$AZ$251,X$2,FALSE)</f>
        <v>#N/A</v>
      </c>
      <c r="Y33" s="31" t="e">
        <f>VLOOKUP($D33,Résultats!$B$2:$AZ$251,Y$2,FALSE)</f>
        <v>#N/A</v>
      </c>
      <c r="Z33" s="31" t="e">
        <f>VLOOKUP($D33,Résultats!$B$2:$AZ$251,Z$2,FALSE)</f>
        <v>#N/A</v>
      </c>
      <c r="AA33" s="31" t="e">
        <f>VLOOKUP($D33,Résultats!$B$2:$AZ$251,AA$2,FALSE)</f>
        <v>#N/A</v>
      </c>
      <c r="AB33" s="31" t="e">
        <f>VLOOKUP($D33,Résultats!$B$2:$AZ$251,AB$2,FALSE)</f>
        <v>#N/A</v>
      </c>
      <c r="AC33" s="31" t="e">
        <f>VLOOKUP($D33,Résultats!$B$2:$AZ$251,AC$2,FALSE)</f>
        <v>#N/A</v>
      </c>
      <c r="AD33" s="31" t="e">
        <f>VLOOKUP($D33,Résultats!$B$2:$AZ$251,AD$2,FALSE)</f>
        <v>#N/A</v>
      </c>
      <c r="AE33" s="31" t="e">
        <f>VLOOKUP($D33,Résultats!$B$2:$AZ$251,AE$2,FALSE)</f>
        <v>#N/A</v>
      </c>
      <c r="AF33" s="31" t="e">
        <f>VLOOKUP($D33,Résultats!$B$2:$AZ$251,AF$2,FALSE)</f>
        <v>#N/A</v>
      </c>
      <c r="AG33" s="31" t="e">
        <f>VLOOKUP($D33,Résultats!$B$2:$AZ$251,AG$2,FALSE)</f>
        <v>#N/A</v>
      </c>
      <c r="AH33" s="31" t="e">
        <f>VLOOKUP($D33,Résultats!$B$2:$AZ$251,AH$2,FALSE)</f>
        <v>#N/A</v>
      </c>
      <c r="AI33" s="31" t="e">
        <f>VLOOKUP($D33,Résultats!$B$2:$AZ$251,AI$2,FALSE)</f>
        <v>#N/A</v>
      </c>
      <c r="AJ33" s="31" t="e">
        <f>VLOOKUP($D33,Résultats!$B$2:$AZ$251,AJ$2,FALSE)</f>
        <v>#N/A</v>
      </c>
      <c r="AK33" s="31" t="e">
        <f>VLOOKUP($D33,Résultats!$B$2:$AZ$251,AK$2,FALSE)</f>
        <v>#N/A</v>
      </c>
      <c r="AL33" s="31" t="e">
        <f>VLOOKUP($D33,Résultats!$B$2:$AZ$251,AL$2,FALSE)</f>
        <v>#N/A</v>
      </c>
      <c r="AM33" s="31" t="e">
        <f>VLOOKUP($D33,Résultats!$B$2:$AZ$251,AM$2,FALSE)</f>
        <v>#N/A</v>
      </c>
    </row>
    <row r="34" spans="2:39" x14ac:dyDescent="0.25">
      <c r="C34" s="56" t="s">
        <v>33</v>
      </c>
      <c r="D34" s="78" t="s">
        <v>80</v>
      </c>
      <c r="E34" s="79" t="e">
        <f>VLOOKUP($D34,Résultats!$B$2:$AZ$251,E$2,FALSE)</f>
        <v>#N/A</v>
      </c>
      <c r="F34" s="79" t="e">
        <f>VLOOKUP($D34,Résultats!$B$2:$AZ$251,F$2,FALSE)</f>
        <v>#N/A</v>
      </c>
      <c r="G34" s="79" t="e">
        <f>VLOOKUP($D34,Résultats!$B$2:$AZ$251,G$2,FALSE)</f>
        <v>#N/A</v>
      </c>
      <c r="H34" s="79" t="e">
        <f>VLOOKUP($D34,Résultats!$B$2:$AZ$251,H$2,FALSE)</f>
        <v>#N/A</v>
      </c>
      <c r="I34" s="79" t="e">
        <f>VLOOKUP($D34,Résultats!$B$2:$AZ$251,I$2,FALSE)</f>
        <v>#N/A</v>
      </c>
      <c r="J34" s="79" t="e">
        <f>VLOOKUP($D34,Résultats!$B$2:$AZ$251,J$2,FALSE)</f>
        <v>#N/A</v>
      </c>
      <c r="K34" s="79" t="e">
        <f>VLOOKUP($D34,Résultats!$B$2:$AZ$251,K$2,FALSE)</f>
        <v>#N/A</v>
      </c>
      <c r="L34" s="79" t="e">
        <f>VLOOKUP($D34,Résultats!$B$2:$AZ$251,L$2,FALSE)</f>
        <v>#N/A</v>
      </c>
      <c r="M34" s="79" t="e">
        <f>VLOOKUP($D34,Résultats!$B$2:$AZ$251,M$2,FALSE)</f>
        <v>#N/A</v>
      </c>
      <c r="N34" s="79" t="e">
        <f>VLOOKUP($D34,Résultats!$B$2:$AZ$251,N$2,FALSE)</f>
        <v>#N/A</v>
      </c>
      <c r="O34" s="79" t="e">
        <f>VLOOKUP($D34,Résultats!$B$2:$AZ$251,O$2,FALSE)</f>
        <v>#N/A</v>
      </c>
      <c r="P34" s="79" t="e">
        <f>VLOOKUP($D34,Résultats!$B$2:$AZ$251,P$2,FALSE)</f>
        <v>#N/A</v>
      </c>
      <c r="Q34" s="79" t="e">
        <f>VLOOKUP($D34,Résultats!$B$2:$AZ$251,Q$2,FALSE)</f>
        <v>#N/A</v>
      </c>
      <c r="R34" s="79" t="e">
        <f>VLOOKUP($D34,Résultats!$B$2:$AZ$251,R$2,FALSE)</f>
        <v>#N/A</v>
      </c>
      <c r="S34" s="79" t="e">
        <f>VLOOKUP($D34,Résultats!$B$2:$AZ$251,S$2,FALSE)</f>
        <v>#N/A</v>
      </c>
      <c r="T34" s="79" t="e">
        <f>VLOOKUP($D34,Résultats!$B$2:$AZ$251,T$2,FALSE)</f>
        <v>#N/A</v>
      </c>
      <c r="U34" s="79" t="e">
        <f>VLOOKUP($D34,Résultats!$B$2:$AZ$251,U$2,FALSE)</f>
        <v>#N/A</v>
      </c>
      <c r="V34" s="79" t="e">
        <f>VLOOKUP($D34,Résultats!$B$2:$AZ$251,V$2,FALSE)</f>
        <v>#N/A</v>
      </c>
      <c r="W34" s="79" t="e">
        <f>VLOOKUP($D34,Résultats!$B$2:$AZ$251,W$2,FALSE)</f>
        <v>#N/A</v>
      </c>
      <c r="X34" s="79" t="e">
        <f>VLOOKUP($D34,Résultats!$B$2:$AZ$251,X$2,FALSE)</f>
        <v>#N/A</v>
      </c>
      <c r="Y34" s="79" t="e">
        <f>VLOOKUP($D34,Résultats!$B$2:$AZ$251,Y$2,FALSE)</f>
        <v>#N/A</v>
      </c>
      <c r="Z34" s="79" t="e">
        <f>VLOOKUP($D34,Résultats!$B$2:$AZ$251,Z$2,FALSE)</f>
        <v>#N/A</v>
      </c>
      <c r="AA34" s="79" t="e">
        <f>VLOOKUP($D34,Résultats!$B$2:$AZ$251,AA$2,FALSE)</f>
        <v>#N/A</v>
      </c>
      <c r="AB34" s="79" t="e">
        <f>VLOOKUP($D34,Résultats!$B$2:$AZ$251,AB$2,FALSE)</f>
        <v>#N/A</v>
      </c>
      <c r="AC34" s="79" t="e">
        <f>VLOOKUP($D34,Résultats!$B$2:$AZ$251,AC$2,FALSE)</f>
        <v>#N/A</v>
      </c>
      <c r="AD34" s="79" t="e">
        <f>VLOOKUP($D34,Résultats!$B$2:$AZ$251,AD$2,FALSE)</f>
        <v>#N/A</v>
      </c>
      <c r="AE34" s="79" t="e">
        <f>VLOOKUP($D34,Résultats!$B$2:$AZ$251,AE$2,FALSE)</f>
        <v>#N/A</v>
      </c>
      <c r="AF34" s="79" t="e">
        <f>VLOOKUP($D34,Résultats!$B$2:$AZ$251,AF$2,FALSE)</f>
        <v>#N/A</v>
      </c>
      <c r="AG34" s="79" t="e">
        <f>VLOOKUP($D34,Résultats!$B$2:$AZ$251,AG$2,FALSE)</f>
        <v>#N/A</v>
      </c>
      <c r="AH34" s="79" t="e">
        <f>VLOOKUP($D34,Résultats!$B$2:$AZ$251,AH$2,FALSE)</f>
        <v>#N/A</v>
      </c>
      <c r="AI34" s="79" t="e">
        <f>VLOOKUP($D34,Résultats!$B$2:$AZ$251,AI$2,FALSE)</f>
        <v>#N/A</v>
      </c>
      <c r="AJ34" s="79" t="e">
        <f>VLOOKUP($D34,Résultats!$B$2:$AZ$251,AJ$2,FALSE)</f>
        <v>#N/A</v>
      </c>
      <c r="AK34" s="79" t="e">
        <f>VLOOKUP($D34,Résultats!$B$2:$AZ$251,AK$2,FALSE)</f>
        <v>#N/A</v>
      </c>
      <c r="AL34" s="79" t="e">
        <f>VLOOKUP($D34,Résultats!$B$2:$AZ$251,AL$2,FALSE)</f>
        <v>#N/A</v>
      </c>
      <c r="AM34" s="79" t="e">
        <f>VLOOKUP($D34,Résultats!$B$2:$AZ$251,AM$2,FALSE)</f>
        <v>#N/A</v>
      </c>
    </row>
    <row r="35" spans="2:39" x14ac:dyDescent="0.25">
      <c r="C35" s="76" t="s">
        <v>95</v>
      </c>
      <c r="D35" s="76" t="s">
        <v>65</v>
      </c>
      <c r="E35" s="77" t="e">
        <f>VLOOKUP($D35,Résultats!$B$2:$AZ$251,E$2,FALSE)</f>
        <v>#N/A</v>
      </c>
      <c r="F35" s="77" t="e">
        <f>VLOOKUP($D35,Résultats!$B$2:$AZ$251,F$2,FALSE)</f>
        <v>#N/A</v>
      </c>
      <c r="G35" s="77" t="e">
        <f>VLOOKUP($D35,Résultats!$B$2:$AZ$251,G$2,FALSE)</f>
        <v>#N/A</v>
      </c>
      <c r="H35" s="77" t="e">
        <f>VLOOKUP($D35,Résultats!$B$2:$AZ$251,H$2,FALSE)</f>
        <v>#N/A</v>
      </c>
      <c r="I35" s="77" t="e">
        <f>VLOOKUP($D35,Résultats!$B$2:$AZ$251,I$2,FALSE)</f>
        <v>#N/A</v>
      </c>
      <c r="J35" s="77" t="e">
        <f>VLOOKUP($D35,Résultats!$B$2:$AZ$251,J$2,FALSE)</f>
        <v>#N/A</v>
      </c>
      <c r="K35" s="77" t="e">
        <f>VLOOKUP($D35,Résultats!$B$2:$AZ$251,K$2,FALSE)</f>
        <v>#N/A</v>
      </c>
      <c r="L35" s="77" t="e">
        <f>VLOOKUP($D35,Résultats!$B$2:$AZ$251,L$2,FALSE)</f>
        <v>#N/A</v>
      </c>
      <c r="M35" s="77" t="e">
        <f>VLOOKUP($D35,Résultats!$B$2:$AZ$251,M$2,FALSE)</f>
        <v>#N/A</v>
      </c>
      <c r="N35" s="77" t="e">
        <f>VLOOKUP($D35,Résultats!$B$2:$AZ$251,N$2,FALSE)</f>
        <v>#N/A</v>
      </c>
      <c r="O35" s="77" t="e">
        <f>VLOOKUP($D35,Résultats!$B$2:$AZ$251,O$2,FALSE)</f>
        <v>#N/A</v>
      </c>
      <c r="P35" s="77" t="e">
        <f>VLOOKUP($D35,Résultats!$B$2:$AZ$251,P$2,FALSE)</f>
        <v>#N/A</v>
      </c>
      <c r="Q35" s="77" t="e">
        <f>VLOOKUP($D35,Résultats!$B$2:$AZ$251,Q$2,FALSE)</f>
        <v>#N/A</v>
      </c>
      <c r="R35" s="77" t="e">
        <f>VLOOKUP($D35,Résultats!$B$2:$AZ$251,R$2,FALSE)</f>
        <v>#N/A</v>
      </c>
      <c r="S35" s="77" t="e">
        <f>VLOOKUP($D35,Résultats!$B$2:$AZ$251,S$2,FALSE)</f>
        <v>#N/A</v>
      </c>
      <c r="T35" s="77" t="e">
        <f>VLOOKUP($D35,Résultats!$B$2:$AZ$251,T$2,FALSE)</f>
        <v>#N/A</v>
      </c>
      <c r="U35" s="77" t="e">
        <f>VLOOKUP($D35,Résultats!$B$2:$AZ$251,U$2,FALSE)</f>
        <v>#N/A</v>
      </c>
      <c r="V35" s="77" t="e">
        <f>VLOOKUP($D35,Résultats!$B$2:$AZ$251,V$2,FALSE)</f>
        <v>#N/A</v>
      </c>
      <c r="W35" s="77" t="e">
        <f>VLOOKUP($D35,Résultats!$B$2:$AZ$251,W$2,FALSE)</f>
        <v>#N/A</v>
      </c>
      <c r="X35" s="77" t="e">
        <f>VLOOKUP($D35,Résultats!$B$2:$AZ$251,X$2,FALSE)</f>
        <v>#N/A</v>
      </c>
      <c r="Y35" s="77" t="e">
        <f>VLOOKUP($D35,Résultats!$B$2:$AZ$251,Y$2,FALSE)</f>
        <v>#N/A</v>
      </c>
      <c r="Z35" s="77" t="e">
        <f>VLOOKUP($D35,Résultats!$B$2:$AZ$251,Z$2,FALSE)</f>
        <v>#N/A</v>
      </c>
      <c r="AA35" s="77" t="e">
        <f>VLOOKUP($D35,Résultats!$B$2:$AZ$251,AA$2,FALSE)</f>
        <v>#N/A</v>
      </c>
      <c r="AB35" s="77" t="e">
        <f>VLOOKUP($D35,Résultats!$B$2:$AZ$251,AB$2,FALSE)</f>
        <v>#N/A</v>
      </c>
      <c r="AC35" s="77" t="e">
        <f>VLOOKUP($D35,Résultats!$B$2:$AZ$251,AC$2,FALSE)</f>
        <v>#N/A</v>
      </c>
      <c r="AD35" s="77" t="e">
        <f>VLOOKUP($D35,Résultats!$B$2:$AZ$251,AD$2,FALSE)</f>
        <v>#N/A</v>
      </c>
      <c r="AE35" s="77" t="e">
        <f>VLOOKUP($D35,Résultats!$B$2:$AZ$251,AE$2,FALSE)</f>
        <v>#N/A</v>
      </c>
      <c r="AF35" s="77" t="e">
        <f>VLOOKUP($D35,Résultats!$B$2:$AZ$251,AF$2,FALSE)</f>
        <v>#N/A</v>
      </c>
      <c r="AG35" s="77" t="e">
        <f>VLOOKUP($D35,Résultats!$B$2:$AZ$251,AG$2,FALSE)</f>
        <v>#N/A</v>
      </c>
      <c r="AH35" s="77" t="e">
        <f>VLOOKUP($D35,Résultats!$B$2:$AZ$251,AH$2,FALSE)</f>
        <v>#N/A</v>
      </c>
      <c r="AI35" s="77" t="e">
        <f>VLOOKUP($D35,Résultats!$B$2:$AZ$251,AI$2,FALSE)</f>
        <v>#N/A</v>
      </c>
      <c r="AJ35" s="77" t="e">
        <f>VLOOKUP($D35,Résultats!$B$2:$AZ$251,AJ$2,FALSE)</f>
        <v>#N/A</v>
      </c>
      <c r="AK35" s="77" t="e">
        <f>VLOOKUP($D35,Résultats!$B$2:$AZ$251,AK$2,FALSE)</f>
        <v>#N/A</v>
      </c>
      <c r="AL35" s="77" t="e">
        <f>VLOOKUP($D35,Résultats!$B$2:$AZ$251,AL$2,FALSE)</f>
        <v>#N/A</v>
      </c>
      <c r="AM35" s="77" t="e">
        <f>VLOOKUP($D35,Résultats!$B$2:$AZ$251,AM$2,FALSE)</f>
        <v>#N/A</v>
      </c>
    </row>
    <row r="36" spans="2:39" x14ac:dyDescent="0.25">
      <c r="C36" s="56" t="s">
        <v>27</v>
      </c>
      <c r="D36" s="3" t="s">
        <v>66</v>
      </c>
      <c r="E36" s="31" t="e">
        <f>VLOOKUP($D36,Résultats!$B$2:$AZ$251,E$2,FALSE)</f>
        <v>#N/A</v>
      </c>
      <c r="F36" s="31" t="e">
        <f>VLOOKUP($D36,Résultats!$B$2:$AZ$251,F$2,FALSE)</f>
        <v>#N/A</v>
      </c>
      <c r="G36" s="31" t="e">
        <f>VLOOKUP($D36,Résultats!$B$2:$AZ$251,G$2,FALSE)</f>
        <v>#N/A</v>
      </c>
      <c r="H36" s="31" t="e">
        <f>VLOOKUP($D36,Résultats!$B$2:$AZ$251,H$2,FALSE)</f>
        <v>#N/A</v>
      </c>
      <c r="I36" s="31" t="e">
        <f>VLOOKUP($D36,Résultats!$B$2:$AZ$251,I$2,FALSE)</f>
        <v>#N/A</v>
      </c>
      <c r="J36" s="31" t="e">
        <f>VLOOKUP($D36,Résultats!$B$2:$AZ$251,J$2,FALSE)</f>
        <v>#N/A</v>
      </c>
      <c r="K36" s="31" t="e">
        <f>VLOOKUP($D36,Résultats!$B$2:$AZ$251,K$2,FALSE)</f>
        <v>#N/A</v>
      </c>
      <c r="L36" s="31" t="e">
        <f>VLOOKUP($D36,Résultats!$B$2:$AZ$251,L$2,FALSE)</f>
        <v>#N/A</v>
      </c>
      <c r="M36" s="31" t="e">
        <f>VLOOKUP($D36,Résultats!$B$2:$AZ$251,M$2,FALSE)</f>
        <v>#N/A</v>
      </c>
      <c r="N36" s="31" t="e">
        <f>VLOOKUP($D36,Résultats!$B$2:$AZ$251,N$2,FALSE)</f>
        <v>#N/A</v>
      </c>
      <c r="O36" s="31" t="e">
        <f>VLOOKUP($D36,Résultats!$B$2:$AZ$251,O$2,FALSE)</f>
        <v>#N/A</v>
      </c>
      <c r="P36" s="31" t="e">
        <f>VLOOKUP($D36,Résultats!$B$2:$AZ$251,P$2,FALSE)</f>
        <v>#N/A</v>
      </c>
      <c r="Q36" s="31" t="e">
        <f>VLOOKUP($D36,Résultats!$B$2:$AZ$251,Q$2,FALSE)</f>
        <v>#N/A</v>
      </c>
      <c r="R36" s="31" t="e">
        <f>VLOOKUP($D36,Résultats!$B$2:$AZ$251,R$2,FALSE)</f>
        <v>#N/A</v>
      </c>
      <c r="S36" s="31" t="e">
        <f>VLOOKUP($D36,Résultats!$B$2:$AZ$251,S$2,FALSE)</f>
        <v>#N/A</v>
      </c>
      <c r="T36" s="31" t="e">
        <f>VLOOKUP($D36,Résultats!$B$2:$AZ$251,T$2,FALSE)</f>
        <v>#N/A</v>
      </c>
      <c r="U36" s="31" t="e">
        <f>VLOOKUP($D36,Résultats!$B$2:$AZ$251,U$2,FALSE)</f>
        <v>#N/A</v>
      </c>
      <c r="V36" s="31" t="e">
        <f>VLOOKUP($D36,Résultats!$B$2:$AZ$251,V$2,FALSE)</f>
        <v>#N/A</v>
      </c>
      <c r="W36" s="31" t="e">
        <f>VLOOKUP($D36,Résultats!$B$2:$AZ$251,W$2,FALSE)</f>
        <v>#N/A</v>
      </c>
      <c r="X36" s="31" t="e">
        <f>VLOOKUP($D36,Résultats!$B$2:$AZ$251,X$2,FALSE)</f>
        <v>#N/A</v>
      </c>
      <c r="Y36" s="31" t="e">
        <f>VLOOKUP($D36,Résultats!$B$2:$AZ$251,Y$2,FALSE)</f>
        <v>#N/A</v>
      </c>
      <c r="Z36" s="31" t="e">
        <f>VLOOKUP($D36,Résultats!$B$2:$AZ$251,Z$2,FALSE)</f>
        <v>#N/A</v>
      </c>
      <c r="AA36" s="31" t="e">
        <f>VLOOKUP($D36,Résultats!$B$2:$AZ$251,AA$2,FALSE)</f>
        <v>#N/A</v>
      </c>
      <c r="AB36" s="31" t="e">
        <f>VLOOKUP($D36,Résultats!$B$2:$AZ$251,AB$2,FALSE)</f>
        <v>#N/A</v>
      </c>
      <c r="AC36" s="31" t="e">
        <f>VLOOKUP($D36,Résultats!$B$2:$AZ$251,AC$2,FALSE)</f>
        <v>#N/A</v>
      </c>
      <c r="AD36" s="31" t="e">
        <f>VLOOKUP($D36,Résultats!$B$2:$AZ$251,AD$2,FALSE)</f>
        <v>#N/A</v>
      </c>
      <c r="AE36" s="31" t="e">
        <f>VLOOKUP($D36,Résultats!$B$2:$AZ$251,AE$2,FALSE)</f>
        <v>#N/A</v>
      </c>
      <c r="AF36" s="31" t="e">
        <f>VLOOKUP($D36,Résultats!$B$2:$AZ$251,AF$2,FALSE)</f>
        <v>#N/A</v>
      </c>
      <c r="AG36" s="31" t="e">
        <f>VLOOKUP($D36,Résultats!$B$2:$AZ$251,AG$2,FALSE)</f>
        <v>#N/A</v>
      </c>
      <c r="AH36" s="31" t="e">
        <f>VLOOKUP($D36,Résultats!$B$2:$AZ$251,AH$2,FALSE)</f>
        <v>#N/A</v>
      </c>
      <c r="AI36" s="31" t="e">
        <f>VLOOKUP($D36,Résultats!$B$2:$AZ$251,AI$2,FALSE)</f>
        <v>#N/A</v>
      </c>
      <c r="AJ36" s="31" t="e">
        <f>VLOOKUP($D36,Résultats!$B$2:$AZ$251,AJ$2,FALSE)</f>
        <v>#N/A</v>
      </c>
      <c r="AK36" s="31" t="e">
        <f>VLOOKUP($D36,Résultats!$B$2:$AZ$251,AK$2,FALSE)</f>
        <v>#N/A</v>
      </c>
      <c r="AL36" s="31" t="e">
        <f>VLOOKUP($D36,Résultats!$B$2:$AZ$251,AL$2,FALSE)</f>
        <v>#N/A</v>
      </c>
      <c r="AM36" s="31" t="e">
        <f>VLOOKUP($D36,Résultats!$B$2:$AZ$251,AM$2,FALSE)</f>
        <v>#N/A</v>
      </c>
    </row>
    <row r="37" spans="2:39" x14ac:dyDescent="0.25">
      <c r="C37" s="56" t="s">
        <v>28</v>
      </c>
      <c r="D37" s="3" t="s">
        <v>67</v>
      </c>
      <c r="E37" s="31" t="e">
        <f>VLOOKUP($D37,Résultats!$B$2:$AZ$251,E$2,FALSE)</f>
        <v>#N/A</v>
      </c>
      <c r="F37" s="31" t="e">
        <f>VLOOKUP($D37,Résultats!$B$2:$AZ$251,F$2,FALSE)</f>
        <v>#N/A</v>
      </c>
      <c r="G37" s="31" t="e">
        <f>VLOOKUP($D37,Résultats!$B$2:$AZ$251,G$2,FALSE)</f>
        <v>#N/A</v>
      </c>
      <c r="H37" s="31" t="e">
        <f>VLOOKUP($D37,Résultats!$B$2:$AZ$251,H$2,FALSE)</f>
        <v>#N/A</v>
      </c>
      <c r="I37" s="31" t="e">
        <f>VLOOKUP($D37,Résultats!$B$2:$AZ$251,I$2,FALSE)</f>
        <v>#N/A</v>
      </c>
      <c r="J37" s="31" t="e">
        <f>VLOOKUP($D37,Résultats!$B$2:$AZ$251,J$2,FALSE)</f>
        <v>#N/A</v>
      </c>
      <c r="K37" s="31" t="e">
        <f>VLOOKUP($D37,Résultats!$B$2:$AZ$251,K$2,FALSE)</f>
        <v>#N/A</v>
      </c>
      <c r="L37" s="31" t="e">
        <f>VLOOKUP($D37,Résultats!$B$2:$AZ$251,L$2,FALSE)</f>
        <v>#N/A</v>
      </c>
      <c r="M37" s="31" t="e">
        <f>VLOOKUP($D37,Résultats!$B$2:$AZ$251,M$2,FALSE)</f>
        <v>#N/A</v>
      </c>
      <c r="N37" s="31" t="e">
        <f>VLOOKUP($D37,Résultats!$B$2:$AZ$251,N$2,FALSE)</f>
        <v>#N/A</v>
      </c>
      <c r="O37" s="31" t="e">
        <f>VLOOKUP($D37,Résultats!$B$2:$AZ$251,O$2,FALSE)</f>
        <v>#N/A</v>
      </c>
      <c r="P37" s="31" t="e">
        <f>VLOOKUP($D37,Résultats!$B$2:$AZ$251,P$2,FALSE)</f>
        <v>#N/A</v>
      </c>
      <c r="Q37" s="31" t="e">
        <f>VLOOKUP($D37,Résultats!$B$2:$AZ$251,Q$2,FALSE)</f>
        <v>#N/A</v>
      </c>
      <c r="R37" s="31" t="e">
        <f>VLOOKUP($D37,Résultats!$B$2:$AZ$251,R$2,FALSE)</f>
        <v>#N/A</v>
      </c>
      <c r="S37" s="31" t="e">
        <f>VLOOKUP($D37,Résultats!$B$2:$AZ$251,S$2,FALSE)</f>
        <v>#N/A</v>
      </c>
      <c r="T37" s="31" t="e">
        <f>VLOOKUP($D37,Résultats!$B$2:$AZ$251,T$2,FALSE)</f>
        <v>#N/A</v>
      </c>
      <c r="U37" s="31" t="e">
        <f>VLOOKUP($D37,Résultats!$B$2:$AZ$251,U$2,FALSE)</f>
        <v>#N/A</v>
      </c>
      <c r="V37" s="31" t="e">
        <f>VLOOKUP($D37,Résultats!$B$2:$AZ$251,V$2,FALSE)</f>
        <v>#N/A</v>
      </c>
      <c r="W37" s="31" t="e">
        <f>VLOOKUP($D37,Résultats!$B$2:$AZ$251,W$2,FALSE)</f>
        <v>#N/A</v>
      </c>
      <c r="X37" s="31" t="e">
        <f>VLOOKUP($D37,Résultats!$B$2:$AZ$251,X$2,FALSE)</f>
        <v>#N/A</v>
      </c>
      <c r="Y37" s="31" t="e">
        <f>VLOOKUP($D37,Résultats!$B$2:$AZ$251,Y$2,FALSE)</f>
        <v>#N/A</v>
      </c>
      <c r="Z37" s="31" t="e">
        <f>VLOOKUP($D37,Résultats!$B$2:$AZ$251,Z$2,FALSE)</f>
        <v>#N/A</v>
      </c>
      <c r="AA37" s="31" t="e">
        <f>VLOOKUP($D37,Résultats!$B$2:$AZ$251,AA$2,FALSE)</f>
        <v>#N/A</v>
      </c>
      <c r="AB37" s="31" t="e">
        <f>VLOOKUP($D37,Résultats!$B$2:$AZ$251,AB$2,FALSE)</f>
        <v>#N/A</v>
      </c>
      <c r="AC37" s="31" t="e">
        <f>VLOOKUP($D37,Résultats!$B$2:$AZ$251,AC$2,FALSE)</f>
        <v>#N/A</v>
      </c>
      <c r="AD37" s="31" t="e">
        <f>VLOOKUP($D37,Résultats!$B$2:$AZ$251,AD$2,FALSE)</f>
        <v>#N/A</v>
      </c>
      <c r="AE37" s="31" t="e">
        <f>VLOOKUP($D37,Résultats!$B$2:$AZ$251,AE$2,FALSE)</f>
        <v>#N/A</v>
      </c>
      <c r="AF37" s="31" t="e">
        <f>VLOOKUP($D37,Résultats!$B$2:$AZ$251,AF$2,FALSE)</f>
        <v>#N/A</v>
      </c>
      <c r="AG37" s="31" t="e">
        <f>VLOOKUP($D37,Résultats!$B$2:$AZ$251,AG$2,FALSE)</f>
        <v>#N/A</v>
      </c>
      <c r="AH37" s="31" t="e">
        <f>VLOOKUP($D37,Résultats!$B$2:$AZ$251,AH$2,FALSE)</f>
        <v>#N/A</v>
      </c>
      <c r="AI37" s="31" t="e">
        <f>VLOOKUP($D37,Résultats!$B$2:$AZ$251,AI$2,FALSE)</f>
        <v>#N/A</v>
      </c>
      <c r="AJ37" s="31" t="e">
        <f>VLOOKUP($D37,Résultats!$B$2:$AZ$251,AJ$2,FALSE)</f>
        <v>#N/A</v>
      </c>
      <c r="AK37" s="31" t="e">
        <f>VLOOKUP($D37,Résultats!$B$2:$AZ$251,AK$2,FALSE)</f>
        <v>#N/A</v>
      </c>
      <c r="AL37" s="31" t="e">
        <f>VLOOKUP($D37,Résultats!$B$2:$AZ$251,AL$2,FALSE)</f>
        <v>#N/A</v>
      </c>
      <c r="AM37" s="31" t="e">
        <f>VLOOKUP($D37,Résultats!$B$2:$AZ$251,AM$2,FALSE)</f>
        <v>#N/A</v>
      </c>
    </row>
    <row r="38" spans="2:39" x14ac:dyDescent="0.25">
      <c r="C38" s="56" t="s">
        <v>29</v>
      </c>
      <c r="D38" s="3" t="s">
        <v>68</v>
      </c>
      <c r="E38" s="31" t="e">
        <f>VLOOKUP($D38,Résultats!$B$2:$AZ$251,E$2,FALSE)</f>
        <v>#N/A</v>
      </c>
      <c r="F38" s="31" t="e">
        <f>VLOOKUP($D38,Résultats!$B$2:$AZ$251,F$2,FALSE)</f>
        <v>#N/A</v>
      </c>
      <c r="G38" s="31" t="e">
        <f>VLOOKUP($D38,Résultats!$B$2:$AZ$251,G$2,FALSE)</f>
        <v>#N/A</v>
      </c>
      <c r="H38" s="31" t="e">
        <f>VLOOKUP($D38,Résultats!$B$2:$AZ$251,H$2,FALSE)</f>
        <v>#N/A</v>
      </c>
      <c r="I38" s="31" t="e">
        <f>VLOOKUP($D38,Résultats!$B$2:$AZ$251,I$2,FALSE)</f>
        <v>#N/A</v>
      </c>
      <c r="J38" s="31" t="e">
        <f>VLOOKUP($D38,Résultats!$B$2:$AZ$251,J$2,FALSE)</f>
        <v>#N/A</v>
      </c>
      <c r="K38" s="31" t="e">
        <f>VLOOKUP($D38,Résultats!$B$2:$AZ$251,K$2,FALSE)</f>
        <v>#N/A</v>
      </c>
      <c r="L38" s="31" t="e">
        <f>VLOOKUP($D38,Résultats!$B$2:$AZ$251,L$2,FALSE)</f>
        <v>#N/A</v>
      </c>
      <c r="M38" s="31" t="e">
        <f>VLOOKUP($D38,Résultats!$B$2:$AZ$251,M$2,FALSE)</f>
        <v>#N/A</v>
      </c>
      <c r="N38" s="31" t="e">
        <f>VLOOKUP($D38,Résultats!$B$2:$AZ$251,N$2,FALSE)</f>
        <v>#N/A</v>
      </c>
      <c r="O38" s="31" t="e">
        <f>VLOOKUP($D38,Résultats!$B$2:$AZ$251,O$2,FALSE)</f>
        <v>#N/A</v>
      </c>
      <c r="P38" s="31" t="e">
        <f>VLOOKUP($D38,Résultats!$B$2:$AZ$251,P$2,FALSE)</f>
        <v>#N/A</v>
      </c>
      <c r="Q38" s="31" t="e">
        <f>VLOOKUP($D38,Résultats!$B$2:$AZ$251,Q$2,FALSE)</f>
        <v>#N/A</v>
      </c>
      <c r="R38" s="31" t="e">
        <f>VLOOKUP($D38,Résultats!$B$2:$AZ$251,R$2,FALSE)</f>
        <v>#N/A</v>
      </c>
      <c r="S38" s="31" t="e">
        <f>VLOOKUP($D38,Résultats!$B$2:$AZ$251,S$2,FALSE)</f>
        <v>#N/A</v>
      </c>
      <c r="T38" s="31" t="e">
        <f>VLOOKUP($D38,Résultats!$B$2:$AZ$251,T$2,FALSE)</f>
        <v>#N/A</v>
      </c>
      <c r="U38" s="31" t="e">
        <f>VLOOKUP($D38,Résultats!$B$2:$AZ$251,U$2,FALSE)</f>
        <v>#N/A</v>
      </c>
      <c r="V38" s="31" t="e">
        <f>VLOOKUP($D38,Résultats!$B$2:$AZ$251,V$2,FALSE)</f>
        <v>#N/A</v>
      </c>
      <c r="W38" s="31" t="e">
        <f>VLOOKUP($D38,Résultats!$B$2:$AZ$251,W$2,FALSE)</f>
        <v>#N/A</v>
      </c>
      <c r="X38" s="31" t="e">
        <f>VLOOKUP($D38,Résultats!$B$2:$AZ$251,X$2,FALSE)</f>
        <v>#N/A</v>
      </c>
      <c r="Y38" s="31" t="e">
        <f>VLOOKUP($D38,Résultats!$B$2:$AZ$251,Y$2,FALSE)</f>
        <v>#N/A</v>
      </c>
      <c r="Z38" s="31" t="e">
        <f>VLOOKUP($D38,Résultats!$B$2:$AZ$251,Z$2,FALSE)</f>
        <v>#N/A</v>
      </c>
      <c r="AA38" s="31" t="e">
        <f>VLOOKUP($D38,Résultats!$B$2:$AZ$251,AA$2,FALSE)</f>
        <v>#N/A</v>
      </c>
      <c r="AB38" s="31" t="e">
        <f>VLOOKUP($D38,Résultats!$B$2:$AZ$251,AB$2,FALSE)</f>
        <v>#N/A</v>
      </c>
      <c r="AC38" s="31" t="e">
        <f>VLOOKUP($D38,Résultats!$B$2:$AZ$251,AC$2,FALSE)</f>
        <v>#N/A</v>
      </c>
      <c r="AD38" s="31" t="e">
        <f>VLOOKUP($D38,Résultats!$B$2:$AZ$251,AD$2,FALSE)</f>
        <v>#N/A</v>
      </c>
      <c r="AE38" s="31" t="e">
        <f>VLOOKUP($D38,Résultats!$B$2:$AZ$251,AE$2,FALSE)</f>
        <v>#N/A</v>
      </c>
      <c r="AF38" s="31" t="e">
        <f>VLOOKUP($D38,Résultats!$B$2:$AZ$251,AF$2,FALSE)</f>
        <v>#N/A</v>
      </c>
      <c r="AG38" s="31" t="e">
        <f>VLOOKUP($D38,Résultats!$B$2:$AZ$251,AG$2,FALSE)</f>
        <v>#N/A</v>
      </c>
      <c r="AH38" s="31" t="e">
        <f>VLOOKUP($D38,Résultats!$B$2:$AZ$251,AH$2,FALSE)</f>
        <v>#N/A</v>
      </c>
      <c r="AI38" s="31" t="e">
        <f>VLOOKUP($D38,Résultats!$B$2:$AZ$251,AI$2,FALSE)</f>
        <v>#N/A</v>
      </c>
      <c r="AJ38" s="31" t="e">
        <f>VLOOKUP($D38,Résultats!$B$2:$AZ$251,AJ$2,FALSE)</f>
        <v>#N/A</v>
      </c>
      <c r="AK38" s="31" t="e">
        <f>VLOOKUP($D38,Résultats!$B$2:$AZ$251,AK$2,FALSE)</f>
        <v>#N/A</v>
      </c>
      <c r="AL38" s="31" t="e">
        <f>VLOOKUP($D38,Résultats!$B$2:$AZ$251,AL$2,FALSE)</f>
        <v>#N/A</v>
      </c>
      <c r="AM38" s="31" t="e">
        <f>VLOOKUP($D38,Résultats!$B$2:$AZ$251,AM$2,FALSE)</f>
        <v>#N/A</v>
      </c>
    </row>
    <row r="39" spans="2:39" x14ac:dyDescent="0.25">
      <c r="C39" s="56" t="s">
        <v>30</v>
      </c>
      <c r="D39" s="3" t="s">
        <v>69</v>
      </c>
      <c r="E39" s="31" t="e">
        <f>VLOOKUP($D39,Résultats!$B$2:$AZ$251,E$2,FALSE)</f>
        <v>#N/A</v>
      </c>
      <c r="F39" s="31" t="e">
        <f>VLOOKUP($D39,Résultats!$B$2:$AZ$251,F$2,FALSE)</f>
        <v>#N/A</v>
      </c>
      <c r="G39" s="31" t="e">
        <f>VLOOKUP($D39,Résultats!$B$2:$AZ$251,G$2,FALSE)</f>
        <v>#N/A</v>
      </c>
      <c r="H39" s="31" t="e">
        <f>VLOOKUP($D39,Résultats!$B$2:$AZ$251,H$2,FALSE)</f>
        <v>#N/A</v>
      </c>
      <c r="I39" s="31" t="e">
        <f>VLOOKUP($D39,Résultats!$B$2:$AZ$251,I$2,FALSE)</f>
        <v>#N/A</v>
      </c>
      <c r="J39" s="31" t="e">
        <f>VLOOKUP($D39,Résultats!$B$2:$AZ$251,J$2,FALSE)</f>
        <v>#N/A</v>
      </c>
      <c r="K39" s="31" t="e">
        <f>VLOOKUP($D39,Résultats!$B$2:$AZ$251,K$2,FALSE)</f>
        <v>#N/A</v>
      </c>
      <c r="L39" s="31" t="e">
        <f>VLOOKUP($D39,Résultats!$B$2:$AZ$251,L$2,FALSE)</f>
        <v>#N/A</v>
      </c>
      <c r="M39" s="31" t="e">
        <f>VLOOKUP($D39,Résultats!$B$2:$AZ$251,M$2,FALSE)</f>
        <v>#N/A</v>
      </c>
      <c r="N39" s="31" t="e">
        <f>VLOOKUP($D39,Résultats!$B$2:$AZ$251,N$2,FALSE)</f>
        <v>#N/A</v>
      </c>
      <c r="O39" s="31" t="e">
        <f>VLOOKUP($D39,Résultats!$B$2:$AZ$251,O$2,FALSE)</f>
        <v>#N/A</v>
      </c>
      <c r="P39" s="31" t="e">
        <f>VLOOKUP($D39,Résultats!$B$2:$AZ$251,P$2,FALSE)</f>
        <v>#N/A</v>
      </c>
      <c r="Q39" s="31" t="e">
        <f>VLOOKUP($D39,Résultats!$B$2:$AZ$251,Q$2,FALSE)</f>
        <v>#N/A</v>
      </c>
      <c r="R39" s="31" t="e">
        <f>VLOOKUP($D39,Résultats!$B$2:$AZ$251,R$2,FALSE)</f>
        <v>#N/A</v>
      </c>
      <c r="S39" s="31" t="e">
        <f>VLOOKUP($D39,Résultats!$B$2:$AZ$251,S$2,FALSE)</f>
        <v>#N/A</v>
      </c>
      <c r="T39" s="31" t="e">
        <f>VLOOKUP($D39,Résultats!$B$2:$AZ$251,T$2,FALSE)</f>
        <v>#N/A</v>
      </c>
      <c r="U39" s="31" t="e">
        <f>VLOOKUP($D39,Résultats!$B$2:$AZ$251,U$2,FALSE)</f>
        <v>#N/A</v>
      </c>
      <c r="V39" s="31" t="e">
        <f>VLOOKUP($D39,Résultats!$B$2:$AZ$251,V$2,FALSE)</f>
        <v>#N/A</v>
      </c>
      <c r="W39" s="31" t="e">
        <f>VLOOKUP($D39,Résultats!$B$2:$AZ$251,W$2,FALSE)</f>
        <v>#N/A</v>
      </c>
      <c r="X39" s="31" t="e">
        <f>VLOOKUP($D39,Résultats!$B$2:$AZ$251,X$2,FALSE)</f>
        <v>#N/A</v>
      </c>
      <c r="Y39" s="31" t="e">
        <f>VLOOKUP($D39,Résultats!$B$2:$AZ$251,Y$2,FALSE)</f>
        <v>#N/A</v>
      </c>
      <c r="Z39" s="31" t="e">
        <f>VLOOKUP($D39,Résultats!$B$2:$AZ$251,Z$2,FALSE)</f>
        <v>#N/A</v>
      </c>
      <c r="AA39" s="31" t="e">
        <f>VLOOKUP($D39,Résultats!$B$2:$AZ$251,AA$2,FALSE)</f>
        <v>#N/A</v>
      </c>
      <c r="AB39" s="31" t="e">
        <f>VLOOKUP($D39,Résultats!$B$2:$AZ$251,AB$2,FALSE)</f>
        <v>#N/A</v>
      </c>
      <c r="AC39" s="31" t="e">
        <f>VLOOKUP($D39,Résultats!$B$2:$AZ$251,AC$2,FALSE)</f>
        <v>#N/A</v>
      </c>
      <c r="AD39" s="31" t="e">
        <f>VLOOKUP($D39,Résultats!$B$2:$AZ$251,AD$2,FALSE)</f>
        <v>#N/A</v>
      </c>
      <c r="AE39" s="31" t="e">
        <f>VLOOKUP($D39,Résultats!$B$2:$AZ$251,AE$2,FALSE)</f>
        <v>#N/A</v>
      </c>
      <c r="AF39" s="31" t="e">
        <f>VLOOKUP($D39,Résultats!$B$2:$AZ$251,AF$2,FALSE)</f>
        <v>#N/A</v>
      </c>
      <c r="AG39" s="31" t="e">
        <f>VLOOKUP($D39,Résultats!$B$2:$AZ$251,AG$2,FALSE)</f>
        <v>#N/A</v>
      </c>
      <c r="AH39" s="31" t="e">
        <f>VLOOKUP($D39,Résultats!$B$2:$AZ$251,AH$2,FALSE)</f>
        <v>#N/A</v>
      </c>
      <c r="AI39" s="31" t="e">
        <f>VLOOKUP($D39,Résultats!$B$2:$AZ$251,AI$2,FALSE)</f>
        <v>#N/A</v>
      </c>
      <c r="AJ39" s="31" t="e">
        <f>VLOOKUP($D39,Résultats!$B$2:$AZ$251,AJ$2,FALSE)</f>
        <v>#N/A</v>
      </c>
      <c r="AK39" s="31" t="e">
        <f>VLOOKUP($D39,Résultats!$B$2:$AZ$251,AK$2,FALSE)</f>
        <v>#N/A</v>
      </c>
      <c r="AL39" s="31" t="e">
        <f>VLOOKUP($D39,Résultats!$B$2:$AZ$251,AL$2,FALSE)</f>
        <v>#N/A</v>
      </c>
      <c r="AM39" s="31" t="e">
        <f>VLOOKUP($D39,Résultats!$B$2:$AZ$251,AM$2,FALSE)</f>
        <v>#N/A</v>
      </c>
    </row>
    <row r="40" spans="2:39" x14ac:dyDescent="0.25">
      <c r="C40" s="56" t="s">
        <v>31</v>
      </c>
      <c r="D40" s="3" t="s">
        <v>70</v>
      </c>
      <c r="E40" s="31" t="e">
        <f>VLOOKUP($D40,Résultats!$B$2:$AZ$251,E$2,FALSE)</f>
        <v>#N/A</v>
      </c>
      <c r="F40" s="31" t="e">
        <f>VLOOKUP($D40,Résultats!$B$2:$AZ$251,F$2,FALSE)</f>
        <v>#N/A</v>
      </c>
      <c r="G40" s="31" t="e">
        <f>VLOOKUP($D40,Résultats!$B$2:$AZ$251,G$2,FALSE)</f>
        <v>#N/A</v>
      </c>
      <c r="H40" s="31" t="e">
        <f>VLOOKUP($D40,Résultats!$B$2:$AZ$251,H$2,FALSE)</f>
        <v>#N/A</v>
      </c>
      <c r="I40" s="31" t="e">
        <f>VLOOKUP($D40,Résultats!$B$2:$AZ$251,I$2,FALSE)</f>
        <v>#N/A</v>
      </c>
      <c r="J40" s="31" t="e">
        <f>VLOOKUP($D40,Résultats!$B$2:$AZ$251,J$2,FALSE)</f>
        <v>#N/A</v>
      </c>
      <c r="K40" s="31" t="e">
        <f>VLOOKUP($D40,Résultats!$B$2:$AZ$251,K$2,FALSE)</f>
        <v>#N/A</v>
      </c>
      <c r="L40" s="31" t="e">
        <f>VLOOKUP($D40,Résultats!$B$2:$AZ$251,L$2,FALSE)</f>
        <v>#N/A</v>
      </c>
      <c r="M40" s="31" t="e">
        <f>VLOOKUP($D40,Résultats!$B$2:$AZ$251,M$2,FALSE)</f>
        <v>#N/A</v>
      </c>
      <c r="N40" s="31" t="e">
        <f>VLOOKUP($D40,Résultats!$B$2:$AZ$251,N$2,FALSE)</f>
        <v>#N/A</v>
      </c>
      <c r="O40" s="31" t="e">
        <f>VLOOKUP($D40,Résultats!$B$2:$AZ$251,O$2,FALSE)</f>
        <v>#N/A</v>
      </c>
      <c r="P40" s="31" t="e">
        <f>VLOOKUP($D40,Résultats!$B$2:$AZ$251,P$2,FALSE)</f>
        <v>#N/A</v>
      </c>
      <c r="Q40" s="31" t="e">
        <f>VLOOKUP($D40,Résultats!$B$2:$AZ$251,Q$2,FALSE)</f>
        <v>#N/A</v>
      </c>
      <c r="R40" s="31" t="e">
        <f>VLOOKUP($D40,Résultats!$B$2:$AZ$251,R$2,FALSE)</f>
        <v>#N/A</v>
      </c>
      <c r="S40" s="31" t="e">
        <f>VLOOKUP($D40,Résultats!$B$2:$AZ$251,S$2,FALSE)</f>
        <v>#N/A</v>
      </c>
      <c r="T40" s="31" t="e">
        <f>VLOOKUP($D40,Résultats!$B$2:$AZ$251,T$2,FALSE)</f>
        <v>#N/A</v>
      </c>
      <c r="U40" s="31" t="e">
        <f>VLOOKUP($D40,Résultats!$B$2:$AZ$251,U$2,FALSE)</f>
        <v>#N/A</v>
      </c>
      <c r="V40" s="31" t="e">
        <f>VLOOKUP($D40,Résultats!$B$2:$AZ$251,V$2,FALSE)</f>
        <v>#N/A</v>
      </c>
      <c r="W40" s="31" t="e">
        <f>VLOOKUP($D40,Résultats!$B$2:$AZ$251,W$2,FALSE)</f>
        <v>#N/A</v>
      </c>
      <c r="X40" s="31" t="e">
        <f>VLOOKUP($D40,Résultats!$B$2:$AZ$251,X$2,FALSE)</f>
        <v>#N/A</v>
      </c>
      <c r="Y40" s="31" t="e">
        <f>VLOOKUP($D40,Résultats!$B$2:$AZ$251,Y$2,FALSE)</f>
        <v>#N/A</v>
      </c>
      <c r="Z40" s="31" t="e">
        <f>VLOOKUP($D40,Résultats!$B$2:$AZ$251,Z$2,FALSE)</f>
        <v>#N/A</v>
      </c>
      <c r="AA40" s="31" t="e">
        <f>VLOOKUP($D40,Résultats!$B$2:$AZ$251,AA$2,FALSE)</f>
        <v>#N/A</v>
      </c>
      <c r="AB40" s="31" t="e">
        <f>VLOOKUP($D40,Résultats!$B$2:$AZ$251,AB$2,FALSE)</f>
        <v>#N/A</v>
      </c>
      <c r="AC40" s="31" t="e">
        <f>VLOOKUP($D40,Résultats!$B$2:$AZ$251,AC$2,FALSE)</f>
        <v>#N/A</v>
      </c>
      <c r="AD40" s="31" t="e">
        <f>VLOOKUP($D40,Résultats!$B$2:$AZ$251,AD$2,FALSE)</f>
        <v>#N/A</v>
      </c>
      <c r="AE40" s="31" t="e">
        <f>VLOOKUP($D40,Résultats!$B$2:$AZ$251,AE$2,FALSE)</f>
        <v>#N/A</v>
      </c>
      <c r="AF40" s="31" t="e">
        <f>VLOOKUP($D40,Résultats!$B$2:$AZ$251,AF$2,FALSE)</f>
        <v>#N/A</v>
      </c>
      <c r="AG40" s="31" t="e">
        <f>VLOOKUP($D40,Résultats!$B$2:$AZ$251,AG$2,FALSE)</f>
        <v>#N/A</v>
      </c>
      <c r="AH40" s="31" t="e">
        <f>VLOOKUP($D40,Résultats!$B$2:$AZ$251,AH$2,FALSE)</f>
        <v>#N/A</v>
      </c>
      <c r="AI40" s="31" t="e">
        <f>VLOOKUP($D40,Résultats!$B$2:$AZ$251,AI$2,FALSE)</f>
        <v>#N/A</v>
      </c>
      <c r="AJ40" s="31" t="e">
        <f>VLOOKUP($D40,Résultats!$B$2:$AZ$251,AJ$2,FALSE)</f>
        <v>#N/A</v>
      </c>
      <c r="AK40" s="31" t="e">
        <f>VLOOKUP($D40,Résultats!$B$2:$AZ$251,AK$2,FALSE)</f>
        <v>#N/A</v>
      </c>
      <c r="AL40" s="31" t="e">
        <f>VLOOKUP($D40,Résultats!$B$2:$AZ$251,AL$2,FALSE)</f>
        <v>#N/A</v>
      </c>
      <c r="AM40" s="31" t="e">
        <f>VLOOKUP($D40,Résultats!$B$2:$AZ$251,AM$2,FALSE)</f>
        <v>#N/A</v>
      </c>
    </row>
    <row r="41" spans="2:39" x14ac:dyDescent="0.25">
      <c r="C41" s="56" t="s">
        <v>32</v>
      </c>
      <c r="D41" s="3" t="s">
        <v>71</v>
      </c>
      <c r="E41" s="31" t="e">
        <f>VLOOKUP($D41,Résultats!$B$2:$AZ$251,E$2,FALSE)</f>
        <v>#N/A</v>
      </c>
      <c r="F41" s="31" t="e">
        <f>VLOOKUP($D41,Résultats!$B$2:$AZ$251,F$2,FALSE)</f>
        <v>#N/A</v>
      </c>
      <c r="G41" s="31" t="e">
        <f>VLOOKUP($D41,Résultats!$B$2:$AZ$251,G$2,FALSE)</f>
        <v>#N/A</v>
      </c>
      <c r="H41" s="31" t="e">
        <f>VLOOKUP($D41,Résultats!$B$2:$AZ$251,H$2,FALSE)</f>
        <v>#N/A</v>
      </c>
      <c r="I41" s="31" t="e">
        <f>VLOOKUP($D41,Résultats!$B$2:$AZ$251,I$2,FALSE)</f>
        <v>#N/A</v>
      </c>
      <c r="J41" s="31" t="e">
        <f>VLOOKUP($D41,Résultats!$B$2:$AZ$251,J$2,FALSE)</f>
        <v>#N/A</v>
      </c>
      <c r="K41" s="31" t="e">
        <f>VLOOKUP($D41,Résultats!$B$2:$AZ$251,K$2,FALSE)</f>
        <v>#N/A</v>
      </c>
      <c r="L41" s="31" t="e">
        <f>VLOOKUP($D41,Résultats!$B$2:$AZ$251,L$2,FALSE)</f>
        <v>#N/A</v>
      </c>
      <c r="M41" s="31" t="e">
        <f>VLOOKUP($D41,Résultats!$B$2:$AZ$251,M$2,FALSE)</f>
        <v>#N/A</v>
      </c>
      <c r="N41" s="31" t="e">
        <f>VLOOKUP($D41,Résultats!$B$2:$AZ$251,N$2,FALSE)</f>
        <v>#N/A</v>
      </c>
      <c r="O41" s="31" t="e">
        <f>VLOOKUP($D41,Résultats!$B$2:$AZ$251,O$2,FALSE)</f>
        <v>#N/A</v>
      </c>
      <c r="P41" s="31" t="e">
        <f>VLOOKUP($D41,Résultats!$B$2:$AZ$251,P$2,FALSE)</f>
        <v>#N/A</v>
      </c>
      <c r="Q41" s="31" t="e">
        <f>VLOOKUP($D41,Résultats!$B$2:$AZ$251,Q$2,FALSE)</f>
        <v>#N/A</v>
      </c>
      <c r="R41" s="31" t="e">
        <f>VLOOKUP($D41,Résultats!$B$2:$AZ$251,R$2,FALSE)</f>
        <v>#N/A</v>
      </c>
      <c r="S41" s="31" t="e">
        <f>VLOOKUP($D41,Résultats!$B$2:$AZ$251,S$2,FALSE)</f>
        <v>#N/A</v>
      </c>
      <c r="T41" s="31" t="e">
        <f>VLOOKUP($D41,Résultats!$B$2:$AZ$251,T$2,FALSE)</f>
        <v>#N/A</v>
      </c>
      <c r="U41" s="31" t="e">
        <f>VLOOKUP($D41,Résultats!$B$2:$AZ$251,U$2,FALSE)</f>
        <v>#N/A</v>
      </c>
      <c r="V41" s="31" t="e">
        <f>VLOOKUP($D41,Résultats!$B$2:$AZ$251,V$2,FALSE)</f>
        <v>#N/A</v>
      </c>
      <c r="W41" s="31" t="e">
        <f>VLOOKUP($D41,Résultats!$B$2:$AZ$251,W$2,FALSE)</f>
        <v>#N/A</v>
      </c>
      <c r="X41" s="31" t="e">
        <f>VLOOKUP($D41,Résultats!$B$2:$AZ$251,X$2,FALSE)</f>
        <v>#N/A</v>
      </c>
      <c r="Y41" s="31" t="e">
        <f>VLOOKUP($D41,Résultats!$B$2:$AZ$251,Y$2,FALSE)</f>
        <v>#N/A</v>
      </c>
      <c r="Z41" s="31" t="e">
        <f>VLOOKUP($D41,Résultats!$B$2:$AZ$251,Z$2,FALSE)</f>
        <v>#N/A</v>
      </c>
      <c r="AA41" s="31" t="e">
        <f>VLOOKUP($D41,Résultats!$B$2:$AZ$251,AA$2,FALSE)</f>
        <v>#N/A</v>
      </c>
      <c r="AB41" s="31" t="e">
        <f>VLOOKUP($D41,Résultats!$B$2:$AZ$251,AB$2,FALSE)</f>
        <v>#N/A</v>
      </c>
      <c r="AC41" s="31" t="e">
        <f>VLOOKUP($D41,Résultats!$B$2:$AZ$251,AC$2,FALSE)</f>
        <v>#N/A</v>
      </c>
      <c r="AD41" s="31" t="e">
        <f>VLOOKUP($D41,Résultats!$B$2:$AZ$251,AD$2,FALSE)</f>
        <v>#N/A</v>
      </c>
      <c r="AE41" s="31" t="e">
        <f>VLOOKUP($D41,Résultats!$B$2:$AZ$251,AE$2,FALSE)</f>
        <v>#N/A</v>
      </c>
      <c r="AF41" s="31" t="e">
        <f>VLOOKUP($D41,Résultats!$B$2:$AZ$251,AF$2,FALSE)</f>
        <v>#N/A</v>
      </c>
      <c r="AG41" s="31" t="e">
        <f>VLOOKUP($D41,Résultats!$B$2:$AZ$251,AG$2,FALSE)</f>
        <v>#N/A</v>
      </c>
      <c r="AH41" s="31" t="e">
        <f>VLOOKUP($D41,Résultats!$B$2:$AZ$251,AH$2,FALSE)</f>
        <v>#N/A</v>
      </c>
      <c r="AI41" s="31" t="e">
        <f>VLOOKUP($D41,Résultats!$B$2:$AZ$251,AI$2,FALSE)</f>
        <v>#N/A</v>
      </c>
      <c r="AJ41" s="31" t="e">
        <f>VLOOKUP($D41,Résultats!$B$2:$AZ$251,AJ$2,FALSE)</f>
        <v>#N/A</v>
      </c>
      <c r="AK41" s="31" t="e">
        <f>VLOOKUP($D41,Résultats!$B$2:$AZ$251,AK$2,FALSE)</f>
        <v>#N/A</v>
      </c>
      <c r="AL41" s="31" t="e">
        <f>VLOOKUP($D41,Résultats!$B$2:$AZ$251,AL$2,FALSE)</f>
        <v>#N/A</v>
      </c>
      <c r="AM41" s="31" t="e">
        <f>VLOOKUP($D41,Résultats!$B$2:$AZ$251,AM$2,FALSE)</f>
        <v>#N/A</v>
      </c>
    </row>
    <row r="42" spans="2:39" x14ac:dyDescent="0.25">
      <c r="C42" s="80" t="s">
        <v>33</v>
      </c>
      <c r="D42" s="7" t="s">
        <v>72</v>
      </c>
      <c r="E42" s="81" t="e">
        <f>VLOOKUP($D42,Résultats!$B$2:$AZ$251,E$2,FALSE)</f>
        <v>#N/A</v>
      </c>
      <c r="F42" s="81" t="e">
        <f>VLOOKUP($D42,Résultats!$B$2:$AZ$251,F$2,FALSE)</f>
        <v>#N/A</v>
      </c>
      <c r="G42" s="81" t="e">
        <f>VLOOKUP($D42,Résultats!$B$2:$AZ$251,G$2,FALSE)</f>
        <v>#N/A</v>
      </c>
      <c r="H42" s="81" t="e">
        <f>VLOOKUP($D42,Résultats!$B$2:$AZ$251,H$2,FALSE)</f>
        <v>#N/A</v>
      </c>
      <c r="I42" s="81" t="e">
        <f>VLOOKUP($D42,Résultats!$B$2:$AZ$251,I$2,FALSE)</f>
        <v>#N/A</v>
      </c>
      <c r="J42" s="81" t="e">
        <f>VLOOKUP($D42,Résultats!$B$2:$AZ$251,J$2,FALSE)</f>
        <v>#N/A</v>
      </c>
      <c r="K42" s="81" t="e">
        <f>VLOOKUP($D42,Résultats!$B$2:$AZ$251,K$2,FALSE)</f>
        <v>#N/A</v>
      </c>
      <c r="L42" s="81" t="e">
        <f>VLOOKUP($D42,Résultats!$B$2:$AZ$251,L$2,FALSE)</f>
        <v>#N/A</v>
      </c>
      <c r="M42" s="81" t="e">
        <f>VLOOKUP($D42,Résultats!$B$2:$AZ$251,M$2,FALSE)</f>
        <v>#N/A</v>
      </c>
      <c r="N42" s="81" t="e">
        <f>VLOOKUP($D42,Résultats!$B$2:$AZ$251,N$2,FALSE)</f>
        <v>#N/A</v>
      </c>
      <c r="O42" s="81" t="e">
        <f>VLOOKUP($D42,Résultats!$B$2:$AZ$251,O$2,FALSE)</f>
        <v>#N/A</v>
      </c>
      <c r="P42" s="81" t="e">
        <f>VLOOKUP($D42,Résultats!$B$2:$AZ$251,P$2,FALSE)</f>
        <v>#N/A</v>
      </c>
      <c r="Q42" s="81" t="e">
        <f>VLOOKUP($D42,Résultats!$B$2:$AZ$251,Q$2,FALSE)</f>
        <v>#N/A</v>
      </c>
      <c r="R42" s="81" t="e">
        <f>VLOOKUP($D42,Résultats!$B$2:$AZ$251,R$2,FALSE)</f>
        <v>#N/A</v>
      </c>
      <c r="S42" s="81" t="e">
        <f>VLOOKUP($D42,Résultats!$B$2:$AZ$251,S$2,FALSE)</f>
        <v>#N/A</v>
      </c>
      <c r="T42" s="81" t="e">
        <f>VLOOKUP($D42,Résultats!$B$2:$AZ$251,T$2,FALSE)</f>
        <v>#N/A</v>
      </c>
      <c r="U42" s="81" t="e">
        <f>VLOOKUP($D42,Résultats!$B$2:$AZ$251,U$2,FALSE)</f>
        <v>#N/A</v>
      </c>
      <c r="V42" s="81" t="e">
        <f>VLOOKUP($D42,Résultats!$B$2:$AZ$251,V$2,FALSE)</f>
        <v>#N/A</v>
      </c>
      <c r="W42" s="81" t="e">
        <f>VLOOKUP($D42,Résultats!$B$2:$AZ$251,W$2,FALSE)</f>
        <v>#N/A</v>
      </c>
      <c r="X42" s="81" t="e">
        <f>VLOOKUP($D42,Résultats!$B$2:$AZ$251,X$2,FALSE)</f>
        <v>#N/A</v>
      </c>
      <c r="Y42" s="81" t="e">
        <f>VLOOKUP($D42,Résultats!$B$2:$AZ$251,Y$2,FALSE)</f>
        <v>#N/A</v>
      </c>
      <c r="Z42" s="81" t="e">
        <f>VLOOKUP($D42,Résultats!$B$2:$AZ$251,Z$2,FALSE)</f>
        <v>#N/A</v>
      </c>
      <c r="AA42" s="81" t="e">
        <f>VLOOKUP($D42,Résultats!$B$2:$AZ$251,AA$2,FALSE)</f>
        <v>#N/A</v>
      </c>
      <c r="AB42" s="81" t="e">
        <f>VLOOKUP($D42,Résultats!$B$2:$AZ$251,AB$2,FALSE)</f>
        <v>#N/A</v>
      </c>
      <c r="AC42" s="81" t="e">
        <f>VLOOKUP($D42,Résultats!$B$2:$AZ$251,AC$2,FALSE)</f>
        <v>#N/A</v>
      </c>
      <c r="AD42" s="81" t="e">
        <f>VLOOKUP($D42,Résultats!$B$2:$AZ$251,AD$2,FALSE)</f>
        <v>#N/A</v>
      </c>
      <c r="AE42" s="81" t="e">
        <f>VLOOKUP($D42,Résultats!$B$2:$AZ$251,AE$2,FALSE)</f>
        <v>#N/A</v>
      </c>
      <c r="AF42" s="81" t="e">
        <f>VLOOKUP($D42,Résultats!$B$2:$AZ$251,AF$2,FALSE)</f>
        <v>#N/A</v>
      </c>
      <c r="AG42" s="81" t="e">
        <f>VLOOKUP($D42,Résultats!$B$2:$AZ$251,AG$2,FALSE)</f>
        <v>#N/A</v>
      </c>
      <c r="AH42" s="81" t="e">
        <f>VLOOKUP($D42,Résultats!$B$2:$AZ$251,AH$2,FALSE)</f>
        <v>#N/A</v>
      </c>
      <c r="AI42" s="81" t="e">
        <f>VLOOKUP($D42,Résultats!$B$2:$AZ$251,AI$2,FALSE)</f>
        <v>#N/A</v>
      </c>
      <c r="AJ42" s="81" t="e">
        <f>VLOOKUP($D42,Résultats!$B$2:$AZ$251,AJ$2,FALSE)</f>
        <v>#N/A</v>
      </c>
      <c r="AK42" s="81" t="e">
        <f>VLOOKUP($D42,Résultats!$B$2:$AZ$251,AK$2,FALSE)</f>
        <v>#N/A</v>
      </c>
      <c r="AL42" s="81" t="e">
        <f>VLOOKUP($D42,Résultats!$B$2:$AZ$251,AL$2,FALSE)</f>
        <v>#N/A</v>
      </c>
      <c r="AM42" s="81" t="e">
        <f>VLOOKUP($D42,Résultats!$B$2:$AZ$251,AM$2,FALSE)</f>
        <v>#N/A</v>
      </c>
    </row>
    <row r="43" spans="2:39" x14ac:dyDescent="0.25">
      <c r="C43" s="56"/>
      <c r="D43" s="3"/>
      <c r="E43" s="127"/>
      <c r="F43" s="127"/>
      <c r="G43" s="127"/>
      <c r="H43" s="127"/>
      <c r="I43" s="127"/>
      <c r="J43" s="126"/>
      <c r="K43" s="31"/>
      <c r="L43" s="31"/>
      <c r="M43" s="31"/>
      <c r="N43" s="127"/>
      <c r="O43" s="126"/>
      <c r="P43" s="31"/>
      <c r="Q43" s="31"/>
      <c r="R43" s="31"/>
      <c r="S43" s="127"/>
      <c r="T43" s="127"/>
      <c r="U43" s="127"/>
      <c r="V43" s="127"/>
      <c r="W43" s="127"/>
      <c r="X43" s="31"/>
      <c r="Y43" s="31"/>
      <c r="Z43" s="31"/>
      <c r="AA43" s="31"/>
      <c r="AB43" s="31"/>
      <c r="AC43" s="130"/>
      <c r="AD43" s="130"/>
      <c r="AE43" s="130"/>
      <c r="AF43" s="130"/>
      <c r="AG43" s="130"/>
      <c r="AH43" s="31"/>
      <c r="AI43" s="31"/>
      <c r="AJ43" s="31"/>
      <c r="AK43" s="31"/>
      <c r="AL43" s="31"/>
      <c r="AM43" s="130"/>
    </row>
    <row r="44" spans="2:39" x14ac:dyDescent="0.25">
      <c r="B44" s="23" t="s">
        <v>163</v>
      </c>
      <c r="C44" s="82" t="s">
        <v>134</v>
      </c>
      <c r="D44" s="82" t="s">
        <v>45</v>
      </c>
      <c r="E44" s="124" t="e">
        <f>VLOOKUP($D49,Résultats!$B$2:$AZ$212,E$2,FALSE)</f>
        <v>#N/A</v>
      </c>
      <c r="F44" s="124" t="e">
        <f>VLOOKUP($D49,Résultats!$B$2:$AZ$212,F$2,FALSE)</f>
        <v>#N/A</v>
      </c>
      <c r="G44" s="124" t="e">
        <f>VLOOKUP($D49,Résultats!$B$2:$AZ$212,G$2,FALSE)</f>
        <v>#N/A</v>
      </c>
      <c r="H44" s="124" t="e">
        <f>VLOOKUP($D49,Résultats!$B$2:$AZ$212,H$2,FALSE)</f>
        <v>#N/A</v>
      </c>
      <c r="I44" s="124" t="e">
        <f>VLOOKUP($D49,Résultats!$B$2:$AZ$212,I$2,FALSE)</f>
        <v>#N/A</v>
      </c>
      <c r="J44" s="124" t="e">
        <f>VLOOKUP($D49,Résultats!$B$2:$AZ$212,J$2,FALSE)</f>
        <v>#N/A</v>
      </c>
      <c r="K44" s="124" t="e">
        <f>VLOOKUP($D49,Résultats!$B$2:$AZ$212,K$2,FALSE)</f>
        <v>#N/A</v>
      </c>
      <c r="L44" s="124" t="e">
        <f>VLOOKUP($D49,Résultats!$B$2:$AZ$212,L$2,FALSE)</f>
        <v>#N/A</v>
      </c>
      <c r="M44" s="124" t="e">
        <f>VLOOKUP($D49,Résultats!$B$2:$AZ$212,M$2,FALSE)</f>
        <v>#N/A</v>
      </c>
      <c r="N44" s="124" t="e">
        <f>VLOOKUP($D49,Résultats!$B$2:$AZ$212,N$2,FALSE)</f>
        <v>#N/A</v>
      </c>
      <c r="O44" s="124" t="e">
        <f>VLOOKUP($D49,Résultats!$B$2:$AZ$212,O$2,FALSE)</f>
        <v>#N/A</v>
      </c>
      <c r="P44" s="124" t="e">
        <f>VLOOKUP($D49,Résultats!$B$2:$AZ$212,P$2,FALSE)</f>
        <v>#N/A</v>
      </c>
      <c r="Q44" s="124" t="e">
        <f>VLOOKUP($D49,Résultats!$B$2:$AZ$212,Q$2,FALSE)</f>
        <v>#N/A</v>
      </c>
      <c r="R44" s="124" t="e">
        <f>VLOOKUP($D49,Résultats!$B$2:$AZ$212,R$2,FALSE)</f>
        <v>#N/A</v>
      </c>
      <c r="S44" s="124" t="e">
        <f>VLOOKUP($D49,Résultats!$B$2:$AZ$212,S$2,FALSE)</f>
        <v>#N/A</v>
      </c>
      <c r="T44" s="124" t="e">
        <f>VLOOKUP($D49,Résultats!$B$2:$AZ$212,T$2,FALSE)</f>
        <v>#N/A</v>
      </c>
      <c r="U44" s="124" t="e">
        <f>VLOOKUP($D49,Résultats!$B$2:$AZ$212,U$2,FALSE)</f>
        <v>#N/A</v>
      </c>
      <c r="V44" s="124" t="e">
        <f>VLOOKUP($D49,Résultats!$B$2:$AZ$212,V$2,FALSE)</f>
        <v>#N/A</v>
      </c>
      <c r="W44" s="124" t="e">
        <f>VLOOKUP($D49,Résultats!$B$2:$AZ$212,W$2,FALSE)</f>
        <v>#N/A</v>
      </c>
      <c r="X44" s="124" t="e">
        <f>VLOOKUP($D49,Résultats!$B$2:$AZ$212,X$2,FALSE)</f>
        <v>#N/A</v>
      </c>
      <c r="Y44" s="124" t="e">
        <f>VLOOKUP($D49,Résultats!$B$2:$AZ$212,Y$2,FALSE)</f>
        <v>#N/A</v>
      </c>
      <c r="Z44" s="124" t="e">
        <f>VLOOKUP($D49,Résultats!$B$2:$AZ$212,Z$2,FALSE)</f>
        <v>#N/A</v>
      </c>
      <c r="AA44" s="124" t="e">
        <f>VLOOKUP($D49,Résultats!$B$2:$AZ$212,AA$2,FALSE)</f>
        <v>#N/A</v>
      </c>
      <c r="AB44" s="124" t="e">
        <f>VLOOKUP($D49,Résultats!$B$2:$AZ$212,AB$2,FALSE)</f>
        <v>#N/A</v>
      </c>
      <c r="AC44" s="124" t="e">
        <f>VLOOKUP($D49,Résultats!$B$2:$AZ$212,AC$2,FALSE)</f>
        <v>#N/A</v>
      </c>
      <c r="AD44" s="124" t="e">
        <f>VLOOKUP($D49,Résultats!$B$2:$AZ$212,AD$2,FALSE)</f>
        <v>#N/A</v>
      </c>
      <c r="AE44" s="124" t="e">
        <f>VLOOKUP($D49,Résultats!$B$2:$AZ$212,AE$2,FALSE)</f>
        <v>#N/A</v>
      </c>
      <c r="AF44" s="124" t="e">
        <f>VLOOKUP($D49,Résultats!$B$2:$AZ$212,AF$2,FALSE)</f>
        <v>#N/A</v>
      </c>
      <c r="AG44" s="124" t="e">
        <f>VLOOKUP($D49,Résultats!$B$2:$AZ$212,AG$2,FALSE)</f>
        <v>#N/A</v>
      </c>
      <c r="AH44" s="124" t="e">
        <f>VLOOKUP($D49,Résultats!$B$2:$AZ$212,AH$2,FALSE)</f>
        <v>#N/A</v>
      </c>
      <c r="AI44" s="124" t="e">
        <f>VLOOKUP($D49,Résultats!$B$2:$AZ$212,AI$2,FALSE)</f>
        <v>#N/A</v>
      </c>
      <c r="AJ44" s="124" t="e">
        <f>VLOOKUP($D49,Résultats!$B$2:$AZ$212,AJ$2,FALSE)</f>
        <v>#N/A</v>
      </c>
      <c r="AK44" s="124" t="e">
        <f>VLOOKUP($D49,Résultats!$B$2:$AZ$212,AK$2,FALSE)</f>
        <v>#N/A</v>
      </c>
      <c r="AL44" s="124" t="e">
        <f>VLOOKUP($D49,Résultats!$B$2:$AZ$212,AL$2,FALSE)</f>
        <v>#N/A</v>
      </c>
      <c r="AM44" s="124" t="e">
        <f>VLOOKUP($D49,Résultats!$B$2:$AZ$212,AM$2,FALSE)</f>
        <v>#N/A</v>
      </c>
    </row>
    <row r="45" spans="2:39" x14ac:dyDescent="0.25">
      <c r="C45" s="56" t="s">
        <v>8</v>
      </c>
      <c r="D45" s="78" t="s">
        <v>60</v>
      </c>
      <c r="E45" s="31" t="e">
        <f>VLOOKUP($D45,Résultats!$B$2:$AZ$212,E$2,FALSE)</f>
        <v>#N/A</v>
      </c>
      <c r="F45" s="31" t="e">
        <f>VLOOKUP($D45,Résultats!$B$2:$AZ$212,F$2,FALSE)</f>
        <v>#N/A</v>
      </c>
      <c r="G45" s="31" t="e">
        <f>VLOOKUP($D45,Résultats!$B$2:$AZ$212,G$2,FALSE)</f>
        <v>#N/A</v>
      </c>
      <c r="H45" s="31" t="e">
        <f>VLOOKUP($D45,Résultats!$B$2:$AZ$212,H$2,FALSE)</f>
        <v>#N/A</v>
      </c>
      <c r="I45" s="31" t="e">
        <f>VLOOKUP($D45,Résultats!$B$2:$AZ$212,I$2,FALSE)</f>
        <v>#N/A</v>
      </c>
      <c r="J45" s="31" t="e">
        <f>VLOOKUP($D45,Résultats!$B$2:$AZ$212,J$2,FALSE)</f>
        <v>#N/A</v>
      </c>
      <c r="K45" s="31" t="e">
        <f>VLOOKUP($D45,Résultats!$B$2:$AZ$212,K$2,FALSE)</f>
        <v>#N/A</v>
      </c>
      <c r="L45" s="31" t="e">
        <f>VLOOKUP($D45,Résultats!$B$2:$AZ$212,L$2,FALSE)</f>
        <v>#N/A</v>
      </c>
      <c r="M45" s="31" t="e">
        <f>VLOOKUP($D45,Résultats!$B$2:$AZ$212,M$2,FALSE)</f>
        <v>#N/A</v>
      </c>
      <c r="N45" s="31" t="e">
        <f>VLOOKUP($D45,Résultats!$B$2:$AZ$212,N$2,FALSE)</f>
        <v>#N/A</v>
      </c>
      <c r="O45" s="31" t="e">
        <f>VLOOKUP($D45,Résultats!$B$2:$AZ$212,O$2,FALSE)</f>
        <v>#N/A</v>
      </c>
      <c r="P45" s="31" t="e">
        <f>VLOOKUP($D45,Résultats!$B$2:$AZ$212,P$2,FALSE)</f>
        <v>#N/A</v>
      </c>
      <c r="Q45" s="31" t="e">
        <f>VLOOKUP($D45,Résultats!$B$2:$AZ$212,Q$2,FALSE)</f>
        <v>#N/A</v>
      </c>
      <c r="R45" s="31" t="e">
        <f>VLOOKUP($D45,Résultats!$B$2:$AZ$212,R$2,FALSE)</f>
        <v>#N/A</v>
      </c>
      <c r="S45" s="31" t="e">
        <f>VLOOKUP($D45,Résultats!$B$2:$AZ$212,S$2,FALSE)</f>
        <v>#N/A</v>
      </c>
      <c r="T45" s="31" t="e">
        <f>VLOOKUP($D45,Résultats!$B$2:$AZ$212,T$2,FALSE)</f>
        <v>#N/A</v>
      </c>
      <c r="U45" s="31" t="e">
        <f>VLOOKUP($D45,Résultats!$B$2:$AZ$212,U$2,FALSE)</f>
        <v>#N/A</v>
      </c>
      <c r="V45" s="31" t="e">
        <f>VLOOKUP($D45,Résultats!$B$2:$AZ$212,V$2,FALSE)</f>
        <v>#N/A</v>
      </c>
      <c r="W45" s="31" t="e">
        <f>VLOOKUP($D45,Résultats!$B$2:$AZ$212,W$2,FALSE)</f>
        <v>#N/A</v>
      </c>
      <c r="X45" s="31" t="e">
        <f>VLOOKUP($D45,Résultats!$B$2:$AZ$212,X$2,FALSE)</f>
        <v>#N/A</v>
      </c>
      <c r="Y45" s="31" t="e">
        <f>VLOOKUP($D45,Résultats!$B$2:$AZ$212,Y$2,FALSE)</f>
        <v>#N/A</v>
      </c>
      <c r="Z45" s="31" t="e">
        <f>VLOOKUP($D45,Résultats!$B$2:$AZ$212,Z$2,FALSE)</f>
        <v>#N/A</v>
      </c>
      <c r="AA45" s="31" t="e">
        <f>VLOOKUP($D45,Résultats!$B$2:$AZ$212,AA$2,FALSE)</f>
        <v>#N/A</v>
      </c>
      <c r="AB45" s="31" t="e">
        <f>VLOOKUP($D45,Résultats!$B$2:$AZ$212,AB$2,FALSE)</f>
        <v>#N/A</v>
      </c>
      <c r="AC45" s="31" t="e">
        <f>VLOOKUP($D45,Résultats!$B$2:$AZ$212,AC$2,FALSE)</f>
        <v>#N/A</v>
      </c>
      <c r="AD45" s="31" t="e">
        <f>VLOOKUP($D45,Résultats!$B$2:$AZ$212,AD$2,FALSE)</f>
        <v>#N/A</v>
      </c>
      <c r="AE45" s="31" t="e">
        <f>VLOOKUP($D45,Résultats!$B$2:$AZ$212,AE$2,FALSE)</f>
        <v>#N/A</v>
      </c>
      <c r="AF45" s="31" t="e">
        <f>VLOOKUP($D45,Résultats!$B$2:$AZ$212,AF$2,FALSE)</f>
        <v>#N/A</v>
      </c>
      <c r="AG45" s="31" t="e">
        <f>VLOOKUP($D45,Résultats!$B$2:$AZ$212,AG$2,FALSE)</f>
        <v>#N/A</v>
      </c>
      <c r="AH45" s="31" t="e">
        <f>VLOOKUP($D45,Résultats!$B$2:$AZ$212,AH$2,FALSE)</f>
        <v>#N/A</v>
      </c>
      <c r="AI45" s="31" t="e">
        <f>VLOOKUP($D45,Résultats!$B$2:$AZ$212,AI$2,FALSE)</f>
        <v>#N/A</v>
      </c>
      <c r="AJ45" s="31" t="e">
        <f>VLOOKUP($D45,Résultats!$B$2:$AZ$212,AJ$2,FALSE)</f>
        <v>#N/A</v>
      </c>
      <c r="AK45" s="31" t="e">
        <f>VLOOKUP($D45,Résultats!$B$2:$AZ$212,AK$2,FALSE)</f>
        <v>#N/A</v>
      </c>
      <c r="AL45" s="31" t="e">
        <f>VLOOKUP($D45,Résultats!$B$2:$AZ$212,AL$2,FALSE)</f>
        <v>#N/A</v>
      </c>
      <c r="AM45" s="31" t="e">
        <f>VLOOKUP($D45,Résultats!$B$2:$AZ$212,AM$2,FALSE)</f>
        <v>#N/A</v>
      </c>
    </row>
    <row r="46" spans="2:39" x14ac:dyDescent="0.25">
      <c r="C46" s="56" t="s">
        <v>6</v>
      </c>
      <c r="D46" s="3" t="s">
        <v>61</v>
      </c>
      <c r="E46" s="31" t="e">
        <f>VLOOKUP($D46,Résultats!$B$2:$AZ$212,E$2,FALSE)</f>
        <v>#N/A</v>
      </c>
      <c r="F46" s="31" t="e">
        <f>VLOOKUP($D46,Résultats!$B$2:$AZ$212,F$2,FALSE)</f>
        <v>#N/A</v>
      </c>
      <c r="G46" s="31" t="e">
        <f>VLOOKUP($D46,Résultats!$B$2:$AZ$212,G$2,FALSE)</f>
        <v>#N/A</v>
      </c>
      <c r="H46" s="31" t="e">
        <f>VLOOKUP($D46,Résultats!$B$2:$AZ$212,H$2,FALSE)</f>
        <v>#N/A</v>
      </c>
      <c r="I46" s="31" t="e">
        <f>VLOOKUP($D46,Résultats!$B$2:$AZ$212,I$2,FALSE)</f>
        <v>#N/A</v>
      </c>
      <c r="J46" s="31" t="e">
        <f>VLOOKUP($D46,Résultats!$B$2:$AZ$212,J$2,FALSE)</f>
        <v>#N/A</v>
      </c>
      <c r="K46" s="31" t="e">
        <f>VLOOKUP($D46,Résultats!$B$2:$AZ$212,K$2,FALSE)</f>
        <v>#N/A</v>
      </c>
      <c r="L46" s="31" t="e">
        <f>VLOOKUP($D46,Résultats!$B$2:$AZ$212,L$2,FALSE)</f>
        <v>#N/A</v>
      </c>
      <c r="M46" s="31" t="e">
        <f>VLOOKUP($D46,Résultats!$B$2:$AZ$212,M$2,FALSE)</f>
        <v>#N/A</v>
      </c>
      <c r="N46" s="31" t="e">
        <f>VLOOKUP($D46,Résultats!$B$2:$AZ$212,N$2,FALSE)</f>
        <v>#N/A</v>
      </c>
      <c r="O46" s="31" t="e">
        <f>VLOOKUP($D46,Résultats!$B$2:$AZ$212,O$2,FALSE)</f>
        <v>#N/A</v>
      </c>
      <c r="P46" s="31" t="e">
        <f>VLOOKUP($D46,Résultats!$B$2:$AZ$212,P$2,FALSE)</f>
        <v>#N/A</v>
      </c>
      <c r="Q46" s="31" t="e">
        <f>VLOOKUP($D46,Résultats!$B$2:$AZ$212,Q$2,FALSE)</f>
        <v>#N/A</v>
      </c>
      <c r="R46" s="31" t="e">
        <f>VLOOKUP($D46,Résultats!$B$2:$AZ$212,R$2,FALSE)</f>
        <v>#N/A</v>
      </c>
      <c r="S46" s="31" t="e">
        <f>VLOOKUP($D46,Résultats!$B$2:$AZ$212,S$2,FALSE)</f>
        <v>#N/A</v>
      </c>
      <c r="T46" s="31" t="e">
        <f>VLOOKUP($D46,Résultats!$B$2:$AZ$212,T$2,FALSE)</f>
        <v>#N/A</v>
      </c>
      <c r="U46" s="31" t="e">
        <f>VLOOKUP($D46,Résultats!$B$2:$AZ$212,U$2,FALSE)</f>
        <v>#N/A</v>
      </c>
      <c r="V46" s="31" t="e">
        <f>VLOOKUP($D46,Résultats!$B$2:$AZ$212,V$2,FALSE)</f>
        <v>#N/A</v>
      </c>
      <c r="W46" s="31" t="e">
        <f>VLOOKUP($D46,Résultats!$B$2:$AZ$212,W$2,FALSE)</f>
        <v>#N/A</v>
      </c>
      <c r="X46" s="31" t="e">
        <f>VLOOKUP($D46,Résultats!$B$2:$AZ$212,X$2,FALSE)</f>
        <v>#N/A</v>
      </c>
      <c r="Y46" s="31" t="e">
        <f>VLOOKUP($D46,Résultats!$B$2:$AZ$212,Y$2,FALSE)</f>
        <v>#N/A</v>
      </c>
      <c r="Z46" s="31" t="e">
        <f>VLOOKUP($D46,Résultats!$B$2:$AZ$212,Z$2,FALSE)</f>
        <v>#N/A</v>
      </c>
      <c r="AA46" s="31" t="e">
        <f>VLOOKUP($D46,Résultats!$B$2:$AZ$212,AA$2,FALSE)</f>
        <v>#N/A</v>
      </c>
      <c r="AB46" s="31" t="e">
        <f>VLOOKUP($D46,Résultats!$B$2:$AZ$212,AB$2,FALSE)</f>
        <v>#N/A</v>
      </c>
      <c r="AC46" s="31" t="e">
        <f>VLOOKUP($D46,Résultats!$B$2:$AZ$212,AC$2,FALSE)</f>
        <v>#N/A</v>
      </c>
      <c r="AD46" s="31" t="e">
        <f>VLOOKUP($D46,Résultats!$B$2:$AZ$212,AD$2,FALSE)</f>
        <v>#N/A</v>
      </c>
      <c r="AE46" s="31" t="e">
        <f>VLOOKUP($D46,Résultats!$B$2:$AZ$212,AE$2,FALSE)</f>
        <v>#N/A</v>
      </c>
      <c r="AF46" s="31" t="e">
        <f>VLOOKUP($D46,Résultats!$B$2:$AZ$212,AF$2,FALSE)</f>
        <v>#N/A</v>
      </c>
      <c r="AG46" s="31" t="e">
        <f>VLOOKUP($D46,Résultats!$B$2:$AZ$212,AG$2,FALSE)</f>
        <v>#N/A</v>
      </c>
      <c r="AH46" s="31" t="e">
        <f>VLOOKUP($D46,Résultats!$B$2:$AZ$212,AH$2,FALSE)</f>
        <v>#N/A</v>
      </c>
      <c r="AI46" s="31" t="e">
        <f>VLOOKUP($D46,Résultats!$B$2:$AZ$212,AI$2,FALSE)</f>
        <v>#N/A</v>
      </c>
      <c r="AJ46" s="31" t="e">
        <f>VLOOKUP($D46,Résultats!$B$2:$AZ$212,AJ$2,FALSE)</f>
        <v>#N/A</v>
      </c>
      <c r="AK46" s="31" t="e">
        <f>VLOOKUP($D46,Résultats!$B$2:$AZ$212,AK$2,FALSE)</f>
        <v>#N/A</v>
      </c>
      <c r="AL46" s="31" t="e">
        <f>VLOOKUP($D46,Résultats!$B$2:$AZ$212,AL$2,FALSE)</f>
        <v>#N/A</v>
      </c>
      <c r="AM46" s="31" t="e">
        <f>VLOOKUP($D46,Résultats!$B$2:$AZ$212,AM$2,FALSE)</f>
        <v>#N/A</v>
      </c>
    </row>
    <row r="47" spans="2:39" x14ac:dyDescent="0.25">
      <c r="C47" s="56" t="s">
        <v>34</v>
      </c>
      <c r="D47" s="3" t="s">
        <v>62</v>
      </c>
      <c r="E47" s="31" t="e">
        <f>VLOOKUP($D47,Résultats!$B$2:$AZ$212,E$2,FALSE)</f>
        <v>#N/A</v>
      </c>
      <c r="F47" s="31" t="e">
        <f>VLOOKUP($D47,Résultats!$B$2:$AZ$212,F$2,FALSE)</f>
        <v>#N/A</v>
      </c>
      <c r="G47" s="31" t="e">
        <f>VLOOKUP($D47,Résultats!$B$2:$AZ$212,G$2,FALSE)</f>
        <v>#N/A</v>
      </c>
      <c r="H47" s="31" t="e">
        <f>VLOOKUP($D47,Résultats!$B$2:$AZ$212,H$2,FALSE)</f>
        <v>#N/A</v>
      </c>
      <c r="I47" s="31" t="e">
        <f>VLOOKUP($D47,Résultats!$B$2:$AZ$212,I$2,FALSE)</f>
        <v>#N/A</v>
      </c>
      <c r="J47" s="31" t="e">
        <f>VLOOKUP($D47,Résultats!$B$2:$AZ$212,J$2,FALSE)</f>
        <v>#N/A</v>
      </c>
      <c r="K47" s="31" t="e">
        <f>VLOOKUP($D47,Résultats!$B$2:$AZ$212,K$2,FALSE)</f>
        <v>#N/A</v>
      </c>
      <c r="L47" s="31" t="e">
        <f>VLOOKUP($D47,Résultats!$B$2:$AZ$212,L$2,FALSE)</f>
        <v>#N/A</v>
      </c>
      <c r="M47" s="31" t="e">
        <f>VLOOKUP($D47,Résultats!$B$2:$AZ$212,M$2,FALSE)</f>
        <v>#N/A</v>
      </c>
      <c r="N47" s="31" t="e">
        <f>VLOOKUP($D47,Résultats!$B$2:$AZ$212,N$2,FALSE)</f>
        <v>#N/A</v>
      </c>
      <c r="O47" s="31" t="e">
        <f>VLOOKUP($D47,Résultats!$B$2:$AZ$212,O$2,FALSE)</f>
        <v>#N/A</v>
      </c>
      <c r="P47" s="31" t="e">
        <f>VLOOKUP($D47,Résultats!$B$2:$AZ$212,P$2,FALSE)</f>
        <v>#N/A</v>
      </c>
      <c r="Q47" s="31" t="e">
        <f>VLOOKUP($D47,Résultats!$B$2:$AZ$212,Q$2,FALSE)</f>
        <v>#N/A</v>
      </c>
      <c r="R47" s="31" t="e">
        <f>VLOOKUP($D47,Résultats!$B$2:$AZ$212,R$2,FALSE)</f>
        <v>#N/A</v>
      </c>
      <c r="S47" s="31" t="e">
        <f>VLOOKUP($D47,Résultats!$B$2:$AZ$212,S$2,FALSE)</f>
        <v>#N/A</v>
      </c>
      <c r="T47" s="31" t="e">
        <f>VLOOKUP($D47,Résultats!$B$2:$AZ$212,T$2,FALSE)</f>
        <v>#N/A</v>
      </c>
      <c r="U47" s="31" t="e">
        <f>VLOOKUP($D47,Résultats!$B$2:$AZ$212,U$2,FALSE)</f>
        <v>#N/A</v>
      </c>
      <c r="V47" s="31" t="e">
        <f>VLOOKUP($D47,Résultats!$B$2:$AZ$212,V$2,FALSE)</f>
        <v>#N/A</v>
      </c>
      <c r="W47" s="31" t="e">
        <f>VLOOKUP($D47,Résultats!$B$2:$AZ$212,W$2,FALSE)</f>
        <v>#N/A</v>
      </c>
      <c r="X47" s="31" t="e">
        <f>VLOOKUP($D47,Résultats!$B$2:$AZ$212,X$2,FALSE)</f>
        <v>#N/A</v>
      </c>
      <c r="Y47" s="31" t="e">
        <f>VLOOKUP($D47,Résultats!$B$2:$AZ$212,Y$2,FALSE)</f>
        <v>#N/A</v>
      </c>
      <c r="Z47" s="31" t="e">
        <f>VLOOKUP($D47,Résultats!$B$2:$AZ$212,Z$2,FALSE)</f>
        <v>#N/A</v>
      </c>
      <c r="AA47" s="31" t="e">
        <f>VLOOKUP($D47,Résultats!$B$2:$AZ$212,AA$2,FALSE)</f>
        <v>#N/A</v>
      </c>
      <c r="AB47" s="31" t="e">
        <f>VLOOKUP($D47,Résultats!$B$2:$AZ$212,AB$2,FALSE)</f>
        <v>#N/A</v>
      </c>
      <c r="AC47" s="31" t="e">
        <f>VLOOKUP($D47,Résultats!$B$2:$AZ$212,AC$2,FALSE)</f>
        <v>#N/A</v>
      </c>
      <c r="AD47" s="31" t="e">
        <f>VLOOKUP($D47,Résultats!$B$2:$AZ$212,AD$2,FALSE)</f>
        <v>#N/A</v>
      </c>
      <c r="AE47" s="31" t="e">
        <f>VLOOKUP($D47,Résultats!$B$2:$AZ$212,AE$2,FALSE)</f>
        <v>#N/A</v>
      </c>
      <c r="AF47" s="31" t="e">
        <f>VLOOKUP($D47,Résultats!$B$2:$AZ$212,AF$2,FALSE)</f>
        <v>#N/A</v>
      </c>
      <c r="AG47" s="31" t="e">
        <f>VLOOKUP($D47,Résultats!$B$2:$AZ$212,AG$2,FALSE)</f>
        <v>#N/A</v>
      </c>
      <c r="AH47" s="31" t="e">
        <f>VLOOKUP($D47,Résultats!$B$2:$AZ$212,AH$2,FALSE)</f>
        <v>#N/A</v>
      </c>
      <c r="AI47" s="31" t="e">
        <f>VLOOKUP($D47,Résultats!$B$2:$AZ$212,AI$2,FALSE)</f>
        <v>#N/A</v>
      </c>
      <c r="AJ47" s="31" t="e">
        <f>VLOOKUP($D47,Résultats!$B$2:$AZ$212,AJ$2,FALSE)</f>
        <v>#N/A</v>
      </c>
      <c r="AK47" s="31" t="e">
        <f>VLOOKUP($D47,Résultats!$B$2:$AZ$212,AK$2,FALSE)</f>
        <v>#N/A</v>
      </c>
      <c r="AL47" s="31" t="e">
        <f>VLOOKUP($D47,Résultats!$B$2:$AZ$212,AL$2,FALSE)</f>
        <v>#N/A</v>
      </c>
      <c r="AM47" s="31" t="e">
        <f>VLOOKUP($D47,Résultats!$B$2:$AZ$212,AM$2,FALSE)</f>
        <v>#N/A</v>
      </c>
    </row>
    <row r="48" spans="2:39" x14ac:dyDescent="0.25">
      <c r="C48" s="56" t="s">
        <v>35</v>
      </c>
      <c r="D48" s="3" t="s">
        <v>63</v>
      </c>
      <c r="E48" s="31" t="e">
        <f>VLOOKUP($D48,Résultats!$B$2:$AZ$212,E$2,FALSE)</f>
        <v>#N/A</v>
      </c>
      <c r="F48" s="31" t="e">
        <f>VLOOKUP($D48,Résultats!$B$2:$AZ$212,F$2,FALSE)</f>
        <v>#N/A</v>
      </c>
      <c r="G48" s="31" t="e">
        <f>VLOOKUP($D48,Résultats!$B$2:$AZ$212,G$2,FALSE)</f>
        <v>#N/A</v>
      </c>
      <c r="H48" s="31" t="e">
        <f>VLOOKUP($D48,Résultats!$B$2:$AZ$212,H$2,FALSE)</f>
        <v>#N/A</v>
      </c>
      <c r="I48" s="31" t="e">
        <f>VLOOKUP($D48,Résultats!$B$2:$AZ$212,I$2,FALSE)</f>
        <v>#N/A</v>
      </c>
      <c r="J48" s="31" t="e">
        <f>VLOOKUP($D48,Résultats!$B$2:$AZ$212,J$2,FALSE)</f>
        <v>#N/A</v>
      </c>
      <c r="K48" s="31" t="e">
        <f>VLOOKUP($D48,Résultats!$B$2:$AZ$212,K$2,FALSE)</f>
        <v>#N/A</v>
      </c>
      <c r="L48" s="31" t="e">
        <f>VLOOKUP($D48,Résultats!$B$2:$AZ$212,L$2,FALSE)</f>
        <v>#N/A</v>
      </c>
      <c r="M48" s="31" t="e">
        <f>VLOOKUP($D48,Résultats!$B$2:$AZ$212,M$2,FALSE)</f>
        <v>#N/A</v>
      </c>
      <c r="N48" s="31" t="e">
        <f>VLOOKUP($D48,Résultats!$B$2:$AZ$212,N$2,FALSE)</f>
        <v>#N/A</v>
      </c>
      <c r="O48" s="31" t="e">
        <f>VLOOKUP($D48,Résultats!$B$2:$AZ$212,O$2,FALSE)</f>
        <v>#N/A</v>
      </c>
      <c r="P48" s="31" t="e">
        <f>VLOOKUP($D48,Résultats!$B$2:$AZ$212,P$2,FALSE)</f>
        <v>#N/A</v>
      </c>
      <c r="Q48" s="31" t="e">
        <f>VLOOKUP($D48,Résultats!$B$2:$AZ$212,Q$2,FALSE)</f>
        <v>#N/A</v>
      </c>
      <c r="R48" s="31" t="e">
        <f>VLOOKUP($D48,Résultats!$B$2:$AZ$212,R$2,FALSE)</f>
        <v>#N/A</v>
      </c>
      <c r="S48" s="31" t="e">
        <f>VLOOKUP($D48,Résultats!$B$2:$AZ$212,S$2,FALSE)</f>
        <v>#N/A</v>
      </c>
      <c r="T48" s="31" t="e">
        <f>VLOOKUP($D48,Résultats!$B$2:$AZ$212,T$2,FALSE)</f>
        <v>#N/A</v>
      </c>
      <c r="U48" s="31" t="e">
        <f>VLOOKUP($D48,Résultats!$B$2:$AZ$212,U$2,FALSE)</f>
        <v>#N/A</v>
      </c>
      <c r="V48" s="31" t="e">
        <f>VLOOKUP($D48,Résultats!$B$2:$AZ$212,V$2,FALSE)</f>
        <v>#N/A</v>
      </c>
      <c r="W48" s="31" t="e">
        <f>VLOOKUP($D48,Résultats!$B$2:$AZ$212,W$2,FALSE)</f>
        <v>#N/A</v>
      </c>
      <c r="X48" s="31" t="e">
        <f>VLOOKUP($D48,Résultats!$B$2:$AZ$212,X$2,FALSE)</f>
        <v>#N/A</v>
      </c>
      <c r="Y48" s="31" t="e">
        <f>VLOOKUP($D48,Résultats!$B$2:$AZ$212,Y$2,FALSE)</f>
        <v>#N/A</v>
      </c>
      <c r="Z48" s="31" t="e">
        <f>VLOOKUP($D48,Résultats!$B$2:$AZ$212,Z$2,FALSE)</f>
        <v>#N/A</v>
      </c>
      <c r="AA48" s="31" t="e">
        <f>VLOOKUP($D48,Résultats!$B$2:$AZ$212,AA$2,FALSE)</f>
        <v>#N/A</v>
      </c>
      <c r="AB48" s="31" t="e">
        <f>VLOOKUP($D48,Résultats!$B$2:$AZ$212,AB$2,FALSE)</f>
        <v>#N/A</v>
      </c>
      <c r="AC48" s="31" t="e">
        <f>VLOOKUP($D48,Résultats!$B$2:$AZ$212,AC$2,FALSE)</f>
        <v>#N/A</v>
      </c>
      <c r="AD48" s="31" t="e">
        <f>VLOOKUP($D48,Résultats!$B$2:$AZ$212,AD$2,FALSE)</f>
        <v>#N/A</v>
      </c>
      <c r="AE48" s="31" t="e">
        <f>VLOOKUP($D48,Résultats!$B$2:$AZ$212,AE$2,FALSE)</f>
        <v>#N/A</v>
      </c>
      <c r="AF48" s="31" t="e">
        <f>VLOOKUP($D48,Résultats!$B$2:$AZ$212,AF$2,FALSE)</f>
        <v>#N/A</v>
      </c>
      <c r="AG48" s="31" t="e">
        <f>VLOOKUP($D48,Résultats!$B$2:$AZ$212,AG$2,FALSE)</f>
        <v>#N/A</v>
      </c>
      <c r="AH48" s="31" t="e">
        <f>VLOOKUP($D48,Résultats!$B$2:$AZ$212,AH$2,FALSE)</f>
        <v>#N/A</v>
      </c>
      <c r="AI48" s="31" t="e">
        <f>VLOOKUP($D48,Résultats!$B$2:$AZ$212,AI$2,FALSE)</f>
        <v>#N/A</v>
      </c>
      <c r="AJ48" s="31" t="e">
        <f>VLOOKUP($D48,Résultats!$B$2:$AZ$212,AJ$2,FALSE)</f>
        <v>#N/A</v>
      </c>
      <c r="AK48" s="31" t="e">
        <f>VLOOKUP($D48,Résultats!$B$2:$AZ$212,AK$2,FALSE)</f>
        <v>#N/A</v>
      </c>
      <c r="AL48" s="31" t="e">
        <f>VLOOKUP($D48,Résultats!$B$2:$AZ$212,AL$2,FALSE)</f>
        <v>#N/A</v>
      </c>
      <c r="AM48" s="31" t="e">
        <f>VLOOKUP($D48,Résultats!$B$2:$AZ$212,AM$2,FALSE)</f>
        <v>#N/A</v>
      </c>
    </row>
    <row r="49" spans="3:40" x14ac:dyDescent="0.25">
      <c r="C49" s="82" t="s">
        <v>134</v>
      </c>
      <c r="D49" s="82" t="s">
        <v>45</v>
      </c>
      <c r="E49" s="83" t="e">
        <f>VLOOKUP($D49,Résultats!$B$2:$AZ$212,E$2,FALSE)</f>
        <v>#N/A</v>
      </c>
      <c r="F49" s="83" t="e">
        <f>VLOOKUP($D49,Résultats!$B$2:$AZ$212,F$2,FALSE)</f>
        <v>#N/A</v>
      </c>
      <c r="G49" s="83" t="e">
        <f>VLOOKUP($D49,Résultats!$B$2:$AZ$212,G$2,FALSE)</f>
        <v>#N/A</v>
      </c>
      <c r="H49" s="83" t="e">
        <f>VLOOKUP($D49,Résultats!$B$2:$AZ$212,H$2,FALSE)</f>
        <v>#N/A</v>
      </c>
      <c r="I49" s="83" t="e">
        <f>VLOOKUP($D49,Résultats!$B$2:$AZ$212,I$2,FALSE)</f>
        <v>#N/A</v>
      </c>
      <c r="J49" s="83" t="e">
        <f>VLOOKUP($D49,Résultats!$B$2:$AZ$212,J$2,FALSE)</f>
        <v>#N/A</v>
      </c>
      <c r="K49" s="83" t="e">
        <f>VLOOKUP($D49,Résultats!$B$2:$AZ$212,K$2,FALSE)</f>
        <v>#N/A</v>
      </c>
      <c r="L49" s="83" t="e">
        <f>VLOOKUP($D49,Résultats!$B$2:$AZ$212,L$2,FALSE)</f>
        <v>#N/A</v>
      </c>
      <c r="M49" s="83" t="e">
        <f>VLOOKUP($D49,Résultats!$B$2:$AZ$212,M$2,FALSE)</f>
        <v>#N/A</v>
      </c>
      <c r="N49" s="83" t="e">
        <f>VLOOKUP($D49,Résultats!$B$2:$AZ$212,N$2,FALSE)</f>
        <v>#N/A</v>
      </c>
      <c r="O49" s="83" t="e">
        <f>VLOOKUP($D49,Résultats!$B$2:$AZ$212,O$2,FALSE)</f>
        <v>#N/A</v>
      </c>
      <c r="P49" s="83" t="e">
        <f>VLOOKUP($D49,Résultats!$B$2:$AZ$212,P$2,FALSE)</f>
        <v>#N/A</v>
      </c>
      <c r="Q49" s="83" t="e">
        <f>VLOOKUP($D49,Résultats!$B$2:$AZ$212,Q$2,FALSE)</f>
        <v>#N/A</v>
      </c>
      <c r="R49" s="83" t="e">
        <f>VLOOKUP($D49,Résultats!$B$2:$AZ$212,R$2,FALSE)</f>
        <v>#N/A</v>
      </c>
      <c r="S49" s="83" t="e">
        <f>VLOOKUP($D49,Résultats!$B$2:$AZ$212,S$2,FALSE)</f>
        <v>#N/A</v>
      </c>
      <c r="T49" s="83" t="e">
        <f>VLOOKUP($D49,Résultats!$B$2:$AZ$212,T$2,FALSE)</f>
        <v>#N/A</v>
      </c>
      <c r="U49" s="83" t="e">
        <f>VLOOKUP($D49,Résultats!$B$2:$AZ$212,U$2,FALSE)</f>
        <v>#N/A</v>
      </c>
      <c r="V49" s="83" t="e">
        <f>VLOOKUP($D49,Résultats!$B$2:$AZ$212,V$2,FALSE)</f>
        <v>#N/A</v>
      </c>
      <c r="W49" s="83" t="e">
        <f>VLOOKUP($D49,Résultats!$B$2:$AZ$212,W$2,FALSE)</f>
        <v>#N/A</v>
      </c>
      <c r="X49" s="83" t="e">
        <f>VLOOKUP($D49,Résultats!$B$2:$AZ$212,X$2,FALSE)</f>
        <v>#N/A</v>
      </c>
      <c r="Y49" s="83" t="e">
        <f>VLOOKUP($D49,Résultats!$B$2:$AZ$212,Y$2,FALSE)</f>
        <v>#N/A</v>
      </c>
      <c r="Z49" s="83" t="e">
        <f>VLOOKUP($D49,Résultats!$B$2:$AZ$212,Z$2,FALSE)</f>
        <v>#N/A</v>
      </c>
      <c r="AA49" s="83" t="e">
        <f>VLOOKUP($D49,Résultats!$B$2:$AZ$212,AA$2,FALSE)</f>
        <v>#N/A</v>
      </c>
      <c r="AB49" s="83" t="e">
        <f>VLOOKUP($D49,Résultats!$B$2:$AZ$212,AB$2,FALSE)</f>
        <v>#N/A</v>
      </c>
      <c r="AC49" s="83" t="e">
        <f>VLOOKUP($D49,Résultats!$B$2:$AZ$212,AC$2,FALSE)</f>
        <v>#N/A</v>
      </c>
      <c r="AD49" s="83" t="e">
        <f>VLOOKUP($D49,Résultats!$B$2:$AZ$212,AD$2,FALSE)</f>
        <v>#N/A</v>
      </c>
      <c r="AE49" s="83" t="e">
        <f>VLOOKUP($D49,Résultats!$B$2:$AZ$212,AE$2,FALSE)</f>
        <v>#N/A</v>
      </c>
      <c r="AF49" s="83" t="e">
        <f>VLOOKUP($D49,Résultats!$B$2:$AZ$212,AF$2,FALSE)</f>
        <v>#N/A</v>
      </c>
      <c r="AG49" s="83" t="e">
        <f>VLOOKUP($D49,Résultats!$B$2:$AZ$212,AG$2,FALSE)</f>
        <v>#N/A</v>
      </c>
      <c r="AH49" s="83" t="e">
        <f>VLOOKUP($D49,Résultats!$B$2:$AZ$212,AH$2,FALSE)</f>
        <v>#N/A</v>
      </c>
      <c r="AI49" s="83" t="e">
        <f>VLOOKUP($D49,Résultats!$B$2:$AZ$212,AI$2,FALSE)</f>
        <v>#N/A</v>
      </c>
      <c r="AJ49" s="83" t="e">
        <f>VLOOKUP($D49,Résultats!$B$2:$AZ$212,AJ$2,FALSE)</f>
        <v>#N/A</v>
      </c>
      <c r="AK49" s="83" t="e">
        <f>VLOOKUP($D49,Résultats!$B$2:$AZ$212,AK$2,FALSE)</f>
        <v>#N/A</v>
      </c>
      <c r="AL49" s="83" t="e">
        <f>VLOOKUP($D49,Résultats!$B$2:$AZ$212,AL$2,FALSE)</f>
        <v>#N/A</v>
      </c>
      <c r="AM49" s="83" t="e">
        <f>VLOOKUP($D49,Résultats!$B$2:$AZ$212,AM$2,FALSE)</f>
        <v>#N/A</v>
      </c>
    </row>
    <row r="50" spans="3:40" x14ac:dyDescent="0.25">
      <c r="C50" s="84" t="s">
        <v>94</v>
      </c>
      <c r="D50" s="3" t="s">
        <v>62</v>
      </c>
      <c r="E50" s="85" t="e">
        <f>VLOOKUP($D50,Résultats!$B$2:$AZ$212,E$2,FALSE)</f>
        <v>#N/A</v>
      </c>
      <c r="F50" s="85" t="e">
        <f>VLOOKUP($D50,Résultats!$B$2:$AZ$212,F$2,FALSE)</f>
        <v>#N/A</v>
      </c>
      <c r="G50" s="85" t="e">
        <f>VLOOKUP($D50,Résultats!$B$2:$AZ$212,G$2,FALSE)</f>
        <v>#N/A</v>
      </c>
      <c r="H50" s="85" t="e">
        <f>VLOOKUP($D50,Résultats!$B$2:$AZ$212,H$2,FALSE)</f>
        <v>#N/A</v>
      </c>
      <c r="I50" s="85" t="e">
        <f>VLOOKUP($D50,Résultats!$B$2:$AZ$212,I$2,FALSE)</f>
        <v>#N/A</v>
      </c>
      <c r="J50" s="85" t="e">
        <f>VLOOKUP($D50,Résultats!$B$2:$AZ$212,J$2,FALSE)</f>
        <v>#N/A</v>
      </c>
      <c r="K50" s="85" t="e">
        <f>VLOOKUP($D50,Résultats!$B$2:$AZ$212,K$2,FALSE)</f>
        <v>#N/A</v>
      </c>
      <c r="L50" s="85" t="e">
        <f>VLOOKUP($D50,Résultats!$B$2:$AZ$212,L$2,FALSE)</f>
        <v>#N/A</v>
      </c>
      <c r="M50" s="85" t="e">
        <f>VLOOKUP($D50,Résultats!$B$2:$AZ$212,M$2,FALSE)</f>
        <v>#N/A</v>
      </c>
      <c r="N50" s="85" t="e">
        <f>VLOOKUP($D50,Résultats!$B$2:$AZ$212,N$2,FALSE)</f>
        <v>#N/A</v>
      </c>
      <c r="O50" s="85" t="e">
        <f>VLOOKUP($D50,Résultats!$B$2:$AZ$212,O$2,FALSE)</f>
        <v>#N/A</v>
      </c>
      <c r="P50" s="85" t="e">
        <f>VLOOKUP($D50,Résultats!$B$2:$AZ$212,P$2,FALSE)</f>
        <v>#N/A</v>
      </c>
      <c r="Q50" s="85" t="e">
        <f>VLOOKUP($D50,Résultats!$B$2:$AZ$212,Q$2,FALSE)</f>
        <v>#N/A</v>
      </c>
      <c r="R50" s="85" t="e">
        <f>VLOOKUP($D50,Résultats!$B$2:$AZ$212,R$2,FALSE)</f>
        <v>#N/A</v>
      </c>
      <c r="S50" s="85" t="e">
        <f>VLOOKUP($D50,Résultats!$B$2:$AZ$212,S$2,FALSE)</f>
        <v>#N/A</v>
      </c>
      <c r="T50" s="85" t="e">
        <f>VLOOKUP($D50,Résultats!$B$2:$AZ$212,T$2,FALSE)</f>
        <v>#N/A</v>
      </c>
      <c r="U50" s="85" t="e">
        <f>VLOOKUP($D50,Résultats!$B$2:$AZ$212,U$2,FALSE)</f>
        <v>#N/A</v>
      </c>
      <c r="V50" s="85" t="e">
        <f>VLOOKUP($D50,Résultats!$B$2:$AZ$212,V$2,FALSE)</f>
        <v>#N/A</v>
      </c>
      <c r="W50" s="85" t="e">
        <f>VLOOKUP($D50,Résultats!$B$2:$AZ$212,W$2,FALSE)</f>
        <v>#N/A</v>
      </c>
      <c r="X50" s="85" t="e">
        <f>VLOOKUP($D50,Résultats!$B$2:$AZ$212,X$2,FALSE)</f>
        <v>#N/A</v>
      </c>
      <c r="Y50" s="85" t="e">
        <f>VLOOKUP($D50,Résultats!$B$2:$AZ$212,Y$2,FALSE)</f>
        <v>#N/A</v>
      </c>
      <c r="Z50" s="85" t="e">
        <f>VLOOKUP($D50,Résultats!$B$2:$AZ$212,Z$2,FALSE)</f>
        <v>#N/A</v>
      </c>
      <c r="AA50" s="85" t="e">
        <f>VLOOKUP($D50,Résultats!$B$2:$AZ$212,AA$2,FALSE)</f>
        <v>#N/A</v>
      </c>
      <c r="AB50" s="85" t="e">
        <f>VLOOKUP($D50,Résultats!$B$2:$AZ$212,AB$2,FALSE)</f>
        <v>#N/A</v>
      </c>
      <c r="AC50" s="85" t="e">
        <f>VLOOKUP($D50,Résultats!$B$2:$AZ$212,AC$2,FALSE)</f>
        <v>#N/A</v>
      </c>
      <c r="AD50" s="85" t="e">
        <f>VLOOKUP($D50,Résultats!$B$2:$AZ$212,AD$2,FALSE)</f>
        <v>#N/A</v>
      </c>
      <c r="AE50" s="85" t="e">
        <f>VLOOKUP($D50,Résultats!$B$2:$AZ$212,AE$2,FALSE)</f>
        <v>#N/A</v>
      </c>
      <c r="AF50" s="85" t="e">
        <f>VLOOKUP($D50,Résultats!$B$2:$AZ$212,AF$2,FALSE)</f>
        <v>#N/A</v>
      </c>
      <c r="AG50" s="85" t="e">
        <f>VLOOKUP($D50,Résultats!$B$2:$AZ$212,AG$2,FALSE)</f>
        <v>#N/A</v>
      </c>
      <c r="AH50" s="85" t="e">
        <f>VLOOKUP($D50,Résultats!$B$2:$AZ$212,AH$2,FALSE)</f>
        <v>#N/A</v>
      </c>
      <c r="AI50" s="85" t="e">
        <f>VLOOKUP($D50,Résultats!$B$2:$AZ$212,AI$2,FALSE)</f>
        <v>#N/A</v>
      </c>
      <c r="AJ50" s="85" t="e">
        <f>VLOOKUP($D50,Résultats!$B$2:$AZ$212,AJ$2,FALSE)</f>
        <v>#N/A</v>
      </c>
      <c r="AK50" s="85" t="e">
        <f>VLOOKUP($D50,Résultats!$B$2:$AZ$212,AK$2,FALSE)</f>
        <v>#N/A</v>
      </c>
      <c r="AL50" s="85" t="e">
        <f>VLOOKUP($D50,Résultats!$B$2:$AZ$212,AL$2,FALSE)</f>
        <v>#N/A</v>
      </c>
      <c r="AM50" s="85" t="e">
        <f>VLOOKUP($D50,Résultats!$B$2:$AZ$212,AM$2,FALSE)</f>
        <v>#N/A</v>
      </c>
    </row>
    <row r="51" spans="3:40" x14ac:dyDescent="0.25">
      <c r="C51" s="86" t="s">
        <v>27</v>
      </c>
      <c r="D51" s="87" t="s">
        <v>53</v>
      </c>
      <c r="E51" s="31" t="e">
        <f>VLOOKUP($D51,Résultats!$B$2:$AZ$212,E$2,FALSE)</f>
        <v>#N/A</v>
      </c>
      <c r="F51" s="31" t="e">
        <f>VLOOKUP($D51,Résultats!$B$2:$AZ$212,F$2,FALSE)</f>
        <v>#N/A</v>
      </c>
      <c r="G51" s="31" t="e">
        <f>VLOOKUP($D51,Résultats!$B$2:$AZ$212,G$2,FALSE)</f>
        <v>#N/A</v>
      </c>
      <c r="H51" s="31" t="e">
        <f>VLOOKUP($D51,Résultats!$B$2:$AZ$212,H$2,FALSE)</f>
        <v>#N/A</v>
      </c>
      <c r="I51" s="31" t="e">
        <f>VLOOKUP($D51,Résultats!$B$2:$AZ$212,I$2,FALSE)</f>
        <v>#N/A</v>
      </c>
      <c r="J51" s="31" t="e">
        <f>VLOOKUP($D51,Résultats!$B$2:$AZ$212,J$2,FALSE)</f>
        <v>#N/A</v>
      </c>
      <c r="K51" s="31" t="e">
        <f>VLOOKUP($D51,Résultats!$B$2:$AZ$212,K$2,FALSE)</f>
        <v>#N/A</v>
      </c>
      <c r="L51" s="31" t="e">
        <f>VLOOKUP($D51,Résultats!$B$2:$AZ$212,L$2,FALSE)</f>
        <v>#N/A</v>
      </c>
      <c r="M51" s="31" t="e">
        <f>VLOOKUP($D51,Résultats!$B$2:$AZ$212,M$2,FALSE)</f>
        <v>#N/A</v>
      </c>
      <c r="N51" s="31" t="e">
        <f>VLOOKUP($D51,Résultats!$B$2:$AZ$212,N$2,FALSE)</f>
        <v>#N/A</v>
      </c>
      <c r="O51" s="31" t="e">
        <f>VLOOKUP($D51,Résultats!$B$2:$AZ$212,O$2,FALSE)</f>
        <v>#N/A</v>
      </c>
      <c r="P51" s="31" t="e">
        <f>VLOOKUP($D51,Résultats!$B$2:$AZ$212,P$2,FALSE)</f>
        <v>#N/A</v>
      </c>
      <c r="Q51" s="31" t="e">
        <f>VLOOKUP($D51,Résultats!$B$2:$AZ$212,Q$2,FALSE)</f>
        <v>#N/A</v>
      </c>
      <c r="R51" s="31" t="e">
        <f>VLOOKUP($D51,Résultats!$B$2:$AZ$212,R$2,FALSE)</f>
        <v>#N/A</v>
      </c>
      <c r="S51" s="31" t="e">
        <f>VLOOKUP($D51,Résultats!$B$2:$AZ$212,S$2,FALSE)</f>
        <v>#N/A</v>
      </c>
      <c r="T51" s="31" t="e">
        <f>VLOOKUP($D51,Résultats!$B$2:$AZ$212,T$2,FALSE)</f>
        <v>#N/A</v>
      </c>
      <c r="U51" s="31" t="e">
        <f>VLOOKUP($D51,Résultats!$B$2:$AZ$212,U$2,FALSE)</f>
        <v>#N/A</v>
      </c>
      <c r="V51" s="31" t="e">
        <f>VLOOKUP($D51,Résultats!$B$2:$AZ$212,V$2,FALSE)</f>
        <v>#N/A</v>
      </c>
      <c r="W51" s="31" t="e">
        <f>VLOOKUP($D51,Résultats!$B$2:$AZ$212,W$2,FALSE)</f>
        <v>#N/A</v>
      </c>
      <c r="X51" s="31" t="e">
        <f>VLOOKUP($D51,Résultats!$B$2:$AZ$212,X$2,FALSE)</f>
        <v>#N/A</v>
      </c>
      <c r="Y51" s="31" t="e">
        <f>VLOOKUP($D51,Résultats!$B$2:$AZ$212,Y$2,FALSE)</f>
        <v>#N/A</v>
      </c>
      <c r="Z51" s="31" t="e">
        <f>VLOOKUP($D51,Résultats!$B$2:$AZ$212,Z$2,FALSE)</f>
        <v>#N/A</v>
      </c>
      <c r="AA51" s="31" t="e">
        <f>VLOOKUP($D51,Résultats!$B$2:$AZ$212,AA$2,FALSE)</f>
        <v>#N/A</v>
      </c>
      <c r="AB51" s="31" t="e">
        <f>VLOOKUP($D51,Résultats!$B$2:$AZ$212,AB$2,FALSE)</f>
        <v>#N/A</v>
      </c>
      <c r="AC51" s="31" t="e">
        <f>VLOOKUP($D51,Résultats!$B$2:$AZ$212,AC$2,FALSE)</f>
        <v>#N/A</v>
      </c>
      <c r="AD51" s="31" t="e">
        <f>VLOOKUP($D51,Résultats!$B$2:$AZ$212,AD$2,FALSE)</f>
        <v>#N/A</v>
      </c>
      <c r="AE51" s="31" t="e">
        <f>VLOOKUP($D51,Résultats!$B$2:$AZ$212,AE$2,FALSE)</f>
        <v>#N/A</v>
      </c>
      <c r="AF51" s="31" t="e">
        <f>VLOOKUP($D51,Résultats!$B$2:$AZ$212,AF$2,FALSE)</f>
        <v>#N/A</v>
      </c>
      <c r="AG51" s="31" t="e">
        <f>VLOOKUP($D51,Résultats!$B$2:$AZ$212,AG$2,FALSE)</f>
        <v>#N/A</v>
      </c>
      <c r="AH51" s="31" t="e">
        <f>VLOOKUP($D51,Résultats!$B$2:$AZ$212,AH$2,FALSE)</f>
        <v>#N/A</v>
      </c>
      <c r="AI51" s="31" t="e">
        <f>VLOOKUP($D51,Résultats!$B$2:$AZ$212,AI$2,FALSE)</f>
        <v>#N/A</v>
      </c>
      <c r="AJ51" s="31" t="e">
        <f>VLOOKUP($D51,Résultats!$B$2:$AZ$212,AJ$2,FALSE)</f>
        <v>#N/A</v>
      </c>
      <c r="AK51" s="31" t="e">
        <f>VLOOKUP($D51,Résultats!$B$2:$AZ$212,AK$2,FALSE)</f>
        <v>#N/A</v>
      </c>
      <c r="AL51" s="31" t="e">
        <f>VLOOKUP($D51,Résultats!$B$2:$AZ$212,AL$2,FALSE)</f>
        <v>#N/A</v>
      </c>
      <c r="AM51" s="31" t="e">
        <f>VLOOKUP($D51,Résultats!$B$2:$AZ$212,AM$2,FALSE)</f>
        <v>#N/A</v>
      </c>
    </row>
    <row r="52" spans="3:40" x14ac:dyDescent="0.25">
      <c r="C52" s="56" t="s">
        <v>28</v>
      </c>
      <c r="D52" s="78" t="s">
        <v>54</v>
      </c>
      <c r="E52" s="31" t="e">
        <f>VLOOKUP($D52,Résultats!$B$2:$AZ$212,E$2,FALSE)</f>
        <v>#N/A</v>
      </c>
      <c r="F52" s="31" t="e">
        <f>VLOOKUP($D52,Résultats!$B$2:$AZ$212,F$2,FALSE)</f>
        <v>#N/A</v>
      </c>
      <c r="G52" s="31" t="e">
        <f>VLOOKUP($D52,Résultats!$B$2:$AZ$212,G$2,FALSE)</f>
        <v>#N/A</v>
      </c>
      <c r="H52" s="31" t="e">
        <f>VLOOKUP($D52,Résultats!$B$2:$AZ$212,H$2,FALSE)</f>
        <v>#N/A</v>
      </c>
      <c r="I52" s="31" t="e">
        <f>VLOOKUP($D52,Résultats!$B$2:$AZ$212,I$2,FALSE)</f>
        <v>#N/A</v>
      </c>
      <c r="J52" s="31" t="e">
        <f>VLOOKUP($D52,Résultats!$B$2:$AZ$212,J$2,FALSE)</f>
        <v>#N/A</v>
      </c>
      <c r="K52" s="31" t="e">
        <f>VLOOKUP($D52,Résultats!$B$2:$AZ$212,K$2,FALSE)</f>
        <v>#N/A</v>
      </c>
      <c r="L52" s="31" t="e">
        <f>VLOOKUP($D52,Résultats!$B$2:$AZ$212,L$2,FALSE)</f>
        <v>#N/A</v>
      </c>
      <c r="M52" s="31" t="e">
        <f>VLOOKUP($D52,Résultats!$B$2:$AZ$212,M$2,FALSE)</f>
        <v>#N/A</v>
      </c>
      <c r="N52" s="31" t="e">
        <f>VLOOKUP($D52,Résultats!$B$2:$AZ$212,N$2,FALSE)</f>
        <v>#N/A</v>
      </c>
      <c r="O52" s="31" t="e">
        <f>VLOOKUP($D52,Résultats!$B$2:$AZ$212,O$2,FALSE)</f>
        <v>#N/A</v>
      </c>
      <c r="P52" s="31" t="e">
        <f>VLOOKUP($D52,Résultats!$B$2:$AZ$212,P$2,FALSE)</f>
        <v>#N/A</v>
      </c>
      <c r="Q52" s="31" t="e">
        <f>VLOOKUP($D52,Résultats!$B$2:$AZ$212,Q$2,FALSE)</f>
        <v>#N/A</v>
      </c>
      <c r="R52" s="31" t="e">
        <f>VLOOKUP($D52,Résultats!$B$2:$AZ$212,R$2,FALSE)</f>
        <v>#N/A</v>
      </c>
      <c r="S52" s="31" t="e">
        <f>VLOOKUP($D52,Résultats!$B$2:$AZ$212,S$2,FALSE)</f>
        <v>#N/A</v>
      </c>
      <c r="T52" s="31" t="e">
        <f>VLOOKUP($D52,Résultats!$B$2:$AZ$212,T$2,FALSE)</f>
        <v>#N/A</v>
      </c>
      <c r="U52" s="31" t="e">
        <f>VLOOKUP($D52,Résultats!$B$2:$AZ$212,U$2,FALSE)</f>
        <v>#N/A</v>
      </c>
      <c r="V52" s="31" t="e">
        <f>VLOOKUP($D52,Résultats!$B$2:$AZ$212,V$2,FALSE)</f>
        <v>#N/A</v>
      </c>
      <c r="W52" s="31" t="e">
        <f>VLOOKUP($D52,Résultats!$B$2:$AZ$212,W$2,FALSE)</f>
        <v>#N/A</v>
      </c>
      <c r="X52" s="31" t="e">
        <f>VLOOKUP($D52,Résultats!$B$2:$AZ$212,X$2,FALSE)</f>
        <v>#N/A</v>
      </c>
      <c r="Y52" s="31" t="e">
        <f>VLOOKUP($D52,Résultats!$B$2:$AZ$212,Y$2,FALSE)</f>
        <v>#N/A</v>
      </c>
      <c r="Z52" s="31" t="e">
        <f>VLOOKUP($D52,Résultats!$B$2:$AZ$212,Z$2,FALSE)</f>
        <v>#N/A</v>
      </c>
      <c r="AA52" s="31" t="e">
        <f>VLOOKUP($D52,Résultats!$B$2:$AZ$212,AA$2,FALSE)</f>
        <v>#N/A</v>
      </c>
      <c r="AB52" s="31" t="e">
        <f>VLOOKUP($D52,Résultats!$B$2:$AZ$212,AB$2,FALSE)</f>
        <v>#N/A</v>
      </c>
      <c r="AC52" s="31" t="e">
        <f>VLOOKUP($D52,Résultats!$B$2:$AZ$212,AC$2,FALSE)</f>
        <v>#N/A</v>
      </c>
      <c r="AD52" s="31" t="e">
        <f>VLOOKUP($D52,Résultats!$B$2:$AZ$212,AD$2,FALSE)</f>
        <v>#N/A</v>
      </c>
      <c r="AE52" s="31" t="e">
        <f>VLOOKUP($D52,Résultats!$B$2:$AZ$212,AE$2,FALSE)</f>
        <v>#N/A</v>
      </c>
      <c r="AF52" s="31" t="e">
        <f>VLOOKUP($D52,Résultats!$B$2:$AZ$212,AF$2,FALSE)</f>
        <v>#N/A</v>
      </c>
      <c r="AG52" s="31" t="e">
        <f>VLOOKUP($D52,Résultats!$B$2:$AZ$212,AG$2,FALSE)</f>
        <v>#N/A</v>
      </c>
      <c r="AH52" s="31" t="e">
        <f>VLOOKUP($D52,Résultats!$B$2:$AZ$212,AH$2,FALSE)</f>
        <v>#N/A</v>
      </c>
      <c r="AI52" s="31" t="e">
        <f>VLOOKUP($D52,Résultats!$B$2:$AZ$212,AI$2,FALSE)</f>
        <v>#N/A</v>
      </c>
      <c r="AJ52" s="31" t="e">
        <f>VLOOKUP($D52,Résultats!$B$2:$AZ$212,AJ$2,FALSE)</f>
        <v>#N/A</v>
      </c>
      <c r="AK52" s="31" t="e">
        <f>VLOOKUP($D52,Résultats!$B$2:$AZ$212,AK$2,FALSE)</f>
        <v>#N/A</v>
      </c>
      <c r="AL52" s="31" t="e">
        <f>VLOOKUP($D52,Résultats!$B$2:$AZ$212,AL$2,FALSE)</f>
        <v>#N/A</v>
      </c>
      <c r="AM52" s="31" t="e">
        <f>VLOOKUP($D52,Résultats!$B$2:$AZ$212,AM$2,FALSE)</f>
        <v>#N/A</v>
      </c>
    </row>
    <row r="53" spans="3:40" x14ac:dyDescent="0.25">
      <c r="C53" s="56" t="s">
        <v>29</v>
      </c>
      <c r="D53" s="78" t="s">
        <v>55</v>
      </c>
      <c r="E53" s="31" t="e">
        <f>VLOOKUP($D53,Résultats!$B$2:$AZ$212,E$2,FALSE)</f>
        <v>#N/A</v>
      </c>
      <c r="F53" s="31" t="e">
        <f>VLOOKUP($D53,Résultats!$B$2:$AZ$212,F$2,FALSE)</f>
        <v>#N/A</v>
      </c>
      <c r="G53" s="31" t="e">
        <f>VLOOKUP($D53,Résultats!$B$2:$AZ$212,G$2,FALSE)</f>
        <v>#N/A</v>
      </c>
      <c r="H53" s="31" t="e">
        <f>VLOOKUP($D53,Résultats!$B$2:$AZ$212,H$2,FALSE)</f>
        <v>#N/A</v>
      </c>
      <c r="I53" s="31" t="e">
        <f>VLOOKUP($D53,Résultats!$B$2:$AZ$212,I$2,FALSE)</f>
        <v>#N/A</v>
      </c>
      <c r="J53" s="31" t="e">
        <f>VLOOKUP($D53,Résultats!$B$2:$AZ$212,J$2,FALSE)</f>
        <v>#N/A</v>
      </c>
      <c r="K53" s="31" t="e">
        <f>VLOOKUP($D53,Résultats!$B$2:$AZ$212,K$2,FALSE)</f>
        <v>#N/A</v>
      </c>
      <c r="L53" s="31" t="e">
        <f>VLOOKUP($D53,Résultats!$B$2:$AZ$212,L$2,FALSE)</f>
        <v>#N/A</v>
      </c>
      <c r="M53" s="31" t="e">
        <f>VLOOKUP($D53,Résultats!$B$2:$AZ$212,M$2,FALSE)</f>
        <v>#N/A</v>
      </c>
      <c r="N53" s="31" t="e">
        <f>VLOOKUP($D53,Résultats!$B$2:$AZ$212,N$2,FALSE)</f>
        <v>#N/A</v>
      </c>
      <c r="O53" s="31" t="e">
        <f>VLOOKUP($D53,Résultats!$B$2:$AZ$212,O$2,FALSE)</f>
        <v>#N/A</v>
      </c>
      <c r="P53" s="31" t="e">
        <f>VLOOKUP($D53,Résultats!$B$2:$AZ$212,P$2,FALSE)</f>
        <v>#N/A</v>
      </c>
      <c r="Q53" s="31" t="e">
        <f>VLOOKUP($D53,Résultats!$B$2:$AZ$212,Q$2,FALSE)</f>
        <v>#N/A</v>
      </c>
      <c r="R53" s="31" t="e">
        <f>VLOOKUP($D53,Résultats!$B$2:$AZ$212,R$2,FALSE)</f>
        <v>#N/A</v>
      </c>
      <c r="S53" s="31" t="e">
        <f>VLOOKUP($D53,Résultats!$B$2:$AZ$212,S$2,FALSE)</f>
        <v>#N/A</v>
      </c>
      <c r="T53" s="31" t="e">
        <f>VLOOKUP($D53,Résultats!$B$2:$AZ$212,T$2,FALSE)</f>
        <v>#N/A</v>
      </c>
      <c r="U53" s="31" t="e">
        <f>VLOOKUP($D53,Résultats!$B$2:$AZ$212,U$2,FALSE)</f>
        <v>#N/A</v>
      </c>
      <c r="V53" s="31" t="e">
        <f>VLOOKUP($D53,Résultats!$B$2:$AZ$212,V$2,FALSE)</f>
        <v>#N/A</v>
      </c>
      <c r="W53" s="31" t="e">
        <f>VLOOKUP($D53,Résultats!$B$2:$AZ$212,W$2,FALSE)</f>
        <v>#N/A</v>
      </c>
      <c r="X53" s="31" t="e">
        <f>VLOOKUP($D53,Résultats!$B$2:$AZ$212,X$2,FALSE)</f>
        <v>#N/A</v>
      </c>
      <c r="Y53" s="31" t="e">
        <f>VLOOKUP($D53,Résultats!$B$2:$AZ$212,Y$2,FALSE)</f>
        <v>#N/A</v>
      </c>
      <c r="Z53" s="31" t="e">
        <f>VLOOKUP($D53,Résultats!$B$2:$AZ$212,Z$2,FALSE)</f>
        <v>#N/A</v>
      </c>
      <c r="AA53" s="31" t="e">
        <f>VLOOKUP($D53,Résultats!$B$2:$AZ$212,AA$2,FALSE)</f>
        <v>#N/A</v>
      </c>
      <c r="AB53" s="31" t="e">
        <f>VLOOKUP($D53,Résultats!$B$2:$AZ$212,AB$2,FALSE)</f>
        <v>#N/A</v>
      </c>
      <c r="AC53" s="31" t="e">
        <f>VLOOKUP($D53,Résultats!$B$2:$AZ$212,AC$2,FALSE)</f>
        <v>#N/A</v>
      </c>
      <c r="AD53" s="31" t="e">
        <f>VLOOKUP($D53,Résultats!$B$2:$AZ$212,AD$2,FALSE)</f>
        <v>#N/A</v>
      </c>
      <c r="AE53" s="31" t="e">
        <f>VLOOKUP($D53,Résultats!$B$2:$AZ$212,AE$2,FALSE)</f>
        <v>#N/A</v>
      </c>
      <c r="AF53" s="31" t="e">
        <f>VLOOKUP($D53,Résultats!$B$2:$AZ$212,AF$2,FALSE)</f>
        <v>#N/A</v>
      </c>
      <c r="AG53" s="31" t="e">
        <f>VLOOKUP($D53,Résultats!$B$2:$AZ$212,AG$2,FALSE)</f>
        <v>#N/A</v>
      </c>
      <c r="AH53" s="31" t="e">
        <f>VLOOKUP($D53,Résultats!$B$2:$AZ$212,AH$2,FALSE)</f>
        <v>#N/A</v>
      </c>
      <c r="AI53" s="31" t="e">
        <f>VLOOKUP($D53,Résultats!$B$2:$AZ$212,AI$2,FALSE)</f>
        <v>#N/A</v>
      </c>
      <c r="AJ53" s="31" t="e">
        <f>VLOOKUP($D53,Résultats!$B$2:$AZ$212,AJ$2,FALSE)</f>
        <v>#N/A</v>
      </c>
      <c r="AK53" s="31" t="e">
        <f>VLOOKUP($D53,Résultats!$B$2:$AZ$212,AK$2,FALSE)</f>
        <v>#N/A</v>
      </c>
      <c r="AL53" s="31" t="e">
        <f>VLOOKUP($D53,Résultats!$B$2:$AZ$212,AL$2,FALSE)</f>
        <v>#N/A</v>
      </c>
      <c r="AM53" s="31" t="e">
        <f>VLOOKUP($D53,Résultats!$B$2:$AZ$212,AM$2,FALSE)</f>
        <v>#N/A</v>
      </c>
    </row>
    <row r="54" spans="3:40" x14ac:dyDescent="0.25">
      <c r="C54" s="56" t="s">
        <v>30</v>
      </c>
      <c r="D54" s="78" t="s">
        <v>56</v>
      </c>
      <c r="E54" s="31" t="e">
        <f>VLOOKUP($D54,Résultats!$B$2:$AZ$212,E$2,FALSE)</f>
        <v>#N/A</v>
      </c>
      <c r="F54" s="31" t="e">
        <f>VLOOKUP($D54,Résultats!$B$2:$AZ$212,F$2,FALSE)</f>
        <v>#N/A</v>
      </c>
      <c r="G54" s="31" t="e">
        <f>VLOOKUP($D54,Résultats!$B$2:$AZ$212,G$2,FALSE)</f>
        <v>#N/A</v>
      </c>
      <c r="H54" s="31" t="e">
        <f>VLOOKUP($D54,Résultats!$B$2:$AZ$212,H$2,FALSE)</f>
        <v>#N/A</v>
      </c>
      <c r="I54" s="31" t="e">
        <f>VLOOKUP($D54,Résultats!$B$2:$AZ$212,I$2,FALSE)</f>
        <v>#N/A</v>
      </c>
      <c r="J54" s="31" t="e">
        <f>VLOOKUP($D54,Résultats!$B$2:$AZ$212,J$2,FALSE)</f>
        <v>#N/A</v>
      </c>
      <c r="K54" s="31" t="e">
        <f>VLOOKUP($D54,Résultats!$B$2:$AZ$212,K$2,FALSE)</f>
        <v>#N/A</v>
      </c>
      <c r="L54" s="31" t="e">
        <f>VLOOKUP($D54,Résultats!$B$2:$AZ$212,L$2,FALSE)</f>
        <v>#N/A</v>
      </c>
      <c r="M54" s="31" t="e">
        <f>VLOOKUP($D54,Résultats!$B$2:$AZ$212,M$2,FALSE)</f>
        <v>#N/A</v>
      </c>
      <c r="N54" s="31" t="e">
        <f>VLOOKUP($D54,Résultats!$B$2:$AZ$212,N$2,FALSE)</f>
        <v>#N/A</v>
      </c>
      <c r="O54" s="31" t="e">
        <f>VLOOKUP($D54,Résultats!$B$2:$AZ$212,O$2,FALSE)</f>
        <v>#N/A</v>
      </c>
      <c r="P54" s="31" t="e">
        <f>VLOOKUP($D54,Résultats!$B$2:$AZ$212,P$2,FALSE)</f>
        <v>#N/A</v>
      </c>
      <c r="Q54" s="31" t="e">
        <f>VLOOKUP($D54,Résultats!$B$2:$AZ$212,Q$2,FALSE)</f>
        <v>#N/A</v>
      </c>
      <c r="R54" s="31" t="e">
        <f>VLOOKUP($D54,Résultats!$B$2:$AZ$212,R$2,FALSE)</f>
        <v>#N/A</v>
      </c>
      <c r="S54" s="31" t="e">
        <f>VLOOKUP($D54,Résultats!$B$2:$AZ$212,S$2,FALSE)</f>
        <v>#N/A</v>
      </c>
      <c r="T54" s="31" t="e">
        <f>VLOOKUP($D54,Résultats!$B$2:$AZ$212,T$2,FALSE)</f>
        <v>#N/A</v>
      </c>
      <c r="U54" s="31" t="e">
        <f>VLOOKUP($D54,Résultats!$B$2:$AZ$212,U$2,FALSE)</f>
        <v>#N/A</v>
      </c>
      <c r="V54" s="31" t="e">
        <f>VLOOKUP($D54,Résultats!$B$2:$AZ$212,V$2,FALSE)</f>
        <v>#N/A</v>
      </c>
      <c r="W54" s="31" t="e">
        <f>VLOOKUP($D54,Résultats!$B$2:$AZ$212,W$2,FALSE)</f>
        <v>#N/A</v>
      </c>
      <c r="X54" s="31" t="e">
        <f>VLOOKUP($D54,Résultats!$B$2:$AZ$212,X$2,FALSE)</f>
        <v>#N/A</v>
      </c>
      <c r="Y54" s="31" t="e">
        <f>VLOOKUP($D54,Résultats!$B$2:$AZ$212,Y$2,FALSE)</f>
        <v>#N/A</v>
      </c>
      <c r="Z54" s="31" t="e">
        <f>VLOOKUP($D54,Résultats!$B$2:$AZ$212,Z$2,FALSE)</f>
        <v>#N/A</v>
      </c>
      <c r="AA54" s="31" t="e">
        <f>VLOOKUP($D54,Résultats!$B$2:$AZ$212,AA$2,FALSE)</f>
        <v>#N/A</v>
      </c>
      <c r="AB54" s="31" t="e">
        <f>VLOOKUP($D54,Résultats!$B$2:$AZ$212,AB$2,FALSE)</f>
        <v>#N/A</v>
      </c>
      <c r="AC54" s="31" t="e">
        <f>VLOOKUP($D54,Résultats!$B$2:$AZ$212,AC$2,FALSE)</f>
        <v>#N/A</v>
      </c>
      <c r="AD54" s="31" t="e">
        <f>VLOOKUP($D54,Résultats!$B$2:$AZ$212,AD$2,FALSE)</f>
        <v>#N/A</v>
      </c>
      <c r="AE54" s="31" t="e">
        <f>VLOOKUP($D54,Résultats!$B$2:$AZ$212,AE$2,FALSE)</f>
        <v>#N/A</v>
      </c>
      <c r="AF54" s="31" t="e">
        <f>VLOOKUP($D54,Résultats!$B$2:$AZ$212,AF$2,FALSE)</f>
        <v>#N/A</v>
      </c>
      <c r="AG54" s="31" t="e">
        <f>VLOOKUP($D54,Résultats!$B$2:$AZ$212,AG$2,FALSE)</f>
        <v>#N/A</v>
      </c>
      <c r="AH54" s="31" t="e">
        <f>VLOOKUP($D54,Résultats!$B$2:$AZ$212,AH$2,FALSE)</f>
        <v>#N/A</v>
      </c>
      <c r="AI54" s="31" t="e">
        <f>VLOOKUP($D54,Résultats!$B$2:$AZ$212,AI$2,FALSE)</f>
        <v>#N/A</v>
      </c>
      <c r="AJ54" s="31" t="e">
        <f>VLOOKUP($D54,Résultats!$B$2:$AZ$212,AJ$2,FALSE)</f>
        <v>#N/A</v>
      </c>
      <c r="AK54" s="31" t="e">
        <f>VLOOKUP($D54,Résultats!$B$2:$AZ$212,AK$2,FALSE)</f>
        <v>#N/A</v>
      </c>
      <c r="AL54" s="31" t="e">
        <f>VLOOKUP($D54,Résultats!$B$2:$AZ$212,AL$2,FALSE)</f>
        <v>#N/A</v>
      </c>
      <c r="AM54" s="31" t="e">
        <f>VLOOKUP($D54,Résultats!$B$2:$AZ$212,AM$2,FALSE)</f>
        <v>#N/A</v>
      </c>
    </row>
    <row r="55" spans="3:40" x14ac:dyDescent="0.25">
      <c r="C55" s="56" t="s">
        <v>31</v>
      </c>
      <c r="D55" s="78" t="s">
        <v>57</v>
      </c>
      <c r="E55" s="31" t="e">
        <f>VLOOKUP($D55,Résultats!$B$2:$AZ$212,E$2,FALSE)</f>
        <v>#N/A</v>
      </c>
      <c r="F55" s="31" t="e">
        <f>VLOOKUP($D55,Résultats!$B$2:$AZ$212,F$2,FALSE)</f>
        <v>#N/A</v>
      </c>
      <c r="G55" s="31" t="e">
        <f>VLOOKUP($D55,Résultats!$B$2:$AZ$212,G$2,FALSE)</f>
        <v>#N/A</v>
      </c>
      <c r="H55" s="31" t="e">
        <f>VLOOKUP($D55,Résultats!$B$2:$AZ$212,H$2,FALSE)</f>
        <v>#N/A</v>
      </c>
      <c r="I55" s="31" t="e">
        <f>VLOOKUP($D55,Résultats!$B$2:$AZ$212,I$2,FALSE)</f>
        <v>#N/A</v>
      </c>
      <c r="J55" s="31" t="e">
        <f>VLOOKUP($D55,Résultats!$B$2:$AZ$212,J$2,FALSE)</f>
        <v>#N/A</v>
      </c>
      <c r="K55" s="31" t="e">
        <f>VLOOKUP($D55,Résultats!$B$2:$AZ$212,K$2,FALSE)</f>
        <v>#N/A</v>
      </c>
      <c r="L55" s="31" t="e">
        <f>VLOOKUP($D55,Résultats!$B$2:$AZ$212,L$2,FALSE)</f>
        <v>#N/A</v>
      </c>
      <c r="M55" s="31" t="e">
        <f>VLOOKUP($D55,Résultats!$B$2:$AZ$212,M$2,FALSE)</f>
        <v>#N/A</v>
      </c>
      <c r="N55" s="31" t="e">
        <f>VLOOKUP($D55,Résultats!$B$2:$AZ$212,N$2,FALSE)</f>
        <v>#N/A</v>
      </c>
      <c r="O55" s="31" t="e">
        <f>VLOOKUP($D55,Résultats!$B$2:$AZ$212,O$2,FALSE)</f>
        <v>#N/A</v>
      </c>
      <c r="P55" s="31" t="e">
        <f>VLOOKUP($D55,Résultats!$B$2:$AZ$212,P$2,FALSE)</f>
        <v>#N/A</v>
      </c>
      <c r="Q55" s="31" t="e">
        <f>VLOOKUP($D55,Résultats!$B$2:$AZ$212,Q$2,FALSE)</f>
        <v>#N/A</v>
      </c>
      <c r="R55" s="31" t="e">
        <f>VLOOKUP($D55,Résultats!$B$2:$AZ$212,R$2,FALSE)</f>
        <v>#N/A</v>
      </c>
      <c r="S55" s="31" t="e">
        <f>VLOOKUP($D55,Résultats!$B$2:$AZ$212,S$2,FALSE)</f>
        <v>#N/A</v>
      </c>
      <c r="T55" s="31" t="e">
        <f>VLOOKUP($D55,Résultats!$B$2:$AZ$212,T$2,FALSE)</f>
        <v>#N/A</v>
      </c>
      <c r="U55" s="31" t="e">
        <f>VLOOKUP($D55,Résultats!$B$2:$AZ$212,U$2,FALSE)</f>
        <v>#N/A</v>
      </c>
      <c r="V55" s="31" t="e">
        <f>VLOOKUP($D55,Résultats!$B$2:$AZ$212,V$2,FALSE)</f>
        <v>#N/A</v>
      </c>
      <c r="W55" s="31" t="e">
        <f>VLOOKUP($D55,Résultats!$B$2:$AZ$212,W$2,FALSE)</f>
        <v>#N/A</v>
      </c>
      <c r="X55" s="31" t="e">
        <f>VLOOKUP($D55,Résultats!$B$2:$AZ$212,X$2,FALSE)</f>
        <v>#N/A</v>
      </c>
      <c r="Y55" s="31" t="e">
        <f>VLOOKUP($D55,Résultats!$B$2:$AZ$212,Y$2,FALSE)</f>
        <v>#N/A</v>
      </c>
      <c r="Z55" s="31" t="e">
        <f>VLOOKUP($D55,Résultats!$B$2:$AZ$212,Z$2,FALSE)</f>
        <v>#N/A</v>
      </c>
      <c r="AA55" s="31" t="e">
        <f>VLOOKUP($D55,Résultats!$B$2:$AZ$212,AA$2,FALSE)</f>
        <v>#N/A</v>
      </c>
      <c r="AB55" s="31" t="e">
        <f>VLOOKUP($D55,Résultats!$B$2:$AZ$212,AB$2,FALSE)</f>
        <v>#N/A</v>
      </c>
      <c r="AC55" s="31" t="e">
        <f>VLOOKUP($D55,Résultats!$B$2:$AZ$212,AC$2,FALSE)</f>
        <v>#N/A</v>
      </c>
      <c r="AD55" s="31" t="e">
        <f>VLOOKUP($D55,Résultats!$B$2:$AZ$212,AD$2,FALSE)</f>
        <v>#N/A</v>
      </c>
      <c r="AE55" s="31" t="e">
        <f>VLOOKUP($D55,Résultats!$B$2:$AZ$212,AE$2,FALSE)</f>
        <v>#N/A</v>
      </c>
      <c r="AF55" s="31" t="e">
        <f>VLOOKUP($D55,Résultats!$B$2:$AZ$212,AF$2,FALSE)</f>
        <v>#N/A</v>
      </c>
      <c r="AG55" s="31" t="e">
        <f>VLOOKUP($D55,Résultats!$B$2:$AZ$212,AG$2,FALSE)</f>
        <v>#N/A</v>
      </c>
      <c r="AH55" s="31" t="e">
        <f>VLOOKUP($D55,Résultats!$B$2:$AZ$212,AH$2,FALSE)</f>
        <v>#N/A</v>
      </c>
      <c r="AI55" s="31" t="e">
        <f>VLOOKUP($D55,Résultats!$B$2:$AZ$212,AI$2,FALSE)</f>
        <v>#N/A</v>
      </c>
      <c r="AJ55" s="31" t="e">
        <f>VLOOKUP($D55,Résultats!$B$2:$AZ$212,AJ$2,FALSE)</f>
        <v>#N/A</v>
      </c>
      <c r="AK55" s="31" t="e">
        <f>VLOOKUP($D55,Résultats!$B$2:$AZ$212,AK$2,FALSE)</f>
        <v>#N/A</v>
      </c>
      <c r="AL55" s="31" t="e">
        <f>VLOOKUP($D55,Résultats!$B$2:$AZ$212,AL$2,FALSE)</f>
        <v>#N/A</v>
      </c>
      <c r="AM55" s="31" t="e">
        <f>VLOOKUP($D55,Résultats!$B$2:$AZ$212,AM$2,FALSE)</f>
        <v>#N/A</v>
      </c>
    </row>
    <row r="56" spans="3:40" x14ac:dyDescent="0.25">
      <c r="C56" s="56" t="s">
        <v>32</v>
      </c>
      <c r="D56" s="78" t="s">
        <v>58</v>
      </c>
      <c r="E56" s="31" t="e">
        <f>VLOOKUP($D56,Résultats!$B$2:$AZ$212,E$2,FALSE)</f>
        <v>#N/A</v>
      </c>
      <c r="F56" s="31" t="e">
        <f>VLOOKUP($D56,Résultats!$B$2:$AZ$212,F$2,FALSE)</f>
        <v>#N/A</v>
      </c>
      <c r="G56" s="31" t="e">
        <f>VLOOKUP($D56,Résultats!$B$2:$AZ$212,G$2,FALSE)</f>
        <v>#N/A</v>
      </c>
      <c r="H56" s="31" t="e">
        <f>VLOOKUP($D56,Résultats!$B$2:$AZ$212,H$2,FALSE)</f>
        <v>#N/A</v>
      </c>
      <c r="I56" s="31" t="e">
        <f>VLOOKUP($D56,Résultats!$B$2:$AZ$212,I$2,FALSE)</f>
        <v>#N/A</v>
      </c>
      <c r="J56" s="31" t="e">
        <f>VLOOKUP($D56,Résultats!$B$2:$AZ$212,J$2,FALSE)</f>
        <v>#N/A</v>
      </c>
      <c r="K56" s="31" t="e">
        <f>VLOOKUP($D56,Résultats!$B$2:$AZ$212,K$2,FALSE)</f>
        <v>#N/A</v>
      </c>
      <c r="L56" s="31" t="e">
        <f>VLOOKUP($D56,Résultats!$B$2:$AZ$212,L$2,FALSE)</f>
        <v>#N/A</v>
      </c>
      <c r="M56" s="31" t="e">
        <f>VLOOKUP($D56,Résultats!$B$2:$AZ$212,M$2,FALSE)</f>
        <v>#N/A</v>
      </c>
      <c r="N56" s="31" t="e">
        <f>VLOOKUP($D56,Résultats!$B$2:$AZ$212,N$2,FALSE)</f>
        <v>#N/A</v>
      </c>
      <c r="O56" s="31" t="e">
        <f>VLOOKUP($D56,Résultats!$B$2:$AZ$212,O$2,FALSE)</f>
        <v>#N/A</v>
      </c>
      <c r="P56" s="31" t="e">
        <f>VLOOKUP($D56,Résultats!$B$2:$AZ$212,P$2,FALSE)</f>
        <v>#N/A</v>
      </c>
      <c r="Q56" s="31" t="e">
        <f>VLOOKUP($D56,Résultats!$B$2:$AZ$212,Q$2,FALSE)</f>
        <v>#N/A</v>
      </c>
      <c r="R56" s="31" t="e">
        <f>VLOOKUP($D56,Résultats!$B$2:$AZ$212,R$2,FALSE)</f>
        <v>#N/A</v>
      </c>
      <c r="S56" s="31" t="e">
        <f>VLOOKUP($D56,Résultats!$B$2:$AZ$212,S$2,FALSE)</f>
        <v>#N/A</v>
      </c>
      <c r="T56" s="31" t="e">
        <f>VLOOKUP($D56,Résultats!$B$2:$AZ$212,T$2,FALSE)</f>
        <v>#N/A</v>
      </c>
      <c r="U56" s="31" t="e">
        <f>VLOOKUP($D56,Résultats!$B$2:$AZ$212,U$2,FALSE)</f>
        <v>#N/A</v>
      </c>
      <c r="V56" s="31" t="e">
        <f>VLOOKUP($D56,Résultats!$B$2:$AZ$212,V$2,FALSE)</f>
        <v>#N/A</v>
      </c>
      <c r="W56" s="31" t="e">
        <f>VLOOKUP($D56,Résultats!$B$2:$AZ$212,W$2,FALSE)</f>
        <v>#N/A</v>
      </c>
      <c r="X56" s="31" t="e">
        <f>VLOOKUP($D56,Résultats!$B$2:$AZ$212,X$2,FALSE)</f>
        <v>#N/A</v>
      </c>
      <c r="Y56" s="31" t="e">
        <f>VLOOKUP($D56,Résultats!$B$2:$AZ$212,Y$2,FALSE)</f>
        <v>#N/A</v>
      </c>
      <c r="Z56" s="31" t="e">
        <f>VLOOKUP($D56,Résultats!$B$2:$AZ$212,Z$2,FALSE)</f>
        <v>#N/A</v>
      </c>
      <c r="AA56" s="31" t="e">
        <f>VLOOKUP($D56,Résultats!$B$2:$AZ$212,AA$2,FALSE)</f>
        <v>#N/A</v>
      </c>
      <c r="AB56" s="31" t="e">
        <f>VLOOKUP($D56,Résultats!$B$2:$AZ$212,AB$2,FALSE)</f>
        <v>#N/A</v>
      </c>
      <c r="AC56" s="31" t="e">
        <f>VLOOKUP($D56,Résultats!$B$2:$AZ$212,AC$2,FALSE)</f>
        <v>#N/A</v>
      </c>
      <c r="AD56" s="31" t="e">
        <f>VLOOKUP($D56,Résultats!$B$2:$AZ$212,AD$2,FALSE)</f>
        <v>#N/A</v>
      </c>
      <c r="AE56" s="31" t="e">
        <f>VLOOKUP($D56,Résultats!$B$2:$AZ$212,AE$2,FALSE)</f>
        <v>#N/A</v>
      </c>
      <c r="AF56" s="31" t="e">
        <f>VLOOKUP($D56,Résultats!$B$2:$AZ$212,AF$2,FALSE)</f>
        <v>#N/A</v>
      </c>
      <c r="AG56" s="31" t="e">
        <f>VLOOKUP($D56,Résultats!$B$2:$AZ$212,AG$2,FALSE)</f>
        <v>#N/A</v>
      </c>
      <c r="AH56" s="31" t="e">
        <f>VLOOKUP($D56,Résultats!$B$2:$AZ$212,AH$2,FALSE)</f>
        <v>#N/A</v>
      </c>
      <c r="AI56" s="31" t="e">
        <f>VLOOKUP($D56,Résultats!$B$2:$AZ$212,AI$2,FALSE)</f>
        <v>#N/A</v>
      </c>
      <c r="AJ56" s="31" t="e">
        <f>VLOOKUP($D56,Résultats!$B$2:$AZ$212,AJ$2,FALSE)</f>
        <v>#N/A</v>
      </c>
      <c r="AK56" s="31" t="e">
        <f>VLOOKUP($D56,Résultats!$B$2:$AZ$212,AK$2,FALSE)</f>
        <v>#N/A</v>
      </c>
      <c r="AL56" s="31" t="e">
        <f>VLOOKUP($D56,Résultats!$B$2:$AZ$212,AL$2,FALSE)</f>
        <v>#N/A</v>
      </c>
      <c r="AM56" s="31" t="e">
        <f>VLOOKUP($D56,Résultats!$B$2:$AZ$212,AM$2,FALSE)</f>
        <v>#N/A</v>
      </c>
    </row>
    <row r="57" spans="3:40" x14ac:dyDescent="0.25">
      <c r="C57" s="56" t="s">
        <v>33</v>
      </c>
      <c r="D57" s="78" t="s">
        <v>59</v>
      </c>
      <c r="E57" s="31" t="e">
        <f>VLOOKUP($D57,Résultats!$B$2:$AZ$212,E$2,FALSE)</f>
        <v>#N/A</v>
      </c>
      <c r="F57" s="31" t="e">
        <f>VLOOKUP($D57,Résultats!$B$2:$AZ$212,F$2,FALSE)</f>
        <v>#N/A</v>
      </c>
      <c r="G57" s="31" t="e">
        <f>VLOOKUP($D57,Résultats!$B$2:$AZ$212,G$2,FALSE)</f>
        <v>#N/A</v>
      </c>
      <c r="H57" s="31" t="e">
        <f>VLOOKUP($D57,Résultats!$B$2:$AZ$212,H$2,FALSE)</f>
        <v>#N/A</v>
      </c>
      <c r="I57" s="31" t="e">
        <f>VLOOKUP($D57,Résultats!$B$2:$AZ$212,I$2,FALSE)</f>
        <v>#N/A</v>
      </c>
      <c r="J57" s="31" t="e">
        <f>VLOOKUP($D57,Résultats!$B$2:$AZ$212,J$2,FALSE)</f>
        <v>#N/A</v>
      </c>
      <c r="K57" s="31" t="e">
        <f>VLOOKUP($D57,Résultats!$B$2:$AZ$212,K$2,FALSE)</f>
        <v>#N/A</v>
      </c>
      <c r="L57" s="31" t="e">
        <f>VLOOKUP($D57,Résultats!$B$2:$AZ$212,L$2,FALSE)</f>
        <v>#N/A</v>
      </c>
      <c r="M57" s="31" t="e">
        <f>VLOOKUP($D57,Résultats!$B$2:$AZ$212,M$2,FALSE)</f>
        <v>#N/A</v>
      </c>
      <c r="N57" s="31" t="e">
        <f>VLOOKUP($D57,Résultats!$B$2:$AZ$212,N$2,FALSE)</f>
        <v>#N/A</v>
      </c>
      <c r="O57" s="31" t="e">
        <f>VLOOKUP($D57,Résultats!$B$2:$AZ$212,O$2,FALSE)</f>
        <v>#N/A</v>
      </c>
      <c r="P57" s="31" t="e">
        <f>VLOOKUP($D57,Résultats!$B$2:$AZ$212,P$2,FALSE)</f>
        <v>#N/A</v>
      </c>
      <c r="Q57" s="31" t="e">
        <f>VLOOKUP($D57,Résultats!$B$2:$AZ$212,Q$2,FALSE)</f>
        <v>#N/A</v>
      </c>
      <c r="R57" s="31" t="e">
        <f>VLOOKUP($D57,Résultats!$B$2:$AZ$212,R$2,FALSE)</f>
        <v>#N/A</v>
      </c>
      <c r="S57" s="31" t="e">
        <f>VLOOKUP($D57,Résultats!$B$2:$AZ$212,S$2,FALSE)</f>
        <v>#N/A</v>
      </c>
      <c r="T57" s="31" t="e">
        <f>VLOOKUP($D57,Résultats!$B$2:$AZ$212,T$2,FALSE)</f>
        <v>#N/A</v>
      </c>
      <c r="U57" s="31" t="e">
        <f>VLOOKUP($D57,Résultats!$B$2:$AZ$212,U$2,FALSE)</f>
        <v>#N/A</v>
      </c>
      <c r="V57" s="31" t="e">
        <f>VLOOKUP($D57,Résultats!$B$2:$AZ$212,V$2,FALSE)</f>
        <v>#N/A</v>
      </c>
      <c r="W57" s="31" t="e">
        <f>VLOOKUP($D57,Résultats!$B$2:$AZ$212,W$2,FALSE)</f>
        <v>#N/A</v>
      </c>
      <c r="X57" s="31" t="e">
        <f>VLOOKUP($D57,Résultats!$B$2:$AZ$212,X$2,FALSE)</f>
        <v>#N/A</v>
      </c>
      <c r="Y57" s="31" t="e">
        <f>VLOOKUP($D57,Résultats!$B$2:$AZ$212,Y$2,FALSE)</f>
        <v>#N/A</v>
      </c>
      <c r="Z57" s="31" t="e">
        <f>VLOOKUP($D57,Résultats!$B$2:$AZ$212,Z$2,FALSE)</f>
        <v>#N/A</v>
      </c>
      <c r="AA57" s="31" t="e">
        <f>VLOOKUP($D57,Résultats!$B$2:$AZ$212,AA$2,FALSE)</f>
        <v>#N/A</v>
      </c>
      <c r="AB57" s="31" t="e">
        <f>VLOOKUP($D57,Résultats!$B$2:$AZ$212,AB$2,FALSE)</f>
        <v>#N/A</v>
      </c>
      <c r="AC57" s="31" t="e">
        <f>VLOOKUP($D57,Résultats!$B$2:$AZ$212,AC$2,FALSE)</f>
        <v>#N/A</v>
      </c>
      <c r="AD57" s="31" t="e">
        <f>VLOOKUP($D57,Résultats!$B$2:$AZ$212,AD$2,FALSE)</f>
        <v>#N/A</v>
      </c>
      <c r="AE57" s="31" t="e">
        <f>VLOOKUP($D57,Résultats!$B$2:$AZ$212,AE$2,FALSE)</f>
        <v>#N/A</v>
      </c>
      <c r="AF57" s="31" t="e">
        <f>VLOOKUP($D57,Résultats!$B$2:$AZ$212,AF$2,FALSE)</f>
        <v>#N/A</v>
      </c>
      <c r="AG57" s="31" t="e">
        <f>VLOOKUP($D57,Résultats!$B$2:$AZ$212,AG$2,FALSE)</f>
        <v>#N/A</v>
      </c>
      <c r="AH57" s="31" t="e">
        <f>VLOOKUP($D57,Résultats!$B$2:$AZ$212,AH$2,FALSE)</f>
        <v>#N/A</v>
      </c>
      <c r="AI57" s="31" t="e">
        <f>VLOOKUP($D57,Résultats!$B$2:$AZ$212,AI$2,FALSE)</f>
        <v>#N/A</v>
      </c>
      <c r="AJ57" s="31" t="e">
        <f>VLOOKUP($D57,Résultats!$B$2:$AZ$212,AJ$2,FALSE)</f>
        <v>#N/A</v>
      </c>
      <c r="AK57" s="31" t="e">
        <f>VLOOKUP($D57,Résultats!$B$2:$AZ$212,AK$2,FALSE)</f>
        <v>#N/A</v>
      </c>
      <c r="AL57" s="31" t="e">
        <f>VLOOKUP($D57,Résultats!$B$2:$AZ$212,AL$2,FALSE)</f>
        <v>#N/A</v>
      </c>
      <c r="AM57" s="31" t="e">
        <f>VLOOKUP($D57,Résultats!$B$2:$AZ$212,AM$2,FALSE)</f>
        <v>#N/A</v>
      </c>
    </row>
    <row r="58" spans="3:40" x14ac:dyDescent="0.25">
      <c r="C58" s="88" t="s">
        <v>95</v>
      </c>
      <c r="D58" s="76" t="s">
        <v>61</v>
      </c>
      <c r="E58" s="85" t="e">
        <f>VLOOKUP($D58,Résultats!$B$2:$AZ$212,E$2,FALSE)</f>
        <v>#N/A</v>
      </c>
      <c r="F58" s="85" t="e">
        <f>VLOOKUP($D58,Résultats!$B$2:$AZ$212,F$2,FALSE)</f>
        <v>#N/A</v>
      </c>
      <c r="G58" s="85" t="e">
        <f>VLOOKUP($D58,Résultats!$B$2:$AZ$212,G$2,FALSE)</f>
        <v>#N/A</v>
      </c>
      <c r="H58" s="85" t="e">
        <f>VLOOKUP($D58,Résultats!$B$2:$AZ$212,H$2,FALSE)</f>
        <v>#N/A</v>
      </c>
      <c r="I58" s="85" t="e">
        <f>VLOOKUP($D58,Résultats!$B$2:$AZ$212,I$2,FALSE)</f>
        <v>#N/A</v>
      </c>
      <c r="J58" s="85" t="e">
        <f>VLOOKUP($D58,Résultats!$B$2:$AZ$212,J$2,FALSE)</f>
        <v>#N/A</v>
      </c>
      <c r="K58" s="85" t="e">
        <f>VLOOKUP($D58,Résultats!$B$2:$AZ$212,K$2,FALSE)</f>
        <v>#N/A</v>
      </c>
      <c r="L58" s="85" t="e">
        <f>VLOOKUP($D58,Résultats!$B$2:$AZ$212,L$2,FALSE)</f>
        <v>#N/A</v>
      </c>
      <c r="M58" s="85" t="e">
        <f>VLOOKUP($D58,Résultats!$B$2:$AZ$212,M$2,FALSE)</f>
        <v>#N/A</v>
      </c>
      <c r="N58" s="85" t="e">
        <f>VLOOKUP($D58,Résultats!$B$2:$AZ$212,N$2,FALSE)</f>
        <v>#N/A</v>
      </c>
      <c r="O58" s="85" t="e">
        <f>VLOOKUP($D58,Résultats!$B$2:$AZ$212,O$2,FALSE)</f>
        <v>#N/A</v>
      </c>
      <c r="P58" s="85" t="e">
        <f>VLOOKUP($D58,Résultats!$B$2:$AZ$212,P$2,FALSE)</f>
        <v>#N/A</v>
      </c>
      <c r="Q58" s="85" t="e">
        <f>VLOOKUP($D58,Résultats!$B$2:$AZ$212,Q$2,FALSE)</f>
        <v>#N/A</v>
      </c>
      <c r="R58" s="85" t="e">
        <f>VLOOKUP($D58,Résultats!$B$2:$AZ$212,R$2,FALSE)</f>
        <v>#N/A</v>
      </c>
      <c r="S58" s="85" t="e">
        <f>VLOOKUP($D58,Résultats!$B$2:$AZ$212,S$2,FALSE)</f>
        <v>#N/A</v>
      </c>
      <c r="T58" s="85" t="e">
        <f>VLOOKUP($D58,Résultats!$B$2:$AZ$212,T$2,FALSE)</f>
        <v>#N/A</v>
      </c>
      <c r="U58" s="85" t="e">
        <f>VLOOKUP($D58,Résultats!$B$2:$AZ$212,U$2,FALSE)</f>
        <v>#N/A</v>
      </c>
      <c r="V58" s="85" t="e">
        <f>VLOOKUP($D58,Résultats!$B$2:$AZ$212,V$2,FALSE)</f>
        <v>#N/A</v>
      </c>
      <c r="W58" s="85" t="e">
        <f>VLOOKUP($D58,Résultats!$B$2:$AZ$212,W$2,FALSE)</f>
        <v>#N/A</v>
      </c>
      <c r="X58" s="85" t="e">
        <f>VLOOKUP($D58,Résultats!$B$2:$AZ$212,X$2,FALSE)</f>
        <v>#N/A</v>
      </c>
      <c r="Y58" s="85" t="e">
        <f>VLOOKUP($D58,Résultats!$B$2:$AZ$212,Y$2,FALSE)</f>
        <v>#N/A</v>
      </c>
      <c r="Z58" s="85" t="e">
        <f>VLOOKUP($D58,Résultats!$B$2:$AZ$212,Z$2,FALSE)</f>
        <v>#N/A</v>
      </c>
      <c r="AA58" s="85" t="e">
        <f>VLOOKUP($D58,Résultats!$B$2:$AZ$212,AA$2,FALSE)</f>
        <v>#N/A</v>
      </c>
      <c r="AB58" s="85" t="e">
        <f>VLOOKUP($D58,Résultats!$B$2:$AZ$212,AB$2,FALSE)</f>
        <v>#N/A</v>
      </c>
      <c r="AC58" s="85" t="e">
        <f>VLOOKUP($D58,Résultats!$B$2:$AZ$212,AC$2,FALSE)</f>
        <v>#N/A</v>
      </c>
      <c r="AD58" s="85" t="e">
        <f>VLOOKUP($D58,Résultats!$B$2:$AZ$212,AD$2,FALSE)</f>
        <v>#N/A</v>
      </c>
      <c r="AE58" s="85" t="e">
        <f>VLOOKUP($D58,Résultats!$B$2:$AZ$212,AE$2,FALSE)</f>
        <v>#N/A</v>
      </c>
      <c r="AF58" s="85" t="e">
        <f>VLOOKUP($D58,Résultats!$B$2:$AZ$212,AF$2,FALSE)</f>
        <v>#N/A</v>
      </c>
      <c r="AG58" s="85" t="e">
        <f>VLOOKUP($D58,Résultats!$B$2:$AZ$212,AG$2,FALSE)</f>
        <v>#N/A</v>
      </c>
      <c r="AH58" s="85" t="e">
        <f>VLOOKUP($D58,Résultats!$B$2:$AZ$212,AH$2,FALSE)</f>
        <v>#N/A</v>
      </c>
      <c r="AI58" s="85" t="e">
        <f>VLOOKUP($D58,Résultats!$B$2:$AZ$212,AI$2,FALSE)</f>
        <v>#N/A</v>
      </c>
      <c r="AJ58" s="85" t="e">
        <f>VLOOKUP($D58,Résultats!$B$2:$AZ$212,AJ$2,FALSE)</f>
        <v>#N/A</v>
      </c>
      <c r="AK58" s="85" t="e">
        <f>VLOOKUP($D58,Résultats!$B$2:$AZ$212,AK$2,FALSE)</f>
        <v>#N/A</v>
      </c>
      <c r="AL58" s="85" t="e">
        <f>VLOOKUP($D58,Résultats!$B$2:$AZ$212,AL$2,FALSE)</f>
        <v>#N/A</v>
      </c>
      <c r="AM58" s="85" t="e">
        <f>VLOOKUP($D58,Résultats!$B$2:$AZ$212,AM$2,FALSE)</f>
        <v>#N/A</v>
      </c>
      <c r="AN58" s="21"/>
    </row>
    <row r="59" spans="3:40" x14ac:dyDescent="0.25">
      <c r="C59" s="56" t="s">
        <v>27</v>
      </c>
      <c r="D59" s="78" t="s">
        <v>46</v>
      </c>
      <c r="E59" s="89" t="e">
        <f>VLOOKUP($D59,Résultats!$B$2:$AZ$212,E$2,FALSE)</f>
        <v>#N/A</v>
      </c>
      <c r="F59" s="89" t="e">
        <f>VLOOKUP($D59,Résultats!$B$2:$AZ$212,F$2,FALSE)</f>
        <v>#N/A</v>
      </c>
      <c r="G59" s="89" t="e">
        <f>VLOOKUP($D59,Résultats!$B$2:$AZ$212,G$2,FALSE)</f>
        <v>#N/A</v>
      </c>
      <c r="H59" s="89" t="e">
        <f>VLOOKUP($D59,Résultats!$B$2:$AZ$212,H$2,FALSE)</f>
        <v>#N/A</v>
      </c>
      <c r="I59" s="89" t="e">
        <f>VLOOKUP($D59,Résultats!$B$2:$AZ$212,I$2,FALSE)</f>
        <v>#N/A</v>
      </c>
      <c r="J59" s="89" t="e">
        <f>VLOOKUP($D59,Résultats!$B$2:$AZ$212,J$2,FALSE)</f>
        <v>#N/A</v>
      </c>
      <c r="K59" s="89" t="e">
        <f>VLOOKUP($D59,Résultats!$B$2:$AZ$212,K$2,FALSE)</f>
        <v>#N/A</v>
      </c>
      <c r="L59" s="89" t="e">
        <f>VLOOKUP($D59,Résultats!$B$2:$AZ$212,L$2,FALSE)</f>
        <v>#N/A</v>
      </c>
      <c r="M59" s="89" t="e">
        <f>VLOOKUP($D59,Résultats!$B$2:$AZ$212,M$2,FALSE)</f>
        <v>#N/A</v>
      </c>
      <c r="N59" s="89" t="e">
        <f>VLOOKUP($D59,Résultats!$B$2:$AZ$212,N$2,FALSE)</f>
        <v>#N/A</v>
      </c>
      <c r="O59" s="89" t="e">
        <f>VLOOKUP($D59,Résultats!$B$2:$AZ$212,O$2,FALSE)</f>
        <v>#N/A</v>
      </c>
      <c r="P59" s="89" t="e">
        <f>VLOOKUP($D59,Résultats!$B$2:$AZ$212,P$2,FALSE)</f>
        <v>#N/A</v>
      </c>
      <c r="Q59" s="89" t="e">
        <f>VLOOKUP($D59,Résultats!$B$2:$AZ$212,Q$2,FALSE)</f>
        <v>#N/A</v>
      </c>
      <c r="R59" s="89" t="e">
        <f>VLOOKUP($D59,Résultats!$B$2:$AZ$212,R$2,FALSE)</f>
        <v>#N/A</v>
      </c>
      <c r="S59" s="89" t="e">
        <f>VLOOKUP($D59,Résultats!$B$2:$AZ$212,S$2,FALSE)</f>
        <v>#N/A</v>
      </c>
      <c r="T59" s="89" t="e">
        <f>VLOOKUP($D59,Résultats!$B$2:$AZ$212,T$2,FALSE)</f>
        <v>#N/A</v>
      </c>
      <c r="U59" s="89" t="e">
        <f>VLOOKUP($D59,Résultats!$B$2:$AZ$212,U$2,FALSE)</f>
        <v>#N/A</v>
      </c>
      <c r="V59" s="89" t="e">
        <f>VLOOKUP($D59,Résultats!$B$2:$AZ$212,V$2,FALSE)</f>
        <v>#N/A</v>
      </c>
      <c r="W59" s="89" t="e">
        <f>VLOOKUP($D59,Résultats!$B$2:$AZ$212,W$2,FALSE)</f>
        <v>#N/A</v>
      </c>
      <c r="X59" s="89" t="e">
        <f>VLOOKUP($D59,Résultats!$B$2:$AZ$212,X$2,FALSE)</f>
        <v>#N/A</v>
      </c>
      <c r="Y59" s="89" t="e">
        <f>VLOOKUP($D59,Résultats!$B$2:$AZ$212,Y$2,FALSE)</f>
        <v>#N/A</v>
      </c>
      <c r="Z59" s="89" t="e">
        <f>VLOOKUP($D59,Résultats!$B$2:$AZ$212,Z$2,FALSE)</f>
        <v>#N/A</v>
      </c>
      <c r="AA59" s="89" t="e">
        <f>VLOOKUP($D59,Résultats!$B$2:$AZ$212,AA$2,FALSE)</f>
        <v>#N/A</v>
      </c>
      <c r="AB59" s="89" t="e">
        <f>VLOOKUP($D59,Résultats!$B$2:$AZ$212,AB$2,FALSE)</f>
        <v>#N/A</v>
      </c>
      <c r="AC59" s="89" t="e">
        <f>VLOOKUP($D59,Résultats!$B$2:$AZ$212,AC$2,FALSE)</f>
        <v>#N/A</v>
      </c>
      <c r="AD59" s="89" t="e">
        <f>VLOOKUP($D59,Résultats!$B$2:$AZ$212,AD$2,FALSE)</f>
        <v>#N/A</v>
      </c>
      <c r="AE59" s="89" t="e">
        <f>VLOOKUP($D59,Résultats!$B$2:$AZ$212,AE$2,FALSE)</f>
        <v>#N/A</v>
      </c>
      <c r="AF59" s="89" t="e">
        <f>VLOOKUP($D59,Résultats!$B$2:$AZ$212,AF$2,FALSE)</f>
        <v>#N/A</v>
      </c>
      <c r="AG59" s="89" t="e">
        <f>VLOOKUP($D59,Résultats!$B$2:$AZ$212,AG$2,FALSE)</f>
        <v>#N/A</v>
      </c>
      <c r="AH59" s="89" t="e">
        <f>VLOOKUP($D59,Résultats!$B$2:$AZ$212,AH$2,FALSE)</f>
        <v>#N/A</v>
      </c>
      <c r="AI59" s="89" t="e">
        <f>VLOOKUP($D59,Résultats!$B$2:$AZ$212,AI$2,FALSE)</f>
        <v>#N/A</v>
      </c>
      <c r="AJ59" s="89" t="e">
        <f>VLOOKUP($D59,Résultats!$B$2:$AZ$212,AJ$2,FALSE)</f>
        <v>#N/A</v>
      </c>
      <c r="AK59" s="89" t="e">
        <f>VLOOKUP($D59,Résultats!$B$2:$AZ$212,AK$2,FALSE)</f>
        <v>#N/A</v>
      </c>
      <c r="AL59" s="89" t="e">
        <f>VLOOKUP($D59,Résultats!$B$2:$AZ$212,AL$2,FALSE)</f>
        <v>#N/A</v>
      </c>
      <c r="AM59" s="89" t="e">
        <f>VLOOKUP($D59,Résultats!$B$2:$AZ$212,AM$2,FALSE)</f>
        <v>#N/A</v>
      </c>
    </row>
    <row r="60" spans="3:40" x14ac:dyDescent="0.25">
      <c r="C60" s="56" t="s">
        <v>28</v>
      </c>
      <c r="D60" s="78" t="s">
        <v>47</v>
      </c>
      <c r="E60" s="89" t="e">
        <f>VLOOKUP($D60,Résultats!$B$2:$AZ$212,E$2,FALSE)</f>
        <v>#N/A</v>
      </c>
      <c r="F60" s="89" t="e">
        <f>VLOOKUP($D60,Résultats!$B$2:$AZ$212,F$2,FALSE)</f>
        <v>#N/A</v>
      </c>
      <c r="G60" s="89" t="e">
        <f>VLOOKUP($D60,Résultats!$B$2:$AZ$212,G$2,FALSE)</f>
        <v>#N/A</v>
      </c>
      <c r="H60" s="89" t="e">
        <f>VLOOKUP($D60,Résultats!$B$2:$AZ$212,H$2,FALSE)</f>
        <v>#N/A</v>
      </c>
      <c r="I60" s="89" t="e">
        <f>VLOOKUP($D60,Résultats!$B$2:$AZ$212,I$2,FALSE)</f>
        <v>#N/A</v>
      </c>
      <c r="J60" s="89" t="e">
        <f>VLOOKUP($D60,Résultats!$B$2:$AZ$212,J$2,FALSE)</f>
        <v>#N/A</v>
      </c>
      <c r="K60" s="89" t="e">
        <f>VLOOKUP($D60,Résultats!$B$2:$AZ$212,K$2,FALSE)</f>
        <v>#N/A</v>
      </c>
      <c r="L60" s="89" t="e">
        <f>VLOOKUP($D60,Résultats!$B$2:$AZ$212,L$2,FALSE)</f>
        <v>#N/A</v>
      </c>
      <c r="M60" s="89" t="e">
        <f>VLOOKUP($D60,Résultats!$B$2:$AZ$212,M$2,FALSE)</f>
        <v>#N/A</v>
      </c>
      <c r="N60" s="89" t="e">
        <f>VLOOKUP($D60,Résultats!$B$2:$AZ$212,N$2,FALSE)</f>
        <v>#N/A</v>
      </c>
      <c r="O60" s="89" t="e">
        <f>VLOOKUP($D60,Résultats!$B$2:$AZ$212,O$2,FALSE)</f>
        <v>#N/A</v>
      </c>
      <c r="P60" s="89" t="e">
        <f>VLOOKUP($D60,Résultats!$B$2:$AZ$212,P$2,FALSE)</f>
        <v>#N/A</v>
      </c>
      <c r="Q60" s="89" t="e">
        <f>VLOOKUP($D60,Résultats!$B$2:$AZ$212,Q$2,FALSE)</f>
        <v>#N/A</v>
      </c>
      <c r="R60" s="89" t="e">
        <f>VLOOKUP($D60,Résultats!$B$2:$AZ$212,R$2,FALSE)</f>
        <v>#N/A</v>
      </c>
      <c r="S60" s="89" t="e">
        <f>VLOOKUP($D60,Résultats!$B$2:$AZ$212,S$2,FALSE)</f>
        <v>#N/A</v>
      </c>
      <c r="T60" s="89" t="e">
        <f>VLOOKUP($D60,Résultats!$B$2:$AZ$212,T$2,FALSE)</f>
        <v>#N/A</v>
      </c>
      <c r="U60" s="89" t="e">
        <f>VLOOKUP($D60,Résultats!$B$2:$AZ$212,U$2,FALSE)</f>
        <v>#N/A</v>
      </c>
      <c r="V60" s="89" t="e">
        <f>VLOOKUP($D60,Résultats!$B$2:$AZ$212,V$2,FALSE)</f>
        <v>#N/A</v>
      </c>
      <c r="W60" s="89" t="e">
        <f>VLOOKUP($D60,Résultats!$B$2:$AZ$212,W$2,FALSE)</f>
        <v>#N/A</v>
      </c>
      <c r="X60" s="89" t="e">
        <f>VLOOKUP($D60,Résultats!$B$2:$AZ$212,X$2,FALSE)</f>
        <v>#N/A</v>
      </c>
      <c r="Y60" s="89" t="e">
        <f>VLOOKUP($D60,Résultats!$B$2:$AZ$212,Y$2,FALSE)</f>
        <v>#N/A</v>
      </c>
      <c r="Z60" s="89" t="e">
        <f>VLOOKUP($D60,Résultats!$B$2:$AZ$212,Z$2,FALSE)</f>
        <v>#N/A</v>
      </c>
      <c r="AA60" s="89" t="e">
        <f>VLOOKUP($D60,Résultats!$B$2:$AZ$212,AA$2,FALSE)</f>
        <v>#N/A</v>
      </c>
      <c r="AB60" s="89" t="e">
        <f>VLOOKUP($D60,Résultats!$B$2:$AZ$212,AB$2,FALSE)</f>
        <v>#N/A</v>
      </c>
      <c r="AC60" s="89" t="e">
        <f>VLOOKUP($D60,Résultats!$B$2:$AZ$212,AC$2,FALSE)</f>
        <v>#N/A</v>
      </c>
      <c r="AD60" s="89" t="e">
        <f>VLOOKUP($D60,Résultats!$B$2:$AZ$212,AD$2,FALSE)</f>
        <v>#N/A</v>
      </c>
      <c r="AE60" s="89" t="e">
        <f>VLOOKUP($D60,Résultats!$B$2:$AZ$212,AE$2,FALSE)</f>
        <v>#N/A</v>
      </c>
      <c r="AF60" s="89" t="e">
        <f>VLOOKUP($D60,Résultats!$B$2:$AZ$212,AF$2,FALSE)</f>
        <v>#N/A</v>
      </c>
      <c r="AG60" s="89" t="e">
        <f>VLOOKUP($D60,Résultats!$B$2:$AZ$212,AG$2,FALSE)</f>
        <v>#N/A</v>
      </c>
      <c r="AH60" s="89" t="e">
        <f>VLOOKUP($D60,Résultats!$B$2:$AZ$212,AH$2,FALSE)</f>
        <v>#N/A</v>
      </c>
      <c r="AI60" s="89" t="e">
        <f>VLOOKUP($D60,Résultats!$B$2:$AZ$212,AI$2,FALSE)</f>
        <v>#N/A</v>
      </c>
      <c r="AJ60" s="89" t="e">
        <f>VLOOKUP($D60,Résultats!$B$2:$AZ$212,AJ$2,FALSE)</f>
        <v>#N/A</v>
      </c>
      <c r="AK60" s="89" t="e">
        <f>VLOOKUP($D60,Résultats!$B$2:$AZ$212,AK$2,FALSE)</f>
        <v>#N/A</v>
      </c>
      <c r="AL60" s="89" t="e">
        <f>VLOOKUP($D60,Résultats!$B$2:$AZ$212,AL$2,FALSE)</f>
        <v>#N/A</v>
      </c>
      <c r="AM60" s="89" t="e">
        <f>VLOOKUP($D60,Résultats!$B$2:$AZ$212,AM$2,FALSE)</f>
        <v>#N/A</v>
      </c>
    </row>
    <row r="61" spans="3:40" x14ac:dyDescent="0.25">
      <c r="C61" s="56" t="s">
        <v>29</v>
      </c>
      <c r="D61" s="78" t="s">
        <v>48</v>
      </c>
      <c r="E61" s="89" t="e">
        <f>VLOOKUP($D61,Résultats!$B$2:$AZ$212,E$2,FALSE)</f>
        <v>#N/A</v>
      </c>
      <c r="F61" s="89" t="e">
        <f>VLOOKUP($D61,Résultats!$B$2:$AZ$212,F$2,FALSE)</f>
        <v>#N/A</v>
      </c>
      <c r="G61" s="89" t="e">
        <f>VLOOKUP($D61,Résultats!$B$2:$AZ$212,G$2,FALSE)</f>
        <v>#N/A</v>
      </c>
      <c r="H61" s="89" t="e">
        <f>VLOOKUP($D61,Résultats!$B$2:$AZ$212,H$2,FALSE)</f>
        <v>#N/A</v>
      </c>
      <c r="I61" s="89" t="e">
        <f>VLOOKUP($D61,Résultats!$B$2:$AZ$212,I$2,FALSE)</f>
        <v>#N/A</v>
      </c>
      <c r="J61" s="89" t="e">
        <f>VLOOKUP($D61,Résultats!$B$2:$AZ$212,J$2,FALSE)</f>
        <v>#N/A</v>
      </c>
      <c r="K61" s="89" t="e">
        <f>VLOOKUP($D61,Résultats!$B$2:$AZ$212,K$2,FALSE)</f>
        <v>#N/A</v>
      </c>
      <c r="L61" s="89" t="e">
        <f>VLOOKUP($D61,Résultats!$B$2:$AZ$212,L$2,FALSE)</f>
        <v>#N/A</v>
      </c>
      <c r="M61" s="89" t="e">
        <f>VLOOKUP($D61,Résultats!$B$2:$AZ$212,M$2,FALSE)</f>
        <v>#N/A</v>
      </c>
      <c r="N61" s="89" t="e">
        <f>VLOOKUP($D61,Résultats!$B$2:$AZ$212,N$2,FALSE)</f>
        <v>#N/A</v>
      </c>
      <c r="O61" s="89" t="e">
        <f>VLOOKUP($D61,Résultats!$B$2:$AZ$212,O$2,FALSE)</f>
        <v>#N/A</v>
      </c>
      <c r="P61" s="89" t="e">
        <f>VLOOKUP($D61,Résultats!$B$2:$AZ$212,P$2,FALSE)</f>
        <v>#N/A</v>
      </c>
      <c r="Q61" s="89" t="e">
        <f>VLOOKUP($D61,Résultats!$B$2:$AZ$212,Q$2,FALSE)</f>
        <v>#N/A</v>
      </c>
      <c r="R61" s="89" t="e">
        <f>VLOOKUP($D61,Résultats!$B$2:$AZ$212,R$2,FALSE)</f>
        <v>#N/A</v>
      </c>
      <c r="S61" s="89" t="e">
        <f>VLOOKUP($D61,Résultats!$B$2:$AZ$212,S$2,FALSE)</f>
        <v>#N/A</v>
      </c>
      <c r="T61" s="89" t="e">
        <f>VLOOKUP($D61,Résultats!$B$2:$AZ$212,T$2,FALSE)</f>
        <v>#N/A</v>
      </c>
      <c r="U61" s="89" t="e">
        <f>VLOOKUP($D61,Résultats!$B$2:$AZ$212,U$2,FALSE)</f>
        <v>#N/A</v>
      </c>
      <c r="V61" s="89" t="e">
        <f>VLOOKUP($D61,Résultats!$B$2:$AZ$212,V$2,FALSE)</f>
        <v>#N/A</v>
      </c>
      <c r="W61" s="89" t="e">
        <f>VLOOKUP($D61,Résultats!$B$2:$AZ$212,W$2,FALSE)</f>
        <v>#N/A</v>
      </c>
      <c r="X61" s="89" t="e">
        <f>VLOOKUP($D61,Résultats!$B$2:$AZ$212,X$2,FALSE)</f>
        <v>#N/A</v>
      </c>
      <c r="Y61" s="89" t="e">
        <f>VLOOKUP($D61,Résultats!$B$2:$AZ$212,Y$2,FALSE)</f>
        <v>#N/A</v>
      </c>
      <c r="Z61" s="89" t="e">
        <f>VLOOKUP($D61,Résultats!$B$2:$AZ$212,Z$2,FALSE)</f>
        <v>#N/A</v>
      </c>
      <c r="AA61" s="89" t="e">
        <f>VLOOKUP($D61,Résultats!$B$2:$AZ$212,AA$2,FALSE)</f>
        <v>#N/A</v>
      </c>
      <c r="AB61" s="89" t="e">
        <f>VLOOKUP($D61,Résultats!$B$2:$AZ$212,AB$2,FALSE)</f>
        <v>#N/A</v>
      </c>
      <c r="AC61" s="89" t="e">
        <f>VLOOKUP($D61,Résultats!$B$2:$AZ$212,AC$2,FALSE)</f>
        <v>#N/A</v>
      </c>
      <c r="AD61" s="89" t="e">
        <f>VLOOKUP($D61,Résultats!$B$2:$AZ$212,AD$2,FALSE)</f>
        <v>#N/A</v>
      </c>
      <c r="AE61" s="89" t="e">
        <f>VLOOKUP($D61,Résultats!$B$2:$AZ$212,AE$2,FALSE)</f>
        <v>#N/A</v>
      </c>
      <c r="AF61" s="89" t="e">
        <f>VLOOKUP($D61,Résultats!$B$2:$AZ$212,AF$2,FALSE)</f>
        <v>#N/A</v>
      </c>
      <c r="AG61" s="89" t="e">
        <f>VLOOKUP($D61,Résultats!$B$2:$AZ$212,AG$2,FALSE)</f>
        <v>#N/A</v>
      </c>
      <c r="AH61" s="89" t="e">
        <f>VLOOKUP($D61,Résultats!$B$2:$AZ$212,AH$2,FALSE)</f>
        <v>#N/A</v>
      </c>
      <c r="AI61" s="89" t="e">
        <f>VLOOKUP($D61,Résultats!$B$2:$AZ$212,AI$2,FALSE)</f>
        <v>#N/A</v>
      </c>
      <c r="AJ61" s="89" t="e">
        <f>VLOOKUP($D61,Résultats!$B$2:$AZ$212,AJ$2,FALSE)</f>
        <v>#N/A</v>
      </c>
      <c r="AK61" s="89" t="e">
        <f>VLOOKUP($D61,Résultats!$B$2:$AZ$212,AK$2,FALSE)</f>
        <v>#N/A</v>
      </c>
      <c r="AL61" s="89" t="e">
        <f>VLOOKUP($D61,Résultats!$B$2:$AZ$212,AL$2,FALSE)</f>
        <v>#N/A</v>
      </c>
      <c r="AM61" s="89" t="e">
        <f>VLOOKUP($D61,Résultats!$B$2:$AZ$212,AM$2,FALSE)</f>
        <v>#N/A</v>
      </c>
    </row>
    <row r="62" spans="3:40" x14ac:dyDescent="0.25">
      <c r="C62" s="56" t="s">
        <v>30</v>
      </c>
      <c r="D62" s="78" t="s">
        <v>49</v>
      </c>
      <c r="E62" s="89" t="e">
        <f>VLOOKUP($D62,Résultats!$B$2:$AZ$212,E$2,FALSE)</f>
        <v>#N/A</v>
      </c>
      <c r="F62" s="89" t="e">
        <f>VLOOKUP($D62,Résultats!$B$2:$AZ$212,F$2,FALSE)</f>
        <v>#N/A</v>
      </c>
      <c r="G62" s="89" t="e">
        <f>VLOOKUP($D62,Résultats!$B$2:$AZ$212,G$2,FALSE)</f>
        <v>#N/A</v>
      </c>
      <c r="H62" s="89" t="e">
        <f>VLOOKUP($D62,Résultats!$B$2:$AZ$212,H$2,FALSE)</f>
        <v>#N/A</v>
      </c>
      <c r="I62" s="89" t="e">
        <f>VLOOKUP($D62,Résultats!$B$2:$AZ$212,I$2,FALSE)</f>
        <v>#N/A</v>
      </c>
      <c r="J62" s="89" t="e">
        <f>VLOOKUP($D62,Résultats!$B$2:$AZ$212,J$2,FALSE)</f>
        <v>#N/A</v>
      </c>
      <c r="K62" s="89" t="e">
        <f>VLOOKUP($D62,Résultats!$B$2:$AZ$212,K$2,FALSE)</f>
        <v>#N/A</v>
      </c>
      <c r="L62" s="89" t="e">
        <f>VLOOKUP($D62,Résultats!$B$2:$AZ$212,L$2,FALSE)</f>
        <v>#N/A</v>
      </c>
      <c r="M62" s="89" t="e">
        <f>VLOOKUP($D62,Résultats!$B$2:$AZ$212,M$2,FALSE)</f>
        <v>#N/A</v>
      </c>
      <c r="N62" s="89" t="e">
        <f>VLOOKUP($D62,Résultats!$B$2:$AZ$212,N$2,FALSE)</f>
        <v>#N/A</v>
      </c>
      <c r="O62" s="89" t="e">
        <f>VLOOKUP($D62,Résultats!$B$2:$AZ$212,O$2,FALSE)</f>
        <v>#N/A</v>
      </c>
      <c r="P62" s="89" t="e">
        <f>VLOOKUP($D62,Résultats!$B$2:$AZ$212,P$2,FALSE)</f>
        <v>#N/A</v>
      </c>
      <c r="Q62" s="89" t="e">
        <f>VLOOKUP($D62,Résultats!$B$2:$AZ$212,Q$2,FALSE)</f>
        <v>#N/A</v>
      </c>
      <c r="R62" s="89" t="e">
        <f>VLOOKUP($D62,Résultats!$B$2:$AZ$212,R$2,FALSE)</f>
        <v>#N/A</v>
      </c>
      <c r="S62" s="89" t="e">
        <f>VLOOKUP($D62,Résultats!$B$2:$AZ$212,S$2,FALSE)</f>
        <v>#N/A</v>
      </c>
      <c r="T62" s="89" t="e">
        <f>VLOOKUP($D62,Résultats!$B$2:$AZ$212,T$2,FALSE)</f>
        <v>#N/A</v>
      </c>
      <c r="U62" s="89" t="e">
        <f>VLOOKUP($D62,Résultats!$B$2:$AZ$212,U$2,FALSE)</f>
        <v>#N/A</v>
      </c>
      <c r="V62" s="89" t="e">
        <f>VLOOKUP($D62,Résultats!$B$2:$AZ$212,V$2,FALSE)</f>
        <v>#N/A</v>
      </c>
      <c r="W62" s="89" t="e">
        <f>VLOOKUP($D62,Résultats!$B$2:$AZ$212,W$2,FALSE)</f>
        <v>#N/A</v>
      </c>
      <c r="X62" s="89" t="e">
        <f>VLOOKUP($D62,Résultats!$B$2:$AZ$212,X$2,FALSE)</f>
        <v>#N/A</v>
      </c>
      <c r="Y62" s="89" t="e">
        <f>VLOOKUP($D62,Résultats!$B$2:$AZ$212,Y$2,FALSE)</f>
        <v>#N/A</v>
      </c>
      <c r="Z62" s="89" t="e">
        <f>VLOOKUP($D62,Résultats!$B$2:$AZ$212,Z$2,FALSE)</f>
        <v>#N/A</v>
      </c>
      <c r="AA62" s="89" t="e">
        <f>VLOOKUP($D62,Résultats!$B$2:$AZ$212,AA$2,FALSE)</f>
        <v>#N/A</v>
      </c>
      <c r="AB62" s="89" t="e">
        <f>VLOOKUP($D62,Résultats!$B$2:$AZ$212,AB$2,FALSE)</f>
        <v>#N/A</v>
      </c>
      <c r="AC62" s="89" t="e">
        <f>VLOOKUP($D62,Résultats!$B$2:$AZ$212,AC$2,FALSE)</f>
        <v>#N/A</v>
      </c>
      <c r="AD62" s="89" t="e">
        <f>VLOOKUP($D62,Résultats!$B$2:$AZ$212,AD$2,FALSE)</f>
        <v>#N/A</v>
      </c>
      <c r="AE62" s="89" t="e">
        <f>VLOOKUP($D62,Résultats!$B$2:$AZ$212,AE$2,FALSE)</f>
        <v>#N/A</v>
      </c>
      <c r="AF62" s="89" t="e">
        <f>VLOOKUP($D62,Résultats!$B$2:$AZ$212,AF$2,FALSE)</f>
        <v>#N/A</v>
      </c>
      <c r="AG62" s="89" t="e">
        <f>VLOOKUP($D62,Résultats!$B$2:$AZ$212,AG$2,FALSE)</f>
        <v>#N/A</v>
      </c>
      <c r="AH62" s="89" t="e">
        <f>VLOOKUP($D62,Résultats!$B$2:$AZ$212,AH$2,FALSE)</f>
        <v>#N/A</v>
      </c>
      <c r="AI62" s="89" t="e">
        <f>VLOOKUP($D62,Résultats!$B$2:$AZ$212,AI$2,FALSE)</f>
        <v>#N/A</v>
      </c>
      <c r="AJ62" s="89" t="e">
        <f>VLOOKUP($D62,Résultats!$B$2:$AZ$212,AJ$2,FALSE)</f>
        <v>#N/A</v>
      </c>
      <c r="AK62" s="89" t="e">
        <f>VLOOKUP($D62,Résultats!$B$2:$AZ$212,AK$2,FALSE)</f>
        <v>#N/A</v>
      </c>
      <c r="AL62" s="89" t="e">
        <f>VLOOKUP($D62,Résultats!$B$2:$AZ$212,AL$2,FALSE)</f>
        <v>#N/A</v>
      </c>
      <c r="AM62" s="89" t="e">
        <f>VLOOKUP($D62,Résultats!$B$2:$AZ$212,AM$2,FALSE)</f>
        <v>#N/A</v>
      </c>
    </row>
    <row r="63" spans="3:40" x14ac:dyDescent="0.25">
      <c r="C63" s="56" t="s">
        <v>31</v>
      </c>
      <c r="D63" s="78" t="s">
        <v>50</v>
      </c>
      <c r="E63" s="89" t="e">
        <f>VLOOKUP($D63,Résultats!$B$2:$AZ$212,E$2,FALSE)</f>
        <v>#N/A</v>
      </c>
      <c r="F63" s="89" t="e">
        <f>VLOOKUP($D63,Résultats!$B$2:$AZ$212,F$2,FALSE)</f>
        <v>#N/A</v>
      </c>
      <c r="G63" s="89" t="e">
        <f>VLOOKUP($D63,Résultats!$B$2:$AZ$212,G$2,FALSE)</f>
        <v>#N/A</v>
      </c>
      <c r="H63" s="89" t="e">
        <f>VLOOKUP($D63,Résultats!$B$2:$AZ$212,H$2,FALSE)</f>
        <v>#N/A</v>
      </c>
      <c r="I63" s="89" t="e">
        <f>VLOOKUP($D63,Résultats!$B$2:$AZ$212,I$2,FALSE)</f>
        <v>#N/A</v>
      </c>
      <c r="J63" s="89" t="e">
        <f>VLOOKUP($D63,Résultats!$B$2:$AZ$212,J$2,FALSE)</f>
        <v>#N/A</v>
      </c>
      <c r="K63" s="89" t="e">
        <f>VLOOKUP($D63,Résultats!$B$2:$AZ$212,K$2,FALSE)</f>
        <v>#N/A</v>
      </c>
      <c r="L63" s="89" t="e">
        <f>VLOOKUP($D63,Résultats!$B$2:$AZ$212,L$2,FALSE)</f>
        <v>#N/A</v>
      </c>
      <c r="M63" s="89" t="e">
        <f>VLOOKUP($D63,Résultats!$B$2:$AZ$212,M$2,FALSE)</f>
        <v>#N/A</v>
      </c>
      <c r="N63" s="89" t="e">
        <f>VLOOKUP($D63,Résultats!$B$2:$AZ$212,N$2,FALSE)</f>
        <v>#N/A</v>
      </c>
      <c r="O63" s="89" t="e">
        <f>VLOOKUP($D63,Résultats!$B$2:$AZ$212,O$2,FALSE)</f>
        <v>#N/A</v>
      </c>
      <c r="P63" s="89" t="e">
        <f>VLOOKUP($D63,Résultats!$B$2:$AZ$212,P$2,FALSE)</f>
        <v>#N/A</v>
      </c>
      <c r="Q63" s="89" t="e">
        <f>VLOOKUP($D63,Résultats!$B$2:$AZ$212,Q$2,FALSE)</f>
        <v>#N/A</v>
      </c>
      <c r="R63" s="89" t="e">
        <f>VLOOKUP($D63,Résultats!$B$2:$AZ$212,R$2,FALSE)</f>
        <v>#N/A</v>
      </c>
      <c r="S63" s="89" t="e">
        <f>VLOOKUP($D63,Résultats!$B$2:$AZ$212,S$2,FALSE)</f>
        <v>#N/A</v>
      </c>
      <c r="T63" s="89" t="e">
        <f>VLOOKUP($D63,Résultats!$B$2:$AZ$212,T$2,FALSE)</f>
        <v>#N/A</v>
      </c>
      <c r="U63" s="89" t="e">
        <f>VLOOKUP($D63,Résultats!$B$2:$AZ$212,U$2,FALSE)</f>
        <v>#N/A</v>
      </c>
      <c r="V63" s="89" t="e">
        <f>VLOOKUP($D63,Résultats!$B$2:$AZ$212,V$2,FALSE)</f>
        <v>#N/A</v>
      </c>
      <c r="W63" s="89" t="e">
        <f>VLOOKUP($D63,Résultats!$B$2:$AZ$212,W$2,FALSE)</f>
        <v>#N/A</v>
      </c>
      <c r="X63" s="89" t="e">
        <f>VLOOKUP($D63,Résultats!$B$2:$AZ$212,X$2,FALSE)</f>
        <v>#N/A</v>
      </c>
      <c r="Y63" s="89" t="e">
        <f>VLOOKUP($D63,Résultats!$B$2:$AZ$212,Y$2,FALSE)</f>
        <v>#N/A</v>
      </c>
      <c r="Z63" s="89" t="e">
        <f>VLOOKUP($D63,Résultats!$B$2:$AZ$212,Z$2,FALSE)</f>
        <v>#N/A</v>
      </c>
      <c r="AA63" s="89" t="e">
        <f>VLOOKUP($D63,Résultats!$B$2:$AZ$212,AA$2,FALSE)</f>
        <v>#N/A</v>
      </c>
      <c r="AB63" s="89" t="e">
        <f>VLOOKUP($D63,Résultats!$B$2:$AZ$212,AB$2,FALSE)</f>
        <v>#N/A</v>
      </c>
      <c r="AC63" s="89" t="e">
        <f>VLOOKUP($D63,Résultats!$B$2:$AZ$212,AC$2,FALSE)</f>
        <v>#N/A</v>
      </c>
      <c r="AD63" s="89" t="e">
        <f>VLOOKUP($D63,Résultats!$B$2:$AZ$212,AD$2,FALSE)</f>
        <v>#N/A</v>
      </c>
      <c r="AE63" s="89" t="e">
        <f>VLOOKUP($D63,Résultats!$B$2:$AZ$212,AE$2,FALSE)</f>
        <v>#N/A</v>
      </c>
      <c r="AF63" s="89" t="e">
        <f>VLOOKUP($D63,Résultats!$B$2:$AZ$212,AF$2,FALSE)</f>
        <v>#N/A</v>
      </c>
      <c r="AG63" s="89" t="e">
        <f>VLOOKUP($D63,Résultats!$B$2:$AZ$212,AG$2,FALSE)</f>
        <v>#N/A</v>
      </c>
      <c r="AH63" s="89" t="e">
        <f>VLOOKUP($D63,Résultats!$B$2:$AZ$212,AH$2,FALSE)</f>
        <v>#N/A</v>
      </c>
      <c r="AI63" s="89" t="e">
        <f>VLOOKUP($D63,Résultats!$B$2:$AZ$212,AI$2,FALSE)</f>
        <v>#N/A</v>
      </c>
      <c r="AJ63" s="89" t="e">
        <f>VLOOKUP($D63,Résultats!$B$2:$AZ$212,AJ$2,FALSE)</f>
        <v>#N/A</v>
      </c>
      <c r="AK63" s="89" t="e">
        <f>VLOOKUP($D63,Résultats!$B$2:$AZ$212,AK$2,FALSE)</f>
        <v>#N/A</v>
      </c>
      <c r="AL63" s="89" t="e">
        <f>VLOOKUP($D63,Résultats!$B$2:$AZ$212,AL$2,FALSE)</f>
        <v>#N/A</v>
      </c>
      <c r="AM63" s="89" t="e">
        <f>VLOOKUP($D63,Résultats!$B$2:$AZ$212,AM$2,FALSE)</f>
        <v>#N/A</v>
      </c>
    </row>
    <row r="64" spans="3:40" x14ac:dyDescent="0.25">
      <c r="C64" s="56" t="s">
        <v>32</v>
      </c>
      <c r="D64" s="78" t="s">
        <v>51</v>
      </c>
      <c r="E64" s="89" t="e">
        <f>VLOOKUP($D64,Résultats!$B$2:$AZ$212,E$2,FALSE)</f>
        <v>#N/A</v>
      </c>
      <c r="F64" s="89" t="e">
        <f>VLOOKUP($D64,Résultats!$B$2:$AZ$212,F$2,FALSE)</f>
        <v>#N/A</v>
      </c>
      <c r="G64" s="89" t="e">
        <f>VLOOKUP($D64,Résultats!$B$2:$AZ$212,G$2,FALSE)</f>
        <v>#N/A</v>
      </c>
      <c r="H64" s="89" t="e">
        <f>VLOOKUP($D64,Résultats!$B$2:$AZ$212,H$2,FALSE)</f>
        <v>#N/A</v>
      </c>
      <c r="I64" s="89" t="e">
        <f>VLOOKUP($D64,Résultats!$B$2:$AZ$212,I$2,FALSE)</f>
        <v>#N/A</v>
      </c>
      <c r="J64" s="89" t="e">
        <f>VLOOKUP($D64,Résultats!$B$2:$AZ$212,J$2,FALSE)</f>
        <v>#N/A</v>
      </c>
      <c r="K64" s="89" t="e">
        <f>VLOOKUP($D64,Résultats!$B$2:$AZ$212,K$2,FALSE)</f>
        <v>#N/A</v>
      </c>
      <c r="L64" s="89" t="e">
        <f>VLOOKUP($D64,Résultats!$B$2:$AZ$212,L$2,FALSE)</f>
        <v>#N/A</v>
      </c>
      <c r="M64" s="89" t="e">
        <f>VLOOKUP($D64,Résultats!$B$2:$AZ$212,M$2,FALSE)</f>
        <v>#N/A</v>
      </c>
      <c r="N64" s="89" t="e">
        <f>VLOOKUP($D64,Résultats!$B$2:$AZ$212,N$2,FALSE)</f>
        <v>#N/A</v>
      </c>
      <c r="O64" s="89" t="e">
        <f>VLOOKUP($D64,Résultats!$B$2:$AZ$212,O$2,FALSE)</f>
        <v>#N/A</v>
      </c>
      <c r="P64" s="89" t="e">
        <f>VLOOKUP($D64,Résultats!$B$2:$AZ$212,P$2,FALSE)</f>
        <v>#N/A</v>
      </c>
      <c r="Q64" s="89" t="e">
        <f>VLOOKUP($D64,Résultats!$B$2:$AZ$212,Q$2,FALSE)</f>
        <v>#N/A</v>
      </c>
      <c r="R64" s="89" t="e">
        <f>VLOOKUP($D64,Résultats!$B$2:$AZ$212,R$2,FALSE)</f>
        <v>#N/A</v>
      </c>
      <c r="S64" s="89" t="e">
        <f>VLOOKUP($D64,Résultats!$B$2:$AZ$212,S$2,FALSE)</f>
        <v>#N/A</v>
      </c>
      <c r="T64" s="89" t="e">
        <f>VLOOKUP($D64,Résultats!$B$2:$AZ$212,T$2,FALSE)</f>
        <v>#N/A</v>
      </c>
      <c r="U64" s="89" t="e">
        <f>VLOOKUP($D64,Résultats!$B$2:$AZ$212,U$2,FALSE)</f>
        <v>#N/A</v>
      </c>
      <c r="V64" s="89" t="e">
        <f>VLOOKUP($D64,Résultats!$B$2:$AZ$212,V$2,FALSE)</f>
        <v>#N/A</v>
      </c>
      <c r="W64" s="89" t="e">
        <f>VLOOKUP($D64,Résultats!$B$2:$AZ$212,W$2,FALSE)</f>
        <v>#N/A</v>
      </c>
      <c r="X64" s="89" t="e">
        <f>VLOOKUP($D64,Résultats!$B$2:$AZ$212,X$2,FALSE)</f>
        <v>#N/A</v>
      </c>
      <c r="Y64" s="89" t="e">
        <f>VLOOKUP($D64,Résultats!$B$2:$AZ$212,Y$2,FALSE)</f>
        <v>#N/A</v>
      </c>
      <c r="Z64" s="89" t="e">
        <f>VLOOKUP($D64,Résultats!$B$2:$AZ$212,Z$2,FALSE)</f>
        <v>#N/A</v>
      </c>
      <c r="AA64" s="89" t="e">
        <f>VLOOKUP($D64,Résultats!$B$2:$AZ$212,AA$2,FALSE)</f>
        <v>#N/A</v>
      </c>
      <c r="AB64" s="89" t="e">
        <f>VLOOKUP($D64,Résultats!$B$2:$AZ$212,AB$2,FALSE)</f>
        <v>#N/A</v>
      </c>
      <c r="AC64" s="89" t="e">
        <f>VLOOKUP($D64,Résultats!$B$2:$AZ$212,AC$2,FALSE)</f>
        <v>#N/A</v>
      </c>
      <c r="AD64" s="89" t="e">
        <f>VLOOKUP($D64,Résultats!$B$2:$AZ$212,AD$2,FALSE)</f>
        <v>#N/A</v>
      </c>
      <c r="AE64" s="89" t="e">
        <f>VLOOKUP($D64,Résultats!$B$2:$AZ$212,AE$2,FALSE)</f>
        <v>#N/A</v>
      </c>
      <c r="AF64" s="89" t="e">
        <f>VLOOKUP($D64,Résultats!$B$2:$AZ$212,AF$2,FALSE)</f>
        <v>#N/A</v>
      </c>
      <c r="AG64" s="89" t="e">
        <f>VLOOKUP($D64,Résultats!$B$2:$AZ$212,AG$2,FALSE)</f>
        <v>#N/A</v>
      </c>
      <c r="AH64" s="89" t="e">
        <f>VLOOKUP($D64,Résultats!$B$2:$AZ$212,AH$2,FALSE)</f>
        <v>#N/A</v>
      </c>
      <c r="AI64" s="89" t="e">
        <f>VLOOKUP($D64,Résultats!$B$2:$AZ$212,AI$2,FALSE)</f>
        <v>#N/A</v>
      </c>
      <c r="AJ64" s="89" t="e">
        <f>VLOOKUP($D64,Résultats!$B$2:$AZ$212,AJ$2,FALSE)</f>
        <v>#N/A</v>
      </c>
      <c r="AK64" s="89" t="e">
        <f>VLOOKUP($D64,Résultats!$B$2:$AZ$212,AK$2,FALSE)</f>
        <v>#N/A</v>
      </c>
      <c r="AL64" s="89" t="e">
        <f>VLOOKUP($D64,Résultats!$B$2:$AZ$212,AL$2,FALSE)</f>
        <v>#N/A</v>
      </c>
      <c r="AM64" s="89" t="e">
        <f>VLOOKUP($D64,Résultats!$B$2:$AZ$212,AM$2,FALSE)</f>
        <v>#N/A</v>
      </c>
    </row>
    <row r="65" spans="2:39" x14ac:dyDescent="0.25">
      <c r="C65" s="56" t="s">
        <v>33</v>
      </c>
      <c r="D65" s="78" t="s">
        <v>52</v>
      </c>
      <c r="E65" s="89" t="e">
        <f>VLOOKUP($D65,Résultats!$B$2:$AZ$212,E$2,FALSE)</f>
        <v>#N/A</v>
      </c>
      <c r="F65" s="89" t="e">
        <f>VLOOKUP($D65,Résultats!$B$2:$AZ$212,F$2,FALSE)</f>
        <v>#N/A</v>
      </c>
      <c r="G65" s="89" t="e">
        <f>VLOOKUP($D65,Résultats!$B$2:$AZ$212,G$2,FALSE)</f>
        <v>#N/A</v>
      </c>
      <c r="H65" s="89" t="e">
        <f>VLOOKUP($D65,Résultats!$B$2:$AZ$212,H$2,FALSE)</f>
        <v>#N/A</v>
      </c>
      <c r="I65" s="89" t="e">
        <f>VLOOKUP($D65,Résultats!$B$2:$AZ$212,I$2,FALSE)</f>
        <v>#N/A</v>
      </c>
      <c r="J65" s="89" t="e">
        <f>VLOOKUP($D65,Résultats!$B$2:$AZ$212,J$2,FALSE)</f>
        <v>#N/A</v>
      </c>
      <c r="K65" s="89" t="e">
        <f>VLOOKUP($D65,Résultats!$B$2:$AZ$212,K$2,FALSE)</f>
        <v>#N/A</v>
      </c>
      <c r="L65" s="89" t="e">
        <f>VLOOKUP($D65,Résultats!$B$2:$AZ$212,L$2,FALSE)</f>
        <v>#N/A</v>
      </c>
      <c r="M65" s="89" t="e">
        <f>VLOOKUP($D65,Résultats!$B$2:$AZ$212,M$2,FALSE)</f>
        <v>#N/A</v>
      </c>
      <c r="N65" s="89" t="e">
        <f>VLOOKUP($D65,Résultats!$B$2:$AZ$212,N$2,FALSE)</f>
        <v>#N/A</v>
      </c>
      <c r="O65" s="89" t="e">
        <f>VLOOKUP($D65,Résultats!$B$2:$AZ$212,O$2,FALSE)</f>
        <v>#N/A</v>
      </c>
      <c r="P65" s="89" t="e">
        <f>VLOOKUP($D65,Résultats!$B$2:$AZ$212,P$2,FALSE)</f>
        <v>#N/A</v>
      </c>
      <c r="Q65" s="89" t="e">
        <f>VLOOKUP($D65,Résultats!$B$2:$AZ$212,Q$2,FALSE)</f>
        <v>#N/A</v>
      </c>
      <c r="R65" s="89" t="e">
        <f>VLOOKUP($D65,Résultats!$B$2:$AZ$212,R$2,FALSE)</f>
        <v>#N/A</v>
      </c>
      <c r="S65" s="89" t="e">
        <f>VLOOKUP($D65,Résultats!$B$2:$AZ$212,S$2,FALSE)</f>
        <v>#N/A</v>
      </c>
      <c r="T65" s="89" t="e">
        <f>VLOOKUP($D65,Résultats!$B$2:$AZ$212,T$2,FALSE)</f>
        <v>#N/A</v>
      </c>
      <c r="U65" s="89" t="e">
        <f>VLOOKUP($D65,Résultats!$B$2:$AZ$212,U$2,FALSE)</f>
        <v>#N/A</v>
      </c>
      <c r="V65" s="89" t="e">
        <f>VLOOKUP($D65,Résultats!$B$2:$AZ$212,V$2,FALSE)</f>
        <v>#N/A</v>
      </c>
      <c r="W65" s="89" t="e">
        <f>VLOOKUP($D65,Résultats!$B$2:$AZ$212,W$2,FALSE)</f>
        <v>#N/A</v>
      </c>
      <c r="X65" s="89" t="e">
        <f>VLOOKUP($D65,Résultats!$B$2:$AZ$212,X$2,FALSE)</f>
        <v>#N/A</v>
      </c>
      <c r="Y65" s="89" t="e">
        <f>VLOOKUP($D65,Résultats!$B$2:$AZ$212,Y$2,FALSE)</f>
        <v>#N/A</v>
      </c>
      <c r="Z65" s="89" t="e">
        <f>VLOOKUP($D65,Résultats!$B$2:$AZ$212,Z$2,FALSE)</f>
        <v>#N/A</v>
      </c>
      <c r="AA65" s="89" t="e">
        <f>VLOOKUP($D65,Résultats!$B$2:$AZ$212,AA$2,FALSE)</f>
        <v>#N/A</v>
      </c>
      <c r="AB65" s="89" t="e">
        <f>VLOOKUP($D65,Résultats!$B$2:$AZ$212,AB$2,FALSE)</f>
        <v>#N/A</v>
      </c>
      <c r="AC65" s="89" t="e">
        <f>VLOOKUP($D65,Résultats!$B$2:$AZ$212,AC$2,FALSE)</f>
        <v>#N/A</v>
      </c>
      <c r="AD65" s="89" t="e">
        <f>VLOOKUP($D65,Résultats!$B$2:$AZ$212,AD$2,FALSE)</f>
        <v>#N/A</v>
      </c>
      <c r="AE65" s="89" t="e">
        <f>VLOOKUP($D65,Résultats!$B$2:$AZ$212,AE$2,FALSE)</f>
        <v>#N/A</v>
      </c>
      <c r="AF65" s="89" t="e">
        <f>VLOOKUP($D65,Résultats!$B$2:$AZ$212,AF$2,FALSE)</f>
        <v>#N/A</v>
      </c>
      <c r="AG65" s="89" t="e">
        <f>VLOOKUP($D65,Résultats!$B$2:$AZ$212,AG$2,FALSE)</f>
        <v>#N/A</v>
      </c>
      <c r="AH65" s="89" t="e">
        <f>VLOOKUP($D65,Résultats!$B$2:$AZ$212,AH$2,FALSE)</f>
        <v>#N/A</v>
      </c>
      <c r="AI65" s="89" t="e">
        <f>VLOOKUP($D65,Résultats!$B$2:$AZ$212,AI$2,FALSE)</f>
        <v>#N/A</v>
      </c>
      <c r="AJ65" s="89" t="e">
        <f>VLOOKUP($D65,Résultats!$B$2:$AZ$212,AJ$2,FALSE)</f>
        <v>#N/A</v>
      </c>
      <c r="AK65" s="89" t="e">
        <f>VLOOKUP($D65,Résultats!$B$2:$AZ$212,AK$2,FALSE)</f>
        <v>#N/A</v>
      </c>
      <c r="AL65" s="89" t="e">
        <f>VLOOKUP($D65,Résultats!$B$2:$AZ$212,AL$2,FALSE)</f>
        <v>#N/A</v>
      </c>
      <c r="AM65" s="89" t="e">
        <f>VLOOKUP($D65,Résultats!$B$2:$AZ$212,AM$2,FALSE)</f>
        <v>#N/A</v>
      </c>
    </row>
    <row r="68" spans="2:39" x14ac:dyDescent="0.25">
      <c r="C68" s="12"/>
      <c r="D68" s="12"/>
      <c r="E68" s="117">
        <v>2016</v>
      </c>
      <c r="F68" s="117">
        <v>2017</v>
      </c>
      <c r="G68" s="117">
        <v>2018</v>
      </c>
      <c r="H68" s="117">
        <v>2019</v>
      </c>
      <c r="I68" s="117">
        <v>2020</v>
      </c>
      <c r="J68" s="26">
        <v>2021</v>
      </c>
      <c r="K68" s="4">
        <v>2022</v>
      </c>
      <c r="L68" s="4">
        <v>2023</v>
      </c>
      <c r="M68" s="4">
        <v>2024</v>
      </c>
      <c r="N68" s="117">
        <v>2025</v>
      </c>
      <c r="O68" s="26">
        <v>2026</v>
      </c>
      <c r="P68" s="4">
        <v>2027</v>
      </c>
      <c r="Q68" s="4">
        <v>2028</v>
      </c>
      <c r="R68" s="4">
        <v>2029</v>
      </c>
      <c r="S68" s="117">
        <v>2030</v>
      </c>
      <c r="T68" s="117">
        <v>2031</v>
      </c>
      <c r="U68" s="117">
        <v>2032</v>
      </c>
      <c r="V68" s="117">
        <v>2033</v>
      </c>
      <c r="W68" s="117">
        <v>2034</v>
      </c>
      <c r="X68" s="118">
        <v>2035</v>
      </c>
      <c r="Y68" s="118">
        <v>2036</v>
      </c>
      <c r="Z68" s="118">
        <v>2037</v>
      </c>
      <c r="AA68" s="118">
        <v>2038</v>
      </c>
      <c r="AB68" s="118">
        <v>2039</v>
      </c>
      <c r="AC68" s="118">
        <v>2040</v>
      </c>
      <c r="AD68" s="118">
        <v>2041</v>
      </c>
      <c r="AE68" s="118">
        <v>2042</v>
      </c>
      <c r="AF68" s="118">
        <v>2043</v>
      </c>
      <c r="AG68" s="118">
        <v>2044</v>
      </c>
      <c r="AH68" s="118">
        <v>2045</v>
      </c>
      <c r="AI68" s="118">
        <v>2046</v>
      </c>
      <c r="AJ68" s="118">
        <v>2047</v>
      </c>
      <c r="AK68" s="118">
        <v>2048</v>
      </c>
      <c r="AL68" s="118">
        <v>2049</v>
      </c>
      <c r="AM68" s="118">
        <v>2050</v>
      </c>
    </row>
    <row r="69" spans="2:39" x14ac:dyDescent="0.25">
      <c r="B69" s="23" t="s">
        <v>164</v>
      </c>
      <c r="C69" s="74" t="s">
        <v>133</v>
      </c>
      <c r="D69" s="74" t="s">
        <v>64</v>
      </c>
      <c r="E69" s="75" t="e">
        <f t="shared" ref="E69:F69" si="11">E26</f>
        <v>#N/A</v>
      </c>
      <c r="F69" s="75" t="e">
        <f t="shared" si="11"/>
        <v>#N/A</v>
      </c>
      <c r="G69" s="75" t="e">
        <f t="shared" ref="G69:AM69" si="12">G26</f>
        <v>#N/A</v>
      </c>
      <c r="H69" s="75" t="e">
        <f t="shared" si="12"/>
        <v>#N/A</v>
      </c>
      <c r="I69" s="75" t="e">
        <f t="shared" si="12"/>
        <v>#N/A</v>
      </c>
      <c r="J69" s="75" t="e">
        <f t="shared" si="12"/>
        <v>#N/A</v>
      </c>
      <c r="K69" s="75" t="e">
        <f t="shared" si="12"/>
        <v>#N/A</v>
      </c>
      <c r="L69" s="75" t="e">
        <f t="shared" si="12"/>
        <v>#N/A</v>
      </c>
      <c r="M69" s="75" t="e">
        <f t="shared" si="12"/>
        <v>#N/A</v>
      </c>
      <c r="N69" s="75" t="e">
        <f t="shared" si="12"/>
        <v>#N/A</v>
      </c>
      <c r="O69" s="75" t="e">
        <f t="shared" si="12"/>
        <v>#N/A</v>
      </c>
      <c r="P69" s="75" t="e">
        <f t="shared" si="12"/>
        <v>#N/A</v>
      </c>
      <c r="Q69" s="75" t="e">
        <f t="shared" si="12"/>
        <v>#N/A</v>
      </c>
      <c r="R69" s="75" t="e">
        <f t="shared" si="12"/>
        <v>#N/A</v>
      </c>
      <c r="S69" s="75" t="e">
        <f t="shared" si="12"/>
        <v>#N/A</v>
      </c>
      <c r="T69" s="75" t="e">
        <f t="shared" si="12"/>
        <v>#N/A</v>
      </c>
      <c r="U69" s="75" t="e">
        <f t="shared" si="12"/>
        <v>#N/A</v>
      </c>
      <c r="V69" s="75" t="e">
        <f t="shared" si="12"/>
        <v>#N/A</v>
      </c>
      <c r="W69" s="75" t="e">
        <f t="shared" si="12"/>
        <v>#N/A</v>
      </c>
      <c r="X69" s="75" t="e">
        <f t="shared" si="12"/>
        <v>#N/A</v>
      </c>
      <c r="Y69" s="75" t="e">
        <f t="shared" si="12"/>
        <v>#N/A</v>
      </c>
      <c r="Z69" s="75" t="e">
        <f t="shared" si="12"/>
        <v>#N/A</v>
      </c>
      <c r="AA69" s="75" t="e">
        <f t="shared" si="12"/>
        <v>#N/A</v>
      </c>
      <c r="AB69" s="75" t="e">
        <f t="shared" si="12"/>
        <v>#N/A</v>
      </c>
      <c r="AC69" s="75" t="e">
        <f t="shared" si="12"/>
        <v>#N/A</v>
      </c>
      <c r="AD69" s="75" t="e">
        <f t="shared" si="12"/>
        <v>#N/A</v>
      </c>
      <c r="AE69" s="75" t="e">
        <f t="shared" si="12"/>
        <v>#N/A</v>
      </c>
      <c r="AF69" s="75" t="e">
        <f t="shared" si="12"/>
        <v>#N/A</v>
      </c>
      <c r="AG69" s="75" t="e">
        <f t="shared" si="12"/>
        <v>#N/A</v>
      </c>
      <c r="AH69" s="75" t="e">
        <f t="shared" si="12"/>
        <v>#N/A</v>
      </c>
      <c r="AI69" s="75" t="e">
        <f t="shared" si="12"/>
        <v>#N/A</v>
      </c>
      <c r="AJ69" s="75" t="e">
        <f t="shared" si="12"/>
        <v>#N/A</v>
      </c>
      <c r="AK69" s="75" t="e">
        <f t="shared" si="12"/>
        <v>#N/A</v>
      </c>
      <c r="AL69" s="75" t="e">
        <f t="shared" si="12"/>
        <v>#N/A</v>
      </c>
      <c r="AM69" s="75" t="e">
        <f t="shared" si="12"/>
        <v>#N/A</v>
      </c>
    </row>
    <row r="70" spans="2:39" x14ac:dyDescent="0.25">
      <c r="C70" s="76" t="s">
        <v>94</v>
      </c>
      <c r="D70" s="76" t="s">
        <v>166</v>
      </c>
      <c r="E70" s="149" t="e">
        <f t="shared" ref="E70:F77" si="13">E27/E$26</f>
        <v>#N/A</v>
      </c>
      <c r="F70" s="149" t="e">
        <f t="shared" si="13"/>
        <v>#N/A</v>
      </c>
      <c r="G70" s="149" t="e">
        <f t="shared" ref="G70:AM77" si="14">G27/G$26</f>
        <v>#N/A</v>
      </c>
      <c r="H70" s="149" t="e">
        <f t="shared" si="14"/>
        <v>#N/A</v>
      </c>
      <c r="I70" s="149" t="e">
        <f t="shared" si="14"/>
        <v>#N/A</v>
      </c>
      <c r="J70" s="148" t="e">
        <f t="shared" si="14"/>
        <v>#N/A</v>
      </c>
      <c r="K70" s="91" t="e">
        <f t="shared" si="14"/>
        <v>#N/A</v>
      </c>
      <c r="L70" s="91" t="e">
        <f t="shared" si="14"/>
        <v>#N/A</v>
      </c>
      <c r="M70" s="91" t="e">
        <f t="shared" si="14"/>
        <v>#N/A</v>
      </c>
      <c r="N70" s="149" t="e">
        <f t="shared" si="14"/>
        <v>#N/A</v>
      </c>
      <c r="O70" s="148" t="e">
        <f t="shared" si="14"/>
        <v>#N/A</v>
      </c>
      <c r="P70" s="91" t="e">
        <f t="shared" si="14"/>
        <v>#N/A</v>
      </c>
      <c r="Q70" s="91" t="e">
        <f t="shared" si="14"/>
        <v>#N/A</v>
      </c>
      <c r="R70" s="91" t="e">
        <f t="shared" si="14"/>
        <v>#N/A</v>
      </c>
      <c r="S70" s="149" t="e">
        <f t="shared" si="14"/>
        <v>#N/A</v>
      </c>
      <c r="T70" s="149" t="e">
        <f t="shared" si="14"/>
        <v>#N/A</v>
      </c>
      <c r="U70" s="149" t="e">
        <f t="shared" si="14"/>
        <v>#N/A</v>
      </c>
      <c r="V70" s="149" t="e">
        <f t="shared" si="14"/>
        <v>#N/A</v>
      </c>
      <c r="W70" s="149" t="e">
        <f t="shared" si="14"/>
        <v>#N/A</v>
      </c>
      <c r="X70" s="143" t="e">
        <f t="shared" si="14"/>
        <v>#N/A</v>
      </c>
      <c r="Y70" s="143" t="e">
        <f t="shared" si="14"/>
        <v>#N/A</v>
      </c>
      <c r="Z70" s="143" t="e">
        <f t="shared" si="14"/>
        <v>#N/A</v>
      </c>
      <c r="AA70" s="143" t="e">
        <f t="shared" si="14"/>
        <v>#N/A</v>
      </c>
      <c r="AB70" s="143" t="e">
        <f t="shared" si="14"/>
        <v>#N/A</v>
      </c>
      <c r="AC70" s="143" t="e">
        <f t="shared" si="14"/>
        <v>#N/A</v>
      </c>
      <c r="AD70" s="143" t="e">
        <f t="shared" si="14"/>
        <v>#N/A</v>
      </c>
      <c r="AE70" s="143" t="e">
        <f t="shared" si="14"/>
        <v>#N/A</v>
      </c>
      <c r="AF70" s="143" t="e">
        <f t="shared" si="14"/>
        <v>#N/A</v>
      </c>
      <c r="AG70" s="143" t="e">
        <f t="shared" si="14"/>
        <v>#N/A</v>
      </c>
      <c r="AH70" s="143" t="e">
        <f t="shared" si="14"/>
        <v>#N/A</v>
      </c>
      <c r="AI70" s="143" t="e">
        <f t="shared" si="14"/>
        <v>#N/A</v>
      </c>
      <c r="AJ70" s="143" t="e">
        <f t="shared" si="14"/>
        <v>#N/A</v>
      </c>
      <c r="AK70" s="143" t="e">
        <f t="shared" si="14"/>
        <v>#N/A</v>
      </c>
      <c r="AL70" s="143" t="e">
        <f t="shared" si="14"/>
        <v>#N/A</v>
      </c>
      <c r="AM70" s="143" t="e">
        <f t="shared" si="14"/>
        <v>#N/A</v>
      </c>
    </row>
    <row r="71" spans="2:39" x14ac:dyDescent="0.25">
      <c r="C71" s="56" t="s">
        <v>27</v>
      </c>
      <c r="D71" s="78" t="s">
        <v>167</v>
      </c>
      <c r="E71" s="136" t="e">
        <f t="shared" si="13"/>
        <v>#N/A</v>
      </c>
      <c r="F71" s="136" t="e">
        <f t="shared" si="13"/>
        <v>#N/A</v>
      </c>
      <c r="G71" s="136" t="e">
        <f t="shared" si="14"/>
        <v>#N/A</v>
      </c>
      <c r="H71" s="136" t="e">
        <f t="shared" si="14"/>
        <v>#N/A</v>
      </c>
      <c r="I71" s="136" t="e">
        <f t="shared" si="14"/>
        <v>#N/A</v>
      </c>
      <c r="J71" s="135" t="e">
        <f t="shared" si="14"/>
        <v>#N/A</v>
      </c>
      <c r="K71" s="92" t="e">
        <f t="shared" si="14"/>
        <v>#N/A</v>
      </c>
      <c r="L71" s="92" t="e">
        <f t="shared" si="14"/>
        <v>#N/A</v>
      </c>
      <c r="M71" s="92" t="e">
        <f t="shared" si="14"/>
        <v>#N/A</v>
      </c>
      <c r="N71" s="136" t="e">
        <f t="shared" si="14"/>
        <v>#N/A</v>
      </c>
      <c r="O71" s="135" t="e">
        <f t="shared" si="14"/>
        <v>#N/A</v>
      </c>
      <c r="P71" s="92" t="e">
        <f t="shared" si="14"/>
        <v>#N/A</v>
      </c>
      <c r="Q71" s="92" t="e">
        <f t="shared" si="14"/>
        <v>#N/A</v>
      </c>
      <c r="R71" s="92" t="e">
        <f t="shared" si="14"/>
        <v>#N/A</v>
      </c>
      <c r="S71" s="136" t="e">
        <f t="shared" si="14"/>
        <v>#N/A</v>
      </c>
      <c r="T71" s="136" t="e">
        <f t="shared" si="14"/>
        <v>#N/A</v>
      </c>
      <c r="U71" s="136" t="e">
        <f t="shared" si="14"/>
        <v>#N/A</v>
      </c>
      <c r="V71" s="136" t="e">
        <f t="shared" si="14"/>
        <v>#N/A</v>
      </c>
      <c r="W71" s="136" t="e">
        <f t="shared" si="14"/>
        <v>#N/A</v>
      </c>
      <c r="X71" s="141" t="e">
        <f t="shared" si="14"/>
        <v>#N/A</v>
      </c>
      <c r="Y71" s="141" t="e">
        <f t="shared" si="14"/>
        <v>#N/A</v>
      </c>
      <c r="Z71" s="141" t="e">
        <f t="shared" si="14"/>
        <v>#N/A</v>
      </c>
      <c r="AA71" s="141" t="e">
        <f t="shared" si="14"/>
        <v>#N/A</v>
      </c>
      <c r="AB71" s="141" t="e">
        <f t="shared" si="14"/>
        <v>#N/A</v>
      </c>
      <c r="AC71" s="141" t="e">
        <f t="shared" si="14"/>
        <v>#N/A</v>
      </c>
      <c r="AD71" s="141" t="e">
        <f t="shared" si="14"/>
        <v>#N/A</v>
      </c>
      <c r="AE71" s="141" t="e">
        <f t="shared" si="14"/>
        <v>#N/A</v>
      </c>
      <c r="AF71" s="141" t="e">
        <f t="shared" si="14"/>
        <v>#N/A</v>
      </c>
      <c r="AG71" s="141" t="e">
        <f t="shared" si="14"/>
        <v>#N/A</v>
      </c>
      <c r="AH71" s="141" t="e">
        <f t="shared" si="14"/>
        <v>#N/A</v>
      </c>
      <c r="AI71" s="141" t="e">
        <f t="shared" si="14"/>
        <v>#N/A</v>
      </c>
      <c r="AJ71" s="141" t="e">
        <f t="shared" si="14"/>
        <v>#N/A</v>
      </c>
      <c r="AK71" s="141" t="e">
        <f t="shared" si="14"/>
        <v>#N/A</v>
      </c>
      <c r="AL71" s="141" t="e">
        <f t="shared" si="14"/>
        <v>#N/A</v>
      </c>
      <c r="AM71" s="141" t="e">
        <f t="shared" si="14"/>
        <v>#N/A</v>
      </c>
    </row>
    <row r="72" spans="2:39" x14ac:dyDescent="0.25">
      <c r="C72" s="56" t="s">
        <v>28</v>
      </c>
      <c r="D72" s="78" t="s">
        <v>168</v>
      </c>
      <c r="E72" s="136" t="e">
        <f t="shared" si="13"/>
        <v>#N/A</v>
      </c>
      <c r="F72" s="136" t="e">
        <f t="shared" si="13"/>
        <v>#N/A</v>
      </c>
      <c r="G72" s="136" t="e">
        <f t="shared" si="14"/>
        <v>#N/A</v>
      </c>
      <c r="H72" s="136" t="e">
        <f t="shared" si="14"/>
        <v>#N/A</v>
      </c>
      <c r="I72" s="136" t="e">
        <f t="shared" si="14"/>
        <v>#N/A</v>
      </c>
      <c r="J72" s="135" t="e">
        <f t="shared" si="14"/>
        <v>#N/A</v>
      </c>
      <c r="K72" s="92" t="e">
        <f t="shared" si="14"/>
        <v>#N/A</v>
      </c>
      <c r="L72" s="92" t="e">
        <f t="shared" si="14"/>
        <v>#N/A</v>
      </c>
      <c r="M72" s="92" t="e">
        <f t="shared" si="14"/>
        <v>#N/A</v>
      </c>
      <c r="N72" s="136" t="e">
        <f t="shared" si="14"/>
        <v>#N/A</v>
      </c>
      <c r="O72" s="135" t="e">
        <f t="shared" si="14"/>
        <v>#N/A</v>
      </c>
      <c r="P72" s="92" t="e">
        <f t="shared" si="14"/>
        <v>#N/A</v>
      </c>
      <c r="Q72" s="92" t="e">
        <f t="shared" si="14"/>
        <v>#N/A</v>
      </c>
      <c r="R72" s="92" t="e">
        <f t="shared" si="14"/>
        <v>#N/A</v>
      </c>
      <c r="S72" s="136" t="e">
        <f t="shared" si="14"/>
        <v>#N/A</v>
      </c>
      <c r="T72" s="136" t="e">
        <f t="shared" si="14"/>
        <v>#N/A</v>
      </c>
      <c r="U72" s="136" t="e">
        <f t="shared" si="14"/>
        <v>#N/A</v>
      </c>
      <c r="V72" s="136" t="e">
        <f t="shared" si="14"/>
        <v>#N/A</v>
      </c>
      <c r="W72" s="136" t="e">
        <f t="shared" si="14"/>
        <v>#N/A</v>
      </c>
      <c r="X72" s="141" t="e">
        <f t="shared" si="14"/>
        <v>#N/A</v>
      </c>
      <c r="Y72" s="141" t="e">
        <f t="shared" si="14"/>
        <v>#N/A</v>
      </c>
      <c r="Z72" s="141" t="e">
        <f t="shared" si="14"/>
        <v>#N/A</v>
      </c>
      <c r="AA72" s="141" t="e">
        <f t="shared" si="14"/>
        <v>#N/A</v>
      </c>
      <c r="AB72" s="141" t="e">
        <f t="shared" si="14"/>
        <v>#N/A</v>
      </c>
      <c r="AC72" s="141" t="e">
        <f t="shared" si="14"/>
        <v>#N/A</v>
      </c>
      <c r="AD72" s="141" t="e">
        <f t="shared" si="14"/>
        <v>#N/A</v>
      </c>
      <c r="AE72" s="141" t="e">
        <f t="shared" si="14"/>
        <v>#N/A</v>
      </c>
      <c r="AF72" s="141" t="e">
        <f t="shared" si="14"/>
        <v>#N/A</v>
      </c>
      <c r="AG72" s="141" t="e">
        <f t="shared" si="14"/>
        <v>#N/A</v>
      </c>
      <c r="AH72" s="141" t="e">
        <f t="shared" si="14"/>
        <v>#N/A</v>
      </c>
      <c r="AI72" s="141" t="e">
        <f t="shared" si="14"/>
        <v>#N/A</v>
      </c>
      <c r="AJ72" s="141" t="e">
        <f t="shared" si="14"/>
        <v>#N/A</v>
      </c>
      <c r="AK72" s="141" t="e">
        <f t="shared" si="14"/>
        <v>#N/A</v>
      </c>
      <c r="AL72" s="141" t="e">
        <f t="shared" si="14"/>
        <v>#N/A</v>
      </c>
      <c r="AM72" s="141" t="e">
        <f t="shared" si="14"/>
        <v>#N/A</v>
      </c>
    </row>
    <row r="73" spans="2:39" x14ac:dyDescent="0.25">
      <c r="C73" s="56" t="s">
        <v>29</v>
      </c>
      <c r="D73" s="78" t="s">
        <v>169</v>
      </c>
      <c r="E73" s="136" t="e">
        <f t="shared" si="13"/>
        <v>#N/A</v>
      </c>
      <c r="F73" s="136" t="e">
        <f t="shared" si="13"/>
        <v>#N/A</v>
      </c>
      <c r="G73" s="136" t="e">
        <f t="shared" si="14"/>
        <v>#N/A</v>
      </c>
      <c r="H73" s="136" t="e">
        <f t="shared" si="14"/>
        <v>#N/A</v>
      </c>
      <c r="I73" s="136" t="e">
        <f t="shared" si="14"/>
        <v>#N/A</v>
      </c>
      <c r="J73" s="135" t="e">
        <f t="shared" si="14"/>
        <v>#N/A</v>
      </c>
      <c r="K73" s="92" t="e">
        <f t="shared" si="14"/>
        <v>#N/A</v>
      </c>
      <c r="L73" s="92" t="e">
        <f t="shared" si="14"/>
        <v>#N/A</v>
      </c>
      <c r="M73" s="92" t="e">
        <f t="shared" si="14"/>
        <v>#N/A</v>
      </c>
      <c r="N73" s="136" t="e">
        <f t="shared" si="14"/>
        <v>#N/A</v>
      </c>
      <c r="O73" s="135" t="e">
        <f t="shared" si="14"/>
        <v>#N/A</v>
      </c>
      <c r="P73" s="92" t="e">
        <f t="shared" si="14"/>
        <v>#N/A</v>
      </c>
      <c r="Q73" s="92" t="e">
        <f t="shared" si="14"/>
        <v>#N/A</v>
      </c>
      <c r="R73" s="92" t="e">
        <f t="shared" si="14"/>
        <v>#N/A</v>
      </c>
      <c r="S73" s="136" t="e">
        <f t="shared" si="14"/>
        <v>#N/A</v>
      </c>
      <c r="T73" s="136" t="e">
        <f t="shared" si="14"/>
        <v>#N/A</v>
      </c>
      <c r="U73" s="136" t="e">
        <f t="shared" si="14"/>
        <v>#N/A</v>
      </c>
      <c r="V73" s="136" t="e">
        <f t="shared" si="14"/>
        <v>#N/A</v>
      </c>
      <c r="W73" s="136" t="e">
        <f t="shared" si="14"/>
        <v>#N/A</v>
      </c>
      <c r="X73" s="141" t="e">
        <f t="shared" si="14"/>
        <v>#N/A</v>
      </c>
      <c r="Y73" s="141" t="e">
        <f t="shared" si="14"/>
        <v>#N/A</v>
      </c>
      <c r="Z73" s="141" t="e">
        <f t="shared" si="14"/>
        <v>#N/A</v>
      </c>
      <c r="AA73" s="141" t="e">
        <f t="shared" si="14"/>
        <v>#N/A</v>
      </c>
      <c r="AB73" s="141" t="e">
        <f t="shared" si="14"/>
        <v>#N/A</v>
      </c>
      <c r="AC73" s="141" t="e">
        <f t="shared" si="14"/>
        <v>#N/A</v>
      </c>
      <c r="AD73" s="141" t="e">
        <f t="shared" si="14"/>
        <v>#N/A</v>
      </c>
      <c r="AE73" s="141" t="e">
        <f t="shared" si="14"/>
        <v>#N/A</v>
      </c>
      <c r="AF73" s="141" t="e">
        <f t="shared" si="14"/>
        <v>#N/A</v>
      </c>
      <c r="AG73" s="141" t="e">
        <f t="shared" si="14"/>
        <v>#N/A</v>
      </c>
      <c r="AH73" s="141" t="e">
        <f t="shared" si="14"/>
        <v>#N/A</v>
      </c>
      <c r="AI73" s="141" t="e">
        <f t="shared" si="14"/>
        <v>#N/A</v>
      </c>
      <c r="AJ73" s="141" t="e">
        <f t="shared" si="14"/>
        <v>#N/A</v>
      </c>
      <c r="AK73" s="141" t="e">
        <f t="shared" si="14"/>
        <v>#N/A</v>
      </c>
      <c r="AL73" s="141" t="e">
        <f t="shared" si="14"/>
        <v>#N/A</v>
      </c>
      <c r="AM73" s="141" t="e">
        <f t="shared" si="14"/>
        <v>#N/A</v>
      </c>
    </row>
    <row r="74" spans="2:39" x14ac:dyDescent="0.25">
      <c r="C74" s="56" t="s">
        <v>30</v>
      </c>
      <c r="D74" s="78" t="s">
        <v>170</v>
      </c>
      <c r="E74" s="136" t="e">
        <f t="shared" si="13"/>
        <v>#N/A</v>
      </c>
      <c r="F74" s="136" t="e">
        <f t="shared" si="13"/>
        <v>#N/A</v>
      </c>
      <c r="G74" s="136" t="e">
        <f t="shared" si="14"/>
        <v>#N/A</v>
      </c>
      <c r="H74" s="136" t="e">
        <f t="shared" si="14"/>
        <v>#N/A</v>
      </c>
      <c r="I74" s="136" t="e">
        <f t="shared" si="14"/>
        <v>#N/A</v>
      </c>
      <c r="J74" s="135" t="e">
        <f t="shared" si="14"/>
        <v>#N/A</v>
      </c>
      <c r="K74" s="92" t="e">
        <f t="shared" si="14"/>
        <v>#N/A</v>
      </c>
      <c r="L74" s="92" t="e">
        <f t="shared" si="14"/>
        <v>#N/A</v>
      </c>
      <c r="M74" s="92" t="e">
        <f t="shared" si="14"/>
        <v>#N/A</v>
      </c>
      <c r="N74" s="136" t="e">
        <f t="shared" si="14"/>
        <v>#N/A</v>
      </c>
      <c r="O74" s="135" t="e">
        <f t="shared" si="14"/>
        <v>#N/A</v>
      </c>
      <c r="P74" s="92" t="e">
        <f t="shared" si="14"/>
        <v>#N/A</v>
      </c>
      <c r="Q74" s="92" t="e">
        <f t="shared" si="14"/>
        <v>#N/A</v>
      </c>
      <c r="R74" s="92" t="e">
        <f t="shared" si="14"/>
        <v>#N/A</v>
      </c>
      <c r="S74" s="136" t="e">
        <f t="shared" si="14"/>
        <v>#N/A</v>
      </c>
      <c r="T74" s="136" t="e">
        <f t="shared" si="14"/>
        <v>#N/A</v>
      </c>
      <c r="U74" s="136" t="e">
        <f t="shared" si="14"/>
        <v>#N/A</v>
      </c>
      <c r="V74" s="136" t="e">
        <f t="shared" si="14"/>
        <v>#N/A</v>
      </c>
      <c r="W74" s="136" t="e">
        <f t="shared" si="14"/>
        <v>#N/A</v>
      </c>
      <c r="X74" s="141" t="e">
        <f t="shared" si="14"/>
        <v>#N/A</v>
      </c>
      <c r="Y74" s="141" t="e">
        <f t="shared" si="14"/>
        <v>#N/A</v>
      </c>
      <c r="Z74" s="141" t="e">
        <f t="shared" si="14"/>
        <v>#N/A</v>
      </c>
      <c r="AA74" s="141" t="e">
        <f t="shared" si="14"/>
        <v>#N/A</v>
      </c>
      <c r="AB74" s="141" t="e">
        <f t="shared" si="14"/>
        <v>#N/A</v>
      </c>
      <c r="AC74" s="141" t="e">
        <f t="shared" si="14"/>
        <v>#N/A</v>
      </c>
      <c r="AD74" s="141" t="e">
        <f t="shared" si="14"/>
        <v>#N/A</v>
      </c>
      <c r="AE74" s="141" t="e">
        <f t="shared" si="14"/>
        <v>#N/A</v>
      </c>
      <c r="AF74" s="141" t="e">
        <f t="shared" si="14"/>
        <v>#N/A</v>
      </c>
      <c r="AG74" s="141" t="e">
        <f t="shared" si="14"/>
        <v>#N/A</v>
      </c>
      <c r="AH74" s="141" t="e">
        <f t="shared" si="14"/>
        <v>#N/A</v>
      </c>
      <c r="AI74" s="141" t="e">
        <f t="shared" si="14"/>
        <v>#N/A</v>
      </c>
      <c r="AJ74" s="141" t="e">
        <f t="shared" si="14"/>
        <v>#N/A</v>
      </c>
      <c r="AK74" s="141" t="e">
        <f t="shared" si="14"/>
        <v>#N/A</v>
      </c>
      <c r="AL74" s="141" t="e">
        <f t="shared" si="14"/>
        <v>#N/A</v>
      </c>
      <c r="AM74" s="141" t="e">
        <f t="shared" si="14"/>
        <v>#N/A</v>
      </c>
    </row>
    <row r="75" spans="2:39" x14ac:dyDescent="0.25">
      <c r="C75" s="56" t="s">
        <v>31</v>
      </c>
      <c r="D75" s="78" t="s">
        <v>171</v>
      </c>
      <c r="E75" s="136" t="e">
        <f t="shared" si="13"/>
        <v>#N/A</v>
      </c>
      <c r="F75" s="136" t="e">
        <f t="shared" si="13"/>
        <v>#N/A</v>
      </c>
      <c r="G75" s="136" t="e">
        <f t="shared" si="14"/>
        <v>#N/A</v>
      </c>
      <c r="H75" s="136" t="e">
        <f t="shared" si="14"/>
        <v>#N/A</v>
      </c>
      <c r="I75" s="136" t="e">
        <f t="shared" si="14"/>
        <v>#N/A</v>
      </c>
      <c r="J75" s="135" t="e">
        <f t="shared" si="14"/>
        <v>#N/A</v>
      </c>
      <c r="K75" s="92" t="e">
        <f t="shared" si="14"/>
        <v>#N/A</v>
      </c>
      <c r="L75" s="92" t="e">
        <f t="shared" si="14"/>
        <v>#N/A</v>
      </c>
      <c r="M75" s="92" t="e">
        <f t="shared" si="14"/>
        <v>#N/A</v>
      </c>
      <c r="N75" s="136" t="e">
        <f t="shared" si="14"/>
        <v>#N/A</v>
      </c>
      <c r="O75" s="135" t="e">
        <f t="shared" si="14"/>
        <v>#N/A</v>
      </c>
      <c r="P75" s="92" t="e">
        <f t="shared" si="14"/>
        <v>#N/A</v>
      </c>
      <c r="Q75" s="92" t="e">
        <f t="shared" si="14"/>
        <v>#N/A</v>
      </c>
      <c r="R75" s="92" t="e">
        <f t="shared" si="14"/>
        <v>#N/A</v>
      </c>
      <c r="S75" s="136" t="e">
        <f t="shared" si="14"/>
        <v>#N/A</v>
      </c>
      <c r="T75" s="136" t="e">
        <f t="shared" si="14"/>
        <v>#N/A</v>
      </c>
      <c r="U75" s="136" t="e">
        <f t="shared" si="14"/>
        <v>#N/A</v>
      </c>
      <c r="V75" s="136" t="e">
        <f t="shared" si="14"/>
        <v>#N/A</v>
      </c>
      <c r="W75" s="136" t="e">
        <f t="shared" si="14"/>
        <v>#N/A</v>
      </c>
      <c r="X75" s="141" t="e">
        <f t="shared" si="14"/>
        <v>#N/A</v>
      </c>
      <c r="Y75" s="141" t="e">
        <f t="shared" si="14"/>
        <v>#N/A</v>
      </c>
      <c r="Z75" s="141" t="e">
        <f t="shared" si="14"/>
        <v>#N/A</v>
      </c>
      <c r="AA75" s="141" t="e">
        <f t="shared" si="14"/>
        <v>#N/A</v>
      </c>
      <c r="AB75" s="141" t="e">
        <f t="shared" si="14"/>
        <v>#N/A</v>
      </c>
      <c r="AC75" s="141" t="e">
        <f t="shared" si="14"/>
        <v>#N/A</v>
      </c>
      <c r="AD75" s="141" t="e">
        <f t="shared" si="14"/>
        <v>#N/A</v>
      </c>
      <c r="AE75" s="141" t="e">
        <f t="shared" si="14"/>
        <v>#N/A</v>
      </c>
      <c r="AF75" s="141" t="e">
        <f t="shared" si="14"/>
        <v>#N/A</v>
      </c>
      <c r="AG75" s="141" t="e">
        <f t="shared" si="14"/>
        <v>#N/A</v>
      </c>
      <c r="AH75" s="141" t="e">
        <f t="shared" si="14"/>
        <v>#N/A</v>
      </c>
      <c r="AI75" s="141" t="e">
        <f t="shared" si="14"/>
        <v>#N/A</v>
      </c>
      <c r="AJ75" s="141" t="e">
        <f t="shared" si="14"/>
        <v>#N/A</v>
      </c>
      <c r="AK75" s="141" t="e">
        <f t="shared" si="14"/>
        <v>#N/A</v>
      </c>
      <c r="AL75" s="141" t="e">
        <f t="shared" si="14"/>
        <v>#N/A</v>
      </c>
      <c r="AM75" s="141" t="e">
        <f t="shared" si="14"/>
        <v>#N/A</v>
      </c>
    </row>
    <row r="76" spans="2:39" x14ac:dyDescent="0.25">
      <c r="C76" s="56" t="s">
        <v>32</v>
      </c>
      <c r="D76" s="78" t="s">
        <v>172</v>
      </c>
      <c r="E76" s="136" t="e">
        <f t="shared" si="13"/>
        <v>#N/A</v>
      </c>
      <c r="F76" s="136" t="e">
        <f t="shared" si="13"/>
        <v>#N/A</v>
      </c>
      <c r="G76" s="136" t="e">
        <f t="shared" si="14"/>
        <v>#N/A</v>
      </c>
      <c r="H76" s="136" t="e">
        <f t="shared" si="14"/>
        <v>#N/A</v>
      </c>
      <c r="I76" s="136" t="e">
        <f t="shared" si="14"/>
        <v>#N/A</v>
      </c>
      <c r="J76" s="135" t="e">
        <f t="shared" si="14"/>
        <v>#N/A</v>
      </c>
      <c r="K76" s="92" t="e">
        <f t="shared" si="14"/>
        <v>#N/A</v>
      </c>
      <c r="L76" s="92" t="e">
        <f t="shared" si="14"/>
        <v>#N/A</v>
      </c>
      <c r="M76" s="92" t="e">
        <f t="shared" si="14"/>
        <v>#N/A</v>
      </c>
      <c r="N76" s="136" t="e">
        <f t="shared" si="14"/>
        <v>#N/A</v>
      </c>
      <c r="O76" s="135" t="e">
        <f t="shared" si="14"/>
        <v>#N/A</v>
      </c>
      <c r="P76" s="92" t="e">
        <f t="shared" si="14"/>
        <v>#N/A</v>
      </c>
      <c r="Q76" s="92" t="e">
        <f t="shared" si="14"/>
        <v>#N/A</v>
      </c>
      <c r="R76" s="92" t="e">
        <f t="shared" si="14"/>
        <v>#N/A</v>
      </c>
      <c r="S76" s="136" t="e">
        <f t="shared" si="14"/>
        <v>#N/A</v>
      </c>
      <c r="T76" s="136" t="e">
        <f t="shared" si="14"/>
        <v>#N/A</v>
      </c>
      <c r="U76" s="136" t="e">
        <f t="shared" si="14"/>
        <v>#N/A</v>
      </c>
      <c r="V76" s="136" t="e">
        <f t="shared" si="14"/>
        <v>#N/A</v>
      </c>
      <c r="W76" s="136" t="e">
        <f t="shared" si="14"/>
        <v>#N/A</v>
      </c>
      <c r="X76" s="141" t="e">
        <f t="shared" si="14"/>
        <v>#N/A</v>
      </c>
      <c r="Y76" s="141" t="e">
        <f t="shared" si="14"/>
        <v>#N/A</v>
      </c>
      <c r="Z76" s="141" t="e">
        <f t="shared" si="14"/>
        <v>#N/A</v>
      </c>
      <c r="AA76" s="141" t="e">
        <f t="shared" si="14"/>
        <v>#N/A</v>
      </c>
      <c r="AB76" s="141" t="e">
        <f t="shared" si="14"/>
        <v>#N/A</v>
      </c>
      <c r="AC76" s="141" t="e">
        <f t="shared" si="14"/>
        <v>#N/A</v>
      </c>
      <c r="AD76" s="141" t="e">
        <f t="shared" si="14"/>
        <v>#N/A</v>
      </c>
      <c r="AE76" s="141" t="e">
        <f t="shared" si="14"/>
        <v>#N/A</v>
      </c>
      <c r="AF76" s="141" t="e">
        <f t="shared" si="14"/>
        <v>#N/A</v>
      </c>
      <c r="AG76" s="141" t="e">
        <f t="shared" si="14"/>
        <v>#N/A</v>
      </c>
      <c r="AH76" s="141" t="e">
        <f t="shared" si="14"/>
        <v>#N/A</v>
      </c>
      <c r="AI76" s="141" t="e">
        <f t="shared" si="14"/>
        <v>#N/A</v>
      </c>
      <c r="AJ76" s="141" t="e">
        <f t="shared" si="14"/>
        <v>#N/A</v>
      </c>
      <c r="AK76" s="141" t="e">
        <f t="shared" si="14"/>
        <v>#N/A</v>
      </c>
      <c r="AL76" s="141" t="e">
        <f t="shared" si="14"/>
        <v>#N/A</v>
      </c>
      <c r="AM76" s="141" t="e">
        <f t="shared" si="14"/>
        <v>#N/A</v>
      </c>
    </row>
    <row r="77" spans="2:39" x14ac:dyDescent="0.25">
      <c r="C77" s="56" t="s">
        <v>33</v>
      </c>
      <c r="D77" s="78" t="s">
        <v>173</v>
      </c>
      <c r="E77" s="151" t="e">
        <f t="shared" si="13"/>
        <v>#N/A</v>
      </c>
      <c r="F77" s="151" t="e">
        <f t="shared" si="13"/>
        <v>#N/A</v>
      </c>
      <c r="G77" s="151" t="e">
        <f t="shared" si="14"/>
        <v>#N/A</v>
      </c>
      <c r="H77" s="151" t="e">
        <f t="shared" si="14"/>
        <v>#N/A</v>
      </c>
      <c r="I77" s="151" t="e">
        <f t="shared" si="14"/>
        <v>#N/A</v>
      </c>
      <c r="J77" s="150" t="e">
        <f t="shared" si="14"/>
        <v>#N/A</v>
      </c>
      <c r="K77" s="93" t="e">
        <f t="shared" si="14"/>
        <v>#N/A</v>
      </c>
      <c r="L77" s="93" t="e">
        <f t="shared" si="14"/>
        <v>#N/A</v>
      </c>
      <c r="M77" s="93" t="e">
        <f t="shared" si="14"/>
        <v>#N/A</v>
      </c>
      <c r="N77" s="151" t="e">
        <f t="shared" si="14"/>
        <v>#N/A</v>
      </c>
      <c r="O77" s="150" t="e">
        <f t="shared" ref="O77:AM85" si="15">O34/O$26</f>
        <v>#N/A</v>
      </c>
      <c r="P77" s="93" t="e">
        <f t="shared" si="15"/>
        <v>#N/A</v>
      </c>
      <c r="Q77" s="93" t="e">
        <f t="shared" si="15"/>
        <v>#N/A</v>
      </c>
      <c r="R77" s="93" t="e">
        <f t="shared" si="15"/>
        <v>#N/A</v>
      </c>
      <c r="S77" s="151" t="e">
        <f t="shared" si="15"/>
        <v>#N/A</v>
      </c>
      <c r="T77" s="151" t="e">
        <f t="shared" si="15"/>
        <v>#N/A</v>
      </c>
      <c r="U77" s="151" t="e">
        <f t="shared" si="15"/>
        <v>#N/A</v>
      </c>
      <c r="V77" s="151" t="e">
        <f t="shared" si="15"/>
        <v>#N/A</v>
      </c>
      <c r="W77" s="151" t="e">
        <f t="shared" si="15"/>
        <v>#N/A</v>
      </c>
      <c r="X77" s="144" t="e">
        <f t="shared" si="15"/>
        <v>#N/A</v>
      </c>
      <c r="Y77" s="144" t="e">
        <f t="shared" si="15"/>
        <v>#N/A</v>
      </c>
      <c r="Z77" s="144" t="e">
        <f t="shared" si="15"/>
        <v>#N/A</v>
      </c>
      <c r="AA77" s="144" t="e">
        <f t="shared" si="15"/>
        <v>#N/A</v>
      </c>
      <c r="AB77" s="144" t="e">
        <f t="shared" si="15"/>
        <v>#N/A</v>
      </c>
      <c r="AC77" s="144" t="e">
        <f t="shared" si="15"/>
        <v>#N/A</v>
      </c>
      <c r="AD77" s="144" t="e">
        <f t="shared" si="15"/>
        <v>#N/A</v>
      </c>
      <c r="AE77" s="144" t="e">
        <f t="shared" si="15"/>
        <v>#N/A</v>
      </c>
      <c r="AF77" s="144" t="e">
        <f t="shared" si="15"/>
        <v>#N/A</v>
      </c>
      <c r="AG77" s="144" t="e">
        <f t="shared" si="15"/>
        <v>#N/A</v>
      </c>
      <c r="AH77" s="144" t="e">
        <f t="shared" si="15"/>
        <v>#N/A</v>
      </c>
      <c r="AI77" s="144" t="e">
        <f t="shared" si="15"/>
        <v>#N/A</v>
      </c>
      <c r="AJ77" s="144" t="e">
        <f t="shared" si="15"/>
        <v>#N/A</v>
      </c>
      <c r="AK77" s="144" t="e">
        <f t="shared" si="15"/>
        <v>#N/A</v>
      </c>
      <c r="AL77" s="144" t="e">
        <f t="shared" si="15"/>
        <v>#N/A</v>
      </c>
      <c r="AM77" s="144" t="e">
        <f t="shared" si="15"/>
        <v>#N/A</v>
      </c>
    </row>
    <row r="78" spans="2:39" x14ac:dyDescent="0.25">
      <c r="C78" s="76" t="s">
        <v>95</v>
      </c>
      <c r="D78" s="76" t="s">
        <v>174</v>
      </c>
      <c r="E78" s="149" t="e">
        <f t="shared" ref="E78:F78" si="16">E35/E$26</f>
        <v>#N/A</v>
      </c>
      <c r="F78" s="149" t="e">
        <f t="shared" si="16"/>
        <v>#N/A</v>
      </c>
      <c r="G78" s="149" t="e">
        <f t="shared" ref="G78:S85" si="17">G35/G$26</f>
        <v>#N/A</v>
      </c>
      <c r="H78" s="149" t="e">
        <f t="shared" si="17"/>
        <v>#N/A</v>
      </c>
      <c r="I78" s="149" t="e">
        <f t="shared" si="17"/>
        <v>#N/A</v>
      </c>
      <c r="J78" s="148" t="e">
        <f t="shared" si="17"/>
        <v>#N/A</v>
      </c>
      <c r="K78" s="91" t="e">
        <f t="shared" si="17"/>
        <v>#N/A</v>
      </c>
      <c r="L78" s="91" t="e">
        <f t="shared" si="17"/>
        <v>#N/A</v>
      </c>
      <c r="M78" s="91" t="e">
        <f t="shared" si="17"/>
        <v>#N/A</v>
      </c>
      <c r="N78" s="149" t="e">
        <f t="shared" si="17"/>
        <v>#N/A</v>
      </c>
      <c r="O78" s="148" t="e">
        <f t="shared" si="17"/>
        <v>#N/A</v>
      </c>
      <c r="P78" s="91" t="e">
        <f t="shared" si="17"/>
        <v>#N/A</v>
      </c>
      <c r="Q78" s="91" t="e">
        <f t="shared" si="17"/>
        <v>#N/A</v>
      </c>
      <c r="R78" s="91" t="e">
        <f t="shared" si="17"/>
        <v>#N/A</v>
      </c>
      <c r="S78" s="149" t="e">
        <f t="shared" si="17"/>
        <v>#N/A</v>
      </c>
      <c r="T78" s="149" t="e">
        <f t="shared" si="15"/>
        <v>#N/A</v>
      </c>
      <c r="U78" s="149" t="e">
        <f t="shared" si="15"/>
        <v>#N/A</v>
      </c>
      <c r="V78" s="149" t="e">
        <f t="shared" si="15"/>
        <v>#N/A</v>
      </c>
      <c r="W78" s="149" t="e">
        <f t="shared" si="15"/>
        <v>#N/A</v>
      </c>
      <c r="X78" s="143" t="e">
        <f t="shared" si="15"/>
        <v>#N/A</v>
      </c>
      <c r="Y78" s="143" t="e">
        <f t="shared" si="15"/>
        <v>#N/A</v>
      </c>
      <c r="Z78" s="143" t="e">
        <f t="shared" si="15"/>
        <v>#N/A</v>
      </c>
      <c r="AA78" s="143" t="e">
        <f t="shared" si="15"/>
        <v>#N/A</v>
      </c>
      <c r="AB78" s="143" t="e">
        <f t="shared" si="15"/>
        <v>#N/A</v>
      </c>
      <c r="AC78" s="143" t="e">
        <f t="shared" si="15"/>
        <v>#N/A</v>
      </c>
      <c r="AD78" s="143" t="e">
        <f t="shared" si="15"/>
        <v>#N/A</v>
      </c>
      <c r="AE78" s="143" t="e">
        <f t="shared" si="15"/>
        <v>#N/A</v>
      </c>
      <c r="AF78" s="143" t="e">
        <f t="shared" si="15"/>
        <v>#N/A</v>
      </c>
      <c r="AG78" s="143" t="e">
        <f t="shared" si="15"/>
        <v>#N/A</v>
      </c>
      <c r="AH78" s="143" t="e">
        <f t="shared" si="15"/>
        <v>#N/A</v>
      </c>
      <c r="AI78" s="143" t="e">
        <f t="shared" si="15"/>
        <v>#N/A</v>
      </c>
      <c r="AJ78" s="143" t="e">
        <f t="shared" si="15"/>
        <v>#N/A</v>
      </c>
      <c r="AK78" s="143" t="e">
        <f t="shared" si="15"/>
        <v>#N/A</v>
      </c>
      <c r="AL78" s="143" t="e">
        <f t="shared" si="15"/>
        <v>#N/A</v>
      </c>
      <c r="AM78" s="143" t="e">
        <f t="shared" si="15"/>
        <v>#N/A</v>
      </c>
    </row>
    <row r="79" spans="2:39" x14ac:dyDescent="0.25">
      <c r="C79" s="56" t="s">
        <v>27</v>
      </c>
      <c r="D79" s="3" t="s">
        <v>175</v>
      </c>
      <c r="E79" s="136" t="e">
        <f t="shared" ref="E79:F79" si="18">E36/E$26</f>
        <v>#N/A</v>
      </c>
      <c r="F79" s="136" t="e">
        <f t="shared" si="18"/>
        <v>#N/A</v>
      </c>
      <c r="G79" s="136" t="e">
        <f t="shared" si="17"/>
        <v>#N/A</v>
      </c>
      <c r="H79" s="136" t="e">
        <f t="shared" si="17"/>
        <v>#N/A</v>
      </c>
      <c r="I79" s="136" t="e">
        <f t="shared" si="17"/>
        <v>#N/A</v>
      </c>
      <c r="J79" s="135" t="e">
        <f t="shared" si="17"/>
        <v>#N/A</v>
      </c>
      <c r="K79" s="92" t="e">
        <f t="shared" si="17"/>
        <v>#N/A</v>
      </c>
      <c r="L79" s="92" t="e">
        <f t="shared" si="17"/>
        <v>#N/A</v>
      </c>
      <c r="M79" s="92" t="e">
        <f t="shared" si="17"/>
        <v>#N/A</v>
      </c>
      <c r="N79" s="136" t="e">
        <f t="shared" si="17"/>
        <v>#N/A</v>
      </c>
      <c r="O79" s="135" t="e">
        <f t="shared" si="17"/>
        <v>#N/A</v>
      </c>
      <c r="P79" s="92" t="e">
        <f t="shared" si="17"/>
        <v>#N/A</v>
      </c>
      <c r="Q79" s="92" t="e">
        <f t="shared" si="17"/>
        <v>#N/A</v>
      </c>
      <c r="R79" s="92" t="e">
        <f t="shared" si="17"/>
        <v>#N/A</v>
      </c>
      <c r="S79" s="136" t="e">
        <f t="shared" si="17"/>
        <v>#N/A</v>
      </c>
      <c r="T79" s="136" t="e">
        <f t="shared" si="15"/>
        <v>#N/A</v>
      </c>
      <c r="U79" s="136" t="e">
        <f t="shared" si="15"/>
        <v>#N/A</v>
      </c>
      <c r="V79" s="136" t="e">
        <f t="shared" si="15"/>
        <v>#N/A</v>
      </c>
      <c r="W79" s="136" t="e">
        <f t="shared" si="15"/>
        <v>#N/A</v>
      </c>
      <c r="X79" s="141" t="e">
        <f t="shared" si="15"/>
        <v>#N/A</v>
      </c>
      <c r="Y79" s="141" t="e">
        <f t="shared" si="15"/>
        <v>#N/A</v>
      </c>
      <c r="Z79" s="141" t="e">
        <f t="shared" si="15"/>
        <v>#N/A</v>
      </c>
      <c r="AA79" s="141" t="e">
        <f t="shared" si="15"/>
        <v>#N/A</v>
      </c>
      <c r="AB79" s="141" t="e">
        <f t="shared" si="15"/>
        <v>#N/A</v>
      </c>
      <c r="AC79" s="141" t="e">
        <f t="shared" si="15"/>
        <v>#N/A</v>
      </c>
      <c r="AD79" s="141" t="e">
        <f t="shared" si="15"/>
        <v>#N/A</v>
      </c>
      <c r="AE79" s="141" t="e">
        <f t="shared" si="15"/>
        <v>#N/A</v>
      </c>
      <c r="AF79" s="141" t="e">
        <f t="shared" si="15"/>
        <v>#N/A</v>
      </c>
      <c r="AG79" s="141" t="e">
        <f t="shared" si="15"/>
        <v>#N/A</v>
      </c>
      <c r="AH79" s="141" t="e">
        <f t="shared" si="15"/>
        <v>#N/A</v>
      </c>
      <c r="AI79" s="141" t="e">
        <f t="shared" si="15"/>
        <v>#N/A</v>
      </c>
      <c r="AJ79" s="141" t="e">
        <f t="shared" si="15"/>
        <v>#N/A</v>
      </c>
      <c r="AK79" s="141" t="e">
        <f t="shared" si="15"/>
        <v>#N/A</v>
      </c>
      <c r="AL79" s="141" t="e">
        <f t="shared" si="15"/>
        <v>#N/A</v>
      </c>
      <c r="AM79" s="141" t="e">
        <f t="shared" si="15"/>
        <v>#N/A</v>
      </c>
    </row>
    <row r="80" spans="2:39" x14ac:dyDescent="0.25">
      <c r="C80" s="56" t="s">
        <v>28</v>
      </c>
      <c r="D80" s="3" t="s">
        <v>176</v>
      </c>
      <c r="E80" s="136" t="e">
        <f t="shared" ref="E80:F80" si="19">E37/E$26</f>
        <v>#N/A</v>
      </c>
      <c r="F80" s="136" t="e">
        <f t="shared" si="19"/>
        <v>#N/A</v>
      </c>
      <c r="G80" s="136" t="e">
        <f t="shared" si="17"/>
        <v>#N/A</v>
      </c>
      <c r="H80" s="136" t="e">
        <f t="shared" si="17"/>
        <v>#N/A</v>
      </c>
      <c r="I80" s="136" t="e">
        <f t="shared" si="17"/>
        <v>#N/A</v>
      </c>
      <c r="J80" s="135" t="e">
        <f t="shared" si="17"/>
        <v>#N/A</v>
      </c>
      <c r="K80" s="92" t="e">
        <f t="shared" si="17"/>
        <v>#N/A</v>
      </c>
      <c r="L80" s="92" t="e">
        <f t="shared" si="17"/>
        <v>#N/A</v>
      </c>
      <c r="M80" s="92" t="e">
        <f t="shared" si="17"/>
        <v>#N/A</v>
      </c>
      <c r="N80" s="136" t="e">
        <f t="shared" si="17"/>
        <v>#N/A</v>
      </c>
      <c r="O80" s="135" t="e">
        <f t="shared" si="17"/>
        <v>#N/A</v>
      </c>
      <c r="P80" s="92" t="e">
        <f t="shared" si="17"/>
        <v>#N/A</v>
      </c>
      <c r="Q80" s="92" t="e">
        <f t="shared" si="17"/>
        <v>#N/A</v>
      </c>
      <c r="R80" s="92" t="e">
        <f t="shared" si="17"/>
        <v>#N/A</v>
      </c>
      <c r="S80" s="136" t="e">
        <f t="shared" si="17"/>
        <v>#N/A</v>
      </c>
      <c r="T80" s="136" t="e">
        <f t="shared" si="15"/>
        <v>#N/A</v>
      </c>
      <c r="U80" s="136" t="e">
        <f t="shared" si="15"/>
        <v>#N/A</v>
      </c>
      <c r="V80" s="136" t="e">
        <f t="shared" si="15"/>
        <v>#N/A</v>
      </c>
      <c r="W80" s="136" t="e">
        <f t="shared" si="15"/>
        <v>#N/A</v>
      </c>
      <c r="X80" s="141" t="e">
        <f t="shared" si="15"/>
        <v>#N/A</v>
      </c>
      <c r="Y80" s="141" t="e">
        <f t="shared" si="15"/>
        <v>#N/A</v>
      </c>
      <c r="Z80" s="141" t="e">
        <f t="shared" si="15"/>
        <v>#N/A</v>
      </c>
      <c r="AA80" s="141" t="e">
        <f t="shared" si="15"/>
        <v>#N/A</v>
      </c>
      <c r="AB80" s="141" t="e">
        <f t="shared" si="15"/>
        <v>#N/A</v>
      </c>
      <c r="AC80" s="141" t="e">
        <f t="shared" si="15"/>
        <v>#N/A</v>
      </c>
      <c r="AD80" s="141" t="e">
        <f t="shared" si="15"/>
        <v>#N/A</v>
      </c>
      <c r="AE80" s="141" t="e">
        <f t="shared" si="15"/>
        <v>#N/A</v>
      </c>
      <c r="AF80" s="141" t="e">
        <f t="shared" si="15"/>
        <v>#N/A</v>
      </c>
      <c r="AG80" s="141" t="e">
        <f t="shared" si="15"/>
        <v>#N/A</v>
      </c>
      <c r="AH80" s="141" t="e">
        <f t="shared" si="15"/>
        <v>#N/A</v>
      </c>
      <c r="AI80" s="141" t="e">
        <f t="shared" si="15"/>
        <v>#N/A</v>
      </c>
      <c r="AJ80" s="141" t="e">
        <f t="shared" si="15"/>
        <v>#N/A</v>
      </c>
      <c r="AK80" s="141" t="e">
        <f t="shared" si="15"/>
        <v>#N/A</v>
      </c>
      <c r="AL80" s="141" t="e">
        <f t="shared" si="15"/>
        <v>#N/A</v>
      </c>
      <c r="AM80" s="141" t="e">
        <f t="shared" si="15"/>
        <v>#N/A</v>
      </c>
    </row>
    <row r="81" spans="2:39" x14ac:dyDescent="0.25">
      <c r="C81" s="56" t="s">
        <v>29</v>
      </c>
      <c r="D81" s="3" t="s">
        <v>177</v>
      </c>
      <c r="E81" s="136" t="e">
        <f t="shared" ref="E81:F81" si="20">E38/E$26</f>
        <v>#N/A</v>
      </c>
      <c r="F81" s="136" t="e">
        <f t="shared" si="20"/>
        <v>#N/A</v>
      </c>
      <c r="G81" s="136" t="e">
        <f t="shared" si="17"/>
        <v>#N/A</v>
      </c>
      <c r="H81" s="136" t="e">
        <f t="shared" si="17"/>
        <v>#N/A</v>
      </c>
      <c r="I81" s="136" t="e">
        <f t="shared" si="17"/>
        <v>#N/A</v>
      </c>
      <c r="J81" s="135" t="e">
        <f t="shared" si="17"/>
        <v>#N/A</v>
      </c>
      <c r="K81" s="92" t="e">
        <f t="shared" si="17"/>
        <v>#N/A</v>
      </c>
      <c r="L81" s="92" t="e">
        <f t="shared" si="17"/>
        <v>#N/A</v>
      </c>
      <c r="M81" s="92" t="e">
        <f t="shared" si="17"/>
        <v>#N/A</v>
      </c>
      <c r="N81" s="136" t="e">
        <f t="shared" si="17"/>
        <v>#N/A</v>
      </c>
      <c r="O81" s="135" t="e">
        <f t="shared" si="17"/>
        <v>#N/A</v>
      </c>
      <c r="P81" s="92" t="e">
        <f t="shared" si="17"/>
        <v>#N/A</v>
      </c>
      <c r="Q81" s="92" t="e">
        <f t="shared" si="17"/>
        <v>#N/A</v>
      </c>
      <c r="R81" s="92" t="e">
        <f t="shared" si="17"/>
        <v>#N/A</v>
      </c>
      <c r="S81" s="136" t="e">
        <f t="shared" si="17"/>
        <v>#N/A</v>
      </c>
      <c r="T81" s="136" t="e">
        <f t="shared" si="15"/>
        <v>#N/A</v>
      </c>
      <c r="U81" s="136" t="e">
        <f t="shared" si="15"/>
        <v>#N/A</v>
      </c>
      <c r="V81" s="136" t="e">
        <f t="shared" si="15"/>
        <v>#N/A</v>
      </c>
      <c r="W81" s="136" t="e">
        <f t="shared" si="15"/>
        <v>#N/A</v>
      </c>
      <c r="X81" s="141" t="e">
        <f t="shared" si="15"/>
        <v>#N/A</v>
      </c>
      <c r="Y81" s="141" t="e">
        <f t="shared" si="15"/>
        <v>#N/A</v>
      </c>
      <c r="Z81" s="141" t="e">
        <f t="shared" si="15"/>
        <v>#N/A</v>
      </c>
      <c r="AA81" s="141" t="e">
        <f t="shared" si="15"/>
        <v>#N/A</v>
      </c>
      <c r="AB81" s="141" t="e">
        <f t="shared" si="15"/>
        <v>#N/A</v>
      </c>
      <c r="AC81" s="141" t="e">
        <f t="shared" si="15"/>
        <v>#N/A</v>
      </c>
      <c r="AD81" s="141" t="e">
        <f t="shared" si="15"/>
        <v>#N/A</v>
      </c>
      <c r="AE81" s="141" t="e">
        <f t="shared" si="15"/>
        <v>#N/A</v>
      </c>
      <c r="AF81" s="141" t="e">
        <f t="shared" si="15"/>
        <v>#N/A</v>
      </c>
      <c r="AG81" s="141" t="e">
        <f t="shared" si="15"/>
        <v>#N/A</v>
      </c>
      <c r="AH81" s="141" t="e">
        <f t="shared" si="15"/>
        <v>#N/A</v>
      </c>
      <c r="AI81" s="141" t="e">
        <f t="shared" si="15"/>
        <v>#N/A</v>
      </c>
      <c r="AJ81" s="141" t="e">
        <f t="shared" si="15"/>
        <v>#N/A</v>
      </c>
      <c r="AK81" s="141" t="e">
        <f t="shared" si="15"/>
        <v>#N/A</v>
      </c>
      <c r="AL81" s="141" t="e">
        <f t="shared" si="15"/>
        <v>#N/A</v>
      </c>
      <c r="AM81" s="141" t="e">
        <f t="shared" si="15"/>
        <v>#N/A</v>
      </c>
    </row>
    <row r="82" spans="2:39" x14ac:dyDescent="0.25">
      <c r="C82" s="56" t="s">
        <v>30</v>
      </c>
      <c r="D82" s="3" t="s">
        <v>178</v>
      </c>
      <c r="E82" s="136" t="e">
        <f t="shared" ref="E82:F82" si="21">E39/E$26</f>
        <v>#N/A</v>
      </c>
      <c r="F82" s="136" t="e">
        <f t="shared" si="21"/>
        <v>#N/A</v>
      </c>
      <c r="G82" s="136" t="e">
        <f t="shared" si="17"/>
        <v>#N/A</v>
      </c>
      <c r="H82" s="136" t="e">
        <f t="shared" si="17"/>
        <v>#N/A</v>
      </c>
      <c r="I82" s="136" t="e">
        <f t="shared" si="17"/>
        <v>#N/A</v>
      </c>
      <c r="J82" s="135" t="e">
        <f t="shared" si="17"/>
        <v>#N/A</v>
      </c>
      <c r="K82" s="92" t="e">
        <f t="shared" si="17"/>
        <v>#N/A</v>
      </c>
      <c r="L82" s="92" t="e">
        <f t="shared" si="17"/>
        <v>#N/A</v>
      </c>
      <c r="M82" s="92" t="e">
        <f t="shared" si="17"/>
        <v>#N/A</v>
      </c>
      <c r="N82" s="136" t="e">
        <f t="shared" si="17"/>
        <v>#N/A</v>
      </c>
      <c r="O82" s="135" t="e">
        <f t="shared" si="17"/>
        <v>#N/A</v>
      </c>
      <c r="P82" s="92" t="e">
        <f t="shared" si="17"/>
        <v>#N/A</v>
      </c>
      <c r="Q82" s="92" t="e">
        <f t="shared" si="17"/>
        <v>#N/A</v>
      </c>
      <c r="R82" s="92" t="e">
        <f t="shared" si="17"/>
        <v>#N/A</v>
      </c>
      <c r="S82" s="136" t="e">
        <f t="shared" si="17"/>
        <v>#N/A</v>
      </c>
      <c r="T82" s="136" t="e">
        <f t="shared" si="15"/>
        <v>#N/A</v>
      </c>
      <c r="U82" s="136" t="e">
        <f t="shared" si="15"/>
        <v>#N/A</v>
      </c>
      <c r="V82" s="136" t="e">
        <f t="shared" si="15"/>
        <v>#N/A</v>
      </c>
      <c r="W82" s="136" t="e">
        <f t="shared" si="15"/>
        <v>#N/A</v>
      </c>
      <c r="X82" s="141" t="e">
        <f t="shared" si="15"/>
        <v>#N/A</v>
      </c>
      <c r="Y82" s="141" t="e">
        <f t="shared" si="15"/>
        <v>#N/A</v>
      </c>
      <c r="Z82" s="141" t="e">
        <f t="shared" si="15"/>
        <v>#N/A</v>
      </c>
      <c r="AA82" s="141" t="e">
        <f t="shared" si="15"/>
        <v>#N/A</v>
      </c>
      <c r="AB82" s="141" t="e">
        <f t="shared" si="15"/>
        <v>#N/A</v>
      </c>
      <c r="AC82" s="141" t="e">
        <f t="shared" si="15"/>
        <v>#N/A</v>
      </c>
      <c r="AD82" s="141" t="e">
        <f t="shared" si="15"/>
        <v>#N/A</v>
      </c>
      <c r="AE82" s="141" t="e">
        <f t="shared" si="15"/>
        <v>#N/A</v>
      </c>
      <c r="AF82" s="141" t="e">
        <f t="shared" si="15"/>
        <v>#N/A</v>
      </c>
      <c r="AG82" s="141" t="e">
        <f t="shared" si="15"/>
        <v>#N/A</v>
      </c>
      <c r="AH82" s="141" t="e">
        <f t="shared" si="15"/>
        <v>#N/A</v>
      </c>
      <c r="AI82" s="141" t="e">
        <f t="shared" si="15"/>
        <v>#N/A</v>
      </c>
      <c r="AJ82" s="141" t="e">
        <f t="shared" si="15"/>
        <v>#N/A</v>
      </c>
      <c r="AK82" s="141" t="e">
        <f t="shared" si="15"/>
        <v>#N/A</v>
      </c>
      <c r="AL82" s="141" t="e">
        <f t="shared" si="15"/>
        <v>#N/A</v>
      </c>
      <c r="AM82" s="141" t="e">
        <f t="shared" si="15"/>
        <v>#N/A</v>
      </c>
    </row>
    <row r="83" spans="2:39" x14ac:dyDescent="0.25">
      <c r="C83" s="56" t="s">
        <v>31</v>
      </c>
      <c r="D83" s="3" t="s">
        <v>179</v>
      </c>
      <c r="E83" s="136" t="e">
        <f t="shared" ref="E83:F83" si="22">E40/E$26</f>
        <v>#N/A</v>
      </c>
      <c r="F83" s="136" t="e">
        <f t="shared" si="22"/>
        <v>#N/A</v>
      </c>
      <c r="G83" s="136" t="e">
        <f t="shared" si="17"/>
        <v>#N/A</v>
      </c>
      <c r="H83" s="136" t="e">
        <f t="shared" si="17"/>
        <v>#N/A</v>
      </c>
      <c r="I83" s="136" t="e">
        <f t="shared" si="17"/>
        <v>#N/A</v>
      </c>
      <c r="J83" s="135" t="e">
        <f t="shared" si="17"/>
        <v>#N/A</v>
      </c>
      <c r="K83" s="92" t="e">
        <f t="shared" si="17"/>
        <v>#N/A</v>
      </c>
      <c r="L83" s="92" t="e">
        <f t="shared" si="17"/>
        <v>#N/A</v>
      </c>
      <c r="M83" s="92" t="e">
        <f t="shared" si="17"/>
        <v>#N/A</v>
      </c>
      <c r="N83" s="136" t="e">
        <f t="shared" si="17"/>
        <v>#N/A</v>
      </c>
      <c r="O83" s="135" t="e">
        <f t="shared" si="17"/>
        <v>#N/A</v>
      </c>
      <c r="P83" s="92" t="e">
        <f t="shared" si="17"/>
        <v>#N/A</v>
      </c>
      <c r="Q83" s="92" t="e">
        <f t="shared" si="17"/>
        <v>#N/A</v>
      </c>
      <c r="R83" s="92" t="e">
        <f t="shared" si="17"/>
        <v>#N/A</v>
      </c>
      <c r="S83" s="136" t="e">
        <f t="shared" si="17"/>
        <v>#N/A</v>
      </c>
      <c r="T83" s="136" t="e">
        <f t="shared" si="15"/>
        <v>#N/A</v>
      </c>
      <c r="U83" s="136" t="e">
        <f t="shared" si="15"/>
        <v>#N/A</v>
      </c>
      <c r="V83" s="136" t="e">
        <f t="shared" si="15"/>
        <v>#N/A</v>
      </c>
      <c r="W83" s="136" t="e">
        <f t="shared" si="15"/>
        <v>#N/A</v>
      </c>
      <c r="X83" s="141" t="e">
        <f t="shared" si="15"/>
        <v>#N/A</v>
      </c>
      <c r="Y83" s="141" t="e">
        <f t="shared" si="15"/>
        <v>#N/A</v>
      </c>
      <c r="Z83" s="141" t="e">
        <f t="shared" si="15"/>
        <v>#N/A</v>
      </c>
      <c r="AA83" s="141" t="e">
        <f t="shared" si="15"/>
        <v>#N/A</v>
      </c>
      <c r="AB83" s="141" t="e">
        <f t="shared" si="15"/>
        <v>#N/A</v>
      </c>
      <c r="AC83" s="141" t="e">
        <f t="shared" si="15"/>
        <v>#N/A</v>
      </c>
      <c r="AD83" s="141" t="e">
        <f t="shared" si="15"/>
        <v>#N/A</v>
      </c>
      <c r="AE83" s="141" t="e">
        <f t="shared" si="15"/>
        <v>#N/A</v>
      </c>
      <c r="AF83" s="141" t="e">
        <f t="shared" si="15"/>
        <v>#N/A</v>
      </c>
      <c r="AG83" s="141" t="e">
        <f t="shared" si="15"/>
        <v>#N/A</v>
      </c>
      <c r="AH83" s="141" t="e">
        <f t="shared" si="15"/>
        <v>#N/A</v>
      </c>
      <c r="AI83" s="141" t="e">
        <f t="shared" si="15"/>
        <v>#N/A</v>
      </c>
      <c r="AJ83" s="141" t="e">
        <f t="shared" si="15"/>
        <v>#N/A</v>
      </c>
      <c r="AK83" s="141" t="e">
        <f t="shared" si="15"/>
        <v>#N/A</v>
      </c>
      <c r="AL83" s="141" t="e">
        <f t="shared" si="15"/>
        <v>#N/A</v>
      </c>
      <c r="AM83" s="141" t="e">
        <f t="shared" si="15"/>
        <v>#N/A</v>
      </c>
    </row>
    <row r="84" spans="2:39" x14ac:dyDescent="0.25">
      <c r="C84" s="56" t="s">
        <v>32</v>
      </c>
      <c r="D84" s="3" t="s">
        <v>180</v>
      </c>
      <c r="E84" s="136" t="e">
        <f t="shared" ref="E84:F84" si="23">E41/E$26</f>
        <v>#N/A</v>
      </c>
      <c r="F84" s="136" t="e">
        <f t="shared" si="23"/>
        <v>#N/A</v>
      </c>
      <c r="G84" s="136" t="e">
        <f t="shared" si="17"/>
        <v>#N/A</v>
      </c>
      <c r="H84" s="136" t="e">
        <f t="shared" si="17"/>
        <v>#N/A</v>
      </c>
      <c r="I84" s="136" t="e">
        <f t="shared" si="17"/>
        <v>#N/A</v>
      </c>
      <c r="J84" s="135" t="e">
        <f t="shared" si="17"/>
        <v>#N/A</v>
      </c>
      <c r="K84" s="92" t="e">
        <f t="shared" si="17"/>
        <v>#N/A</v>
      </c>
      <c r="L84" s="92" t="e">
        <f t="shared" si="17"/>
        <v>#N/A</v>
      </c>
      <c r="M84" s="92" t="e">
        <f t="shared" si="17"/>
        <v>#N/A</v>
      </c>
      <c r="N84" s="136" t="e">
        <f t="shared" si="17"/>
        <v>#N/A</v>
      </c>
      <c r="O84" s="135" t="e">
        <f t="shared" si="17"/>
        <v>#N/A</v>
      </c>
      <c r="P84" s="92" t="e">
        <f t="shared" si="17"/>
        <v>#N/A</v>
      </c>
      <c r="Q84" s="92" t="e">
        <f t="shared" si="17"/>
        <v>#N/A</v>
      </c>
      <c r="R84" s="92" t="e">
        <f t="shared" si="17"/>
        <v>#N/A</v>
      </c>
      <c r="S84" s="136" t="e">
        <f t="shared" si="17"/>
        <v>#N/A</v>
      </c>
      <c r="T84" s="136" t="e">
        <f t="shared" si="15"/>
        <v>#N/A</v>
      </c>
      <c r="U84" s="136" t="e">
        <f t="shared" si="15"/>
        <v>#N/A</v>
      </c>
      <c r="V84" s="136" t="e">
        <f t="shared" si="15"/>
        <v>#N/A</v>
      </c>
      <c r="W84" s="136" t="e">
        <f t="shared" si="15"/>
        <v>#N/A</v>
      </c>
      <c r="X84" s="141" t="e">
        <f t="shared" si="15"/>
        <v>#N/A</v>
      </c>
      <c r="Y84" s="141" t="e">
        <f t="shared" si="15"/>
        <v>#N/A</v>
      </c>
      <c r="Z84" s="141" t="e">
        <f t="shared" si="15"/>
        <v>#N/A</v>
      </c>
      <c r="AA84" s="141" t="e">
        <f t="shared" si="15"/>
        <v>#N/A</v>
      </c>
      <c r="AB84" s="141" t="e">
        <f t="shared" si="15"/>
        <v>#N/A</v>
      </c>
      <c r="AC84" s="141" t="e">
        <f t="shared" si="15"/>
        <v>#N/A</v>
      </c>
      <c r="AD84" s="141" t="e">
        <f t="shared" si="15"/>
        <v>#N/A</v>
      </c>
      <c r="AE84" s="141" t="e">
        <f t="shared" si="15"/>
        <v>#N/A</v>
      </c>
      <c r="AF84" s="141" t="e">
        <f t="shared" si="15"/>
        <v>#N/A</v>
      </c>
      <c r="AG84" s="141" t="e">
        <f t="shared" si="15"/>
        <v>#N/A</v>
      </c>
      <c r="AH84" s="141" t="e">
        <f t="shared" si="15"/>
        <v>#N/A</v>
      </c>
      <c r="AI84" s="141" t="e">
        <f t="shared" si="15"/>
        <v>#N/A</v>
      </c>
      <c r="AJ84" s="141" t="e">
        <f t="shared" si="15"/>
        <v>#N/A</v>
      </c>
      <c r="AK84" s="141" t="e">
        <f t="shared" si="15"/>
        <v>#N/A</v>
      </c>
      <c r="AL84" s="141" t="e">
        <f t="shared" si="15"/>
        <v>#N/A</v>
      </c>
      <c r="AM84" s="141" t="e">
        <f t="shared" si="15"/>
        <v>#N/A</v>
      </c>
    </row>
    <row r="85" spans="2:39" x14ac:dyDescent="0.25">
      <c r="C85" s="80" t="s">
        <v>33</v>
      </c>
      <c r="D85" s="7" t="s">
        <v>181</v>
      </c>
      <c r="E85" s="138" t="e">
        <f t="shared" ref="E85:F85" si="24">E42/E$26</f>
        <v>#N/A</v>
      </c>
      <c r="F85" s="138" t="e">
        <f t="shared" si="24"/>
        <v>#N/A</v>
      </c>
      <c r="G85" s="138" t="e">
        <f t="shared" si="17"/>
        <v>#N/A</v>
      </c>
      <c r="H85" s="138" t="e">
        <f t="shared" si="17"/>
        <v>#N/A</v>
      </c>
      <c r="I85" s="138" t="e">
        <f t="shared" si="17"/>
        <v>#N/A</v>
      </c>
      <c r="J85" s="137" t="e">
        <f t="shared" si="17"/>
        <v>#N/A</v>
      </c>
      <c r="K85" s="94" t="e">
        <f t="shared" si="17"/>
        <v>#N/A</v>
      </c>
      <c r="L85" s="94" t="e">
        <f t="shared" si="17"/>
        <v>#N/A</v>
      </c>
      <c r="M85" s="94" t="e">
        <f t="shared" si="17"/>
        <v>#N/A</v>
      </c>
      <c r="N85" s="138" t="e">
        <f t="shared" si="17"/>
        <v>#N/A</v>
      </c>
      <c r="O85" s="137" t="e">
        <f t="shared" si="17"/>
        <v>#N/A</v>
      </c>
      <c r="P85" s="94" t="e">
        <f t="shared" si="17"/>
        <v>#N/A</v>
      </c>
      <c r="Q85" s="94" t="e">
        <f t="shared" si="17"/>
        <v>#N/A</v>
      </c>
      <c r="R85" s="94" t="e">
        <f t="shared" si="17"/>
        <v>#N/A</v>
      </c>
      <c r="S85" s="138" t="e">
        <f t="shared" si="17"/>
        <v>#N/A</v>
      </c>
      <c r="T85" s="138" t="e">
        <f t="shared" si="15"/>
        <v>#N/A</v>
      </c>
      <c r="U85" s="138" t="e">
        <f t="shared" si="15"/>
        <v>#N/A</v>
      </c>
      <c r="V85" s="138" t="e">
        <f t="shared" si="15"/>
        <v>#N/A</v>
      </c>
      <c r="W85" s="138" t="e">
        <f t="shared" si="15"/>
        <v>#N/A</v>
      </c>
      <c r="X85" s="142" t="e">
        <f t="shared" si="15"/>
        <v>#N/A</v>
      </c>
      <c r="Y85" s="142" t="e">
        <f t="shared" si="15"/>
        <v>#N/A</v>
      </c>
      <c r="Z85" s="142" t="e">
        <f t="shared" si="15"/>
        <v>#N/A</v>
      </c>
      <c r="AA85" s="142" t="e">
        <f t="shared" si="15"/>
        <v>#N/A</v>
      </c>
      <c r="AB85" s="142" t="e">
        <f t="shared" si="15"/>
        <v>#N/A</v>
      </c>
      <c r="AC85" s="142" t="e">
        <f t="shared" si="15"/>
        <v>#N/A</v>
      </c>
      <c r="AD85" s="142" t="e">
        <f t="shared" si="15"/>
        <v>#N/A</v>
      </c>
      <c r="AE85" s="142" t="e">
        <f t="shared" si="15"/>
        <v>#N/A</v>
      </c>
      <c r="AF85" s="142" t="e">
        <f t="shared" si="15"/>
        <v>#N/A</v>
      </c>
      <c r="AG85" s="142" t="e">
        <f t="shared" si="15"/>
        <v>#N/A</v>
      </c>
      <c r="AH85" s="142" t="e">
        <f t="shared" si="15"/>
        <v>#N/A</v>
      </c>
      <c r="AI85" s="142" t="e">
        <f t="shared" si="15"/>
        <v>#N/A</v>
      </c>
      <c r="AJ85" s="142" t="e">
        <f t="shared" si="15"/>
        <v>#N/A</v>
      </c>
      <c r="AK85" s="142" t="e">
        <f t="shared" si="15"/>
        <v>#N/A</v>
      </c>
      <c r="AL85" s="142" t="e">
        <f t="shared" si="15"/>
        <v>#N/A</v>
      </c>
      <c r="AM85" s="142" t="e">
        <f t="shared" si="15"/>
        <v>#N/A</v>
      </c>
    </row>
    <row r="86" spans="2:39" x14ac:dyDescent="0.25">
      <c r="C86" s="56"/>
      <c r="D86" s="3"/>
      <c r="E86" s="136"/>
      <c r="F86" s="136"/>
      <c r="G86" s="136"/>
      <c r="H86" s="136"/>
      <c r="I86" s="136"/>
      <c r="J86" s="135"/>
      <c r="K86" s="92"/>
      <c r="L86" s="92"/>
      <c r="M86" s="92"/>
      <c r="N86" s="136"/>
      <c r="O86" s="135"/>
      <c r="P86" s="92"/>
      <c r="Q86" s="92"/>
      <c r="R86" s="92"/>
      <c r="S86" s="136"/>
      <c r="T86" s="136"/>
      <c r="U86" s="136"/>
      <c r="V86" s="136"/>
      <c r="W86" s="136"/>
      <c r="X86" s="141"/>
      <c r="Y86" s="141"/>
      <c r="Z86" s="141"/>
      <c r="AA86" s="141"/>
      <c r="AB86" s="141"/>
      <c r="AC86" s="141"/>
      <c r="AD86" s="141"/>
      <c r="AE86" s="141"/>
      <c r="AF86" s="141"/>
      <c r="AG86" s="141"/>
      <c r="AH86" s="141"/>
      <c r="AI86" s="141"/>
      <c r="AJ86" s="141"/>
      <c r="AK86" s="141"/>
      <c r="AL86" s="141"/>
      <c r="AM86" s="141"/>
    </row>
    <row r="87" spans="2:39" x14ac:dyDescent="0.25">
      <c r="B87" s="23" t="s">
        <v>165</v>
      </c>
      <c r="C87" s="82" t="s">
        <v>134</v>
      </c>
      <c r="D87" s="82" t="s">
        <v>45</v>
      </c>
      <c r="E87" s="125" t="e">
        <f t="shared" ref="E87:AM87" si="25">E44</f>
        <v>#N/A</v>
      </c>
      <c r="F87" s="125" t="e">
        <f t="shared" si="25"/>
        <v>#N/A</v>
      </c>
      <c r="G87" s="125" t="e">
        <f t="shared" si="25"/>
        <v>#N/A</v>
      </c>
      <c r="H87" s="125" t="e">
        <f t="shared" si="25"/>
        <v>#N/A</v>
      </c>
      <c r="I87" s="125" t="e">
        <f t="shared" si="25"/>
        <v>#N/A</v>
      </c>
      <c r="J87" s="124" t="e">
        <f t="shared" si="25"/>
        <v>#N/A</v>
      </c>
      <c r="K87" s="75" t="e">
        <f t="shared" si="25"/>
        <v>#N/A</v>
      </c>
      <c r="L87" s="75" t="e">
        <f t="shared" si="25"/>
        <v>#N/A</v>
      </c>
      <c r="M87" s="75" t="e">
        <f t="shared" si="25"/>
        <v>#N/A</v>
      </c>
      <c r="N87" s="125" t="e">
        <f t="shared" si="25"/>
        <v>#N/A</v>
      </c>
      <c r="O87" s="124" t="e">
        <f t="shared" si="25"/>
        <v>#N/A</v>
      </c>
      <c r="P87" s="75" t="e">
        <f t="shared" si="25"/>
        <v>#N/A</v>
      </c>
      <c r="Q87" s="75" t="e">
        <f t="shared" si="25"/>
        <v>#N/A</v>
      </c>
      <c r="R87" s="75" t="e">
        <f t="shared" si="25"/>
        <v>#N/A</v>
      </c>
      <c r="S87" s="125" t="e">
        <f t="shared" si="25"/>
        <v>#N/A</v>
      </c>
      <c r="T87" s="125" t="e">
        <f t="shared" si="25"/>
        <v>#N/A</v>
      </c>
      <c r="U87" s="125" t="e">
        <f t="shared" si="25"/>
        <v>#N/A</v>
      </c>
      <c r="V87" s="125" t="e">
        <f t="shared" si="25"/>
        <v>#N/A</v>
      </c>
      <c r="W87" s="125" t="e">
        <f t="shared" si="25"/>
        <v>#N/A</v>
      </c>
      <c r="X87" s="129" t="e">
        <f t="shared" si="25"/>
        <v>#N/A</v>
      </c>
      <c r="Y87" s="129" t="e">
        <f t="shared" si="25"/>
        <v>#N/A</v>
      </c>
      <c r="Z87" s="129" t="e">
        <f t="shared" si="25"/>
        <v>#N/A</v>
      </c>
      <c r="AA87" s="129" t="e">
        <f t="shared" si="25"/>
        <v>#N/A</v>
      </c>
      <c r="AB87" s="129" t="e">
        <f t="shared" si="25"/>
        <v>#N/A</v>
      </c>
      <c r="AC87" s="129" t="e">
        <f t="shared" si="25"/>
        <v>#N/A</v>
      </c>
      <c r="AD87" s="129" t="e">
        <f t="shared" si="25"/>
        <v>#N/A</v>
      </c>
      <c r="AE87" s="129" t="e">
        <f t="shared" si="25"/>
        <v>#N/A</v>
      </c>
      <c r="AF87" s="129" t="e">
        <f t="shared" si="25"/>
        <v>#N/A</v>
      </c>
      <c r="AG87" s="129" t="e">
        <f t="shared" si="25"/>
        <v>#N/A</v>
      </c>
      <c r="AH87" s="129" t="e">
        <f t="shared" si="25"/>
        <v>#N/A</v>
      </c>
      <c r="AI87" s="129" t="e">
        <f t="shared" si="25"/>
        <v>#N/A</v>
      </c>
      <c r="AJ87" s="129" t="e">
        <f t="shared" si="25"/>
        <v>#N/A</v>
      </c>
      <c r="AK87" s="129" t="e">
        <f t="shared" si="25"/>
        <v>#N/A</v>
      </c>
      <c r="AL87" s="129" t="e">
        <f t="shared" si="25"/>
        <v>#N/A</v>
      </c>
      <c r="AM87" s="129" t="e">
        <f t="shared" si="25"/>
        <v>#N/A</v>
      </c>
    </row>
    <row r="88" spans="2:39" x14ac:dyDescent="0.25">
      <c r="C88" s="56" t="s">
        <v>8</v>
      </c>
      <c r="D88" s="78" t="s">
        <v>182</v>
      </c>
      <c r="E88" s="136" t="e">
        <f t="shared" ref="E88:AM91" si="26">E45/E$44</f>
        <v>#N/A</v>
      </c>
      <c r="F88" s="136" t="e">
        <f t="shared" si="26"/>
        <v>#N/A</v>
      </c>
      <c r="G88" s="136" t="e">
        <f t="shared" si="26"/>
        <v>#N/A</v>
      </c>
      <c r="H88" s="136" t="e">
        <f t="shared" si="26"/>
        <v>#N/A</v>
      </c>
      <c r="I88" s="136" t="e">
        <f t="shared" si="26"/>
        <v>#N/A</v>
      </c>
      <c r="J88" s="135" t="e">
        <f t="shared" si="26"/>
        <v>#N/A</v>
      </c>
      <c r="K88" s="92" t="e">
        <f t="shared" si="26"/>
        <v>#N/A</v>
      </c>
      <c r="L88" s="92" t="e">
        <f t="shared" si="26"/>
        <v>#N/A</v>
      </c>
      <c r="M88" s="92" t="e">
        <f t="shared" si="26"/>
        <v>#N/A</v>
      </c>
      <c r="N88" s="136" t="e">
        <f t="shared" si="26"/>
        <v>#N/A</v>
      </c>
      <c r="O88" s="135" t="e">
        <f t="shared" si="26"/>
        <v>#N/A</v>
      </c>
      <c r="P88" s="92" t="e">
        <f t="shared" si="26"/>
        <v>#N/A</v>
      </c>
      <c r="Q88" s="92" t="e">
        <f t="shared" si="26"/>
        <v>#N/A</v>
      </c>
      <c r="R88" s="92" t="e">
        <f t="shared" si="26"/>
        <v>#N/A</v>
      </c>
      <c r="S88" s="136" t="e">
        <f t="shared" si="26"/>
        <v>#N/A</v>
      </c>
      <c r="T88" s="136" t="e">
        <f t="shared" si="26"/>
        <v>#N/A</v>
      </c>
      <c r="U88" s="136" t="e">
        <f t="shared" si="26"/>
        <v>#N/A</v>
      </c>
      <c r="V88" s="136" t="e">
        <f t="shared" si="26"/>
        <v>#N/A</v>
      </c>
      <c r="W88" s="136" t="e">
        <f t="shared" si="26"/>
        <v>#N/A</v>
      </c>
      <c r="X88" s="141" t="e">
        <f t="shared" si="26"/>
        <v>#N/A</v>
      </c>
      <c r="Y88" s="141" t="e">
        <f t="shared" si="26"/>
        <v>#N/A</v>
      </c>
      <c r="Z88" s="141" t="e">
        <f t="shared" si="26"/>
        <v>#N/A</v>
      </c>
      <c r="AA88" s="141" t="e">
        <f t="shared" si="26"/>
        <v>#N/A</v>
      </c>
      <c r="AB88" s="141" t="e">
        <f t="shared" si="26"/>
        <v>#N/A</v>
      </c>
      <c r="AC88" s="141" t="e">
        <f t="shared" si="26"/>
        <v>#N/A</v>
      </c>
      <c r="AD88" s="141" t="e">
        <f t="shared" si="26"/>
        <v>#N/A</v>
      </c>
      <c r="AE88" s="141" t="e">
        <f t="shared" si="26"/>
        <v>#N/A</v>
      </c>
      <c r="AF88" s="141" t="e">
        <f t="shared" si="26"/>
        <v>#N/A</v>
      </c>
      <c r="AG88" s="141" t="e">
        <f t="shared" si="26"/>
        <v>#N/A</v>
      </c>
      <c r="AH88" s="141" t="e">
        <f t="shared" si="26"/>
        <v>#N/A</v>
      </c>
      <c r="AI88" s="141" t="e">
        <f t="shared" si="26"/>
        <v>#N/A</v>
      </c>
      <c r="AJ88" s="141" t="e">
        <f t="shared" si="26"/>
        <v>#N/A</v>
      </c>
      <c r="AK88" s="141" t="e">
        <f t="shared" si="26"/>
        <v>#N/A</v>
      </c>
      <c r="AL88" s="141" t="e">
        <f t="shared" si="26"/>
        <v>#N/A</v>
      </c>
      <c r="AM88" s="141" t="e">
        <f t="shared" si="26"/>
        <v>#N/A</v>
      </c>
    </row>
    <row r="89" spans="2:39" x14ac:dyDescent="0.25">
      <c r="C89" s="56" t="s">
        <v>6</v>
      </c>
      <c r="D89" s="3" t="s">
        <v>183</v>
      </c>
      <c r="E89" s="136" t="e">
        <f t="shared" si="26"/>
        <v>#N/A</v>
      </c>
      <c r="F89" s="136" t="e">
        <f t="shared" si="26"/>
        <v>#N/A</v>
      </c>
      <c r="G89" s="136" t="e">
        <f t="shared" si="26"/>
        <v>#N/A</v>
      </c>
      <c r="H89" s="136" t="e">
        <f t="shared" si="26"/>
        <v>#N/A</v>
      </c>
      <c r="I89" s="136" t="e">
        <f t="shared" si="26"/>
        <v>#N/A</v>
      </c>
      <c r="J89" s="135" t="e">
        <f t="shared" si="26"/>
        <v>#N/A</v>
      </c>
      <c r="K89" s="92" t="e">
        <f t="shared" si="26"/>
        <v>#N/A</v>
      </c>
      <c r="L89" s="92" t="e">
        <f t="shared" si="26"/>
        <v>#N/A</v>
      </c>
      <c r="M89" s="92" t="e">
        <f t="shared" si="26"/>
        <v>#N/A</v>
      </c>
      <c r="N89" s="136" t="e">
        <f t="shared" si="26"/>
        <v>#N/A</v>
      </c>
      <c r="O89" s="135" t="e">
        <f t="shared" si="26"/>
        <v>#N/A</v>
      </c>
      <c r="P89" s="92" t="e">
        <f t="shared" si="26"/>
        <v>#N/A</v>
      </c>
      <c r="Q89" s="92" t="e">
        <f t="shared" si="26"/>
        <v>#N/A</v>
      </c>
      <c r="R89" s="92" t="e">
        <f t="shared" si="26"/>
        <v>#N/A</v>
      </c>
      <c r="S89" s="136" t="e">
        <f t="shared" si="26"/>
        <v>#N/A</v>
      </c>
      <c r="T89" s="136" t="e">
        <f t="shared" si="26"/>
        <v>#N/A</v>
      </c>
      <c r="U89" s="136" t="e">
        <f t="shared" si="26"/>
        <v>#N/A</v>
      </c>
      <c r="V89" s="136" t="e">
        <f t="shared" si="26"/>
        <v>#N/A</v>
      </c>
      <c r="W89" s="136" t="e">
        <f t="shared" si="26"/>
        <v>#N/A</v>
      </c>
      <c r="X89" s="141" t="e">
        <f t="shared" si="26"/>
        <v>#N/A</v>
      </c>
      <c r="Y89" s="141" t="e">
        <f t="shared" si="26"/>
        <v>#N/A</v>
      </c>
      <c r="Z89" s="141" t="e">
        <f t="shared" si="26"/>
        <v>#N/A</v>
      </c>
      <c r="AA89" s="141" t="e">
        <f t="shared" si="26"/>
        <v>#N/A</v>
      </c>
      <c r="AB89" s="141" t="e">
        <f t="shared" si="26"/>
        <v>#N/A</v>
      </c>
      <c r="AC89" s="141" t="e">
        <f t="shared" si="26"/>
        <v>#N/A</v>
      </c>
      <c r="AD89" s="141" t="e">
        <f t="shared" si="26"/>
        <v>#N/A</v>
      </c>
      <c r="AE89" s="141" t="e">
        <f t="shared" si="26"/>
        <v>#N/A</v>
      </c>
      <c r="AF89" s="141" t="e">
        <f t="shared" si="26"/>
        <v>#N/A</v>
      </c>
      <c r="AG89" s="141" t="e">
        <f t="shared" si="26"/>
        <v>#N/A</v>
      </c>
      <c r="AH89" s="141" t="e">
        <f t="shared" si="26"/>
        <v>#N/A</v>
      </c>
      <c r="AI89" s="141" t="e">
        <f t="shared" si="26"/>
        <v>#N/A</v>
      </c>
      <c r="AJ89" s="141" t="e">
        <f t="shared" si="26"/>
        <v>#N/A</v>
      </c>
      <c r="AK89" s="141" t="e">
        <f t="shared" si="26"/>
        <v>#N/A</v>
      </c>
      <c r="AL89" s="141" t="e">
        <f t="shared" si="26"/>
        <v>#N/A</v>
      </c>
      <c r="AM89" s="141" t="e">
        <f t="shared" si="26"/>
        <v>#N/A</v>
      </c>
    </row>
    <row r="90" spans="2:39" x14ac:dyDescent="0.25">
      <c r="C90" s="56" t="s">
        <v>34</v>
      </c>
      <c r="D90" s="3" t="s">
        <v>159</v>
      </c>
      <c r="E90" s="136" t="e">
        <f t="shared" si="26"/>
        <v>#N/A</v>
      </c>
      <c r="F90" s="136" t="e">
        <f t="shared" si="26"/>
        <v>#N/A</v>
      </c>
      <c r="G90" s="136" t="e">
        <f t="shared" si="26"/>
        <v>#N/A</v>
      </c>
      <c r="H90" s="136" t="e">
        <f t="shared" si="26"/>
        <v>#N/A</v>
      </c>
      <c r="I90" s="136" t="e">
        <f t="shared" si="26"/>
        <v>#N/A</v>
      </c>
      <c r="J90" s="135" t="e">
        <f t="shared" si="26"/>
        <v>#N/A</v>
      </c>
      <c r="K90" s="92" t="e">
        <f t="shared" si="26"/>
        <v>#N/A</v>
      </c>
      <c r="L90" s="92" t="e">
        <f t="shared" si="26"/>
        <v>#N/A</v>
      </c>
      <c r="M90" s="92" t="e">
        <f t="shared" si="26"/>
        <v>#N/A</v>
      </c>
      <c r="N90" s="136" t="e">
        <f t="shared" si="26"/>
        <v>#N/A</v>
      </c>
      <c r="O90" s="135" t="e">
        <f t="shared" si="26"/>
        <v>#N/A</v>
      </c>
      <c r="P90" s="92" t="e">
        <f t="shared" si="26"/>
        <v>#N/A</v>
      </c>
      <c r="Q90" s="92" t="e">
        <f t="shared" si="26"/>
        <v>#N/A</v>
      </c>
      <c r="R90" s="92" t="e">
        <f t="shared" si="26"/>
        <v>#N/A</v>
      </c>
      <c r="S90" s="136" t="e">
        <f t="shared" si="26"/>
        <v>#N/A</v>
      </c>
      <c r="T90" s="136" t="e">
        <f t="shared" si="26"/>
        <v>#N/A</v>
      </c>
      <c r="U90" s="136" t="e">
        <f t="shared" si="26"/>
        <v>#N/A</v>
      </c>
      <c r="V90" s="136" t="e">
        <f t="shared" si="26"/>
        <v>#N/A</v>
      </c>
      <c r="W90" s="136" t="e">
        <f t="shared" si="26"/>
        <v>#N/A</v>
      </c>
      <c r="X90" s="141" t="e">
        <f t="shared" si="26"/>
        <v>#N/A</v>
      </c>
      <c r="Y90" s="141" t="e">
        <f t="shared" si="26"/>
        <v>#N/A</v>
      </c>
      <c r="Z90" s="141" t="e">
        <f t="shared" si="26"/>
        <v>#N/A</v>
      </c>
      <c r="AA90" s="141" t="e">
        <f t="shared" si="26"/>
        <v>#N/A</v>
      </c>
      <c r="AB90" s="141" t="e">
        <f t="shared" si="26"/>
        <v>#N/A</v>
      </c>
      <c r="AC90" s="141" t="e">
        <f t="shared" si="26"/>
        <v>#N/A</v>
      </c>
      <c r="AD90" s="141" t="e">
        <f t="shared" si="26"/>
        <v>#N/A</v>
      </c>
      <c r="AE90" s="141" t="e">
        <f t="shared" si="26"/>
        <v>#N/A</v>
      </c>
      <c r="AF90" s="141" t="e">
        <f t="shared" si="26"/>
        <v>#N/A</v>
      </c>
      <c r="AG90" s="141" t="e">
        <f t="shared" si="26"/>
        <v>#N/A</v>
      </c>
      <c r="AH90" s="141" t="e">
        <f t="shared" si="26"/>
        <v>#N/A</v>
      </c>
      <c r="AI90" s="141" t="e">
        <f t="shared" si="26"/>
        <v>#N/A</v>
      </c>
      <c r="AJ90" s="141" t="e">
        <f t="shared" si="26"/>
        <v>#N/A</v>
      </c>
      <c r="AK90" s="141" t="e">
        <f t="shared" si="26"/>
        <v>#N/A</v>
      </c>
      <c r="AL90" s="141" t="e">
        <f t="shared" si="26"/>
        <v>#N/A</v>
      </c>
      <c r="AM90" s="141" t="e">
        <f t="shared" si="26"/>
        <v>#N/A</v>
      </c>
    </row>
    <row r="91" spans="2:39" x14ac:dyDescent="0.25">
      <c r="C91" s="56" t="s">
        <v>35</v>
      </c>
      <c r="D91" s="3" t="s">
        <v>184</v>
      </c>
      <c r="E91" s="136" t="e">
        <f t="shared" si="26"/>
        <v>#N/A</v>
      </c>
      <c r="F91" s="136" t="e">
        <f t="shared" si="26"/>
        <v>#N/A</v>
      </c>
      <c r="G91" s="136" t="e">
        <f t="shared" si="26"/>
        <v>#N/A</v>
      </c>
      <c r="H91" s="136" t="e">
        <f t="shared" si="26"/>
        <v>#N/A</v>
      </c>
      <c r="I91" s="136" t="e">
        <f t="shared" si="26"/>
        <v>#N/A</v>
      </c>
      <c r="J91" s="135" t="e">
        <f t="shared" si="26"/>
        <v>#N/A</v>
      </c>
      <c r="K91" s="92" t="e">
        <f t="shared" si="26"/>
        <v>#N/A</v>
      </c>
      <c r="L91" s="92" t="e">
        <f t="shared" si="26"/>
        <v>#N/A</v>
      </c>
      <c r="M91" s="92" t="e">
        <f t="shared" si="26"/>
        <v>#N/A</v>
      </c>
      <c r="N91" s="136" t="e">
        <f t="shared" si="26"/>
        <v>#N/A</v>
      </c>
      <c r="O91" s="135" t="e">
        <f t="shared" si="26"/>
        <v>#N/A</v>
      </c>
      <c r="P91" s="92" t="e">
        <f t="shared" si="26"/>
        <v>#N/A</v>
      </c>
      <c r="Q91" s="92" t="e">
        <f t="shared" si="26"/>
        <v>#N/A</v>
      </c>
      <c r="R91" s="92" t="e">
        <f t="shared" si="26"/>
        <v>#N/A</v>
      </c>
      <c r="S91" s="136" t="e">
        <f t="shared" si="26"/>
        <v>#N/A</v>
      </c>
      <c r="T91" s="136" t="e">
        <f t="shared" si="26"/>
        <v>#N/A</v>
      </c>
      <c r="U91" s="136" t="e">
        <f t="shared" si="26"/>
        <v>#N/A</v>
      </c>
      <c r="V91" s="136" t="e">
        <f t="shared" si="26"/>
        <v>#N/A</v>
      </c>
      <c r="W91" s="136" t="e">
        <f t="shared" si="26"/>
        <v>#N/A</v>
      </c>
      <c r="X91" s="141" t="e">
        <f t="shared" si="26"/>
        <v>#N/A</v>
      </c>
      <c r="Y91" s="141" t="e">
        <f t="shared" si="26"/>
        <v>#N/A</v>
      </c>
      <c r="Z91" s="141" t="e">
        <f t="shared" si="26"/>
        <v>#N/A</v>
      </c>
      <c r="AA91" s="141" t="e">
        <f t="shared" si="26"/>
        <v>#N/A</v>
      </c>
      <c r="AB91" s="141" t="e">
        <f t="shared" si="26"/>
        <v>#N/A</v>
      </c>
      <c r="AC91" s="141" t="e">
        <f t="shared" si="26"/>
        <v>#N/A</v>
      </c>
      <c r="AD91" s="141" t="e">
        <f t="shared" si="26"/>
        <v>#N/A</v>
      </c>
      <c r="AE91" s="141" t="e">
        <f t="shared" si="26"/>
        <v>#N/A</v>
      </c>
      <c r="AF91" s="141" t="e">
        <f t="shared" si="26"/>
        <v>#N/A</v>
      </c>
      <c r="AG91" s="141" t="e">
        <f t="shared" si="26"/>
        <v>#N/A</v>
      </c>
      <c r="AH91" s="141" t="e">
        <f t="shared" si="26"/>
        <v>#N/A</v>
      </c>
      <c r="AI91" s="141" t="e">
        <f t="shared" si="26"/>
        <v>#N/A</v>
      </c>
      <c r="AJ91" s="141" t="e">
        <f t="shared" si="26"/>
        <v>#N/A</v>
      </c>
      <c r="AK91" s="141" t="e">
        <f t="shared" si="26"/>
        <v>#N/A</v>
      </c>
      <c r="AL91" s="141" t="e">
        <f t="shared" si="26"/>
        <v>#N/A</v>
      </c>
      <c r="AM91" s="141" t="e">
        <f t="shared" si="26"/>
        <v>#N/A</v>
      </c>
    </row>
    <row r="92" spans="2:39" x14ac:dyDescent="0.25">
      <c r="C92" s="82" t="s">
        <v>134</v>
      </c>
      <c r="D92" s="82" t="s">
        <v>45</v>
      </c>
      <c r="E92" s="83" t="e">
        <f>E44</f>
        <v>#N/A</v>
      </c>
      <c r="F92" s="83" t="e">
        <f t="shared" ref="F92:AM92" si="27">F44</f>
        <v>#N/A</v>
      </c>
      <c r="G92" s="83" t="e">
        <f t="shared" si="27"/>
        <v>#N/A</v>
      </c>
      <c r="H92" s="83" t="e">
        <f t="shared" si="27"/>
        <v>#N/A</v>
      </c>
      <c r="I92" s="83" t="e">
        <f t="shared" si="27"/>
        <v>#N/A</v>
      </c>
      <c r="J92" s="83" t="e">
        <f t="shared" si="27"/>
        <v>#N/A</v>
      </c>
      <c r="K92" s="83" t="e">
        <f t="shared" si="27"/>
        <v>#N/A</v>
      </c>
      <c r="L92" s="83" t="e">
        <f t="shared" si="27"/>
        <v>#N/A</v>
      </c>
      <c r="M92" s="83" t="e">
        <f t="shared" si="27"/>
        <v>#N/A</v>
      </c>
      <c r="N92" s="83" t="e">
        <f t="shared" si="27"/>
        <v>#N/A</v>
      </c>
      <c r="O92" s="83" t="e">
        <f t="shared" si="27"/>
        <v>#N/A</v>
      </c>
      <c r="P92" s="83" t="e">
        <f t="shared" si="27"/>
        <v>#N/A</v>
      </c>
      <c r="Q92" s="83" t="e">
        <f t="shared" si="27"/>
        <v>#N/A</v>
      </c>
      <c r="R92" s="83" t="e">
        <f t="shared" si="27"/>
        <v>#N/A</v>
      </c>
      <c r="S92" s="83" t="e">
        <f t="shared" si="27"/>
        <v>#N/A</v>
      </c>
      <c r="T92" s="83" t="e">
        <f t="shared" si="27"/>
        <v>#N/A</v>
      </c>
      <c r="U92" s="83" t="e">
        <f t="shared" si="27"/>
        <v>#N/A</v>
      </c>
      <c r="V92" s="83" t="e">
        <f t="shared" si="27"/>
        <v>#N/A</v>
      </c>
      <c r="W92" s="83" t="e">
        <f t="shared" si="27"/>
        <v>#N/A</v>
      </c>
      <c r="X92" s="83" t="e">
        <f t="shared" si="27"/>
        <v>#N/A</v>
      </c>
      <c r="Y92" s="83" t="e">
        <f t="shared" si="27"/>
        <v>#N/A</v>
      </c>
      <c r="Z92" s="83" t="e">
        <f t="shared" si="27"/>
        <v>#N/A</v>
      </c>
      <c r="AA92" s="83" t="e">
        <f t="shared" si="27"/>
        <v>#N/A</v>
      </c>
      <c r="AB92" s="83" t="e">
        <f t="shared" si="27"/>
        <v>#N/A</v>
      </c>
      <c r="AC92" s="83" t="e">
        <f t="shared" si="27"/>
        <v>#N/A</v>
      </c>
      <c r="AD92" s="83" t="e">
        <f t="shared" si="27"/>
        <v>#N/A</v>
      </c>
      <c r="AE92" s="83" t="e">
        <f t="shared" si="27"/>
        <v>#N/A</v>
      </c>
      <c r="AF92" s="83" t="e">
        <f t="shared" si="27"/>
        <v>#N/A</v>
      </c>
      <c r="AG92" s="83" t="e">
        <f t="shared" si="27"/>
        <v>#N/A</v>
      </c>
      <c r="AH92" s="83" t="e">
        <f t="shared" si="27"/>
        <v>#N/A</v>
      </c>
      <c r="AI92" s="83" t="e">
        <f t="shared" si="27"/>
        <v>#N/A</v>
      </c>
      <c r="AJ92" s="83" t="e">
        <f t="shared" si="27"/>
        <v>#N/A</v>
      </c>
      <c r="AK92" s="83" t="e">
        <f t="shared" si="27"/>
        <v>#N/A</v>
      </c>
      <c r="AL92" s="83" t="e">
        <f t="shared" si="27"/>
        <v>#N/A</v>
      </c>
      <c r="AM92" s="83" t="e">
        <f t="shared" si="27"/>
        <v>#N/A</v>
      </c>
    </row>
    <row r="93" spans="2:39" x14ac:dyDescent="0.25">
      <c r="C93" s="84" t="s">
        <v>94</v>
      </c>
      <c r="D93" s="3" t="s">
        <v>159</v>
      </c>
      <c r="E93" s="153" t="e">
        <f t="shared" ref="E93:AM100" si="28">E50/E$49</f>
        <v>#N/A</v>
      </c>
      <c r="F93" s="153" t="e">
        <f t="shared" si="28"/>
        <v>#N/A</v>
      </c>
      <c r="G93" s="153" t="e">
        <f t="shared" si="28"/>
        <v>#N/A</v>
      </c>
      <c r="H93" s="153" t="e">
        <f t="shared" si="28"/>
        <v>#N/A</v>
      </c>
      <c r="I93" s="153" t="e">
        <f t="shared" si="28"/>
        <v>#N/A</v>
      </c>
      <c r="J93" s="152" t="e">
        <f t="shared" si="28"/>
        <v>#N/A</v>
      </c>
      <c r="K93" s="95" t="e">
        <f t="shared" si="28"/>
        <v>#N/A</v>
      </c>
      <c r="L93" s="95" t="e">
        <f t="shared" si="28"/>
        <v>#N/A</v>
      </c>
      <c r="M93" s="95" t="e">
        <f t="shared" si="28"/>
        <v>#N/A</v>
      </c>
      <c r="N93" s="153" t="e">
        <f t="shared" si="28"/>
        <v>#N/A</v>
      </c>
      <c r="O93" s="152" t="e">
        <f t="shared" si="28"/>
        <v>#N/A</v>
      </c>
      <c r="P93" s="95" t="e">
        <f t="shared" si="28"/>
        <v>#N/A</v>
      </c>
      <c r="Q93" s="95" t="e">
        <f t="shared" si="28"/>
        <v>#N/A</v>
      </c>
      <c r="R93" s="95" t="e">
        <f t="shared" si="28"/>
        <v>#N/A</v>
      </c>
      <c r="S93" s="153" t="e">
        <f t="shared" si="28"/>
        <v>#N/A</v>
      </c>
      <c r="T93" s="153" t="e">
        <f t="shared" si="28"/>
        <v>#N/A</v>
      </c>
      <c r="U93" s="153" t="e">
        <f t="shared" si="28"/>
        <v>#N/A</v>
      </c>
      <c r="V93" s="153" t="e">
        <f t="shared" si="28"/>
        <v>#N/A</v>
      </c>
      <c r="W93" s="153" t="e">
        <f t="shared" si="28"/>
        <v>#N/A</v>
      </c>
      <c r="X93" s="145" t="e">
        <f t="shared" si="28"/>
        <v>#N/A</v>
      </c>
      <c r="Y93" s="145" t="e">
        <f t="shared" si="28"/>
        <v>#N/A</v>
      </c>
      <c r="Z93" s="145" t="e">
        <f t="shared" si="28"/>
        <v>#N/A</v>
      </c>
      <c r="AA93" s="145" t="e">
        <f t="shared" si="28"/>
        <v>#N/A</v>
      </c>
      <c r="AB93" s="145" t="e">
        <f t="shared" si="28"/>
        <v>#N/A</v>
      </c>
      <c r="AC93" s="145" t="e">
        <f t="shared" si="28"/>
        <v>#N/A</v>
      </c>
      <c r="AD93" s="145" t="e">
        <f t="shared" si="28"/>
        <v>#N/A</v>
      </c>
      <c r="AE93" s="145" t="e">
        <f t="shared" si="28"/>
        <v>#N/A</v>
      </c>
      <c r="AF93" s="145" t="e">
        <f t="shared" si="28"/>
        <v>#N/A</v>
      </c>
      <c r="AG93" s="145" t="e">
        <f t="shared" si="28"/>
        <v>#N/A</v>
      </c>
      <c r="AH93" s="145" t="e">
        <f t="shared" si="28"/>
        <v>#N/A</v>
      </c>
      <c r="AI93" s="145" t="e">
        <f t="shared" si="28"/>
        <v>#N/A</v>
      </c>
      <c r="AJ93" s="145" t="e">
        <f t="shared" si="28"/>
        <v>#N/A</v>
      </c>
      <c r="AK93" s="145" t="e">
        <f t="shared" si="28"/>
        <v>#N/A</v>
      </c>
      <c r="AL93" s="145" t="e">
        <f t="shared" si="28"/>
        <v>#N/A</v>
      </c>
      <c r="AM93" s="145" t="e">
        <f t="shared" si="28"/>
        <v>#N/A</v>
      </c>
    </row>
    <row r="94" spans="2:39" x14ac:dyDescent="0.25">
      <c r="C94" s="86" t="s">
        <v>27</v>
      </c>
      <c r="D94" s="87" t="s">
        <v>185</v>
      </c>
      <c r="E94" s="136" t="e">
        <f t="shared" si="28"/>
        <v>#N/A</v>
      </c>
      <c r="F94" s="136" t="e">
        <f t="shared" si="28"/>
        <v>#N/A</v>
      </c>
      <c r="G94" s="136" t="e">
        <f t="shared" si="28"/>
        <v>#N/A</v>
      </c>
      <c r="H94" s="136" t="e">
        <f t="shared" si="28"/>
        <v>#N/A</v>
      </c>
      <c r="I94" s="136" t="e">
        <f t="shared" si="28"/>
        <v>#N/A</v>
      </c>
      <c r="J94" s="135" t="e">
        <f t="shared" si="28"/>
        <v>#N/A</v>
      </c>
      <c r="K94" s="92" t="e">
        <f t="shared" si="28"/>
        <v>#N/A</v>
      </c>
      <c r="L94" s="92" t="e">
        <f t="shared" si="28"/>
        <v>#N/A</v>
      </c>
      <c r="M94" s="92" t="e">
        <f t="shared" si="28"/>
        <v>#N/A</v>
      </c>
      <c r="N94" s="136" t="e">
        <f t="shared" si="28"/>
        <v>#N/A</v>
      </c>
      <c r="O94" s="135" t="e">
        <f t="shared" si="28"/>
        <v>#N/A</v>
      </c>
      <c r="P94" s="92" t="e">
        <f t="shared" si="28"/>
        <v>#N/A</v>
      </c>
      <c r="Q94" s="92" t="e">
        <f t="shared" si="28"/>
        <v>#N/A</v>
      </c>
      <c r="R94" s="92" t="e">
        <f t="shared" si="28"/>
        <v>#N/A</v>
      </c>
      <c r="S94" s="136" t="e">
        <f t="shared" si="28"/>
        <v>#N/A</v>
      </c>
      <c r="T94" s="136" t="e">
        <f t="shared" si="28"/>
        <v>#N/A</v>
      </c>
      <c r="U94" s="136" t="e">
        <f t="shared" si="28"/>
        <v>#N/A</v>
      </c>
      <c r="V94" s="136" t="e">
        <f t="shared" si="28"/>
        <v>#N/A</v>
      </c>
      <c r="W94" s="136" t="e">
        <f t="shared" si="28"/>
        <v>#N/A</v>
      </c>
      <c r="X94" s="141" t="e">
        <f t="shared" si="28"/>
        <v>#N/A</v>
      </c>
      <c r="Y94" s="141" t="e">
        <f t="shared" si="28"/>
        <v>#N/A</v>
      </c>
      <c r="Z94" s="141" t="e">
        <f t="shared" si="28"/>
        <v>#N/A</v>
      </c>
      <c r="AA94" s="141" t="e">
        <f t="shared" si="28"/>
        <v>#N/A</v>
      </c>
      <c r="AB94" s="141" t="e">
        <f t="shared" si="28"/>
        <v>#N/A</v>
      </c>
      <c r="AC94" s="141" t="e">
        <f t="shared" si="28"/>
        <v>#N/A</v>
      </c>
      <c r="AD94" s="141" t="e">
        <f t="shared" si="28"/>
        <v>#N/A</v>
      </c>
      <c r="AE94" s="141" t="e">
        <f t="shared" si="28"/>
        <v>#N/A</v>
      </c>
      <c r="AF94" s="141" t="e">
        <f t="shared" si="28"/>
        <v>#N/A</v>
      </c>
      <c r="AG94" s="141" t="e">
        <f t="shared" si="28"/>
        <v>#N/A</v>
      </c>
      <c r="AH94" s="141" t="e">
        <f t="shared" si="28"/>
        <v>#N/A</v>
      </c>
      <c r="AI94" s="141" t="e">
        <f t="shared" si="28"/>
        <v>#N/A</v>
      </c>
      <c r="AJ94" s="141" t="e">
        <f t="shared" si="28"/>
        <v>#N/A</v>
      </c>
      <c r="AK94" s="141" t="e">
        <f t="shared" si="28"/>
        <v>#N/A</v>
      </c>
      <c r="AL94" s="141" t="e">
        <f t="shared" si="28"/>
        <v>#N/A</v>
      </c>
      <c r="AM94" s="141" t="e">
        <f t="shared" si="28"/>
        <v>#N/A</v>
      </c>
    </row>
    <row r="95" spans="2:39" x14ac:dyDescent="0.25">
      <c r="C95" s="56" t="s">
        <v>28</v>
      </c>
      <c r="D95" s="78" t="s">
        <v>186</v>
      </c>
      <c r="E95" s="136" t="e">
        <f t="shared" si="28"/>
        <v>#N/A</v>
      </c>
      <c r="F95" s="136" t="e">
        <f t="shared" si="28"/>
        <v>#N/A</v>
      </c>
      <c r="G95" s="136" t="e">
        <f t="shared" si="28"/>
        <v>#N/A</v>
      </c>
      <c r="H95" s="136" t="e">
        <f t="shared" si="28"/>
        <v>#N/A</v>
      </c>
      <c r="I95" s="136" t="e">
        <f t="shared" si="28"/>
        <v>#N/A</v>
      </c>
      <c r="J95" s="135" t="e">
        <f t="shared" si="28"/>
        <v>#N/A</v>
      </c>
      <c r="K95" s="92" t="e">
        <f t="shared" si="28"/>
        <v>#N/A</v>
      </c>
      <c r="L95" s="92" t="e">
        <f t="shared" si="28"/>
        <v>#N/A</v>
      </c>
      <c r="M95" s="92" t="e">
        <f t="shared" si="28"/>
        <v>#N/A</v>
      </c>
      <c r="N95" s="136" t="e">
        <f t="shared" si="28"/>
        <v>#N/A</v>
      </c>
      <c r="O95" s="135" t="e">
        <f t="shared" si="28"/>
        <v>#N/A</v>
      </c>
      <c r="P95" s="92" t="e">
        <f t="shared" si="28"/>
        <v>#N/A</v>
      </c>
      <c r="Q95" s="92" t="e">
        <f t="shared" si="28"/>
        <v>#N/A</v>
      </c>
      <c r="R95" s="92" t="e">
        <f t="shared" si="28"/>
        <v>#N/A</v>
      </c>
      <c r="S95" s="136" t="e">
        <f t="shared" si="28"/>
        <v>#N/A</v>
      </c>
      <c r="T95" s="136" t="e">
        <f t="shared" si="28"/>
        <v>#N/A</v>
      </c>
      <c r="U95" s="136" t="e">
        <f t="shared" si="28"/>
        <v>#N/A</v>
      </c>
      <c r="V95" s="136" t="e">
        <f t="shared" si="28"/>
        <v>#N/A</v>
      </c>
      <c r="W95" s="136" t="e">
        <f t="shared" si="28"/>
        <v>#N/A</v>
      </c>
      <c r="X95" s="141" t="e">
        <f t="shared" si="28"/>
        <v>#N/A</v>
      </c>
      <c r="Y95" s="141" t="e">
        <f t="shared" si="28"/>
        <v>#N/A</v>
      </c>
      <c r="Z95" s="141" t="e">
        <f t="shared" si="28"/>
        <v>#N/A</v>
      </c>
      <c r="AA95" s="141" t="e">
        <f t="shared" si="28"/>
        <v>#N/A</v>
      </c>
      <c r="AB95" s="141" t="e">
        <f t="shared" si="28"/>
        <v>#N/A</v>
      </c>
      <c r="AC95" s="141" t="e">
        <f t="shared" si="28"/>
        <v>#N/A</v>
      </c>
      <c r="AD95" s="141" t="e">
        <f t="shared" si="28"/>
        <v>#N/A</v>
      </c>
      <c r="AE95" s="141" t="e">
        <f t="shared" si="28"/>
        <v>#N/A</v>
      </c>
      <c r="AF95" s="141" t="e">
        <f t="shared" si="28"/>
        <v>#N/A</v>
      </c>
      <c r="AG95" s="141" t="e">
        <f t="shared" si="28"/>
        <v>#N/A</v>
      </c>
      <c r="AH95" s="141" t="e">
        <f t="shared" si="28"/>
        <v>#N/A</v>
      </c>
      <c r="AI95" s="141" t="e">
        <f t="shared" si="28"/>
        <v>#N/A</v>
      </c>
      <c r="AJ95" s="141" t="e">
        <f t="shared" si="28"/>
        <v>#N/A</v>
      </c>
      <c r="AK95" s="141" t="e">
        <f t="shared" si="28"/>
        <v>#N/A</v>
      </c>
      <c r="AL95" s="141" t="e">
        <f t="shared" si="28"/>
        <v>#N/A</v>
      </c>
      <c r="AM95" s="141" t="e">
        <f t="shared" si="28"/>
        <v>#N/A</v>
      </c>
    </row>
    <row r="96" spans="2:39" x14ac:dyDescent="0.25">
      <c r="C96" s="56" t="s">
        <v>29</v>
      </c>
      <c r="D96" s="78" t="s">
        <v>187</v>
      </c>
      <c r="E96" s="136" t="e">
        <f t="shared" si="28"/>
        <v>#N/A</v>
      </c>
      <c r="F96" s="136" t="e">
        <f t="shared" si="28"/>
        <v>#N/A</v>
      </c>
      <c r="G96" s="136" t="e">
        <f t="shared" si="28"/>
        <v>#N/A</v>
      </c>
      <c r="H96" s="136" t="e">
        <f t="shared" si="28"/>
        <v>#N/A</v>
      </c>
      <c r="I96" s="136" t="e">
        <f t="shared" si="28"/>
        <v>#N/A</v>
      </c>
      <c r="J96" s="135" t="e">
        <f t="shared" si="28"/>
        <v>#N/A</v>
      </c>
      <c r="K96" s="92" t="e">
        <f t="shared" si="28"/>
        <v>#N/A</v>
      </c>
      <c r="L96" s="92" t="e">
        <f t="shared" si="28"/>
        <v>#N/A</v>
      </c>
      <c r="M96" s="92" t="e">
        <f t="shared" si="28"/>
        <v>#N/A</v>
      </c>
      <c r="N96" s="136" t="e">
        <f t="shared" si="28"/>
        <v>#N/A</v>
      </c>
      <c r="O96" s="135" t="e">
        <f t="shared" si="28"/>
        <v>#N/A</v>
      </c>
      <c r="P96" s="92" t="e">
        <f t="shared" si="28"/>
        <v>#N/A</v>
      </c>
      <c r="Q96" s="92" t="e">
        <f t="shared" si="28"/>
        <v>#N/A</v>
      </c>
      <c r="R96" s="92" t="e">
        <f t="shared" si="28"/>
        <v>#N/A</v>
      </c>
      <c r="S96" s="136" t="e">
        <f t="shared" si="28"/>
        <v>#N/A</v>
      </c>
      <c r="T96" s="136" t="e">
        <f t="shared" si="28"/>
        <v>#N/A</v>
      </c>
      <c r="U96" s="136" t="e">
        <f t="shared" si="28"/>
        <v>#N/A</v>
      </c>
      <c r="V96" s="136" t="e">
        <f t="shared" si="28"/>
        <v>#N/A</v>
      </c>
      <c r="W96" s="136" t="e">
        <f t="shared" si="28"/>
        <v>#N/A</v>
      </c>
      <c r="X96" s="141" t="e">
        <f t="shared" si="28"/>
        <v>#N/A</v>
      </c>
      <c r="Y96" s="141" t="e">
        <f t="shared" si="28"/>
        <v>#N/A</v>
      </c>
      <c r="Z96" s="141" t="e">
        <f t="shared" si="28"/>
        <v>#N/A</v>
      </c>
      <c r="AA96" s="141" t="e">
        <f t="shared" si="28"/>
        <v>#N/A</v>
      </c>
      <c r="AB96" s="141" t="e">
        <f t="shared" si="28"/>
        <v>#N/A</v>
      </c>
      <c r="AC96" s="141" t="e">
        <f t="shared" si="28"/>
        <v>#N/A</v>
      </c>
      <c r="AD96" s="141" t="e">
        <f t="shared" si="28"/>
        <v>#N/A</v>
      </c>
      <c r="AE96" s="141" t="e">
        <f t="shared" si="28"/>
        <v>#N/A</v>
      </c>
      <c r="AF96" s="141" t="e">
        <f t="shared" si="28"/>
        <v>#N/A</v>
      </c>
      <c r="AG96" s="141" t="e">
        <f t="shared" si="28"/>
        <v>#N/A</v>
      </c>
      <c r="AH96" s="141" t="e">
        <f t="shared" si="28"/>
        <v>#N/A</v>
      </c>
      <c r="AI96" s="141" t="e">
        <f t="shared" si="28"/>
        <v>#N/A</v>
      </c>
      <c r="AJ96" s="141" t="e">
        <f t="shared" si="28"/>
        <v>#N/A</v>
      </c>
      <c r="AK96" s="141" t="e">
        <f t="shared" si="28"/>
        <v>#N/A</v>
      </c>
      <c r="AL96" s="141" t="e">
        <f t="shared" si="28"/>
        <v>#N/A</v>
      </c>
      <c r="AM96" s="141" t="e">
        <f t="shared" si="28"/>
        <v>#N/A</v>
      </c>
    </row>
    <row r="97" spans="3:40" x14ac:dyDescent="0.25">
      <c r="C97" s="56" t="s">
        <v>30</v>
      </c>
      <c r="D97" s="78" t="s">
        <v>188</v>
      </c>
      <c r="E97" s="136" t="e">
        <f t="shared" si="28"/>
        <v>#N/A</v>
      </c>
      <c r="F97" s="136" t="e">
        <f t="shared" si="28"/>
        <v>#N/A</v>
      </c>
      <c r="G97" s="136" t="e">
        <f t="shared" si="28"/>
        <v>#N/A</v>
      </c>
      <c r="H97" s="136" t="e">
        <f t="shared" si="28"/>
        <v>#N/A</v>
      </c>
      <c r="I97" s="136" t="e">
        <f t="shared" si="28"/>
        <v>#N/A</v>
      </c>
      <c r="J97" s="135" t="e">
        <f t="shared" si="28"/>
        <v>#N/A</v>
      </c>
      <c r="K97" s="92" t="e">
        <f t="shared" si="28"/>
        <v>#N/A</v>
      </c>
      <c r="L97" s="92" t="e">
        <f t="shared" si="28"/>
        <v>#N/A</v>
      </c>
      <c r="M97" s="92" t="e">
        <f t="shared" si="28"/>
        <v>#N/A</v>
      </c>
      <c r="N97" s="136" t="e">
        <f t="shared" si="28"/>
        <v>#N/A</v>
      </c>
      <c r="O97" s="135" t="e">
        <f t="shared" si="28"/>
        <v>#N/A</v>
      </c>
      <c r="P97" s="92" t="e">
        <f t="shared" si="28"/>
        <v>#N/A</v>
      </c>
      <c r="Q97" s="92" t="e">
        <f t="shared" si="28"/>
        <v>#N/A</v>
      </c>
      <c r="R97" s="92" t="e">
        <f t="shared" si="28"/>
        <v>#N/A</v>
      </c>
      <c r="S97" s="136" t="e">
        <f t="shared" si="28"/>
        <v>#N/A</v>
      </c>
      <c r="T97" s="136" t="e">
        <f t="shared" si="28"/>
        <v>#N/A</v>
      </c>
      <c r="U97" s="136" t="e">
        <f t="shared" si="28"/>
        <v>#N/A</v>
      </c>
      <c r="V97" s="136" t="e">
        <f t="shared" si="28"/>
        <v>#N/A</v>
      </c>
      <c r="W97" s="136" t="e">
        <f t="shared" si="28"/>
        <v>#N/A</v>
      </c>
      <c r="X97" s="141" t="e">
        <f t="shared" si="28"/>
        <v>#N/A</v>
      </c>
      <c r="Y97" s="141" t="e">
        <f t="shared" si="28"/>
        <v>#N/A</v>
      </c>
      <c r="Z97" s="141" t="e">
        <f t="shared" si="28"/>
        <v>#N/A</v>
      </c>
      <c r="AA97" s="141" t="e">
        <f t="shared" si="28"/>
        <v>#N/A</v>
      </c>
      <c r="AB97" s="141" t="e">
        <f t="shared" si="28"/>
        <v>#N/A</v>
      </c>
      <c r="AC97" s="141" t="e">
        <f t="shared" si="28"/>
        <v>#N/A</v>
      </c>
      <c r="AD97" s="141" t="e">
        <f t="shared" si="28"/>
        <v>#N/A</v>
      </c>
      <c r="AE97" s="141" t="e">
        <f t="shared" si="28"/>
        <v>#N/A</v>
      </c>
      <c r="AF97" s="141" t="e">
        <f t="shared" si="28"/>
        <v>#N/A</v>
      </c>
      <c r="AG97" s="141" t="e">
        <f t="shared" si="28"/>
        <v>#N/A</v>
      </c>
      <c r="AH97" s="141" t="e">
        <f t="shared" si="28"/>
        <v>#N/A</v>
      </c>
      <c r="AI97" s="141" t="e">
        <f t="shared" si="28"/>
        <v>#N/A</v>
      </c>
      <c r="AJ97" s="141" t="e">
        <f t="shared" si="28"/>
        <v>#N/A</v>
      </c>
      <c r="AK97" s="141" t="e">
        <f t="shared" si="28"/>
        <v>#N/A</v>
      </c>
      <c r="AL97" s="141" t="e">
        <f t="shared" si="28"/>
        <v>#N/A</v>
      </c>
      <c r="AM97" s="141" t="e">
        <f t="shared" si="28"/>
        <v>#N/A</v>
      </c>
    </row>
    <row r="98" spans="3:40" x14ac:dyDescent="0.25">
      <c r="C98" s="56" t="s">
        <v>31</v>
      </c>
      <c r="D98" s="78" t="s">
        <v>189</v>
      </c>
      <c r="E98" s="136" t="e">
        <f t="shared" si="28"/>
        <v>#N/A</v>
      </c>
      <c r="F98" s="136" t="e">
        <f t="shared" si="28"/>
        <v>#N/A</v>
      </c>
      <c r="G98" s="136" t="e">
        <f t="shared" si="28"/>
        <v>#N/A</v>
      </c>
      <c r="H98" s="136" t="e">
        <f t="shared" si="28"/>
        <v>#N/A</v>
      </c>
      <c r="I98" s="136" t="e">
        <f t="shared" si="28"/>
        <v>#N/A</v>
      </c>
      <c r="J98" s="135" t="e">
        <f t="shared" si="28"/>
        <v>#N/A</v>
      </c>
      <c r="K98" s="92" t="e">
        <f t="shared" si="28"/>
        <v>#N/A</v>
      </c>
      <c r="L98" s="92" t="e">
        <f t="shared" si="28"/>
        <v>#N/A</v>
      </c>
      <c r="M98" s="92" t="e">
        <f t="shared" si="28"/>
        <v>#N/A</v>
      </c>
      <c r="N98" s="136" t="e">
        <f t="shared" si="28"/>
        <v>#N/A</v>
      </c>
      <c r="O98" s="135" t="e">
        <f t="shared" si="28"/>
        <v>#N/A</v>
      </c>
      <c r="P98" s="92" t="e">
        <f t="shared" si="28"/>
        <v>#N/A</v>
      </c>
      <c r="Q98" s="92" t="e">
        <f t="shared" si="28"/>
        <v>#N/A</v>
      </c>
      <c r="R98" s="92" t="e">
        <f t="shared" si="28"/>
        <v>#N/A</v>
      </c>
      <c r="S98" s="136" t="e">
        <f t="shared" si="28"/>
        <v>#N/A</v>
      </c>
      <c r="T98" s="136" t="e">
        <f t="shared" si="28"/>
        <v>#N/A</v>
      </c>
      <c r="U98" s="136" t="e">
        <f t="shared" si="28"/>
        <v>#N/A</v>
      </c>
      <c r="V98" s="136" t="e">
        <f t="shared" si="28"/>
        <v>#N/A</v>
      </c>
      <c r="W98" s="136" t="e">
        <f t="shared" si="28"/>
        <v>#N/A</v>
      </c>
      <c r="X98" s="141" t="e">
        <f t="shared" si="28"/>
        <v>#N/A</v>
      </c>
      <c r="Y98" s="141" t="e">
        <f t="shared" si="28"/>
        <v>#N/A</v>
      </c>
      <c r="Z98" s="141" t="e">
        <f t="shared" si="28"/>
        <v>#N/A</v>
      </c>
      <c r="AA98" s="141" t="e">
        <f t="shared" si="28"/>
        <v>#N/A</v>
      </c>
      <c r="AB98" s="141" t="e">
        <f t="shared" si="28"/>
        <v>#N/A</v>
      </c>
      <c r="AC98" s="141" t="e">
        <f t="shared" si="28"/>
        <v>#N/A</v>
      </c>
      <c r="AD98" s="141" t="e">
        <f t="shared" si="28"/>
        <v>#N/A</v>
      </c>
      <c r="AE98" s="141" t="e">
        <f t="shared" si="28"/>
        <v>#N/A</v>
      </c>
      <c r="AF98" s="141" t="e">
        <f t="shared" si="28"/>
        <v>#N/A</v>
      </c>
      <c r="AG98" s="141" t="e">
        <f t="shared" si="28"/>
        <v>#N/A</v>
      </c>
      <c r="AH98" s="141" t="e">
        <f t="shared" si="28"/>
        <v>#N/A</v>
      </c>
      <c r="AI98" s="141" t="e">
        <f t="shared" si="28"/>
        <v>#N/A</v>
      </c>
      <c r="AJ98" s="141" t="e">
        <f t="shared" si="28"/>
        <v>#N/A</v>
      </c>
      <c r="AK98" s="141" t="e">
        <f t="shared" si="28"/>
        <v>#N/A</v>
      </c>
      <c r="AL98" s="141" t="e">
        <f t="shared" si="28"/>
        <v>#N/A</v>
      </c>
      <c r="AM98" s="141" t="e">
        <f t="shared" si="28"/>
        <v>#N/A</v>
      </c>
    </row>
    <row r="99" spans="3:40" x14ac:dyDescent="0.25">
      <c r="C99" s="56" t="s">
        <v>32</v>
      </c>
      <c r="D99" s="78" t="s">
        <v>190</v>
      </c>
      <c r="E99" s="136" t="e">
        <f t="shared" si="28"/>
        <v>#N/A</v>
      </c>
      <c r="F99" s="136" t="e">
        <f t="shared" si="28"/>
        <v>#N/A</v>
      </c>
      <c r="G99" s="136" t="e">
        <f t="shared" si="28"/>
        <v>#N/A</v>
      </c>
      <c r="H99" s="136" t="e">
        <f t="shared" si="28"/>
        <v>#N/A</v>
      </c>
      <c r="I99" s="136" t="e">
        <f t="shared" si="28"/>
        <v>#N/A</v>
      </c>
      <c r="J99" s="135" t="e">
        <f t="shared" si="28"/>
        <v>#N/A</v>
      </c>
      <c r="K99" s="92" t="e">
        <f t="shared" si="28"/>
        <v>#N/A</v>
      </c>
      <c r="L99" s="92" t="e">
        <f t="shared" si="28"/>
        <v>#N/A</v>
      </c>
      <c r="M99" s="92" t="e">
        <f t="shared" si="28"/>
        <v>#N/A</v>
      </c>
      <c r="N99" s="136" t="e">
        <f t="shared" si="28"/>
        <v>#N/A</v>
      </c>
      <c r="O99" s="135" t="e">
        <f t="shared" si="28"/>
        <v>#N/A</v>
      </c>
      <c r="P99" s="92" t="e">
        <f t="shared" si="28"/>
        <v>#N/A</v>
      </c>
      <c r="Q99" s="92" t="e">
        <f t="shared" si="28"/>
        <v>#N/A</v>
      </c>
      <c r="R99" s="92" t="e">
        <f t="shared" si="28"/>
        <v>#N/A</v>
      </c>
      <c r="S99" s="136" t="e">
        <f t="shared" si="28"/>
        <v>#N/A</v>
      </c>
      <c r="T99" s="136" t="e">
        <f t="shared" si="28"/>
        <v>#N/A</v>
      </c>
      <c r="U99" s="136" t="e">
        <f t="shared" si="28"/>
        <v>#N/A</v>
      </c>
      <c r="V99" s="136" t="e">
        <f t="shared" si="28"/>
        <v>#N/A</v>
      </c>
      <c r="W99" s="136" t="e">
        <f t="shared" si="28"/>
        <v>#N/A</v>
      </c>
      <c r="X99" s="141" t="e">
        <f t="shared" si="28"/>
        <v>#N/A</v>
      </c>
      <c r="Y99" s="141" t="e">
        <f t="shared" si="28"/>
        <v>#N/A</v>
      </c>
      <c r="Z99" s="141" t="e">
        <f t="shared" si="28"/>
        <v>#N/A</v>
      </c>
      <c r="AA99" s="141" t="e">
        <f t="shared" si="28"/>
        <v>#N/A</v>
      </c>
      <c r="AB99" s="141" t="e">
        <f t="shared" si="28"/>
        <v>#N/A</v>
      </c>
      <c r="AC99" s="141" t="e">
        <f t="shared" si="28"/>
        <v>#N/A</v>
      </c>
      <c r="AD99" s="141" t="e">
        <f t="shared" si="28"/>
        <v>#N/A</v>
      </c>
      <c r="AE99" s="141" t="e">
        <f t="shared" si="28"/>
        <v>#N/A</v>
      </c>
      <c r="AF99" s="141" t="e">
        <f t="shared" si="28"/>
        <v>#N/A</v>
      </c>
      <c r="AG99" s="141" t="e">
        <f t="shared" si="28"/>
        <v>#N/A</v>
      </c>
      <c r="AH99" s="141" t="e">
        <f t="shared" si="28"/>
        <v>#N/A</v>
      </c>
      <c r="AI99" s="141" t="e">
        <f t="shared" si="28"/>
        <v>#N/A</v>
      </c>
      <c r="AJ99" s="141" t="e">
        <f t="shared" si="28"/>
        <v>#N/A</v>
      </c>
      <c r="AK99" s="141" t="e">
        <f t="shared" si="28"/>
        <v>#N/A</v>
      </c>
      <c r="AL99" s="141" t="e">
        <f t="shared" si="28"/>
        <v>#N/A</v>
      </c>
      <c r="AM99" s="141" t="e">
        <f t="shared" si="28"/>
        <v>#N/A</v>
      </c>
    </row>
    <row r="100" spans="3:40" x14ac:dyDescent="0.25">
      <c r="C100" s="56" t="s">
        <v>33</v>
      </c>
      <c r="D100" s="78" t="s">
        <v>191</v>
      </c>
      <c r="E100" s="136" t="e">
        <f t="shared" si="28"/>
        <v>#N/A</v>
      </c>
      <c r="F100" s="136" t="e">
        <f t="shared" si="28"/>
        <v>#N/A</v>
      </c>
      <c r="G100" s="136" t="e">
        <f t="shared" si="28"/>
        <v>#N/A</v>
      </c>
      <c r="H100" s="136" t="e">
        <f t="shared" si="28"/>
        <v>#N/A</v>
      </c>
      <c r="I100" s="136" t="e">
        <f t="shared" si="28"/>
        <v>#N/A</v>
      </c>
      <c r="J100" s="135" t="e">
        <f t="shared" si="28"/>
        <v>#N/A</v>
      </c>
      <c r="K100" s="92" t="e">
        <f t="shared" si="28"/>
        <v>#N/A</v>
      </c>
      <c r="L100" s="92" t="e">
        <f t="shared" si="28"/>
        <v>#N/A</v>
      </c>
      <c r="M100" s="92" t="e">
        <f t="shared" si="28"/>
        <v>#N/A</v>
      </c>
      <c r="N100" s="136" t="e">
        <f t="shared" si="28"/>
        <v>#N/A</v>
      </c>
      <c r="O100" s="135" t="e">
        <f t="shared" ref="O100:AM108" si="29">O57/O$49</f>
        <v>#N/A</v>
      </c>
      <c r="P100" s="92" t="e">
        <f t="shared" si="29"/>
        <v>#N/A</v>
      </c>
      <c r="Q100" s="92" t="e">
        <f t="shared" si="29"/>
        <v>#N/A</v>
      </c>
      <c r="R100" s="92" t="e">
        <f t="shared" si="29"/>
        <v>#N/A</v>
      </c>
      <c r="S100" s="136" t="e">
        <f t="shared" si="29"/>
        <v>#N/A</v>
      </c>
      <c r="T100" s="136" t="e">
        <f t="shared" si="29"/>
        <v>#N/A</v>
      </c>
      <c r="U100" s="136" t="e">
        <f t="shared" si="29"/>
        <v>#N/A</v>
      </c>
      <c r="V100" s="136" t="e">
        <f t="shared" si="29"/>
        <v>#N/A</v>
      </c>
      <c r="W100" s="136" t="e">
        <f t="shared" si="29"/>
        <v>#N/A</v>
      </c>
      <c r="X100" s="141" t="e">
        <f t="shared" si="29"/>
        <v>#N/A</v>
      </c>
      <c r="Y100" s="141" t="e">
        <f t="shared" si="29"/>
        <v>#N/A</v>
      </c>
      <c r="Z100" s="141" t="e">
        <f t="shared" si="29"/>
        <v>#N/A</v>
      </c>
      <c r="AA100" s="141" t="e">
        <f t="shared" si="29"/>
        <v>#N/A</v>
      </c>
      <c r="AB100" s="141" t="e">
        <f t="shared" si="29"/>
        <v>#N/A</v>
      </c>
      <c r="AC100" s="141" t="e">
        <f t="shared" si="29"/>
        <v>#N/A</v>
      </c>
      <c r="AD100" s="141" t="e">
        <f t="shared" si="29"/>
        <v>#N/A</v>
      </c>
      <c r="AE100" s="141" t="e">
        <f t="shared" si="29"/>
        <v>#N/A</v>
      </c>
      <c r="AF100" s="141" t="e">
        <f t="shared" si="29"/>
        <v>#N/A</v>
      </c>
      <c r="AG100" s="141" t="e">
        <f t="shared" si="29"/>
        <v>#N/A</v>
      </c>
      <c r="AH100" s="141" t="e">
        <f t="shared" si="29"/>
        <v>#N/A</v>
      </c>
      <c r="AI100" s="141" t="e">
        <f t="shared" si="29"/>
        <v>#N/A</v>
      </c>
      <c r="AJ100" s="141" t="e">
        <f t="shared" si="29"/>
        <v>#N/A</v>
      </c>
      <c r="AK100" s="141" t="e">
        <f t="shared" si="29"/>
        <v>#N/A</v>
      </c>
      <c r="AL100" s="141" t="e">
        <f t="shared" si="29"/>
        <v>#N/A</v>
      </c>
      <c r="AM100" s="141" t="e">
        <f t="shared" si="29"/>
        <v>#N/A</v>
      </c>
    </row>
    <row r="101" spans="3:40" x14ac:dyDescent="0.25">
      <c r="C101" s="88" t="s">
        <v>95</v>
      </c>
      <c r="D101" s="76" t="s">
        <v>183</v>
      </c>
      <c r="E101" s="153" t="e">
        <f t="shared" ref="E101:AM108" si="30">E58/E$49</f>
        <v>#N/A</v>
      </c>
      <c r="F101" s="153" t="e">
        <f t="shared" si="30"/>
        <v>#N/A</v>
      </c>
      <c r="G101" s="153" t="e">
        <f t="shared" si="30"/>
        <v>#N/A</v>
      </c>
      <c r="H101" s="153" t="e">
        <f t="shared" si="30"/>
        <v>#N/A</v>
      </c>
      <c r="I101" s="153" t="e">
        <f t="shared" si="30"/>
        <v>#N/A</v>
      </c>
      <c r="J101" s="152" t="e">
        <f t="shared" si="30"/>
        <v>#N/A</v>
      </c>
      <c r="K101" s="95" t="e">
        <f t="shared" si="30"/>
        <v>#N/A</v>
      </c>
      <c r="L101" s="95" t="e">
        <f t="shared" si="30"/>
        <v>#N/A</v>
      </c>
      <c r="M101" s="95" t="e">
        <f t="shared" si="30"/>
        <v>#N/A</v>
      </c>
      <c r="N101" s="153" t="e">
        <f t="shared" si="30"/>
        <v>#N/A</v>
      </c>
      <c r="O101" s="152" t="e">
        <f t="shared" si="30"/>
        <v>#N/A</v>
      </c>
      <c r="P101" s="95" t="e">
        <f t="shared" si="30"/>
        <v>#N/A</v>
      </c>
      <c r="Q101" s="95" t="e">
        <f t="shared" si="30"/>
        <v>#N/A</v>
      </c>
      <c r="R101" s="95" t="e">
        <f t="shared" si="30"/>
        <v>#N/A</v>
      </c>
      <c r="S101" s="153" t="e">
        <f t="shared" si="30"/>
        <v>#N/A</v>
      </c>
      <c r="T101" s="153" t="e">
        <f t="shared" si="29"/>
        <v>#N/A</v>
      </c>
      <c r="U101" s="153" t="e">
        <f t="shared" si="29"/>
        <v>#N/A</v>
      </c>
      <c r="V101" s="153" t="e">
        <f t="shared" si="29"/>
        <v>#N/A</v>
      </c>
      <c r="W101" s="153" t="e">
        <f t="shared" si="29"/>
        <v>#N/A</v>
      </c>
      <c r="X101" s="145" t="e">
        <f t="shared" si="30"/>
        <v>#N/A</v>
      </c>
      <c r="Y101" s="145" t="e">
        <f t="shared" si="29"/>
        <v>#N/A</v>
      </c>
      <c r="Z101" s="145" t="e">
        <f t="shared" si="29"/>
        <v>#N/A</v>
      </c>
      <c r="AA101" s="145" t="e">
        <f t="shared" si="29"/>
        <v>#N/A</v>
      </c>
      <c r="AB101" s="145" t="e">
        <f t="shared" si="29"/>
        <v>#N/A</v>
      </c>
      <c r="AC101" s="145" t="e">
        <f t="shared" si="30"/>
        <v>#N/A</v>
      </c>
      <c r="AD101" s="145" t="e">
        <f t="shared" si="29"/>
        <v>#N/A</v>
      </c>
      <c r="AE101" s="145" t="e">
        <f t="shared" si="29"/>
        <v>#N/A</v>
      </c>
      <c r="AF101" s="145" t="e">
        <f t="shared" si="29"/>
        <v>#N/A</v>
      </c>
      <c r="AG101" s="145" t="e">
        <f t="shared" si="29"/>
        <v>#N/A</v>
      </c>
      <c r="AH101" s="145" t="e">
        <f t="shared" si="30"/>
        <v>#N/A</v>
      </c>
      <c r="AI101" s="145" t="e">
        <f t="shared" si="29"/>
        <v>#N/A</v>
      </c>
      <c r="AJ101" s="145" t="e">
        <f t="shared" si="29"/>
        <v>#N/A</v>
      </c>
      <c r="AK101" s="145" t="e">
        <f t="shared" si="29"/>
        <v>#N/A</v>
      </c>
      <c r="AL101" s="145" t="e">
        <f t="shared" si="29"/>
        <v>#N/A</v>
      </c>
      <c r="AM101" s="145" t="e">
        <f t="shared" si="30"/>
        <v>#N/A</v>
      </c>
      <c r="AN101" s="162"/>
    </row>
    <row r="102" spans="3:40" x14ac:dyDescent="0.25">
      <c r="C102" s="56" t="s">
        <v>27</v>
      </c>
      <c r="D102" s="78" t="s">
        <v>192</v>
      </c>
      <c r="E102" s="155" t="e">
        <f t="shared" si="30"/>
        <v>#N/A</v>
      </c>
      <c r="F102" s="155" t="e">
        <f t="shared" si="30"/>
        <v>#N/A</v>
      </c>
      <c r="G102" s="155" t="e">
        <f t="shared" si="30"/>
        <v>#N/A</v>
      </c>
      <c r="H102" s="155" t="e">
        <f t="shared" si="30"/>
        <v>#N/A</v>
      </c>
      <c r="I102" s="155" t="e">
        <f t="shared" si="30"/>
        <v>#N/A</v>
      </c>
      <c r="J102" s="154" t="e">
        <f t="shared" si="30"/>
        <v>#N/A</v>
      </c>
      <c r="K102" s="96" t="e">
        <f t="shared" si="30"/>
        <v>#N/A</v>
      </c>
      <c r="L102" s="96" t="e">
        <f t="shared" si="30"/>
        <v>#N/A</v>
      </c>
      <c r="M102" s="96" t="e">
        <f t="shared" si="30"/>
        <v>#N/A</v>
      </c>
      <c r="N102" s="155" t="e">
        <f t="shared" si="30"/>
        <v>#N/A</v>
      </c>
      <c r="O102" s="154" t="e">
        <f t="shared" si="30"/>
        <v>#N/A</v>
      </c>
      <c r="P102" s="96" t="e">
        <f t="shared" si="30"/>
        <v>#N/A</v>
      </c>
      <c r="Q102" s="96" t="e">
        <f t="shared" si="30"/>
        <v>#N/A</v>
      </c>
      <c r="R102" s="96" t="e">
        <f t="shared" si="30"/>
        <v>#N/A</v>
      </c>
      <c r="S102" s="155" t="e">
        <f t="shared" si="30"/>
        <v>#N/A</v>
      </c>
      <c r="T102" s="155" t="e">
        <f t="shared" si="29"/>
        <v>#N/A</v>
      </c>
      <c r="U102" s="155" t="e">
        <f t="shared" si="29"/>
        <v>#N/A</v>
      </c>
      <c r="V102" s="155" t="e">
        <f t="shared" si="29"/>
        <v>#N/A</v>
      </c>
      <c r="W102" s="155" t="e">
        <f t="shared" si="29"/>
        <v>#N/A</v>
      </c>
      <c r="X102" s="146" t="e">
        <f t="shared" si="30"/>
        <v>#N/A</v>
      </c>
      <c r="Y102" s="146" t="e">
        <f t="shared" si="29"/>
        <v>#N/A</v>
      </c>
      <c r="Z102" s="146" t="e">
        <f t="shared" si="29"/>
        <v>#N/A</v>
      </c>
      <c r="AA102" s="146" t="e">
        <f t="shared" si="29"/>
        <v>#N/A</v>
      </c>
      <c r="AB102" s="146" t="e">
        <f t="shared" si="29"/>
        <v>#N/A</v>
      </c>
      <c r="AC102" s="146" t="e">
        <f t="shared" si="30"/>
        <v>#N/A</v>
      </c>
      <c r="AD102" s="146" t="e">
        <f t="shared" si="29"/>
        <v>#N/A</v>
      </c>
      <c r="AE102" s="146" t="e">
        <f t="shared" si="29"/>
        <v>#N/A</v>
      </c>
      <c r="AF102" s="146" t="e">
        <f t="shared" si="29"/>
        <v>#N/A</v>
      </c>
      <c r="AG102" s="146" t="e">
        <f t="shared" si="29"/>
        <v>#N/A</v>
      </c>
      <c r="AH102" s="146" t="e">
        <f t="shared" si="30"/>
        <v>#N/A</v>
      </c>
      <c r="AI102" s="146" t="e">
        <f t="shared" si="29"/>
        <v>#N/A</v>
      </c>
      <c r="AJ102" s="146" t="e">
        <f t="shared" si="29"/>
        <v>#N/A</v>
      </c>
      <c r="AK102" s="146" t="e">
        <f t="shared" si="29"/>
        <v>#N/A</v>
      </c>
      <c r="AL102" s="146" t="e">
        <f t="shared" si="29"/>
        <v>#N/A</v>
      </c>
      <c r="AM102" s="146" t="e">
        <f t="shared" si="30"/>
        <v>#N/A</v>
      </c>
    </row>
    <row r="103" spans="3:40" x14ac:dyDescent="0.25">
      <c r="C103" s="56" t="s">
        <v>28</v>
      </c>
      <c r="D103" s="78" t="s">
        <v>193</v>
      </c>
      <c r="E103" s="155" t="e">
        <f t="shared" si="30"/>
        <v>#N/A</v>
      </c>
      <c r="F103" s="155" t="e">
        <f t="shared" si="30"/>
        <v>#N/A</v>
      </c>
      <c r="G103" s="155" t="e">
        <f t="shared" si="30"/>
        <v>#N/A</v>
      </c>
      <c r="H103" s="155" t="e">
        <f t="shared" si="30"/>
        <v>#N/A</v>
      </c>
      <c r="I103" s="155" t="e">
        <f t="shared" si="30"/>
        <v>#N/A</v>
      </c>
      <c r="J103" s="154" t="e">
        <f t="shared" si="30"/>
        <v>#N/A</v>
      </c>
      <c r="K103" s="96" t="e">
        <f t="shared" si="30"/>
        <v>#N/A</v>
      </c>
      <c r="L103" s="96" t="e">
        <f t="shared" si="30"/>
        <v>#N/A</v>
      </c>
      <c r="M103" s="96" t="e">
        <f t="shared" si="30"/>
        <v>#N/A</v>
      </c>
      <c r="N103" s="155" t="e">
        <f t="shared" si="30"/>
        <v>#N/A</v>
      </c>
      <c r="O103" s="154" t="e">
        <f t="shared" si="30"/>
        <v>#N/A</v>
      </c>
      <c r="P103" s="96" t="e">
        <f t="shared" si="30"/>
        <v>#N/A</v>
      </c>
      <c r="Q103" s="96" t="e">
        <f t="shared" si="30"/>
        <v>#N/A</v>
      </c>
      <c r="R103" s="96" t="e">
        <f t="shared" si="30"/>
        <v>#N/A</v>
      </c>
      <c r="S103" s="155" t="e">
        <f t="shared" si="30"/>
        <v>#N/A</v>
      </c>
      <c r="T103" s="155" t="e">
        <f t="shared" si="29"/>
        <v>#N/A</v>
      </c>
      <c r="U103" s="155" t="e">
        <f t="shared" si="29"/>
        <v>#N/A</v>
      </c>
      <c r="V103" s="155" t="e">
        <f t="shared" si="29"/>
        <v>#N/A</v>
      </c>
      <c r="W103" s="155" t="e">
        <f t="shared" si="29"/>
        <v>#N/A</v>
      </c>
      <c r="X103" s="146" t="e">
        <f t="shared" si="30"/>
        <v>#N/A</v>
      </c>
      <c r="Y103" s="146" t="e">
        <f t="shared" si="29"/>
        <v>#N/A</v>
      </c>
      <c r="Z103" s="146" t="e">
        <f t="shared" si="29"/>
        <v>#N/A</v>
      </c>
      <c r="AA103" s="146" t="e">
        <f t="shared" si="29"/>
        <v>#N/A</v>
      </c>
      <c r="AB103" s="146" t="e">
        <f t="shared" si="29"/>
        <v>#N/A</v>
      </c>
      <c r="AC103" s="146" t="e">
        <f t="shared" si="30"/>
        <v>#N/A</v>
      </c>
      <c r="AD103" s="146" t="e">
        <f t="shared" si="29"/>
        <v>#N/A</v>
      </c>
      <c r="AE103" s="146" t="e">
        <f t="shared" si="29"/>
        <v>#N/A</v>
      </c>
      <c r="AF103" s="146" t="e">
        <f t="shared" si="29"/>
        <v>#N/A</v>
      </c>
      <c r="AG103" s="146" t="e">
        <f t="shared" si="29"/>
        <v>#N/A</v>
      </c>
      <c r="AH103" s="146" t="e">
        <f t="shared" si="30"/>
        <v>#N/A</v>
      </c>
      <c r="AI103" s="146" t="e">
        <f t="shared" si="29"/>
        <v>#N/A</v>
      </c>
      <c r="AJ103" s="146" t="e">
        <f t="shared" si="29"/>
        <v>#N/A</v>
      </c>
      <c r="AK103" s="146" t="e">
        <f t="shared" si="29"/>
        <v>#N/A</v>
      </c>
      <c r="AL103" s="146" t="e">
        <f t="shared" si="29"/>
        <v>#N/A</v>
      </c>
      <c r="AM103" s="146" t="e">
        <f t="shared" si="30"/>
        <v>#N/A</v>
      </c>
    </row>
    <row r="104" spans="3:40" x14ac:dyDescent="0.25">
      <c r="C104" s="56" t="s">
        <v>29</v>
      </c>
      <c r="D104" s="78" t="s">
        <v>194</v>
      </c>
      <c r="E104" s="155" t="e">
        <f t="shared" si="30"/>
        <v>#N/A</v>
      </c>
      <c r="F104" s="155" t="e">
        <f t="shared" si="30"/>
        <v>#N/A</v>
      </c>
      <c r="G104" s="155" t="e">
        <f t="shared" si="30"/>
        <v>#N/A</v>
      </c>
      <c r="H104" s="155" t="e">
        <f t="shared" si="30"/>
        <v>#N/A</v>
      </c>
      <c r="I104" s="155" t="e">
        <f t="shared" si="30"/>
        <v>#N/A</v>
      </c>
      <c r="J104" s="154" t="e">
        <f t="shared" si="30"/>
        <v>#N/A</v>
      </c>
      <c r="K104" s="96" t="e">
        <f t="shared" si="30"/>
        <v>#N/A</v>
      </c>
      <c r="L104" s="96" t="e">
        <f t="shared" si="30"/>
        <v>#N/A</v>
      </c>
      <c r="M104" s="96" t="e">
        <f t="shared" si="30"/>
        <v>#N/A</v>
      </c>
      <c r="N104" s="155" t="e">
        <f t="shared" si="30"/>
        <v>#N/A</v>
      </c>
      <c r="O104" s="154" t="e">
        <f t="shared" si="30"/>
        <v>#N/A</v>
      </c>
      <c r="P104" s="96" t="e">
        <f t="shared" si="30"/>
        <v>#N/A</v>
      </c>
      <c r="Q104" s="96" t="e">
        <f t="shared" si="30"/>
        <v>#N/A</v>
      </c>
      <c r="R104" s="96" t="e">
        <f t="shared" si="30"/>
        <v>#N/A</v>
      </c>
      <c r="S104" s="155" t="e">
        <f t="shared" si="30"/>
        <v>#N/A</v>
      </c>
      <c r="T104" s="155" t="e">
        <f t="shared" si="29"/>
        <v>#N/A</v>
      </c>
      <c r="U104" s="155" t="e">
        <f t="shared" si="29"/>
        <v>#N/A</v>
      </c>
      <c r="V104" s="155" t="e">
        <f t="shared" si="29"/>
        <v>#N/A</v>
      </c>
      <c r="W104" s="155" t="e">
        <f t="shared" si="29"/>
        <v>#N/A</v>
      </c>
      <c r="X104" s="146" t="e">
        <f t="shared" si="30"/>
        <v>#N/A</v>
      </c>
      <c r="Y104" s="146" t="e">
        <f t="shared" si="29"/>
        <v>#N/A</v>
      </c>
      <c r="Z104" s="146" t="e">
        <f t="shared" si="29"/>
        <v>#N/A</v>
      </c>
      <c r="AA104" s="146" t="e">
        <f t="shared" si="29"/>
        <v>#N/A</v>
      </c>
      <c r="AB104" s="146" t="e">
        <f t="shared" si="29"/>
        <v>#N/A</v>
      </c>
      <c r="AC104" s="146" t="e">
        <f t="shared" si="30"/>
        <v>#N/A</v>
      </c>
      <c r="AD104" s="146" t="e">
        <f t="shared" si="29"/>
        <v>#N/A</v>
      </c>
      <c r="AE104" s="146" t="e">
        <f t="shared" si="29"/>
        <v>#N/A</v>
      </c>
      <c r="AF104" s="146" t="e">
        <f t="shared" si="29"/>
        <v>#N/A</v>
      </c>
      <c r="AG104" s="146" t="e">
        <f t="shared" si="29"/>
        <v>#N/A</v>
      </c>
      <c r="AH104" s="146" t="e">
        <f t="shared" si="30"/>
        <v>#N/A</v>
      </c>
      <c r="AI104" s="146" t="e">
        <f t="shared" si="29"/>
        <v>#N/A</v>
      </c>
      <c r="AJ104" s="146" t="e">
        <f t="shared" si="29"/>
        <v>#N/A</v>
      </c>
      <c r="AK104" s="146" t="e">
        <f t="shared" si="29"/>
        <v>#N/A</v>
      </c>
      <c r="AL104" s="146" t="e">
        <f t="shared" si="29"/>
        <v>#N/A</v>
      </c>
      <c r="AM104" s="146" t="e">
        <f t="shared" si="30"/>
        <v>#N/A</v>
      </c>
    </row>
    <row r="105" spans="3:40" x14ac:dyDescent="0.25">
      <c r="C105" s="56" t="s">
        <v>30</v>
      </c>
      <c r="D105" s="78" t="s">
        <v>195</v>
      </c>
      <c r="E105" s="155" t="e">
        <f t="shared" si="30"/>
        <v>#N/A</v>
      </c>
      <c r="F105" s="155" t="e">
        <f t="shared" si="30"/>
        <v>#N/A</v>
      </c>
      <c r="G105" s="155" t="e">
        <f t="shared" si="30"/>
        <v>#N/A</v>
      </c>
      <c r="H105" s="155" t="e">
        <f t="shared" si="30"/>
        <v>#N/A</v>
      </c>
      <c r="I105" s="155" t="e">
        <f t="shared" si="30"/>
        <v>#N/A</v>
      </c>
      <c r="J105" s="154" t="e">
        <f t="shared" si="30"/>
        <v>#N/A</v>
      </c>
      <c r="K105" s="96" t="e">
        <f t="shared" si="30"/>
        <v>#N/A</v>
      </c>
      <c r="L105" s="96" t="e">
        <f t="shared" si="30"/>
        <v>#N/A</v>
      </c>
      <c r="M105" s="96" t="e">
        <f t="shared" si="30"/>
        <v>#N/A</v>
      </c>
      <c r="N105" s="155" t="e">
        <f t="shared" si="30"/>
        <v>#N/A</v>
      </c>
      <c r="O105" s="154" t="e">
        <f t="shared" si="30"/>
        <v>#N/A</v>
      </c>
      <c r="P105" s="96" t="e">
        <f t="shared" si="30"/>
        <v>#N/A</v>
      </c>
      <c r="Q105" s="96" t="e">
        <f t="shared" si="30"/>
        <v>#N/A</v>
      </c>
      <c r="R105" s="96" t="e">
        <f t="shared" si="30"/>
        <v>#N/A</v>
      </c>
      <c r="S105" s="155" t="e">
        <f t="shared" si="30"/>
        <v>#N/A</v>
      </c>
      <c r="T105" s="155" t="e">
        <f t="shared" si="29"/>
        <v>#N/A</v>
      </c>
      <c r="U105" s="155" t="e">
        <f t="shared" si="29"/>
        <v>#N/A</v>
      </c>
      <c r="V105" s="155" t="e">
        <f t="shared" si="29"/>
        <v>#N/A</v>
      </c>
      <c r="W105" s="155" t="e">
        <f t="shared" si="29"/>
        <v>#N/A</v>
      </c>
      <c r="X105" s="146" t="e">
        <f t="shared" si="30"/>
        <v>#N/A</v>
      </c>
      <c r="Y105" s="146" t="e">
        <f t="shared" si="29"/>
        <v>#N/A</v>
      </c>
      <c r="Z105" s="146" t="e">
        <f t="shared" si="29"/>
        <v>#N/A</v>
      </c>
      <c r="AA105" s="146" t="e">
        <f t="shared" si="29"/>
        <v>#N/A</v>
      </c>
      <c r="AB105" s="146" t="e">
        <f t="shared" si="29"/>
        <v>#N/A</v>
      </c>
      <c r="AC105" s="146" t="e">
        <f t="shared" si="30"/>
        <v>#N/A</v>
      </c>
      <c r="AD105" s="146" t="e">
        <f t="shared" si="29"/>
        <v>#N/A</v>
      </c>
      <c r="AE105" s="146" t="e">
        <f t="shared" si="29"/>
        <v>#N/A</v>
      </c>
      <c r="AF105" s="146" t="e">
        <f t="shared" si="29"/>
        <v>#N/A</v>
      </c>
      <c r="AG105" s="146" t="e">
        <f t="shared" si="29"/>
        <v>#N/A</v>
      </c>
      <c r="AH105" s="146" t="e">
        <f t="shared" si="30"/>
        <v>#N/A</v>
      </c>
      <c r="AI105" s="146" t="e">
        <f t="shared" si="29"/>
        <v>#N/A</v>
      </c>
      <c r="AJ105" s="146" t="e">
        <f t="shared" si="29"/>
        <v>#N/A</v>
      </c>
      <c r="AK105" s="146" t="e">
        <f t="shared" si="29"/>
        <v>#N/A</v>
      </c>
      <c r="AL105" s="146" t="e">
        <f t="shared" si="29"/>
        <v>#N/A</v>
      </c>
      <c r="AM105" s="146" t="e">
        <f t="shared" si="30"/>
        <v>#N/A</v>
      </c>
    </row>
    <row r="106" spans="3:40" x14ac:dyDescent="0.25">
      <c r="C106" s="56" t="s">
        <v>31</v>
      </c>
      <c r="D106" s="78" t="s">
        <v>196</v>
      </c>
      <c r="E106" s="155" t="e">
        <f t="shared" si="30"/>
        <v>#N/A</v>
      </c>
      <c r="F106" s="155" t="e">
        <f t="shared" si="30"/>
        <v>#N/A</v>
      </c>
      <c r="G106" s="155" t="e">
        <f t="shared" si="30"/>
        <v>#N/A</v>
      </c>
      <c r="H106" s="155" t="e">
        <f t="shared" si="30"/>
        <v>#N/A</v>
      </c>
      <c r="I106" s="155" t="e">
        <f t="shared" si="30"/>
        <v>#N/A</v>
      </c>
      <c r="J106" s="154" t="e">
        <f t="shared" si="30"/>
        <v>#N/A</v>
      </c>
      <c r="K106" s="96" t="e">
        <f t="shared" si="30"/>
        <v>#N/A</v>
      </c>
      <c r="L106" s="96" t="e">
        <f t="shared" si="30"/>
        <v>#N/A</v>
      </c>
      <c r="M106" s="96" t="e">
        <f t="shared" si="30"/>
        <v>#N/A</v>
      </c>
      <c r="N106" s="155" t="e">
        <f t="shared" si="30"/>
        <v>#N/A</v>
      </c>
      <c r="O106" s="154" t="e">
        <f t="shared" si="30"/>
        <v>#N/A</v>
      </c>
      <c r="P106" s="96" t="e">
        <f t="shared" si="30"/>
        <v>#N/A</v>
      </c>
      <c r="Q106" s="96" t="e">
        <f t="shared" si="30"/>
        <v>#N/A</v>
      </c>
      <c r="R106" s="96" t="e">
        <f t="shared" si="30"/>
        <v>#N/A</v>
      </c>
      <c r="S106" s="155" t="e">
        <f t="shared" si="30"/>
        <v>#N/A</v>
      </c>
      <c r="T106" s="155" t="e">
        <f t="shared" si="29"/>
        <v>#N/A</v>
      </c>
      <c r="U106" s="155" t="e">
        <f t="shared" si="29"/>
        <v>#N/A</v>
      </c>
      <c r="V106" s="155" t="e">
        <f t="shared" si="29"/>
        <v>#N/A</v>
      </c>
      <c r="W106" s="155" t="e">
        <f t="shared" si="29"/>
        <v>#N/A</v>
      </c>
      <c r="X106" s="146" t="e">
        <f t="shared" si="30"/>
        <v>#N/A</v>
      </c>
      <c r="Y106" s="146" t="e">
        <f t="shared" si="29"/>
        <v>#N/A</v>
      </c>
      <c r="Z106" s="146" t="e">
        <f t="shared" si="29"/>
        <v>#N/A</v>
      </c>
      <c r="AA106" s="146" t="e">
        <f t="shared" si="29"/>
        <v>#N/A</v>
      </c>
      <c r="AB106" s="146" t="e">
        <f t="shared" si="29"/>
        <v>#N/A</v>
      </c>
      <c r="AC106" s="146" t="e">
        <f t="shared" si="30"/>
        <v>#N/A</v>
      </c>
      <c r="AD106" s="146" t="e">
        <f t="shared" si="29"/>
        <v>#N/A</v>
      </c>
      <c r="AE106" s="146" t="e">
        <f t="shared" si="29"/>
        <v>#N/A</v>
      </c>
      <c r="AF106" s="146" t="e">
        <f t="shared" si="29"/>
        <v>#N/A</v>
      </c>
      <c r="AG106" s="146" t="e">
        <f t="shared" si="29"/>
        <v>#N/A</v>
      </c>
      <c r="AH106" s="146" t="e">
        <f t="shared" si="30"/>
        <v>#N/A</v>
      </c>
      <c r="AI106" s="146" t="e">
        <f t="shared" si="29"/>
        <v>#N/A</v>
      </c>
      <c r="AJ106" s="146" t="e">
        <f t="shared" si="29"/>
        <v>#N/A</v>
      </c>
      <c r="AK106" s="146" t="e">
        <f t="shared" si="29"/>
        <v>#N/A</v>
      </c>
      <c r="AL106" s="146" t="e">
        <f t="shared" si="29"/>
        <v>#N/A</v>
      </c>
      <c r="AM106" s="146" t="e">
        <f t="shared" si="30"/>
        <v>#N/A</v>
      </c>
    </row>
    <row r="107" spans="3:40" x14ac:dyDescent="0.25">
      <c r="C107" s="56" t="s">
        <v>32</v>
      </c>
      <c r="D107" s="78" t="s">
        <v>197</v>
      </c>
      <c r="E107" s="155" t="e">
        <f t="shared" si="30"/>
        <v>#N/A</v>
      </c>
      <c r="F107" s="155" t="e">
        <f t="shared" si="30"/>
        <v>#N/A</v>
      </c>
      <c r="G107" s="155" t="e">
        <f t="shared" si="30"/>
        <v>#N/A</v>
      </c>
      <c r="H107" s="155" t="e">
        <f t="shared" si="30"/>
        <v>#N/A</v>
      </c>
      <c r="I107" s="155" t="e">
        <f t="shared" si="30"/>
        <v>#N/A</v>
      </c>
      <c r="J107" s="154" t="e">
        <f t="shared" si="30"/>
        <v>#N/A</v>
      </c>
      <c r="K107" s="96" t="e">
        <f t="shared" si="30"/>
        <v>#N/A</v>
      </c>
      <c r="L107" s="96" t="e">
        <f t="shared" si="30"/>
        <v>#N/A</v>
      </c>
      <c r="M107" s="96" t="e">
        <f t="shared" si="30"/>
        <v>#N/A</v>
      </c>
      <c r="N107" s="155" t="e">
        <f t="shared" si="30"/>
        <v>#N/A</v>
      </c>
      <c r="O107" s="154" t="e">
        <f t="shared" si="30"/>
        <v>#N/A</v>
      </c>
      <c r="P107" s="96" t="e">
        <f t="shared" si="30"/>
        <v>#N/A</v>
      </c>
      <c r="Q107" s="96" t="e">
        <f t="shared" si="30"/>
        <v>#N/A</v>
      </c>
      <c r="R107" s="96" t="e">
        <f t="shared" si="30"/>
        <v>#N/A</v>
      </c>
      <c r="S107" s="155" t="e">
        <f t="shared" si="30"/>
        <v>#N/A</v>
      </c>
      <c r="T107" s="155" t="e">
        <f t="shared" si="29"/>
        <v>#N/A</v>
      </c>
      <c r="U107" s="155" t="e">
        <f t="shared" si="29"/>
        <v>#N/A</v>
      </c>
      <c r="V107" s="155" t="e">
        <f t="shared" si="29"/>
        <v>#N/A</v>
      </c>
      <c r="W107" s="155" t="e">
        <f t="shared" si="29"/>
        <v>#N/A</v>
      </c>
      <c r="X107" s="146" t="e">
        <f t="shared" si="30"/>
        <v>#N/A</v>
      </c>
      <c r="Y107" s="146" t="e">
        <f t="shared" si="29"/>
        <v>#N/A</v>
      </c>
      <c r="Z107" s="146" t="e">
        <f t="shared" si="29"/>
        <v>#N/A</v>
      </c>
      <c r="AA107" s="146" t="e">
        <f t="shared" si="29"/>
        <v>#N/A</v>
      </c>
      <c r="AB107" s="146" t="e">
        <f t="shared" si="29"/>
        <v>#N/A</v>
      </c>
      <c r="AC107" s="146" t="e">
        <f t="shared" si="30"/>
        <v>#N/A</v>
      </c>
      <c r="AD107" s="146" t="e">
        <f t="shared" si="29"/>
        <v>#N/A</v>
      </c>
      <c r="AE107" s="146" t="e">
        <f t="shared" si="29"/>
        <v>#N/A</v>
      </c>
      <c r="AF107" s="146" t="e">
        <f t="shared" si="29"/>
        <v>#N/A</v>
      </c>
      <c r="AG107" s="146" t="e">
        <f t="shared" si="29"/>
        <v>#N/A</v>
      </c>
      <c r="AH107" s="146" t="e">
        <f t="shared" si="30"/>
        <v>#N/A</v>
      </c>
      <c r="AI107" s="146" t="e">
        <f t="shared" si="29"/>
        <v>#N/A</v>
      </c>
      <c r="AJ107" s="146" t="e">
        <f t="shared" si="29"/>
        <v>#N/A</v>
      </c>
      <c r="AK107" s="146" t="e">
        <f t="shared" si="29"/>
        <v>#N/A</v>
      </c>
      <c r="AL107" s="146" t="e">
        <f t="shared" si="29"/>
        <v>#N/A</v>
      </c>
      <c r="AM107" s="146" t="e">
        <f t="shared" si="30"/>
        <v>#N/A</v>
      </c>
    </row>
    <row r="108" spans="3:40" x14ac:dyDescent="0.25">
      <c r="C108" s="80" t="s">
        <v>33</v>
      </c>
      <c r="D108" s="90" t="s">
        <v>198</v>
      </c>
      <c r="E108" s="157" t="e">
        <f t="shared" si="30"/>
        <v>#N/A</v>
      </c>
      <c r="F108" s="157" t="e">
        <f t="shared" si="30"/>
        <v>#N/A</v>
      </c>
      <c r="G108" s="157" t="e">
        <f t="shared" si="30"/>
        <v>#N/A</v>
      </c>
      <c r="H108" s="157" t="e">
        <f t="shared" si="30"/>
        <v>#N/A</v>
      </c>
      <c r="I108" s="157" t="e">
        <f t="shared" si="30"/>
        <v>#N/A</v>
      </c>
      <c r="J108" s="156" t="e">
        <f t="shared" si="30"/>
        <v>#N/A</v>
      </c>
      <c r="K108" s="97" t="e">
        <f t="shared" si="30"/>
        <v>#N/A</v>
      </c>
      <c r="L108" s="97" t="e">
        <f t="shared" si="30"/>
        <v>#N/A</v>
      </c>
      <c r="M108" s="97" t="e">
        <f t="shared" si="30"/>
        <v>#N/A</v>
      </c>
      <c r="N108" s="157" t="e">
        <f t="shared" si="30"/>
        <v>#N/A</v>
      </c>
      <c r="O108" s="156" t="e">
        <f t="shared" si="30"/>
        <v>#N/A</v>
      </c>
      <c r="P108" s="97" t="e">
        <f t="shared" si="30"/>
        <v>#N/A</v>
      </c>
      <c r="Q108" s="97" t="e">
        <f t="shared" si="30"/>
        <v>#N/A</v>
      </c>
      <c r="R108" s="97" t="e">
        <f t="shared" si="30"/>
        <v>#N/A</v>
      </c>
      <c r="S108" s="157" t="e">
        <f t="shared" si="30"/>
        <v>#N/A</v>
      </c>
      <c r="T108" s="157" t="e">
        <f t="shared" si="29"/>
        <v>#N/A</v>
      </c>
      <c r="U108" s="157" t="e">
        <f t="shared" si="29"/>
        <v>#N/A</v>
      </c>
      <c r="V108" s="157" t="e">
        <f t="shared" si="29"/>
        <v>#N/A</v>
      </c>
      <c r="W108" s="157" t="e">
        <f t="shared" si="29"/>
        <v>#N/A</v>
      </c>
      <c r="X108" s="147" t="e">
        <f t="shared" si="30"/>
        <v>#N/A</v>
      </c>
      <c r="Y108" s="147" t="e">
        <f t="shared" si="29"/>
        <v>#N/A</v>
      </c>
      <c r="Z108" s="147" t="e">
        <f t="shared" si="29"/>
        <v>#N/A</v>
      </c>
      <c r="AA108" s="147" t="e">
        <f t="shared" si="29"/>
        <v>#N/A</v>
      </c>
      <c r="AB108" s="147" t="e">
        <f t="shared" si="29"/>
        <v>#N/A</v>
      </c>
      <c r="AC108" s="147" t="e">
        <f t="shared" si="30"/>
        <v>#N/A</v>
      </c>
      <c r="AD108" s="147" t="e">
        <f t="shared" si="29"/>
        <v>#N/A</v>
      </c>
      <c r="AE108" s="147" t="e">
        <f t="shared" si="29"/>
        <v>#N/A</v>
      </c>
      <c r="AF108" s="147" t="e">
        <f t="shared" si="29"/>
        <v>#N/A</v>
      </c>
      <c r="AG108" s="147" t="e">
        <f t="shared" si="29"/>
        <v>#N/A</v>
      </c>
      <c r="AH108" s="147" t="e">
        <f t="shared" si="30"/>
        <v>#N/A</v>
      </c>
      <c r="AI108" s="147" t="e">
        <f t="shared" si="29"/>
        <v>#N/A</v>
      </c>
      <c r="AJ108" s="147" t="e">
        <f t="shared" si="29"/>
        <v>#N/A</v>
      </c>
      <c r="AK108" s="147" t="e">
        <f t="shared" si="29"/>
        <v>#N/A</v>
      </c>
      <c r="AL108" s="147" t="e">
        <f t="shared" si="29"/>
        <v>#N/A</v>
      </c>
      <c r="AM108" s="147" t="e">
        <f t="shared" si="30"/>
        <v>#N/A</v>
      </c>
    </row>
  </sheetData>
  <pageMargins left="0.7" right="0.7" top="0.75" bottom="0.75" header="0.3" footer="0.3"/>
  <pageSetup paperSize="9" scale="65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70C0"/>
  </sheetPr>
  <dimension ref="A1:AL25"/>
  <sheetViews>
    <sheetView zoomScale="80" zoomScaleNormal="80" workbookViewId="0">
      <selection activeCell="W4" sqref="W4"/>
    </sheetView>
  </sheetViews>
  <sheetFormatPr baseColWidth="10" defaultRowHeight="15" x14ac:dyDescent="0.25"/>
  <cols>
    <col min="2" max="2" width="19.7109375" customWidth="1"/>
    <col min="3" max="3" width="26.140625" customWidth="1"/>
    <col min="4" max="4" width="23" customWidth="1"/>
    <col min="5" max="6" width="13.5703125" customWidth="1"/>
    <col min="7" max="22" width="7.140625" bestFit="1" customWidth="1"/>
    <col min="23" max="23" width="7.85546875" customWidth="1"/>
    <col min="29" max="29" width="11.42578125" customWidth="1"/>
    <col min="32" max="32" width="10.85546875" customWidth="1"/>
    <col min="33" max="33" width="16.28515625" customWidth="1"/>
    <col min="34" max="34" width="13.140625" customWidth="1"/>
    <col min="35" max="35" width="12.7109375" customWidth="1"/>
    <col min="36" max="36" width="14.85546875" customWidth="1"/>
    <col min="37" max="37" width="12.85546875" customWidth="1"/>
    <col min="38" max="38" width="13.5703125" customWidth="1"/>
  </cols>
  <sheetData>
    <row r="1" spans="1:38" ht="23.25" x14ac:dyDescent="0.35">
      <c r="A1" s="1" t="s">
        <v>217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38" s="3" customFormat="1" ht="23.25" x14ac:dyDescent="0.35">
      <c r="A2" s="70"/>
      <c r="D2" s="7"/>
      <c r="E2" s="238">
        <f>'T energie vecteurs'!E5</f>
        <v>4</v>
      </c>
      <c r="F2" s="238">
        <f>E2+9</f>
        <v>13</v>
      </c>
      <c r="G2" s="238">
        <f>F2+3</f>
        <v>16</v>
      </c>
      <c r="H2" s="238">
        <f t="shared" ref="H2:S2" si="0">G2+1</f>
        <v>17</v>
      </c>
      <c r="I2" s="238">
        <f t="shared" si="0"/>
        <v>18</v>
      </c>
      <c r="J2" s="238">
        <f t="shared" si="0"/>
        <v>19</v>
      </c>
      <c r="K2" s="238">
        <f t="shared" si="0"/>
        <v>20</v>
      </c>
      <c r="L2" s="238">
        <f t="shared" si="0"/>
        <v>21</v>
      </c>
      <c r="M2" s="238">
        <f t="shared" si="0"/>
        <v>22</v>
      </c>
      <c r="N2" s="238">
        <f t="shared" si="0"/>
        <v>23</v>
      </c>
      <c r="O2" s="238">
        <f t="shared" si="0"/>
        <v>24</v>
      </c>
      <c r="P2" s="238">
        <f t="shared" si="0"/>
        <v>25</v>
      </c>
      <c r="Q2" s="238">
        <f t="shared" si="0"/>
        <v>26</v>
      </c>
      <c r="R2" s="238">
        <f t="shared" si="0"/>
        <v>27</v>
      </c>
      <c r="S2" s="238">
        <f t="shared" si="0"/>
        <v>28</v>
      </c>
      <c r="T2" s="238">
        <f>S2+5</f>
        <v>33</v>
      </c>
      <c r="U2" s="238">
        <f>T2+5</f>
        <v>38</v>
      </c>
      <c r="V2" s="238">
        <f>U2+5</f>
        <v>43</v>
      </c>
      <c r="W2" s="238">
        <f>V2+5</f>
        <v>48</v>
      </c>
    </row>
    <row r="3" spans="1:38" ht="23.25" x14ac:dyDescent="0.35">
      <c r="A3" s="240"/>
      <c r="B3" s="3"/>
      <c r="C3" s="66"/>
      <c r="D3" s="12"/>
      <c r="E3" s="73">
        <v>2006</v>
      </c>
      <c r="F3" s="73">
        <v>2015</v>
      </c>
      <c r="G3" s="26">
        <v>2018</v>
      </c>
      <c r="H3" s="4">
        <v>2019</v>
      </c>
      <c r="I3" s="108">
        <v>2020</v>
      </c>
      <c r="J3" s="116">
        <v>2021</v>
      </c>
      <c r="K3" s="33">
        <v>2022</v>
      </c>
      <c r="L3" s="4">
        <v>2023</v>
      </c>
      <c r="M3" s="33">
        <v>2024</v>
      </c>
      <c r="N3" s="108">
        <v>2025</v>
      </c>
      <c r="O3" s="116">
        <v>2026</v>
      </c>
      <c r="P3" s="4">
        <v>2027</v>
      </c>
      <c r="Q3" s="33">
        <v>2028</v>
      </c>
      <c r="R3" s="33">
        <v>2029</v>
      </c>
      <c r="S3" s="108">
        <v>2030</v>
      </c>
      <c r="T3" s="118">
        <v>2035</v>
      </c>
      <c r="U3" s="118">
        <v>2040</v>
      </c>
      <c r="V3" s="4">
        <v>2045</v>
      </c>
      <c r="W3" s="118">
        <v>2050</v>
      </c>
      <c r="X3" s="3"/>
      <c r="AG3" s="14"/>
      <c r="AH3" s="102"/>
      <c r="AI3" s="102"/>
      <c r="AJ3" s="102"/>
      <c r="AK3" s="102"/>
      <c r="AL3" s="102"/>
    </row>
    <row r="4" spans="1:38" ht="23.25" x14ac:dyDescent="0.35">
      <c r="A4" s="194" t="str">
        <f>Résultats!B1</f>
        <v>TEND</v>
      </c>
      <c r="B4" s="239" t="s">
        <v>218</v>
      </c>
      <c r="C4" s="5" t="s">
        <v>210</v>
      </c>
      <c r="D4" s="13" t="s">
        <v>81</v>
      </c>
      <c r="E4" s="22" t="e">
        <f>VLOOKUP($D4,Résultats!$B$2:$AX$212,E$2,FALSE)</f>
        <v>#N/A</v>
      </c>
      <c r="F4" s="22" t="e">
        <f>VLOOKUP($D4,Résultats!$B$2:$AX$212,F$2,FALSE)</f>
        <v>#N/A</v>
      </c>
      <c r="G4" s="131" t="e">
        <f>VLOOKUP($D4,Résultats!$B$2:$AX$212,G$2,FALSE)/1000000</f>
        <v>#N/A</v>
      </c>
      <c r="H4" s="22" t="e">
        <f>VLOOKUP($D4,Résultats!$B$2:$AX$212,H$2,FALSE)/1000000</f>
        <v>#N/A</v>
      </c>
      <c r="I4" s="132" t="e">
        <f>VLOOKUP($D4,Résultats!$B$2:$AX$212,I$2,FALSE)/1000000</f>
        <v>#N/A</v>
      </c>
      <c r="J4" s="131" t="e">
        <f>VLOOKUP($D4,Résultats!$B$2:$AX$212,J$2,FALSE)/1000000</f>
        <v>#N/A</v>
      </c>
      <c r="K4" s="22" t="e">
        <f>VLOOKUP($D4,Résultats!$B$2:$AX$212,K$2,FALSE)/1000000</f>
        <v>#N/A</v>
      </c>
      <c r="L4" s="22" t="e">
        <f>VLOOKUP($D4,Résultats!$B$2:$AX$212,L$2,FALSE)/1000000</f>
        <v>#N/A</v>
      </c>
      <c r="M4" s="22" t="e">
        <f>VLOOKUP($D4,Résultats!$B$2:$AX$212,M$2,FALSE)/1000000</f>
        <v>#N/A</v>
      </c>
      <c r="N4" s="132" t="e">
        <f>VLOOKUP($D4,Résultats!$B$2:$AX$212,N$2,FALSE)/1000000</f>
        <v>#N/A</v>
      </c>
      <c r="O4" s="131" t="e">
        <f>VLOOKUP($D4,Résultats!$B$2:$AX$212,O$2,FALSE)/1000000</f>
        <v>#N/A</v>
      </c>
      <c r="P4" s="22" t="e">
        <f>VLOOKUP($D4,Résultats!$B$2:$AX$212,P$2,FALSE)/1000000</f>
        <v>#N/A</v>
      </c>
      <c r="Q4" s="22" t="e">
        <f>VLOOKUP($D4,Résultats!$B$2:$AX$212,Q$2,FALSE)/1000000</f>
        <v>#N/A</v>
      </c>
      <c r="R4" s="22" t="e">
        <f>VLOOKUP($D4,Résultats!$B$2:$AX$212,R$2,FALSE)/1000000</f>
        <v>#N/A</v>
      </c>
      <c r="S4" s="132" t="e">
        <f>VLOOKUP($D4,Résultats!$B$2:$AX$212,S$2,FALSE)/1000000</f>
        <v>#N/A</v>
      </c>
      <c r="T4" s="139" t="e">
        <f>VLOOKUP($D4,Résultats!$B$2:$AX$212,T$2,FALSE)/1000000</f>
        <v>#N/A</v>
      </c>
      <c r="U4" s="139" t="e">
        <f>VLOOKUP($D4,Résultats!$B$2:$AX$212,U$2,FALSE)/1000000</f>
        <v>#N/A</v>
      </c>
      <c r="V4" s="22" t="e">
        <f>VLOOKUP($D4,Résultats!$B$2:$AX$212,V$2,FALSE)/1000000</f>
        <v>#N/A</v>
      </c>
      <c r="W4" s="139" t="e">
        <f>VLOOKUP($D4,Résultats!$B$2:$AX$212,W$2,FALSE)/1000000</f>
        <v>#N/A</v>
      </c>
      <c r="X4" s="3"/>
      <c r="AG4" s="14"/>
      <c r="AH4" s="102"/>
      <c r="AI4" s="102"/>
      <c r="AJ4" s="102"/>
      <c r="AK4" s="102"/>
      <c r="AL4" s="102"/>
    </row>
    <row r="5" spans="1:38" x14ac:dyDescent="0.25">
      <c r="A5" s="3"/>
      <c r="B5" s="241"/>
      <c r="C5" s="56" t="s">
        <v>27</v>
      </c>
      <c r="D5" s="16" t="s">
        <v>82</v>
      </c>
      <c r="E5" s="31" t="e">
        <f>VLOOKUP($D5,Résultats!$B$2:$AX$212,E$2,FALSE)</f>
        <v>#N/A</v>
      </c>
      <c r="F5" s="31" t="e">
        <f>VLOOKUP($D5,Résultats!$B$2:$AX$212,F$2,FALSE)</f>
        <v>#N/A</v>
      </c>
      <c r="G5" s="126" t="e">
        <f>VLOOKUP($D5,Résultats!$B$2:$AX$212,G$2,FALSE)/1000000</f>
        <v>#N/A</v>
      </c>
      <c r="H5" s="31" t="e">
        <f>VLOOKUP($D5,Résultats!$B$2:$AX$212,H$2,FALSE)/1000000</f>
        <v>#N/A</v>
      </c>
      <c r="I5" s="127" t="e">
        <f>VLOOKUP($D5,Résultats!$B$2:$AX$212,I$2,FALSE)/1000000</f>
        <v>#N/A</v>
      </c>
      <c r="J5" s="126" t="e">
        <f>VLOOKUP($D5,Résultats!$B$2:$AX$212,J$2,FALSE)/1000000</f>
        <v>#N/A</v>
      </c>
      <c r="K5" s="31" t="e">
        <f>VLOOKUP($D5,Résultats!$B$2:$AX$212,K$2,FALSE)/1000000</f>
        <v>#N/A</v>
      </c>
      <c r="L5" s="31" t="e">
        <f>VLOOKUP($D5,Résultats!$B$2:$AX$212,L$2,FALSE)/1000000</f>
        <v>#N/A</v>
      </c>
      <c r="M5" s="31" t="e">
        <f>VLOOKUP($D5,Résultats!$B$2:$AX$212,M$2,FALSE)/1000000</f>
        <v>#N/A</v>
      </c>
      <c r="N5" s="127" t="e">
        <f>VLOOKUP($D5,Résultats!$B$2:$AX$212,N$2,FALSE)/1000000</f>
        <v>#N/A</v>
      </c>
      <c r="O5" s="126" t="e">
        <f>VLOOKUP($D5,Résultats!$B$2:$AX$212,O$2,FALSE)/1000000</f>
        <v>#N/A</v>
      </c>
      <c r="P5" s="31" t="e">
        <f>VLOOKUP($D5,Résultats!$B$2:$AX$212,P$2,FALSE)/1000000</f>
        <v>#N/A</v>
      </c>
      <c r="Q5" s="31" t="e">
        <f>VLOOKUP($D5,Résultats!$B$2:$AX$212,Q$2,FALSE)/1000000</f>
        <v>#N/A</v>
      </c>
      <c r="R5" s="31" t="e">
        <f>VLOOKUP($D5,Résultats!$B$2:$AX$212,R$2,FALSE)/1000000</f>
        <v>#N/A</v>
      </c>
      <c r="S5" s="127" t="e">
        <f>VLOOKUP($D5,Résultats!$B$2:$AX$212,S$2,FALSE)/1000000</f>
        <v>#N/A</v>
      </c>
      <c r="T5" s="130" t="e">
        <f>VLOOKUP($D5,Résultats!$B$2:$AX$212,T$2,FALSE)/1000000</f>
        <v>#N/A</v>
      </c>
      <c r="U5" s="130" t="e">
        <f>VLOOKUP($D5,Résultats!$B$2:$AX$212,U$2,FALSE)/1000000</f>
        <v>#N/A</v>
      </c>
      <c r="V5" s="31" t="e">
        <f>VLOOKUP($D5,Résultats!$B$2:$AX$212,V$2,FALSE)/1000000</f>
        <v>#N/A</v>
      </c>
      <c r="W5" s="130" t="e">
        <f>VLOOKUP($D5,Résultats!$B$2:$AX$212,W$2,FALSE)/1000000</f>
        <v>#N/A</v>
      </c>
      <c r="X5" s="3"/>
      <c r="AG5" s="14"/>
      <c r="AH5" s="42"/>
      <c r="AI5" s="42"/>
      <c r="AJ5" s="42"/>
      <c r="AK5" s="42"/>
      <c r="AL5" s="42"/>
    </row>
    <row r="6" spans="1:38" x14ac:dyDescent="0.25">
      <c r="A6" s="3"/>
      <c r="B6" s="241"/>
      <c r="C6" s="56" t="s">
        <v>28</v>
      </c>
      <c r="D6" s="16" t="s">
        <v>83</v>
      </c>
      <c r="E6" s="31" t="e">
        <f>VLOOKUP($D6,Résultats!$B$2:$AX$212,E$2,FALSE)</f>
        <v>#N/A</v>
      </c>
      <c r="F6" s="31" t="e">
        <f>VLOOKUP($D6,Résultats!$B$2:$AX$212,F$2,FALSE)</f>
        <v>#N/A</v>
      </c>
      <c r="G6" s="126" t="e">
        <f>VLOOKUP($D6,Résultats!$B$2:$AX$212,G$2,FALSE)/1000000</f>
        <v>#N/A</v>
      </c>
      <c r="H6" s="31" t="e">
        <f>VLOOKUP($D6,Résultats!$B$2:$AX$212,H$2,FALSE)/1000000</f>
        <v>#N/A</v>
      </c>
      <c r="I6" s="127" t="e">
        <f>VLOOKUP($D6,Résultats!$B$2:$AX$212,I$2,FALSE)/1000000</f>
        <v>#N/A</v>
      </c>
      <c r="J6" s="126" t="e">
        <f>VLOOKUP($D6,Résultats!$B$2:$AX$212,J$2,FALSE)/1000000</f>
        <v>#N/A</v>
      </c>
      <c r="K6" s="31" t="e">
        <f>VLOOKUP($D6,Résultats!$B$2:$AX$212,K$2,FALSE)/1000000</f>
        <v>#N/A</v>
      </c>
      <c r="L6" s="31" t="e">
        <f>VLOOKUP($D6,Résultats!$B$2:$AX$212,L$2,FALSE)/1000000</f>
        <v>#N/A</v>
      </c>
      <c r="M6" s="31" t="e">
        <f>VLOOKUP($D6,Résultats!$B$2:$AX$212,M$2,FALSE)/1000000</f>
        <v>#N/A</v>
      </c>
      <c r="N6" s="127" t="e">
        <f>VLOOKUP($D6,Résultats!$B$2:$AX$212,N$2,FALSE)/1000000</f>
        <v>#N/A</v>
      </c>
      <c r="O6" s="126" t="e">
        <f>VLOOKUP($D6,Résultats!$B$2:$AX$212,O$2,FALSE)/1000000</f>
        <v>#N/A</v>
      </c>
      <c r="P6" s="31" t="e">
        <f>VLOOKUP($D6,Résultats!$B$2:$AX$212,P$2,FALSE)/1000000</f>
        <v>#N/A</v>
      </c>
      <c r="Q6" s="31" t="e">
        <f>VLOOKUP($D6,Résultats!$B$2:$AX$212,Q$2,FALSE)/1000000</f>
        <v>#N/A</v>
      </c>
      <c r="R6" s="31" t="e">
        <f>VLOOKUP($D6,Résultats!$B$2:$AX$212,R$2,FALSE)/1000000</f>
        <v>#N/A</v>
      </c>
      <c r="S6" s="127" t="e">
        <f>VLOOKUP($D6,Résultats!$B$2:$AX$212,S$2,FALSE)/1000000</f>
        <v>#N/A</v>
      </c>
      <c r="T6" s="130" t="e">
        <f>VLOOKUP($D6,Résultats!$B$2:$AX$212,T$2,FALSE)/1000000</f>
        <v>#N/A</v>
      </c>
      <c r="U6" s="130" t="e">
        <f>VLOOKUP($D6,Résultats!$B$2:$AX$212,U$2,FALSE)/1000000</f>
        <v>#N/A</v>
      </c>
      <c r="V6" s="31" t="e">
        <f>VLOOKUP($D6,Résultats!$B$2:$AX$212,V$2,FALSE)/1000000</f>
        <v>#N/A</v>
      </c>
      <c r="W6" s="130" t="e">
        <f>VLOOKUP($D6,Résultats!$B$2:$AX$212,W$2,FALSE)/1000000</f>
        <v>#N/A</v>
      </c>
      <c r="X6" s="3"/>
    </row>
    <row r="7" spans="1:38" x14ac:dyDescent="0.25">
      <c r="A7" s="3"/>
      <c r="B7" s="241"/>
      <c r="C7" s="56" t="s">
        <v>29</v>
      </c>
      <c r="D7" s="16" t="s">
        <v>84</v>
      </c>
      <c r="E7" s="31" t="e">
        <f>VLOOKUP($D7,Résultats!$B$2:$AX$212,E$2,FALSE)</f>
        <v>#N/A</v>
      </c>
      <c r="F7" s="31" t="e">
        <f>VLOOKUP($D7,Résultats!$B$2:$AX$212,F$2,FALSE)</f>
        <v>#N/A</v>
      </c>
      <c r="G7" s="126" t="e">
        <f>VLOOKUP($D7,Résultats!$B$2:$AX$212,G$2,FALSE)/1000000</f>
        <v>#N/A</v>
      </c>
      <c r="H7" s="31" t="e">
        <f>VLOOKUP($D7,Résultats!$B$2:$AX$212,H$2,FALSE)/1000000</f>
        <v>#N/A</v>
      </c>
      <c r="I7" s="127" t="e">
        <f>VLOOKUP($D7,Résultats!$B$2:$AX$212,I$2,FALSE)/1000000</f>
        <v>#N/A</v>
      </c>
      <c r="J7" s="126" t="e">
        <f>VLOOKUP($D7,Résultats!$B$2:$AX$212,J$2,FALSE)/1000000</f>
        <v>#N/A</v>
      </c>
      <c r="K7" s="31" t="e">
        <f>VLOOKUP($D7,Résultats!$B$2:$AX$212,K$2,FALSE)/1000000</f>
        <v>#N/A</v>
      </c>
      <c r="L7" s="31" t="e">
        <f>VLOOKUP($D7,Résultats!$B$2:$AX$212,L$2,FALSE)/1000000</f>
        <v>#N/A</v>
      </c>
      <c r="M7" s="31" t="e">
        <f>VLOOKUP($D7,Résultats!$B$2:$AX$212,M$2,FALSE)/1000000</f>
        <v>#N/A</v>
      </c>
      <c r="N7" s="127" t="e">
        <f>VLOOKUP($D7,Résultats!$B$2:$AX$212,N$2,FALSE)/1000000</f>
        <v>#N/A</v>
      </c>
      <c r="O7" s="126" t="e">
        <f>VLOOKUP($D7,Résultats!$B$2:$AX$212,O$2,FALSE)/1000000</f>
        <v>#N/A</v>
      </c>
      <c r="P7" s="31" t="e">
        <f>VLOOKUP($D7,Résultats!$B$2:$AX$212,P$2,FALSE)/1000000</f>
        <v>#N/A</v>
      </c>
      <c r="Q7" s="31" t="e">
        <f>VLOOKUP($D7,Résultats!$B$2:$AX$212,Q$2,FALSE)/1000000</f>
        <v>#N/A</v>
      </c>
      <c r="R7" s="31" t="e">
        <f>VLOOKUP($D7,Résultats!$B$2:$AX$212,R$2,FALSE)/1000000</f>
        <v>#N/A</v>
      </c>
      <c r="S7" s="127" t="e">
        <f>VLOOKUP($D7,Résultats!$B$2:$AX$212,S$2,FALSE)/1000000</f>
        <v>#N/A</v>
      </c>
      <c r="T7" s="130" t="e">
        <f>VLOOKUP($D7,Résultats!$B$2:$AX$212,T$2,FALSE)/1000000</f>
        <v>#N/A</v>
      </c>
      <c r="U7" s="130" t="e">
        <f>VLOOKUP($D7,Résultats!$B$2:$AX$212,U$2,FALSE)/1000000</f>
        <v>#N/A</v>
      </c>
      <c r="V7" s="31" t="e">
        <f>VLOOKUP($D7,Résultats!$B$2:$AX$212,V$2,FALSE)/1000000</f>
        <v>#N/A</v>
      </c>
      <c r="W7" s="130" t="e">
        <f>VLOOKUP($D7,Résultats!$B$2:$AX$212,W$2,FALSE)/1000000</f>
        <v>#N/A</v>
      </c>
      <c r="X7" s="3"/>
    </row>
    <row r="8" spans="1:38" x14ac:dyDescent="0.25">
      <c r="A8" s="3"/>
      <c r="B8" s="241"/>
      <c r="C8" s="56" t="s">
        <v>30</v>
      </c>
      <c r="D8" s="16" t="s">
        <v>85</v>
      </c>
      <c r="E8" s="31" t="e">
        <f>VLOOKUP($D8,Résultats!$B$2:$AX$212,E$2,FALSE)</f>
        <v>#N/A</v>
      </c>
      <c r="F8" s="31" t="e">
        <f>VLOOKUP($D8,Résultats!$B$2:$AX$212,F$2,FALSE)</f>
        <v>#N/A</v>
      </c>
      <c r="G8" s="126" t="e">
        <f>VLOOKUP($D8,Résultats!$B$2:$AX$212,G$2,FALSE)/1000000</f>
        <v>#N/A</v>
      </c>
      <c r="H8" s="31" t="e">
        <f>VLOOKUP($D8,Résultats!$B$2:$AX$212,H$2,FALSE)/1000000</f>
        <v>#N/A</v>
      </c>
      <c r="I8" s="127" t="e">
        <f>VLOOKUP($D8,Résultats!$B$2:$AX$212,I$2,FALSE)/1000000</f>
        <v>#N/A</v>
      </c>
      <c r="J8" s="126" t="e">
        <f>VLOOKUP($D8,Résultats!$B$2:$AX$212,J$2,FALSE)/1000000</f>
        <v>#N/A</v>
      </c>
      <c r="K8" s="31" t="e">
        <f>VLOOKUP($D8,Résultats!$B$2:$AX$212,K$2,FALSE)/1000000</f>
        <v>#N/A</v>
      </c>
      <c r="L8" s="31" t="e">
        <f>VLOOKUP($D8,Résultats!$B$2:$AX$212,L$2,FALSE)/1000000</f>
        <v>#N/A</v>
      </c>
      <c r="M8" s="31" t="e">
        <f>VLOOKUP($D8,Résultats!$B$2:$AX$212,M$2,FALSE)/1000000</f>
        <v>#N/A</v>
      </c>
      <c r="N8" s="127" t="e">
        <f>VLOOKUP($D8,Résultats!$B$2:$AX$212,N$2,FALSE)/1000000</f>
        <v>#N/A</v>
      </c>
      <c r="O8" s="126" t="e">
        <f>VLOOKUP($D8,Résultats!$B$2:$AX$212,O$2,FALSE)/1000000</f>
        <v>#N/A</v>
      </c>
      <c r="P8" s="31" t="e">
        <f>VLOOKUP($D8,Résultats!$B$2:$AX$212,P$2,FALSE)/1000000</f>
        <v>#N/A</v>
      </c>
      <c r="Q8" s="31" t="e">
        <f>VLOOKUP($D8,Résultats!$B$2:$AX$212,Q$2,FALSE)/1000000</f>
        <v>#N/A</v>
      </c>
      <c r="R8" s="31" t="e">
        <f>VLOOKUP($D8,Résultats!$B$2:$AX$212,R$2,FALSE)/1000000</f>
        <v>#N/A</v>
      </c>
      <c r="S8" s="127" t="e">
        <f>VLOOKUP($D8,Résultats!$B$2:$AX$212,S$2,FALSE)/1000000</f>
        <v>#N/A</v>
      </c>
      <c r="T8" s="130" t="e">
        <f>VLOOKUP($D8,Résultats!$B$2:$AX$212,T$2,FALSE)/1000000</f>
        <v>#N/A</v>
      </c>
      <c r="U8" s="130" t="e">
        <f>VLOOKUP($D8,Résultats!$B$2:$AX$212,U$2,FALSE)/1000000</f>
        <v>#N/A</v>
      </c>
      <c r="V8" s="31" t="e">
        <f>VLOOKUP($D8,Résultats!$B$2:$AX$212,V$2,FALSE)/1000000</f>
        <v>#N/A</v>
      </c>
      <c r="W8" s="130" t="e">
        <f>VLOOKUP($D8,Résultats!$B$2:$AX$212,W$2,FALSE)/1000000</f>
        <v>#N/A</v>
      </c>
      <c r="X8" s="3"/>
    </row>
    <row r="9" spans="1:38" x14ac:dyDescent="0.25">
      <c r="A9" s="3"/>
      <c r="B9" s="241"/>
      <c r="C9" s="56" t="s">
        <v>31</v>
      </c>
      <c r="D9" s="16" t="s">
        <v>86</v>
      </c>
      <c r="E9" s="31" t="e">
        <f>VLOOKUP($D9,Résultats!$B$2:$AX$212,E$2,FALSE)</f>
        <v>#N/A</v>
      </c>
      <c r="F9" s="31" t="e">
        <f>VLOOKUP($D9,Résultats!$B$2:$AX$212,F$2,FALSE)</f>
        <v>#N/A</v>
      </c>
      <c r="G9" s="126" t="e">
        <f>VLOOKUP($D9,Résultats!$B$2:$AX$212,G$2,FALSE)/1000000</f>
        <v>#N/A</v>
      </c>
      <c r="H9" s="31" t="e">
        <f>VLOOKUP($D9,Résultats!$B$2:$AX$212,H$2,FALSE)/1000000</f>
        <v>#N/A</v>
      </c>
      <c r="I9" s="127" t="e">
        <f>VLOOKUP($D9,Résultats!$B$2:$AX$212,I$2,FALSE)/1000000</f>
        <v>#N/A</v>
      </c>
      <c r="J9" s="126" t="e">
        <f>VLOOKUP($D9,Résultats!$B$2:$AX$212,J$2,FALSE)/1000000</f>
        <v>#N/A</v>
      </c>
      <c r="K9" s="31" t="e">
        <f>VLOOKUP($D9,Résultats!$B$2:$AX$212,K$2,FALSE)/1000000</f>
        <v>#N/A</v>
      </c>
      <c r="L9" s="31" t="e">
        <f>VLOOKUP($D9,Résultats!$B$2:$AX$212,L$2,FALSE)/1000000</f>
        <v>#N/A</v>
      </c>
      <c r="M9" s="31" t="e">
        <f>VLOOKUP($D9,Résultats!$B$2:$AX$212,M$2,FALSE)/1000000</f>
        <v>#N/A</v>
      </c>
      <c r="N9" s="127" t="e">
        <f>VLOOKUP($D9,Résultats!$B$2:$AX$212,N$2,FALSE)/1000000</f>
        <v>#N/A</v>
      </c>
      <c r="O9" s="126" t="e">
        <f>VLOOKUP($D9,Résultats!$B$2:$AX$212,O$2,FALSE)/1000000</f>
        <v>#N/A</v>
      </c>
      <c r="P9" s="31" t="e">
        <f>VLOOKUP($D9,Résultats!$B$2:$AX$212,P$2,FALSE)/1000000</f>
        <v>#N/A</v>
      </c>
      <c r="Q9" s="31" t="e">
        <f>VLOOKUP($D9,Résultats!$B$2:$AX$212,Q$2,FALSE)/1000000</f>
        <v>#N/A</v>
      </c>
      <c r="R9" s="31" t="e">
        <f>VLOOKUP($D9,Résultats!$B$2:$AX$212,R$2,FALSE)/1000000</f>
        <v>#N/A</v>
      </c>
      <c r="S9" s="127" t="e">
        <f>VLOOKUP($D9,Résultats!$B$2:$AX$212,S$2,FALSE)/1000000</f>
        <v>#N/A</v>
      </c>
      <c r="T9" s="130" t="e">
        <f>VLOOKUP($D9,Résultats!$B$2:$AX$212,T$2,FALSE)/1000000</f>
        <v>#N/A</v>
      </c>
      <c r="U9" s="130" t="e">
        <f>VLOOKUP($D9,Résultats!$B$2:$AX$212,U$2,FALSE)/1000000</f>
        <v>#N/A</v>
      </c>
      <c r="V9" s="31" t="e">
        <f>VLOOKUP($D9,Résultats!$B$2:$AX$212,V$2,FALSE)/1000000</f>
        <v>#N/A</v>
      </c>
      <c r="W9" s="130" t="e">
        <f>VLOOKUP($D9,Résultats!$B$2:$AX$212,W$2,FALSE)/1000000</f>
        <v>#N/A</v>
      </c>
      <c r="X9" s="3"/>
    </row>
    <row r="10" spans="1:38" x14ac:dyDescent="0.25">
      <c r="A10" s="3"/>
      <c r="B10" s="241"/>
      <c r="C10" s="56" t="s">
        <v>32</v>
      </c>
      <c r="D10" s="16" t="s">
        <v>87</v>
      </c>
      <c r="E10" s="31" t="e">
        <f>VLOOKUP($D10,Résultats!$B$2:$AX$212,E$2,FALSE)</f>
        <v>#N/A</v>
      </c>
      <c r="F10" s="31" t="e">
        <f>VLOOKUP($D10,Résultats!$B$2:$AX$212,F$2,FALSE)</f>
        <v>#N/A</v>
      </c>
      <c r="G10" s="126" t="e">
        <f>VLOOKUP($D10,Résultats!$B$2:$AX$212,G$2,FALSE)/1000000</f>
        <v>#N/A</v>
      </c>
      <c r="H10" s="31" t="e">
        <f>VLOOKUP($D10,Résultats!$B$2:$AX$212,H$2,FALSE)/1000000</f>
        <v>#N/A</v>
      </c>
      <c r="I10" s="127" t="e">
        <f>VLOOKUP($D10,Résultats!$B$2:$AX$212,I$2,FALSE)/1000000</f>
        <v>#N/A</v>
      </c>
      <c r="J10" s="126" t="e">
        <f>VLOOKUP($D10,Résultats!$B$2:$AX$212,J$2,FALSE)/1000000</f>
        <v>#N/A</v>
      </c>
      <c r="K10" s="31" t="e">
        <f>VLOOKUP($D10,Résultats!$B$2:$AX$212,K$2,FALSE)/1000000</f>
        <v>#N/A</v>
      </c>
      <c r="L10" s="31" t="e">
        <f>VLOOKUP($D10,Résultats!$B$2:$AX$212,L$2,FALSE)/1000000</f>
        <v>#N/A</v>
      </c>
      <c r="M10" s="31" t="e">
        <f>VLOOKUP($D10,Résultats!$B$2:$AX$212,M$2,FALSE)/1000000</f>
        <v>#N/A</v>
      </c>
      <c r="N10" s="127" t="e">
        <f>VLOOKUP($D10,Résultats!$B$2:$AX$212,N$2,FALSE)/1000000</f>
        <v>#N/A</v>
      </c>
      <c r="O10" s="126" t="e">
        <f>VLOOKUP($D10,Résultats!$B$2:$AX$212,O$2,FALSE)/1000000</f>
        <v>#N/A</v>
      </c>
      <c r="P10" s="31" t="e">
        <f>VLOOKUP($D10,Résultats!$B$2:$AX$212,P$2,FALSE)/1000000</f>
        <v>#N/A</v>
      </c>
      <c r="Q10" s="31" t="e">
        <f>VLOOKUP($D10,Résultats!$B$2:$AX$212,Q$2,FALSE)/1000000</f>
        <v>#N/A</v>
      </c>
      <c r="R10" s="31" t="e">
        <f>VLOOKUP($D10,Résultats!$B$2:$AX$212,R$2,FALSE)/1000000</f>
        <v>#N/A</v>
      </c>
      <c r="S10" s="127" t="e">
        <f>VLOOKUP($D10,Résultats!$B$2:$AX$212,S$2,FALSE)/1000000</f>
        <v>#N/A</v>
      </c>
      <c r="T10" s="130" t="e">
        <f>VLOOKUP($D10,Résultats!$B$2:$AX$212,T$2,FALSE)/1000000</f>
        <v>#N/A</v>
      </c>
      <c r="U10" s="130" t="e">
        <f>VLOOKUP($D10,Résultats!$B$2:$AX$212,U$2,FALSE)/1000000</f>
        <v>#N/A</v>
      </c>
      <c r="V10" s="31" t="e">
        <f>VLOOKUP($D10,Résultats!$B$2:$AX$212,V$2,FALSE)/1000000</f>
        <v>#N/A</v>
      </c>
      <c r="W10" s="130" t="e">
        <f>VLOOKUP($D10,Résultats!$B$2:$AX$212,W$2,FALSE)/1000000</f>
        <v>#N/A</v>
      </c>
      <c r="X10" s="3"/>
    </row>
    <row r="11" spans="1:38" x14ac:dyDescent="0.25">
      <c r="A11" s="3"/>
      <c r="B11" s="241"/>
      <c r="C11" s="80" t="s">
        <v>33</v>
      </c>
      <c r="D11" s="32" t="s">
        <v>88</v>
      </c>
      <c r="E11" s="20" t="e">
        <f>VLOOKUP($D11,Résultats!$B$2:$AX$212,E$2,FALSE)</f>
        <v>#N/A</v>
      </c>
      <c r="F11" s="20" t="e">
        <f>VLOOKUP($D11,Résultats!$B$2:$AX$212,F$2,FALSE)</f>
        <v>#N/A</v>
      </c>
      <c r="G11" s="113" t="e">
        <f>VLOOKUP($D11,Résultats!$B$2:$AX$212,G$2,FALSE)/1000000</f>
        <v>#N/A</v>
      </c>
      <c r="H11" s="20" t="e">
        <f>VLOOKUP($D11,Résultats!$B$2:$AX$212,H$2,FALSE)/1000000</f>
        <v>#N/A</v>
      </c>
      <c r="I11" s="114" t="e">
        <f>VLOOKUP($D11,Résultats!$B$2:$AX$212,I$2,FALSE)/1000000</f>
        <v>#N/A</v>
      </c>
      <c r="J11" s="113" t="e">
        <f>VLOOKUP($D11,Résultats!$B$2:$AX$212,J$2,FALSE)/1000000</f>
        <v>#N/A</v>
      </c>
      <c r="K11" s="20" t="e">
        <f>VLOOKUP($D11,Résultats!$B$2:$AX$212,K$2,FALSE)/1000000</f>
        <v>#N/A</v>
      </c>
      <c r="L11" s="20" t="e">
        <f>VLOOKUP($D11,Résultats!$B$2:$AX$212,L$2,FALSE)/1000000</f>
        <v>#N/A</v>
      </c>
      <c r="M11" s="20" t="e">
        <f>VLOOKUP($D11,Résultats!$B$2:$AX$212,M$2,FALSE)/1000000</f>
        <v>#N/A</v>
      </c>
      <c r="N11" s="114" t="e">
        <f>VLOOKUP($D11,Résultats!$B$2:$AX$212,N$2,FALSE)/1000000</f>
        <v>#N/A</v>
      </c>
      <c r="O11" s="113" t="e">
        <f>VLOOKUP($D11,Résultats!$B$2:$AX$212,O$2,FALSE)/1000000</f>
        <v>#N/A</v>
      </c>
      <c r="P11" s="20" t="e">
        <f>VLOOKUP($D11,Résultats!$B$2:$AX$212,P$2,FALSE)/1000000</f>
        <v>#N/A</v>
      </c>
      <c r="Q11" s="20" t="e">
        <f>VLOOKUP($D11,Résultats!$B$2:$AX$212,Q$2,FALSE)/1000000</f>
        <v>#N/A</v>
      </c>
      <c r="R11" s="20" t="e">
        <f>VLOOKUP($D11,Résultats!$B$2:$AX$212,R$2,FALSE)/1000000</f>
        <v>#N/A</v>
      </c>
      <c r="S11" s="114" t="e">
        <f>VLOOKUP($D11,Résultats!$B$2:$AX$212,S$2,FALSE)/1000000</f>
        <v>#N/A</v>
      </c>
      <c r="T11" s="122" t="e">
        <f>VLOOKUP($D11,Résultats!$B$2:$AX$212,T$2,FALSE)/1000000</f>
        <v>#N/A</v>
      </c>
      <c r="U11" s="122" t="e">
        <f>VLOOKUP($D11,Résultats!$B$2:$AX$212,U$2,FALSE)/1000000</f>
        <v>#N/A</v>
      </c>
      <c r="V11" s="20" t="e">
        <f>VLOOKUP($D11,Résultats!$B$2:$AX$212,V$2,FALSE)/1000000</f>
        <v>#N/A</v>
      </c>
      <c r="W11" s="122" t="e">
        <f>VLOOKUP($D11,Résultats!$B$2:$AX$212,W$2,FALSE)/1000000</f>
        <v>#N/A</v>
      </c>
      <c r="X11" s="3"/>
    </row>
    <row r="12" spans="1:38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8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8" x14ac:dyDescent="0.25">
      <c r="A14" s="3"/>
      <c r="B14" s="3"/>
      <c r="C14" s="66"/>
      <c r="D14" s="12"/>
      <c r="E14" s="30">
        <v>2006</v>
      </c>
      <c r="F14" s="30">
        <v>2015</v>
      </c>
      <c r="G14" s="26">
        <v>2018</v>
      </c>
      <c r="H14" s="4">
        <v>2019</v>
      </c>
      <c r="I14" s="108">
        <v>2020</v>
      </c>
      <c r="J14" s="116">
        <v>2021</v>
      </c>
      <c r="K14" s="33">
        <v>2022</v>
      </c>
      <c r="L14" s="4">
        <v>2023</v>
      </c>
      <c r="M14" s="33">
        <v>2024</v>
      </c>
      <c r="N14" s="108">
        <v>2025</v>
      </c>
      <c r="O14" s="116">
        <v>2026</v>
      </c>
      <c r="P14" s="4">
        <v>2027</v>
      </c>
      <c r="Q14" s="33">
        <v>2028</v>
      </c>
      <c r="R14" s="33">
        <v>2029</v>
      </c>
      <c r="S14" s="108">
        <v>2030</v>
      </c>
      <c r="T14" s="4">
        <v>2035</v>
      </c>
      <c r="U14" s="118">
        <v>2040</v>
      </c>
      <c r="V14" s="4">
        <v>2045</v>
      </c>
      <c r="W14" s="118">
        <v>2050</v>
      </c>
      <c r="X14" s="3"/>
    </row>
    <row r="15" spans="1:38" ht="15.75" thickBot="1" x14ac:dyDescent="0.3">
      <c r="A15" s="3"/>
      <c r="B15" s="242" t="s">
        <v>219</v>
      </c>
      <c r="C15" s="5" t="s">
        <v>44</v>
      </c>
      <c r="D15" s="13" t="s">
        <v>81</v>
      </c>
      <c r="E15" s="22" t="e">
        <f>E4/100</f>
        <v>#N/A</v>
      </c>
      <c r="F15" s="22" t="e">
        <f>F4/100</f>
        <v>#N/A</v>
      </c>
      <c r="G15" s="131" t="e">
        <f>G4*1000/100</f>
        <v>#N/A</v>
      </c>
      <c r="H15" s="22" t="e">
        <f t="shared" ref="H15:W15" si="1">H4*1000/100</f>
        <v>#N/A</v>
      </c>
      <c r="I15" s="132" t="e">
        <f t="shared" si="1"/>
        <v>#N/A</v>
      </c>
      <c r="J15" s="131" t="e">
        <f t="shared" si="1"/>
        <v>#N/A</v>
      </c>
      <c r="K15" s="22" t="e">
        <f t="shared" si="1"/>
        <v>#N/A</v>
      </c>
      <c r="L15" s="22" t="e">
        <f t="shared" si="1"/>
        <v>#N/A</v>
      </c>
      <c r="M15" s="22" t="e">
        <f t="shared" si="1"/>
        <v>#N/A</v>
      </c>
      <c r="N15" s="132" t="e">
        <f t="shared" si="1"/>
        <v>#N/A</v>
      </c>
      <c r="O15" s="131" t="e">
        <f t="shared" si="1"/>
        <v>#N/A</v>
      </c>
      <c r="P15" s="22" t="e">
        <f t="shared" si="1"/>
        <v>#N/A</v>
      </c>
      <c r="Q15" s="22" t="e">
        <f t="shared" si="1"/>
        <v>#N/A</v>
      </c>
      <c r="R15" s="22" t="e">
        <f t="shared" si="1"/>
        <v>#N/A</v>
      </c>
      <c r="S15" s="132" t="e">
        <f t="shared" si="1"/>
        <v>#N/A</v>
      </c>
      <c r="T15" s="22" t="e">
        <f t="shared" si="1"/>
        <v>#N/A</v>
      </c>
      <c r="U15" s="139" t="e">
        <f t="shared" si="1"/>
        <v>#N/A</v>
      </c>
      <c r="V15" s="22" t="e">
        <f t="shared" si="1"/>
        <v>#N/A</v>
      </c>
      <c r="W15" s="139" t="e">
        <f t="shared" si="1"/>
        <v>#N/A</v>
      </c>
      <c r="X15" s="3"/>
      <c r="Y15" s="51" t="s">
        <v>220</v>
      </c>
    </row>
    <row r="16" spans="1:38" x14ac:dyDescent="0.25">
      <c r="A16" s="3"/>
      <c r="B16" s="241"/>
      <c r="C16" s="56" t="s">
        <v>27</v>
      </c>
      <c r="D16" s="16" t="s">
        <v>82</v>
      </c>
      <c r="E16" s="98" t="e">
        <f>E5/E$4</f>
        <v>#N/A</v>
      </c>
      <c r="F16" s="98" t="e">
        <f>F5/F$4</f>
        <v>#N/A</v>
      </c>
      <c r="G16" s="133" t="e">
        <f>G5/G$4</f>
        <v>#N/A</v>
      </c>
      <c r="H16" s="98" t="e">
        <f t="shared" ref="H16:W16" si="2">H5/H$4</f>
        <v>#N/A</v>
      </c>
      <c r="I16" s="134" t="e">
        <f t="shared" si="2"/>
        <v>#N/A</v>
      </c>
      <c r="J16" s="133" t="e">
        <f t="shared" si="2"/>
        <v>#N/A</v>
      </c>
      <c r="K16" s="98" t="e">
        <f t="shared" si="2"/>
        <v>#N/A</v>
      </c>
      <c r="L16" s="98" t="e">
        <f t="shared" si="2"/>
        <v>#N/A</v>
      </c>
      <c r="M16" s="98" t="e">
        <f t="shared" si="2"/>
        <v>#N/A</v>
      </c>
      <c r="N16" s="134" t="e">
        <f t="shared" si="2"/>
        <v>#N/A</v>
      </c>
      <c r="O16" s="133" t="e">
        <f t="shared" si="2"/>
        <v>#N/A</v>
      </c>
      <c r="P16" s="98" t="e">
        <f t="shared" si="2"/>
        <v>#N/A</v>
      </c>
      <c r="Q16" s="98" t="e">
        <f t="shared" si="2"/>
        <v>#N/A</v>
      </c>
      <c r="R16" s="98" t="e">
        <f t="shared" si="2"/>
        <v>#N/A</v>
      </c>
      <c r="S16" s="134" t="e">
        <f t="shared" si="2"/>
        <v>#N/A</v>
      </c>
      <c r="T16" s="98" t="e">
        <f t="shared" si="2"/>
        <v>#N/A</v>
      </c>
      <c r="U16" s="140" t="e">
        <f t="shared" si="2"/>
        <v>#N/A</v>
      </c>
      <c r="V16" s="98" t="e">
        <f t="shared" si="2"/>
        <v>#N/A</v>
      </c>
      <c r="W16" s="140" t="e">
        <f t="shared" si="2"/>
        <v>#N/A</v>
      </c>
      <c r="X16" s="3"/>
      <c r="Y16" s="158"/>
      <c r="Z16" s="159">
        <v>2020</v>
      </c>
      <c r="AA16" s="159">
        <v>2030</v>
      </c>
      <c r="AB16" s="160">
        <v>2050</v>
      </c>
    </row>
    <row r="17" spans="1:28" x14ac:dyDescent="0.25">
      <c r="A17" s="3"/>
      <c r="B17" s="241"/>
      <c r="C17" s="56" t="s">
        <v>28</v>
      </c>
      <c r="D17" s="16" t="s">
        <v>83</v>
      </c>
      <c r="E17" s="92" t="e">
        <f t="shared" ref="E17:G22" si="3">E6/E$4</f>
        <v>#N/A</v>
      </c>
      <c r="F17" s="92" t="e">
        <f t="shared" si="3"/>
        <v>#N/A</v>
      </c>
      <c r="G17" s="135" t="e">
        <f t="shared" si="3"/>
        <v>#N/A</v>
      </c>
      <c r="H17" s="92" t="e">
        <f t="shared" ref="H17:W17" si="4">H6/H$4</f>
        <v>#N/A</v>
      </c>
      <c r="I17" s="136" t="e">
        <f t="shared" si="4"/>
        <v>#N/A</v>
      </c>
      <c r="J17" s="135" t="e">
        <f t="shared" si="4"/>
        <v>#N/A</v>
      </c>
      <c r="K17" s="92" t="e">
        <f t="shared" si="4"/>
        <v>#N/A</v>
      </c>
      <c r="L17" s="92" t="e">
        <f t="shared" si="4"/>
        <v>#N/A</v>
      </c>
      <c r="M17" s="92" t="e">
        <f t="shared" si="4"/>
        <v>#N/A</v>
      </c>
      <c r="N17" s="136" t="e">
        <f t="shared" si="4"/>
        <v>#N/A</v>
      </c>
      <c r="O17" s="135" t="e">
        <f t="shared" si="4"/>
        <v>#N/A</v>
      </c>
      <c r="P17" s="92" t="e">
        <f t="shared" si="4"/>
        <v>#N/A</v>
      </c>
      <c r="Q17" s="92" t="e">
        <f t="shared" si="4"/>
        <v>#N/A</v>
      </c>
      <c r="R17" s="92" t="e">
        <f t="shared" si="4"/>
        <v>#N/A</v>
      </c>
      <c r="S17" s="136" t="e">
        <f t="shared" si="4"/>
        <v>#N/A</v>
      </c>
      <c r="T17" s="92" t="e">
        <f t="shared" si="4"/>
        <v>#N/A</v>
      </c>
      <c r="U17" s="141" t="e">
        <f t="shared" si="4"/>
        <v>#N/A</v>
      </c>
      <c r="V17" s="92" t="e">
        <f t="shared" si="4"/>
        <v>#N/A</v>
      </c>
      <c r="W17" s="141" t="e">
        <f t="shared" si="4"/>
        <v>#N/A</v>
      </c>
      <c r="X17" s="3"/>
      <c r="Y17" s="161" t="s">
        <v>136</v>
      </c>
      <c r="Z17" s="162" t="e">
        <f>I16+I17</f>
        <v>#N/A</v>
      </c>
      <c r="AA17" s="162" t="e">
        <f>S16+S17</f>
        <v>#N/A</v>
      </c>
      <c r="AB17" s="163" t="e">
        <f>W16+W17</f>
        <v>#N/A</v>
      </c>
    </row>
    <row r="18" spans="1:28" x14ac:dyDescent="0.25">
      <c r="A18" s="3"/>
      <c r="B18" s="241"/>
      <c r="C18" s="56" t="s">
        <v>29</v>
      </c>
      <c r="D18" s="16" t="s">
        <v>84</v>
      </c>
      <c r="E18" s="92" t="e">
        <f t="shared" si="3"/>
        <v>#N/A</v>
      </c>
      <c r="F18" s="92" t="e">
        <f t="shared" si="3"/>
        <v>#N/A</v>
      </c>
      <c r="G18" s="135" t="e">
        <f t="shared" si="3"/>
        <v>#N/A</v>
      </c>
      <c r="H18" s="92" t="e">
        <f t="shared" ref="H18:W18" si="5">H7/H$4</f>
        <v>#N/A</v>
      </c>
      <c r="I18" s="136" t="e">
        <f t="shared" si="5"/>
        <v>#N/A</v>
      </c>
      <c r="J18" s="135" t="e">
        <f t="shared" si="5"/>
        <v>#N/A</v>
      </c>
      <c r="K18" s="92" t="e">
        <f t="shared" si="5"/>
        <v>#N/A</v>
      </c>
      <c r="L18" s="92" t="e">
        <f t="shared" si="5"/>
        <v>#N/A</v>
      </c>
      <c r="M18" s="92" t="e">
        <f t="shared" si="5"/>
        <v>#N/A</v>
      </c>
      <c r="N18" s="136" t="e">
        <f t="shared" si="5"/>
        <v>#N/A</v>
      </c>
      <c r="O18" s="135" t="e">
        <f t="shared" si="5"/>
        <v>#N/A</v>
      </c>
      <c r="P18" s="92" t="e">
        <f t="shared" si="5"/>
        <v>#N/A</v>
      </c>
      <c r="Q18" s="92" t="e">
        <f t="shared" si="5"/>
        <v>#N/A</v>
      </c>
      <c r="R18" s="92" t="e">
        <f t="shared" si="5"/>
        <v>#N/A</v>
      </c>
      <c r="S18" s="136" t="e">
        <f t="shared" si="5"/>
        <v>#N/A</v>
      </c>
      <c r="T18" s="92" t="e">
        <f t="shared" si="5"/>
        <v>#N/A</v>
      </c>
      <c r="U18" s="141" t="e">
        <f t="shared" si="5"/>
        <v>#N/A</v>
      </c>
      <c r="V18" s="92" t="e">
        <f t="shared" si="5"/>
        <v>#N/A</v>
      </c>
      <c r="W18" s="141" t="e">
        <f t="shared" si="5"/>
        <v>#N/A</v>
      </c>
      <c r="X18" s="3"/>
      <c r="Y18" s="161" t="s">
        <v>137</v>
      </c>
      <c r="Z18" s="162" t="e">
        <f>I18+I19+I20</f>
        <v>#N/A</v>
      </c>
      <c r="AA18" s="162" t="e">
        <f>S18+S19+S20</f>
        <v>#N/A</v>
      </c>
      <c r="AB18" s="163" t="e">
        <f>W18+W19+W20</f>
        <v>#N/A</v>
      </c>
    </row>
    <row r="19" spans="1:28" ht="15.75" thickBot="1" x14ac:dyDescent="0.3">
      <c r="A19" s="3"/>
      <c r="B19" s="241"/>
      <c r="C19" s="56" t="s">
        <v>30</v>
      </c>
      <c r="D19" s="16" t="s">
        <v>85</v>
      </c>
      <c r="E19" s="92" t="e">
        <f t="shared" si="3"/>
        <v>#N/A</v>
      </c>
      <c r="F19" s="92" t="e">
        <f t="shared" si="3"/>
        <v>#N/A</v>
      </c>
      <c r="G19" s="135" t="e">
        <f t="shared" si="3"/>
        <v>#N/A</v>
      </c>
      <c r="H19" s="92" t="e">
        <f t="shared" ref="H19:W19" si="6">H8/H$4</f>
        <v>#N/A</v>
      </c>
      <c r="I19" s="136" t="e">
        <f t="shared" si="6"/>
        <v>#N/A</v>
      </c>
      <c r="J19" s="135" t="e">
        <f t="shared" si="6"/>
        <v>#N/A</v>
      </c>
      <c r="K19" s="92" t="e">
        <f t="shared" si="6"/>
        <v>#N/A</v>
      </c>
      <c r="L19" s="92" t="e">
        <f t="shared" si="6"/>
        <v>#N/A</v>
      </c>
      <c r="M19" s="92" t="e">
        <f t="shared" si="6"/>
        <v>#N/A</v>
      </c>
      <c r="N19" s="136" t="e">
        <f t="shared" si="6"/>
        <v>#N/A</v>
      </c>
      <c r="O19" s="135" t="e">
        <f t="shared" si="6"/>
        <v>#N/A</v>
      </c>
      <c r="P19" s="92" t="e">
        <f t="shared" si="6"/>
        <v>#N/A</v>
      </c>
      <c r="Q19" s="92" t="e">
        <f t="shared" si="6"/>
        <v>#N/A</v>
      </c>
      <c r="R19" s="92" t="e">
        <f t="shared" si="6"/>
        <v>#N/A</v>
      </c>
      <c r="S19" s="136" t="e">
        <f t="shared" si="6"/>
        <v>#N/A</v>
      </c>
      <c r="T19" s="92" t="e">
        <f t="shared" si="6"/>
        <v>#N/A</v>
      </c>
      <c r="U19" s="141" t="e">
        <f t="shared" si="6"/>
        <v>#N/A</v>
      </c>
      <c r="V19" s="92" t="e">
        <f t="shared" si="6"/>
        <v>#N/A</v>
      </c>
      <c r="W19" s="141" t="e">
        <f t="shared" si="6"/>
        <v>#N/A</v>
      </c>
      <c r="X19" s="3"/>
      <c r="Y19" s="164" t="s">
        <v>142</v>
      </c>
      <c r="Z19" s="165" t="e">
        <f>I21+I22</f>
        <v>#N/A</v>
      </c>
      <c r="AA19" s="165" t="e">
        <f>S21+S22</f>
        <v>#N/A</v>
      </c>
      <c r="AB19" s="166" t="e">
        <f>W21+W22</f>
        <v>#N/A</v>
      </c>
    </row>
    <row r="20" spans="1:28" x14ac:dyDescent="0.25">
      <c r="A20" s="3"/>
      <c r="B20" s="241"/>
      <c r="C20" s="56" t="s">
        <v>31</v>
      </c>
      <c r="D20" s="16" t="s">
        <v>86</v>
      </c>
      <c r="E20" s="92" t="e">
        <f t="shared" si="3"/>
        <v>#N/A</v>
      </c>
      <c r="F20" s="92" t="e">
        <f t="shared" si="3"/>
        <v>#N/A</v>
      </c>
      <c r="G20" s="135" t="e">
        <f t="shared" si="3"/>
        <v>#N/A</v>
      </c>
      <c r="H20" s="92" t="e">
        <f t="shared" ref="H20:W20" si="7">H9/H$4</f>
        <v>#N/A</v>
      </c>
      <c r="I20" s="136" t="e">
        <f t="shared" si="7"/>
        <v>#N/A</v>
      </c>
      <c r="J20" s="135" t="e">
        <f t="shared" si="7"/>
        <v>#N/A</v>
      </c>
      <c r="K20" s="92" t="e">
        <f t="shared" si="7"/>
        <v>#N/A</v>
      </c>
      <c r="L20" s="92" t="e">
        <f t="shared" si="7"/>
        <v>#N/A</v>
      </c>
      <c r="M20" s="92" t="e">
        <f t="shared" si="7"/>
        <v>#N/A</v>
      </c>
      <c r="N20" s="136" t="e">
        <f t="shared" si="7"/>
        <v>#N/A</v>
      </c>
      <c r="O20" s="135" t="e">
        <f t="shared" si="7"/>
        <v>#N/A</v>
      </c>
      <c r="P20" s="92" t="e">
        <f t="shared" si="7"/>
        <v>#N/A</v>
      </c>
      <c r="Q20" s="92" t="e">
        <f t="shared" si="7"/>
        <v>#N/A</v>
      </c>
      <c r="R20" s="92" t="e">
        <f t="shared" si="7"/>
        <v>#N/A</v>
      </c>
      <c r="S20" s="136" t="e">
        <f t="shared" si="7"/>
        <v>#N/A</v>
      </c>
      <c r="T20" s="92" t="e">
        <f t="shared" si="7"/>
        <v>#N/A</v>
      </c>
      <c r="U20" s="141" t="e">
        <f t="shared" si="7"/>
        <v>#N/A</v>
      </c>
      <c r="V20" s="92" t="e">
        <f t="shared" si="7"/>
        <v>#N/A</v>
      </c>
      <c r="W20" s="141" t="e">
        <f t="shared" si="7"/>
        <v>#N/A</v>
      </c>
      <c r="X20" s="3"/>
      <c r="Y20" s="227" t="s">
        <v>210</v>
      </c>
      <c r="Z20" s="228" t="e">
        <f>SUM(Z17:Z19)</f>
        <v>#N/A</v>
      </c>
      <c r="AA20" s="228" t="e">
        <f t="shared" ref="AA20:AB20" si="8">SUM(AA17:AA19)</f>
        <v>#N/A</v>
      </c>
      <c r="AB20" s="228" t="e">
        <f t="shared" si="8"/>
        <v>#N/A</v>
      </c>
    </row>
    <row r="21" spans="1:28" x14ac:dyDescent="0.25">
      <c r="A21" s="3"/>
      <c r="B21" s="241"/>
      <c r="C21" s="56" t="s">
        <v>32</v>
      </c>
      <c r="D21" s="16" t="s">
        <v>87</v>
      </c>
      <c r="E21" s="92" t="e">
        <f t="shared" si="3"/>
        <v>#N/A</v>
      </c>
      <c r="F21" s="92" t="e">
        <f t="shared" si="3"/>
        <v>#N/A</v>
      </c>
      <c r="G21" s="135" t="e">
        <f t="shared" si="3"/>
        <v>#N/A</v>
      </c>
      <c r="H21" s="92" t="e">
        <f t="shared" ref="H21:W21" si="9">H10/H$4</f>
        <v>#N/A</v>
      </c>
      <c r="I21" s="136" t="e">
        <f t="shared" si="9"/>
        <v>#N/A</v>
      </c>
      <c r="J21" s="135" t="e">
        <f t="shared" si="9"/>
        <v>#N/A</v>
      </c>
      <c r="K21" s="92" t="e">
        <f t="shared" si="9"/>
        <v>#N/A</v>
      </c>
      <c r="L21" s="92" t="e">
        <f t="shared" si="9"/>
        <v>#N/A</v>
      </c>
      <c r="M21" s="92" t="e">
        <f t="shared" si="9"/>
        <v>#N/A</v>
      </c>
      <c r="N21" s="136" t="e">
        <f t="shared" si="9"/>
        <v>#N/A</v>
      </c>
      <c r="O21" s="135" t="e">
        <f t="shared" si="9"/>
        <v>#N/A</v>
      </c>
      <c r="P21" s="92" t="e">
        <f t="shared" si="9"/>
        <v>#N/A</v>
      </c>
      <c r="Q21" s="92" t="e">
        <f t="shared" si="9"/>
        <v>#N/A</v>
      </c>
      <c r="R21" s="92" t="e">
        <f t="shared" si="9"/>
        <v>#N/A</v>
      </c>
      <c r="S21" s="136" t="e">
        <f t="shared" si="9"/>
        <v>#N/A</v>
      </c>
      <c r="T21" s="92" t="e">
        <f t="shared" si="9"/>
        <v>#N/A</v>
      </c>
      <c r="U21" s="141" t="e">
        <f t="shared" si="9"/>
        <v>#N/A</v>
      </c>
      <c r="V21" s="92" t="e">
        <f t="shared" si="9"/>
        <v>#N/A</v>
      </c>
      <c r="W21" s="141" t="e">
        <f t="shared" si="9"/>
        <v>#N/A</v>
      </c>
      <c r="X21" s="3"/>
    </row>
    <row r="22" spans="1:28" x14ac:dyDescent="0.25">
      <c r="A22" s="3"/>
      <c r="B22" s="241"/>
      <c r="C22" s="80" t="s">
        <v>33</v>
      </c>
      <c r="D22" s="32" t="s">
        <v>88</v>
      </c>
      <c r="E22" s="94" t="e">
        <f t="shared" si="3"/>
        <v>#N/A</v>
      </c>
      <c r="F22" s="94" t="e">
        <f t="shared" si="3"/>
        <v>#N/A</v>
      </c>
      <c r="G22" s="137" t="e">
        <f t="shared" si="3"/>
        <v>#N/A</v>
      </c>
      <c r="H22" s="94" t="e">
        <f t="shared" ref="H22:W22" si="10">H11/H$4</f>
        <v>#N/A</v>
      </c>
      <c r="I22" s="138" t="e">
        <f t="shared" si="10"/>
        <v>#N/A</v>
      </c>
      <c r="J22" s="137" t="e">
        <f t="shared" si="10"/>
        <v>#N/A</v>
      </c>
      <c r="K22" s="94" t="e">
        <f t="shared" si="10"/>
        <v>#N/A</v>
      </c>
      <c r="L22" s="94" t="e">
        <f t="shared" si="10"/>
        <v>#N/A</v>
      </c>
      <c r="M22" s="94" t="e">
        <f t="shared" si="10"/>
        <v>#N/A</v>
      </c>
      <c r="N22" s="138" t="e">
        <f t="shared" si="10"/>
        <v>#N/A</v>
      </c>
      <c r="O22" s="137" t="e">
        <f t="shared" si="10"/>
        <v>#N/A</v>
      </c>
      <c r="P22" s="94" t="e">
        <f t="shared" si="10"/>
        <v>#N/A</v>
      </c>
      <c r="Q22" s="94" t="e">
        <f t="shared" si="10"/>
        <v>#N/A</v>
      </c>
      <c r="R22" s="94" t="e">
        <f t="shared" si="10"/>
        <v>#N/A</v>
      </c>
      <c r="S22" s="138" t="e">
        <f t="shared" si="10"/>
        <v>#N/A</v>
      </c>
      <c r="T22" s="94" t="e">
        <f t="shared" si="10"/>
        <v>#N/A</v>
      </c>
      <c r="U22" s="142" t="e">
        <f t="shared" si="10"/>
        <v>#N/A</v>
      </c>
      <c r="V22" s="94" t="e">
        <f t="shared" si="10"/>
        <v>#N/A</v>
      </c>
      <c r="W22" s="142" t="e">
        <f t="shared" si="10"/>
        <v>#N/A</v>
      </c>
      <c r="X22" s="3"/>
    </row>
    <row r="23" spans="1:28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8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8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4:B10"/>
  <sheetViews>
    <sheetView workbookViewId="0">
      <selection activeCell="P29" sqref="P29"/>
    </sheetView>
  </sheetViews>
  <sheetFormatPr baseColWidth="10" defaultRowHeight="15" x14ac:dyDescent="0.25"/>
  <sheetData>
    <row r="4" spans="2:2" x14ac:dyDescent="0.25">
      <c r="B4" t="str">
        <f>Résultats!B1&amp;" : Energie finale par usage et énergie primaire (Mtep)"</f>
        <v>TEND : Energie finale par usage et énergie primaire (Mtep)</v>
      </c>
    </row>
    <row r="5" spans="2:2" x14ac:dyDescent="0.25">
      <c r="B5" t="str">
        <f>Résultats!B1&amp;" : Ventilation du mix electrique (%)"</f>
        <v>TEND : Ventilation du mix electrique (%)</v>
      </c>
    </row>
    <row r="6" spans="2:2" x14ac:dyDescent="0.25">
      <c r="B6" t="str">
        <f>Résultats!B1&amp;" : Ventilation du mix carburant (%)"</f>
        <v>TEND : Ventilation du mix carburant (%)</v>
      </c>
    </row>
    <row r="7" spans="2:2" x14ac:dyDescent="0.25">
      <c r="B7" t="str">
        <f>Résultats!B1&amp;" : Ventilation du mix gaz (%)"</f>
        <v>TEND : Ventilation du mix gaz (%)</v>
      </c>
    </row>
    <row r="8" spans="2:2" x14ac:dyDescent="0.25">
      <c r="B8" t="str">
        <f>Résultats!B1&amp;" : Emissions CO2 (Mt.eqCO2)"</f>
        <v>TEND : Emissions CO2 (Mt.eqCO2)</v>
      </c>
    </row>
    <row r="9" spans="2:2" x14ac:dyDescent="0.25">
      <c r="B9" t="str">
        <f>Résultats!B1&amp;" : Ventilation du parc auto (%)"</f>
        <v>TEND : Ventilation du parc auto (%)</v>
      </c>
    </row>
    <row r="10" spans="2:2" x14ac:dyDescent="0.25">
      <c r="B10" t="str">
        <f>Résultats!B1&amp;" : Ventilation du parc de logements (%)"</f>
        <v>TEND : Ventilation du parc de logements (%)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Feuilles de calcul</vt:lpstr>
      </vt:variant>
      <vt:variant>
        <vt:i4>7</vt:i4>
      </vt:variant>
      <vt:variant>
        <vt:lpstr>Graphiques</vt:lpstr>
      </vt:variant>
      <vt:variant>
        <vt:i4>7</vt:i4>
      </vt:variant>
      <vt:variant>
        <vt:lpstr>Plages nommées</vt:lpstr>
      </vt:variant>
      <vt:variant>
        <vt:i4>1</vt:i4>
      </vt:variant>
    </vt:vector>
  </HeadingPairs>
  <TitlesOfParts>
    <vt:vector size="15" baseType="lpstr">
      <vt:lpstr>Résultats</vt:lpstr>
      <vt:lpstr>T energie vecteurs</vt:lpstr>
      <vt:lpstr>T energie usages</vt:lpstr>
      <vt:lpstr>T CO2</vt:lpstr>
      <vt:lpstr>T parc auto</vt:lpstr>
      <vt:lpstr>T logement</vt:lpstr>
      <vt:lpstr>Table Graphs</vt:lpstr>
      <vt:lpstr>Graphique1</vt:lpstr>
      <vt:lpstr>Graphique2</vt:lpstr>
      <vt:lpstr>Graphique3</vt:lpstr>
      <vt:lpstr>Graphique4</vt:lpstr>
      <vt:lpstr>Graphique5</vt:lpstr>
      <vt:lpstr>Graphique6</vt:lpstr>
      <vt:lpstr>Graphique7</vt:lpstr>
      <vt:lpstr>'T parc auto'!Zone_d_impression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GISSELA LANDA RIVERA</dc:creator>
  <cp:lastModifiedBy>CALLONNEC Gaël</cp:lastModifiedBy>
  <cp:lastPrinted>2018-11-29T16:44:02Z</cp:lastPrinted>
  <dcterms:created xsi:type="dcterms:W3CDTF">2016-06-15T08:53:28Z</dcterms:created>
  <dcterms:modified xsi:type="dcterms:W3CDTF">2025-04-04T08:39:09Z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ce3bfb-fff1-481a-835b-0a342757958d_Enabled">
    <vt:lpwstr>true</vt:lpwstr>
  </property>
  <property fmtid="{D5CDD505-2E9C-101B-9397-08002B2CF9AE}" pid="3" name="MSIP_Label_98ce3bfb-fff1-481a-835b-0a342757958d_SetDate">
    <vt:lpwstr>2025-03-13T10:37:52Z</vt:lpwstr>
  </property>
  <property fmtid="{D5CDD505-2E9C-101B-9397-08002B2CF9AE}" pid="4" name="MSIP_Label_98ce3bfb-fff1-481a-835b-0a342757958d_Method">
    <vt:lpwstr>Standard</vt:lpwstr>
  </property>
  <property fmtid="{D5CDD505-2E9C-101B-9397-08002B2CF9AE}" pid="5" name="MSIP_Label_98ce3bfb-fff1-481a-835b-0a342757958d_Name">
    <vt:lpwstr>C0 - Public</vt:lpwstr>
  </property>
  <property fmtid="{D5CDD505-2E9C-101B-9397-08002B2CF9AE}" pid="6" name="MSIP_Label_98ce3bfb-fff1-481a-835b-0a342757958d_SiteId">
    <vt:lpwstr>cb6c2492-4a85-4b15-85a1-ed94d47e5849</vt:lpwstr>
  </property>
  <property fmtid="{D5CDD505-2E9C-101B-9397-08002B2CF9AE}" pid="7" name="MSIP_Label_98ce3bfb-fff1-481a-835b-0a342757958d_ActionId">
    <vt:lpwstr>1f0fdedd-8d82-4f74-8cf9-d75270dcc93d</vt:lpwstr>
  </property>
  <property fmtid="{D5CDD505-2E9C-101B-9397-08002B2CF9AE}" pid="8" name="MSIP_Label_98ce3bfb-fff1-481a-835b-0a342757958d_ContentBits">
    <vt:lpwstr>0</vt:lpwstr>
  </property>
  <property fmtid="{D5CDD505-2E9C-101B-9397-08002B2CF9AE}" pid="9" name="MSIP_Label_98ce3bfb-fff1-481a-835b-0a342757958d_Tag">
    <vt:lpwstr>10, 3, 0, 1</vt:lpwstr>
  </property>
</Properties>
</file>