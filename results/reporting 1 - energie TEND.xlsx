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chartsheets/sheet5.xml" ContentType="application/vnd.openxmlformats-officedocument.spreadsheetml.chartsheet+xml"/>
  <Override PartName="/xl/worksheets/sheet5.xml" ContentType="application/vnd.openxmlformats-officedocument.spreadsheetml.worksheet+xml"/>
  <Override PartName="/xl/chartsheets/sheet6.xml" ContentType="application/vnd.openxmlformats-officedocument.spreadsheetml.chartsheet+xml"/>
  <Override PartName="/xl/worksheets/sheet6.xml" ContentType="application/vnd.openxmlformats-officedocument.spreadsheetml.worksheet+xml"/>
  <Override PartName="/xl/chartsheets/sheet7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33EEF8D8-C998-4B7F-A961-A8BC8C8B17E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Résultats" sheetId="2" r:id="rId1"/>
    <sheet name="T energie vecteurs" sheetId="13" r:id="rId2"/>
    <sheet name="T energie usages" sheetId="16" r:id="rId3"/>
    <sheet name="Graphique8" sheetId="27" r:id="rId4"/>
    <sheet name="Graphique9" sheetId="22" r:id="rId5"/>
    <sheet name="Graphique10" sheetId="23" r:id="rId6"/>
    <sheet name="Graphique11" sheetId="24" r:id="rId7"/>
    <sheet name="T CO2" sheetId="10" r:id="rId8"/>
    <sheet name="Graphique12" sheetId="26" r:id="rId9"/>
    <sheet name="T parc auto" sheetId="25" r:id="rId10"/>
    <sheet name="Graphique13" sheetId="19" r:id="rId11"/>
    <sheet name="T logement" sheetId="14" r:id="rId12"/>
    <sheet name="Graphique14" sheetId="20" r:id="rId13"/>
    <sheet name="Table Graphs" sheetId="28" r:id="rId14"/>
  </sheets>
  <externalReferences>
    <externalReference r:id="rId15"/>
  </externalReferences>
  <definedNames>
    <definedName name="_xlnm.Print_Area" localSheetId="9">'T parc auto'!$C$26:$AM$109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6" l="1"/>
  <c r="R123" i="16" l="1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58" i="16"/>
  <c r="Q58" i="16"/>
  <c r="P58" i="16"/>
  <c r="O58" i="16"/>
  <c r="R57" i="16"/>
  <c r="P57" i="16"/>
  <c r="O57" i="16"/>
  <c r="R56" i="16"/>
  <c r="Q56" i="16"/>
  <c r="P56" i="16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18" i="16" l="1"/>
  <c r="K105" i="16"/>
  <c r="K92" i="16"/>
  <c r="K79" i="16"/>
  <c r="K66" i="16"/>
  <c r="K53" i="16"/>
  <c r="K40" i="16"/>
  <c r="K27" i="16"/>
  <c r="K14" i="16"/>
  <c r="K58" i="16" l="1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I37" i="16" s="1"/>
  <c r="H38" i="16"/>
  <c r="Q55" i="16"/>
  <c r="Q42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P55" i="16" l="1"/>
  <c r="P59" i="16" s="1"/>
  <c r="I50" i="16"/>
  <c r="I55" i="16"/>
  <c r="H37" i="16"/>
  <c r="L41" i="16"/>
  <c r="L45" i="16"/>
  <c r="L53" i="16"/>
  <c r="L57" i="16"/>
  <c r="L51" i="16"/>
  <c r="L54" i="16"/>
  <c r="L58" i="16"/>
  <c r="R42" i="16"/>
  <c r="R46" i="16" s="1"/>
  <c r="Q46" i="16"/>
  <c r="S45" i="16"/>
  <c r="T45" i="16" s="1"/>
  <c r="S54" i="16"/>
  <c r="T54" i="16" s="1"/>
  <c r="O55" i="16"/>
  <c r="O59" i="16" s="1"/>
  <c r="S40" i="16"/>
  <c r="T40" i="16" s="1"/>
  <c r="S44" i="16"/>
  <c r="K50" i="16"/>
  <c r="L56" i="16"/>
  <c r="L52" i="16"/>
  <c r="J55" i="16"/>
  <c r="K55" i="16"/>
  <c r="H42" i="16"/>
  <c r="J37" i="16"/>
  <c r="L38" i="16"/>
  <c r="K37" i="16"/>
  <c r="L40" i="16"/>
  <c r="I42" i="16"/>
  <c r="I46" i="16" s="1"/>
  <c r="L39" i="16"/>
  <c r="J42" i="16"/>
  <c r="K42" i="16"/>
  <c r="L44" i="16"/>
  <c r="J50" i="16"/>
  <c r="J59" i="16" s="1"/>
  <c r="P42" i="16"/>
  <c r="P46" i="16" s="1"/>
  <c r="S43" i="16"/>
  <c r="Q59" i="16"/>
  <c r="L43" i="16"/>
  <c r="R55" i="16"/>
  <c r="S58" i="16"/>
  <c r="T58" i="16" s="1"/>
  <c r="S53" i="16"/>
  <c r="T53" i="16" s="1"/>
  <c r="S37" i="16"/>
  <c r="T37" i="16" s="1"/>
  <c r="O42" i="16"/>
  <c r="S57" i="16"/>
  <c r="S41" i="16"/>
  <c r="T41" i="16" s="1"/>
  <c r="S50" i="16"/>
  <c r="T50" i="16" s="1"/>
  <c r="H50" i="16"/>
  <c r="S56" i="16"/>
  <c r="H55" i="16"/>
  <c r="Q16" i="16"/>
  <c r="Q120" i="16"/>
  <c r="Q107" i="16"/>
  <c r="Q94" i="16"/>
  <c r="Q81" i="16"/>
  <c r="Q68" i="16"/>
  <c r="Q29" i="16"/>
  <c r="K59" i="16" l="1"/>
  <c r="I59" i="16"/>
  <c r="H46" i="16"/>
  <c r="K46" i="16"/>
  <c r="L42" i="16"/>
  <c r="S55" i="16"/>
  <c r="T55" i="16" s="1"/>
  <c r="T59" i="16" s="1"/>
  <c r="S42" i="16"/>
  <c r="T42" i="16" s="1"/>
  <c r="T46" i="16" s="1"/>
  <c r="L37" i="16"/>
  <c r="L55" i="16"/>
  <c r="J46" i="16"/>
  <c r="R59" i="16"/>
  <c r="S59" i="16" s="1"/>
  <c r="O46" i="16"/>
  <c r="S46" i="16" s="1"/>
  <c r="L50" i="16"/>
  <c r="H59" i="16"/>
  <c r="O68" i="16"/>
  <c r="O72" i="16" s="1"/>
  <c r="P81" i="16"/>
  <c r="P85" i="16" s="1"/>
  <c r="P16" i="16"/>
  <c r="P20" i="16" s="1"/>
  <c r="P68" i="16"/>
  <c r="P72" i="16" s="1"/>
  <c r="O107" i="16"/>
  <c r="O111" i="16" s="1"/>
  <c r="P120" i="16"/>
  <c r="P124" i="16" s="1"/>
  <c r="O94" i="16"/>
  <c r="O98" i="16" s="1"/>
  <c r="P107" i="16"/>
  <c r="P111" i="16" s="1"/>
  <c r="O81" i="16"/>
  <c r="O85" i="16" s="1"/>
  <c r="P94" i="16"/>
  <c r="P98" i="16" s="1"/>
  <c r="O120" i="16"/>
  <c r="O124" i="16" s="1"/>
  <c r="S84" i="16"/>
  <c r="T84" i="16" s="1"/>
  <c r="S15" i="16"/>
  <c r="T15" i="16" s="1"/>
  <c r="R16" i="16"/>
  <c r="R20" i="16" s="1"/>
  <c r="P29" i="16"/>
  <c r="P33" i="16" s="1"/>
  <c r="Q98" i="16"/>
  <c r="Q85" i="16"/>
  <c r="R29" i="16"/>
  <c r="R33" i="16" s="1"/>
  <c r="Q111" i="16"/>
  <c r="S119" i="16"/>
  <c r="T119" i="16" s="1"/>
  <c r="S123" i="16"/>
  <c r="T123" i="16" s="1"/>
  <c r="S93" i="16"/>
  <c r="T93" i="16" s="1"/>
  <c r="S97" i="16"/>
  <c r="T97" i="16" s="1"/>
  <c r="Q124" i="16"/>
  <c r="S106" i="16"/>
  <c r="T106" i="16" s="1"/>
  <c r="R107" i="16"/>
  <c r="S110" i="16"/>
  <c r="T110" i="16" s="1"/>
  <c r="S121" i="16"/>
  <c r="S109" i="16"/>
  <c r="S122" i="16"/>
  <c r="S19" i="16"/>
  <c r="T19" i="16" s="1"/>
  <c r="S18" i="16"/>
  <c r="O16" i="16"/>
  <c r="O20" i="16" s="1"/>
  <c r="Q20" i="16"/>
  <c r="S17" i="16"/>
  <c r="S14" i="16"/>
  <c r="T14" i="16" s="1"/>
  <c r="S11" i="16"/>
  <c r="T11" i="16" s="1"/>
  <c r="S105" i="16"/>
  <c r="T105" i="16" s="1"/>
  <c r="S118" i="16"/>
  <c r="T118" i="16" s="1"/>
  <c r="S82" i="16"/>
  <c r="R94" i="16"/>
  <c r="R98" i="16" s="1"/>
  <c r="S66" i="16"/>
  <c r="T66" i="16" s="1"/>
  <c r="S67" i="16"/>
  <c r="T67" i="16" s="1"/>
  <c r="S70" i="16"/>
  <c r="S71" i="16"/>
  <c r="T71" i="16" s="1"/>
  <c r="S83" i="16"/>
  <c r="S96" i="16"/>
  <c r="S108" i="16"/>
  <c r="R68" i="16"/>
  <c r="S80" i="16"/>
  <c r="T80" i="16" s="1"/>
  <c r="R120" i="16"/>
  <c r="R124" i="16" s="1"/>
  <c r="S115" i="16"/>
  <c r="T115" i="16" s="1"/>
  <c r="S102" i="16"/>
  <c r="T102" i="16" s="1"/>
  <c r="S79" i="16"/>
  <c r="T79" i="16" s="1"/>
  <c r="S92" i="16"/>
  <c r="T92" i="16" s="1"/>
  <c r="S27" i="16"/>
  <c r="T27" i="16" s="1"/>
  <c r="Q72" i="16"/>
  <c r="S95" i="16"/>
  <c r="S89" i="16"/>
  <c r="T89" i="16" s="1"/>
  <c r="R81" i="16"/>
  <c r="S76" i="16"/>
  <c r="T76" i="16" s="1"/>
  <c r="S69" i="16"/>
  <c r="S63" i="16"/>
  <c r="T63" i="16" s="1"/>
  <c r="S32" i="16"/>
  <c r="T32" i="16" s="1"/>
  <c r="S31" i="16"/>
  <c r="O29" i="16"/>
  <c r="O33" i="16" s="1"/>
  <c r="S30" i="16"/>
  <c r="S28" i="16"/>
  <c r="T28" i="16" s="1"/>
  <c r="Q33" i="16"/>
  <c r="S24" i="16"/>
  <c r="T24" i="16" s="1"/>
  <c r="L59" i="16" l="1"/>
  <c r="L46" i="16"/>
  <c r="S68" i="16"/>
  <c r="T68" i="16" s="1"/>
  <c r="T72" i="16" s="1"/>
  <c r="S107" i="16"/>
  <c r="T107" i="16" s="1"/>
  <c r="T111" i="16" s="1"/>
  <c r="S81" i="16"/>
  <c r="T81" i="16" s="1"/>
  <c r="T85" i="16" s="1"/>
  <c r="S94" i="16"/>
  <c r="T94" i="16" s="1"/>
  <c r="T98" i="16" s="1"/>
  <c r="R111" i="16"/>
  <c r="S111" i="16" s="1"/>
  <c r="S120" i="16"/>
  <c r="T120" i="16" s="1"/>
  <c r="T124" i="16" s="1"/>
  <c r="S124" i="16"/>
  <c r="S20" i="16"/>
  <c r="S29" i="16"/>
  <c r="T29" i="16" s="1"/>
  <c r="T33" i="16" s="1"/>
  <c r="S16" i="16"/>
  <c r="S98" i="16"/>
  <c r="R72" i="16"/>
  <c r="S72" i="16" s="1"/>
  <c r="R85" i="16"/>
  <c r="S85" i="16" s="1"/>
  <c r="S33" i="16"/>
  <c r="S21" i="16" l="1"/>
  <c r="T16" i="16"/>
  <c r="T20" i="16" s="1"/>
  <c r="F128" i="16"/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E15" i="10" l="1"/>
  <c r="G16" i="10"/>
  <c r="F15" i="10"/>
  <c r="D15" i="10"/>
  <c r="C15" i="10"/>
  <c r="B15" i="10"/>
  <c r="E13" i="10"/>
  <c r="C13" i="10"/>
  <c r="F12" i="10"/>
  <c r="E12" i="10"/>
  <c r="C12" i="10"/>
  <c r="B12" i="10"/>
  <c r="E10" i="10"/>
  <c r="C10" i="10"/>
  <c r="B10" i="10"/>
  <c r="B9" i="10"/>
  <c r="E8" i="10"/>
  <c r="C8" i="10"/>
  <c r="E28" i="10"/>
  <c r="G29" i="10"/>
  <c r="F28" i="10"/>
  <c r="D28" i="10"/>
  <c r="C28" i="10"/>
  <c r="B28" i="10"/>
  <c r="E26" i="10"/>
  <c r="C26" i="10"/>
  <c r="F25" i="10"/>
  <c r="E25" i="10"/>
  <c r="C25" i="10"/>
  <c r="B25" i="10"/>
  <c r="E23" i="10"/>
  <c r="C23" i="10"/>
  <c r="B23" i="10"/>
  <c r="B22" i="10"/>
  <c r="E21" i="10"/>
  <c r="C21" i="10"/>
  <c r="G42" i="10"/>
  <c r="F41" i="10"/>
  <c r="E41" i="10"/>
  <c r="D41" i="10"/>
  <c r="C41" i="10"/>
  <c r="B41" i="10"/>
  <c r="E39" i="10"/>
  <c r="C39" i="10"/>
  <c r="F38" i="10"/>
  <c r="E38" i="10"/>
  <c r="C38" i="10"/>
  <c r="B38" i="10"/>
  <c r="E36" i="10"/>
  <c r="C36" i="10"/>
  <c r="B36" i="10"/>
  <c r="B35" i="10"/>
  <c r="E34" i="10"/>
  <c r="C34" i="10"/>
  <c r="G55" i="10"/>
  <c r="F54" i="10"/>
  <c r="E54" i="10"/>
  <c r="D54" i="10"/>
  <c r="C54" i="10"/>
  <c r="B54" i="10"/>
  <c r="E52" i="10"/>
  <c r="C52" i="10"/>
  <c r="F51" i="10"/>
  <c r="E51" i="10"/>
  <c r="C51" i="10"/>
  <c r="B51" i="10"/>
  <c r="E49" i="10"/>
  <c r="C49" i="10"/>
  <c r="B49" i="10"/>
  <c r="B48" i="10"/>
  <c r="E47" i="10"/>
  <c r="C47" i="10"/>
  <c r="G68" i="10"/>
  <c r="F67" i="10"/>
  <c r="E67" i="10"/>
  <c r="D67" i="10"/>
  <c r="C67" i="10"/>
  <c r="B67" i="10"/>
  <c r="E65" i="10"/>
  <c r="C65" i="10"/>
  <c r="F64" i="10"/>
  <c r="E64" i="10"/>
  <c r="C64" i="10"/>
  <c r="B64" i="10"/>
  <c r="E62" i="10"/>
  <c r="C62" i="10"/>
  <c r="B62" i="10"/>
  <c r="B61" i="10"/>
  <c r="E60" i="10"/>
  <c r="C60" i="10"/>
  <c r="E80" i="10"/>
  <c r="G81" i="10"/>
  <c r="F80" i="10"/>
  <c r="D80" i="10"/>
  <c r="C80" i="10"/>
  <c r="B80" i="10"/>
  <c r="E78" i="10"/>
  <c r="C78" i="10"/>
  <c r="F77" i="10"/>
  <c r="E77" i="10"/>
  <c r="C77" i="10"/>
  <c r="B77" i="10"/>
  <c r="E75" i="10"/>
  <c r="C75" i="10"/>
  <c r="B75" i="10"/>
  <c r="B74" i="10"/>
  <c r="E73" i="10"/>
  <c r="C73" i="10"/>
  <c r="G54" i="10" l="1"/>
  <c r="B10" i="28" l="1"/>
  <c r="B9" i="28"/>
  <c r="B8" i="28"/>
  <c r="B7" i="28"/>
  <c r="B6" i="28"/>
  <c r="B5" i="28"/>
  <c r="B4" i="28"/>
  <c r="A4" i="14" l="1"/>
  <c r="A4" i="25"/>
  <c r="A26" i="25"/>
  <c r="A3" i="10"/>
  <c r="A4" i="16"/>
  <c r="A31" i="13"/>
  <c r="A4" i="13"/>
  <c r="B19" i="10" l="1"/>
  <c r="F19" i="10"/>
  <c r="B24" i="10"/>
  <c r="F24" i="10"/>
  <c r="F27" i="10" l="1"/>
  <c r="B27" i="10"/>
  <c r="E24" i="10"/>
  <c r="C24" i="10"/>
  <c r="E2" i="25" l="1"/>
  <c r="E45" i="25" l="1"/>
  <c r="E47" i="25"/>
  <c r="E49" i="25"/>
  <c r="E51" i="25"/>
  <c r="E53" i="25"/>
  <c r="E55" i="25"/>
  <c r="E57" i="25"/>
  <c r="E59" i="25"/>
  <c r="E61" i="25"/>
  <c r="E63" i="25"/>
  <c r="E65" i="25"/>
  <c r="E44" i="25"/>
  <c r="E48" i="25"/>
  <c r="E52" i="25"/>
  <c r="E56" i="25"/>
  <c r="E60" i="25"/>
  <c r="E62" i="25"/>
  <c r="E46" i="25"/>
  <c r="E50" i="25"/>
  <c r="E54" i="25"/>
  <c r="E58" i="25"/>
  <c r="E64" i="25"/>
  <c r="E26" i="25"/>
  <c r="E69" i="25" s="1"/>
  <c r="E27" i="25"/>
  <c r="E33" i="25"/>
  <c r="E36" i="25"/>
  <c r="E41" i="25"/>
  <c r="E30" i="25"/>
  <c r="E31" i="25"/>
  <c r="E38" i="25"/>
  <c r="E40" i="25"/>
  <c r="E42" i="25"/>
  <c r="E32" i="25"/>
  <c r="E34" i="25"/>
  <c r="E35" i="25"/>
  <c r="E28" i="25"/>
  <c r="E29" i="25"/>
  <c r="E39" i="25"/>
  <c r="E37" i="25"/>
  <c r="F2" i="25"/>
  <c r="E99" i="25" l="1"/>
  <c r="E103" i="25"/>
  <c r="E97" i="25"/>
  <c r="E108" i="25"/>
  <c r="E93" i="25"/>
  <c r="E100" i="25"/>
  <c r="E78" i="25"/>
  <c r="E83" i="25"/>
  <c r="E80" i="25"/>
  <c r="E102" i="25"/>
  <c r="E82" i="25"/>
  <c r="E106" i="25"/>
  <c r="E98" i="25"/>
  <c r="E84" i="25"/>
  <c r="E77" i="25"/>
  <c r="E81" i="25"/>
  <c r="E107" i="25"/>
  <c r="E95" i="25"/>
  <c r="E72" i="25"/>
  <c r="E75" i="25"/>
  <c r="E74" i="25"/>
  <c r="E76" i="25"/>
  <c r="E101" i="25"/>
  <c r="E105" i="25"/>
  <c r="E104" i="25"/>
  <c r="E96" i="25"/>
  <c r="E89" i="25"/>
  <c r="E91" i="25"/>
  <c r="E71" i="25"/>
  <c r="E85" i="25"/>
  <c r="E73" i="25"/>
  <c r="E70" i="25"/>
  <c r="E4" i="25"/>
  <c r="E92" i="25"/>
  <c r="E87" i="25"/>
  <c r="E94" i="25"/>
  <c r="E79" i="25"/>
  <c r="E90" i="25"/>
  <c r="F44" i="25"/>
  <c r="F46" i="25"/>
  <c r="F48" i="25"/>
  <c r="F50" i="25"/>
  <c r="F52" i="25"/>
  <c r="F54" i="25"/>
  <c r="F56" i="25"/>
  <c r="F58" i="25"/>
  <c r="F60" i="25"/>
  <c r="F62" i="25"/>
  <c r="F64" i="25"/>
  <c r="F45" i="25"/>
  <c r="F47" i="25"/>
  <c r="F49" i="25"/>
  <c r="F51" i="25"/>
  <c r="F53" i="25"/>
  <c r="F55" i="25"/>
  <c r="F57" i="25"/>
  <c r="F59" i="25"/>
  <c r="F61" i="25"/>
  <c r="F63" i="25"/>
  <c r="F65" i="25"/>
  <c r="F40" i="25"/>
  <c r="F28" i="25"/>
  <c r="F36" i="25"/>
  <c r="F27" i="25"/>
  <c r="F39" i="25"/>
  <c r="F30" i="25"/>
  <c r="F38" i="25"/>
  <c r="F29" i="25"/>
  <c r="G2" i="25"/>
  <c r="F26" i="25"/>
  <c r="F69" i="25" s="1"/>
  <c r="F34" i="25"/>
  <c r="F35" i="25"/>
  <c r="F37" i="25"/>
  <c r="F33" i="25"/>
  <c r="F41" i="25"/>
  <c r="F32" i="25"/>
  <c r="F42" i="25"/>
  <c r="F31" i="25"/>
  <c r="E88" i="25"/>
  <c r="E2" i="14"/>
  <c r="F2" i="14" s="1"/>
  <c r="G2" i="14" s="1"/>
  <c r="B63" i="10"/>
  <c r="B72" i="10"/>
  <c r="F63" i="10"/>
  <c r="C63" i="10"/>
  <c r="B6" i="10"/>
  <c r="F6" i="10"/>
  <c r="B32" i="10"/>
  <c r="F32" i="10"/>
  <c r="B45" i="10"/>
  <c r="F45" i="10"/>
  <c r="B58" i="10"/>
  <c r="F58" i="10"/>
  <c r="F71" i="10"/>
  <c r="F90" i="25" l="1"/>
  <c r="F89" i="25"/>
  <c r="F88" i="25"/>
  <c r="F100" i="25"/>
  <c r="F108" i="25"/>
  <c r="F104" i="25"/>
  <c r="F96" i="25"/>
  <c r="F102" i="25"/>
  <c r="F91" i="25"/>
  <c r="F106" i="25"/>
  <c r="F98" i="25"/>
  <c r="F103" i="25"/>
  <c r="F95" i="25"/>
  <c r="F74" i="25"/>
  <c r="F76" i="25"/>
  <c r="F73" i="25"/>
  <c r="F75" i="25"/>
  <c r="F78" i="25"/>
  <c r="F72" i="25"/>
  <c r="F70" i="25"/>
  <c r="F105" i="25"/>
  <c r="F97" i="25"/>
  <c r="F84" i="25"/>
  <c r="F77" i="25"/>
  <c r="F81" i="25"/>
  <c r="F79" i="25"/>
  <c r="F4" i="25"/>
  <c r="F87" i="25"/>
  <c r="F92" i="25"/>
  <c r="F101" i="25"/>
  <c r="F93" i="25"/>
  <c r="F71" i="25"/>
  <c r="F85" i="25"/>
  <c r="F80" i="25"/>
  <c r="G52" i="25"/>
  <c r="G48" i="25"/>
  <c r="G65" i="25"/>
  <c r="G51" i="25"/>
  <c r="G34" i="25"/>
  <c r="G40" i="25"/>
  <c r="G63" i="25"/>
  <c r="G39" i="25"/>
  <c r="G32" i="25"/>
  <c r="G56" i="25"/>
  <c r="G53" i="25"/>
  <c r="G59" i="25"/>
  <c r="G38" i="25"/>
  <c r="G29" i="25"/>
  <c r="G26" i="25"/>
  <c r="G69" i="25" s="1"/>
  <c r="G60" i="25"/>
  <c r="G58" i="25"/>
  <c r="G33" i="25"/>
  <c r="G31" i="25"/>
  <c r="G37" i="25"/>
  <c r="G64" i="25"/>
  <c r="G61" i="25"/>
  <c r="G30" i="25"/>
  <c r="G36" i="25"/>
  <c r="G35" i="25"/>
  <c r="G28" i="25"/>
  <c r="G41" i="25"/>
  <c r="G49" i="25"/>
  <c r="G50" i="25"/>
  <c r="G27" i="25"/>
  <c r="G55" i="25"/>
  <c r="G44" i="25"/>
  <c r="G57" i="25"/>
  <c r="G62" i="25"/>
  <c r="G42" i="25"/>
  <c r="G54" i="25"/>
  <c r="G47" i="25"/>
  <c r="G45" i="25"/>
  <c r="G46" i="25"/>
  <c r="H2" i="25"/>
  <c r="F82" i="25"/>
  <c r="F83" i="25"/>
  <c r="F94" i="25"/>
  <c r="F107" i="25"/>
  <c r="F99" i="25"/>
  <c r="H2" i="14"/>
  <c r="G11" i="14"/>
  <c r="G7" i="14"/>
  <c r="G10" i="14"/>
  <c r="G6" i="14"/>
  <c r="G9" i="14"/>
  <c r="G5" i="14"/>
  <c r="G4" i="14"/>
  <c r="G15" i="14" s="1"/>
  <c r="G8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F37" i="10"/>
  <c r="C37" i="10"/>
  <c r="F11" i="10"/>
  <c r="B37" i="10"/>
  <c r="B66" i="10"/>
  <c r="B50" i="10"/>
  <c r="F66" i="10"/>
  <c r="G80" i="10"/>
  <c r="E11" i="13"/>
  <c r="B76" i="10"/>
  <c r="B71" i="10"/>
  <c r="G41" i="10"/>
  <c r="F50" i="10"/>
  <c r="E63" i="10"/>
  <c r="E15" i="13"/>
  <c r="E37" i="10"/>
  <c r="E76" i="10"/>
  <c r="E20" i="13"/>
  <c r="E24" i="13"/>
  <c r="E12" i="13"/>
  <c r="E16" i="13"/>
  <c r="E21" i="13"/>
  <c r="E25" i="13"/>
  <c r="E8" i="13"/>
  <c r="E13" i="13"/>
  <c r="E17" i="13"/>
  <c r="E22" i="13"/>
  <c r="E26" i="13"/>
  <c r="G28" i="10"/>
  <c r="F76" i="10"/>
  <c r="E11" i="10"/>
  <c r="E50" i="10"/>
  <c r="B11" i="10"/>
  <c r="E9" i="13"/>
  <c r="E14" i="13"/>
  <c r="E18" i="13"/>
  <c r="E23" i="13"/>
  <c r="G67" i="10"/>
  <c r="C76" i="10"/>
  <c r="C50" i="10"/>
  <c r="C11" i="10"/>
  <c r="F5" i="13"/>
  <c r="E5" i="14"/>
  <c r="E4" i="14"/>
  <c r="G15" i="10"/>
  <c r="G89" i="25" l="1"/>
  <c r="G88" i="25"/>
  <c r="G90" i="25"/>
  <c r="G84" i="25"/>
  <c r="G74" i="25"/>
  <c r="G85" i="25"/>
  <c r="G93" i="25"/>
  <c r="G6" i="25" s="1"/>
  <c r="G97" i="25"/>
  <c r="G73" i="25"/>
  <c r="G105" i="25"/>
  <c r="G100" i="25"/>
  <c r="G98" i="25"/>
  <c r="G70" i="25"/>
  <c r="G71" i="25"/>
  <c r="G78" i="25"/>
  <c r="G79" i="25"/>
  <c r="G104" i="25"/>
  <c r="G76" i="25"/>
  <c r="G96" i="25"/>
  <c r="G106" i="25"/>
  <c r="G108" i="25"/>
  <c r="G72" i="25"/>
  <c r="G99" i="25"/>
  <c r="G83" i="25"/>
  <c r="G91" i="25"/>
  <c r="G107" i="25"/>
  <c r="G101" i="25"/>
  <c r="G7" i="25" s="1"/>
  <c r="G81" i="25"/>
  <c r="G75" i="25"/>
  <c r="G77" i="25"/>
  <c r="G95" i="25"/>
  <c r="H47" i="25"/>
  <c r="H52" i="25"/>
  <c r="H26" i="25"/>
  <c r="H69" i="25" s="1"/>
  <c r="H42" i="25"/>
  <c r="H55" i="25"/>
  <c r="H59" i="25"/>
  <c r="H63" i="25"/>
  <c r="H31" i="25"/>
  <c r="H36" i="25"/>
  <c r="I2" i="25"/>
  <c r="H49" i="25"/>
  <c r="H54" i="25"/>
  <c r="H40" i="25"/>
  <c r="H61" i="25"/>
  <c r="H39" i="25"/>
  <c r="H51" i="25"/>
  <c r="H50" i="25"/>
  <c r="H33" i="25"/>
  <c r="H62" i="25"/>
  <c r="H27" i="25"/>
  <c r="H41" i="25"/>
  <c r="H44" i="25"/>
  <c r="H48" i="25"/>
  <c r="H53" i="25"/>
  <c r="H30" i="25"/>
  <c r="H32" i="25"/>
  <c r="H56" i="25"/>
  <c r="H60" i="25"/>
  <c r="H64" i="25"/>
  <c r="H35" i="25"/>
  <c r="H29" i="25"/>
  <c r="H45" i="25"/>
  <c r="H34" i="25"/>
  <c r="H57" i="25"/>
  <c r="H65" i="25"/>
  <c r="H37" i="25"/>
  <c r="H46" i="25"/>
  <c r="H38" i="25"/>
  <c r="H58" i="25"/>
  <c r="H28" i="25"/>
  <c r="G4" i="25"/>
  <c r="G5" i="25" s="1"/>
  <c r="G92" i="25"/>
  <c r="G87" i="25"/>
  <c r="G80" i="25"/>
  <c r="G103" i="25"/>
  <c r="G102" i="25"/>
  <c r="G82" i="25"/>
  <c r="G94" i="25"/>
  <c r="G5" i="13"/>
  <c r="G40" i="13" s="1"/>
  <c r="E9" i="10"/>
  <c r="E33" i="13"/>
  <c r="G21" i="14"/>
  <c r="G16" i="14"/>
  <c r="G18" i="14"/>
  <c r="G20" i="14"/>
  <c r="G22" i="14"/>
  <c r="G19" i="14"/>
  <c r="G17" i="14"/>
  <c r="I2" i="14"/>
  <c r="H4" i="14"/>
  <c r="H15" i="14" s="1"/>
  <c r="H8" i="14"/>
  <c r="H5" i="14"/>
  <c r="H7" i="14"/>
  <c r="H11" i="14"/>
  <c r="H6" i="14"/>
  <c r="H10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F14" i="10"/>
  <c r="F40" i="10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B40" i="10"/>
  <c r="J14" i="16"/>
  <c r="B53" i="10"/>
  <c r="F53" i="10"/>
  <c r="F79" i="10"/>
  <c r="H17" i="16"/>
  <c r="H14" i="16"/>
  <c r="I14" i="16"/>
  <c r="C9" i="10" s="1"/>
  <c r="K13" i="16"/>
  <c r="I17" i="16"/>
  <c r="J13" i="16"/>
  <c r="J15" i="16"/>
  <c r="K19" i="16"/>
  <c r="H19" i="16"/>
  <c r="B79" i="10"/>
  <c r="E7" i="13"/>
  <c r="E19" i="13"/>
  <c r="E10" i="13"/>
  <c r="E16" i="14"/>
  <c r="B14" i="10"/>
  <c r="E15" i="14"/>
  <c r="H13" i="16"/>
  <c r="J19" i="16"/>
  <c r="H15" i="16"/>
  <c r="I19" i="16"/>
  <c r="J17" i="16"/>
  <c r="K18" i="16"/>
  <c r="I13" i="16"/>
  <c r="I12" i="16"/>
  <c r="C7" i="10" s="1"/>
  <c r="J12" i="16"/>
  <c r="K17" i="16"/>
  <c r="I18" i="16"/>
  <c r="F20" i="13"/>
  <c r="F11" i="13"/>
  <c r="H12" i="16"/>
  <c r="J18" i="16"/>
  <c r="F26" i="13"/>
  <c r="F25" i="13"/>
  <c r="F23" i="13"/>
  <c r="K12" i="16"/>
  <c r="E7" i="10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L14" i="16" l="1"/>
  <c r="H108" i="25"/>
  <c r="G21" i="13"/>
  <c r="G8" i="25"/>
  <c r="H72" i="25"/>
  <c r="H91" i="25"/>
  <c r="H82" i="25"/>
  <c r="H5" i="13"/>
  <c r="H51" i="13" s="1"/>
  <c r="H88" i="25"/>
  <c r="H105" i="25"/>
  <c r="H101" i="25"/>
  <c r="H7" i="25" s="1"/>
  <c r="H99" i="25"/>
  <c r="H89" i="25"/>
  <c r="G16" i="13"/>
  <c r="G12" i="13"/>
  <c r="G25" i="13"/>
  <c r="G48" i="13"/>
  <c r="G46" i="13"/>
  <c r="G24" i="13"/>
  <c r="G20" i="13"/>
  <c r="G15" i="13"/>
  <c r="G11" i="13"/>
  <c r="G38" i="13"/>
  <c r="G39" i="13"/>
  <c r="G23" i="13"/>
  <c r="G18" i="13"/>
  <c r="G14" i="13"/>
  <c r="G9" i="13"/>
  <c r="G47" i="13"/>
  <c r="G35" i="13"/>
  <c r="G26" i="13"/>
  <c r="G22" i="13"/>
  <c r="G17" i="13"/>
  <c r="G13" i="13"/>
  <c r="G8" i="13"/>
  <c r="G37" i="13"/>
  <c r="G44" i="13"/>
  <c r="H106" i="25"/>
  <c r="G34" i="13"/>
  <c r="G42" i="13"/>
  <c r="G41" i="13"/>
  <c r="G43" i="13"/>
  <c r="G49" i="13"/>
  <c r="H81" i="25"/>
  <c r="H100" i="25"/>
  <c r="H78" i="25"/>
  <c r="H75" i="25"/>
  <c r="H4" i="25"/>
  <c r="H5" i="25" s="1"/>
  <c r="H92" i="25"/>
  <c r="H87" i="25"/>
  <c r="H76" i="25"/>
  <c r="H104" i="25"/>
  <c r="I53" i="25"/>
  <c r="I57" i="25"/>
  <c r="I61" i="25"/>
  <c r="I65" i="25"/>
  <c r="I48" i="25"/>
  <c r="I36" i="25"/>
  <c r="I35" i="25"/>
  <c r="I28" i="25"/>
  <c r="I38" i="25"/>
  <c r="I58" i="25"/>
  <c r="I45" i="25"/>
  <c r="I50" i="25"/>
  <c r="I41" i="25"/>
  <c r="J2" i="25"/>
  <c r="I51" i="25"/>
  <c r="I59" i="25"/>
  <c r="I46" i="25"/>
  <c r="I34" i="25"/>
  <c r="I37" i="25"/>
  <c r="I56" i="25"/>
  <c r="I47" i="25"/>
  <c r="I30" i="25"/>
  <c r="I44" i="25"/>
  <c r="I54" i="25"/>
  <c r="I62" i="25"/>
  <c r="I49" i="25"/>
  <c r="I39" i="25"/>
  <c r="I33" i="25"/>
  <c r="I55" i="25"/>
  <c r="I63" i="25"/>
  <c r="I27" i="25"/>
  <c r="I42" i="25"/>
  <c r="I52" i="25"/>
  <c r="I64" i="25"/>
  <c r="I31" i="25"/>
  <c r="I40" i="25"/>
  <c r="I26" i="25"/>
  <c r="I69" i="25" s="1"/>
  <c r="I60" i="25"/>
  <c r="I32" i="25"/>
  <c r="I29" i="25"/>
  <c r="H102" i="25"/>
  <c r="H95" i="25"/>
  <c r="H77" i="25"/>
  <c r="H107" i="25"/>
  <c r="H73" i="25"/>
  <c r="H84" i="25"/>
  <c r="H93" i="25"/>
  <c r="H6" i="25" s="1"/>
  <c r="H83" i="25"/>
  <c r="H79" i="25"/>
  <c r="H98" i="25"/>
  <c r="H90" i="25"/>
  <c r="G52" i="13"/>
  <c r="G51" i="13"/>
  <c r="G50" i="13"/>
  <c r="H71" i="25"/>
  <c r="H80" i="25"/>
  <c r="H103" i="25"/>
  <c r="H96" i="25"/>
  <c r="H70" i="25"/>
  <c r="H94" i="25"/>
  <c r="H97" i="25"/>
  <c r="H74" i="25"/>
  <c r="H85" i="25"/>
  <c r="H22" i="14"/>
  <c r="H20" i="14"/>
  <c r="H18" i="14"/>
  <c r="J2" i="14"/>
  <c r="I5" i="14"/>
  <c r="I9" i="14"/>
  <c r="I4" i="14"/>
  <c r="I15" i="14" s="1"/>
  <c r="I8" i="14"/>
  <c r="I7" i="14"/>
  <c r="I11" i="14"/>
  <c r="I10" i="14"/>
  <c r="I6" i="14"/>
  <c r="H21" i="14"/>
  <c r="H16" i="14"/>
  <c r="I5" i="13"/>
  <c r="E22" i="10" s="1"/>
  <c r="H50" i="13"/>
  <c r="H46" i="13"/>
  <c r="H44" i="13"/>
  <c r="H40" i="13"/>
  <c r="H52" i="13"/>
  <c r="H11" i="13"/>
  <c r="H15" i="13"/>
  <c r="H20" i="13"/>
  <c r="H24" i="13"/>
  <c r="H8" i="13"/>
  <c r="H17" i="13"/>
  <c r="H22" i="13"/>
  <c r="H26" i="13"/>
  <c r="H16" i="13"/>
  <c r="H17" i="14"/>
  <c r="H19" i="14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K11" i="16"/>
  <c r="H16" i="16"/>
  <c r="E27" i="13"/>
  <c r="F7" i="13"/>
  <c r="I16" i="16"/>
  <c r="I11" i="16"/>
  <c r="L17" i="16"/>
  <c r="L19" i="16"/>
  <c r="L13" i="16"/>
  <c r="K16" i="16"/>
  <c r="H11" i="16"/>
  <c r="L12" i="16"/>
  <c r="F19" i="13"/>
  <c r="L15" i="16"/>
  <c r="J16" i="16"/>
  <c r="L18" i="16"/>
  <c r="F10" i="13"/>
  <c r="L16" i="16" l="1"/>
  <c r="H37" i="13"/>
  <c r="H34" i="13"/>
  <c r="H43" i="13"/>
  <c r="H21" i="13"/>
  <c r="H48" i="13"/>
  <c r="H13" i="13"/>
  <c r="H39" i="13"/>
  <c r="H41" i="13"/>
  <c r="H23" i="13"/>
  <c r="H49" i="13"/>
  <c r="H12" i="13"/>
  <c r="H18" i="13"/>
  <c r="H38" i="13"/>
  <c r="H25" i="13"/>
  <c r="H14" i="13"/>
  <c r="H42" i="13"/>
  <c r="H9" i="13"/>
  <c r="H7" i="13" s="1"/>
  <c r="H47" i="13"/>
  <c r="G7" i="13"/>
  <c r="H35" i="13"/>
  <c r="H8" i="25"/>
  <c r="I103" i="25"/>
  <c r="G19" i="13"/>
  <c r="G10" i="13"/>
  <c r="G45" i="13"/>
  <c r="G33" i="13"/>
  <c r="I90" i="25"/>
  <c r="I89" i="25"/>
  <c r="G36" i="13"/>
  <c r="I107" i="25"/>
  <c r="I106" i="25"/>
  <c r="I95" i="25"/>
  <c r="I98" i="25"/>
  <c r="I105" i="25"/>
  <c r="I84" i="25"/>
  <c r="I81" i="25"/>
  <c r="I91" i="25"/>
  <c r="I96" i="25"/>
  <c r="I72" i="25"/>
  <c r="I83" i="25"/>
  <c r="I85" i="25"/>
  <c r="I76" i="25"/>
  <c r="I97" i="25"/>
  <c r="I99" i="25"/>
  <c r="I102" i="25"/>
  <c r="I93" i="25"/>
  <c r="I71" i="25"/>
  <c r="I108" i="25"/>
  <c r="I75" i="25"/>
  <c r="I74" i="25"/>
  <c r="I70" i="25"/>
  <c r="I82" i="25"/>
  <c r="I4" i="25"/>
  <c r="I5" i="25" s="1"/>
  <c r="I92" i="25"/>
  <c r="I87" i="25"/>
  <c r="I80" i="25"/>
  <c r="I94" i="25"/>
  <c r="I88" i="25"/>
  <c r="I78" i="25"/>
  <c r="I104" i="25"/>
  <c r="I73" i="25"/>
  <c r="I77" i="25"/>
  <c r="J46" i="25"/>
  <c r="J50" i="25"/>
  <c r="J52" i="25"/>
  <c r="J56" i="25"/>
  <c r="J60" i="25"/>
  <c r="J64" i="25"/>
  <c r="J33" i="25"/>
  <c r="J36" i="25"/>
  <c r="J34" i="25"/>
  <c r="J47" i="25"/>
  <c r="J44" i="25"/>
  <c r="J53" i="25"/>
  <c r="J57" i="25"/>
  <c r="J61" i="25"/>
  <c r="J65" i="25"/>
  <c r="J37" i="25"/>
  <c r="J35" i="25"/>
  <c r="J31" i="25"/>
  <c r="J41" i="25"/>
  <c r="J28" i="25"/>
  <c r="J27" i="25"/>
  <c r="J40" i="25"/>
  <c r="J45" i="25"/>
  <c r="J88" i="25" s="1"/>
  <c r="J51" i="25"/>
  <c r="J59" i="25"/>
  <c r="J29" i="25"/>
  <c r="J32" i="25"/>
  <c r="J42" i="25"/>
  <c r="K2" i="25"/>
  <c r="J48" i="25"/>
  <c r="J26" i="25"/>
  <c r="J69" i="25" s="1"/>
  <c r="J54" i="25"/>
  <c r="J58" i="25"/>
  <c r="J62" i="25"/>
  <c r="J39" i="25"/>
  <c r="J49" i="25"/>
  <c r="J55" i="25"/>
  <c r="J63" i="25"/>
  <c r="J30" i="25"/>
  <c r="J38" i="25"/>
  <c r="I101" i="25"/>
  <c r="I79" i="25"/>
  <c r="I100" i="25"/>
  <c r="H26" i="16"/>
  <c r="J28" i="16"/>
  <c r="K31" i="16"/>
  <c r="H28" i="16"/>
  <c r="H25" i="16"/>
  <c r="J30" i="16"/>
  <c r="H30" i="16"/>
  <c r="I25" i="16"/>
  <c r="I30" i="16"/>
  <c r="K26" i="16"/>
  <c r="K25" i="16"/>
  <c r="H27" i="16"/>
  <c r="K30" i="16"/>
  <c r="I28" i="16"/>
  <c r="K32" i="16"/>
  <c r="K28" i="16"/>
  <c r="I32" i="16"/>
  <c r="J32" i="16"/>
  <c r="J26" i="16"/>
  <c r="J27" i="16"/>
  <c r="I26" i="16"/>
  <c r="J25" i="16"/>
  <c r="I21" i="14"/>
  <c r="I27" i="16"/>
  <c r="C22" i="10" s="1"/>
  <c r="H31" i="16"/>
  <c r="H32" i="16"/>
  <c r="I31" i="16"/>
  <c r="J31" i="16"/>
  <c r="I22" i="14"/>
  <c r="I17" i="14"/>
  <c r="I18" i="14"/>
  <c r="I19" i="14"/>
  <c r="K2" i="14"/>
  <c r="J6" i="14"/>
  <c r="J10" i="14"/>
  <c r="J5" i="14"/>
  <c r="J9" i="14"/>
  <c r="J4" i="14"/>
  <c r="J15" i="14" s="1"/>
  <c r="J8" i="14"/>
  <c r="J11" i="14"/>
  <c r="J7" i="14"/>
  <c r="J5" i="13"/>
  <c r="I51" i="13"/>
  <c r="I47" i="13"/>
  <c r="I42" i="13"/>
  <c r="I38" i="13"/>
  <c r="I34" i="13"/>
  <c r="I50" i="13"/>
  <c r="I46" i="13"/>
  <c r="I52" i="13"/>
  <c r="I48" i="13"/>
  <c r="I43" i="13"/>
  <c r="I39" i="13"/>
  <c r="I49" i="13"/>
  <c r="I44" i="13"/>
  <c r="I40" i="13"/>
  <c r="I35" i="13"/>
  <c r="I41" i="13"/>
  <c r="I37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I20" i="14"/>
  <c r="I16" i="14"/>
  <c r="F53" i="13"/>
  <c r="F17" i="14"/>
  <c r="F22" i="14"/>
  <c r="F21" i="14"/>
  <c r="F16" i="14"/>
  <c r="F19" i="14"/>
  <c r="F18" i="14"/>
  <c r="F20" i="14"/>
  <c r="E6" i="10"/>
  <c r="E14" i="10" s="1"/>
  <c r="J20" i="16"/>
  <c r="K20" i="16"/>
  <c r="H20" i="16"/>
  <c r="L11" i="16"/>
  <c r="I20" i="16"/>
  <c r="F27" i="13"/>
  <c r="C6" i="10"/>
  <c r="H33" i="13" l="1"/>
  <c r="H45" i="13"/>
  <c r="I16" i="25"/>
  <c r="H10" i="13"/>
  <c r="H36" i="13"/>
  <c r="G53" i="13"/>
  <c r="G27" i="13"/>
  <c r="H19" i="13"/>
  <c r="J106" i="25"/>
  <c r="J91" i="25"/>
  <c r="J105" i="25"/>
  <c r="J73" i="25"/>
  <c r="J82" i="25"/>
  <c r="I17" i="25"/>
  <c r="I18" i="25"/>
  <c r="D9" i="10"/>
  <c r="D7" i="10"/>
  <c r="D13" i="10"/>
  <c r="D12" i="10"/>
  <c r="D10" i="10"/>
  <c r="D8" i="10"/>
  <c r="J104" i="25"/>
  <c r="C20" i="10"/>
  <c r="C19" i="10" s="1"/>
  <c r="C27" i="10" s="1"/>
  <c r="E20" i="10"/>
  <c r="E19" i="10" s="1"/>
  <c r="E27" i="10" s="1"/>
  <c r="J98" i="25"/>
  <c r="J101" i="25"/>
  <c r="J7" i="25" s="1"/>
  <c r="J102" i="25"/>
  <c r="J108" i="25"/>
  <c r="J95" i="25"/>
  <c r="J75" i="25"/>
  <c r="J84" i="25"/>
  <c r="J4" i="25"/>
  <c r="J5" i="25" s="1"/>
  <c r="J87" i="25"/>
  <c r="J92" i="25"/>
  <c r="J76" i="25"/>
  <c r="I13" i="25"/>
  <c r="I14" i="25"/>
  <c r="I6" i="25"/>
  <c r="J72" i="25"/>
  <c r="J83" i="25"/>
  <c r="J74" i="25"/>
  <c r="J90" i="25"/>
  <c r="J107" i="25"/>
  <c r="J93" i="25"/>
  <c r="J6" i="25" s="1"/>
  <c r="I7" i="25"/>
  <c r="I15" i="25"/>
  <c r="K45" i="25"/>
  <c r="K49" i="25"/>
  <c r="K26" i="25"/>
  <c r="K69" i="25" s="1"/>
  <c r="K54" i="25"/>
  <c r="K58" i="25"/>
  <c r="K62" i="25"/>
  <c r="K30" i="25"/>
  <c r="K29" i="25"/>
  <c r="K41" i="25"/>
  <c r="K32" i="25"/>
  <c r="L2" i="25"/>
  <c r="K31" i="25"/>
  <c r="K44" i="25"/>
  <c r="K61" i="25"/>
  <c r="K36" i="25"/>
  <c r="K46" i="25"/>
  <c r="K50" i="25"/>
  <c r="K51" i="25"/>
  <c r="K55" i="25"/>
  <c r="K59" i="25"/>
  <c r="K63" i="25"/>
  <c r="K34" i="25"/>
  <c r="K33" i="25"/>
  <c r="K39" i="25"/>
  <c r="K48" i="25"/>
  <c r="K65" i="25"/>
  <c r="K47" i="25"/>
  <c r="K27" i="25"/>
  <c r="K52" i="25"/>
  <c r="K56" i="25"/>
  <c r="K60" i="25"/>
  <c r="K64" i="25"/>
  <c r="K38" i="25"/>
  <c r="K37" i="25"/>
  <c r="K35" i="25"/>
  <c r="K42" i="25"/>
  <c r="K53" i="25"/>
  <c r="K57" i="25"/>
  <c r="K28" i="25"/>
  <c r="K40" i="25"/>
  <c r="J70" i="25"/>
  <c r="J78" i="25"/>
  <c r="J100" i="25"/>
  <c r="J77" i="25"/>
  <c r="J103" i="25"/>
  <c r="J89" i="25"/>
  <c r="J81" i="25"/>
  <c r="J97" i="25"/>
  <c r="J85" i="25"/>
  <c r="J94" i="25"/>
  <c r="J71" i="25"/>
  <c r="J80" i="25"/>
  <c r="J96" i="25"/>
  <c r="J79" i="25"/>
  <c r="J99" i="25"/>
  <c r="H24" i="16"/>
  <c r="I24" i="16"/>
  <c r="L31" i="16"/>
  <c r="J24" i="16"/>
  <c r="L28" i="16"/>
  <c r="H29" i="16"/>
  <c r="L30" i="16"/>
  <c r="L26" i="16"/>
  <c r="K29" i="16"/>
  <c r="L25" i="16"/>
  <c r="J29" i="16"/>
  <c r="I29" i="16"/>
  <c r="L32" i="16"/>
  <c r="K24" i="16"/>
  <c r="Z19" i="14"/>
  <c r="L27" i="16"/>
  <c r="Z17" i="14"/>
  <c r="J22" i="14"/>
  <c r="Z18" i="14"/>
  <c r="J19" i="14"/>
  <c r="J18" i="14"/>
  <c r="J20" i="14"/>
  <c r="J16" i="14"/>
  <c r="I7" i="13"/>
  <c r="AK34" i="13"/>
  <c r="I33" i="13"/>
  <c r="AF33" i="13" s="1"/>
  <c r="I36" i="13"/>
  <c r="AA35" i="13" s="1"/>
  <c r="I19" i="13"/>
  <c r="I10" i="13"/>
  <c r="K5" i="13"/>
  <c r="J52" i="13"/>
  <c r="J48" i="13"/>
  <c r="J43" i="13"/>
  <c r="J39" i="13"/>
  <c r="J34" i="13"/>
  <c r="J49" i="13"/>
  <c r="J44" i="13"/>
  <c r="J40" i="13"/>
  <c r="J35" i="13"/>
  <c r="J50" i="13"/>
  <c r="J46" i="13"/>
  <c r="J41" i="13"/>
  <c r="J37" i="13"/>
  <c r="J51" i="13"/>
  <c r="J47" i="13"/>
  <c r="J42" i="13"/>
  <c r="J38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J21" i="14"/>
  <c r="L2" i="14"/>
  <c r="K7" i="14"/>
  <c r="K11" i="14"/>
  <c r="K6" i="14"/>
  <c r="K10" i="14"/>
  <c r="K5" i="14"/>
  <c r="K9" i="14"/>
  <c r="K4" i="14"/>
  <c r="K15" i="14" s="1"/>
  <c r="K8" i="14"/>
  <c r="AK33" i="13"/>
  <c r="I45" i="13"/>
  <c r="J17" i="14"/>
  <c r="L20" i="16"/>
  <c r="C14" i="10"/>
  <c r="K91" i="25" l="1"/>
  <c r="K108" i="25"/>
  <c r="H53" i="13"/>
  <c r="K83" i="25"/>
  <c r="K70" i="25"/>
  <c r="K100" i="25"/>
  <c r="H27" i="13"/>
  <c r="K79" i="25"/>
  <c r="K71" i="25"/>
  <c r="K96" i="25"/>
  <c r="K107" i="25"/>
  <c r="K106" i="25"/>
  <c r="K103" i="25"/>
  <c r="K98" i="25"/>
  <c r="K73" i="25"/>
  <c r="K99" i="25"/>
  <c r="K94" i="25"/>
  <c r="K105" i="25"/>
  <c r="K104" i="25"/>
  <c r="K95" i="25"/>
  <c r="K93" i="25"/>
  <c r="K6" i="25" s="1"/>
  <c r="K101" i="25"/>
  <c r="K7" i="25" s="1"/>
  <c r="I19" i="25"/>
  <c r="K81" i="25"/>
  <c r="K84" i="25"/>
  <c r="K102" i="25"/>
  <c r="J8" i="25"/>
  <c r="K85" i="25"/>
  <c r="K78" i="25"/>
  <c r="K76" i="25"/>
  <c r="K80" i="25"/>
  <c r="K90" i="25"/>
  <c r="K82" i="25"/>
  <c r="K77" i="25"/>
  <c r="K75" i="25"/>
  <c r="H33" i="16"/>
  <c r="K74" i="25"/>
  <c r="K4" i="25"/>
  <c r="K5" i="25" s="1"/>
  <c r="K87" i="25"/>
  <c r="K92" i="25"/>
  <c r="K88" i="25"/>
  <c r="K89" i="25"/>
  <c r="K72" i="25"/>
  <c r="K97" i="25"/>
  <c r="L44" i="25"/>
  <c r="L48" i="25"/>
  <c r="L31" i="25"/>
  <c r="L52" i="25"/>
  <c r="L56" i="25"/>
  <c r="L60" i="25"/>
  <c r="L64" i="25"/>
  <c r="L38" i="25"/>
  <c r="L32" i="25"/>
  <c r="L27" i="25"/>
  <c r="L40" i="25"/>
  <c r="L55" i="25"/>
  <c r="L63" i="25"/>
  <c r="L45" i="25"/>
  <c r="L49" i="25"/>
  <c r="L35" i="25"/>
  <c r="L53" i="25"/>
  <c r="L57" i="25"/>
  <c r="L61" i="25"/>
  <c r="L65" i="25"/>
  <c r="L29" i="25"/>
  <c r="L36" i="25"/>
  <c r="L33" i="25"/>
  <c r="L28" i="25"/>
  <c r="L51" i="25"/>
  <c r="L59" i="25"/>
  <c r="L42" i="25"/>
  <c r="L46" i="25"/>
  <c r="L50" i="25"/>
  <c r="L39" i="25"/>
  <c r="L54" i="25"/>
  <c r="L58" i="25"/>
  <c r="L62" i="25"/>
  <c r="L30" i="25"/>
  <c r="L37" i="25"/>
  <c r="L41" i="25"/>
  <c r="M2" i="25"/>
  <c r="L47" i="25"/>
  <c r="L34" i="25"/>
  <c r="L26" i="25"/>
  <c r="L69" i="25" s="1"/>
  <c r="I8" i="25"/>
  <c r="J33" i="16"/>
  <c r="I33" i="16"/>
  <c r="L24" i="16"/>
  <c r="K33" i="16"/>
  <c r="L29" i="16"/>
  <c r="AF34" i="13"/>
  <c r="AF35" i="13" s="1"/>
  <c r="AA36" i="13"/>
  <c r="Z20" i="14"/>
  <c r="I53" i="13"/>
  <c r="AA38" i="13"/>
  <c r="K20" i="14"/>
  <c r="K19" i="14"/>
  <c r="AK35" i="13"/>
  <c r="K16" i="14"/>
  <c r="K18" i="14"/>
  <c r="AA37" i="13"/>
  <c r="K21" i="14"/>
  <c r="I27" i="13"/>
  <c r="AA8" i="13" s="1"/>
  <c r="AA33" i="13"/>
  <c r="AA34" i="13"/>
  <c r="K22" i="14"/>
  <c r="J45" i="13"/>
  <c r="J7" i="13"/>
  <c r="M2" i="14"/>
  <c r="L4" i="14"/>
  <c r="L15" i="14" s="1"/>
  <c r="L8" i="14"/>
  <c r="L7" i="14"/>
  <c r="L11" i="14"/>
  <c r="L6" i="14"/>
  <c r="L10" i="14"/>
  <c r="L5" i="14"/>
  <c r="L9" i="14"/>
  <c r="J36" i="13"/>
  <c r="J33" i="13"/>
  <c r="K17" i="14"/>
  <c r="J19" i="13"/>
  <c r="J10" i="13"/>
  <c r="L5" i="13"/>
  <c r="K49" i="13"/>
  <c r="K44" i="13"/>
  <c r="K40" i="13"/>
  <c r="K35" i="13"/>
  <c r="K50" i="13"/>
  <c r="K46" i="13"/>
  <c r="K41" i="13"/>
  <c r="K37" i="13"/>
  <c r="K52" i="13"/>
  <c r="K48" i="13"/>
  <c r="K43" i="13"/>
  <c r="K39" i="13"/>
  <c r="K51" i="13"/>
  <c r="K47" i="13"/>
  <c r="K42" i="13"/>
  <c r="K38" i="13"/>
  <c r="K34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5" i="13"/>
  <c r="K26" i="13"/>
  <c r="G10" i="10"/>
  <c r="G9" i="10"/>
  <c r="G13" i="10"/>
  <c r="G12" i="10"/>
  <c r="D11" i="10"/>
  <c r="G7" i="10"/>
  <c r="D6" i="10"/>
  <c r="G8" i="10"/>
  <c r="L93" i="25" l="1"/>
  <c r="L6" i="25" s="1"/>
  <c r="K8" i="25"/>
  <c r="L105" i="25"/>
  <c r="L101" i="25"/>
  <c r="L7" i="25" s="1"/>
  <c r="L97" i="25"/>
  <c r="L104" i="25"/>
  <c r="L89" i="25"/>
  <c r="L90" i="25"/>
  <c r="L88" i="25"/>
  <c r="L102" i="25"/>
  <c r="L91" i="25"/>
  <c r="L100" i="25"/>
  <c r="L94" i="25"/>
  <c r="L108" i="25"/>
  <c r="L96" i="25"/>
  <c r="D21" i="10"/>
  <c r="G21" i="10" s="1"/>
  <c r="D26" i="10"/>
  <c r="G26" i="10" s="1"/>
  <c r="D22" i="10"/>
  <c r="G22" i="10" s="1"/>
  <c r="L9" i="10" s="1"/>
  <c r="D25" i="10"/>
  <c r="D23" i="10"/>
  <c r="G23" i="10" s="1"/>
  <c r="L10" i="10" s="1"/>
  <c r="D20" i="10"/>
  <c r="G20" i="10" s="1"/>
  <c r="M44" i="25"/>
  <c r="M54" i="25"/>
  <c r="M58" i="25"/>
  <c r="M62" i="25"/>
  <c r="M50" i="25"/>
  <c r="M36" i="25"/>
  <c r="M30" i="25"/>
  <c r="M27" i="25"/>
  <c r="M37" i="25"/>
  <c r="M28" i="25"/>
  <c r="N2" i="25"/>
  <c r="M48" i="25"/>
  <c r="M45" i="25"/>
  <c r="M57" i="25"/>
  <c r="M65" i="25"/>
  <c r="M26" i="25"/>
  <c r="M69" i="25" s="1"/>
  <c r="M51" i="25"/>
  <c r="M55" i="25"/>
  <c r="M59" i="25"/>
  <c r="M63" i="25"/>
  <c r="M46" i="25"/>
  <c r="M31" i="25"/>
  <c r="M38" i="25"/>
  <c r="M33" i="25"/>
  <c r="M42" i="25"/>
  <c r="M34" i="25"/>
  <c r="M52" i="25"/>
  <c r="M56" i="25"/>
  <c r="M60" i="25"/>
  <c r="M64" i="25"/>
  <c r="M35" i="25"/>
  <c r="M39" i="25"/>
  <c r="M40" i="25"/>
  <c r="M41" i="25"/>
  <c r="M53" i="25"/>
  <c r="M61" i="25"/>
  <c r="M32" i="25"/>
  <c r="M47" i="25"/>
  <c r="M29" i="25"/>
  <c r="M49" i="25"/>
  <c r="L72" i="25"/>
  <c r="L106" i="25"/>
  <c r="L75" i="25"/>
  <c r="L99" i="25"/>
  <c r="L4" i="25"/>
  <c r="L5" i="25" s="1"/>
  <c r="L92" i="25"/>
  <c r="L87" i="25"/>
  <c r="L84" i="25"/>
  <c r="L71" i="25"/>
  <c r="L78" i="25"/>
  <c r="L98" i="25"/>
  <c r="L81" i="25"/>
  <c r="L95" i="25"/>
  <c r="L77" i="25"/>
  <c r="L80" i="25"/>
  <c r="L85" i="25"/>
  <c r="L76" i="25"/>
  <c r="L83" i="25"/>
  <c r="L107" i="25"/>
  <c r="L74" i="25"/>
  <c r="L73" i="25"/>
  <c r="L82" i="25"/>
  <c r="L79" i="25"/>
  <c r="L70" i="25"/>
  <c r="L103" i="25"/>
  <c r="L33" i="16"/>
  <c r="L17" i="14"/>
  <c r="L21" i="14"/>
  <c r="L20" i="14"/>
  <c r="L16" i="14"/>
  <c r="L18" i="14"/>
  <c r="J53" i="13"/>
  <c r="L19" i="14"/>
  <c r="L22" i="14"/>
  <c r="AA39" i="13"/>
  <c r="K7" i="13"/>
  <c r="J27" i="13"/>
  <c r="K33" i="13"/>
  <c r="K19" i="13"/>
  <c r="K10" i="13"/>
  <c r="K36" i="13"/>
  <c r="M5" i="13"/>
  <c r="L50" i="13"/>
  <c r="L46" i="13"/>
  <c r="L41" i="13"/>
  <c r="L37" i="13"/>
  <c r="L49" i="13"/>
  <c r="L51" i="13"/>
  <c r="L47" i="13"/>
  <c r="L42" i="13"/>
  <c r="L38" i="13"/>
  <c r="L52" i="13"/>
  <c r="L48" i="13"/>
  <c r="L43" i="13"/>
  <c r="L39" i="13"/>
  <c r="L34" i="13"/>
  <c r="L44" i="13"/>
  <c r="L40" i="13"/>
  <c r="L35" i="13"/>
  <c r="L11" i="13"/>
  <c r="L15" i="13"/>
  <c r="L20" i="13"/>
  <c r="L24" i="13"/>
  <c r="L9" i="13"/>
  <c r="L14" i="13"/>
  <c r="L18" i="13"/>
  <c r="L23" i="13"/>
  <c r="L12" i="13"/>
  <c r="L16" i="13"/>
  <c r="L21" i="13"/>
  <c r="L25" i="13"/>
  <c r="L8" i="13"/>
  <c r="L13" i="13"/>
  <c r="L17" i="13"/>
  <c r="L22" i="13"/>
  <c r="L26" i="13"/>
  <c r="K45" i="13"/>
  <c r="N2" i="14"/>
  <c r="M5" i="14"/>
  <c r="M9" i="14"/>
  <c r="M4" i="14"/>
  <c r="M15" i="14" s="1"/>
  <c r="M8" i="14"/>
  <c r="M7" i="14"/>
  <c r="M11" i="14"/>
  <c r="M6" i="14"/>
  <c r="M10" i="14"/>
  <c r="D14" i="10"/>
  <c r="G6" i="10"/>
  <c r="G11" i="10"/>
  <c r="L8" i="25" l="1"/>
  <c r="M88" i="25"/>
  <c r="M90" i="25"/>
  <c r="M95" i="25"/>
  <c r="M89" i="25"/>
  <c r="M82" i="25"/>
  <c r="M76" i="25"/>
  <c r="D19" i="10"/>
  <c r="G19" i="10" s="1"/>
  <c r="L8" i="10" s="1"/>
  <c r="D24" i="10"/>
  <c r="G24" i="10" s="1"/>
  <c r="L11" i="10" s="1"/>
  <c r="M91" i="25"/>
  <c r="G25" i="10"/>
  <c r="M104" i="25"/>
  <c r="M99" i="25"/>
  <c r="M106" i="25"/>
  <c r="M70" i="25"/>
  <c r="M105" i="25"/>
  <c r="M72" i="25"/>
  <c r="M96" i="25"/>
  <c r="M78" i="25"/>
  <c r="M81" i="25"/>
  <c r="M102" i="25"/>
  <c r="M108" i="25"/>
  <c r="N53" i="25"/>
  <c r="N56" i="25"/>
  <c r="N60" i="25"/>
  <c r="N64" i="25"/>
  <c r="N33" i="25"/>
  <c r="N32" i="25"/>
  <c r="N42" i="25"/>
  <c r="N47" i="25"/>
  <c r="N50" i="25"/>
  <c r="N62" i="25"/>
  <c r="N27" i="25"/>
  <c r="N31" i="25"/>
  <c r="N34" i="25"/>
  <c r="N52" i="25"/>
  <c r="N59" i="25"/>
  <c r="N29" i="25"/>
  <c r="N40" i="25"/>
  <c r="N41" i="25"/>
  <c r="N28" i="25"/>
  <c r="N44" i="25"/>
  <c r="N26" i="25"/>
  <c r="N69" i="25" s="1"/>
  <c r="N57" i="25"/>
  <c r="N61" i="25"/>
  <c r="N65" i="25"/>
  <c r="N37" i="25"/>
  <c r="N36" i="25"/>
  <c r="N49" i="25"/>
  <c r="N30" i="25"/>
  <c r="N35" i="25"/>
  <c r="N51" i="25"/>
  <c r="N54" i="25"/>
  <c r="N58" i="25"/>
  <c r="N46" i="25"/>
  <c r="N38" i="25"/>
  <c r="N45" i="25"/>
  <c r="N55" i="25"/>
  <c r="N63" i="25"/>
  <c r="N48" i="25"/>
  <c r="N39" i="25"/>
  <c r="O2" i="25"/>
  <c r="M73" i="25"/>
  <c r="M101" i="25"/>
  <c r="M7" i="25" s="1"/>
  <c r="M84" i="25"/>
  <c r="M107" i="25"/>
  <c r="M77" i="25"/>
  <c r="M74" i="25"/>
  <c r="M98" i="25"/>
  <c r="M100" i="25"/>
  <c r="M71" i="25"/>
  <c r="M79" i="25"/>
  <c r="M97" i="25"/>
  <c r="M75" i="25"/>
  <c r="M83" i="25"/>
  <c r="M103" i="25"/>
  <c r="M85" i="25"/>
  <c r="M94" i="25"/>
  <c r="M80" i="25"/>
  <c r="M93" i="25"/>
  <c r="M6" i="25" s="1"/>
  <c r="M4" i="25"/>
  <c r="M5" i="25" s="1"/>
  <c r="M92" i="25"/>
  <c r="M87" i="25"/>
  <c r="L7" i="13"/>
  <c r="M21" i="14"/>
  <c r="M17" i="14"/>
  <c r="M22" i="14"/>
  <c r="M18" i="14"/>
  <c r="K53" i="13"/>
  <c r="K27" i="13"/>
  <c r="M19" i="14"/>
  <c r="L33" i="13"/>
  <c r="M20" i="14"/>
  <c r="L19" i="13"/>
  <c r="L36" i="13"/>
  <c r="N5" i="13"/>
  <c r="E35" i="10" s="1"/>
  <c r="M51" i="13"/>
  <c r="M47" i="13"/>
  <c r="M42" i="13"/>
  <c r="M38" i="13"/>
  <c r="M41" i="13"/>
  <c r="M52" i="13"/>
  <c r="M48" i="13"/>
  <c r="M43" i="13"/>
  <c r="M39" i="13"/>
  <c r="M34" i="13"/>
  <c r="M37" i="13"/>
  <c r="M49" i="13"/>
  <c r="M44" i="13"/>
  <c r="M40" i="13"/>
  <c r="M35" i="13"/>
  <c r="M50" i="13"/>
  <c r="M46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M16" i="14"/>
  <c r="O2" i="14"/>
  <c r="N6" i="14"/>
  <c r="N10" i="14"/>
  <c r="N5" i="14"/>
  <c r="N9" i="14"/>
  <c r="N4" i="14"/>
  <c r="N15" i="14" s="1"/>
  <c r="N8" i="14"/>
  <c r="N11" i="14"/>
  <c r="N7" i="14"/>
  <c r="L10" i="13"/>
  <c r="L45" i="13"/>
  <c r="G14" i="10"/>
  <c r="L12" i="10" l="1"/>
  <c r="D27" i="10"/>
  <c r="G27" i="10" s="1"/>
  <c r="N97" i="25"/>
  <c r="M8" i="25"/>
  <c r="N101" i="25"/>
  <c r="N7" i="25" s="1"/>
  <c r="N78" i="25"/>
  <c r="N106" i="25"/>
  <c r="N98" i="25"/>
  <c r="N89" i="25"/>
  <c r="N108" i="25"/>
  <c r="N93" i="25"/>
  <c r="N6" i="25" s="1"/>
  <c r="N96" i="25"/>
  <c r="N107" i="25"/>
  <c r="N77" i="25"/>
  <c r="O45" i="25"/>
  <c r="O49" i="25"/>
  <c r="O52" i="25"/>
  <c r="O28" i="25"/>
  <c r="O29" i="25"/>
  <c r="O41" i="25"/>
  <c r="O40" i="25"/>
  <c r="O57" i="25"/>
  <c r="O61" i="25"/>
  <c r="O65" i="25"/>
  <c r="P2" i="25"/>
  <c r="O26" i="25"/>
  <c r="O69" i="25" s="1"/>
  <c r="O55" i="25"/>
  <c r="O63" i="25"/>
  <c r="O106" i="25" s="1"/>
  <c r="O51" i="25"/>
  <c r="O44" i="25"/>
  <c r="O32" i="25"/>
  <c r="O56" i="25"/>
  <c r="O64" i="25"/>
  <c r="O46" i="25"/>
  <c r="O50" i="25"/>
  <c r="O53" i="25"/>
  <c r="O30" i="25"/>
  <c r="O33" i="25"/>
  <c r="O35" i="25"/>
  <c r="O54" i="25"/>
  <c r="O97" i="25" s="1"/>
  <c r="O58" i="25"/>
  <c r="O62" i="25"/>
  <c r="O36" i="25"/>
  <c r="O47" i="25"/>
  <c r="O27" i="25"/>
  <c r="O34" i="25"/>
  <c r="O37" i="25"/>
  <c r="O42" i="25"/>
  <c r="O59" i="25"/>
  <c r="O39" i="25"/>
  <c r="O48" i="25"/>
  <c r="O38" i="25"/>
  <c r="O31" i="25"/>
  <c r="O60" i="25"/>
  <c r="N73" i="25"/>
  <c r="N4" i="25"/>
  <c r="N5" i="25" s="1"/>
  <c r="N92" i="25"/>
  <c r="N87" i="25"/>
  <c r="N74" i="25"/>
  <c r="N82" i="25"/>
  <c r="N88" i="25"/>
  <c r="N104" i="25"/>
  <c r="N71" i="25"/>
  <c r="N102" i="25"/>
  <c r="N70" i="25"/>
  <c r="N85" i="25"/>
  <c r="N103" i="25"/>
  <c r="N80" i="25"/>
  <c r="N83" i="25"/>
  <c r="N76" i="25"/>
  <c r="N72" i="25"/>
  <c r="N90" i="25"/>
  <c r="N91" i="25"/>
  <c r="N81" i="25"/>
  <c r="N94" i="25"/>
  <c r="N79" i="25"/>
  <c r="N100" i="25"/>
  <c r="N84" i="25"/>
  <c r="N95" i="25"/>
  <c r="N105" i="25"/>
  <c r="N75" i="25"/>
  <c r="N99" i="25"/>
  <c r="L27" i="13"/>
  <c r="M45" i="13"/>
  <c r="M7" i="13"/>
  <c r="N18" i="14"/>
  <c r="N20" i="14"/>
  <c r="P2" i="14"/>
  <c r="O7" i="14"/>
  <c r="O11" i="14"/>
  <c r="O6" i="14"/>
  <c r="O10" i="14"/>
  <c r="O5" i="14"/>
  <c r="O9" i="14"/>
  <c r="O4" i="14"/>
  <c r="O15" i="14" s="1"/>
  <c r="O8" i="14"/>
  <c r="M19" i="13"/>
  <c r="M10" i="13"/>
  <c r="O5" i="13"/>
  <c r="N52" i="13"/>
  <c r="N48" i="13"/>
  <c r="N43" i="13"/>
  <c r="N39" i="13"/>
  <c r="N34" i="13"/>
  <c r="N49" i="13"/>
  <c r="N44" i="13"/>
  <c r="N40" i="13"/>
  <c r="N35" i="13"/>
  <c r="N51" i="13"/>
  <c r="N47" i="13"/>
  <c r="N42" i="13"/>
  <c r="N38" i="13"/>
  <c r="N50" i="13"/>
  <c r="N46" i="13"/>
  <c r="N41" i="13"/>
  <c r="N37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5" i="13"/>
  <c r="N26" i="13"/>
  <c r="H71" i="16"/>
  <c r="H70" i="16"/>
  <c r="I70" i="16"/>
  <c r="I69" i="16"/>
  <c r="H66" i="16"/>
  <c r="K70" i="16"/>
  <c r="K69" i="16"/>
  <c r="K65" i="16"/>
  <c r="K67" i="16"/>
  <c r="J67" i="16"/>
  <c r="J65" i="16"/>
  <c r="J66" i="16"/>
  <c r="K64" i="16"/>
  <c r="E33" i="10" s="1"/>
  <c r="J69" i="16"/>
  <c r="I71" i="16"/>
  <c r="I65" i="16"/>
  <c r="J64" i="16"/>
  <c r="H69" i="16"/>
  <c r="H67" i="16"/>
  <c r="J71" i="16"/>
  <c r="K71" i="16"/>
  <c r="I66" i="16"/>
  <c r="C35" i="10" s="1"/>
  <c r="I67" i="16"/>
  <c r="H65" i="16"/>
  <c r="H64" i="16"/>
  <c r="I64" i="16"/>
  <c r="C33" i="10" s="1"/>
  <c r="J70" i="16"/>
  <c r="N17" i="14"/>
  <c r="N22" i="14"/>
  <c r="N16" i="14"/>
  <c r="M36" i="13"/>
  <c r="L53" i="13"/>
  <c r="N19" i="14"/>
  <c r="N21" i="14"/>
  <c r="M33" i="13"/>
  <c r="O89" i="25" l="1"/>
  <c r="N8" i="25"/>
  <c r="O76" i="25"/>
  <c r="O82" i="25"/>
  <c r="O85" i="25"/>
  <c r="O77" i="25"/>
  <c r="O80" i="25"/>
  <c r="O91" i="25"/>
  <c r="O74" i="25"/>
  <c r="O81" i="25"/>
  <c r="O73" i="25"/>
  <c r="O96" i="25"/>
  <c r="O108" i="25"/>
  <c r="O70" i="25"/>
  <c r="O99" i="25"/>
  <c r="O90" i="25"/>
  <c r="O79" i="25"/>
  <c r="O78" i="25"/>
  <c r="O75" i="25"/>
  <c r="O93" i="25"/>
  <c r="O6" i="25" s="1"/>
  <c r="O98" i="25"/>
  <c r="O104" i="25"/>
  <c r="O103" i="25"/>
  <c r="O105" i="25"/>
  <c r="O100" i="25"/>
  <c r="O102" i="25"/>
  <c r="O101" i="25"/>
  <c r="O7" i="25" s="1"/>
  <c r="O107" i="25"/>
  <c r="O94" i="25"/>
  <c r="O83" i="25"/>
  <c r="O95" i="25"/>
  <c r="O84" i="25"/>
  <c r="O72" i="25"/>
  <c r="O88" i="25"/>
  <c r="P45" i="25"/>
  <c r="P49" i="25"/>
  <c r="P31" i="25"/>
  <c r="P27" i="25"/>
  <c r="P51" i="25"/>
  <c r="P36" i="25"/>
  <c r="P29" i="25"/>
  <c r="P55" i="25"/>
  <c r="P59" i="25"/>
  <c r="P63" i="25"/>
  <c r="P60" i="25"/>
  <c r="Q2" i="25"/>
  <c r="P65" i="25"/>
  <c r="P44" i="25"/>
  <c r="P38" i="25"/>
  <c r="P54" i="25"/>
  <c r="P46" i="25"/>
  <c r="P50" i="25"/>
  <c r="P35" i="25"/>
  <c r="P30" i="25"/>
  <c r="P53" i="25"/>
  <c r="P32" i="25"/>
  <c r="P37" i="25"/>
  <c r="P56" i="25"/>
  <c r="P64" i="25"/>
  <c r="P26" i="25"/>
  <c r="P69" i="25" s="1"/>
  <c r="P52" i="25"/>
  <c r="P58" i="25"/>
  <c r="P47" i="25"/>
  <c r="P28" i="25"/>
  <c r="P39" i="25"/>
  <c r="P34" i="25"/>
  <c r="P33" i="25"/>
  <c r="P41" i="25"/>
  <c r="P40" i="25"/>
  <c r="P57" i="25"/>
  <c r="P61" i="25"/>
  <c r="P48" i="25"/>
  <c r="P42" i="25"/>
  <c r="P62" i="25"/>
  <c r="O4" i="25"/>
  <c r="O5" i="25" s="1"/>
  <c r="O87" i="25"/>
  <c r="O92" i="25"/>
  <c r="O71" i="25"/>
  <c r="M27" i="13"/>
  <c r="M53" i="13"/>
  <c r="N7" i="13"/>
  <c r="N36" i="13"/>
  <c r="O19" i="14"/>
  <c r="O20" i="14"/>
  <c r="I68" i="16"/>
  <c r="O16" i="14"/>
  <c r="O18" i="14"/>
  <c r="I63" i="16"/>
  <c r="L67" i="16"/>
  <c r="K68" i="16"/>
  <c r="N33" i="13"/>
  <c r="O21" i="14"/>
  <c r="Q2" i="14"/>
  <c r="P4" i="14"/>
  <c r="P15" i="14" s="1"/>
  <c r="P8" i="14"/>
  <c r="P7" i="14"/>
  <c r="P11" i="14"/>
  <c r="P6" i="14"/>
  <c r="P10" i="14"/>
  <c r="P9" i="14"/>
  <c r="P5" i="14"/>
  <c r="L70" i="16"/>
  <c r="N19" i="13"/>
  <c r="N10" i="13"/>
  <c r="P5" i="13"/>
  <c r="O49" i="13"/>
  <c r="O44" i="13"/>
  <c r="O40" i="13"/>
  <c r="O35" i="13"/>
  <c r="O52" i="13"/>
  <c r="O48" i="13"/>
  <c r="O50" i="13"/>
  <c r="O46" i="13"/>
  <c r="O41" i="13"/>
  <c r="O37" i="13"/>
  <c r="O51" i="13"/>
  <c r="O47" i="13"/>
  <c r="O42" i="13"/>
  <c r="O38" i="13"/>
  <c r="O43" i="13"/>
  <c r="O39" i="13"/>
  <c r="O34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7" i="14"/>
  <c r="L64" i="16"/>
  <c r="H63" i="16"/>
  <c r="H68" i="16"/>
  <c r="L69" i="16"/>
  <c r="J68" i="16"/>
  <c r="L65" i="16"/>
  <c r="J63" i="16"/>
  <c r="E32" i="10"/>
  <c r="E40" i="10" s="1"/>
  <c r="K63" i="16"/>
  <c r="L66" i="16"/>
  <c r="L71" i="16"/>
  <c r="N45" i="13"/>
  <c r="O22" i="14"/>
  <c r="P91" i="25" l="1"/>
  <c r="P105" i="25"/>
  <c r="P95" i="25"/>
  <c r="P104" i="25"/>
  <c r="P100" i="25"/>
  <c r="P107" i="25"/>
  <c r="P71" i="25"/>
  <c r="P93" i="25"/>
  <c r="P6" i="25" s="1"/>
  <c r="P90" i="25"/>
  <c r="P101" i="25"/>
  <c r="P7" i="25" s="1"/>
  <c r="P97" i="25"/>
  <c r="P99" i="25"/>
  <c r="P84" i="25"/>
  <c r="P106" i="25"/>
  <c r="P96" i="25"/>
  <c r="P76" i="25"/>
  <c r="P89" i="25"/>
  <c r="P108" i="25"/>
  <c r="P102" i="25"/>
  <c r="P94" i="25"/>
  <c r="O8" i="25"/>
  <c r="P103" i="25"/>
  <c r="P98" i="25"/>
  <c r="I72" i="16"/>
  <c r="P77" i="25"/>
  <c r="P73" i="25"/>
  <c r="P70" i="25"/>
  <c r="P85" i="25"/>
  <c r="P83" i="25"/>
  <c r="P82" i="25"/>
  <c r="P80" i="25"/>
  <c r="P78" i="25"/>
  <c r="P81" i="25"/>
  <c r="Q51" i="25"/>
  <c r="Q46" i="25"/>
  <c r="Q54" i="25"/>
  <c r="Q58" i="25"/>
  <c r="Q62" i="25"/>
  <c r="Q32" i="25"/>
  <c r="Q31" i="25"/>
  <c r="Q37" i="25"/>
  <c r="Q30" i="25"/>
  <c r="Q29" i="25"/>
  <c r="R2" i="25"/>
  <c r="Q49" i="25"/>
  <c r="Q61" i="25"/>
  <c r="Q34" i="25"/>
  <c r="Q52" i="25"/>
  <c r="Q47" i="25"/>
  <c r="Q55" i="25"/>
  <c r="Q59" i="25"/>
  <c r="Q63" i="25"/>
  <c r="Q36" i="25"/>
  <c r="Q35" i="25"/>
  <c r="Q39" i="25"/>
  <c r="Q38" i="25"/>
  <c r="Q40" i="25"/>
  <c r="Q45" i="25"/>
  <c r="Q65" i="25"/>
  <c r="Q50" i="25"/>
  <c r="Q53" i="25"/>
  <c r="Q48" i="25"/>
  <c r="Q56" i="25"/>
  <c r="Q60" i="25"/>
  <c r="Q64" i="25"/>
  <c r="Q26" i="25"/>
  <c r="Q69" i="25" s="1"/>
  <c r="Q27" i="25"/>
  <c r="Q33" i="25"/>
  <c r="Q41" i="25"/>
  <c r="Q44" i="25"/>
  <c r="Q57" i="25"/>
  <c r="Q28" i="25"/>
  <c r="Q42" i="25"/>
  <c r="P72" i="25"/>
  <c r="P74" i="25"/>
  <c r="P75" i="25"/>
  <c r="P4" i="25"/>
  <c r="P5" i="25" s="1"/>
  <c r="P87" i="25"/>
  <c r="P92" i="25"/>
  <c r="P79" i="25"/>
  <c r="P88" i="25"/>
  <c r="N53" i="13"/>
  <c r="P17" i="14"/>
  <c r="K72" i="16"/>
  <c r="N27" i="13"/>
  <c r="J72" i="16"/>
  <c r="O10" i="13"/>
  <c r="L68" i="16"/>
  <c r="O7" i="13"/>
  <c r="L63" i="16"/>
  <c r="H72" i="16"/>
  <c r="P16" i="14"/>
  <c r="P22" i="14"/>
  <c r="R2" i="14"/>
  <c r="Q5" i="14"/>
  <c r="Q9" i="14"/>
  <c r="Q4" i="14"/>
  <c r="Q15" i="14" s="1"/>
  <c r="Q8" i="14"/>
  <c r="Q7" i="14"/>
  <c r="Q11" i="14"/>
  <c r="Q6" i="14"/>
  <c r="Q10" i="14"/>
  <c r="O19" i="13"/>
  <c r="O36" i="13"/>
  <c r="P20" i="14"/>
  <c r="P18" i="14"/>
  <c r="C32" i="10"/>
  <c r="O45" i="13"/>
  <c r="Q5" i="13"/>
  <c r="P50" i="13"/>
  <c r="P46" i="13"/>
  <c r="P41" i="13"/>
  <c r="P37" i="13"/>
  <c r="P44" i="13"/>
  <c r="P40" i="13"/>
  <c r="P51" i="13"/>
  <c r="P47" i="13"/>
  <c r="P42" i="13"/>
  <c r="P38" i="13"/>
  <c r="P35" i="13"/>
  <c r="P52" i="13"/>
  <c r="P48" i="13"/>
  <c r="P43" i="13"/>
  <c r="P39" i="13"/>
  <c r="P34" i="13"/>
  <c r="P49" i="13"/>
  <c r="P12" i="13"/>
  <c r="P16" i="13"/>
  <c r="P21" i="13"/>
  <c r="P25" i="13"/>
  <c r="P11" i="13"/>
  <c r="P15" i="13"/>
  <c r="P20" i="13"/>
  <c r="P24" i="13"/>
  <c r="P8" i="13"/>
  <c r="P9" i="13"/>
  <c r="P14" i="13"/>
  <c r="P18" i="13"/>
  <c r="P23" i="13"/>
  <c r="P13" i="13"/>
  <c r="P17" i="13"/>
  <c r="P22" i="13"/>
  <c r="P26" i="13"/>
  <c r="O33" i="13"/>
  <c r="P21" i="14"/>
  <c r="P19" i="14"/>
  <c r="P8" i="25" l="1"/>
  <c r="Q96" i="25"/>
  <c r="Q107" i="25"/>
  <c r="Q85" i="25"/>
  <c r="D35" i="10"/>
  <c r="G35" i="10" s="1"/>
  <c r="D36" i="10"/>
  <c r="G36" i="10" s="1"/>
  <c r="D34" i="10"/>
  <c r="G34" i="10" s="1"/>
  <c r="D33" i="10"/>
  <c r="G33" i="10" s="1"/>
  <c r="D39" i="10"/>
  <c r="G39" i="10" s="1"/>
  <c r="D38" i="10"/>
  <c r="G38" i="10" s="1"/>
  <c r="Q71" i="25"/>
  <c r="Q76" i="25"/>
  <c r="Q84" i="25"/>
  <c r="Q83" i="25"/>
  <c r="Q79" i="25"/>
  <c r="Q90" i="25"/>
  <c r="Q80" i="25"/>
  <c r="Q101" i="25"/>
  <c r="Q7" i="25" s="1"/>
  <c r="Q103" i="25"/>
  <c r="Q93" i="25"/>
  <c r="Q6" i="25" s="1"/>
  <c r="Q81" i="25"/>
  <c r="Q106" i="25"/>
  <c r="Q95" i="25"/>
  <c r="R44" i="25"/>
  <c r="R48" i="25"/>
  <c r="R54" i="25"/>
  <c r="R58" i="25"/>
  <c r="R62" i="25"/>
  <c r="R29" i="25"/>
  <c r="R36" i="25"/>
  <c r="R40" i="25"/>
  <c r="R53" i="25"/>
  <c r="R42" i="25"/>
  <c r="S2" i="25"/>
  <c r="R45" i="25"/>
  <c r="R49" i="25"/>
  <c r="R55" i="25"/>
  <c r="R59" i="25"/>
  <c r="R63" i="25"/>
  <c r="R33" i="25"/>
  <c r="R28" i="25"/>
  <c r="R52" i="25"/>
  <c r="R27" i="25"/>
  <c r="R30" i="25"/>
  <c r="R34" i="25"/>
  <c r="R41" i="25"/>
  <c r="R26" i="25"/>
  <c r="R69" i="25" s="1"/>
  <c r="R61" i="25"/>
  <c r="R32" i="25"/>
  <c r="R51" i="25"/>
  <c r="R31" i="25"/>
  <c r="R46" i="25"/>
  <c r="R50" i="25"/>
  <c r="R56" i="25"/>
  <c r="R60" i="25"/>
  <c r="R64" i="25"/>
  <c r="R37" i="25"/>
  <c r="R35" i="25"/>
  <c r="R38" i="25"/>
  <c r="R47" i="25"/>
  <c r="R57" i="25"/>
  <c r="R65" i="25"/>
  <c r="R39" i="25"/>
  <c r="Q74" i="25"/>
  <c r="Q97" i="25"/>
  <c r="Q100" i="25"/>
  <c r="Q70" i="25"/>
  <c r="Q99" i="25"/>
  <c r="Q108" i="25"/>
  <c r="Q82" i="25"/>
  <c r="Q102" i="25"/>
  <c r="Q77" i="25"/>
  <c r="Q72" i="25"/>
  <c r="Q75" i="25"/>
  <c r="Q89" i="25"/>
  <c r="Q4" i="25"/>
  <c r="Q5" i="25" s="1"/>
  <c r="Q92" i="25"/>
  <c r="Q87" i="25"/>
  <c r="Q91" i="25"/>
  <c r="Q88" i="25"/>
  <c r="Q78" i="25"/>
  <c r="Q98" i="25"/>
  <c r="Q104" i="25"/>
  <c r="Q73" i="25"/>
  <c r="Q105" i="25"/>
  <c r="Q94" i="25"/>
  <c r="Q17" i="14"/>
  <c r="L72" i="16"/>
  <c r="P7" i="13"/>
  <c r="P33" i="13"/>
  <c r="O27" i="13"/>
  <c r="O53" i="13"/>
  <c r="C40" i="10"/>
  <c r="P19" i="13"/>
  <c r="P36" i="13"/>
  <c r="R5" i="13"/>
  <c r="Q51" i="13"/>
  <c r="Q47" i="13"/>
  <c r="Q42" i="13"/>
  <c r="Q38" i="13"/>
  <c r="Q37" i="13"/>
  <c r="Q52" i="13"/>
  <c r="Q48" i="13"/>
  <c r="Q43" i="13"/>
  <c r="Q39" i="13"/>
  <c r="Q34" i="13"/>
  <c r="Q50" i="13"/>
  <c r="Q46" i="13"/>
  <c r="Q41" i="13"/>
  <c r="Q49" i="13"/>
  <c r="Q44" i="13"/>
  <c r="Q40" i="13"/>
  <c r="Q35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22" i="14"/>
  <c r="Q20" i="14"/>
  <c r="Q18" i="14"/>
  <c r="Q16" i="14"/>
  <c r="P10" i="13"/>
  <c r="P45" i="13"/>
  <c r="Q21" i="14"/>
  <c r="Q19" i="14"/>
  <c r="S2" i="14"/>
  <c r="R6" i="14"/>
  <c r="R10" i="14"/>
  <c r="R5" i="14"/>
  <c r="R9" i="14"/>
  <c r="R4" i="14"/>
  <c r="R15" i="14" s="1"/>
  <c r="R8" i="14"/>
  <c r="R11" i="14"/>
  <c r="R7" i="14"/>
  <c r="R90" i="25" l="1"/>
  <c r="R104" i="25"/>
  <c r="R100" i="25"/>
  <c r="R91" i="25"/>
  <c r="R82" i="25"/>
  <c r="R107" i="25"/>
  <c r="R103" i="25"/>
  <c r="R93" i="25"/>
  <c r="R6" i="25" s="1"/>
  <c r="R89" i="25"/>
  <c r="R106" i="25"/>
  <c r="R88" i="25"/>
  <c r="R108" i="25"/>
  <c r="R99" i="25"/>
  <c r="R98" i="25"/>
  <c r="R81" i="25"/>
  <c r="R74" i="25"/>
  <c r="D32" i="10"/>
  <c r="G32" i="10" s="1"/>
  <c r="R80" i="25"/>
  <c r="Q8" i="25"/>
  <c r="R75" i="25"/>
  <c r="R77" i="25"/>
  <c r="R71" i="25"/>
  <c r="R85" i="25"/>
  <c r="R72" i="25"/>
  <c r="R73" i="25"/>
  <c r="R76" i="25"/>
  <c r="R96" i="25"/>
  <c r="R105" i="25"/>
  <c r="R4" i="25"/>
  <c r="R5" i="25" s="1"/>
  <c r="R92" i="25"/>
  <c r="R87" i="25"/>
  <c r="R70" i="25"/>
  <c r="R83" i="25"/>
  <c r="R101" i="25"/>
  <c r="R7" i="25" s="1"/>
  <c r="R78" i="25"/>
  <c r="R94" i="25"/>
  <c r="R84" i="25"/>
  <c r="R95" i="25"/>
  <c r="R102" i="25"/>
  <c r="S48" i="25"/>
  <c r="S51" i="25"/>
  <c r="S26" i="25"/>
  <c r="S69" i="25" s="1"/>
  <c r="S57" i="25"/>
  <c r="S61" i="25"/>
  <c r="S65" i="25"/>
  <c r="S29" i="25"/>
  <c r="S41" i="25"/>
  <c r="S40" i="25"/>
  <c r="S44" i="25"/>
  <c r="S60" i="25"/>
  <c r="S36" i="25"/>
  <c r="T2" i="25"/>
  <c r="S45" i="25"/>
  <c r="S49" i="25"/>
  <c r="S52" i="25"/>
  <c r="S54" i="25"/>
  <c r="S58" i="25"/>
  <c r="S62" i="25"/>
  <c r="S30" i="25"/>
  <c r="S33" i="25"/>
  <c r="S28" i="25"/>
  <c r="S32" i="25"/>
  <c r="S63" i="25"/>
  <c r="S37" i="25"/>
  <c r="S31" i="25"/>
  <c r="X2" i="25"/>
  <c r="S47" i="25"/>
  <c r="S64" i="25"/>
  <c r="S39" i="25"/>
  <c r="S46" i="25"/>
  <c r="S50" i="25"/>
  <c r="S53" i="25"/>
  <c r="S55" i="25"/>
  <c r="S59" i="25"/>
  <c r="S34" i="25"/>
  <c r="S35" i="25"/>
  <c r="S27" i="25"/>
  <c r="S56" i="25"/>
  <c r="S38" i="25"/>
  <c r="S42" i="25"/>
  <c r="R79" i="25"/>
  <c r="R97" i="25"/>
  <c r="Q7" i="13"/>
  <c r="P53" i="13"/>
  <c r="P27" i="13"/>
  <c r="R22" i="14"/>
  <c r="R16" i="14"/>
  <c r="Q45" i="13"/>
  <c r="D37" i="10"/>
  <c r="G37" i="10" s="1"/>
  <c r="Q10" i="13"/>
  <c r="S5" i="13"/>
  <c r="E48" i="10" s="1"/>
  <c r="R52" i="13"/>
  <c r="R48" i="13"/>
  <c r="R43" i="13"/>
  <c r="R39" i="13"/>
  <c r="R34" i="13"/>
  <c r="R51" i="13"/>
  <c r="R47" i="13"/>
  <c r="R49" i="13"/>
  <c r="R44" i="13"/>
  <c r="R40" i="13"/>
  <c r="R35" i="13"/>
  <c r="R50" i="13"/>
  <c r="R46" i="13"/>
  <c r="R41" i="13"/>
  <c r="R37" i="13"/>
  <c r="R42" i="13"/>
  <c r="R38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R17" i="14"/>
  <c r="Q33" i="13"/>
  <c r="Q19" i="13"/>
  <c r="R18" i="14"/>
  <c r="R20" i="14"/>
  <c r="T2" i="14"/>
  <c r="S7" i="14"/>
  <c r="S11" i="14"/>
  <c r="S5" i="14"/>
  <c r="S9" i="14"/>
  <c r="S10" i="14"/>
  <c r="S4" i="14"/>
  <c r="S15" i="14" s="1"/>
  <c r="S8" i="14"/>
  <c r="S6" i="14"/>
  <c r="Q36" i="13"/>
  <c r="S99" i="25" l="1"/>
  <c r="R8" i="25"/>
  <c r="S89" i="25"/>
  <c r="S90" i="25"/>
  <c r="S102" i="25"/>
  <c r="S75" i="25"/>
  <c r="S88" i="25"/>
  <c r="S105" i="25"/>
  <c r="S72" i="25"/>
  <c r="S81" i="25"/>
  <c r="S77" i="25"/>
  <c r="S93" i="25"/>
  <c r="S6" i="25" s="1"/>
  <c r="S73" i="25"/>
  <c r="S70" i="25"/>
  <c r="S82" i="25"/>
  <c r="S85" i="25"/>
  <c r="S78" i="25"/>
  <c r="S96" i="25"/>
  <c r="S107" i="25"/>
  <c r="S80" i="25"/>
  <c r="S76" i="25"/>
  <c r="S106" i="25"/>
  <c r="S79" i="25"/>
  <c r="S84" i="25"/>
  <c r="S95" i="25"/>
  <c r="S100" i="25"/>
  <c r="S97" i="25"/>
  <c r="X50" i="25"/>
  <c r="X45" i="25"/>
  <c r="X31" i="25"/>
  <c r="X34" i="25"/>
  <c r="X42" i="25"/>
  <c r="X56" i="25"/>
  <c r="X60" i="25"/>
  <c r="X64" i="25"/>
  <c r="X46" i="25"/>
  <c r="X27" i="25"/>
  <c r="AC2" i="25"/>
  <c r="X49" i="25"/>
  <c r="X54" i="25"/>
  <c r="X58" i="25"/>
  <c r="X37" i="25"/>
  <c r="X30" i="25"/>
  <c r="X55" i="25"/>
  <c r="X63" i="25"/>
  <c r="Y2" i="25"/>
  <c r="X51" i="25"/>
  <c r="X47" i="25"/>
  <c r="X35" i="25"/>
  <c r="X38" i="25"/>
  <c r="X28" i="25"/>
  <c r="X57" i="25"/>
  <c r="X61" i="25"/>
  <c r="X65" i="25"/>
  <c r="X29" i="25"/>
  <c r="X36" i="25"/>
  <c r="X52" i="25"/>
  <c r="X39" i="25"/>
  <c r="X48" i="25"/>
  <c r="X62" i="25"/>
  <c r="X32" i="25"/>
  <c r="X33" i="25"/>
  <c r="X59" i="25"/>
  <c r="X102" i="25" s="1"/>
  <c r="X41" i="25"/>
  <c r="X40" i="25"/>
  <c r="X44" i="25"/>
  <c r="X53" i="25"/>
  <c r="X26" i="25"/>
  <c r="X69" i="25" s="1"/>
  <c r="S103" i="25"/>
  <c r="S98" i="25"/>
  <c r="S74" i="25"/>
  <c r="S71" i="25"/>
  <c r="S101" i="25"/>
  <c r="S4" i="25"/>
  <c r="S5" i="25" s="1"/>
  <c r="S87" i="25"/>
  <c r="S92" i="25"/>
  <c r="S108" i="25"/>
  <c r="S94" i="25"/>
  <c r="T44" i="25"/>
  <c r="T47" i="25"/>
  <c r="T51" i="25"/>
  <c r="T31" i="25"/>
  <c r="T55" i="25"/>
  <c r="T59" i="25"/>
  <c r="T63" i="25"/>
  <c r="T34" i="25"/>
  <c r="T37" i="25"/>
  <c r="T33" i="25"/>
  <c r="T26" i="25"/>
  <c r="T69" i="25" s="1"/>
  <c r="U2" i="25"/>
  <c r="T28" i="25"/>
  <c r="T48" i="25"/>
  <c r="T52" i="25"/>
  <c r="T35" i="25"/>
  <c r="T56" i="25"/>
  <c r="T60" i="25"/>
  <c r="T64" i="25"/>
  <c r="T38" i="25"/>
  <c r="T42" i="25"/>
  <c r="T40" i="25"/>
  <c r="T57" i="25"/>
  <c r="T61" i="25"/>
  <c r="T65" i="25"/>
  <c r="T36" i="25"/>
  <c r="T32" i="25"/>
  <c r="T45" i="25"/>
  <c r="T49" i="25"/>
  <c r="T53" i="25"/>
  <c r="T39" i="25"/>
  <c r="T46" i="25"/>
  <c r="T50" i="25"/>
  <c r="T27" i="25"/>
  <c r="T54" i="25"/>
  <c r="T58" i="25"/>
  <c r="T62" i="25"/>
  <c r="T30" i="25"/>
  <c r="T29" i="25"/>
  <c r="T41" i="25"/>
  <c r="S83" i="25"/>
  <c r="S104" i="25"/>
  <c r="S91" i="25"/>
  <c r="D40" i="10"/>
  <c r="G40" i="10" s="1"/>
  <c r="R7" i="13"/>
  <c r="Q53" i="13"/>
  <c r="Q27" i="13"/>
  <c r="S19" i="14"/>
  <c r="S16" i="14"/>
  <c r="S22" i="14"/>
  <c r="R45" i="13"/>
  <c r="R33" i="13"/>
  <c r="S21" i="14"/>
  <c r="S18" i="14"/>
  <c r="R19" i="13"/>
  <c r="R10" i="13"/>
  <c r="T5" i="13"/>
  <c r="E61" i="10" s="1"/>
  <c r="S49" i="13"/>
  <c r="S44" i="13"/>
  <c r="S40" i="13"/>
  <c r="S35" i="13"/>
  <c r="S43" i="13"/>
  <c r="S39" i="13"/>
  <c r="S50" i="13"/>
  <c r="S46" i="13"/>
  <c r="S41" i="13"/>
  <c r="S37" i="13"/>
  <c r="S51" i="13"/>
  <c r="S47" i="13"/>
  <c r="S42" i="13"/>
  <c r="S38" i="13"/>
  <c r="S52" i="13"/>
  <c r="S48" i="13"/>
  <c r="S34" i="13"/>
  <c r="J78" i="16"/>
  <c r="H80" i="16"/>
  <c r="I77" i="16"/>
  <c r="C46" i="10" s="1"/>
  <c r="J77" i="16"/>
  <c r="H77" i="16"/>
  <c r="S22" i="13"/>
  <c r="J82" i="16"/>
  <c r="S11" i="13"/>
  <c r="J79" i="16"/>
  <c r="S26" i="13"/>
  <c r="S8" i="13"/>
  <c r="J83" i="16"/>
  <c r="H82" i="16"/>
  <c r="S16" i="13"/>
  <c r="S17" i="13"/>
  <c r="I84" i="16"/>
  <c r="J80" i="16"/>
  <c r="I78" i="16"/>
  <c r="I79" i="16"/>
  <c r="C48" i="10" s="1"/>
  <c r="K84" i="16"/>
  <c r="S25" i="13"/>
  <c r="K82" i="16"/>
  <c r="S9" i="13"/>
  <c r="K80" i="16"/>
  <c r="S12" i="13"/>
  <c r="S14" i="13"/>
  <c r="I80" i="16"/>
  <c r="S18" i="13"/>
  <c r="S24" i="13"/>
  <c r="H78" i="16"/>
  <c r="H83" i="16"/>
  <c r="H84" i="16"/>
  <c r="S20" i="13"/>
  <c r="K83" i="16"/>
  <c r="K78" i="16"/>
  <c r="S13" i="13"/>
  <c r="K77" i="16"/>
  <c r="E46" i="10" s="1"/>
  <c r="S15" i="13"/>
  <c r="S21" i="13"/>
  <c r="H79" i="16"/>
  <c r="J84" i="16"/>
  <c r="I82" i="16"/>
  <c r="I83" i="16"/>
  <c r="S23" i="13"/>
  <c r="S17" i="14"/>
  <c r="S20" i="14"/>
  <c r="U2" i="14"/>
  <c r="T7" i="14"/>
  <c r="T11" i="14"/>
  <c r="T4" i="14"/>
  <c r="T15" i="14" s="1"/>
  <c r="T8" i="14"/>
  <c r="T5" i="14"/>
  <c r="T10" i="14"/>
  <c r="T9" i="14"/>
  <c r="T6" i="14"/>
  <c r="R36" i="13"/>
  <c r="T89" i="25" l="1"/>
  <c r="J17" i="25"/>
  <c r="J16" i="25"/>
  <c r="X105" i="25"/>
  <c r="J13" i="25"/>
  <c r="AL34" i="13"/>
  <c r="T105" i="25"/>
  <c r="X96" i="25"/>
  <c r="T93" i="25"/>
  <c r="T6" i="25" s="1"/>
  <c r="T82" i="25"/>
  <c r="X94" i="25"/>
  <c r="J18" i="25"/>
  <c r="T72" i="25"/>
  <c r="T75" i="25"/>
  <c r="T91" i="25"/>
  <c r="T88" i="25"/>
  <c r="T96" i="25"/>
  <c r="T103" i="25"/>
  <c r="T90" i="25"/>
  <c r="X100" i="25"/>
  <c r="X98" i="25"/>
  <c r="X97" i="25"/>
  <c r="T97" i="25"/>
  <c r="T101" i="25"/>
  <c r="T7" i="25" s="1"/>
  <c r="T100" i="25"/>
  <c r="T107" i="25"/>
  <c r="J14" i="25"/>
  <c r="X108" i="25"/>
  <c r="T84" i="25"/>
  <c r="X95" i="25"/>
  <c r="X104" i="25"/>
  <c r="X106" i="25"/>
  <c r="X101" i="25"/>
  <c r="X7" i="25" s="1"/>
  <c r="T104" i="25"/>
  <c r="T81" i="25"/>
  <c r="T78" i="25"/>
  <c r="T77" i="25"/>
  <c r="T74" i="25"/>
  <c r="X76" i="25"/>
  <c r="X82" i="25"/>
  <c r="X81" i="25"/>
  <c r="X80" i="25"/>
  <c r="X103" i="25"/>
  <c r="X74" i="25"/>
  <c r="T95" i="25"/>
  <c r="T106" i="25"/>
  <c r="T94" i="25"/>
  <c r="X83" i="25"/>
  <c r="X75" i="25"/>
  <c r="X99" i="25"/>
  <c r="X4" i="25"/>
  <c r="X5" i="25" s="1"/>
  <c r="X87" i="25"/>
  <c r="X92" i="25"/>
  <c r="X78" i="25"/>
  <c r="X70" i="25"/>
  <c r="X88" i="25"/>
  <c r="U44" i="25"/>
  <c r="U45" i="25"/>
  <c r="U49" i="25"/>
  <c r="U53" i="25"/>
  <c r="U57" i="25"/>
  <c r="U61" i="25"/>
  <c r="U65" i="25"/>
  <c r="U27" i="25"/>
  <c r="U38" i="25"/>
  <c r="U29" i="25"/>
  <c r="U46" i="25"/>
  <c r="U50" i="25"/>
  <c r="U54" i="25"/>
  <c r="U58" i="25"/>
  <c r="U62" i="25"/>
  <c r="U28" i="25"/>
  <c r="U31" i="25"/>
  <c r="U41" i="25"/>
  <c r="U37" i="25"/>
  <c r="U33" i="25"/>
  <c r="V2" i="25"/>
  <c r="U56" i="25"/>
  <c r="U64" i="25"/>
  <c r="U26" i="25"/>
  <c r="U69" i="25" s="1"/>
  <c r="Z2" i="25"/>
  <c r="U47" i="25"/>
  <c r="U51" i="25"/>
  <c r="U55" i="25"/>
  <c r="U59" i="25"/>
  <c r="U63" i="25"/>
  <c r="U32" i="25"/>
  <c r="U35" i="25"/>
  <c r="U40" i="25"/>
  <c r="U42" i="25"/>
  <c r="U48" i="25"/>
  <c r="U52" i="25"/>
  <c r="U60" i="25"/>
  <c r="U36" i="25"/>
  <c r="U30" i="25"/>
  <c r="U34" i="25"/>
  <c r="U39" i="25"/>
  <c r="Y44" i="25"/>
  <c r="Y53" i="25"/>
  <c r="Y57" i="25"/>
  <c r="Y61" i="25"/>
  <c r="Y65" i="25"/>
  <c r="Y36" i="25"/>
  <c r="Y26" i="25"/>
  <c r="Y69" i="25" s="1"/>
  <c r="Y46" i="25"/>
  <c r="Y39" i="25"/>
  <c r="Y50" i="25"/>
  <c r="Y54" i="25"/>
  <c r="Y58" i="25"/>
  <c r="Y62" i="25"/>
  <c r="Y27" i="25"/>
  <c r="Y45" i="25"/>
  <c r="Y31" i="25"/>
  <c r="Y29" i="25"/>
  <c r="Y42" i="25"/>
  <c r="Y37" i="25"/>
  <c r="Y51" i="25"/>
  <c r="Y55" i="25"/>
  <c r="Y59" i="25"/>
  <c r="Y63" i="25"/>
  <c r="Y28" i="25"/>
  <c r="Y47" i="25"/>
  <c r="Y90" i="25" s="1"/>
  <c r="Y35" i="25"/>
  <c r="Y48" i="25"/>
  <c r="Y30" i="25"/>
  <c r="Y40" i="25"/>
  <c r="AD2" i="25"/>
  <c r="Y52" i="25"/>
  <c r="Y56" i="25"/>
  <c r="Y60" i="25"/>
  <c r="Y64" i="25"/>
  <c r="Y32" i="25"/>
  <c r="Y49" i="25"/>
  <c r="Y34" i="25"/>
  <c r="Y33" i="25"/>
  <c r="Y38" i="25"/>
  <c r="Y41" i="25"/>
  <c r="AC52" i="25"/>
  <c r="AC47" i="25"/>
  <c r="AC55" i="25"/>
  <c r="AC59" i="25"/>
  <c r="AC63" i="25"/>
  <c r="AC32" i="25"/>
  <c r="AC30" i="25"/>
  <c r="AC33" i="25"/>
  <c r="AC37" i="25"/>
  <c r="AC44" i="25"/>
  <c r="AC53" i="25"/>
  <c r="AC48" i="25"/>
  <c r="AC56" i="25"/>
  <c r="AC60" i="25"/>
  <c r="AC64" i="25"/>
  <c r="AC36" i="25"/>
  <c r="AC38" i="25"/>
  <c r="AC40" i="25"/>
  <c r="AC42" i="25"/>
  <c r="AC50" i="25"/>
  <c r="AC45" i="25"/>
  <c r="AC49" i="25"/>
  <c r="AC57" i="25"/>
  <c r="AC61" i="25"/>
  <c r="AC65" i="25"/>
  <c r="AC31" i="25"/>
  <c r="AC39" i="25"/>
  <c r="AC27" i="25"/>
  <c r="AC34" i="25"/>
  <c r="AH2" i="25"/>
  <c r="AC51" i="25"/>
  <c r="AC46" i="25"/>
  <c r="AC54" i="25"/>
  <c r="AC58" i="25"/>
  <c r="AC101" i="25" s="1"/>
  <c r="AC7" i="25" s="1"/>
  <c r="AC62" i="25"/>
  <c r="AC28" i="25"/>
  <c r="AC35" i="25"/>
  <c r="AC41" i="25"/>
  <c r="AC29" i="25"/>
  <c r="AC26" i="25"/>
  <c r="AC69" i="25" s="1"/>
  <c r="T73" i="25"/>
  <c r="T70" i="25"/>
  <c r="T79" i="25"/>
  <c r="T83" i="25"/>
  <c r="T76" i="25"/>
  <c r="T102" i="25"/>
  <c r="J15" i="25"/>
  <c r="S7" i="25"/>
  <c r="S8" i="25" s="1"/>
  <c r="X84" i="25"/>
  <c r="X79" i="25"/>
  <c r="X90" i="25"/>
  <c r="X89" i="25"/>
  <c r="X85" i="25"/>
  <c r="X93" i="25"/>
  <c r="X6" i="25" s="1"/>
  <c r="T108" i="25"/>
  <c r="T85" i="25"/>
  <c r="T99" i="25"/>
  <c r="T71" i="25"/>
  <c r="T80" i="25"/>
  <c r="T98" i="25"/>
  <c r="T4" i="25"/>
  <c r="T5" i="25" s="1"/>
  <c r="T87" i="25"/>
  <c r="T92" i="25"/>
  <c r="X91" i="25"/>
  <c r="X72" i="25"/>
  <c r="X71" i="25"/>
  <c r="X73" i="25"/>
  <c r="X107" i="25"/>
  <c r="X77" i="25"/>
  <c r="T20" i="14"/>
  <c r="AA17" i="14"/>
  <c r="I81" i="16"/>
  <c r="L79" i="16"/>
  <c r="S33" i="13"/>
  <c r="AG33" i="13" s="1"/>
  <c r="T21" i="14"/>
  <c r="T22" i="14"/>
  <c r="T16" i="14"/>
  <c r="T18" i="14"/>
  <c r="L84" i="16"/>
  <c r="R27" i="13"/>
  <c r="T17" i="14"/>
  <c r="AA19" i="14"/>
  <c r="H76" i="16"/>
  <c r="L77" i="16"/>
  <c r="S36" i="13"/>
  <c r="AB33" i="13" s="1"/>
  <c r="R53" i="13"/>
  <c r="T19" i="14"/>
  <c r="V2" i="14"/>
  <c r="U7" i="14"/>
  <c r="U11" i="14"/>
  <c r="U6" i="14"/>
  <c r="U4" i="14"/>
  <c r="U15" i="14" s="1"/>
  <c r="U8" i="14"/>
  <c r="U5" i="14"/>
  <c r="U9" i="14"/>
  <c r="U10" i="14"/>
  <c r="S10" i="13"/>
  <c r="J76" i="16"/>
  <c r="AA18" i="14"/>
  <c r="H81" i="16"/>
  <c r="L82" i="16"/>
  <c r="L83" i="16"/>
  <c r="S7" i="13"/>
  <c r="J81" i="16"/>
  <c r="I76" i="16"/>
  <c r="AL33" i="13"/>
  <c r="S45" i="13"/>
  <c r="U5" i="13"/>
  <c r="T44" i="13"/>
  <c r="T46" i="13"/>
  <c r="T42" i="13"/>
  <c r="T43" i="13"/>
  <c r="J97" i="16"/>
  <c r="I90" i="16"/>
  <c r="C59" i="10" s="1"/>
  <c r="J91" i="16"/>
  <c r="K93" i="16"/>
  <c r="I96" i="16"/>
  <c r="T17" i="13"/>
  <c r="H91" i="16"/>
  <c r="H90" i="16"/>
  <c r="T12" i="13"/>
  <c r="H96" i="16"/>
  <c r="T18" i="13"/>
  <c r="T15" i="13"/>
  <c r="T35" i="13"/>
  <c r="T47" i="13"/>
  <c r="I97" i="16"/>
  <c r="K91" i="16"/>
  <c r="H95" i="16"/>
  <c r="H93" i="16"/>
  <c r="H92" i="16"/>
  <c r="T13" i="13"/>
  <c r="T40" i="13"/>
  <c r="T41" i="13"/>
  <c r="T38" i="13"/>
  <c r="T52" i="13"/>
  <c r="J92" i="16"/>
  <c r="K97" i="16"/>
  <c r="K90" i="16"/>
  <c r="E59" i="10" s="1"/>
  <c r="J95" i="16"/>
  <c r="J90" i="16"/>
  <c r="T21" i="13"/>
  <c r="J96" i="16"/>
  <c r="T23" i="13"/>
  <c r="T11" i="13"/>
  <c r="T22" i="13"/>
  <c r="T25" i="13"/>
  <c r="T39" i="13"/>
  <c r="T14" i="13"/>
  <c r="T16" i="13"/>
  <c r="T34" i="13"/>
  <c r="T37" i="13"/>
  <c r="T51" i="13"/>
  <c r="T48" i="13"/>
  <c r="K95" i="16"/>
  <c r="I91" i="16"/>
  <c r="I95" i="16"/>
  <c r="I93" i="16"/>
  <c r="I92" i="16"/>
  <c r="C61" i="10" s="1"/>
  <c r="T20" i="13"/>
  <c r="H97" i="16"/>
  <c r="T26" i="13"/>
  <c r="J93" i="16"/>
  <c r="T24" i="13"/>
  <c r="T9" i="13"/>
  <c r="T49" i="13"/>
  <c r="T50" i="13"/>
  <c r="K96" i="16"/>
  <c r="T8" i="13"/>
  <c r="E45" i="10"/>
  <c r="E53" i="10" s="1"/>
  <c r="K76" i="16"/>
  <c r="S19" i="13"/>
  <c r="L78" i="16"/>
  <c r="K81" i="16"/>
  <c r="L80" i="16"/>
  <c r="AL35" i="13" l="1"/>
  <c r="Y80" i="25"/>
  <c r="T8" i="25"/>
  <c r="J102" i="16"/>
  <c r="U98" i="25"/>
  <c r="J19" i="25"/>
  <c r="X8" i="25"/>
  <c r="U105" i="25"/>
  <c r="U106" i="25"/>
  <c r="U95" i="25"/>
  <c r="U94" i="25"/>
  <c r="Y85" i="25"/>
  <c r="U107" i="25"/>
  <c r="Y83" i="25"/>
  <c r="U108" i="25"/>
  <c r="Y81" i="25"/>
  <c r="U78" i="25"/>
  <c r="Y76" i="25"/>
  <c r="Y78" i="25"/>
  <c r="Y70" i="25"/>
  <c r="U75" i="25"/>
  <c r="Y77" i="25"/>
  <c r="Y75" i="25"/>
  <c r="U77" i="25"/>
  <c r="U73" i="25"/>
  <c r="Y91" i="25"/>
  <c r="U93" i="25"/>
  <c r="U6" i="25" s="1"/>
  <c r="Y72" i="25"/>
  <c r="U79" i="25"/>
  <c r="U85" i="25"/>
  <c r="U99" i="25"/>
  <c r="U101" i="25"/>
  <c r="U7" i="25" s="1"/>
  <c r="AC89" i="25"/>
  <c r="Y84" i="25"/>
  <c r="Y73" i="25"/>
  <c r="Y71" i="25"/>
  <c r="U82" i="25"/>
  <c r="U103" i="25"/>
  <c r="U102" i="25"/>
  <c r="U97" i="25"/>
  <c r="U100" i="25"/>
  <c r="AC104" i="25"/>
  <c r="AC93" i="25"/>
  <c r="AC6" i="25" s="1"/>
  <c r="AC8" i="25" s="1"/>
  <c r="AC91" i="25"/>
  <c r="Y74" i="25"/>
  <c r="U83" i="25"/>
  <c r="U74" i="25"/>
  <c r="U81" i="25"/>
  <c r="Y88" i="25"/>
  <c r="Y79" i="25"/>
  <c r="AC71" i="25"/>
  <c r="AC102" i="25"/>
  <c r="Y89" i="25"/>
  <c r="AC70" i="25"/>
  <c r="AC79" i="25"/>
  <c r="AC76" i="25"/>
  <c r="Y94" i="25"/>
  <c r="Y101" i="25"/>
  <c r="Y7" i="25" s="1"/>
  <c r="Y104" i="25"/>
  <c r="Z45" i="25"/>
  <c r="Z49" i="25"/>
  <c r="Z52" i="25"/>
  <c r="Z56" i="25"/>
  <c r="Z60" i="25"/>
  <c r="Z64" i="25"/>
  <c r="Z37" i="25"/>
  <c r="Z36" i="25"/>
  <c r="Z30" i="25"/>
  <c r="Z42" i="25"/>
  <c r="AA2" i="25"/>
  <c r="Z34" i="25"/>
  <c r="AE2" i="25"/>
  <c r="Z50" i="25"/>
  <c r="Z93" i="25" s="1"/>
  <c r="Z6" i="25" s="1"/>
  <c r="Z46" i="25"/>
  <c r="Z26" i="25"/>
  <c r="Z69" i="25" s="1"/>
  <c r="Z53" i="25"/>
  <c r="Z57" i="25"/>
  <c r="Z61" i="25"/>
  <c r="Z65" i="25"/>
  <c r="Z27" i="25"/>
  <c r="Z44" i="25"/>
  <c r="Z38" i="25"/>
  <c r="Z47" i="25"/>
  <c r="Z48" i="25"/>
  <c r="Z51" i="25"/>
  <c r="Z55" i="25"/>
  <c r="Z59" i="25"/>
  <c r="Z63" i="25"/>
  <c r="Z33" i="25"/>
  <c r="Z32" i="25"/>
  <c r="Z40" i="25"/>
  <c r="Z39" i="25"/>
  <c r="Z54" i="25"/>
  <c r="Z28" i="25"/>
  <c r="Z35" i="25"/>
  <c r="Z58" i="25"/>
  <c r="Z62" i="25"/>
  <c r="Z105" i="25" s="1"/>
  <c r="Z31" i="25"/>
  <c r="Z29" i="25"/>
  <c r="Z41" i="25"/>
  <c r="V48" i="25"/>
  <c r="V54" i="25"/>
  <c r="V58" i="25"/>
  <c r="V62" i="25"/>
  <c r="V50" i="25"/>
  <c r="V29" i="25"/>
  <c r="V32" i="25"/>
  <c r="V42" i="25"/>
  <c r="V27" i="25"/>
  <c r="V45" i="25"/>
  <c r="V49" i="25"/>
  <c r="V55" i="25"/>
  <c r="V59" i="25"/>
  <c r="V63" i="25"/>
  <c r="V51" i="25"/>
  <c r="V33" i="25"/>
  <c r="V36" i="25"/>
  <c r="V41" i="25"/>
  <c r="V35" i="25"/>
  <c r="V46" i="25"/>
  <c r="V26" i="25"/>
  <c r="V69" i="25" s="1"/>
  <c r="V56" i="25"/>
  <c r="V60" i="25"/>
  <c r="V64" i="25"/>
  <c r="V52" i="25"/>
  <c r="V37" i="25"/>
  <c r="V31" i="25"/>
  <c r="V30" i="25"/>
  <c r="V34" i="25"/>
  <c r="V47" i="25"/>
  <c r="V44" i="25"/>
  <c r="V57" i="25"/>
  <c r="V61" i="25"/>
  <c r="V65" i="25"/>
  <c r="V53" i="25"/>
  <c r="V28" i="25"/>
  <c r="V40" i="25"/>
  <c r="V38" i="25"/>
  <c r="V39" i="25"/>
  <c r="W2" i="25"/>
  <c r="AC72" i="25"/>
  <c r="AC105" i="25"/>
  <c r="AC94" i="25"/>
  <c r="AC82" i="25"/>
  <c r="AC100" i="25"/>
  <c r="AC85" i="25"/>
  <c r="AC107" i="25"/>
  <c r="AC96" i="25"/>
  <c r="AC73" i="25"/>
  <c r="AC98" i="25"/>
  <c r="Y95" i="25"/>
  <c r="Y106" i="25"/>
  <c r="Y97" i="25"/>
  <c r="Y100" i="25"/>
  <c r="U76" i="25"/>
  <c r="U71" i="25"/>
  <c r="U70" i="25"/>
  <c r="U96" i="25"/>
  <c r="AC84" i="25"/>
  <c r="AH55" i="25"/>
  <c r="AH59" i="25"/>
  <c r="AH63" i="25"/>
  <c r="AH48" i="25"/>
  <c r="AH50" i="25"/>
  <c r="AH28" i="25"/>
  <c r="AH35" i="25"/>
  <c r="AH49" i="25"/>
  <c r="AH31" i="25"/>
  <c r="AH30" i="25"/>
  <c r="AH44" i="25"/>
  <c r="AH56" i="25"/>
  <c r="AH60" i="25"/>
  <c r="AH64" i="25"/>
  <c r="AH29" i="25"/>
  <c r="AH51" i="25"/>
  <c r="AH32" i="25"/>
  <c r="AH40" i="25"/>
  <c r="AH34" i="25"/>
  <c r="AH42" i="25"/>
  <c r="AH26" i="25"/>
  <c r="AH69" i="25" s="1"/>
  <c r="AH57" i="25"/>
  <c r="AH61" i="25"/>
  <c r="AH65" i="25"/>
  <c r="AH33" i="25"/>
  <c r="AH52" i="25"/>
  <c r="AH36" i="25"/>
  <c r="AH27" i="25"/>
  <c r="AH54" i="25"/>
  <c r="AH58" i="25"/>
  <c r="AH62" i="25"/>
  <c r="AH46" i="25"/>
  <c r="AH37" i="25"/>
  <c r="AH53" i="25"/>
  <c r="AH45" i="25"/>
  <c r="AH88" i="25" s="1"/>
  <c r="AH38" i="25"/>
  <c r="AH47" i="25"/>
  <c r="AH41" i="25"/>
  <c r="AH39" i="25"/>
  <c r="AM2" i="25"/>
  <c r="AC74" i="25"/>
  <c r="AC83" i="25"/>
  <c r="AC103" i="25"/>
  <c r="AC4" i="25"/>
  <c r="AC5" i="25" s="1"/>
  <c r="AC87" i="25"/>
  <c r="AC92" i="25"/>
  <c r="AC75" i="25"/>
  <c r="AC90" i="25"/>
  <c r="Y107" i="25"/>
  <c r="AD44" i="25"/>
  <c r="AD53" i="25"/>
  <c r="AD47" i="25"/>
  <c r="AD55" i="25"/>
  <c r="AD59" i="25"/>
  <c r="AD63" i="25"/>
  <c r="AD29" i="25"/>
  <c r="AD32" i="25"/>
  <c r="AD42" i="25"/>
  <c r="AD38" i="25"/>
  <c r="AI2" i="25"/>
  <c r="AD50" i="25"/>
  <c r="AD26" i="25"/>
  <c r="AD69" i="25" s="1"/>
  <c r="AD48" i="25"/>
  <c r="AD56" i="25"/>
  <c r="AD60" i="25"/>
  <c r="AD64" i="25"/>
  <c r="AD33" i="25"/>
  <c r="AD36" i="25"/>
  <c r="AD34" i="25"/>
  <c r="AD39" i="25"/>
  <c r="AD51" i="25"/>
  <c r="AD45" i="25"/>
  <c r="AD49" i="25"/>
  <c r="AD57" i="25"/>
  <c r="AD61" i="25"/>
  <c r="AD65" i="25"/>
  <c r="AD37" i="25"/>
  <c r="AD31" i="25"/>
  <c r="AD41" i="25"/>
  <c r="AD35" i="25"/>
  <c r="AD52" i="25"/>
  <c r="AD46" i="25"/>
  <c r="AD54" i="25"/>
  <c r="AD58" i="25"/>
  <c r="AD62" i="25"/>
  <c r="AD27" i="25"/>
  <c r="AD28" i="25"/>
  <c r="AD40" i="25"/>
  <c r="AD30" i="25"/>
  <c r="Y102" i="25"/>
  <c r="Y93" i="25"/>
  <c r="Y6" i="25" s="1"/>
  <c r="Y8" i="25" s="1"/>
  <c r="Y96" i="25"/>
  <c r="U91" i="25"/>
  <c r="U80" i="25"/>
  <c r="U89" i="25"/>
  <c r="Y99" i="25"/>
  <c r="U4" i="25"/>
  <c r="U5" i="25" s="1"/>
  <c r="U92" i="25"/>
  <c r="U87" i="25"/>
  <c r="AC78" i="25"/>
  <c r="AC97" i="25"/>
  <c r="AC77" i="25"/>
  <c r="AC108" i="25"/>
  <c r="AC88" i="25"/>
  <c r="AC81" i="25"/>
  <c r="AC99" i="25"/>
  <c r="AC80" i="25"/>
  <c r="AC106" i="25"/>
  <c r="AC95" i="25"/>
  <c r="Y103" i="25"/>
  <c r="Y98" i="25"/>
  <c r="Y105" i="25"/>
  <c r="Y82" i="25"/>
  <c r="Y108" i="25"/>
  <c r="Y4" i="25"/>
  <c r="Y5" i="25" s="1"/>
  <c r="Y92" i="25"/>
  <c r="Y87" i="25"/>
  <c r="U90" i="25"/>
  <c r="U84" i="25"/>
  <c r="U72" i="25"/>
  <c r="U104" i="25"/>
  <c r="U88" i="25"/>
  <c r="I85" i="16"/>
  <c r="AA20" i="14"/>
  <c r="AG34" i="13"/>
  <c r="AG35" i="13" s="1"/>
  <c r="U21" i="14"/>
  <c r="AB35" i="13"/>
  <c r="S27" i="13"/>
  <c r="AB8" i="13" s="1"/>
  <c r="AB37" i="13"/>
  <c r="S53" i="13"/>
  <c r="AB36" i="13"/>
  <c r="U16" i="14"/>
  <c r="U19" i="14"/>
  <c r="U20" i="14"/>
  <c r="T7" i="13"/>
  <c r="U22" i="14"/>
  <c r="U18" i="14"/>
  <c r="AB38" i="13"/>
  <c r="U17" i="14"/>
  <c r="K85" i="16"/>
  <c r="T33" i="13"/>
  <c r="AB34" i="13"/>
  <c r="L97" i="16"/>
  <c r="I94" i="16"/>
  <c r="L93" i="16"/>
  <c r="L96" i="16"/>
  <c r="L81" i="16"/>
  <c r="T19" i="13"/>
  <c r="T36" i="13"/>
  <c r="T10" i="13"/>
  <c r="J89" i="16"/>
  <c r="H94" i="16"/>
  <c r="L95" i="16"/>
  <c r="H85" i="16"/>
  <c r="L76" i="16"/>
  <c r="K94" i="16"/>
  <c r="J94" i="16"/>
  <c r="L90" i="16"/>
  <c r="H89" i="16"/>
  <c r="V5" i="13"/>
  <c r="U50" i="13"/>
  <c r="U46" i="13"/>
  <c r="U41" i="13"/>
  <c r="U37" i="13"/>
  <c r="U35" i="13"/>
  <c r="U51" i="13"/>
  <c r="U47" i="13"/>
  <c r="U42" i="13"/>
  <c r="U38" i="13"/>
  <c r="U49" i="13"/>
  <c r="U44" i="13"/>
  <c r="U40" i="13"/>
  <c r="U52" i="13"/>
  <c r="U48" i="13"/>
  <c r="U43" i="13"/>
  <c r="U39" i="13"/>
  <c r="U34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W2" i="14"/>
  <c r="V4" i="14"/>
  <c r="V15" i="14" s="1"/>
  <c r="V8" i="14"/>
  <c r="V7" i="14"/>
  <c r="V5" i="14"/>
  <c r="V9" i="14"/>
  <c r="V11" i="14"/>
  <c r="V6" i="14"/>
  <c r="V10" i="14"/>
  <c r="C58" i="10"/>
  <c r="C66" i="10" s="1"/>
  <c r="I89" i="16"/>
  <c r="T45" i="13"/>
  <c r="E58" i="10"/>
  <c r="E66" i="10" s="1"/>
  <c r="K89" i="16"/>
  <c r="L92" i="16"/>
  <c r="L91" i="16"/>
  <c r="C45" i="10"/>
  <c r="J85" i="16"/>
  <c r="AH96" i="25" l="1"/>
  <c r="AH100" i="25"/>
  <c r="K107" i="16"/>
  <c r="L105" i="16"/>
  <c r="L109" i="16"/>
  <c r="L106" i="16"/>
  <c r="L108" i="16"/>
  <c r="H107" i="16"/>
  <c r="L110" i="16"/>
  <c r="L103" i="16"/>
  <c r="H102" i="16"/>
  <c r="J107" i="16"/>
  <c r="J111" i="16" s="1"/>
  <c r="I102" i="16"/>
  <c r="K102" i="16"/>
  <c r="L104" i="16"/>
  <c r="I107" i="16"/>
  <c r="AH80" i="25"/>
  <c r="K98" i="16"/>
  <c r="U33" i="13"/>
  <c r="Z98" i="25"/>
  <c r="AH101" i="25"/>
  <c r="AH7" i="25" s="1"/>
  <c r="AH108" i="25"/>
  <c r="AH99" i="25"/>
  <c r="AD105" i="25"/>
  <c r="AH76" i="25"/>
  <c r="AD70" i="25"/>
  <c r="V96" i="25"/>
  <c r="AD89" i="25"/>
  <c r="AD82" i="25"/>
  <c r="AD74" i="25"/>
  <c r="Z72" i="25"/>
  <c r="AD95" i="25"/>
  <c r="V100" i="25"/>
  <c r="Z78" i="25"/>
  <c r="V108" i="25"/>
  <c r="Z74" i="25"/>
  <c r="AH105" i="25"/>
  <c r="Z71" i="25"/>
  <c r="Z81" i="25"/>
  <c r="Z94" i="25"/>
  <c r="V77" i="25"/>
  <c r="Z97" i="25"/>
  <c r="Z82" i="25"/>
  <c r="V103" i="25"/>
  <c r="V104" i="25"/>
  <c r="AH94" i="25"/>
  <c r="V94" i="25"/>
  <c r="Z83" i="25"/>
  <c r="Z75" i="25"/>
  <c r="Z104" i="25"/>
  <c r="AH95" i="25"/>
  <c r="V83" i="25"/>
  <c r="V95" i="25"/>
  <c r="V102" i="25"/>
  <c r="Z76" i="25"/>
  <c r="Z100" i="25"/>
  <c r="Z107" i="25"/>
  <c r="Z84" i="25"/>
  <c r="U8" i="25"/>
  <c r="AD100" i="25"/>
  <c r="AH84" i="25"/>
  <c r="AD71" i="25"/>
  <c r="AH82" i="25"/>
  <c r="AD101" i="25"/>
  <c r="AD7" i="25" s="1"/>
  <c r="AH81" i="25"/>
  <c r="AH90" i="25"/>
  <c r="AH97" i="25"/>
  <c r="V107" i="25"/>
  <c r="Z101" i="25"/>
  <c r="Z7" i="25" s="1"/>
  <c r="Z8" i="25" s="1"/>
  <c r="AH89" i="25"/>
  <c r="Z102" i="25"/>
  <c r="AD73" i="25"/>
  <c r="AD80" i="25"/>
  <c r="V71" i="25"/>
  <c r="Z106" i="25"/>
  <c r="Z96" i="25"/>
  <c r="Z103" i="25"/>
  <c r="AD83" i="25"/>
  <c r="AD78" i="25"/>
  <c r="AD88" i="25"/>
  <c r="AD90" i="25"/>
  <c r="AH91" i="25"/>
  <c r="V82" i="25"/>
  <c r="Z108" i="25"/>
  <c r="D52" i="10"/>
  <c r="G52" i="10" s="1"/>
  <c r="D46" i="10"/>
  <c r="D49" i="10"/>
  <c r="G49" i="10" s="1"/>
  <c r="M10" i="10" s="1"/>
  <c r="D51" i="10"/>
  <c r="D48" i="10"/>
  <c r="D47" i="10"/>
  <c r="G47" i="10" s="1"/>
  <c r="V74" i="25"/>
  <c r="Z90" i="25"/>
  <c r="Z99" i="25"/>
  <c r="AD97" i="25"/>
  <c r="AD84" i="25"/>
  <c r="AD104" i="25"/>
  <c r="AD94" i="25"/>
  <c r="AD76" i="25"/>
  <c r="AD91" i="25"/>
  <c r="AD81" i="25"/>
  <c r="AD106" i="25"/>
  <c r="AD96" i="25"/>
  <c r="AH104" i="25"/>
  <c r="V81" i="25"/>
  <c r="V99" i="25"/>
  <c r="Z95" i="25"/>
  <c r="AD77" i="25"/>
  <c r="AH103" i="25"/>
  <c r="AH93" i="25"/>
  <c r="AH6" i="25" s="1"/>
  <c r="V73" i="25"/>
  <c r="V98" i="25"/>
  <c r="Z91" i="25"/>
  <c r="Z70" i="25"/>
  <c r="AD107" i="25"/>
  <c r="AD85" i="25"/>
  <c r="AD102" i="25"/>
  <c r="AD4" i="25"/>
  <c r="AD5" i="25" s="1"/>
  <c r="AD92" i="25"/>
  <c r="AD87" i="25"/>
  <c r="AH83" i="25"/>
  <c r="AH107" i="25"/>
  <c r="AH73" i="25"/>
  <c r="AH71" i="25"/>
  <c r="AH102" i="25"/>
  <c r="V79" i="25"/>
  <c r="V70" i="25"/>
  <c r="V93" i="25"/>
  <c r="V6" i="25" s="1"/>
  <c r="V91" i="25"/>
  <c r="Z4" i="25"/>
  <c r="Z5" i="25" s="1"/>
  <c r="Z87" i="25"/>
  <c r="Z92" i="25"/>
  <c r="Z85" i="25"/>
  <c r="AD103" i="25"/>
  <c r="AD93" i="25"/>
  <c r="AD6" i="25" s="1"/>
  <c r="AD75" i="25"/>
  <c r="AD98" i="25"/>
  <c r="AH75" i="25"/>
  <c r="AH74" i="25"/>
  <c r="AH98" i="25"/>
  <c r="W46" i="25"/>
  <c r="W44" i="25"/>
  <c r="W34" i="25"/>
  <c r="W52" i="25"/>
  <c r="W37" i="25"/>
  <c r="W57" i="25"/>
  <c r="W61" i="25"/>
  <c r="W65" i="25"/>
  <c r="W42" i="25"/>
  <c r="W36" i="25"/>
  <c r="W47" i="25"/>
  <c r="W27" i="25"/>
  <c r="W38" i="25"/>
  <c r="W53" i="25"/>
  <c r="W54" i="25"/>
  <c r="W58" i="25"/>
  <c r="W62" i="25"/>
  <c r="W32" i="25"/>
  <c r="W31" i="25"/>
  <c r="W35" i="25"/>
  <c r="AB2" i="25"/>
  <c r="W45" i="25"/>
  <c r="W30" i="25"/>
  <c r="W33" i="25"/>
  <c r="W60" i="25"/>
  <c r="W41" i="25"/>
  <c r="W63" i="25"/>
  <c r="W48" i="25"/>
  <c r="W50" i="25"/>
  <c r="W55" i="25"/>
  <c r="W49" i="25"/>
  <c r="W51" i="25"/>
  <c r="W56" i="25"/>
  <c r="W64" i="25"/>
  <c r="W28" i="25"/>
  <c r="W26" i="25"/>
  <c r="W69" i="25" s="1"/>
  <c r="W29" i="25"/>
  <c r="W59" i="25"/>
  <c r="W39" i="25"/>
  <c r="W40" i="25"/>
  <c r="V89" i="25"/>
  <c r="V76" i="25"/>
  <c r="V85" i="25"/>
  <c r="V105" i="25"/>
  <c r="AE46" i="25"/>
  <c r="AE44" i="25"/>
  <c r="AE52" i="25"/>
  <c r="AE34" i="25"/>
  <c r="AE37" i="25"/>
  <c r="AE42" i="25"/>
  <c r="AE55" i="25"/>
  <c r="AE59" i="25"/>
  <c r="AE63" i="25"/>
  <c r="AE36" i="25"/>
  <c r="AE47" i="25"/>
  <c r="AE27" i="25"/>
  <c r="AE53" i="25"/>
  <c r="AE38" i="25"/>
  <c r="AE32" i="25"/>
  <c r="AE31" i="25"/>
  <c r="AE56" i="25"/>
  <c r="AE60" i="25"/>
  <c r="AE64" i="25"/>
  <c r="AE39" i="25"/>
  <c r="AE48" i="25"/>
  <c r="AE50" i="25"/>
  <c r="AE26" i="25"/>
  <c r="AE69" i="25" s="1"/>
  <c r="AE29" i="25"/>
  <c r="AE41" i="25"/>
  <c r="AE40" i="25"/>
  <c r="AE57" i="25"/>
  <c r="AE61" i="25"/>
  <c r="AE65" i="25"/>
  <c r="AE45" i="25"/>
  <c r="AE49" i="25"/>
  <c r="AE51" i="25"/>
  <c r="AE30" i="25"/>
  <c r="AE33" i="25"/>
  <c r="AE35" i="25"/>
  <c r="AE54" i="25"/>
  <c r="AE58" i="25"/>
  <c r="AE62" i="25"/>
  <c r="AE28" i="25"/>
  <c r="AJ2" i="25"/>
  <c r="Z73" i="25"/>
  <c r="Z88" i="25"/>
  <c r="AD108" i="25"/>
  <c r="AD79" i="25"/>
  <c r="AD99" i="25"/>
  <c r="AI48" i="25"/>
  <c r="AI51" i="25"/>
  <c r="AI26" i="25"/>
  <c r="AI69" i="25" s="1"/>
  <c r="AI57" i="25"/>
  <c r="AI61" i="25"/>
  <c r="AI65" i="25"/>
  <c r="AI29" i="25"/>
  <c r="AI36" i="25"/>
  <c r="AI32" i="25"/>
  <c r="AI45" i="25"/>
  <c r="AI49" i="25"/>
  <c r="AI52" i="25"/>
  <c r="AI54" i="25"/>
  <c r="AI58" i="25"/>
  <c r="AI62" i="25"/>
  <c r="AI30" i="25"/>
  <c r="AI33" i="25"/>
  <c r="AI41" i="25"/>
  <c r="AI39" i="25"/>
  <c r="AI46" i="25"/>
  <c r="AI44" i="25"/>
  <c r="AI53" i="25"/>
  <c r="AI55" i="25"/>
  <c r="AI59" i="25"/>
  <c r="AI63" i="25"/>
  <c r="AI34" i="25"/>
  <c r="AI37" i="25"/>
  <c r="AI35" i="25"/>
  <c r="AI31" i="25"/>
  <c r="AI47" i="25"/>
  <c r="AI50" i="25"/>
  <c r="AI27" i="25"/>
  <c r="AI56" i="25"/>
  <c r="AI60" i="25"/>
  <c r="AI64" i="25"/>
  <c r="AI38" i="25"/>
  <c r="AI28" i="25"/>
  <c r="AI40" i="25"/>
  <c r="AI42" i="25"/>
  <c r="AD72" i="25"/>
  <c r="AM47" i="25"/>
  <c r="AM27" i="25"/>
  <c r="AM38" i="25"/>
  <c r="AM54" i="25"/>
  <c r="AM58" i="25"/>
  <c r="AM62" i="25"/>
  <c r="AM32" i="25"/>
  <c r="AM51" i="25"/>
  <c r="AM28" i="25"/>
  <c r="AM35" i="25"/>
  <c r="AM48" i="25"/>
  <c r="AM26" i="25"/>
  <c r="AM69" i="25" s="1"/>
  <c r="AM29" i="25"/>
  <c r="AM55" i="25"/>
  <c r="AM59" i="25"/>
  <c r="AM63" i="25"/>
  <c r="AM41" i="25"/>
  <c r="AM53" i="25"/>
  <c r="AM36" i="25"/>
  <c r="AM45" i="25"/>
  <c r="AM49" i="25"/>
  <c r="AM30" i="25"/>
  <c r="AM33" i="25"/>
  <c r="AM56" i="25"/>
  <c r="AM60" i="25"/>
  <c r="AM64" i="25"/>
  <c r="AM50" i="25"/>
  <c r="AM31" i="25"/>
  <c r="AM39" i="25"/>
  <c r="AM46" i="25"/>
  <c r="AM44" i="25"/>
  <c r="AM34" i="25"/>
  <c r="AM37" i="25"/>
  <c r="AM57" i="25"/>
  <c r="AM61" i="25"/>
  <c r="AM65" i="25"/>
  <c r="AM42" i="25"/>
  <c r="AM40" i="25"/>
  <c r="AM52" i="25"/>
  <c r="AH70" i="25"/>
  <c r="AH85" i="25"/>
  <c r="V4" i="25"/>
  <c r="V5" i="25" s="1"/>
  <c r="V87" i="25"/>
  <c r="V92" i="25"/>
  <c r="V78" i="25"/>
  <c r="V75" i="25"/>
  <c r="V101" i="25"/>
  <c r="V7" i="25" s="1"/>
  <c r="Z77" i="25"/>
  <c r="Z79" i="25"/>
  <c r="AH79" i="25"/>
  <c r="AH77" i="25"/>
  <c r="AH72" i="25"/>
  <c r="AH4" i="25"/>
  <c r="AH5" i="25" s="1"/>
  <c r="AH92" i="25"/>
  <c r="AH87" i="25"/>
  <c r="AH78" i="25"/>
  <c r="AH106" i="25"/>
  <c r="V90" i="25"/>
  <c r="V80" i="25"/>
  <c r="V84" i="25"/>
  <c r="V106" i="25"/>
  <c r="V88" i="25"/>
  <c r="V72" i="25"/>
  <c r="V97" i="25"/>
  <c r="Z89" i="25"/>
  <c r="AA45" i="25"/>
  <c r="AA49" i="25"/>
  <c r="AA55" i="25"/>
  <c r="AA59" i="25"/>
  <c r="AA63" i="25"/>
  <c r="AA34" i="25"/>
  <c r="AA37" i="25"/>
  <c r="AA36" i="25"/>
  <c r="AA44" i="25"/>
  <c r="AA53" i="25"/>
  <c r="AA46" i="25"/>
  <c r="AA27" i="25"/>
  <c r="AA56" i="25"/>
  <c r="AA60" i="25"/>
  <c r="AA64" i="25"/>
  <c r="AA38" i="25"/>
  <c r="AA50" i="25"/>
  <c r="AA41" i="25"/>
  <c r="AA35" i="25"/>
  <c r="AA32" i="25"/>
  <c r="AF2" i="25"/>
  <c r="AA47" i="25"/>
  <c r="AA48" i="25"/>
  <c r="AA54" i="25"/>
  <c r="AA58" i="25"/>
  <c r="AA62" i="25"/>
  <c r="AA30" i="25"/>
  <c r="AA33" i="25"/>
  <c r="AA28" i="25"/>
  <c r="AA39" i="25"/>
  <c r="AA51" i="25"/>
  <c r="AA26" i="25"/>
  <c r="AA69" i="25" s="1"/>
  <c r="AA29" i="25"/>
  <c r="AA42" i="25"/>
  <c r="AA57" i="25"/>
  <c r="AA52" i="25"/>
  <c r="AA61" i="25"/>
  <c r="AA31" i="25"/>
  <c r="AA65" i="25"/>
  <c r="AA40" i="25"/>
  <c r="Z80" i="25"/>
  <c r="T53" i="13"/>
  <c r="I98" i="16"/>
  <c r="AB39" i="13"/>
  <c r="T27" i="13"/>
  <c r="J98" i="16"/>
  <c r="U36" i="13"/>
  <c r="W5" i="13"/>
  <c r="V51" i="13"/>
  <c r="V47" i="13"/>
  <c r="V42" i="13"/>
  <c r="V38" i="13"/>
  <c r="V50" i="13"/>
  <c r="V46" i="13"/>
  <c r="V41" i="13"/>
  <c r="V37" i="13"/>
  <c r="V52" i="13"/>
  <c r="V48" i="13"/>
  <c r="V43" i="13"/>
  <c r="V39" i="13"/>
  <c r="V34" i="13"/>
  <c r="V49" i="13"/>
  <c r="V44" i="13"/>
  <c r="V40" i="13"/>
  <c r="V35" i="13"/>
  <c r="V8" i="13"/>
  <c r="V11" i="13"/>
  <c r="V13" i="13"/>
  <c r="V15" i="13"/>
  <c r="V17" i="13"/>
  <c r="V20" i="13"/>
  <c r="V22" i="13"/>
  <c r="V24" i="13"/>
  <c r="V26" i="13"/>
  <c r="V16" i="13"/>
  <c r="V25" i="13"/>
  <c r="V14" i="13"/>
  <c r="V9" i="13"/>
  <c r="V18" i="13"/>
  <c r="V12" i="13"/>
  <c r="V21" i="13"/>
  <c r="V23" i="13"/>
  <c r="V21" i="14"/>
  <c r="V16" i="14"/>
  <c r="W4" i="14"/>
  <c r="W15" i="14" s="1"/>
  <c r="W8" i="14"/>
  <c r="W7" i="14"/>
  <c r="W5" i="14"/>
  <c r="W9" i="14"/>
  <c r="W11" i="14"/>
  <c r="W6" i="14"/>
  <c r="W10" i="14"/>
  <c r="U19" i="13"/>
  <c r="U10" i="13"/>
  <c r="L89" i="16"/>
  <c r="H98" i="16"/>
  <c r="L94" i="16"/>
  <c r="V20" i="14"/>
  <c r="V17" i="14"/>
  <c r="V18" i="14"/>
  <c r="U7" i="13"/>
  <c r="U45" i="13"/>
  <c r="L85" i="16"/>
  <c r="C53" i="10"/>
  <c r="V22" i="14"/>
  <c r="V19" i="14"/>
  <c r="AH8" i="25" l="1"/>
  <c r="K111" i="16"/>
  <c r="I111" i="16"/>
  <c r="H111" i="16"/>
  <c r="AI78" i="25"/>
  <c r="AI73" i="25"/>
  <c r="L107" i="16"/>
  <c r="L102" i="16"/>
  <c r="AE71" i="25"/>
  <c r="AI85" i="25"/>
  <c r="AE78" i="25"/>
  <c r="AI80" i="25"/>
  <c r="AI81" i="25"/>
  <c r="AI70" i="25"/>
  <c r="AI82" i="25"/>
  <c r="AD8" i="25"/>
  <c r="AA105" i="25"/>
  <c r="W91" i="25"/>
  <c r="AA72" i="25"/>
  <c r="AI90" i="25"/>
  <c r="W90" i="25"/>
  <c r="AM103" i="25"/>
  <c r="W88" i="25"/>
  <c r="AI107" i="25"/>
  <c r="AA94" i="25"/>
  <c r="AM100" i="25"/>
  <c r="AI105" i="25"/>
  <c r="AA71" i="25"/>
  <c r="AE90" i="25"/>
  <c r="AA83" i="25"/>
  <c r="AA108" i="25"/>
  <c r="AA107" i="25"/>
  <c r="AM77" i="25"/>
  <c r="AI102" i="25"/>
  <c r="AE91" i="25"/>
  <c r="L98" i="16"/>
  <c r="AI98" i="25"/>
  <c r="AE88" i="25"/>
  <c r="AA103" i="25"/>
  <c r="AA100" i="25"/>
  <c r="AM74" i="25"/>
  <c r="AI79" i="25"/>
  <c r="AA96" i="25"/>
  <c r="AI93" i="25"/>
  <c r="AI6" i="25" s="1"/>
  <c r="AE105" i="25"/>
  <c r="AE76" i="25"/>
  <c r="W102" i="25"/>
  <c r="W107" i="25"/>
  <c r="AM79" i="25"/>
  <c r="W83" i="25"/>
  <c r="U53" i="13"/>
  <c r="AA104" i="25"/>
  <c r="AA101" i="25"/>
  <c r="AA7" i="25" s="1"/>
  <c r="AA93" i="25"/>
  <c r="AA6" i="25" s="1"/>
  <c r="AM83" i="25"/>
  <c r="AI83" i="25"/>
  <c r="AI103" i="25"/>
  <c r="AI77" i="25"/>
  <c r="AI96" i="25"/>
  <c r="AI84" i="25"/>
  <c r="AM76" i="25"/>
  <c r="AI72" i="25"/>
  <c r="AA95" i="25"/>
  <c r="AM85" i="25"/>
  <c r="AM80" i="25"/>
  <c r="AM82" i="25"/>
  <c r="AI71" i="25"/>
  <c r="AI99" i="25"/>
  <c r="AI74" i="25"/>
  <c r="AI106" i="25"/>
  <c r="AI76" i="25"/>
  <c r="AI95" i="25"/>
  <c r="AA99" i="25"/>
  <c r="AA106" i="25"/>
  <c r="AM89" i="25"/>
  <c r="AM73" i="25"/>
  <c r="AM78" i="25"/>
  <c r="AM70" i="25"/>
  <c r="AI101" i="25"/>
  <c r="AI7" i="25" s="1"/>
  <c r="AI108" i="25"/>
  <c r="AI94" i="25"/>
  <c r="AA97" i="25"/>
  <c r="AA102" i="25"/>
  <c r="AM84" i="25"/>
  <c r="AM72" i="25"/>
  <c r="AM71" i="25"/>
  <c r="AI97" i="25"/>
  <c r="AI75" i="25"/>
  <c r="AI104" i="25"/>
  <c r="D64" i="10"/>
  <c r="G64" i="10" s="1"/>
  <c r="D65" i="10"/>
  <c r="G65" i="10" s="1"/>
  <c r="D62" i="10"/>
  <c r="G62" i="10" s="1"/>
  <c r="D60" i="10"/>
  <c r="G60" i="10" s="1"/>
  <c r="D59" i="10"/>
  <c r="G59" i="10" s="1"/>
  <c r="D61" i="10"/>
  <c r="G61" i="10" s="1"/>
  <c r="AE101" i="25"/>
  <c r="AE7" i="25" s="1"/>
  <c r="AE73" i="25"/>
  <c r="AE83" i="25"/>
  <c r="AA74" i="25"/>
  <c r="AA85" i="25"/>
  <c r="AA82" i="25"/>
  <c r="AA90" i="25"/>
  <c r="AA84" i="25"/>
  <c r="AA77" i="25"/>
  <c r="AM95" i="25"/>
  <c r="AM104" i="25"/>
  <c r="AM4" i="25"/>
  <c r="AM5" i="25" s="1"/>
  <c r="AM87" i="25"/>
  <c r="AM92" i="25"/>
  <c r="AM93" i="25"/>
  <c r="AM102" i="25"/>
  <c r="AM91" i="25"/>
  <c r="AM75" i="25"/>
  <c r="AM81" i="25"/>
  <c r="AJ51" i="25"/>
  <c r="AJ27" i="25"/>
  <c r="AJ48" i="25"/>
  <c r="AJ57" i="25"/>
  <c r="AJ61" i="25"/>
  <c r="AJ65" i="25"/>
  <c r="AJ26" i="25"/>
  <c r="AJ69" i="25" s="1"/>
  <c r="AJ39" i="25"/>
  <c r="AJ41" i="25"/>
  <c r="AJ32" i="25"/>
  <c r="AJ52" i="25"/>
  <c r="AJ31" i="25"/>
  <c r="AJ54" i="25"/>
  <c r="AJ58" i="25"/>
  <c r="AJ62" i="25"/>
  <c r="AJ30" i="25"/>
  <c r="AJ29" i="25"/>
  <c r="AJ45" i="25"/>
  <c r="AJ33" i="25"/>
  <c r="AJ49" i="25"/>
  <c r="AJ53" i="25"/>
  <c r="AJ35" i="25"/>
  <c r="AJ55" i="25"/>
  <c r="AJ59" i="25"/>
  <c r="AJ63" i="25"/>
  <c r="AJ34" i="25"/>
  <c r="AJ37" i="25"/>
  <c r="AJ28" i="25"/>
  <c r="AJ40" i="25"/>
  <c r="AJ46" i="25"/>
  <c r="AJ38" i="25"/>
  <c r="AJ42" i="25"/>
  <c r="AJ47" i="25"/>
  <c r="AJ50" i="25"/>
  <c r="AJ44" i="25"/>
  <c r="AJ56" i="25"/>
  <c r="AJ60" i="25"/>
  <c r="AJ64" i="25"/>
  <c r="AJ36" i="25"/>
  <c r="AE97" i="25"/>
  <c r="AE94" i="25"/>
  <c r="AE104" i="25"/>
  <c r="AE72" i="25"/>
  <c r="AE82" i="25"/>
  <c r="AE74" i="25"/>
  <c r="AE70" i="25"/>
  <c r="AE102" i="25"/>
  <c r="AE77" i="25"/>
  <c r="W94" i="25"/>
  <c r="W76" i="25"/>
  <c r="W78" i="25"/>
  <c r="W101" i="25"/>
  <c r="W7" i="25" s="1"/>
  <c r="W70" i="25"/>
  <c r="W108" i="25"/>
  <c r="W95" i="25"/>
  <c r="AF46" i="25"/>
  <c r="AF44" i="25"/>
  <c r="AF53" i="25"/>
  <c r="AF27" i="25"/>
  <c r="AF33" i="25"/>
  <c r="AF56" i="25"/>
  <c r="AF60" i="25"/>
  <c r="AF64" i="25"/>
  <c r="AF41" i="25"/>
  <c r="AF28" i="25"/>
  <c r="AF47" i="25"/>
  <c r="AF50" i="25"/>
  <c r="AF26" i="25"/>
  <c r="AF69" i="25" s="1"/>
  <c r="AF30" i="25"/>
  <c r="AF42" i="25"/>
  <c r="AF57" i="25"/>
  <c r="AF61" i="25"/>
  <c r="AF65" i="25"/>
  <c r="AF29" i="25"/>
  <c r="AF39" i="25"/>
  <c r="AK2" i="25"/>
  <c r="AF48" i="25"/>
  <c r="AF51" i="25"/>
  <c r="AF31" i="25"/>
  <c r="AF34" i="25"/>
  <c r="AF54" i="25"/>
  <c r="AF58" i="25"/>
  <c r="AF62" i="25"/>
  <c r="AF36" i="25"/>
  <c r="AF37" i="25"/>
  <c r="AF45" i="25"/>
  <c r="AF49" i="25"/>
  <c r="AF52" i="25"/>
  <c r="AF35" i="25"/>
  <c r="AF38" i="25"/>
  <c r="AF55" i="25"/>
  <c r="AF59" i="25"/>
  <c r="AF63" i="25"/>
  <c r="AF32" i="25"/>
  <c r="AF40" i="25"/>
  <c r="AA4" i="25"/>
  <c r="AA5" i="25" s="1"/>
  <c r="AA87" i="25"/>
  <c r="AA92" i="25"/>
  <c r="AA88" i="25"/>
  <c r="AM107" i="25"/>
  <c r="AM96" i="25"/>
  <c r="AM98" i="25"/>
  <c r="AM105" i="25"/>
  <c r="AI88" i="25"/>
  <c r="AE100" i="25"/>
  <c r="AE107" i="25"/>
  <c r="AE75" i="25"/>
  <c r="AE98" i="25"/>
  <c r="AE95" i="25"/>
  <c r="W82" i="25"/>
  <c r="W71" i="25"/>
  <c r="W106" i="25"/>
  <c r="W73" i="25"/>
  <c r="W74" i="25"/>
  <c r="W97" i="25"/>
  <c r="W104" i="25"/>
  <c r="W77" i="25"/>
  <c r="AA76" i="25"/>
  <c r="AA75" i="25"/>
  <c r="AA81" i="25"/>
  <c r="AA70" i="25"/>
  <c r="AA79" i="25"/>
  <c r="AM101" i="25"/>
  <c r="AM90" i="25"/>
  <c r="AI4" i="25"/>
  <c r="AI5" i="25" s="1"/>
  <c r="AI87" i="25"/>
  <c r="AI92" i="25"/>
  <c r="AI91" i="25"/>
  <c r="AE93" i="25"/>
  <c r="AE6" i="25" s="1"/>
  <c r="AE103" i="25"/>
  <c r="AE81" i="25"/>
  <c r="AE79" i="25"/>
  <c r="AE85" i="25"/>
  <c r="AE4" i="25"/>
  <c r="AE5" i="25" s="1"/>
  <c r="AE87" i="25"/>
  <c r="AE92" i="25"/>
  <c r="W98" i="25"/>
  <c r="W84" i="25"/>
  <c r="W75" i="25"/>
  <c r="W96" i="25"/>
  <c r="W79" i="25"/>
  <c r="W100" i="25"/>
  <c r="W4" i="25"/>
  <c r="W5" i="25" s="1"/>
  <c r="W92" i="25"/>
  <c r="W87" i="25"/>
  <c r="V8" i="25"/>
  <c r="AA73" i="25"/>
  <c r="AA91" i="25"/>
  <c r="AA78" i="25"/>
  <c r="AA89" i="25"/>
  <c r="AA80" i="25"/>
  <c r="AA98" i="25"/>
  <c r="AM108" i="25"/>
  <c r="AM99" i="25"/>
  <c r="AM88" i="25"/>
  <c r="AM106" i="25"/>
  <c r="AM94" i="25"/>
  <c r="AM97" i="25"/>
  <c r="AI89" i="25"/>
  <c r="AI100" i="25"/>
  <c r="AE108" i="25"/>
  <c r="AE84" i="25"/>
  <c r="AE99" i="25"/>
  <c r="AE96" i="25"/>
  <c r="AE106" i="25"/>
  <c r="AE80" i="25"/>
  <c r="AE89" i="25"/>
  <c r="W72" i="25"/>
  <c r="W99" i="25"/>
  <c r="W93" i="25"/>
  <c r="W6" i="25" s="1"/>
  <c r="W103" i="25"/>
  <c r="AB46" i="25"/>
  <c r="AB31" i="25"/>
  <c r="AB55" i="25"/>
  <c r="AB59" i="25"/>
  <c r="AB63" i="25"/>
  <c r="AB34" i="25"/>
  <c r="AB37" i="25"/>
  <c r="AB50" i="25"/>
  <c r="AB41" i="25"/>
  <c r="AB51" i="25"/>
  <c r="AB60" i="25"/>
  <c r="AB38" i="25"/>
  <c r="AB42" i="25"/>
  <c r="AB26" i="25"/>
  <c r="AB69" i="25" s="1"/>
  <c r="AB47" i="25"/>
  <c r="AB35" i="25"/>
  <c r="AB56" i="25"/>
  <c r="AB64" i="25"/>
  <c r="AB52" i="25"/>
  <c r="AB62" i="25"/>
  <c r="AB44" i="25"/>
  <c r="AB48" i="25"/>
  <c r="AB39" i="25"/>
  <c r="AB57" i="25"/>
  <c r="AB61" i="25"/>
  <c r="AB65" i="25"/>
  <c r="AB27" i="25"/>
  <c r="AB53" i="25"/>
  <c r="AB28" i="25"/>
  <c r="AB33" i="25"/>
  <c r="AG2" i="25"/>
  <c r="AB49" i="25"/>
  <c r="AB45" i="25"/>
  <c r="AB54" i="25"/>
  <c r="AB58" i="25"/>
  <c r="AB30" i="25"/>
  <c r="AB40" i="25"/>
  <c r="AB29" i="25"/>
  <c r="AB32" i="25"/>
  <c r="AB36" i="25"/>
  <c r="W105" i="25"/>
  <c r="W81" i="25"/>
  <c r="W85" i="25"/>
  <c r="W80" i="25"/>
  <c r="W89" i="25"/>
  <c r="W20" i="14"/>
  <c r="W21" i="14"/>
  <c r="W22" i="14"/>
  <c r="W19" i="14"/>
  <c r="U27" i="13"/>
  <c r="W16" i="14"/>
  <c r="W17" i="14"/>
  <c r="V36" i="13"/>
  <c r="W39" i="13"/>
  <c r="W34" i="13"/>
  <c r="W46" i="13"/>
  <c r="W51" i="13"/>
  <c r="I123" i="16"/>
  <c r="K123" i="16"/>
  <c r="K117" i="16"/>
  <c r="K122" i="16"/>
  <c r="W26" i="13"/>
  <c r="W21" i="13"/>
  <c r="W11" i="13"/>
  <c r="I119" i="16"/>
  <c r="W16" i="13"/>
  <c r="W9" i="13"/>
  <c r="W20" i="13"/>
  <c r="W23" i="13"/>
  <c r="W18" i="13"/>
  <c r="W52" i="13"/>
  <c r="W49" i="13"/>
  <c r="W41" i="13"/>
  <c r="W37" i="13"/>
  <c r="W38" i="13"/>
  <c r="H117" i="16"/>
  <c r="J123" i="16"/>
  <c r="J121" i="16"/>
  <c r="H116" i="16"/>
  <c r="W25" i="13"/>
  <c r="H123" i="16"/>
  <c r="W8" i="13"/>
  <c r="I116" i="16"/>
  <c r="W15" i="13"/>
  <c r="J118" i="16"/>
  <c r="I117" i="16"/>
  <c r="H121" i="16"/>
  <c r="I118" i="16"/>
  <c r="W14" i="13"/>
  <c r="W43" i="13"/>
  <c r="W40" i="13"/>
  <c r="W50" i="13"/>
  <c r="W42" i="13"/>
  <c r="H119" i="16"/>
  <c r="K121" i="16"/>
  <c r="W22" i="13"/>
  <c r="W17" i="13"/>
  <c r="W48" i="13"/>
  <c r="W44" i="13"/>
  <c r="W47" i="13"/>
  <c r="W35" i="13"/>
  <c r="H118" i="16"/>
  <c r="J117" i="16"/>
  <c r="K119" i="16"/>
  <c r="J116" i="16"/>
  <c r="W24" i="13"/>
  <c r="I121" i="16"/>
  <c r="J122" i="16"/>
  <c r="W13" i="13"/>
  <c r="J119" i="16"/>
  <c r="K116" i="16"/>
  <c r="I122" i="16"/>
  <c r="H122" i="16"/>
  <c r="W12" i="13"/>
  <c r="W18" i="14"/>
  <c r="G48" i="10"/>
  <c r="M9" i="10" s="1"/>
  <c r="V19" i="13"/>
  <c r="V10" i="13"/>
  <c r="D45" i="10"/>
  <c r="G45" i="10" s="1"/>
  <c r="M8" i="10" s="1"/>
  <c r="G46" i="10"/>
  <c r="D50" i="10"/>
  <c r="G50" i="10" s="1"/>
  <c r="M11" i="10" s="1"/>
  <c r="G51" i="10"/>
  <c r="V7" i="13"/>
  <c r="V45" i="13"/>
  <c r="V33" i="13"/>
  <c r="AB88" i="25" l="1"/>
  <c r="L111" i="16"/>
  <c r="Q137" i="16"/>
  <c r="J137" i="16"/>
  <c r="K136" i="16"/>
  <c r="R136" i="16"/>
  <c r="I138" i="16"/>
  <c r="P138" i="16"/>
  <c r="J132" i="16"/>
  <c r="Q132" i="16"/>
  <c r="H131" i="16"/>
  <c r="O131" i="16"/>
  <c r="E74" i="10"/>
  <c r="K133" i="16"/>
  <c r="R133" i="16"/>
  <c r="H133" i="16"/>
  <c r="O133" i="16"/>
  <c r="J136" i="16"/>
  <c r="Q136" i="16"/>
  <c r="J138" i="16"/>
  <c r="Q138" i="16"/>
  <c r="I134" i="16"/>
  <c r="P134" i="16"/>
  <c r="K138" i="16"/>
  <c r="R138" i="16"/>
  <c r="H134" i="16"/>
  <c r="O134" i="16"/>
  <c r="Q131" i="16"/>
  <c r="J131" i="16"/>
  <c r="I137" i="16"/>
  <c r="P137" i="16"/>
  <c r="C74" i="10"/>
  <c r="I133" i="16"/>
  <c r="P133" i="16"/>
  <c r="H132" i="16"/>
  <c r="O132" i="16"/>
  <c r="C72" i="10"/>
  <c r="I131" i="16"/>
  <c r="P131" i="16"/>
  <c r="H138" i="16"/>
  <c r="O138" i="16"/>
  <c r="H137" i="16"/>
  <c r="O137" i="16"/>
  <c r="E72" i="10"/>
  <c r="E71" i="10" s="1"/>
  <c r="R131" i="16"/>
  <c r="K131" i="16"/>
  <c r="H136" i="16"/>
  <c r="O136" i="16"/>
  <c r="I136" i="16"/>
  <c r="P136" i="16"/>
  <c r="K134" i="16"/>
  <c r="R134" i="16"/>
  <c r="J134" i="16"/>
  <c r="Q134" i="16"/>
  <c r="I132" i="16"/>
  <c r="P132" i="16"/>
  <c r="K132" i="16"/>
  <c r="R132" i="16"/>
  <c r="J133" i="16"/>
  <c r="Q133" i="16"/>
  <c r="K137" i="16"/>
  <c r="R137" i="16"/>
  <c r="AI8" i="25"/>
  <c r="K16" i="25"/>
  <c r="AF98" i="25"/>
  <c r="AB104" i="25"/>
  <c r="AB97" i="25"/>
  <c r="AA8" i="25"/>
  <c r="AB72" i="25"/>
  <c r="AF83" i="25"/>
  <c r="AF75" i="25"/>
  <c r="AJ93" i="25"/>
  <c r="AJ6" i="25" s="1"/>
  <c r="AF77" i="25"/>
  <c r="AF81" i="25"/>
  <c r="AF78" i="25"/>
  <c r="AF91" i="25"/>
  <c r="AJ76" i="25"/>
  <c r="W8" i="25"/>
  <c r="AJ81" i="25"/>
  <c r="AJ107" i="25"/>
  <c r="AF80" i="25"/>
  <c r="AJ103" i="25"/>
  <c r="AJ106" i="25"/>
  <c r="AF79" i="25"/>
  <c r="AJ99" i="25"/>
  <c r="AJ102" i="25"/>
  <c r="AJ79" i="25"/>
  <c r="AJ77" i="25"/>
  <c r="AJ80" i="25"/>
  <c r="AB76" i="25"/>
  <c r="AF101" i="25"/>
  <c r="AF7" i="25" s="1"/>
  <c r="AJ78" i="25"/>
  <c r="AB83" i="25"/>
  <c r="AB71" i="25"/>
  <c r="AF106" i="25"/>
  <c r="AJ83" i="25"/>
  <c r="AJ85" i="25"/>
  <c r="AJ71" i="25"/>
  <c r="AJ72" i="25"/>
  <c r="AJ89" i="25"/>
  <c r="AE8" i="25"/>
  <c r="AF88" i="25"/>
  <c r="AB101" i="25"/>
  <c r="AB7" i="25" s="1"/>
  <c r="AF74" i="25"/>
  <c r="AF82" i="25"/>
  <c r="AJ98" i="25"/>
  <c r="AJ105" i="25"/>
  <c r="AB108" i="25"/>
  <c r="AB91" i="25"/>
  <c r="AF72" i="25"/>
  <c r="AF85" i="25"/>
  <c r="AF90" i="25"/>
  <c r="AJ96" i="25"/>
  <c r="AB79" i="25"/>
  <c r="AB73" i="25"/>
  <c r="AF102" i="25"/>
  <c r="AB75" i="25"/>
  <c r="AG51" i="25"/>
  <c r="AG46" i="25"/>
  <c r="AG55" i="25"/>
  <c r="AG59" i="25"/>
  <c r="AG63" i="25"/>
  <c r="AG32" i="25"/>
  <c r="AG35" i="25"/>
  <c r="AG37" i="25"/>
  <c r="AG30" i="25"/>
  <c r="AG40" i="25"/>
  <c r="AG60" i="25"/>
  <c r="AG36" i="25"/>
  <c r="AG33" i="25"/>
  <c r="AG38" i="25"/>
  <c r="AG45" i="25"/>
  <c r="AG31" i="25"/>
  <c r="AG52" i="25"/>
  <c r="AG47" i="25"/>
  <c r="AG56" i="25"/>
  <c r="AG64" i="25"/>
  <c r="AG49" i="25"/>
  <c r="AG58" i="25"/>
  <c r="AG29" i="25"/>
  <c r="AG44" i="25"/>
  <c r="AG53" i="25"/>
  <c r="AG48" i="25"/>
  <c r="AG57" i="25"/>
  <c r="AG61" i="25"/>
  <c r="AG65" i="25"/>
  <c r="AG26" i="25"/>
  <c r="AG69" i="25" s="1"/>
  <c r="AG34" i="25"/>
  <c r="AG42" i="25"/>
  <c r="AG41" i="25"/>
  <c r="AG54" i="25"/>
  <c r="AG62" i="25"/>
  <c r="AG27" i="25"/>
  <c r="AG50" i="25"/>
  <c r="AG28" i="25"/>
  <c r="AG39" i="25"/>
  <c r="AL2" i="25"/>
  <c r="AB70" i="25"/>
  <c r="AB82" i="25"/>
  <c r="AB95" i="25"/>
  <c r="AB90" i="25"/>
  <c r="AB103" i="25"/>
  <c r="AB80" i="25"/>
  <c r="AB98" i="25"/>
  <c r="AF105" i="25"/>
  <c r="AF100" i="25"/>
  <c r="AF93" i="25"/>
  <c r="AF6" i="25" s="1"/>
  <c r="AF107" i="25"/>
  <c r="AF70" i="25"/>
  <c r="AJ4" i="25"/>
  <c r="AJ5" i="25" s="1"/>
  <c r="AJ92" i="25"/>
  <c r="AJ87" i="25"/>
  <c r="AJ95" i="25"/>
  <c r="AJ91" i="25"/>
  <c r="AM6" i="25"/>
  <c r="K14" i="25"/>
  <c r="K13" i="25"/>
  <c r="K17" i="25"/>
  <c r="AB107" i="25"/>
  <c r="AB94" i="25"/>
  <c r="AB77" i="25"/>
  <c r="AB74" i="25"/>
  <c r="AF94" i="25"/>
  <c r="AF103" i="25"/>
  <c r="AF96" i="25"/>
  <c r="AJ88" i="25"/>
  <c r="AJ101" i="25"/>
  <c r="AJ7" i="25" s="1"/>
  <c r="AJ75" i="25"/>
  <c r="AJ108" i="25"/>
  <c r="AJ70" i="25"/>
  <c r="AB4" i="25"/>
  <c r="AB5" i="25" s="1"/>
  <c r="AB87" i="25"/>
  <c r="AB92" i="25"/>
  <c r="AB99" i="25"/>
  <c r="AB85" i="25"/>
  <c r="AB84" i="25"/>
  <c r="AB106" i="25"/>
  <c r="AB89" i="25"/>
  <c r="K18" i="25"/>
  <c r="AF97" i="25"/>
  <c r="AF108" i="25"/>
  <c r="AF73" i="25"/>
  <c r="AF71" i="25"/>
  <c r="AF99" i="25"/>
  <c r="AF4" i="25"/>
  <c r="AF5" i="25" s="1"/>
  <c r="AF92" i="25"/>
  <c r="AF87" i="25"/>
  <c r="AJ90" i="25"/>
  <c r="AJ97" i="25"/>
  <c r="AJ84" i="25"/>
  <c r="AJ104" i="25"/>
  <c r="AJ94" i="25"/>
  <c r="AB96" i="25"/>
  <c r="AB100" i="25"/>
  <c r="AB105" i="25"/>
  <c r="AB78" i="25"/>
  <c r="AB81" i="25"/>
  <c r="AB93" i="25"/>
  <c r="AB6" i="25" s="1"/>
  <c r="AB102" i="25"/>
  <c r="AM7" i="25"/>
  <c r="K15" i="25"/>
  <c r="AF95" i="25"/>
  <c r="AK47" i="25"/>
  <c r="AK51" i="25"/>
  <c r="AK55" i="25"/>
  <c r="AK59" i="25"/>
  <c r="AK63" i="25"/>
  <c r="AK32" i="25"/>
  <c r="AK35" i="25"/>
  <c r="AK41" i="25"/>
  <c r="AK37" i="25"/>
  <c r="AK29" i="25"/>
  <c r="AK44" i="25"/>
  <c r="AK48" i="25"/>
  <c r="AK52" i="25"/>
  <c r="AK56" i="25"/>
  <c r="AK60" i="25"/>
  <c r="AK64" i="25"/>
  <c r="AK36" i="25"/>
  <c r="AK30" i="25"/>
  <c r="AK40" i="25"/>
  <c r="AK42" i="25"/>
  <c r="AK39" i="25"/>
  <c r="AK45" i="25"/>
  <c r="AK49" i="25"/>
  <c r="AK53" i="25"/>
  <c r="AK57" i="25"/>
  <c r="AK61" i="25"/>
  <c r="AK65" i="25"/>
  <c r="AK27" i="25"/>
  <c r="AK38" i="25"/>
  <c r="AK26" i="25"/>
  <c r="AK69" i="25" s="1"/>
  <c r="AK34" i="25"/>
  <c r="AK33" i="25"/>
  <c r="AK46" i="25"/>
  <c r="AK50" i="25"/>
  <c r="AK54" i="25"/>
  <c r="AK58" i="25"/>
  <c r="AK62" i="25"/>
  <c r="AK28" i="25"/>
  <c r="AK31" i="25"/>
  <c r="AF104" i="25"/>
  <c r="AF84" i="25"/>
  <c r="AF76" i="25"/>
  <c r="AF89" i="25"/>
  <c r="AJ73" i="25"/>
  <c r="AJ74" i="25"/>
  <c r="AJ82" i="25"/>
  <c r="AJ100" i="25"/>
  <c r="AM34" i="13"/>
  <c r="K120" i="16"/>
  <c r="I120" i="16"/>
  <c r="J120" i="16"/>
  <c r="D63" i="10"/>
  <c r="G63" i="10" s="1"/>
  <c r="AB19" i="14"/>
  <c r="AB18" i="14"/>
  <c r="D58" i="10"/>
  <c r="V27" i="13"/>
  <c r="V53" i="13"/>
  <c r="M12" i="10"/>
  <c r="L118" i="16"/>
  <c r="W7" i="13"/>
  <c r="L123" i="16"/>
  <c r="AB17" i="14"/>
  <c r="K115" i="16"/>
  <c r="L121" i="16"/>
  <c r="H120" i="16"/>
  <c r="I115" i="16"/>
  <c r="H115" i="16"/>
  <c r="L116" i="16"/>
  <c r="W33" i="13"/>
  <c r="AH33" i="13" s="1"/>
  <c r="W36" i="13"/>
  <c r="AC34" i="13" s="1"/>
  <c r="L119" i="16"/>
  <c r="D53" i="10"/>
  <c r="G53" i="10" s="1"/>
  <c r="L122" i="16"/>
  <c r="J115" i="16"/>
  <c r="L117" i="16"/>
  <c r="W19" i="13"/>
  <c r="W10" i="13"/>
  <c r="AM33" i="13"/>
  <c r="W45" i="13"/>
  <c r="AK101" i="25" l="1"/>
  <c r="AK7" i="25" s="1"/>
  <c r="AK105" i="25"/>
  <c r="AK100" i="25"/>
  <c r="H130" i="16"/>
  <c r="O130" i="16"/>
  <c r="S132" i="16"/>
  <c r="L132" i="16"/>
  <c r="E79" i="10"/>
  <c r="J135" i="16"/>
  <c r="Q135" i="16"/>
  <c r="K130" i="16"/>
  <c r="R130" i="16"/>
  <c r="J130" i="16"/>
  <c r="Q130" i="16"/>
  <c r="L137" i="16"/>
  <c r="S137" i="16"/>
  <c r="I135" i="16"/>
  <c r="P135" i="16"/>
  <c r="H135" i="16"/>
  <c r="O135" i="16"/>
  <c r="L134" i="16"/>
  <c r="S134" i="16"/>
  <c r="I130" i="16"/>
  <c r="P130" i="16"/>
  <c r="L138" i="16"/>
  <c r="S138" i="16"/>
  <c r="K135" i="16"/>
  <c r="R135" i="16"/>
  <c r="L133" i="16"/>
  <c r="S133" i="16"/>
  <c r="L136" i="16"/>
  <c r="S136" i="16"/>
  <c r="S131" i="16"/>
  <c r="L131" i="16"/>
  <c r="AJ8" i="25"/>
  <c r="AK95" i="25"/>
  <c r="AK90" i="25"/>
  <c r="K19" i="25"/>
  <c r="AG97" i="25"/>
  <c r="AK97" i="25"/>
  <c r="AK89" i="25"/>
  <c r="AK108" i="25"/>
  <c r="AG105" i="25"/>
  <c r="AG108" i="25"/>
  <c r="AG104" i="25"/>
  <c r="AB8" i="25"/>
  <c r="AG100" i="25"/>
  <c r="AF8" i="25"/>
  <c r="AG71" i="25"/>
  <c r="AG93" i="25"/>
  <c r="AG6" i="25" s="1"/>
  <c r="AG96" i="25"/>
  <c r="AK88" i="25"/>
  <c r="AK71" i="25"/>
  <c r="AM35" i="13"/>
  <c r="AG99" i="25"/>
  <c r="AG70" i="25"/>
  <c r="AG85" i="25"/>
  <c r="AG107" i="25"/>
  <c r="AG74" i="25"/>
  <c r="AG79" i="25"/>
  <c r="AG80" i="25"/>
  <c r="AG102" i="25"/>
  <c r="AK93" i="25"/>
  <c r="AK6" i="25" s="1"/>
  <c r="AK104" i="25"/>
  <c r="AK99" i="25"/>
  <c r="AK94" i="25"/>
  <c r="AG82" i="25"/>
  <c r="AG77" i="25"/>
  <c r="AG72" i="25"/>
  <c r="AG103" i="25"/>
  <c r="AG78" i="25"/>
  <c r="AG84" i="25"/>
  <c r="AK81" i="25"/>
  <c r="AK82" i="25"/>
  <c r="AK79" i="25"/>
  <c r="AK80" i="25"/>
  <c r="AK106" i="25"/>
  <c r="AG88" i="25"/>
  <c r="AG98" i="25"/>
  <c r="AK72" i="25"/>
  <c r="AK76" i="25"/>
  <c r="AK70" i="25"/>
  <c r="AK96" i="25"/>
  <c r="AK85" i="25"/>
  <c r="AK107" i="25"/>
  <c r="AK91" i="25"/>
  <c r="AK84" i="25"/>
  <c r="AK102" i="25"/>
  <c r="AM8" i="25"/>
  <c r="AG91" i="25"/>
  <c r="AG101" i="25"/>
  <c r="AG7" i="25" s="1"/>
  <c r="AG90" i="25"/>
  <c r="AG81" i="25"/>
  <c r="AG83" i="25"/>
  <c r="AG75" i="25"/>
  <c r="AG89" i="25"/>
  <c r="AK73" i="25"/>
  <c r="AK75" i="25"/>
  <c r="AL48" i="25"/>
  <c r="AL55" i="25"/>
  <c r="AL59" i="25"/>
  <c r="AL63" i="25"/>
  <c r="AL33" i="25"/>
  <c r="AL32" i="25"/>
  <c r="AL27" i="25"/>
  <c r="AL41" i="25"/>
  <c r="AL50" i="25"/>
  <c r="AL45" i="25"/>
  <c r="AL26" i="25"/>
  <c r="AL69" i="25" s="1"/>
  <c r="AL56" i="25"/>
  <c r="AL60" i="25"/>
  <c r="AL64" i="25"/>
  <c r="AL37" i="25"/>
  <c r="AL36" i="25"/>
  <c r="AL31" i="25"/>
  <c r="AL30" i="25"/>
  <c r="AL52" i="25"/>
  <c r="AL35" i="25"/>
  <c r="AL46" i="25"/>
  <c r="AL49" i="25"/>
  <c r="AL57" i="25"/>
  <c r="AL61" i="25"/>
  <c r="AL65" i="25"/>
  <c r="AL44" i="25"/>
  <c r="AL51" i="25"/>
  <c r="AL40" i="25"/>
  <c r="AL38" i="25"/>
  <c r="AL47" i="25"/>
  <c r="AL54" i="25"/>
  <c r="AL58" i="25"/>
  <c r="AL62" i="25"/>
  <c r="AL29" i="25"/>
  <c r="AL28" i="25"/>
  <c r="AL53" i="25"/>
  <c r="AL42" i="25"/>
  <c r="AL39" i="25"/>
  <c r="AL34" i="25"/>
  <c r="AG4" i="25"/>
  <c r="AG5" i="25" s="1"/>
  <c r="AG87" i="25"/>
  <c r="AG92" i="25"/>
  <c r="AK74" i="25"/>
  <c r="AK77" i="25"/>
  <c r="AK83" i="25"/>
  <c r="AK103" i="25"/>
  <c r="AK4" i="25"/>
  <c r="AK5" i="25" s="1"/>
  <c r="AK92" i="25"/>
  <c r="AK87" i="25"/>
  <c r="AK78" i="25"/>
  <c r="AK98" i="25"/>
  <c r="AG95" i="25"/>
  <c r="AG76" i="25"/>
  <c r="AG73" i="25"/>
  <c r="AG106" i="25"/>
  <c r="AG94" i="25"/>
  <c r="L115" i="16"/>
  <c r="I124" i="16"/>
  <c r="L120" i="16"/>
  <c r="AB20" i="14"/>
  <c r="K124" i="16"/>
  <c r="G58" i="10"/>
  <c r="D66" i="10"/>
  <c r="G66" i="10" s="1"/>
  <c r="W27" i="13"/>
  <c r="AC8" i="13" s="1"/>
  <c r="AC36" i="13"/>
  <c r="AC35" i="13"/>
  <c r="W53" i="13"/>
  <c r="J124" i="16"/>
  <c r="AC38" i="13"/>
  <c r="AC33" i="13"/>
  <c r="C71" i="10"/>
  <c r="AC37" i="13"/>
  <c r="AH34" i="13"/>
  <c r="AH35" i="13" s="1"/>
  <c r="H124" i="16"/>
  <c r="AK8" i="25" l="1"/>
  <c r="AL85" i="25"/>
  <c r="L135" i="16"/>
  <c r="S135" i="16"/>
  <c r="I139" i="16"/>
  <c r="P139" i="16"/>
  <c r="L130" i="16"/>
  <c r="S130" i="16"/>
  <c r="J139" i="16"/>
  <c r="Q139" i="16"/>
  <c r="K139" i="16"/>
  <c r="R139" i="16"/>
  <c r="H139" i="16"/>
  <c r="O139" i="16"/>
  <c r="AG8" i="25"/>
  <c r="AL90" i="25"/>
  <c r="AL73" i="25"/>
  <c r="AL81" i="25"/>
  <c r="AL74" i="25"/>
  <c r="AL83" i="25"/>
  <c r="AL71" i="25"/>
  <c r="AL72" i="25"/>
  <c r="AL77" i="25"/>
  <c r="AL80" i="25"/>
  <c r="AL82" i="25"/>
  <c r="AL78" i="25"/>
  <c r="AL105" i="25"/>
  <c r="AL89" i="25"/>
  <c r="AL108" i="25"/>
  <c r="AL96" i="25"/>
  <c r="AL101" i="25"/>
  <c r="AL7" i="25" s="1"/>
  <c r="AL97" i="25"/>
  <c r="AL94" i="25"/>
  <c r="D72" i="10"/>
  <c r="G72" i="10" s="1"/>
  <c r="D75" i="10"/>
  <c r="G75" i="10" s="1"/>
  <c r="N10" i="10" s="1"/>
  <c r="D74" i="10"/>
  <c r="G74" i="10" s="1"/>
  <c r="N9" i="10" s="1"/>
  <c r="D77" i="10"/>
  <c r="D78" i="10"/>
  <c r="G78" i="10" s="1"/>
  <c r="D73" i="10"/>
  <c r="G73" i="10" s="1"/>
  <c r="AL4" i="25"/>
  <c r="AL5" i="25" s="1"/>
  <c r="AL87" i="25"/>
  <c r="AL92" i="25"/>
  <c r="AL107" i="25"/>
  <c r="AL88" i="25"/>
  <c r="AL75" i="25"/>
  <c r="AL98" i="25"/>
  <c r="AL103" i="25"/>
  <c r="AL93" i="25"/>
  <c r="AL6" i="25" s="1"/>
  <c r="AL76" i="25"/>
  <c r="AL91" i="25"/>
  <c r="AL104" i="25"/>
  <c r="AL79" i="25"/>
  <c r="AL99" i="25"/>
  <c r="AL84" i="25"/>
  <c r="AL106" i="25"/>
  <c r="AL100" i="25"/>
  <c r="AL95" i="25"/>
  <c r="AL70" i="25"/>
  <c r="AL102" i="25"/>
  <c r="AC39" i="13"/>
  <c r="L124" i="16"/>
  <c r="C79" i="10"/>
  <c r="L139" i="16" l="1"/>
  <c r="S139" i="16"/>
  <c r="AL8" i="25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G1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0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8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<sst xmlns="http://schemas.openxmlformats.org/spreadsheetml/2006/main" count="1758" uniqueCount="581">
  <si>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</si>
  <si>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</si>
  <si>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</si>
  <si>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</si>
  <si>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</si>
  <si>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</si>
  <si>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</si>
  <si>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</si>
  <si>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</si>
  <si>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</si>
  <si>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</si>
  <si>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</si>
  <si>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</si>
  <si>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</si>
  <si>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</si>
  <si>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</si>
  <si>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</si>
  <si>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</si>
  <si>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</si>
  <si>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</si>
  <si>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</si>
  <si>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</si>
  <si>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</si>
  <si>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</si>
  <si>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</si>
  <si>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</si>
  <si>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</si>
  <si>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</si>
  <si>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</si>
  <si>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</si>
  <si>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</si>
  <si>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</si>
  <si>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</si>
  <si>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</si>
  <si>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</si>
  <si>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</si>
  <si>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</si>
  <si>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</si>
  <si>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</si>
  <si>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</si>
  <si>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</si>
  <si>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</si>
  <si>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</si>
  <si>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</si>
  <si>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</si>
  <si>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ER_AUTO_0</t>
  </si>
  <si>
    <t>ER_AUTO_TH_A_0</t>
  </si>
  <si>
    <t>ER_AUTO_TH_B_0</t>
  </si>
  <si>
    <t>ER_AUTO_TH_C_0</t>
  </si>
  <si>
    <t>ER_AUTO_TH_D_0</t>
  </si>
  <si>
    <t>ER_AUTO_TH_E_0</t>
  </si>
  <si>
    <t>ER_AUTO_TH_F_0</t>
  </si>
  <si>
    <t>ER_AUTO_TH_G_0</t>
  </si>
  <si>
    <t>ER_AUTO_ELEC_A_0</t>
  </si>
  <si>
    <t>ER_AUTO_ELEC_B_0</t>
  </si>
  <si>
    <t>ER_AUTO_ELEC_C_0</t>
  </si>
  <si>
    <t>ER_AUTO_ELEC_D_0</t>
  </si>
  <si>
    <t>ER_AUTO_ELEC_E_0</t>
  </si>
  <si>
    <t>ER_AUTO_ELEC_F_0</t>
  </si>
  <si>
    <t>ER_AUTO_ELEC_G_0</t>
  </si>
  <si>
    <t>ER_AUTO_COAL_0</t>
  </si>
  <si>
    <t>ER_AUTO_TH_0</t>
  </si>
  <si>
    <t>ER_AUTO_ELEC_0</t>
  </si>
  <si>
    <t>ER_AUTO_GAS_0</t>
  </si>
  <si>
    <t>ER_NEWAUTO_0</t>
  </si>
  <si>
    <t>ER_NEWAUTO_TH_0</t>
  </si>
  <si>
    <t>ER_NEWAUTO_TH_A_0</t>
  </si>
  <si>
    <t>ER_NEWAUTO_TH_B_0</t>
  </si>
  <si>
    <t>ER_NEWAUTO_TH_C_0</t>
  </si>
  <si>
    <t>ER_NEWAUTO_TH_D_0</t>
  </si>
  <si>
    <t>ER_NEWAUTO_TH_E_0</t>
  </si>
  <si>
    <t>ER_NEWAUTO_TH_F_0</t>
  </si>
  <si>
    <t>ER_NEWAUTO_TH_G_0</t>
  </si>
  <si>
    <t>ER_NEWAUTO_ELEC_0</t>
  </si>
  <si>
    <t>ER_NEWAUTO_ELEC_A_0</t>
  </si>
  <si>
    <t>ER_NEWAUTO_ELEC_B_0</t>
  </si>
  <si>
    <t>ER_NEWAUTO_ELEC_C_0</t>
  </si>
  <si>
    <t>ER_NEWAUTO_ELEC_D_0</t>
  </si>
  <si>
    <t>ER_NEWAUTO_ELEC_E_0</t>
  </si>
  <si>
    <t>ER_NEWAUTO_ELEC_F_0</t>
  </si>
  <si>
    <t>ER_NEWAUTO_ELEC_G_0</t>
  </si>
  <si>
    <t>ER_BUIL_0</t>
  </si>
  <si>
    <t>ER_BUIL_A_0</t>
  </si>
  <si>
    <t>ER_BUIL_B_0</t>
  </si>
  <si>
    <t>ER_BUIL_C_0</t>
  </si>
  <si>
    <t>ER_BUIL_D_0</t>
  </si>
  <si>
    <t>ER_BUIL_E_0</t>
  </si>
  <si>
    <t>ER_BUIL_F_0</t>
  </si>
  <si>
    <t>ER_BUIL_G_0</t>
  </si>
  <si>
    <t>ER_Oil_0</t>
  </si>
  <si>
    <t>ER_elec_0</t>
  </si>
  <si>
    <t>ER_Gas_0</t>
  </si>
  <si>
    <t>ER_coal_0</t>
  </si>
  <si>
    <t>ER_Total_0</t>
  </si>
  <si>
    <t>electric</t>
  </si>
  <si>
    <t>Combustion</t>
  </si>
  <si>
    <t>ER_Elec_2301_0</t>
  </si>
  <si>
    <t>ER_elec_2302_0</t>
  </si>
  <si>
    <t>ER_Elec_2303_0</t>
  </si>
  <si>
    <t>ER_elec_2304_0</t>
  </si>
  <si>
    <t>ER_Elec_2305_0</t>
  </si>
  <si>
    <t>ER_elec_2306_0</t>
  </si>
  <si>
    <t>ER_Elec_2307_0</t>
  </si>
  <si>
    <t>ER_elec_2308_0</t>
  </si>
  <si>
    <t>ER_oil_2201_0</t>
  </si>
  <si>
    <t>ER_oil_2202_0</t>
  </si>
  <si>
    <t>ER_Gas_2401_0</t>
  </si>
  <si>
    <t>ER_Gas_2402_0</t>
  </si>
  <si>
    <t>ER_Gas_2403_0</t>
  </si>
  <si>
    <t>ER_Gas_2404_0</t>
  </si>
  <si>
    <t>ER_Gas_2405_0</t>
  </si>
  <si>
    <t>ER_Gas_2406_0</t>
  </si>
  <si>
    <t>Q_Mtep_ep_2201_0</t>
  </si>
  <si>
    <t>Q_Mtep_ep_2202_0</t>
  </si>
  <si>
    <t>Q_Mtep_ep_2301_0</t>
  </si>
  <si>
    <t>Q_Mtep_ep_2302_0</t>
  </si>
  <si>
    <t>Q_Mtep_ep_2303_0</t>
  </si>
  <si>
    <t>Q_Mtep_ep_2304_0</t>
  </si>
  <si>
    <t>Q_Mtep_ep_2305_0</t>
  </si>
  <si>
    <t>Q_Mtep_ep_2306_0</t>
  </si>
  <si>
    <t>Q_Mtep_ep_2307_0</t>
  </si>
  <si>
    <t>Q_Mtep_ep_2308_0</t>
  </si>
  <si>
    <t>Q_Mtep_ep_2401_0</t>
  </si>
  <si>
    <t>Q_Mtep_ep_2402_0</t>
  </si>
  <si>
    <t>Q_Mtep_ep_2403_0</t>
  </si>
  <si>
    <t>Q_Mtep_ep_2404_0</t>
  </si>
  <si>
    <t>Q_Mtep_ep_2405_0</t>
  </si>
  <si>
    <t>Q_Mtep_ep_2406_0</t>
  </si>
  <si>
    <t>Q_Mtep_ep_21_0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</si>
  <si>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</si>
  <si>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</si>
  <si>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</si>
  <si>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</si>
  <si>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</si>
  <si>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</si>
  <si>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</si>
  <si>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</si>
  <si>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</si>
  <si>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</si>
  <si>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</si>
  <si>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</si>
  <si>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</si>
  <si>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</si>
  <si>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</si>
  <si>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</si>
  <si>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</si>
  <si>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</si>
  <si>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</si>
  <si>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</si>
  <si>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</si>
  <si>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</si>
  <si>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</si>
  <si>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</si>
  <si>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</si>
  <si>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</si>
  <si>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</si>
  <si>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</si>
  <si>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</si>
  <si>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ER_AUTO_0/1000</t>
  </si>
  <si>
    <t>ER_AUTO_ELEC_0/ER_AUTO_0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</si>
  <si>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</si>
  <si>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</si>
  <si>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</si>
  <si>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</si>
  <si>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</si>
  <si>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</si>
  <si>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ER_NEWAUTO_ELEC_0/ER_NEWAUTO_0</t>
  </si>
  <si>
    <t>ER_NEWAUTO_ELEC_A_0/ER_NEWAUTO_0</t>
  </si>
  <si>
    <t>ER_NEWAUTO_ELEC_B_0/ER_NEWAUTO_0</t>
  </si>
  <si>
    <t>ER_NEWAUTO_ELEC_C_0/ER_NEWAUTO_0</t>
  </si>
  <si>
    <t>ER_NEWAUTO_ELEC_D_0/ER_NEWAUTO_0</t>
  </si>
  <si>
    <t>ER_NEWAUTO_ELEC_E_0/ER_NEWAUTO_0</t>
  </si>
  <si>
    <t>ER_NEWAUTO_ELEC_F_0/ER_NEWAUTO_0</t>
  </si>
  <si>
    <t>ER_NEWAUTO_ELEC_G_0/ER_NEWAUTO_0</t>
  </si>
  <si>
    <t>ER_NEWAUTO_TH_0/ER_NEWAUTO_0</t>
  </si>
  <si>
    <t>ER_NEWAUTO_TH_A_0/ER_NEWAUTO_0</t>
  </si>
  <si>
    <t>ER_NEWAUTO_TH_B_0/ER_NEWAUTO_0</t>
  </si>
  <si>
    <t>ER_NEWAUTO_TH_C_0/ER_NEWAUTO_0</t>
  </si>
  <si>
    <t>ER_NEWAUTO_TH_D_0/ER_NEWAUTO_0</t>
  </si>
  <si>
    <t>ER_NEWAUTO_TH_E_0/ER_NEWAUTO_0</t>
  </si>
  <si>
    <t>ER_NEWAUTO_TH_F_0/ER_NEWAUTO_0</t>
  </si>
  <si>
    <t>ER_NEWAUTO_TH_G_0/ER_NEWAUTO_0</t>
  </si>
  <si>
    <t>ER_AUTO_COAL_0/ER_AUTO_0</t>
  </si>
  <si>
    <t>ER_AUTO_TH_0/ER_AUTO_0</t>
  </si>
  <si>
    <t>ER_AUTO_GAS_0/ER_AUTO_0</t>
  </si>
  <si>
    <t>ER_AUTO_ELEC_A_0/ER_AUTO_0</t>
  </si>
  <si>
    <t>ER_AUTO_ELEC_B_0/ER_AUTO_0</t>
  </si>
  <si>
    <t>ER_AUTO_ELEC_C_0/ER_AUTO_0</t>
  </si>
  <si>
    <t>ER_AUTO_ELEC_D_0/ER_AUTO_0</t>
  </si>
  <si>
    <t>ER_AUTO_ELEC_E_0/ER_AUTO_0</t>
  </si>
  <si>
    <t>ER_AUTO_ELEC_F_0/ER_AUTO_0</t>
  </si>
  <si>
    <t>ER_AUTO_ELEC_G_0/ER_AUTO_0</t>
  </si>
  <si>
    <t>ER_AUTO_TH_A_0/ER_AUTO_0</t>
  </si>
  <si>
    <t>ER_AUTO_TH_B_0/ER_AUTO_0</t>
  </si>
  <si>
    <t>ER_AUTO_TH_C_0/ER_AUTO_0</t>
  </si>
  <si>
    <t>ER_AUTO_TH_D_0/ER_AUTO_0</t>
  </si>
  <si>
    <t>ER_AUTO_TH_E_0/ER_AUTO_0</t>
  </si>
  <si>
    <t>ER_AUTO_TH_F_0/ER_AUTO_0</t>
  </si>
  <si>
    <t>ER_AUTO_TH_G_0/ER_AUTO_0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</si>
  <si>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</si>
  <si>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</si>
  <si>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</si>
  <si>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</si>
  <si>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</si>
  <si>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</si>
  <si>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</si>
  <si>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</si>
  <si>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</si>
  <si>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</si>
  <si>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</si>
  <si>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</si>
  <si>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</si>
  <si>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</si>
  <si>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</si>
  <si>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</si>
  <si>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</si>
  <si>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</si>
  <si>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</si>
  <si>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</si>
  <si>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</si>
  <si>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</si>
  <si>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1) Copier-coller sorties Eviews en B2
2) veillez à ce que les données commencent en 2004
3) modifier le scénario si besoin en B1</t>
  </si>
  <si>
    <t>Différences en 2050 résultant des modifs de chocs</t>
  </si>
  <si>
    <t>Ecarts par rapport à la cible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</si>
  <si>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</si>
  <si>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</si>
  <si>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</si>
  <si>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</si>
  <si>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</si>
  <si>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</si>
  <si>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</si>
  <si>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</si>
  <si>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</si>
  <si>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</si>
  <si>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</si>
  <si>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</si>
  <si>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</si>
  <si>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</si>
  <si>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</si>
  <si>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</si>
  <si>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</si>
  <si>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</si>
  <si>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</si>
  <si>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</si>
  <si>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</si>
  <si>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</si>
  <si>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</si>
  <si>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</si>
  <si>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</si>
  <si>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</si>
  <si>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</si>
  <si>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</si>
  <si>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Industry</t>
  </si>
  <si>
    <t>Industry energetic uses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</si>
  <si>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</si>
  <si>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</si>
  <si>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</si>
  <si>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</si>
  <si>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</si>
  <si>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</si>
  <si>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</si>
  <si>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</si>
  <si>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</si>
  <si>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</si>
  <si>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</si>
  <si>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</si>
  <si>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</si>
  <si>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</si>
  <si>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</si>
  <si>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</si>
  <si>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</si>
  <si>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</si>
  <si>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</si>
  <si>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</si>
  <si>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</si>
  <si>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</si>
  <si>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</si>
  <si>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</si>
  <si>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</si>
  <si>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</si>
  <si>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</si>
  <si>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</si>
  <si>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</si>
  <si>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</si>
  <si>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</si>
  <si>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</si>
  <si>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</si>
  <si>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</si>
  <si>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</si>
  <si>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</si>
  <si>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</si>
  <si>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</si>
  <si>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</si>
  <si>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</si>
  <si>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</si>
  <si>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KM_AUTO_H01_0</t>
  </si>
  <si>
    <t>KM_TRAVELER_18_H01_0</t>
  </si>
  <si>
    <t>KM_TRAV_AUTO_LD_H01_0</t>
  </si>
  <si>
    <t>KM_TRAV_AUTO_CD_H01_0</t>
  </si>
  <si>
    <t>KM_TRAVELER_14_H01_0</t>
  </si>
  <si>
    <t>KM_TRAVELER_15_H01_0</t>
  </si>
  <si>
    <t>KM_TRAVELER_CD_H01_0</t>
  </si>
  <si>
    <t>KM_TRAVELER_LD_H01_0</t>
  </si>
  <si>
    <t>IC_HH_24_H01_0</t>
  </si>
  <si>
    <t>ER_OIL_1</t>
  </si>
  <si>
    <t>ER_OIL_2201_1</t>
  </si>
  <si>
    <t>ER_OIL_2202_1</t>
  </si>
  <si>
    <t>ER_ELEC_2301_1</t>
  </si>
  <si>
    <t>ER_ELEC_2302_1</t>
  </si>
  <si>
    <t>ER_ELEC_2303_1</t>
  </si>
  <si>
    <t>ER_ELEC_2304_1</t>
  </si>
  <si>
    <t>ER_ELEC_2305_1</t>
  </si>
  <si>
    <t>ER_ELEC_2306_1</t>
  </si>
  <si>
    <t>ER_ELEC_2307_1</t>
  </si>
  <si>
    <t>ER_ELEC_2308_1</t>
  </si>
  <si>
    <t>ER_ELEC_1</t>
  </si>
  <si>
    <t>ER_GAS_1</t>
  </si>
  <si>
    <t>ER_GAS_2401_1</t>
  </si>
  <si>
    <t>ER_GAS_2402_1</t>
  </si>
  <si>
    <t>ER_GAS_2403_1</t>
  </si>
  <si>
    <t>ER_GAS_2404_1</t>
  </si>
  <si>
    <t>ER_GAS_2405_1</t>
  </si>
  <si>
    <t>ER_GAS_2406_1</t>
  </si>
  <si>
    <t>ER_COAL_1</t>
  </si>
  <si>
    <t>ER_TOTAL_1</t>
  </si>
  <si>
    <t>ER_AGRICULTURE_1</t>
  </si>
  <si>
    <t>ER_INDUS_1</t>
  </si>
  <si>
    <t>ER_RESIDENTIAL_1</t>
  </si>
  <si>
    <t>ER_TERTIARY_1</t>
  </si>
  <si>
    <t>ER_TRANS_PRIVATE_1</t>
  </si>
  <si>
    <t>ER_TRANS_PUBLIC_1</t>
  </si>
  <si>
    <t>ER_AUTO_1</t>
  </si>
  <si>
    <t>ER_AUTO_TH_A_1</t>
  </si>
  <si>
    <t>ER_AUTO_TH_B_1</t>
  </si>
  <si>
    <t>ER_AUTO_TH_C_1</t>
  </si>
  <si>
    <t>ER_AUTO_TH_D_1</t>
  </si>
  <si>
    <t>ER_AUTO_TH_E_1</t>
  </si>
  <si>
    <t>ER_AUTO_TH_F_1</t>
  </si>
  <si>
    <t>ER_AUTO_TH_G_1</t>
  </si>
  <si>
    <t>ER_AUTO_ELEC_A_1</t>
  </si>
  <si>
    <t>ER_AUTO_ELEC_B_1</t>
  </si>
  <si>
    <t>ER_AUTO_ELEC_C_1</t>
  </si>
  <si>
    <t>ER_AUTO_ELEC_D_1</t>
  </si>
  <si>
    <t>ER_AUTO_ELEC_E_1</t>
  </si>
  <si>
    <t>ER_AUTO_ELEC_F_1</t>
  </si>
  <si>
    <t>ER_AUTO_ELEC_G_1</t>
  </si>
  <si>
    <t>ER_AUTO_COAL_1</t>
  </si>
  <si>
    <t>ER_AUTO_TH_1</t>
  </si>
  <si>
    <t>ER_AUTO_ELEC_1</t>
  </si>
  <si>
    <t>ER_AUTO_GAS_1</t>
  </si>
  <si>
    <t>ER_NEWAUTO_1</t>
  </si>
  <si>
    <t>ER_NEWAUTO_TH_1</t>
  </si>
  <si>
    <t>ER_NEWAUTO_TH_A_1</t>
  </si>
  <si>
    <t>ER_NEWAUTO_TH_B_1</t>
  </si>
  <si>
    <t>ER_NEWAUTO_TH_C_1</t>
  </si>
  <si>
    <t>ER_NEWAUTO_TH_D_1</t>
  </si>
  <si>
    <t>ER_NEWAUTO_TH_E_1</t>
  </si>
  <si>
    <t>ER_NEWAUTO_TH_F_1</t>
  </si>
  <si>
    <t>ER_NEWAUTO_TH_G_1</t>
  </si>
  <si>
    <t>ER_NEWAUTO_ELEC_1</t>
  </si>
  <si>
    <t>ER_NEWAUTO_ELEC_A_1</t>
  </si>
  <si>
    <t>ER_NEWAUTO_ELEC_B_1</t>
  </si>
  <si>
    <t>ER_NEWAUTO_ELEC_C_1</t>
  </si>
  <si>
    <t>ER_NEWAUTO_ELEC_D_1</t>
  </si>
  <si>
    <t>ER_NEWAUTO_ELEC_E_1</t>
  </si>
  <si>
    <t>ER_NEWAUTO_ELEC_F_1</t>
  </si>
  <si>
    <t>ER_NEWAUTO_ELEC_G_1</t>
  </si>
  <si>
    <t>ER_AGRICULTURE_COAL_1</t>
  </si>
  <si>
    <t>ER_INDUS_COAL_1</t>
  </si>
  <si>
    <t>ER_RESIDENTIAL_COAL_1</t>
  </si>
  <si>
    <t>ER_TERTIARY_COAL_1</t>
  </si>
  <si>
    <t>ER_TRANS_PRIVATE_COAL_1</t>
  </si>
  <si>
    <t>ER_TRANS_PUBLIC_COAL_1</t>
  </si>
  <si>
    <t>ER_AGRICULTURE_OIL_1</t>
  </si>
  <si>
    <t>ER_INDUS_OIL_1</t>
  </si>
  <si>
    <t>ER_RESIDENTIAL_OIL_1</t>
  </si>
  <si>
    <t>ER_TERTIARY_OIL_1</t>
  </si>
  <si>
    <t>ER_TRANS_PRIVATE_OIL_1</t>
  </si>
  <si>
    <t>ER_TRANS_PUBLIC_OIL_1</t>
  </si>
  <si>
    <t>ER_AGRICULTURE_ELEC_1</t>
  </si>
  <si>
    <t>ER_INDUS_ELEC_1</t>
  </si>
  <si>
    <t>ER_RESIDENTIAL_ELEC_1</t>
  </si>
  <si>
    <t>ER_TERTIARY_ELEC_1</t>
  </si>
  <si>
    <t>ER_TRANS_PRIVATE_ELEC_1</t>
  </si>
  <si>
    <t>ER_TRANS_PUBLIC_ELEC_1</t>
  </si>
  <si>
    <t>ER_AGRICULTURE_GAS_1</t>
  </si>
  <si>
    <t>ER_INDUS_GAS_1</t>
  </si>
  <si>
    <t>ER_RESIDENTIAL_GAS_1</t>
  </si>
  <si>
    <t>ER_TERTIARY_GAS_1</t>
  </si>
  <si>
    <t>ER_TRANS_PRIVATE_GAS_1</t>
  </si>
  <si>
    <t>ER_TRANS_PUBLIC_GAS_1</t>
  </si>
  <si>
    <t>ER_BUIL_1</t>
  </si>
  <si>
    <t>ER_BUIL_A_1</t>
  </si>
  <si>
    <t>ER_BUIL_B_1</t>
  </si>
  <si>
    <t>ER_BUIL_C_1</t>
  </si>
  <si>
    <t>ER_BUIL_D_1</t>
  </si>
  <si>
    <t>ER_BUIL_E_1</t>
  </si>
  <si>
    <t>ER_BUIL_F_1</t>
  </si>
  <si>
    <t>ER_BUIL_G_1</t>
  </si>
  <si>
    <t>EMS_DC_04_1</t>
  </si>
  <si>
    <t>EMS_DC_05_1</t>
  </si>
  <si>
    <t>EMS_DC_1</t>
  </si>
  <si>
    <t>EMS_HH_1</t>
  </si>
  <si>
    <t>EMS_HH_21_1</t>
  </si>
  <si>
    <t>EMS_HH_21_H01_1</t>
  </si>
  <si>
    <t>EMS_HH_22_1</t>
  </si>
  <si>
    <t>EMS_HH_22_H01_1</t>
  </si>
  <si>
    <t>EMS_HH_24_1</t>
  </si>
  <si>
    <t>EMS_HH_24_H01_1</t>
  </si>
  <si>
    <t>EMS_SEC_TOT_01_1</t>
  </si>
  <si>
    <t>EMS_SEC_TOT_02_1</t>
  </si>
  <si>
    <t>EMS_SEC_TOT_03_1</t>
  </si>
  <si>
    <t>EMS_SEC_TOT_04_1</t>
  </si>
  <si>
    <t>EMS_SEC_TOT_05_1</t>
  </si>
  <si>
    <t>EMS_SEC_TOT_06_1</t>
  </si>
  <si>
    <t>EMS_SEC_TOT_07_1</t>
  </si>
  <si>
    <t>EMS_SEC_TOT_08_1</t>
  </si>
  <si>
    <t>EMS_SEC_TOT_09_1</t>
  </si>
  <si>
    <t>EMS_SEC_TOT_10_1</t>
  </si>
  <si>
    <t>EMS_SEC_TOT_11_1</t>
  </si>
  <si>
    <t>EMS_SEC_TOT_12_1</t>
  </si>
  <si>
    <t>EMS_SEC_TOT_13_1</t>
  </si>
  <si>
    <t>EMS_SEC_TOT_14_1</t>
  </si>
  <si>
    <t>EMS_SEC_TOT_15_1</t>
  </si>
  <si>
    <t>EMS_SEC_TOT_16_1</t>
  </si>
  <si>
    <t>EMS_SEC_TOT_17_1</t>
  </si>
  <si>
    <t>EMS_SEC_TOT_18_1</t>
  </si>
  <si>
    <t>EMS_SEC_TOT_19_1</t>
  </si>
  <si>
    <t>EMS_SEC_TOT_1</t>
  </si>
  <si>
    <t>EMS_SEC_TOT_20_1</t>
  </si>
  <si>
    <t>EMS_SEC_TOT_21_05_1</t>
  </si>
  <si>
    <t>EMS_SEC_TOT_21_06_1</t>
  </si>
  <si>
    <t>EMS_SEC_TOT_21_07_1</t>
  </si>
  <si>
    <t>EMS_SEC_TOT_21_08_1</t>
  </si>
  <si>
    <t>EMS_SEC_TOT_21_10_1</t>
  </si>
  <si>
    <t>EMS_SEC_TOT_21_12_1</t>
  </si>
  <si>
    <t>EMS_SEC_TOT_21_19_1</t>
  </si>
  <si>
    <t>EMS_SEC_TOT_21_20_1</t>
  </si>
  <si>
    <t>EMS_SEC_TOT_21_2304_1</t>
  </si>
  <si>
    <t>EMS_SEC_TOT_2201_1</t>
  </si>
  <si>
    <t>EMS_SEC_TOT_22_01_1</t>
  </si>
  <si>
    <t>EMS_SEC_TOT_22_02_1</t>
  </si>
  <si>
    <t>EMS_SEC_TOT_22_03_1</t>
  </si>
  <si>
    <t>EMS_SEC_TOT_22_04_1</t>
  </si>
  <si>
    <t>EMS_SEC_TOT_22_05_1</t>
  </si>
  <si>
    <t>EMS_SEC_TOT_22_06_1</t>
  </si>
  <si>
    <t>EMS_SEC_TOT_22_07_1</t>
  </si>
  <si>
    <t>EMS_SEC_TOT_22_08_1</t>
  </si>
  <si>
    <t>EMS_SEC_TOT_22_09_1</t>
  </si>
  <si>
    <t>EMS_SEC_TOT_22_12_1</t>
  </si>
  <si>
    <t>EMS_SEC_TOT_22_13_1</t>
  </si>
  <si>
    <t>EMS_SEC_TOT_22_14_1</t>
  </si>
  <si>
    <t>EMS_SEC_TOT_22_15_1</t>
  </si>
  <si>
    <t>EMS_SEC_TOT_22_16_1</t>
  </si>
  <si>
    <t>EMS_SEC_TOT_22_17_1</t>
  </si>
  <si>
    <t>EMS_SEC_TOT_22_18_1</t>
  </si>
  <si>
    <t>EMS_SEC_TOT_22_19_1</t>
  </si>
  <si>
    <t>EMS_SEC_TOT_22_20_1</t>
  </si>
  <si>
    <t>EMS_SEC_TOT_22_2201_1</t>
  </si>
  <si>
    <t>EMS_SEC_TOT_22_2302_1</t>
  </si>
  <si>
    <t>EMS_SEC_TOT_2302_1</t>
  </si>
  <si>
    <t>EMS_SEC_TOT_2303_1</t>
  </si>
  <si>
    <t>EMS_SEC_TOT_2304_1</t>
  </si>
  <si>
    <t>EMS_SEC_TOT_2401_1</t>
  </si>
  <si>
    <t>EMS_SEC_TOT_24_01_1</t>
  </si>
  <si>
    <t>EMS_SEC_TOT_24_02_1</t>
  </si>
  <si>
    <t>EMS_SEC_TOT_24_03_1</t>
  </si>
  <si>
    <t>EMS_SEC_TOT_24_04_1</t>
  </si>
  <si>
    <t>EMS_SEC_TOT_24_05_1</t>
  </si>
  <si>
    <t>EMS_SEC_TOT_24_06_1</t>
  </si>
  <si>
    <t>EMS_SEC_TOT_24_07_1</t>
  </si>
  <si>
    <t>EMS_SEC_TOT_24_08_1</t>
  </si>
  <si>
    <t>EMS_SEC_TOT_24_09_1</t>
  </si>
  <si>
    <t>EMS_SEC_TOT_24_10_1</t>
  </si>
  <si>
    <t>EMS_SEC_TOT_24_11_1</t>
  </si>
  <si>
    <t>EMS_SEC_TOT_24_12_1</t>
  </si>
  <si>
    <t>EMS_SEC_TOT_24_13_1</t>
  </si>
  <si>
    <t>EMS_SEC_TOT_24_14_1</t>
  </si>
  <si>
    <t>EMS_SEC_TOT_24_15_1</t>
  </si>
  <si>
    <t>EMS_SEC_TOT_24_16_1</t>
  </si>
  <si>
    <t>EMS_SEC_TOT_24_17_1</t>
  </si>
  <si>
    <t>EMS_SEC_TOT_24_18_1</t>
  </si>
  <si>
    <t>EMS_SEC_TOT_24_19_1</t>
  </si>
  <si>
    <t>EMS_SEC_TOT_24_20_1</t>
  </si>
  <si>
    <t>EMS_SEC_TOT_24_2201_1</t>
  </si>
  <si>
    <t>EMS_SEC_TOT_24_2303_1</t>
  </si>
  <si>
    <t>EMS_SEC_TOT_24_2401_1</t>
  </si>
  <si>
    <t>EMS_SECSOU_1</t>
  </si>
  <si>
    <t>EMS_SECSOU_21_1</t>
  </si>
  <si>
    <t>EMS_SECSOU_22_1</t>
  </si>
  <si>
    <t>EMS_SECSOU_24_1</t>
  </si>
  <si>
    <t>EMS_SOU_1</t>
  </si>
  <si>
    <t>EMS_SOU_21_1</t>
  </si>
  <si>
    <t>EMS_SOU_22_1</t>
  </si>
  <si>
    <t>EMS_SOU_24_1</t>
  </si>
  <si>
    <t>EMS_TOT_1</t>
  </si>
  <si>
    <t>Q_MTEP_EP_1</t>
  </si>
  <si>
    <t>Q_MTEP_EP_21_1</t>
  </si>
  <si>
    <t>Q_MTEP_EP_21_21_1</t>
  </si>
  <si>
    <t>Q_MTEP_EP_2201_1</t>
  </si>
  <si>
    <t>Q_MTEP_EP_2202_1</t>
  </si>
  <si>
    <t>Q_MTEP_EP_22_2201_1</t>
  </si>
  <si>
    <t>Q_MTEP_EP_22_2202_1</t>
  </si>
  <si>
    <t>Q_MTEP_EP_2301_1</t>
  </si>
  <si>
    <t>Q_MTEP_EP_2302_1</t>
  </si>
  <si>
    <t>Q_MTEP_EP_2303_1</t>
  </si>
  <si>
    <t>Q_MTEP_EP_2304_1</t>
  </si>
  <si>
    <t>Q_MTEP_EP_2305_1</t>
  </si>
  <si>
    <t>Q_MTEP_EP_2306_1</t>
  </si>
  <si>
    <t>Q_MTEP_EP_2307_1</t>
  </si>
  <si>
    <t>Q_MTEP_EP_2308_1</t>
  </si>
  <si>
    <t>Q_MTEP_EP_23_2301_1</t>
  </si>
  <si>
    <t>Q_MTEP_EP_23_2302_1</t>
  </si>
  <si>
    <t>Q_MTEP_EP_23_2303_1</t>
  </si>
  <si>
    <t>Q_MTEP_EP_23_2304_1</t>
  </si>
  <si>
    <t>Q_MTEP_EP_23_2305_1</t>
  </si>
  <si>
    <t>Q_MTEP_EP_23_2306_1</t>
  </si>
  <si>
    <t>Q_MTEP_EP_23_2307_1</t>
  </si>
  <si>
    <t>Q_MTEP_EP_23_2308_1</t>
  </si>
  <si>
    <t>Q_MTEP_EP_2401_1</t>
  </si>
  <si>
    <t>Q_MTEP_EP_2402_1</t>
  </si>
  <si>
    <t>Q_MTEP_EP_2403_1</t>
  </si>
  <si>
    <t>Q_MTEP_EP_2404_1</t>
  </si>
  <si>
    <t>Q_MTEP_EP_2405_1</t>
  </si>
  <si>
    <t>Q_MTEP_EP_2406_1</t>
  </si>
  <si>
    <t>Q_MTEP_EP_24_2401_1</t>
  </si>
  <si>
    <t>Q_MTEP_EP_24_2402_1</t>
  </si>
  <si>
    <t>Q_MTEP_EP_24_2403_1</t>
  </si>
  <si>
    <t>Q_MTEP_EP_24_2404_1</t>
  </si>
  <si>
    <t>Q_MTEP_EP_24_2405_1</t>
  </si>
  <si>
    <t>Q_MTEP_EP_24_2406_1</t>
  </si>
  <si>
    <t>Q_MTEP_INDUS_21_1</t>
  </si>
  <si>
    <t>Q_MTEP_INDUS_22_1</t>
  </si>
  <si>
    <t>Q_MTEP_INDUS_23_1</t>
  </si>
  <si>
    <t>Q_MTEP_INDUS_24_1</t>
  </si>
  <si>
    <t>PHIY_EF_TOT_22_2201_1</t>
  </si>
  <si>
    <t>PHIY_EF_TOT_22_2202_1</t>
  </si>
  <si>
    <t>PHIY_EF_TOT_23_2301_1</t>
  </si>
  <si>
    <t>PHIY_EF_TOT_23_2302_1</t>
  </si>
  <si>
    <t>PHIY_EF_TOT_23_2303_1</t>
  </si>
  <si>
    <t>PHIY_EF_TOT_23_2304_1</t>
  </si>
  <si>
    <t>PHIY_EF_TOT_23_2305_1</t>
  </si>
  <si>
    <t>PHIY_EF_TOT_23_2306_1</t>
  </si>
  <si>
    <t>PHIY_EF_TOT_23_2307_1</t>
  </si>
  <si>
    <t>PHIY_EF_TOT_23_2308_1</t>
  </si>
  <si>
    <t>PHIY_EF_TOT_24_2401_1</t>
  </si>
  <si>
    <t>PHIY_EF_TOT_24_2402_1</t>
  </si>
  <si>
    <t>PHIY_EF_TOT_24_2403_1</t>
  </si>
  <si>
    <t>PHIY_EF_TOT_24_2404_1</t>
  </si>
  <si>
    <t>PHIY_EF_TOT_24_2405_1</t>
  </si>
  <si>
    <t>PHIY_EF_TOT_24_2406_1</t>
  </si>
  <si>
    <t>IC_HH_22_H01_1</t>
  </si>
  <si>
    <t>ER_TRANS_PRIVATE_coal_1</t>
  </si>
  <si>
    <t>ER_TRANS_PRIVATE_oil_1</t>
  </si>
  <si>
    <t>ER_TRANS_PRIVATE_elec_1</t>
  </si>
  <si>
    <t>ER_TRANS_PRIVATE_gas_1</t>
  </si>
  <si>
    <t>ER_TRANS_PUBLIC_coal_1</t>
  </si>
  <si>
    <t>ER_TRANS_PUBLIC_oil_1</t>
  </si>
  <si>
    <t>ER_TRANS_PUBLIC_elec_1</t>
  </si>
  <si>
    <t>ER_TRANS_PUBLIC_gas_1</t>
  </si>
  <si>
    <t>ER_RESIDENTIAL_coal_1</t>
  </si>
  <si>
    <t>ER_RESIDENTIAL_oil_1</t>
  </si>
  <si>
    <t>ER_RESIDENTIAL_elec_1</t>
  </si>
  <si>
    <t>ER_RESIDENTIAL_gas_1</t>
  </si>
  <si>
    <t>ER_TERTIARY_coal_1</t>
  </si>
  <si>
    <t>ER_TERTIARY_oil_1</t>
  </si>
  <si>
    <t>ER_TERTIARY_elec_1</t>
  </si>
  <si>
    <t>ER_TERTIARY_gas_1</t>
  </si>
  <si>
    <t>ER_INDUS_coal_1</t>
  </si>
  <si>
    <t>ER_INDUS_oil_1</t>
  </si>
  <si>
    <t>ER_INDUS_elec_1</t>
  </si>
  <si>
    <t>ER_INDUS_gas_1</t>
  </si>
  <si>
    <t>Q_Mtep_indus_21_1</t>
  </si>
  <si>
    <t>Q_Mtep_indus_22_1</t>
  </si>
  <si>
    <t>Q_Mtep_indus_23_1</t>
  </si>
  <si>
    <t>Q_Mtep_indus_24_1</t>
  </si>
  <si>
    <t>ER_AGRICULTURE_coal_1</t>
  </si>
  <si>
    <t>ER_AGRICULTURE_oil_1</t>
  </si>
  <si>
    <t>ER_AGRICULTURE_elec_1</t>
  </si>
  <si>
    <t>ER_AGRICULTURE_gas_1</t>
  </si>
  <si>
    <t>Hors chal env PAC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</si>
</sst>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"/>
    <numFmt numFmtId="167" formatCode="0.00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5" fillId="0" borderId="0"/>
  </cellStyleXfs>
  <cellXfs count="276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 applyAlignment="1">
      <alignment horizontal="left" indent="2"/>
    </xf>
    <xf numFmtId="0" fontId="9" fillId="0" borderId="0" xfId="0" applyFont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0" fillId="0" borderId="0" xfId="0" applyNumberFormat="1"/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1" fontId="0" fillId="0" borderId="0" xfId="0" applyNumberFormat="1"/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2" fillId="0" borderId="0" xfId="0" applyNumberFormat="1" applyFont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64" fontId="0" fillId="0" borderId="0" xfId="0" applyNumberFormat="1"/>
    <xf numFmtId="1" fontId="11" fillId="6" borderId="4" xfId="0" applyNumberFormat="1" applyFont="1" applyFill="1" applyBorder="1"/>
    <xf numFmtId="1" fontId="1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right"/>
    </xf>
    <xf numFmtId="1" fontId="11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" fontId="11" fillId="0" borderId="0" xfId="0" applyNumberFormat="1" applyFont="1"/>
    <xf numFmtId="1" fontId="2" fillId="0" borderId="0" xfId="0" applyNumberFormat="1" applyFont="1"/>
    <xf numFmtId="164" fontId="14" fillId="0" borderId="0" xfId="0" applyNumberFormat="1" applyFont="1"/>
    <xf numFmtId="1" fontId="13" fillId="0" borderId="0" xfId="0" applyNumberFormat="1" applyFont="1"/>
    <xf numFmtId="2" fontId="2" fillId="0" borderId="0" xfId="0" applyNumberFormat="1" applyFont="1"/>
    <xf numFmtId="165" fontId="2" fillId="0" borderId="0" xfId="1" applyNumberFormat="1" applyFont="1" applyFill="1" applyBorder="1" applyAlignment="1">
      <alignment horizontal="right"/>
    </xf>
    <xf numFmtId="2" fontId="0" fillId="0" borderId="0" xfId="0" applyNumberFormat="1" applyAlignment="1">
      <alignment horizontal="right"/>
    </xf>
    <xf numFmtId="165" fontId="2" fillId="0" borderId="0" xfId="1" applyNumberFormat="1" applyFont="1" applyFill="1" applyBorder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0" fontId="19" fillId="0" borderId="0" xfId="3" applyFill="1"/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11" fontId="0" fillId="0" borderId="0" xfId="0" applyNumberFormat="1"/>
    <xf numFmtId="0" fontId="2" fillId="2" borderId="1" xfId="0" applyFont="1" applyFill="1" applyBorder="1" applyAlignment="1">
      <alignment horizontal="right" wrapText="1" shrinkToFit="1"/>
    </xf>
    <xf numFmtId="3" fontId="0" fillId="0" borderId="0" xfId="0" applyNumberFormat="1" applyAlignment="1">
      <alignment horizontal="right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165" fontId="0" fillId="0" borderId="36" xfId="0" applyNumberFormat="1" applyBorder="1"/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1" fillId="2" borderId="0" xfId="4" applyFill="1" applyBorder="1"/>
    <xf numFmtId="9" fontId="21" fillId="0" borderId="0" xfId="4" applyNumberFormat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165" fontId="0" fillId="2" borderId="18" xfId="0" applyNumberFormat="1" applyFill="1" applyBorder="1" applyAlignment="1">
      <alignment vertical="center"/>
    </xf>
    <xf numFmtId="165" fontId="0" fillId="2" borderId="37" xfId="0" applyNumberForma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1" fillId="0" borderId="9" xfId="4" applyBorder="1"/>
    <xf numFmtId="165" fontId="21" fillId="2" borderId="17" xfId="4" applyNumberForma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1" fillId="2" borderId="0" xfId="4" applyFill="1"/>
    <xf numFmtId="2" fontId="21" fillId="2" borderId="0" xfId="4" applyNumberFormat="1" applyFill="1" applyBorder="1" applyAlignment="1">
      <alignment horizontal="right"/>
    </xf>
    <xf numFmtId="164" fontId="21" fillId="2" borderId="0" xfId="4" applyNumberFormat="1" applyFill="1"/>
    <xf numFmtId="1" fontId="21" fillId="2" borderId="0" xfId="4" applyNumberFormat="1" applyFill="1"/>
    <xf numFmtId="164" fontId="21" fillId="2" borderId="0" xfId="4" applyNumberFormat="1" applyFill="1" applyBorder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2" fillId="2" borderId="4" xfId="0" applyFont="1" applyFill="1" applyBorder="1" applyAlignment="1">
      <alignment horizontal="left" vertical="center" wrapText="1"/>
    </xf>
    <xf numFmtId="2" fontId="2" fillId="0" borderId="8" xfId="0" applyNumberFormat="1" applyFont="1" applyBorder="1"/>
    <xf numFmtId="1" fontId="2" fillId="0" borderId="2" xfId="0" applyNumberFormat="1" applyFont="1" applyBorder="1"/>
    <xf numFmtId="1" fontId="2" fillId="0" borderId="7" xfId="0" applyNumberFormat="1" applyFont="1" applyBorder="1"/>
    <xf numFmtId="2" fontId="2" fillId="0" borderId="5" xfId="0" applyNumberFormat="1" applyFont="1" applyBorder="1"/>
    <xf numFmtId="0" fontId="2" fillId="0" borderId="5" xfId="0" applyFont="1" applyBorder="1"/>
    <xf numFmtId="2" fontId="2" fillId="0" borderId="9" xfId="0" applyNumberFormat="1" applyFont="1" applyBorder="1"/>
    <xf numFmtId="1" fontId="0" fillId="0" borderId="6" xfId="0" applyNumberFormat="1" applyBorder="1" applyAlignment="1">
      <alignment horizontal="right"/>
    </xf>
    <xf numFmtId="1" fontId="0" fillId="0" borderId="3" xfId="0" applyNumberFormat="1" applyBorder="1"/>
    <xf numFmtId="1" fontId="0" fillId="0" borderId="10" xfId="0" applyNumberFormat="1" applyBorder="1" applyAlignment="1">
      <alignment horizontal="right"/>
    </xf>
    <xf numFmtId="2" fontId="21" fillId="0" borderId="0" xfId="4" applyNumberFormat="1" applyFill="1" applyBorder="1"/>
    <xf numFmtId="1" fontId="21" fillId="0" borderId="0" xfId="4" applyNumberFormat="1" applyFill="1" applyBorder="1"/>
    <xf numFmtId="1" fontId="21" fillId="0" borderId="0" xfId="4" applyNumberFormat="1" applyFill="1" applyBorder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6" xfId="0" applyNumberFormat="1" applyBorder="1" applyAlignment="1">
      <alignment horizontal="right"/>
    </xf>
    <xf numFmtId="9" fontId="0" fillId="0" borderId="3" xfId="0" applyNumberFormat="1" applyBorder="1" applyAlignment="1">
      <alignment horizontal="right"/>
    </xf>
    <xf numFmtId="9" fontId="0" fillId="0" borderId="10" xfId="0" applyNumberFormat="1" applyBorder="1" applyAlignment="1">
      <alignment horizontal="right"/>
    </xf>
    <xf numFmtId="9" fontId="21" fillId="0" borderId="0" xfId="4" applyNumberFormat="1" applyFill="1" applyBorder="1" applyAlignment="1">
      <alignment horizontal="right"/>
    </xf>
    <xf numFmtId="0" fontId="23" fillId="2" borderId="0" xfId="0" applyFont="1" applyFill="1"/>
    <xf numFmtId="0" fontId="24" fillId="2" borderId="0" xfId="0" applyFont="1" applyFill="1"/>
    <xf numFmtId="0" fontId="21" fillId="0" borderId="0" xfId="4" applyFill="1" applyBorder="1"/>
    <xf numFmtId="9" fontId="21" fillId="0" borderId="0" xfId="4" applyNumberFormat="1" applyFill="1" applyBorder="1"/>
    <xf numFmtId="0" fontId="0" fillId="0" borderId="8" xfId="0" applyBorder="1"/>
    <xf numFmtId="0" fontId="0" fillId="0" borderId="5" xfId="0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1" fontId="25" fillId="10" borderId="0" xfId="5" applyNumberFormat="1" applyFont="1" applyFill="1" applyAlignment="1">
      <alignment horizontal="left" vertical="center" wrapText="1"/>
    </xf>
    <xf numFmtId="0" fontId="26" fillId="11" borderId="0" xfId="0" applyFont="1" applyFill="1"/>
    <xf numFmtId="0" fontId="2" fillId="0" borderId="6" xfId="0" applyFont="1" applyBorder="1"/>
    <xf numFmtId="0" fontId="9" fillId="2" borderId="0" xfId="0" applyFont="1" applyFill="1"/>
    <xf numFmtId="0" fontId="0" fillId="2" borderId="6" xfId="0" applyFill="1" applyBorder="1"/>
    <xf numFmtId="0" fontId="2" fillId="2" borderId="6" xfId="0" applyFont="1" applyFill="1" applyBorder="1"/>
    <xf numFmtId="0" fontId="2" fillId="5" borderId="41" xfId="0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/>
    </xf>
    <xf numFmtId="0" fontId="10" fillId="10" borderId="0" xfId="0" applyFont="1" applyFill="1"/>
    <xf numFmtId="0" fontId="16" fillId="0" borderId="0" xfId="0" applyFont="1"/>
    <xf numFmtId="1" fontId="2" fillId="12" borderId="4" xfId="0" applyNumberFormat="1" applyFont="1" applyFill="1" applyBorder="1" applyAlignment="1">
      <alignment horizontal="left"/>
    </xf>
    <xf numFmtId="0" fontId="0" fillId="12" borderId="0" xfId="0" applyFill="1"/>
    <xf numFmtId="164" fontId="11" fillId="12" borderId="4" xfId="0" quotePrefix="1" applyNumberFormat="1" applyFont="1" applyFill="1" applyBorder="1" applyAlignment="1">
      <alignment horizontal="right"/>
    </xf>
    <xf numFmtId="164" fontId="11" fillId="12" borderId="1" xfId="0" applyNumberFormat="1" applyFont="1" applyFill="1" applyBorder="1" applyAlignment="1">
      <alignment horizontal="right"/>
    </xf>
    <xf numFmtId="164" fontId="11" fillId="12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64" fontId="11" fillId="12" borderId="4" xfId="0" applyNumberFormat="1" applyFont="1" applyFill="1" applyBorder="1" applyAlignment="1">
      <alignment horizontal="right"/>
    </xf>
    <xf numFmtId="164" fontId="16" fillId="2" borderId="0" xfId="0" applyNumberFormat="1" applyFont="1" applyFill="1" applyAlignment="1">
      <alignment horizontal="right"/>
    </xf>
    <xf numFmtId="164" fontId="0" fillId="2" borderId="5" xfId="0" applyNumberFormat="1" applyFill="1" applyBorder="1" applyAlignment="1">
      <alignment horizontal="right"/>
    </xf>
    <xf numFmtId="1" fontId="2" fillId="13" borderId="4" xfId="0" applyNumberFormat="1" applyFont="1" applyFill="1" applyBorder="1"/>
    <xf numFmtId="0" fontId="0" fillId="13" borderId="3" xfId="0" applyFill="1" applyBorder="1"/>
    <xf numFmtId="164" fontId="11" fillId="13" borderId="4" xfId="0" applyNumberFormat="1" applyFont="1" applyFill="1" applyBorder="1"/>
    <xf numFmtId="164" fontId="11" fillId="13" borderId="1" xfId="0" applyNumberFormat="1" applyFont="1" applyFill="1" applyBorder="1"/>
    <xf numFmtId="164" fontId="11" fillId="13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2" fontId="16" fillId="2" borderId="0" xfId="0" applyNumberFormat="1" applyFont="1" applyFill="1" applyAlignment="1">
      <alignment horizontal="right"/>
    </xf>
    <xf numFmtId="1" fontId="16" fillId="2" borderId="18" xfId="0" applyNumberFormat="1" applyFont="1" applyFill="1" applyBorder="1" applyAlignment="1">
      <alignment horizontal="right"/>
    </xf>
    <xf numFmtId="1" fontId="11" fillId="3" borderId="1" xfId="0" applyNumberFormat="1" applyFont="1" applyFill="1" applyBorder="1" applyAlignment="1">
      <alignment horizontal="right"/>
    </xf>
    <xf numFmtId="1" fontId="11" fillId="3" borderId="15" xfId="0" applyNumberFormat="1" applyFont="1" applyFill="1" applyBorder="1" applyAlignment="1">
      <alignment horizontal="right"/>
    </xf>
    <xf numFmtId="1" fontId="11" fillId="4" borderId="1" xfId="0" applyNumberFormat="1" applyFont="1" applyFill="1" applyBorder="1"/>
    <xf numFmtId="1" fontId="11" fillId="4" borderId="15" xfId="0" applyNumberFormat="1" applyFont="1" applyFill="1" applyBorder="1"/>
    <xf numFmtId="2" fontId="2" fillId="3" borderId="1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 wrapText="1"/>
    </xf>
    <xf numFmtId="1" fontId="11" fillId="14" borderId="15" xfId="0" applyNumberFormat="1" applyFont="1" applyFill="1" applyBorder="1"/>
    <xf numFmtId="1" fontId="11" fillId="15" borderId="15" xfId="0" applyNumberFormat="1" applyFont="1" applyFill="1" applyBorder="1" applyAlignment="1">
      <alignment horizontal="right"/>
    </xf>
    <xf numFmtId="0" fontId="22" fillId="2" borderId="8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chartsheet" Target="chartsheets/sheet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6.xml"/><Relationship Id="rId5" Type="http://schemas.openxmlformats.org/officeDocument/2006/relationships/chartsheet" Target="chartsheets/sheet2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5.xml"/><Relationship Id="rId19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5.xml"/><Relationship Id="rId14" Type="http://schemas.openxmlformats.org/officeDocument/2006/relationships/worksheet" Target="work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TEND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BD-40DB-A16C-DFF8C658DFE3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BD-40DB-A16C-DFF8C658DFE3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BD-40DB-A16C-DFF8C658DFE3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4BD-40DB-A16C-DFF8C658D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TEND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TEND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TEND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48.191172139726689</c:v>
                </c:pt>
                <c:pt idx="1">
                  <c:v>43.240227509550408</c:v>
                </c:pt>
                <c:pt idx="2">
                  <c:v>43.044749609647582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104.39884414837725</c:v>
                </c:pt>
                <c:pt idx="1">
                  <c:v>96.203757562392099</c:v>
                </c:pt>
                <c:pt idx="2">
                  <c:v>81.603596890438155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23.693183602009505</c:v>
                </c:pt>
                <c:pt idx="1">
                  <c:v>20.250880483066325</c:v>
                </c:pt>
                <c:pt idx="2">
                  <c:v>16.093638896830065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88.216667153243421</c:v>
                </c:pt>
                <c:pt idx="1">
                  <c:v>92.62737863529118</c:v>
                </c:pt>
                <c:pt idx="2">
                  <c:v>104.93521628594898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Graphs'!$B$9</c:f>
          <c:strCache>
            <c:ptCount val="1"/>
            <c:pt idx="0">
              <c:v>TEND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TEND : Ventilation du parc de logements (%)</c:v>
            </c:pt>
          </c:strCache>
        </c:strRef>
      </c:tx>
      <c:layout>
        <c:manualLayout>
          <c:xMode val="edge"/>
          <c:yMode val="edge"/>
          <c:x val="7.517898543132466E-2"/>
          <c:y val="1.6717103152074645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data\shocks\Bilan%20&#233;nergie%20-%20AMErun2%20-%20AMSrun3.xlsx" TargetMode="External"/><Relationship Id="rId1" Type="http://schemas.openxmlformats.org/officeDocument/2006/relationships/externalLinkPath" Target="/GitHub/ThreeME/data/shocks/Bilan%20&#233;nergie%20-%20AMErun2%20-%20AMSrun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v2 "/>
      <sheetName val=" fonds chaleur"/>
      <sheetName val="Cibles THREEME AMS"/>
      <sheetName val="Cibles ThreeME v2 AMS"/>
      <sheetName val="Cibles ThreeME v2 AMS FC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"/>
      <sheetName val="Bilans_E_AMS_Kyoto_run3_2023"/>
      <sheetName val="Bilans_E_AMS_Kyoto_run3_2025"/>
      <sheetName val="Bilans_E_AMS_Kyoto_run3_2028"/>
      <sheetName val="Bilans_E_AMS_Kyoto_run3_2030"/>
      <sheetName val="Bilans_E_AMS_Kyoto_run3_2033"/>
      <sheetName val="Bilans_E_AMS_Kyoto_run3_2035"/>
      <sheetName val="Bilans_E_AMS_Kyoto_run3_2038"/>
      <sheetName val="Bilans_E_AMS_Kyoto_run3_2040"/>
      <sheetName val="Bilans_E_AMS_Kyoto_run3_2045"/>
      <sheetName val="Bilans_E_AMS_Kyoto_run3_2050"/>
      <sheetName val="Bilans_E_AMS_Kyoto_run3"/>
      <sheetName val="Bilans_E_AMS_Kyoto_run3_MTE"/>
      <sheetName val="Bilans_E_AMS_Kyoto_run3_MTE_anc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Bilan énergie - AMErun2 - AMSru"/>
      <sheetName val=" fonds chaleur en tep"/>
      <sheetName val=" fonds chaleur en twh"/>
    </sheetNames>
    <sheetDataSet>
      <sheetData sheetId="0"/>
      <sheetData sheetId="1">
        <row r="22">
          <cell r="D22">
            <v>0.9556818277818554</v>
          </cell>
        </row>
      </sheetData>
      <sheetData sheetId="2"/>
      <sheetData sheetId="3"/>
      <sheetData sheetId="4"/>
      <sheetData sheetId="5">
        <row r="22">
          <cell r="M22">
            <v>0.94256889676315481</v>
          </cell>
        </row>
      </sheetData>
      <sheetData sheetId="6"/>
      <sheetData sheetId="7"/>
      <sheetData sheetId="8"/>
      <sheetData sheetId="9"/>
      <sheetData sheetId="10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1.1415347236508699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0.10895527045374473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1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18.686166128192799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3.5678886111111101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/>
      <sheetData sheetId="13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21.793321666666667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4.4104077777777784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4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21.859968333333335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4.1018563888888897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L13">
            <v>24.298097404469559</v>
          </cell>
        </row>
      </sheetData>
      <sheetData sheetId="16">
        <row r="13">
          <cell r="L13">
            <v>64.055272794649682</v>
          </cell>
          <cell r="T13">
            <v>8.2455072704191767</v>
          </cell>
          <cell r="U13">
            <v>110.31623789955354</v>
          </cell>
          <cell r="V13">
            <v>168.17343522041736</v>
          </cell>
          <cell r="W13">
            <v>131.53831129097264</v>
          </cell>
          <cell r="X13">
            <v>17.908429224736064</v>
          </cell>
        </row>
        <row r="22">
          <cell r="T22">
            <v>2.4899238027122088</v>
          </cell>
          <cell r="U22">
            <v>112.28992403957399</v>
          </cell>
          <cell r="V22">
            <v>122.23887735132044</v>
          </cell>
          <cell r="W22">
            <v>68.197827273818135</v>
          </cell>
          <cell r="X22">
            <v>6.7841435265203538</v>
          </cell>
        </row>
        <row r="30">
          <cell r="T30">
            <v>0</v>
          </cell>
          <cell r="U30">
            <v>16.994133911313323</v>
          </cell>
          <cell r="V30">
            <v>15.992572069761611</v>
          </cell>
          <cell r="W30">
            <v>5.3259859771970728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0.70706396927287185</v>
          </cell>
          <cell r="U37">
            <v>17.593885172405454</v>
          </cell>
          <cell r="V37">
            <v>72.996556103181632</v>
          </cell>
          <cell r="W37">
            <v>3.9976752731894716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9.0201671928645533E-2</v>
          </cell>
          <cell r="U39">
            <v>3.8289980908217579E-4</v>
          </cell>
          <cell r="V39">
            <v>1.4994987295121316</v>
          </cell>
          <cell r="W39">
            <v>0.94378280475996701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32.811205728954405</v>
          </cell>
          <cell r="W40">
            <v>6.5080361221152287</v>
          </cell>
          <cell r="X40">
            <v>0</v>
          </cell>
        </row>
        <row r="41">
          <cell r="T41">
            <v>2.2606527751608563</v>
          </cell>
          <cell r="U41">
            <v>0.83302892187499988</v>
          </cell>
          <cell r="V41">
            <v>0</v>
          </cell>
          <cell r="W41">
            <v>0</v>
          </cell>
          <cell r="X41">
            <v>39.656272012198485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408.63289173322238</v>
          </cell>
        </row>
        <row r="43">
          <cell r="T43">
            <v>34.492480565946664</v>
          </cell>
          <cell r="U43">
            <v>27.107499244386606</v>
          </cell>
          <cell r="V43">
            <v>41.084750674599483</v>
          </cell>
          <cell r="W43">
            <v>21.278250753083572</v>
          </cell>
          <cell r="X43">
            <v>0</v>
          </cell>
        </row>
        <row r="44">
          <cell r="T44">
            <v>0</v>
          </cell>
          <cell r="U44">
            <v>1.7237647195692531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7.0843993210285721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41.900781249999994</v>
          </cell>
        </row>
        <row r="53">
          <cell r="E53">
            <v>12.538633041459809</v>
          </cell>
        </row>
        <row r="54">
          <cell r="E54">
            <v>127.25135409198229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7">
        <row r="13">
          <cell r="L13">
            <v>71.534753758802367</v>
          </cell>
        </row>
      </sheetData>
      <sheetData sheetId="18">
        <row r="13">
          <cell r="L13">
            <v>73.711460432822037</v>
          </cell>
          <cell r="T13">
            <v>7.7746258142900144</v>
          </cell>
          <cell r="U13">
            <v>109.51907717242362</v>
          </cell>
          <cell r="V13">
            <v>175.94122104806229</v>
          </cell>
          <cell r="W13">
            <v>131.24016316985416</v>
          </cell>
          <cell r="X13">
            <v>30.235692409435519</v>
          </cell>
        </row>
        <row r="22">
          <cell r="T22">
            <v>2.2065468915632476</v>
          </cell>
          <cell r="U22">
            <v>107.57006290409642</v>
          </cell>
          <cell r="V22">
            <v>105.84038447625139</v>
          </cell>
          <cell r="W22">
            <v>63.626820842219111</v>
          </cell>
          <cell r="X22">
            <v>15.340301507466149</v>
          </cell>
        </row>
        <row r="30">
          <cell r="T30">
            <v>0</v>
          </cell>
          <cell r="U30">
            <v>16.327213841854732</v>
          </cell>
          <cell r="V30">
            <v>15.783130887728015</v>
          </cell>
          <cell r="W30">
            <v>4.3528828563662758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1.4487991994826963</v>
          </cell>
          <cell r="U37">
            <v>18.534460646102772</v>
          </cell>
          <cell r="V37">
            <v>78.735270640359559</v>
          </cell>
          <cell r="W37">
            <v>3.5803203712753549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8.4265288301735436E-2</v>
          </cell>
          <cell r="U39">
            <v>3.8267455312152764E-4</v>
          </cell>
          <cell r="V39">
            <v>1.9317269815068459</v>
          </cell>
          <cell r="W39">
            <v>0.83294326034961275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41.43976216997369</v>
          </cell>
          <cell r="W40">
            <v>8.0745890957481183</v>
          </cell>
          <cell r="X40">
            <v>0</v>
          </cell>
        </row>
        <row r="41">
          <cell r="T41">
            <v>2.4657875210358444</v>
          </cell>
          <cell r="U41">
            <v>0.85092246484375</v>
          </cell>
          <cell r="V41">
            <v>0</v>
          </cell>
          <cell r="W41">
            <v>0</v>
          </cell>
          <cell r="X41">
            <v>33.466916874810835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344.1701238998171</v>
          </cell>
        </row>
        <row r="43">
          <cell r="T43">
            <v>33.167847610565538</v>
          </cell>
          <cell r="U43">
            <v>25.052429385041094</v>
          </cell>
          <cell r="V43">
            <v>31.509183869953784</v>
          </cell>
          <cell r="W43">
            <v>13.089485167364064</v>
          </cell>
          <cell r="X43">
            <v>0</v>
          </cell>
        </row>
        <row r="44">
          <cell r="T44">
            <v>0</v>
          </cell>
          <cell r="U44">
            <v>1.777675824710524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6.5032741679727843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39.843501953124999</v>
          </cell>
        </row>
        <row r="53">
          <cell r="E53">
            <v>12.411293173801123</v>
          </cell>
        </row>
        <row r="54">
          <cell r="E54">
            <v>120.50577840542185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9">
        <row r="13">
          <cell r="L13">
            <v>60.003896317889257</v>
          </cell>
        </row>
      </sheetData>
      <sheetData sheetId="20">
        <row r="13">
          <cell r="L13">
            <v>50.941346245748719</v>
          </cell>
          <cell r="T13">
            <v>7.1029233048090266</v>
          </cell>
          <cell r="U13">
            <v>109.99437284793218</v>
          </cell>
          <cell r="V13">
            <v>183.08170703950353</v>
          </cell>
          <cell r="W13">
            <v>134.9475862077569</v>
          </cell>
          <cell r="X13">
            <v>46.654707564142761</v>
          </cell>
        </row>
        <row r="22">
          <cell r="T22">
            <v>1.7974129621234143</v>
          </cell>
          <cell r="U22">
            <v>103.53986201693733</v>
          </cell>
          <cell r="V22">
            <v>90.643497547790304</v>
          </cell>
          <cell r="W22">
            <v>64.079034982937259</v>
          </cell>
          <cell r="X22">
            <v>25.624578872483603</v>
          </cell>
        </row>
        <row r="30">
          <cell r="T30">
            <v>0</v>
          </cell>
          <cell r="U30">
            <v>16.103287978552984</v>
          </cell>
          <cell r="V30">
            <v>15.629207143582217</v>
          </cell>
          <cell r="W30">
            <v>3.8620862063760555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2.5129576329044134</v>
          </cell>
          <cell r="U37">
            <v>19.565687098295676</v>
          </cell>
          <cell r="V37">
            <v>86.298448588028648</v>
          </cell>
          <cell r="W37">
            <v>3.3792389882828151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7.8328904674825409E-2</v>
          </cell>
          <cell r="U39">
            <v>3.8067188808088001E-4</v>
          </cell>
          <cell r="V39">
            <v>1.9759423218950023</v>
          </cell>
          <cell r="W39">
            <v>0.77988306826531983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49.305914152356948</v>
          </cell>
          <cell r="W40">
            <v>8.5204805498073064</v>
          </cell>
          <cell r="X40">
            <v>0</v>
          </cell>
        </row>
        <row r="41">
          <cell r="T41">
            <v>2.7366524531426237</v>
          </cell>
          <cell r="U41">
            <v>0.87520713476562495</v>
          </cell>
          <cell r="V41">
            <v>0</v>
          </cell>
          <cell r="W41">
            <v>0</v>
          </cell>
          <cell r="X41">
            <v>28.280041762715456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291.38745921478562</v>
          </cell>
        </row>
        <row r="43">
          <cell r="T43">
            <v>31.378359933180146</v>
          </cell>
          <cell r="U43">
            <v>23.255205938178186</v>
          </cell>
          <cell r="V43">
            <v>24.366054746482678</v>
          </cell>
          <cell r="W43">
            <v>9.1434406229634497</v>
          </cell>
          <cell r="X43">
            <v>0</v>
          </cell>
        </row>
        <row r="44">
          <cell r="T44">
            <v>0</v>
          </cell>
          <cell r="U44">
            <v>1.7744589215827917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6.2002081056415257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39.800271484375003</v>
          </cell>
        </row>
        <row r="53">
          <cell r="E53">
            <v>12.028714359769619</v>
          </cell>
        </row>
        <row r="54">
          <cell r="E54">
            <v>114.78425758185857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0.87448992412119186</v>
          </cell>
        </row>
      </sheetData>
      <sheetData sheetId="21">
        <row r="13">
          <cell r="L13">
            <v>38.942042128507637</v>
          </cell>
        </row>
      </sheetData>
      <sheetData sheetId="22">
        <row r="13">
          <cell r="L13">
            <v>31.055970799843635</v>
          </cell>
          <cell r="T13">
            <v>6.3643203530837074</v>
          </cell>
          <cell r="U13">
            <v>111.80433548215856</v>
          </cell>
          <cell r="V13">
            <v>187.24843332836184</v>
          </cell>
          <cell r="W13">
            <v>138.68432478978596</v>
          </cell>
          <cell r="X13">
            <v>62.086065361885787</v>
          </cell>
        </row>
        <row r="22">
          <cell r="T22">
            <v>1.3434836260904512</v>
          </cell>
          <cell r="U22">
            <v>100.27567229981769</v>
          </cell>
          <cell r="V22">
            <v>84.522095564657249</v>
          </cell>
          <cell r="W22">
            <v>64.55833796318565</v>
          </cell>
          <cell r="X22">
            <v>32.444304612937295</v>
          </cell>
        </row>
        <row r="30">
          <cell r="T30">
            <v>0</v>
          </cell>
          <cell r="U30">
            <v>16.083775404791947</v>
          </cell>
          <cell r="V30">
            <v>15.504434202631401</v>
          </cell>
          <cell r="W30">
            <v>3.5758270456804375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3.6844952632387193</v>
          </cell>
          <cell r="U37">
            <v>20.699069714826329</v>
          </cell>
          <cell r="V37">
            <v>87.012401530952616</v>
          </cell>
          <cell r="W37">
            <v>3.243340348024236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7.2392521047915395E-2</v>
          </cell>
          <cell r="U39">
            <v>3.7866244598879411E-4</v>
          </cell>
          <cell r="V39">
            <v>2.0231633432731213</v>
          </cell>
          <cell r="W39">
            <v>0.74318365128395913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54.219025663639314</v>
          </cell>
          <cell r="W40">
            <v>8.6788063603893928</v>
          </cell>
          <cell r="X40">
            <v>0</v>
          </cell>
        </row>
        <row r="41">
          <cell r="T41">
            <v>3.0029030850571363</v>
          </cell>
          <cell r="U41">
            <v>0.9136629082031249</v>
          </cell>
          <cell r="V41">
            <v>0</v>
          </cell>
          <cell r="W41">
            <v>0</v>
          </cell>
          <cell r="X41">
            <v>24.125777410294155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249.23385066161848</v>
          </cell>
        </row>
        <row r="43">
          <cell r="T43">
            <v>29.471786733039881</v>
          </cell>
          <cell r="U43">
            <v>21.83935294215906</v>
          </cell>
          <cell r="V43">
            <v>17.698191750553285</v>
          </cell>
          <cell r="W43">
            <v>5.759525486283259</v>
          </cell>
          <cell r="X43">
            <v>0</v>
          </cell>
        </row>
        <row r="44">
          <cell r="T44">
            <v>0</v>
          </cell>
          <cell r="U44">
            <v>1.7608774311708451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5.4657298257742912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39.745125000000002</v>
          </cell>
        </row>
        <row r="53">
          <cell r="E53">
            <v>11.766175832538266</v>
          </cell>
        </row>
        <row r="54">
          <cell r="E54">
            <v>109.69308299672531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1.8135973700674786</v>
          </cell>
        </row>
      </sheetData>
      <sheetData sheetId="23">
        <row r="13">
          <cell r="L13">
            <v>16.706363002811486</v>
          </cell>
        </row>
      </sheetData>
      <sheetData sheetId="24">
        <row r="13">
          <cell r="L13">
            <v>12.7985093299136</v>
          </cell>
          <cell r="T13">
            <v>5.5235547180923223</v>
          </cell>
          <cell r="U13">
            <v>114.99790196708234</v>
          </cell>
          <cell r="V13">
            <v>194.47767196350526</v>
          </cell>
          <cell r="W13">
            <v>146.08879967332064</v>
          </cell>
          <cell r="X13">
            <v>80.819270278256823</v>
          </cell>
        </row>
        <row r="22">
          <cell r="T22">
            <v>0.82724150114229067</v>
          </cell>
          <cell r="U22">
            <v>93.244653189496177</v>
          </cell>
          <cell r="V22">
            <v>69.950393796181032</v>
          </cell>
          <cell r="W22">
            <v>63.855416891592903</v>
          </cell>
          <cell r="X22">
            <v>36.333214039569555</v>
          </cell>
        </row>
        <row r="30">
          <cell r="T30">
            <v>0</v>
          </cell>
          <cell r="U30">
            <v>16.21056036467343</v>
          </cell>
          <cell r="V30">
            <v>15.182773802844931</v>
          </cell>
          <cell r="W30">
            <v>3.3506823845440552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5.0054618408177598</v>
          </cell>
          <cell r="U37">
            <v>22.791437377983073</v>
          </cell>
          <cell r="V37">
            <v>86.155325304334795</v>
          </cell>
          <cell r="W37">
            <v>3.0090868580403627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6.051975379409523E-2</v>
          </cell>
          <cell r="U39">
            <v>3.7093504340600874E-4</v>
          </cell>
          <cell r="V39">
            <v>2.1206229173139883</v>
          </cell>
          <cell r="W39">
            <v>0.68093940948821108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66.478227859390046</v>
          </cell>
          <cell r="W40">
            <v>8.6055350400994808</v>
          </cell>
          <cell r="X40">
            <v>0</v>
          </cell>
        </row>
        <row r="41">
          <cell r="T41">
            <v>3.2629555410385191</v>
          </cell>
          <cell r="U41">
            <v>1.007010953125</v>
          </cell>
          <cell r="V41">
            <v>0</v>
          </cell>
          <cell r="W41">
            <v>0</v>
          </cell>
          <cell r="X41">
            <v>20.896591906701669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216.8751541495462</v>
          </cell>
        </row>
        <row r="43">
          <cell r="T43">
            <v>27.219719362233906</v>
          </cell>
          <cell r="U43">
            <v>19.397200033553816</v>
          </cell>
          <cell r="V43">
            <v>5.2094674308398901</v>
          </cell>
          <cell r="W43">
            <v>2.3181271880740835</v>
          </cell>
          <cell r="X43">
            <v>0</v>
          </cell>
        </row>
        <row r="44">
          <cell r="T44">
            <v>0</v>
          </cell>
          <cell r="U44">
            <v>1.7013098714668424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3.6733927919712848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39.599712890625</v>
          </cell>
        </row>
        <row r="53">
          <cell r="E53">
            <v>11.196954266678716</v>
          </cell>
        </row>
        <row r="54">
          <cell r="E54">
            <v>100.05515171814793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3.9154347726113912</v>
          </cell>
        </row>
      </sheetData>
      <sheetData sheetId="25"/>
      <sheetData sheetId="26">
        <row r="13">
          <cell r="L13">
            <v>86.192023090421856</v>
          </cell>
        </row>
      </sheetData>
      <sheetData sheetId="27">
        <row r="13">
          <cell r="L13">
            <v>74.597074661503257</v>
          </cell>
        </row>
      </sheetData>
      <sheetData sheetId="28">
        <row r="13">
          <cell r="L13">
            <v>57.004792385507699</v>
          </cell>
        </row>
      </sheetData>
      <sheetData sheetId="29">
        <row r="13">
          <cell r="L13">
            <v>83.337259091529631</v>
          </cell>
        </row>
      </sheetData>
      <sheetData sheetId="30">
        <row r="13">
          <cell r="L13">
            <v>95.466033511784872</v>
          </cell>
        </row>
      </sheetData>
      <sheetData sheetId="31">
        <row r="13">
          <cell r="L13">
            <v>112.47635741768158</v>
          </cell>
        </row>
      </sheetData>
      <sheetData sheetId="32">
        <row r="13">
          <cell r="L13">
            <v>125.47851234932489</v>
          </cell>
        </row>
      </sheetData>
      <sheetData sheetId="33">
        <row r="13">
          <cell r="L13">
            <v>64.652591069811592</v>
          </cell>
        </row>
      </sheetData>
      <sheetData sheetId="34">
        <row r="13">
          <cell r="L13">
            <v>28.679288227585289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/>
      <sheetData sheetId="10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00"/>
  <sheetViews>
    <sheetView zoomScale="110" zoomScaleNormal="110" workbookViewId="0">
      <pane xSplit="2" ySplit="1" topLeftCell="AR2" activePane="bottomRight" state="frozen"/>
      <selection pane="topRight" activeCell="B1" sqref="B1"/>
      <selection pane="bottomLeft" activeCell="A2" sqref="A2"/>
      <selection pane="bottomRight" activeCell="B2" sqref="B2:AW251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5" max="50" width="11.7109375" customWidth="1"/>
  </cols>
  <sheetData>
    <row r="1" spans="1:49" ht="51.75" thickBot="1" x14ac:dyDescent="0.3">
      <c r="A1" s="236" t="s">
        <v>221</v>
      </c>
      <c r="B1" s="242" t="s">
        <v>157</v>
      </c>
      <c r="C1" s="237">
        <v>2</v>
      </c>
      <c r="D1" s="237">
        <f>C1+1</f>
        <v>3</v>
      </c>
      <c r="E1" s="237">
        <f t="shared" ref="E1:AS1" si="0">D1+1</f>
        <v>4</v>
      </c>
      <c r="F1" s="237">
        <f t="shared" si="0"/>
        <v>5</v>
      </c>
      <c r="G1" s="237">
        <f t="shared" si="0"/>
        <v>6</v>
      </c>
      <c r="H1" s="237">
        <f t="shared" si="0"/>
        <v>7</v>
      </c>
      <c r="I1" s="237">
        <f t="shared" si="0"/>
        <v>8</v>
      </c>
      <c r="J1" s="237">
        <f t="shared" si="0"/>
        <v>9</v>
      </c>
      <c r="K1" s="237">
        <f t="shared" si="0"/>
        <v>10</v>
      </c>
      <c r="L1" s="237">
        <f t="shared" si="0"/>
        <v>11</v>
      </c>
      <c r="M1" s="237">
        <f t="shared" si="0"/>
        <v>12</v>
      </c>
      <c r="N1" s="237">
        <f t="shared" si="0"/>
        <v>13</v>
      </c>
      <c r="O1" s="237">
        <f>N1+1</f>
        <v>14</v>
      </c>
      <c r="P1" s="237">
        <f t="shared" si="0"/>
        <v>15</v>
      </c>
      <c r="Q1" s="237">
        <f t="shared" si="0"/>
        <v>16</v>
      </c>
      <c r="R1" s="237">
        <f t="shared" si="0"/>
        <v>17</v>
      </c>
      <c r="S1" s="237">
        <f t="shared" si="0"/>
        <v>18</v>
      </c>
      <c r="T1" s="237">
        <f t="shared" si="0"/>
        <v>19</v>
      </c>
      <c r="U1" s="237">
        <f t="shared" si="0"/>
        <v>20</v>
      </c>
      <c r="V1" s="237">
        <f t="shared" si="0"/>
        <v>21</v>
      </c>
      <c r="W1" s="237">
        <f t="shared" si="0"/>
        <v>22</v>
      </c>
      <c r="X1" s="237">
        <f t="shared" si="0"/>
        <v>23</v>
      </c>
      <c r="Y1" s="237">
        <f t="shared" si="0"/>
        <v>24</v>
      </c>
      <c r="Z1" s="237">
        <f t="shared" si="0"/>
        <v>25</v>
      </c>
      <c r="AA1" s="237">
        <f t="shared" si="0"/>
        <v>26</v>
      </c>
      <c r="AB1" s="237">
        <f t="shared" si="0"/>
        <v>27</v>
      </c>
      <c r="AC1" s="237">
        <f t="shared" si="0"/>
        <v>28</v>
      </c>
      <c r="AD1" s="237">
        <f t="shared" si="0"/>
        <v>29</v>
      </c>
      <c r="AE1" s="237">
        <f t="shared" si="0"/>
        <v>30</v>
      </c>
      <c r="AF1" s="237">
        <f t="shared" si="0"/>
        <v>31</v>
      </c>
      <c r="AG1" s="237">
        <f t="shared" si="0"/>
        <v>32</v>
      </c>
      <c r="AH1" s="237">
        <f t="shared" si="0"/>
        <v>33</v>
      </c>
      <c r="AI1" s="237">
        <f t="shared" si="0"/>
        <v>34</v>
      </c>
      <c r="AJ1" s="237">
        <f t="shared" si="0"/>
        <v>35</v>
      </c>
      <c r="AK1" s="237">
        <f t="shared" si="0"/>
        <v>36</v>
      </c>
      <c r="AL1" s="237">
        <f t="shared" si="0"/>
        <v>37</v>
      </c>
      <c r="AM1" s="237">
        <f t="shared" si="0"/>
        <v>38</v>
      </c>
      <c r="AN1" s="237">
        <f t="shared" si="0"/>
        <v>39</v>
      </c>
      <c r="AO1" s="237">
        <f t="shared" si="0"/>
        <v>40</v>
      </c>
      <c r="AP1" s="237">
        <f t="shared" si="0"/>
        <v>41</v>
      </c>
      <c r="AQ1" s="237">
        <f t="shared" si="0"/>
        <v>42</v>
      </c>
      <c r="AR1" s="237">
        <f t="shared" si="0"/>
        <v>43</v>
      </c>
      <c r="AS1" s="237">
        <f t="shared" si="0"/>
        <v>44</v>
      </c>
      <c r="AT1" s="237">
        <f>AS1+1</f>
        <v>45</v>
      </c>
      <c r="AU1" s="237">
        <f>AT1+1</f>
        <v>46</v>
      </c>
      <c r="AV1" s="237">
        <f t="shared" ref="AV1:AW1" si="1">AU1+1</f>
        <v>47</v>
      </c>
      <c r="AW1" s="237">
        <f t="shared" si="1"/>
        <v>48</v>
      </c>
    </row>
    <row r="2" spans="1:49" x14ac:dyDescent="0.25">
      <c r="B2" s="244"/>
      <c r="C2">
        <v>2004</v>
      </c>
      <c r="D2">
        <v>2005</v>
      </c>
      <c r="E2">
        <v>2006</v>
      </c>
      <c r="F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6" t="s">
        <v>304</v>
      </c>
      <c r="C3">
        <v>78.155731330970795</v>
      </c>
      <c r="D3">
        <v>79.410546877677106</v>
      </c>
      <c r="E3">
        <v>67.551490169999994</v>
      </c>
      <c r="F3">
        <v>68.689208710000003</v>
      </c>
      <c r="G3">
        <v>65.724789240000007</v>
      </c>
      <c r="H3">
        <v>64.003237729999995</v>
      </c>
      <c r="I3">
        <v>63.384569730000003</v>
      </c>
      <c r="J3">
        <v>61.92620574</v>
      </c>
      <c r="K3">
        <v>60.183522179999997</v>
      </c>
      <c r="L3">
        <v>59.068676000000004</v>
      </c>
      <c r="M3">
        <v>59.177911219999999</v>
      </c>
      <c r="N3">
        <v>59.892673690000002</v>
      </c>
      <c r="O3">
        <v>58.853651589999998</v>
      </c>
      <c r="P3">
        <v>57.289621259999997</v>
      </c>
      <c r="Q3">
        <v>54.998168659999997</v>
      </c>
      <c r="R3">
        <v>53.587889050000001</v>
      </c>
      <c r="S3">
        <v>52.291083999999998</v>
      </c>
      <c r="T3">
        <v>52.249097110000001</v>
      </c>
      <c r="U3">
        <v>52.113714739999999</v>
      </c>
      <c r="V3">
        <v>52.074748130000003</v>
      </c>
      <c r="W3">
        <v>51.75074824</v>
      </c>
      <c r="X3">
        <v>50.977670330000002</v>
      </c>
      <c r="Y3">
        <v>50.422159090000001</v>
      </c>
      <c r="Z3">
        <v>50.105243889999997</v>
      </c>
      <c r="AA3">
        <v>49.77071127</v>
      </c>
      <c r="AB3">
        <v>49.42754583</v>
      </c>
      <c r="AC3">
        <v>48.969308589999997</v>
      </c>
      <c r="AD3">
        <v>48.534868500000002</v>
      </c>
      <c r="AE3">
        <v>48.170154320000002</v>
      </c>
      <c r="AF3">
        <v>47.819669599999997</v>
      </c>
      <c r="AG3">
        <v>47.46470747</v>
      </c>
      <c r="AH3">
        <v>47.12176375</v>
      </c>
      <c r="AI3">
        <v>46.845356389999999</v>
      </c>
      <c r="AJ3">
        <v>46.590174099999999</v>
      </c>
      <c r="AK3">
        <v>46.334505290000003</v>
      </c>
      <c r="AL3">
        <v>46.08791214</v>
      </c>
      <c r="AM3">
        <v>45.851083510000002</v>
      </c>
      <c r="AN3">
        <v>45.585914330000001</v>
      </c>
      <c r="AO3">
        <v>45.313538680000001</v>
      </c>
      <c r="AP3">
        <v>45.025065849999997</v>
      </c>
      <c r="AQ3">
        <v>44.729852479999998</v>
      </c>
      <c r="AR3">
        <v>44.387093700000001</v>
      </c>
      <c r="AS3">
        <v>44.198986329999997</v>
      </c>
      <c r="AT3">
        <v>44.01683104</v>
      </c>
      <c r="AU3">
        <v>43.832223249999998</v>
      </c>
      <c r="AV3">
        <v>43.647248439999998</v>
      </c>
      <c r="AW3">
        <v>43.477726539999999</v>
      </c>
    </row>
    <row r="4" spans="1:49" x14ac:dyDescent="0.25">
      <c r="B4" s="16" t="s">
        <v>305</v>
      </c>
      <c r="C4">
        <v>77.477678819662401</v>
      </c>
      <c r="D4">
        <v>78.721608013977402</v>
      </c>
      <c r="E4">
        <v>66.677101949999894</v>
      </c>
      <c r="F4">
        <v>67.521655030000005</v>
      </c>
      <c r="G4">
        <v>64.342295129999997</v>
      </c>
      <c r="H4">
        <v>62.399637730000002</v>
      </c>
      <c r="I4">
        <v>61.542685810000002</v>
      </c>
      <c r="J4">
        <v>59.87977257</v>
      </c>
      <c r="K4">
        <v>57.95568462</v>
      </c>
      <c r="L4">
        <v>56.64850354</v>
      </c>
      <c r="M4">
        <v>56.52018829</v>
      </c>
      <c r="N4">
        <v>56.967928620000002</v>
      </c>
      <c r="O4">
        <v>55.937858830000003</v>
      </c>
      <c r="P4">
        <v>54.408054659999998</v>
      </c>
      <c r="Q4">
        <v>52.187601860000001</v>
      </c>
      <c r="R4">
        <v>50.803344060000001</v>
      </c>
      <c r="S4">
        <v>49.525834330000002</v>
      </c>
      <c r="T4">
        <v>49.353330020000001</v>
      </c>
      <c r="U4">
        <v>49.09735113</v>
      </c>
      <c r="V4">
        <v>48.936721470000002</v>
      </c>
      <c r="W4">
        <v>48.50463465</v>
      </c>
      <c r="X4">
        <v>47.649046759999997</v>
      </c>
      <c r="Y4">
        <v>47.129960859999997</v>
      </c>
      <c r="Z4">
        <v>46.833898779999998</v>
      </c>
      <c r="AA4">
        <v>46.52137716</v>
      </c>
      <c r="AB4">
        <v>46.199882909999999</v>
      </c>
      <c r="AC4">
        <v>45.770795720000002</v>
      </c>
      <c r="AD4">
        <v>45.367194410000003</v>
      </c>
      <c r="AE4">
        <v>45.02886084</v>
      </c>
      <c r="AF4">
        <v>44.70393378</v>
      </c>
      <c r="AG4">
        <v>44.374535029999997</v>
      </c>
      <c r="AH4">
        <v>44.056480059999998</v>
      </c>
      <c r="AI4">
        <v>43.796834519999997</v>
      </c>
      <c r="AJ4">
        <v>43.556984190000001</v>
      </c>
      <c r="AK4">
        <v>43.31662592</v>
      </c>
      <c r="AL4">
        <v>43.085170640000001</v>
      </c>
      <c r="AM4">
        <v>42.862802090000002</v>
      </c>
      <c r="AN4">
        <v>42.604983959999998</v>
      </c>
      <c r="AO4">
        <v>42.340166760000002</v>
      </c>
      <c r="AP4">
        <v>42.060034680000001</v>
      </c>
      <c r="AQ4">
        <v>41.773320990000002</v>
      </c>
      <c r="AR4">
        <v>41.441915860000002</v>
      </c>
      <c r="AS4">
        <v>41.253018230000002</v>
      </c>
      <c r="AT4">
        <v>41.069495410000002</v>
      </c>
      <c r="AU4">
        <v>40.883496610000002</v>
      </c>
      <c r="AV4">
        <v>40.696962329999998</v>
      </c>
      <c r="AW4">
        <v>40.524631720000002</v>
      </c>
    </row>
    <row r="5" spans="1:49" x14ac:dyDescent="0.25">
      <c r="B5" s="16" t="s">
        <v>306</v>
      </c>
      <c r="C5">
        <v>0.67805251130835598</v>
      </c>
      <c r="D5">
        <v>0.68893886369971102</v>
      </c>
      <c r="E5">
        <v>0.87438821980000003</v>
      </c>
      <c r="F5">
        <v>1.1675536799999999</v>
      </c>
      <c r="G5">
        <v>1.3824941100000001</v>
      </c>
      <c r="H5">
        <v>1.6035999999999999</v>
      </c>
      <c r="I5">
        <v>1.8418839149999999</v>
      </c>
      <c r="J5">
        <v>2.0464331740000001</v>
      </c>
      <c r="K5">
        <v>2.2278375619999999</v>
      </c>
      <c r="L5">
        <v>2.4201724570000001</v>
      </c>
      <c r="M5">
        <v>2.657722927</v>
      </c>
      <c r="N5">
        <v>2.9247450650000002</v>
      </c>
      <c r="O5">
        <v>2.9157927629999998</v>
      </c>
      <c r="P5">
        <v>2.8815666040000001</v>
      </c>
      <c r="Q5">
        <v>2.8105667959999998</v>
      </c>
      <c r="R5">
        <v>2.7845449900000001</v>
      </c>
      <c r="S5">
        <v>2.7652496659999999</v>
      </c>
      <c r="T5">
        <v>2.8957670969999998</v>
      </c>
      <c r="U5">
        <v>3.0163636079999998</v>
      </c>
      <c r="V5">
        <v>3.1380266579999998</v>
      </c>
      <c r="W5">
        <v>3.2461135909999999</v>
      </c>
      <c r="X5">
        <v>3.32862357</v>
      </c>
      <c r="Y5">
        <v>3.292198231</v>
      </c>
      <c r="Z5">
        <v>3.271345116</v>
      </c>
      <c r="AA5">
        <v>3.2493341039999999</v>
      </c>
      <c r="AB5">
        <v>3.2276629209999999</v>
      </c>
      <c r="AC5">
        <v>3.1985128719999998</v>
      </c>
      <c r="AD5">
        <v>3.1676740900000002</v>
      </c>
      <c r="AE5">
        <v>3.1412934739999998</v>
      </c>
      <c r="AF5">
        <v>3.1157358209999999</v>
      </c>
      <c r="AG5">
        <v>3.0901724380000002</v>
      </c>
      <c r="AH5">
        <v>3.0652836919999999</v>
      </c>
      <c r="AI5">
        <v>3.0485218629999999</v>
      </c>
      <c r="AJ5">
        <v>3.0331899180000002</v>
      </c>
      <c r="AK5">
        <v>3.0178793719999999</v>
      </c>
      <c r="AL5">
        <v>3.0027415</v>
      </c>
      <c r="AM5">
        <v>2.9882814170000001</v>
      </c>
      <c r="AN5">
        <v>2.980930367</v>
      </c>
      <c r="AO5">
        <v>2.9733719170000001</v>
      </c>
      <c r="AP5">
        <v>2.96503117</v>
      </c>
      <c r="AQ5">
        <v>2.9565314900000002</v>
      </c>
      <c r="AR5">
        <v>2.945177846</v>
      </c>
      <c r="AS5">
        <v>2.9459680939999999</v>
      </c>
      <c r="AT5">
        <v>2.94733563</v>
      </c>
      <c r="AU5">
        <v>2.9487266409999999</v>
      </c>
      <c r="AV5">
        <v>2.950286111</v>
      </c>
      <c r="AW5">
        <v>2.95309482</v>
      </c>
    </row>
    <row r="6" spans="1:49" x14ac:dyDescent="0.25">
      <c r="B6" s="16" t="s">
        <v>307</v>
      </c>
      <c r="C6">
        <v>28.634797354551999</v>
      </c>
      <c r="D6">
        <v>29.094538288267</v>
      </c>
      <c r="E6">
        <v>26.011154829999999</v>
      </c>
      <c r="F6">
        <v>26.600879729999999</v>
      </c>
      <c r="G6">
        <v>26.96728517</v>
      </c>
      <c r="H6">
        <v>24.796436249999999</v>
      </c>
      <c r="I6">
        <v>25.621568029999999</v>
      </c>
      <c r="J6">
        <v>26.40812639</v>
      </c>
      <c r="K6">
        <v>26.660012460000001</v>
      </c>
      <c r="L6">
        <v>26.49431693</v>
      </c>
      <c r="M6">
        <v>26.2818307</v>
      </c>
      <c r="N6">
        <v>25.64926492</v>
      </c>
      <c r="O6">
        <v>24.189002410000001</v>
      </c>
      <c r="P6">
        <v>23.751548270000001</v>
      </c>
      <c r="Q6">
        <v>23.60016718</v>
      </c>
      <c r="R6">
        <v>22.753894089999999</v>
      </c>
      <c r="S6">
        <v>21.817417760000001</v>
      </c>
      <c r="T6">
        <v>21.692618660000001</v>
      </c>
      <c r="U6">
        <v>21.630837830000001</v>
      </c>
      <c r="V6">
        <v>21.62309861</v>
      </c>
      <c r="W6">
        <v>22.23273082</v>
      </c>
      <c r="X6">
        <v>22.924900149999999</v>
      </c>
      <c r="Y6">
        <v>23.075591330000002</v>
      </c>
      <c r="Z6">
        <v>23.129094810000002</v>
      </c>
      <c r="AA6">
        <v>23.2096178</v>
      </c>
      <c r="AB6">
        <v>23.3053591</v>
      </c>
      <c r="AC6">
        <v>23.440305980000002</v>
      </c>
      <c r="AD6">
        <v>23.250307759999998</v>
      </c>
      <c r="AE6">
        <v>23.052180589999999</v>
      </c>
      <c r="AF6">
        <v>22.852294690000001</v>
      </c>
      <c r="AG6">
        <v>22.618445189999999</v>
      </c>
      <c r="AH6">
        <v>22.397960059999999</v>
      </c>
      <c r="AI6">
        <v>22.06997059</v>
      </c>
      <c r="AJ6">
        <v>21.731768160000001</v>
      </c>
      <c r="AK6">
        <v>21.381995620000001</v>
      </c>
      <c r="AL6">
        <v>21.001239949999999</v>
      </c>
      <c r="AM6">
        <v>20.614884629999999</v>
      </c>
      <c r="AN6">
        <v>20.190791109999999</v>
      </c>
      <c r="AO6">
        <v>19.764014339999999</v>
      </c>
      <c r="AP6">
        <v>19.333684349999999</v>
      </c>
      <c r="AQ6">
        <v>18.902779550000002</v>
      </c>
      <c r="AR6">
        <v>18.484858639999999</v>
      </c>
      <c r="AS6">
        <v>17.948785130000001</v>
      </c>
      <c r="AT6">
        <v>17.412777760000001</v>
      </c>
      <c r="AU6">
        <v>16.876811459999999</v>
      </c>
      <c r="AV6">
        <v>16.341769159999998</v>
      </c>
      <c r="AW6">
        <v>15.813246510000001</v>
      </c>
    </row>
    <row r="7" spans="1:49" x14ac:dyDescent="0.25">
      <c r="B7" s="16" t="s">
        <v>308</v>
      </c>
      <c r="C7">
        <v>0.36749349586970598</v>
      </c>
      <c r="D7">
        <v>0.37339372281503302</v>
      </c>
      <c r="E7">
        <v>0.4232294553</v>
      </c>
      <c r="F7">
        <v>0.43422690269999997</v>
      </c>
      <c r="G7">
        <v>0.44163392870000001</v>
      </c>
      <c r="H7">
        <v>0.40739805140000002</v>
      </c>
      <c r="I7">
        <v>0.42231826030000003</v>
      </c>
      <c r="J7">
        <v>0.43669299039999998</v>
      </c>
      <c r="K7">
        <v>0.44228626729999998</v>
      </c>
      <c r="L7">
        <v>0.44096113129999998</v>
      </c>
      <c r="M7">
        <v>0.4388414813</v>
      </c>
      <c r="N7">
        <v>0.4296664643</v>
      </c>
      <c r="O7">
        <v>0.41331583779999997</v>
      </c>
      <c r="P7">
        <v>0.414436678</v>
      </c>
      <c r="Q7">
        <v>0.42104081840000002</v>
      </c>
      <c r="R7">
        <v>0.4156240471</v>
      </c>
      <c r="S7">
        <v>0.40863597530000001</v>
      </c>
      <c r="T7">
        <v>0.44945823779999999</v>
      </c>
      <c r="U7">
        <v>0.49261360339999999</v>
      </c>
      <c r="V7">
        <v>0.53832428450000003</v>
      </c>
      <c r="W7">
        <v>0.53610892539999999</v>
      </c>
      <c r="X7">
        <v>0.53676701589999998</v>
      </c>
      <c r="Y7">
        <v>0.54332330230000003</v>
      </c>
      <c r="Z7">
        <v>0.5476423077</v>
      </c>
      <c r="AA7">
        <v>0.55264342040000003</v>
      </c>
      <c r="AB7">
        <v>0.55712848420000005</v>
      </c>
      <c r="AC7">
        <v>0.56257946650000001</v>
      </c>
      <c r="AD7">
        <v>0.57225938330000004</v>
      </c>
      <c r="AE7">
        <v>0.58177662480000003</v>
      </c>
      <c r="AF7">
        <v>0.59128174150000001</v>
      </c>
      <c r="AG7">
        <v>0.60071902479999995</v>
      </c>
      <c r="AH7">
        <v>0.61054707850000001</v>
      </c>
      <c r="AI7">
        <v>0.61439081920000005</v>
      </c>
      <c r="AJ7">
        <v>0.61796453839999999</v>
      </c>
      <c r="AK7">
        <v>0.62121089129999996</v>
      </c>
      <c r="AL7">
        <v>0.62414590110000001</v>
      </c>
      <c r="AM7">
        <v>0.62689930360000001</v>
      </c>
      <c r="AN7">
        <v>0.63289112260000002</v>
      </c>
      <c r="AO7">
        <v>0.63874035149999997</v>
      </c>
      <c r="AP7">
        <v>0.64440643320000002</v>
      </c>
      <c r="AQ7">
        <v>0.64997650740000001</v>
      </c>
      <c r="AR7">
        <v>0.65592494950000002</v>
      </c>
      <c r="AS7">
        <v>0.65827044779999999</v>
      </c>
      <c r="AT7">
        <v>0.66050540359999999</v>
      </c>
      <c r="AU7">
        <v>0.66261930489999998</v>
      </c>
      <c r="AV7">
        <v>0.66463729500000002</v>
      </c>
      <c r="AW7">
        <v>0.66678719779999995</v>
      </c>
    </row>
    <row r="8" spans="1:49" x14ac:dyDescent="0.25">
      <c r="B8" t="s">
        <v>309</v>
      </c>
      <c r="C8">
        <v>1.4676116307532601</v>
      </c>
      <c r="D8">
        <v>1.4911746101974399</v>
      </c>
      <c r="E8">
        <v>1.3331427810000001</v>
      </c>
      <c r="F8">
        <v>1.365350759</v>
      </c>
      <c r="G8">
        <v>1.3861705550000001</v>
      </c>
      <c r="H8">
        <v>1.2764385600000001</v>
      </c>
      <c r="I8">
        <v>1.320831925</v>
      </c>
      <c r="J8">
        <v>1.3633603139999999</v>
      </c>
      <c r="K8">
        <v>1.3783661890000001</v>
      </c>
      <c r="L8">
        <v>1.371791779</v>
      </c>
      <c r="M8">
        <v>1.3627691310000001</v>
      </c>
      <c r="N8">
        <v>1.3319036310000001</v>
      </c>
      <c r="O8">
        <v>1.406746082</v>
      </c>
      <c r="P8">
        <v>1.5409750040000001</v>
      </c>
      <c r="Q8">
        <v>1.7028970160000001</v>
      </c>
      <c r="R8">
        <v>1.8216696480000001</v>
      </c>
      <c r="S8">
        <v>1.9346390360000001</v>
      </c>
      <c r="T8">
        <v>1.8594938139999999</v>
      </c>
      <c r="U8">
        <v>1.7882251520000001</v>
      </c>
      <c r="V8">
        <v>1.719457515</v>
      </c>
      <c r="W8">
        <v>1.1331604449999999</v>
      </c>
      <c r="X8">
        <v>0.58330374070000002</v>
      </c>
      <c r="Y8">
        <v>0.587915717</v>
      </c>
      <c r="Z8">
        <v>0.59006467289999998</v>
      </c>
      <c r="AA8">
        <v>0.59291382280000005</v>
      </c>
      <c r="AB8">
        <v>0.5961384595</v>
      </c>
      <c r="AC8">
        <v>0.60037608399999998</v>
      </c>
      <c r="AD8">
        <v>0.60781505329999996</v>
      </c>
      <c r="AE8">
        <v>0.6150738348</v>
      </c>
      <c r="AF8">
        <v>0.62231356819999994</v>
      </c>
      <c r="AG8">
        <v>0.62933304349999997</v>
      </c>
      <c r="AH8">
        <v>0.63675533760000003</v>
      </c>
      <c r="AI8">
        <v>0.64293923669999997</v>
      </c>
      <c r="AJ8">
        <v>0.64884294809999998</v>
      </c>
      <c r="AK8">
        <v>0.65440320299999999</v>
      </c>
      <c r="AL8">
        <v>0.6597287033</v>
      </c>
      <c r="AM8">
        <v>0.66485987319999995</v>
      </c>
      <c r="AN8">
        <v>0.66814294789999995</v>
      </c>
      <c r="AO8">
        <v>0.6712847166</v>
      </c>
      <c r="AP8">
        <v>0.6742444594</v>
      </c>
      <c r="AQ8">
        <v>0.67711515089999996</v>
      </c>
      <c r="AR8">
        <v>0.68038980029999996</v>
      </c>
      <c r="AS8">
        <v>0.93218565590000002</v>
      </c>
      <c r="AT8">
        <v>1.1825494190000001</v>
      </c>
      <c r="AU8">
        <v>1.431357894</v>
      </c>
      <c r="AV8">
        <v>1.6785649629999999</v>
      </c>
      <c r="AW8">
        <v>1.924748468</v>
      </c>
    </row>
    <row r="9" spans="1:49" x14ac:dyDescent="0.25">
      <c r="B9" t="s">
        <v>310</v>
      </c>
      <c r="C9">
        <v>1.4643633957556199</v>
      </c>
      <c r="D9">
        <v>1.4878742237362399</v>
      </c>
      <c r="E9">
        <v>1.330192163</v>
      </c>
      <c r="F9">
        <v>1.2526435140000001</v>
      </c>
      <c r="G9">
        <v>1.169352546</v>
      </c>
      <c r="H9">
        <v>0.99008903329999998</v>
      </c>
      <c r="I9">
        <v>0.94203584959999997</v>
      </c>
      <c r="J9">
        <v>0.89407933939999995</v>
      </c>
      <c r="K9">
        <v>0.8311426355</v>
      </c>
      <c r="L9">
        <v>0.76057961969999999</v>
      </c>
      <c r="M9">
        <v>0.69474321500000003</v>
      </c>
      <c r="N9">
        <v>0.6243388607</v>
      </c>
      <c r="O9">
        <v>0.52285429930000005</v>
      </c>
      <c r="P9">
        <v>0.44352031720000001</v>
      </c>
      <c r="Q9">
        <v>0.42104081840000002</v>
      </c>
      <c r="R9">
        <v>0.4156240471</v>
      </c>
      <c r="S9">
        <v>0.40863597530000001</v>
      </c>
      <c r="T9">
        <v>0.41150741619999998</v>
      </c>
      <c r="U9">
        <v>0.41569830520000001</v>
      </c>
      <c r="V9">
        <v>0.4210876214</v>
      </c>
      <c r="W9">
        <v>0.42672877300000001</v>
      </c>
      <c r="X9">
        <v>0.43427051659999999</v>
      </c>
      <c r="Y9">
        <v>0.44261524320000001</v>
      </c>
      <c r="Z9">
        <v>0.44918834390000001</v>
      </c>
      <c r="AA9">
        <v>0.45636297339999998</v>
      </c>
      <c r="AB9">
        <v>0.46271980350000003</v>
      </c>
      <c r="AC9">
        <v>0.4699132452</v>
      </c>
      <c r="AD9">
        <v>0.4762212394</v>
      </c>
      <c r="AE9">
        <v>0.4823893065</v>
      </c>
      <c r="AF9">
        <v>0.4885434904</v>
      </c>
      <c r="AG9">
        <v>0.4945481759</v>
      </c>
      <c r="AH9">
        <v>0.5008705269</v>
      </c>
      <c r="AI9">
        <v>0.50636031429999995</v>
      </c>
      <c r="AJ9">
        <v>0.51163011650000001</v>
      </c>
      <c r="AK9">
        <v>0.5166291704</v>
      </c>
      <c r="AL9">
        <v>0.52146922790000005</v>
      </c>
      <c r="AM9">
        <v>0.52615500869999998</v>
      </c>
      <c r="AN9">
        <v>0.52940162769999999</v>
      </c>
      <c r="AO9">
        <v>0.53253432629999997</v>
      </c>
      <c r="AP9">
        <v>0.53552039579999999</v>
      </c>
      <c r="AQ9">
        <v>0.53843329610000001</v>
      </c>
      <c r="AR9">
        <v>0.54166531389999995</v>
      </c>
      <c r="AS9">
        <v>0.54370148090000003</v>
      </c>
      <c r="AT9">
        <v>0.54564583700000002</v>
      </c>
      <c r="AU9">
        <v>0.54748965670000005</v>
      </c>
      <c r="AV9">
        <v>0.549253675</v>
      </c>
      <c r="AW9">
        <v>0.55112616530000003</v>
      </c>
    </row>
    <row r="10" spans="1:49" x14ac:dyDescent="0.25">
      <c r="B10" t="s">
        <v>311</v>
      </c>
      <c r="C10">
        <v>0.29584764130791702</v>
      </c>
      <c r="D10">
        <v>0.300597570883747</v>
      </c>
      <c r="E10">
        <v>0.4232294553</v>
      </c>
      <c r="F10">
        <v>0.72906575090000003</v>
      </c>
      <c r="G10">
        <v>1.0164817900000001</v>
      </c>
      <c r="H10">
        <v>1.1669939519999999</v>
      </c>
      <c r="I10">
        <v>1.4199642100000001</v>
      </c>
      <c r="J10">
        <v>1.6539155679999999</v>
      </c>
      <c r="K10">
        <v>1.826155331</v>
      </c>
      <c r="L10">
        <v>1.9279329460000001</v>
      </c>
      <c r="M10">
        <v>1.973454043</v>
      </c>
      <c r="N10">
        <v>1.9234027520000001</v>
      </c>
      <c r="O10">
        <v>2.03040551</v>
      </c>
      <c r="P10">
        <v>2.2231234409999998</v>
      </c>
      <c r="Q10">
        <v>2.4557411870000001</v>
      </c>
      <c r="R10">
        <v>2.6260974080000001</v>
      </c>
      <c r="S10">
        <v>2.7880811630000002</v>
      </c>
      <c r="T10">
        <v>2.9393945260000001</v>
      </c>
      <c r="U10">
        <v>3.1032285970000002</v>
      </c>
      <c r="V10">
        <v>3.2799489770000001</v>
      </c>
      <c r="W10">
        <v>3.5958976370000002</v>
      </c>
      <c r="X10">
        <v>3.9138477780000001</v>
      </c>
      <c r="Y10">
        <v>4.2083932519999996</v>
      </c>
      <c r="Z10">
        <v>4.4897453540000001</v>
      </c>
      <c r="AA10">
        <v>4.7801020830000001</v>
      </c>
      <c r="AB10">
        <v>4.9866306439999999</v>
      </c>
      <c r="AC10">
        <v>5.2039778940000003</v>
      </c>
      <c r="AD10">
        <v>5.5183098160000004</v>
      </c>
      <c r="AE10">
        <v>5.8316487940000004</v>
      </c>
      <c r="AF10">
        <v>6.1453505420000001</v>
      </c>
      <c r="AG10">
        <v>6.4701382369999996</v>
      </c>
      <c r="AH10">
        <v>6.7996457000000001</v>
      </c>
      <c r="AI10">
        <v>7.1298591650000001</v>
      </c>
      <c r="AJ10">
        <v>7.4572536649999996</v>
      </c>
      <c r="AK10">
        <v>7.780733058</v>
      </c>
      <c r="AL10">
        <v>8.112588702</v>
      </c>
      <c r="AM10">
        <v>8.441770794</v>
      </c>
      <c r="AN10">
        <v>8.7598288709999999</v>
      </c>
      <c r="AO10">
        <v>9.0752003489999904</v>
      </c>
      <c r="AP10">
        <v>9.3871618750000003</v>
      </c>
      <c r="AQ10">
        <v>9.6968437139999999</v>
      </c>
      <c r="AR10">
        <v>10.01141361</v>
      </c>
      <c r="AS10">
        <v>10.2877046</v>
      </c>
      <c r="AT10">
        <v>10.56103781</v>
      </c>
      <c r="AU10">
        <v>10.831144500000001</v>
      </c>
      <c r="AV10">
        <v>11.09833881</v>
      </c>
      <c r="AW10">
        <v>11.366427399999999</v>
      </c>
    </row>
    <row r="11" spans="1:49" x14ac:dyDescent="0.25">
      <c r="B11" t="s">
        <v>312</v>
      </c>
      <c r="C11">
        <v>6.65657192942814E-2</v>
      </c>
      <c r="D11">
        <v>6.7634453448843099E-2</v>
      </c>
      <c r="E11">
        <v>0.4232294553</v>
      </c>
      <c r="F11">
        <v>0.4544578655</v>
      </c>
      <c r="G11">
        <v>0.48949604159999999</v>
      </c>
      <c r="H11">
        <v>0.48492902589999998</v>
      </c>
      <c r="I11">
        <v>0.54857411290000002</v>
      </c>
      <c r="J11">
        <v>0.6301664508</v>
      </c>
      <c r="K11">
        <v>0.72274532020000004</v>
      </c>
      <c r="L11">
        <v>0.83231013539999998</v>
      </c>
      <c r="M11">
        <v>0.97576329809999995</v>
      </c>
      <c r="N11">
        <v>1.1468141409999999</v>
      </c>
      <c r="O11">
        <v>1.182586476</v>
      </c>
      <c r="P11">
        <v>1.2682986549999999</v>
      </c>
      <c r="Q11">
        <v>1.375412705</v>
      </c>
      <c r="R11">
        <v>1.44671807</v>
      </c>
      <c r="S11">
        <v>1.5132396079999999</v>
      </c>
      <c r="T11">
        <v>1.565029343</v>
      </c>
      <c r="U11">
        <v>1.6228044639999999</v>
      </c>
      <c r="V11">
        <v>1.686489036</v>
      </c>
      <c r="W11">
        <v>1.794090306</v>
      </c>
      <c r="X11">
        <v>1.9053025079999999</v>
      </c>
      <c r="Y11">
        <v>2.041942283</v>
      </c>
      <c r="Z11">
        <v>2.1720740620000001</v>
      </c>
      <c r="AA11">
        <v>2.3064791439999999</v>
      </c>
      <c r="AB11">
        <v>2.4420773730000001</v>
      </c>
      <c r="AC11">
        <v>2.5834238140000001</v>
      </c>
      <c r="AD11">
        <v>2.8769040349999999</v>
      </c>
      <c r="AE11">
        <v>3.1702042590000001</v>
      </c>
      <c r="AF11">
        <v>3.4639749430000002</v>
      </c>
      <c r="AG11">
        <v>3.7701536330000001</v>
      </c>
      <c r="AH11">
        <v>4.0793502510000001</v>
      </c>
      <c r="AI11">
        <v>4.3943365339999998</v>
      </c>
      <c r="AJ11">
        <v>4.7077081779999999</v>
      </c>
      <c r="AK11">
        <v>5.0186215179999998</v>
      </c>
      <c r="AL11">
        <v>5.3392224109999997</v>
      </c>
      <c r="AM11">
        <v>5.6579548129999999</v>
      </c>
      <c r="AN11">
        <v>5.9736626959999999</v>
      </c>
      <c r="AO11">
        <v>6.2872388380000004</v>
      </c>
      <c r="AP11">
        <v>6.5981218769999996</v>
      </c>
      <c r="AQ11">
        <v>6.9070507130000003</v>
      </c>
      <c r="AR11">
        <v>7.2191662680000004</v>
      </c>
      <c r="AS11">
        <v>7.370140191</v>
      </c>
      <c r="AT11">
        <v>7.5192362360000002</v>
      </c>
      <c r="AU11">
        <v>7.666282346</v>
      </c>
      <c r="AV11">
        <v>7.8115190139999999</v>
      </c>
      <c r="AW11">
        <v>7.9576251019999997</v>
      </c>
    </row>
    <row r="12" spans="1:49" x14ac:dyDescent="0.25">
      <c r="B12" t="s">
        <v>313</v>
      </c>
      <c r="C12">
        <v>3.32767453113023</v>
      </c>
      <c r="D12">
        <v>3.3811014220943498</v>
      </c>
      <c r="E12">
        <v>3.0227787679999998</v>
      </c>
      <c r="F12">
        <v>2.9824416870000001</v>
      </c>
      <c r="G12">
        <v>2.917040251</v>
      </c>
      <c r="H12">
        <v>2.5877582100000001</v>
      </c>
      <c r="I12">
        <v>2.5797009540000002</v>
      </c>
      <c r="J12">
        <v>2.5652546410000001</v>
      </c>
      <c r="K12">
        <v>2.498517943</v>
      </c>
      <c r="L12">
        <v>2.3955436269999999</v>
      </c>
      <c r="M12">
        <v>2.2926417849999998</v>
      </c>
      <c r="N12">
        <v>2.1586624940000001</v>
      </c>
      <c r="O12">
        <v>2.296708132</v>
      </c>
      <c r="P12">
        <v>2.5317008539999999</v>
      </c>
      <c r="Q12">
        <v>2.8130035769999999</v>
      </c>
      <c r="R12">
        <v>3.023587343</v>
      </c>
      <c r="S12">
        <v>3.224641198</v>
      </c>
      <c r="T12">
        <v>3.3922106699999999</v>
      </c>
      <c r="U12">
        <v>3.5740627229999999</v>
      </c>
      <c r="V12">
        <v>3.7705529439999999</v>
      </c>
      <c r="W12">
        <v>3.67166755</v>
      </c>
      <c r="X12">
        <v>3.5968324090000001</v>
      </c>
      <c r="Y12">
        <v>3.6236212390000002</v>
      </c>
      <c r="Z12">
        <v>3.6352014549999998</v>
      </c>
      <c r="AA12">
        <v>3.6510723280000001</v>
      </c>
      <c r="AB12">
        <v>3.669917243</v>
      </c>
      <c r="AC12">
        <v>3.6949851150000002</v>
      </c>
      <c r="AD12">
        <v>3.7381747810000001</v>
      </c>
      <c r="AE12">
        <v>3.780249585</v>
      </c>
      <c r="AF12">
        <v>3.82220168</v>
      </c>
      <c r="AG12">
        <v>3.862958248</v>
      </c>
      <c r="AH12">
        <v>3.9061820539999998</v>
      </c>
      <c r="AI12">
        <v>3.9427704170000002</v>
      </c>
      <c r="AJ12">
        <v>3.9776390849999999</v>
      </c>
      <c r="AK12">
        <v>4.0104020760000001</v>
      </c>
      <c r="AL12">
        <v>4.041855043</v>
      </c>
      <c r="AM12">
        <v>4.0721186869999997</v>
      </c>
      <c r="AN12">
        <v>4.091193155</v>
      </c>
      <c r="AO12">
        <v>4.1094054919999996</v>
      </c>
      <c r="AP12">
        <v>4.1265070709999998</v>
      </c>
      <c r="AQ12">
        <v>4.1430675280000004</v>
      </c>
      <c r="AR12">
        <v>4.1621030389999998</v>
      </c>
      <c r="AS12">
        <v>4.1607831170000003</v>
      </c>
      <c r="AT12">
        <v>4.1588473629999996</v>
      </c>
      <c r="AU12">
        <v>4.1562363690000002</v>
      </c>
      <c r="AV12">
        <v>4.1531143730000002</v>
      </c>
      <c r="AW12">
        <v>4.1509048140000004</v>
      </c>
    </row>
    <row r="13" spans="1:49" x14ac:dyDescent="0.25">
      <c r="B13" t="s">
        <v>314</v>
      </c>
      <c r="C13">
        <v>0.21556468620722</v>
      </c>
      <c r="D13">
        <v>0.21902564697065</v>
      </c>
      <c r="E13">
        <v>0.4232294553</v>
      </c>
      <c r="F13">
        <v>0.45779584600000001</v>
      </c>
      <c r="G13">
        <v>0.49238806410000002</v>
      </c>
      <c r="H13">
        <v>0.48182308429999998</v>
      </c>
      <c r="I13">
        <v>0.53144253060000002</v>
      </c>
      <c r="J13">
        <v>0.58647213440000001</v>
      </c>
      <c r="K13">
        <v>0.63578671499999995</v>
      </c>
      <c r="L13">
        <v>0.68044892180000005</v>
      </c>
      <c r="M13">
        <v>0.72895811929999998</v>
      </c>
      <c r="N13">
        <v>0.77036259060000001</v>
      </c>
      <c r="O13">
        <v>0.71665726959999998</v>
      </c>
      <c r="P13">
        <v>0.69326140329999997</v>
      </c>
      <c r="Q13">
        <v>0.67761856490000005</v>
      </c>
      <c r="R13">
        <v>0.64156675559999998</v>
      </c>
      <c r="S13">
        <v>0.60287888410000001</v>
      </c>
      <c r="T13">
        <v>0.62659230649999997</v>
      </c>
      <c r="U13">
        <v>0.65277259580000002</v>
      </c>
      <c r="V13">
        <v>0.68141735820000005</v>
      </c>
      <c r="W13">
        <v>0.83938655019999997</v>
      </c>
      <c r="X13">
        <v>0.99342583719999999</v>
      </c>
      <c r="Y13">
        <v>1.036260068</v>
      </c>
      <c r="Z13">
        <v>1.0753418079999999</v>
      </c>
      <c r="AA13">
        <v>1.1161875160000001</v>
      </c>
      <c r="AB13">
        <v>1.1566016180000001</v>
      </c>
      <c r="AC13">
        <v>1.199427209</v>
      </c>
      <c r="AD13">
        <v>1.221879132</v>
      </c>
      <c r="AE13">
        <v>1.2439883599999999</v>
      </c>
      <c r="AF13">
        <v>1.266075571</v>
      </c>
      <c r="AG13">
        <v>1.2882577710000001</v>
      </c>
      <c r="AH13">
        <v>1.311282439</v>
      </c>
      <c r="AI13">
        <v>1.3831185909999999</v>
      </c>
      <c r="AJ13">
        <v>1.45441646</v>
      </c>
      <c r="AK13">
        <v>1.524951677</v>
      </c>
      <c r="AL13">
        <v>1.597649764</v>
      </c>
      <c r="AM13">
        <v>1.6698135089999999</v>
      </c>
      <c r="AN13">
        <v>1.6894735940000001</v>
      </c>
      <c r="AO13">
        <v>1.7087419260000001</v>
      </c>
      <c r="AP13">
        <v>1.7275077160000001</v>
      </c>
      <c r="AQ13">
        <v>1.7460023950000001</v>
      </c>
      <c r="AR13">
        <v>1.7655016720000001</v>
      </c>
      <c r="AS13">
        <v>1.7832946000000001</v>
      </c>
      <c r="AT13">
        <v>1.8007293390000001</v>
      </c>
      <c r="AU13">
        <v>1.817772427</v>
      </c>
      <c r="AV13">
        <v>1.834488216</v>
      </c>
      <c r="AW13">
        <v>1.8515056430000001</v>
      </c>
    </row>
    <row r="14" spans="1:49" x14ac:dyDescent="0.25">
      <c r="B14" t="s">
        <v>315</v>
      </c>
      <c r="C14">
        <v>35.839918454870201</v>
      </c>
      <c r="D14">
        <v>36.415339938413297</v>
      </c>
      <c r="E14">
        <v>33.390186370000002</v>
      </c>
      <c r="F14">
        <v>34.276862059999999</v>
      </c>
      <c r="G14">
        <v>34.879848350000003</v>
      </c>
      <c r="H14">
        <v>32.191866159999996</v>
      </c>
      <c r="I14">
        <v>33.38643587</v>
      </c>
      <c r="J14">
        <v>34.538067830000003</v>
      </c>
      <c r="K14">
        <v>34.995012860000003</v>
      </c>
      <c r="L14">
        <v>34.903885090000003</v>
      </c>
      <c r="M14">
        <v>34.74900178</v>
      </c>
      <c r="N14">
        <v>34.034415850000002</v>
      </c>
      <c r="O14">
        <v>32.758276019999997</v>
      </c>
      <c r="P14">
        <v>32.866864620000001</v>
      </c>
      <c r="Q14">
        <v>33.46692187</v>
      </c>
      <c r="R14">
        <v>33.14478141</v>
      </c>
      <c r="S14">
        <v>32.6981696</v>
      </c>
      <c r="T14">
        <v>32.936304970000002</v>
      </c>
      <c r="U14">
        <v>33.28024327</v>
      </c>
      <c r="V14">
        <v>33.720376340000001</v>
      </c>
      <c r="W14">
        <v>34.22977101</v>
      </c>
      <c r="X14">
        <v>34.888649950000001</v>
      </c>
      <c r="Y14">
        <v>35.559662430000003</v>
      </c>
      <c r="Z14">
        <v>36.088352810000004</v>
      </c>
      <c r="AA14">
        <v>36.665379080000001</v>
      </c>
      <c r="AB14">
        <v>37.176572729999997</v>
      </c>
      <c r="AC14">
        <v>37.75498881</v>
      </c>
      <c r="AD14">
        <v>38.261871200000002</v>
      </c>
      <c r="AE14">
        <v>38.757511350000001</v>
      </c>
      <c r="AF14">
        <v>39.252036230000002</v>
      </c>
      <c r="AG14">
        <v>39.734553320000003</v>
      </c>
      <c r="AH14">
        <v>40.242593450000001</v>
      </c>
      <c r="AI14">
        <v>40.68374567</v>
      </c>
      <c r="AJ14">
        <v>41.107223150000003</v>
      </c>
      <c r="AK14">
        <v>41.508947220000003</v>
      </c>
      <c r="AL14">
        <v>41.897899709999997</v>
      </c>
      <c r="AM14">
        <v>42.274456620000002</v>
      </c>
      <c r="AN14">
        <v>42.535385130000002</v>
      </c>
      <c r="AO14">
        <v>42.78716034</v>
      </c>
      <c r="AP14">
        <v>43.027154179999997</v>
      </c>
      <c r="AQ14">
        <v>43.26126885</v>
      </c>
      <c r="AR14">
        <v>43.521023290000002</v>
      </c>
      <c r="AS14">
        <v>43.684865219999999</v>
      </c>
      <c r="AT14">
        <v>43.841329170000002</v>
      </c>
      <c r="AU14">
        <v>43.989713960000003</v>
      </c>
      <c r="AV14">
        <v>44.131685509999997</v>
      </c>
      <c r="AW14">
        <v>44.282371300000001</v>
      </c>
    </row>
    <row r="15" spans="1:49" x14ac:dyDescent="0.25">
      <c r="B15" t="s">
        <v>316</v>
      </c>
      <c r="C15">
        <v>36.006525643363197</v>
      </c>
      <c r="D15">
        <v>36.584622059208101</v>
      </c>
      <c r="E15">
        <v>32.766873199999999</v>
      </c>
      <c r="F15">
        <v>33.612290829999999</v>
      </c>
      <c r="G15">
        <v>33.294327539999998</v>
      </c>
      <c r="H15">
        <v>32.463674179999998</v>
      </c>
      <c r="I15">
        <v>33.735315819999997</v>
      </c>
      <c r="J15">
        <v>34.212578260000001</v>
      </c>
      <c r="K15">
        <v>33.492509259999999</v>
      </c>
      <c r="L15">
        <v>33.34313238</v>
      </c>
      <c r="M15">
        <v>33.983453730000001</v>
      </c>
      <c r="N15">
        <v>35.110269209999998</v>
      </c>
      <c r="O15">
        <v>35.926701979999997</v>
      </c>
      <c r="P15">
        <v>36.173968019999997</v>
      </c>
      <c r="Q15">
        <v>34.934135609999998</v>
      </c>
      <c r="R15">
        <v>34.176836379999997</v>
      </c>
      <c r="S15">
        <v>33.649678010000002</v>
      </c>
      <c r="T15">
        <v>33.388886200000002</v>
      </c>
      <c r="U15">
        <v>33.378496939999998</v>
      </c>
      <c r="V15">
        <v>33.479590950000002</v>
      </c>
      <c r="W15">
        <v>33.456013519999999</v>
      </c>
      <c r="X15">
        <v>33.608664019999999</v>
      </c>
      <c r="Y15">
        <v>33.881203300000003</v>
      </c>
      <c r="Z15">
        <v>34.255651409999999</v>
      </c>
      <c r="AA15">
        <v>34.470950260000002</v>
      </c>
      <c r="AB15">
        <v>34.693004449999997</v>
      </c>
      <c r="AC15">
        <v>34.914453700000003</v>
      </c>
      <c r="AD15">
        <v>35.17306018</v>
      </c>
      <c r="AE15">
        <v>35.39732995</v>
      </c>
      <c r="AF15">
        <v>35.63115518</v>
      </c>
      <c r="AG15">
        <v>35.834608690000003</v>
      </c>
      <c r="AH15">
        <v>36.028673009999999</v>
      </c>
      <c r="AI15">
        <v>36.152702329999997</v>
      </c>
      <c r="AJ15">
        <v>36.278308760000002</v>
      </c>
      <c r="AK15">
        <v>36.397069170000002</v>
      </c>
      <c r="AL15">
        <v>36.51702908</v>
      </c>
      <c r="AM15">
        <v>36.638129169999999</v>
      </c>
      <c r="AN15">
        <v>36.596197349999997</v>
      </c>
      <c r="AO15">
        <v>36.563107619999997</v>
      </c>
      <c r="AP15">
        <v>36.519105609999997</v>
      </c>
      <c r="AQ15">
        <v>36.470166130000003</v>
      </c>
      <c r="AR15">
        <v>36.402320529999997</v>
      </c>
      <c r="AS15">
        <v>36.350305810000002</v>
      </c>
      <c r="AT15">
        <v>36.289009210000003</v>
      </c>
      <c r="AU15">
        <v>36.21501799</v>
      </c>
      <c r="AV15">
        <v>36.129881560000001</v>
      </c>
      <c r="AW15">
        <v>36.04547891</v>
      </c>
    </row>
    <row r="16" spans="1:49" x14ac:dyDescent="0.25">
      <c r="B16" t="s">
        <v>317</v>
      </c>
      <c r="C16">
        <v>33.108335480742298</v>
      </c>
      <c r="D16">
        <v>33.639900516080203</v>
      </c>
      <c r="E16">
        <v>29.611875959999999</v>
      </c>
      <c r="F16">
        <v>29.454370300000001</v>
      </c>
      <c r="G16">
        <v>28.291208350000002</v>
      </c>
      <c r="H16">
        <v>26.749575419999999</v>
      </c>
      <c r="I16">
        <v>26.955649869999998</v>
      </c>
      <c r="J16">
        <v>26.509648909999999</v>
      </c>
      <c r="K16">
        <v>25.166677709999998</v>
      </c>
      <c r="L16">
        <v>24.29204451</v>
      </c>
      <c r="M16">
        <v>24.001040740000001</v>
      </c>
      <c r="N16">
        <v>24.0387883</v>
      </c>
      <c r="O16">
        <v>24.491077520000001</v>
      </c>
      <c r="P16">
        <v>24.552402319999999</v>
      </c>
      <c r="Q16">
        <v>23.607515240000001</v>
      </c>
      <c r="R16">
        <v>22.99480174</v>
      </c>
      <c r="S16">
        <v>22.54090338</v>
      </c>
      <c r="T16">
        <v>21.461478400000001</v>
      </c>
      <c r="U16">
        <v>20.528736769999998</v>
      </c>
      <c r="V16">
        <v>19.639575019999999</v>
      </c>
      <c r="W16">
        <v>20.670283000000001</v>
      </c>
      <c r="X16">
        <v>21.76013618</v>
      </c>
      <c r="Y16">
        <v>21.711120600000001</v>
      </c>
      <c r="Z16">
        <v>21.722749260000001</v>
      </c>
      <c r="AA16">
        <v>21.629168310000001</v>
      </c>
      <c r="AB16">
        <v>21.530657040000001</v>
      </c>
      <c r="AC16">
        <v>21.428462119999999</v>
      </c>
      <c r="AD16">
        <v>21.377805609999999</v>
      </c>
      <c r="AE16">
        <v>21.304805380000001</v>
      </c>
      <c r="AF16">
        <v>21.236243000000002</v>
      </c>
      <c r="AG16">
        <v>21.143459499999999</v>
      </c>
      <c r="AH16">
        <v>21.044225869999998</v>
      </c>
      <c r="AI16">
        <v>21.019504059999999</v>
      </c>
      <c r="AJ16">
        <v>20.995464599999998</v>
      </c>
      <c r="AK16">
        <v>20.967244130000001</v>
      </c>
      <c r="AL16">
        <v>20.93732962</v>
      </c>
      <c r="AM16">
        <v>20.90784481</v>
      </c>
      <c r="AN16">
        <v>20.75858449</v>
      </c>
      <c r="AO16">
        <v>20.614737300000002</v>
      </c>
      <c r="AP16">
        <v>20.465141599999999</v>
      </c>
      <c r="AQ16">
        <v>20.31323639</v>
      </c>
      <c r="AR16">
        <v>20.151338750000001</v>
      </c>
      <c r="AS16">
        <v>19.99534611</v>
      </c>
      <c r="AT16">
        <v>19.834170109999999</v>
      </c>
      <c r="AU16">
        <v>19.666055069999999</v>
      </c>
      <c r="AV16">
        <v>19.491971410000001</v>
      </c>
      <c r="AW16">
        <v>19.318404600000001</v>
      </c>
    </row>
    <row r="17" spans="2:49" x14ac:dyDescent="0.25">
      <c r="B17" t="s">
        <v>318</v>
      </c>
      <c r="C17">
        <v>1.54983431156195</v>
      </c>
      <c r="D17">
        <v>1.57471740274219</v>
      </c>
      <c r="E17">
        <v>1.3861615430000001</v>
      </c>
      <c r="F17">
        <v>2.2617004870000001</v>
      </c>
      <c r="G17">
        <v>3.0163195630000001</v>
      </c>
      <c r="H17">
        <v>3.6369205280000001</v>
      </c>
      <c r="I17">
        <v>4.4305511790000001</v>
      </c>
      <c r="J17">
        <v>5.0690048010000002</v>
      </c>
      <c r="K17">
        <v>5.4283099269999999</v>
      </c>
      <c r="L17">
        <v>5.7505028190000003</v>
      </c>
      <c r="M17">
        <v>6.0690241140000003</v>
      </c>
      <c r="N17">
        <v>6.3033491110000002</v>
      </c>
      <c r="O17">
        <v>6.5239854270000004</v>
      </c>
      <c r="P17">
        <v>6.6433246849999996</v>
      </c>
      <c r="Q17">
        <v>6.4873877999999996</v>
      </c>
      <c r="R17">
        <v>6.4168307970000003</v>
      </c>
      <c r="S17">
        <v>6.3867263379999999</v>
      </c>
      <c r="T17">
        <v>6.5048344880000002</v>
      </c>
      <c r="U17">
        <v>6.6743695110000001</v>
      </c>
      <c r="V17">
        <v>6.8708254709999999</v>
      </c>
      <c r="W17">
        <v>6.9352449920000003</v>
      </c>
      <c r="X17">
        <v>7.0328979330000001</v>
      </c>
      <c r="Y17">
        <v>7.1775096569999999</v>
      </c>
      <c r="Z17">
        <v>7.3455198299999998</v>
      </c>
      <c r="AA17">
        <v>7.4810685699999997</v>
      </c>
      <c r="AB17">
        <v>7.6199170079999998</v>
      </c>
      <c r="AC17">
        <v>7.7598935549999997</v>
      </c>
      <c r="AD17">
        <v>7.9158125070000001</v>
      </c>
      <c r="AE17">
        <v>8.0646970210000006</v>
      </c>
      <c r="AF17">
        <v>8.2163760949999904</v>
      </c>
      <c r="AG17">
        <v>8.3617287959999995</v>
      </c>
      <c r="AH17">
        <v>8.5053092229999905</v>
      </c>
      <c r="AI17">
        <v>8.5528019480000008</v>
      </c>
      <c r="AJ17">
        <v>8.6007117480000002</v>
      </c>
      <c r="AK17">
        <v>8.6470395710000005</v>
      </c>
      <c r="AL17">
        <v>8.6931252190000006</v>
      </c>
      <c r="AM17">
        <v>8.7395220810000005</v>
      </c>
      <c r="AN17">
        <v>8.7676894480000005</v>
      </c>
      <c r="AO17">
        <v>8.7978541069999903</v>
      </c>
      <c r="AP17">
        <v>8.8252700100000006</v>
      </c>
      <c r="AQ17">
        <v>8.8513534099999998</v>
      </c>
      <c r="AR17">
        <v>8.8726844370000002</v>
      </c>
      <c r="AS17">
        <v>8.8616414129999903</v>
      </c>
      <c r="AT17">
        <v>8.8483366080000003</v>
      </c>
      <c r="AU17">
        <v>8.8319364870000001</v>
      </c>
      <c r="AV17">
        <v>8.8128172560000007</v>
      </c>
      <c r="AW17">
        <v>8.7938754499999998</v>
      </c>
    </row>
    <row r="18" spans="2:49" x14ac:dyDescent="0.25">
      <c r="B18" t="s">
        <v>319</v>
      </c>
      <c r="C18">
        <v>0.19372928894524399</v>
      </c>
      <c r="D18">
        <v>0.196839675342774</v>
      </c>
      <c r="E18">
        <v>0.41865197459999998</v>
      </c>
      <c r="F18">
        <v>0.42930666499999998</v>
      </c>
      <c r="G18">
        <v>0.42510875739999998</v>
      </c>
      <c r="H18">
        <v>0.41437745040000001</v>
      </c>
      <c r="I18">
        <v>0.43048665539999997</v>
      </c>
      <c r="J18">
        <v>0.436460081</v>
      </c>
      <c r="K18">
        <v>0.4271664215</v>
      </c>
      <c r="L18">
        <v>0.42507538150000002</v>
      </c>
      <c r="M18">
        <v>0.43297480510000003</v>
      </c>
      <c r="N18">
        <v>0.44707026979999998</v>
      </c>
      <c r="O18">
        <v>0.51219056269999996</v>
      </c>
      <c r="P18">
        <v>0.57071775729999996</v>
      </c>
      <c r="Q18">
        <v>0.6041784228</v>
      </c>
      <c r="R18">
        <v>0.64286020470000005</v>
      </c>
      <c r="S18">
        <v>0.68383354669999996</v>
      </c>
      <c r="T18">
        <v>0.87639249829999999</v>
      </c>
      <c r="U18">
        <v>1.0786445</v>
      </c>
      <c r="V18">
        <v>1.2899633340000001</v>
      </c>
      <c r="W18">
        <v>1.0278831799999999</v>
      </c>
      <c r="X18">
        <v>0.78365274240000005</v>
      </c>
      <c r="Y18">
        <v>0.78966000349999999</v>
      </c>
      <c r="Z18">
        <v>0.798035245</v>
      </c>
      <c r="AA18">
        <v>0.80269626459999999</v>
      </c>
      <c r="AB18">
        <v>0.80738928430000001</v>
      </c>
      <c r="AC18">
        <v>0.81206157990000005</v>
      </c>
      <c r="AD18">
        <v>0.83573154329999999</v>
      </c>
      <c r="AE18">
        <v>0.85870996020000001</v>
      </c>
      <c r="AF18">
        <v>0.88203093109999997</v>
      </c>
      <c r="AG18">
        <v>0.90482452059999996</v>
      </c>
      <c r="AH18">
        <v>0.92745654820000001</v>
      </c>
      <c r="AI18">
        <v>0.95295386059999998</v>
      </c>
      <c r="AJ18">
        <v>0.97854659440000002</v>
      </c>
      <c r="AK18">
        <v>1.0040049390000001</v>
      </c>
      <c r="AL18">
        <v>1.0299417930000001</v>
      </c>
      <c r="AM18">
        <v>1.0559620009999999</v>
      </c>
      <c r="AN18">
        <v>1.0751933849999999</v>
      </c>
      <c r="AO18">
        <v>1.094619708</v>
      </c>
      <c r="AP18">
        <v>1.113653456</v>
      </c>
      <c r="AQ18">
        <v>1.132462037</v>
      </c>
      <c r="AR18">
        <v>1.1505958169999999</v>
      </c>
      <c r="AS18">
        <v>1.165459496</v>
      </c>
      <c r="AT18">
        <v>1.1800356569999999</v>
      </c>
      <c r="AU18">
        <v>1.194199102</v>
      </c>
      <c r="AV18">
        <v>1.20798418</v>
      </c>
      <c r="AW18">
        <v>1.221778088</v>
      </c>
    </row>
    <row r="19" spans="2:49" x14ac:dyDescent="0.25">
      <c r="B19" t="s">
        <v>320</v>
      </c>
      <c r="C19">
        <v>0.57343869527792402</v>
      </c>
      <c r="D19">
        <v>0.58264543901461296</v>
      </c>
      <c r="E19">
        <v>0.51287977090000003</v>
      </c>
      <c r="F19">
        <v>0.50974471480000005</v>
      </c>
      <c r="G19">
        <v>0.489224082</v>
      </c>
      <c r="H19">
        <v>0.46219640579999999</v>
      </c>
      <c r="I19">
        <v>0.46538546809999998</v>
      </c>
      <c r="J19">
        <v>0.45732014050000003</v>
      </c>
      <c r="K19">
        <v>0.43380602610000002</v>
      </c>
      <c r="L19">
        <v>0.42507538150000002</v>
      </c>
      <c r="M19">
        <v>0.43297480510000003</v>
      </c>
      <c r="N19">
        <v>0.44707026979999998</v>
      </c>
      <c r="O19">
        <v>0.63699720869999998</v>
      </c>
      <c r="P19">
        <v>0.82182323390000001</v>
      </c>
      <c r="Q19">
        <v>0.96760051449999995</v>
      </c>
      <c r="R19">
        <v>1.116493578</v>
      </c>
      <c r="S19">
        <v>1.266221107</v>
      </c>
      <c r="T19">
        <v>1.3074054580000001</v>
      </c>
      <c r="U19">
        <v>1.3591990949999999</v>
      </c>
      <c r="V19">
        <v>1.416940807</v>
      </c>
      <c r="W19">
        <v>1.113442077</v>
      </c>
      <c r="X19">
        <v>0.83021157960000003</v>
      </c>
      <c r="Y19">
        <v>0.83746166629999996</v>
      </c>
      <c r="Z19">
        <v>0.84724139220000005</v>
      </c>
      <c r="AA19">
        <v>0.85309474090000004</v>
      </c>
      <c r="AB19">
        <v>0.85860331199999995</v>
      </c>
      <c r="AC19">
        <v>0.86409709400000001</v>
      </c>
      <c r="AD19">
        <v>0.86494489610000003</v>
      </c>
      <c r="AE19">
        <v>0.86490922449999996</v>
      </c>
      <c r="AF19">
        <v>0.86507220460000001</v>
      </c>
      <c r="AG19">
        <v>0.86432823790000002</v>
      </c>
      <c r="AH19">
        <v>0.86333363460000001</v>
      </c>
      <c r="AI19">
        <v>0.86327212890000005</v>
      </c>
      <c r="AJ19">
        <v>0.86324095810000001</v>
      </c>
      <c r="AK19">
        <v>0.86304004950000002</v>
      </c>
      <c r="AL19">
        <v>0.86282055980000005</v>
      </c>
      <c r="AM19">
        <v>0.86262107809999999</v>
      </c>
      <c r="AN19">
        <v>0.86033010259999998</v>
      </c>
      <c r="AO19">
        <v>0.85825112910000001</v>
      </c>
      <c r="AP19">
        <v>0.85592021240000005</v>
      </c>
      <c r="AQ19">
        <v>0.85347833149999996</v>
      </c>
      <c r="AR19">
        <v>0.85059960329999995</v>
      </c>
      <c r="AS19">
        <v>0.850523221</v>
      </c>
      <c r="AT19">
        <v>0.85023035690000004</v>
      </c>
      <c r="AU19">
        <v>0.84964007109999995</v>
      </c>
      <c r="AV19">
        <v>0.84878755910000003</v>
      </c>
      <c r="AW19">
        <v>0.84795120160000004</v>
      </c>
    </row>
    <row r="20" spans="2:49" x14ac:dyDescent="0.25">
      <c r="B20" t="s">
        <v>321</v>
      </c>
      <c r="C20">
        <v>0.19372928894524399</v>
      </c>
      <c r="D20">
        <v>0.196839675342774</v>
      </c>
      <c r="E20">
        <v>0.41865197459999998</v>
      </c>
      <c r="F20">
        <v>0.42930666499999998</v>
      </c>
      <c r="G20">
        <v>0.42510875739999998</v>
      </c>
      <c r="H20">
        <v>0.41437745040000001</v>
      </c>
      <c r="I20">
        <v>0.43048665539999997</v>
      </c>
      <c r="J20">
        <v>0.436460081</v>
      </c>
      <c r="K20">
        <v>0.4271664215</v>
      </c>
      <c r="L20">
        <v>0.42507538150000002</v>
      </c>
      <c r="M20">
        <v>0.43297480510000003</v>
      </c>
      <c r="N20">
        <v>0.44707026979999998</v>
      </c>
      <c r="O20">
        <v>0.48670120950000001</v>
      </c>
      <c r="P20">
        <v>0.51943430089999998</v>
      </c>
      <c r="Q20">
        <v>0.52995646149999998</v>
      </c>
      <c r="R20">
        <v>0.54612971219999995</v>
      </c>
      <c r="S20">
        <v>0.56489210629999997</v>
      </c>
      <c r="T20">
        <v>0.61927150710000001</v>
      </c>
      <c r="U20">
        <v>0.67922185960000003</v>
      </c>
      <c r="V20">
        <v>0.74306347530000005</v>
      </c>
      <c r="W20">
        <v>0.6409787549</v>
      </c>
      <c r="X20">
        <v>0.54710608949999995</v>
      </c>
      <c r="Y20">
        <v>0.55488763379999995</v>
      </c>
      <c r="Z20">
        <v>0.56440730360000002</v>
      </c>
      <c r="AA20">
        <v>0.57136838150000002</v>
      </c>
      <c r="AB20">
        <v>0.57839347649999995</v>
      </c>
      <c r="AC20">
        <v>0.58545500530000005</v>
      </c>
      <c r="AD20">
        <v>0.58791713329999995</v>
      </c>
      <c r="AE20">
        <v>0.58979212670000003</v>
      </c>
      <c r="AF20">
        <v>0.59181457689999994</v>
      </c>
      <c r="AG20">
        <v>0.59328919440000005</v>
      </c>
      <c r="AH20">
        <v>0.59460026170000002</v>
      </c>
      <c r="AI20">
        <v>0.59571568330000002</v>
      </c>
      <c r="AJ20">
        <v>0.59685484310000003</v>
      </c>
      <c r="AK20">
        <v>0.59787927200000002</v>
      </c>
      <c r="AL20">
        <v>0.59893617340000005</v>
      </c>
      <c r="AM20">
        <v>0.60000970840000001</v>
      </c>
      <c r="AN20">
        <v>0.59919179659999999</v>
      </c>
      <c r="AO20">
        <v>0.59851907299999996</v>
      </c>
      <c r="AP20">
        <v>0.5976681439</v>
      </c>
      <c r="AQ20">
        <v>0.5967368877</v>
      </c>
      <c r="AR20">
        <v>0.59549684629999999</v>
      </c>
      <c r="AS20">
        <v>0.59528270549999995</v>
      </c>
      <c r="AT20">
        <v>0.59491695069999995</v>
      </c>
      <c r="AU20">
        <v>0.59434308540000003</v>
      </c>
      <c r="AV20">
        <v>0.5935858919</v>
      </c>
      <c r="AW20">
        <v>0.59284014789999995</v>
      </c>
    </row>
    <row r="21" spans="2:49" x14ac:dyDescent="0.25">
      <c r="B21" t="s">
        <v>322</v>
      </c>
      <c r="C21">
        <v>0.38745857789048899</v>
      </c>
      <c r="D21">
        <v>0.39367935068554899</v>
      </c>
      <c r="E21">
        <v>0.41865197459999998</v>
      </c>
      <c r="F21">
        <v>0.52786199960000002</v>
      </c>
      <c r="G21">
        <v>0.6473580283</v>
      </c>
      <c r="H21">
        <v>0.78622691739999995</v>
      </c>
      <c r="I21">
        <v>1.0227560010000001</v>
      </c>
      <c r="J21">
        <v>1.3036842550000001</v>
      </c>
      <c r="K21">
        <v>1.6093827590000001</v>
      </c>
      <c r="L21">
        <v>2.0253589110000001</v>
      </c>
      <c r="M21">
        <v>2.6144644650000002</v>
      </c>
      <c r="N21">
        <v>3.4269209869999999</v>
      </c>
      <c r="O21">
        <v>3.2757500450000001</v>
      </c>
      <c r="P21">
        <v>3.0662657200000001</v>
      </c>
      <c r="Q21">
        <v>2.737497173</v>
      </c>
      <c r="R21">
        <v>2.4597203419999998</v>
      </c>
      <c r="S21">
        <v>2.207101529</v>
      </c>
      <c r="T21">
        <v>2.6195038500000001</v>
      </c>
      <c r="U21">
        <v>3.0583252089999999</v>
      </c>
      <c r="V21">
        <v>3.5192228399999999</v>
      </c>
      <c r="W21">
        <v>3.068181515</v>
      </c>
      <c r="X21">
        <v>2.6546594969999999</v>
      </c>
      <c r="Y21">
        <v>2.8105637319999999</v>
      </c>
      <c r="Z21">
        <v>2.9776983779999999</v>
      </c>
      <c r="AA21">
        <v>3.133553993</v>
      </c>
      <c r="AB21">
        <v>3.2980443319999999</v>
      </c>
      <c r="AC21">
        <v>3.4644843430000001</v>
      </c>
      <c r="AD21">
        <v>3.5908484889999999</v>
      </c>
      <c r="AE21">
        <v>3.7144162380000001</v>
      </c>
      <c r="AF21">
        <v>3.8396183760000002</v>
      </c>
      <c r="AG21">
        <v>3.9669784360000002</v>
      </c>
      <c r="AH21">
        <v>4.0937474739999997</v>
      </c>
      <c r="AI21">
        <v>4.1684546520000003</v>
      </c>
      <c r="AJ21">
        <v>4.2434900149999999</v>
      </c>
      <c r="AK21">
        <v>4.3178612100000002</v>
      </c>
      <c r="AL21">
        <v>4.3948757169999997</v>
      </c>
      <c r="AM21">
        <v>4.4721694899999997</v>
      </c>
      <c r="AN21">
        <v>4.5352081279999998</v>
      </c>
      <c r="AO21">
        <v>4.5991263089999999</v>
      </c>
      <c r="AP21">
        <v>4.6614521890000002</v>
      </c>
      <c r="AQ21">
        <v>4.7228990790000003</v>
      </c>
      <c r="AR21">
        <v>4.7816050729999997</v>
      </c>
      <c r="AS21">
        <v>4.882052861</v>
      </c>
      <c r="AT21">
        <v>4.9813195190000004</v>
      </c>
      <c r="AU21">
        <v>5.0788441659999997</v>
      </c>
      <c r="AV21">
        <v>5.1747352700000002</v>
      </c>
      <c r="AW21">
        <v>5.2706294209999998</v>
      </c>
    </row>
    <row r="22" spans="2:49" x14ac:dyDescent="0.25">
      <c r="B22" t="s">
        <v>323</v>
      </c>
      <c r="C22">
        <v>5.5705789795526002</v>
      </c>
      <c r="D22">
        <v>5.6600164269241402</v>
      </c>
      <c r="E22">
        <v>4.7606703819999998</v>
      </c>
      <c r="F22">
        <v>4.8013016679999998</v>
      </c>
      <c r="G22">
        <v>4.0003574009999996</v>
      </c>
      <c r="H22">
        <v>3.5072409260000001</v>
      </c>
      <c r="I22">
        <v>3.4836734740000002</v>
      </c>
      <c r="J22">
        <v>3.3330800730000001</v>
      </c>
      <c r="K22">
        <v>3.2186007559999998</v>
      </c>
      <c r="L22">
        <v>3.4372064340000001</v>
      </c>
      <c r="M22">
        <v>3.5269835949999999</v>
      </c>
      <c r="N22">
        <v>3.5884926780000002</v>
      </c>
      <c r="O22">
        <v>2.8320787639999998</v>
      </c>
      <c r="P22">
        <v>2.3861106890000001</v>
      </c>
      <c r="Q22">
        <v>2.099834886</v>
      </c>
      <c r="R22">
        <v>1.9137016950000001</v>
      </c>
      <c r="S22">
        <v>1.740071492</v>
      </c>
      <c r="T22">
        <v>1.70571446</v>
      </c>
      <c r="U22">
        <v>1.6905054230000001</v>
      </c>
      <c r="V22">
        <v>1.68916862</v>
      </c>
      <c r="W22">
        <v>1.653000614</v>
      </c>
      <c r="X22">
        <v>1.6025605599999999</v>
      </c>
      <c r="Y22">
        <v>1.5948047329999999</v>
      </c>
      <c r="Z22">
        <v>1.600577377</v>
      </c>
      <c r="AA22">
        <v>1.605585324</v>
      </c>
      <c r="AB22">
        <v>1.6106822839999999</v>
      </c>
      <c r="AC22">
        <v>1.6144264129999999</v>
      </c>
      <c r="AD22">
        <v>1.6338812810000001</v>
      </c>
      <c r="AE22">
        <v>1.651036978</v>
      </c>
      <c r="AF22">
        <v>1.668574913</v>
      </c>
      <c r="AG22">
        <v>1.6870554120000001</v>
      </c>
      <c r="AH22">
        <v>1.704828392</v>
      </c>
      <c r="AI22">
        <v>1.726729841</v>
      </c>
      <c r="AJ22">
        <v>1.7476858049999999</v>
      </c>
      <c r="AK22">
        <v>1.768516376</v>
      </c>
      <c r="AL22">
        <v>1.789682067</v>
      </c>
      <c r="AM22">
        <v>1.8109527270000001</v>
      </c>
      <c r="AN22">
        <v>1.8122006260000001</v>
      </c>
      <c r="AO22">
        <v>1.8109704870000001</v>
      </c>
      <c r="AP22">
        <v>1.8067705949999999</v>
      </c>
      <c r="AQ22">
        <v>1.8009482649999999</v>
      </c>
      <c r="AR22">
        <v>1.791533603</v>
      </c>
      <c r="AS22">
        <v>1.796692723</v>
      </c>
      <c r="AT22">
        <v>1.802246054</v>
      </c>
      <c r="AU22">
        <v>1.8071645199999999</v>
      </c>
      <c r="AV22">
        <v>1.811335623</v>
      </c>
      <c r="AW22">
        <v>1.815647843</v>
      </c>
    </row>
    <row r="23" spans="2:49" x14ac:dyDescent="0.25">
      <c r="B23" t="s">
        <v>324</v>
      </c>
      <c r="C23">
        <v>155.572754408756</v>
      </c>
      <c r="D23">
        <v>158.07052530222199</v>
      </c>
      <c r="E23">
        <v>138.4692201</v>
      </c>
      <c r="F23">
        <v>141.3796633</v>
      </c>
      <c r="G23">
        <v>137.89932250000001</v>
      </c>
      <c r="H23">
        <v>132.16601900000001</v>
      </c>
      <c r="I23">
        <v>133.9899949</v>
      </c>
      <c r="J23">
        <v>134.0099319</v>
      </c>
      <c r="K23">
        <v>131.8896451</v>
      </c>
      <c r="L23">
        <v>130.75289989999999</v>
      </c>
      <c r="M23">
        <v>131.43735029999999</v>
      </c>
      <c r="N23">
        <v>132.62585139999999</v>
      </c>
      <c r="O23">
        <v>130.37070829999999</v>
      </c>
      <c r="P23">
        <v>128.7165646</v>
      </c>
      <c r="Q23">
        <v>125.499061</v>
      </c>
      <c r="R23">
        <v>122.82320850000001</v>
      </c>
      <c r="S23">
        <v>120.37900310000001</v>
      </c>
      <c r="T23">
        <v>120.2800027</v>
      </c>
      <c r="U23">
        <v>120.4629604</v>
      </c>
      <c r="V23">
        <v>120.96388399999999</v>
      </c>
      <c r="W23">
        <v>121.08953339999999</v>
      </c>
      <c r="X23">
        <v>121.07754490000001</v>
      </c>
      <c r="Y23">
        <v>121.4578295</v>
      </c>
      <c r="Z23">
        <v>122.0498255</v>
      </c>
      <c r="AA23">
        <v>122.5126259</v>
      </c>
      <c r="AB23">
        <v>122.90780530000001</v>
      </c>
      <c r="AC23">
        <v>123.25317750000001</v>
      </c>
      <c r="AD23">
        <v>123.6036812</v>
      </c>
      <c r="AE23">
        <v>123.9760326</v>
      </c>
      <c r="AF23">
        <v>124.37143589999999</v>
      </c>
      <c r="AG23">
        <v>124.7209249</v>
      </c>
      <c r="AH23">
        <v>125.0978586</v>
      </c>
      <c r="AI23">
        <v>125.40853420000001</v>
      </c>
      <c r="AJ23">
        <v>125.7233918</v>
      </c>
      <c r="AK23">
        <v>126.0090381</v>
      </c>
      <c r="AL23">
        <v>126.292523</v>
      </c>
      <c r="AM23">
        <v>126.57462200000001</v>
      </c>
      <c r="AN23">
        <v>126.5296974</v>
      </c>
      <c r="AO23">
        <v>126.4747771</v>
      </c>
      <c r="AP23">
        <v>126.3780962</v>
      </c>
      <c r="AQ23">
        <v>126.26223570000001</v>
      </c>
      <c r="AR23">
        <v>126.1019711</v>
      </c>
      <c r="AS23">
        <v>126.03085009999999</v>
      </c>
      <c r="AT23">
        <v>125.9494155</v>
      </c>
      <c r="AU23">
        <v>125.84411969999999</v>
      </c>
      <c r="AV23">
        <v>125.7201511</v>
      </c>
      <c r="AW23">
        <v>125.62122460000001</v>
      </c>
    </row>
    <row r="24" spans="2:49" x14ac:dyDescent="0.25">
      <c r="B24" t="s">
        <v>325</v>
      </c>
      <c r="C24">
        <v>2.7703288319169999</v>
      </c>
      <c r="D24">
        <v>2.8148073574016701</v>
      </c>
      <c r="E24">
        <v>2.86</v>
      </c>
      <c r="F24">
        <v>2.9751179780000001</v>
      </c>
      <c r="G24">
        <v>2.8544902510000001</v>
      </c>
      <c r="H24">
        <v>2.9884481969999999</v>
      </c>
      <c r="I24">
        <v>3.1267890149999999</v>
      </c>
      <c r="J24">
        <v>2.9779192700000001</v>
      </c>
      <c r="K24">
        <v>2.882863978</v>
      </c>
      <c r="L24">
        <v>2.8170193889999999</v>
      </c>
      <c r="M24">
        <v>3.0157802149999999</v>
      </c>
      <c r="N24">
        <v>3.1891044389999998</v>
      </c>
      <c r="O24">
        <v>3.279975984</v>
      </c>
      <c r="P24">
        <v>3.3032397790000001</v>
      </c>
      <c r="Q24">
        <v>3.0863488449999998</v>
      </c>
      <c r="R24">
        <v>3.0534782059999999</v>
      </c>
      <c r="S24">
        <v>3.071603804</v>
      </c>
      <c r="T24">
        <v>3.1408199250000002</v>
      </c>
      <c r="U24">
        <v>3.210706133</v>
      </c>
      <c r="V24">
        <v>3.3062130110000001</v>
      </c>
      <c r="W24">
        <v>3.3749190950000001</v>
      </c>
      <c r="X24">
        <v>3.463534991</v>
      </c>
      <c r="Y24">
        <v>3.5303744269999999</v>
      </c>
      <c r="Z24">
        <v>3.5800422959999998</v>
      </c>
      <c r="AA24">
        <v>3.6201477139999998</v>
      </c>
      <c r="AB24">
        <v>3.6567876789999998</v>
      </c>
      <c r="AC24">
        <v>3.710686699</v>
      </c>
      <c r="AD24">
        <v>3.73554355</v>
      </c>
      <c r="AE24">
        <v>3.7683052269999999</v>
      </c>
      <c r="AF24">
        <v>3.8039589899999999</v>
      </c>
      <c r="AG24">
        <v>3.8419848989999998</v>
      </c>
      <c r="AH24">
        <v>3.8908578079999998</v>
      </c>
      <c r="AI24">
        <v>3.9290073030000001</v>
      </c>
      <c r="AJ24">
        <v>3.9747417299999999</v>
      </c>
      <c r="AK24">
        <v>4.0197052429999998</v>
      </c>
      <c r="AL24">
        <v>4.0663038250000003</v>
      </c>
      <c r="AM24">
        <v>4.1153905909999997</v>
      </c>
      <c r="AN24">
        <v>4.1672138969999999</v>
      </c>
      <c r="AO24">
        <v>4.2212949560000004</v>
      </c>
      <c r="AP24">
        <v>4.2751207290000002</v>
      </c>
      <c r="AQ24">
        <v>4.3287556919999997</v>
      </c>
      <c r="AR24">
        <v>4.3894914639999998</v>
      </c>
      <c r="AS24">
        <v>4.4340870109999999</v>
      </c>
      <c r="AT24">
        <v>4.4793163979999999</v>
      </c>
      <c r="AU24">
        <v>4.5248596640000001</v>
      </c>
      <c r="AV24">
        <v>4.5712767620000001</v>
      </c>
      <c r="AW24">
        <v>4.6191053149999997</v>
      </c>
    </row>
    <row r="25" spans="2:49" x14ac:dyDescent="0.25">
      <c r="B25" t="s">
        <v>326</v>
      </c>
      <c r="C25">
        <v>46.663857241186399</v>
      </c>
      <c r="D25">
        <v>47.413060563046002</v>
      </c>
      <c r="E25">
        <v>48.17429259</v>
      </c>
      <c r="F25">
        <v>49.202509480000003</v>
      </c>
      <c r="G25">
        <v>46.572144110000004</v>
      </c>
      <c r="H25">
        <v>42.508570290000002</v>
      </c>
      <c r="I25">
        <v>43.022453609999999</v>
      </c>
      <c r="J25">
        <v>43.451620800000001</v>
      </c>
      <c r="K25">
        <v>41.317265210000002</v>
      </c>
      <c r="L25">
        <v>40.935236269999997</v>
      </c>
      <c r="M25">
        <v>41.502401409999997</v>
      </c>
      <c r="N25">
        <v>42.410227050000003</v>
      </c>
      <c r="O25">
        <v>40.166102109999997</v>
      </c>
      <c r="P25">
        <v>38.380587939999998</v>
      </c>
      <c r="Q25">
        <v>36.097232910000002</v>
      </c>
      <c r="R25">
        <v>34.442032840000003</v>
      </c>
      <c r="S25">
        <v>32.818086719999997</v>
      </c>
      <c r="T25">
        <v>32.894144939999997</v>
      </c>
      <c r="U25">
        <v>33.098767610000003</v>
      </c>
      <c r="V25">
        <v>33.598334080000001</v>
      </c>
      <c r="W25">
        <v>33.439518909999997</v>
      </c>
      <c r="X25">
        <v>33.109381990000003</v>
      </c>
      <c r="Y25">
        <v>33.06535822</v>
      </c>
      <c r="Z25">
        <v>33.249920639999999</v>
      </c>
      <c r="AA25">
        <v>33.420237890000003</v>
      </c>
      <c r="AB25">
        <v>33.578231610000003</v>
      </c>
      <c r="AC25">
        <v>33.759597839999998</v>
      </c>
      <c r="AD25">
        <v>34.061013969999998</v>
      </c>
      <c r="AE25">
        <v>34.338152399999998</v>
      </c>
      <c r="AF25">
        <v>34.640873069999998</v>
      </c>
      <c r="AG25">
        <v>34.95591366</v>
      </c>
      <c r="AH25">
        <v>35.284776180000001</v>
      </c>
      <c r="AI25">
        <v>35.660671800000003</v>
      </c>
      <c r="AJ25">
        <v>36.032451639999998</v>
      </c>
      <c r="AK25">
        <v>36.397913129999999</v>
      </c>
      <c r="AL25">
        <v>36.770774809999999</v>
      </c>
      <c r="AM25">
        <v>37.149605950000002</v>
      </c>
      <c r="AN25">
        <v>37.312960670000002</v>
      </c>
      <c r="AO25">
        <v>37.48029133</v>
      </c>
      <c r="AP25">
        <v>37.627431829999999</v>
      </c>
      <c r="AQ25">
        <v>37.768268030000002</v>
      </c>
      <c r="AR25">
        <v>37.879512570000003</v>
      </c>
      <c r="AS25">
        <v>38.135455579999999</v>
      </c>
      <c r="AT25">
        <v>38.392953089999999</v>
      </c>
      <c r="AU25">
        <v>38.645020459999998</v>
      </c>
      <c r="AV25">
        <v>38.895517300000002</v>
      </c>
      <c r="AW25">
        <v>39.171968219999997</v>
      </c>
    </row>
    <row r="26" spans="2:49" x14ac:dyDescent="0.25">
      <c r="B26" t="s">
        <v>327</v>
      </c>
      <c r="C26">
        <v>39.525714811669303</v>
      </c>
      <c r="D26">
        <v>40.160312947925298</v>
      </c>
      <c r="E26">
        <v>40.805099759999997</v>
      </c>
      <c r="F26">
        <v>40.686510519999999</v>
      </c>
      <c r="G26">
        <v>40.319370960000001</v>
      </c>
      <c r="H26">
        <v>40.241744539999999</v>
      </c>
      <c r="I26">
        <v>40.262501819999997</v>
      </c>
      <c r="J26">
        <v>40.051726100000003</v>
      </c>
      <c r="K26">
        <v>39.592085160000003</v>
      </c>
      <c r="L26">
        <v>39.218456789999998</v>
      </c>
      <c r="M26">
        <v>39.010591210000001</v>
      </c>
      <c r="N26">
        <v>39.01899641</v>
      </c>
      <c r="O26">
        <v>39.288035469999997</v>
      </c>
      <c r="P26">
        <v>39.367695419999997</v>
      </c>
      <c r="Q26">
        <v>39.042790539999999</v>
      </c>
      <c r="R26">
        <v>38.711800060000002</v>
      </c>
      <c r="S26">
        <v>38.355203269999997</v>
      </c>
      <c r="T26">
        <v>37.868734830000001</v>
      </c>
      <c r="U26">
        <v>37.721228449999998</v>
      </c>
      <c r="V26">
        <v>37.614212569999999</v>
      </c>
      <c r="W26">
        <v>37.669243430000002</v>
      </c>
      <c r="X26">
        <v>37.837494079999999</v>
      </c>
      <c r="Y26">
        <v>38.064636970000002</v>
      </c>
      <c r="Z26">
        <v>38.413936700000001</v>
      </c>
      <c r="AA26">
        <v>38.732494410000001</v>
      </c>
      <c r="AB26">
        <v>39.061460879999998</v>
      </c>
      <c r="AC26">
        <v>39.368439449999997</v>
      </c>
      <c r="AD26">
        <v>39.644019499999999</v>
      </c>
      <c r="AE26">
        <v>39.890239299999998</v>
      </c>
      <c r="AF26">
        <v>40.114835290000002</v>
      </c>
      <c r="AG26">
        <v>40.309616920000003</v>
      </c>
      <c r="AH26">
        <v>40.483740359999999</v>
      </c>
      <c r="AI26">
        <v>40.625136359999999</v>
      </c>
      <c r="AJ26">
        <v>40.750196580000001</v>
      </c>
      <c r="AK26">
        <v>40.859491079999998</v>
      </c>
      <c r="AL26">
        <v>40.953081019999999</v>
      </c>
      <c r="AM26">
        <v>41.030203669999999</v>
      </c>
      <c r="AN26">
        <v>41.088911029999998</v>
      </c>
      <c r="AO26">
        <v>41.12557735</v>
      </c>
      <c r="AP26">
        <v>41.135350000000003</v>
      </c>
      <c r="AQ26">
        <v>41.121280560000002</v>
      </c>
      <c r="AR26">
        <v>41.080445709999999</v>
      </c>
      <c r="AS26">
        <v>41.016868870000003</v>
      </c>
      <c r="AT26">
        <v>40.923196519999998</v>
      </c>
      <c r="AU26">
        <v>40.798327049999997</v>
      </c>
      <c r="AV26">
        <v>40.642071909999999</v>
      </c>
      <c r="AW26">
        <v>40.473042270000001</v>
      </c>
    </row>
    <row r="27" spans="2:49" x14ac:dyDescent="0.25">
      <c r="B27" t="s">
        <v>328</v>
      </c>
      <c r="C27">
        <v>21.072806770403201</v>
      </c>
      <c r="D27">
        <v>21.411137499294501</v>
      </c>
      <c r="E27">
        <v>21.754900240000001</v>
      </c>
      <c r="F27">
        <v>22.635673870000002</v>
      </c>
      <c r="G27">
        <v>22.849985400000001</v>
      </c>
      <c r="H27">
        <v>21.820039779999998</v>
      </c>
      <c r="I27">
        <v>22.628215279999999</v>
      </c>
      <c r="J27">
        <v>23.15601869</v>
      </c>
      <c r="K27">
        <v>23.322406170000001</v>
      </c>
      <c r="L27">
        <v>23.50841278</v>
      </c>
      <c r="M27">
        <v>23.951651569999999</v>
      </c>
      <c r="N27">
        <v>24.488245089999999</v>
      </c>
      <c r="O27">
        <v>24.040628009999999</v>
      </c>
      <c r="P27">
        <v>23.697471029999999</v>
      </c>
      <c r="Q27">
        <v>23.16572382</v>
      </c>
      <c r="R27">
        <v>22.396172759999999</v>
      </c>
      <c r="S27">
        <v>21.717956390000001</v>
      </c>
      <c r="T27">
        <v>21.658250129999999</v>
      </c>
      <c r="U27">
        <v>21.583154220000001</v>
      </c>
      <c r="V27">
        <v>21.49678858</v>
      </c>
      <c r="W27">
        <v>21.639199810000001</v>
      </c>
      <c r="X27">
        <v>21.840623919999999</v>
      </c>
      <c r="Y27">
        <v>22.132773589999999</v>
      </c>
      <c r="Z27">
        <v>22.271120199999999</v>
      </c>
      <c r="AA27">
        <v>22.34837168</v>
      </c>
      <c r="AB27">
        <v>22.384308260000001</v>
      </c>
      <c r="AC27">
        <v>22.389437229999999</v>
      </c>
      <c r="AD27">
        <v>22.375717699999999</v>
      </c>
      <c r="AE27">
        <v>22.341300789999998</v>
      </c>
      <c r="AF27">
        <v>22.295699920000001</v>
      </c>
      <c r="AG27">
        <v>22.22709794</v>
      </c>
      <c r="AH27">
        <v>22.1420353</v>
      </c>
      <c r="AI27">
        <v>22.03729512</v>
      </c>
      <c r="AJ27">
        <v>21.920678819999999</v>
      </c>
      <c r="AK27">
        <v>21.792934030000001</v>
      </c>
      <c r="AL27">
        <v>21.65652781</v>
      </c>
      <c r="AM27">
        <v>21.5129929</v>
      </c>
      <c r="AN27">
        <v>21.243599759999999</v>
      </c>
      <c r="AO27">
        <v>20.954555020000001</v>
      </c>
      <c r="AP27">
        <v>20.664348660000002</v>
      </c>
      <c r="AQ27">
        <v>20.376701499999999</v>
      </c>
      <c r="AR27">
        <v>20.092310139999999</v>
      </c>
      <c r="AS27">
        <v>19.811276280000001</v>
      </c>
      <c r="AT27">
        <v>19.533642270000001</v>
      </c>
      <c r="AU27">
        <v>19.258724860000001</v>
      </c>
      <c r="AV27">
        <v>18.987003139999999</v>
      </c>
      <c r="AW27">
        <v>18.717503270000002</v>
      </c>
    </row>
    <row r="28" spans="2:49" x14ac:dyDescent="0.25">
      <c r="B28" t="s">
        <v>329</v>
      </c>
      <c r="C28">
        <v>23.690458989791001</v>
      </c>
      <c r="D28">
        <v>24.070816971768199</v>
      </c>
      <c r="E28">
        <v>24.457281720000001</v>
      </c>
      <c r="F28">
        <v>25.366471090000001</v>
      </c>
      <c r="G28">
        <v>24.937441740000001</v>
      </c>
      <c r="H28">
        <v>25.084842160000001</v>
      </c>
      <c r="I28">
        <v>25.179152680000001</v>
      </c>
      <c r="J28">
        <v>25.04231571</v>
      </c>
      <c r="K28">
        <v>24.803180210000001</v>
      </c>
      <c r="L28">
        <v>24.575546660000001</v>
      </c>
      <c r="M28">
        <v>24.419100660000002</v>
      </c>
      <c r="N28">
        <v>24.202085589999999</v>
      </c>
      <c r="O28">
        <v>24.078939729999998</v>
      </c>
      <c r="P28">
        <v>23.825758100000002</v>
      </c>
      <c r="Q28">
        <v>23.537222809999999</v>
      </c>
      <c r="R28">
        <v>23.275008979999999</v>
      </c>
      <c r="S28">
        <v>23.261152129999999</v>
      </c>
      <c r="T28">
        <v>23.164084519999999</v>
      </c>
      <c r="U28">
        <v>22.955755320000002</v>
      </c>
      <c r="V28">
        <v>22.646885210000001</v>
      </c>
      <c r="W28">
        <v>22.385272489999998</v>
      </c>
      <c r="X28">
        <v>21.7854055</v>
      </c>
      <c r="Y28">
        <v>21.403681070000001</v>
      </c>
      <c r="Z28">
        <v>21.10664066</v>
      </c>
      <c r="AA28">
        <v>20.836733980000002</v>
      </c>
      <c r="AB28">
        <v>20.57227958</v>
      </c>
      <c r="AC28">
        <v>20.097175679999999</v>
      </c>
      <c r="AD28">
        <v>19.769163259999999</v>
      </c>
      <c r="AE28">
        <v>19.575654629999999</v>
      </c>
      <c r="AF28">
        <v>19.38671269</v>
      </c>
      <c r="AG28">
        <v>19.199465</v>
      </c>
      <c r="AH28">
        <v>18.984326759999998</v>
      </c>
      <c r="AI28">
        <v>18.739958680000001</v>
      </c>
      <c r="AJ28">
        <v>18.53421822</v>
      </c>
      <c r="AK28">
        <v>18.344379610000001</v>
      </c>
      <c r="AL28">
        <v>18.163882229999999</v>
      </c>
      <c r="AM28">
        <v>17.990755709999998</v>
      </c>
      <c r="AN28">
        <v>17.80680581</v>
      </c>
      <c r="AO28">
        <v>17.611105240000001</v>
      </c>
      <c r="AP28">
        <v>17.411843510000001</v>
      </c>
      <c r="AQ28">
        <v>17.212137420000001</v>
      </c>
      <c r="AR28">
        <v>16.922847489999999</v>
      </c>
      <c r="AS28">
        <v>16.684570829999998</v>
      </c>
      <c r="AT28">
        <v>16.46557237</v>
      </c>
      <c r="AU28">
        <v>16.25597007</v>
      </c>
      <c r="AV28">
        <v>16.052201010000001</v>
      </c>
      <c r="AW28">
        <v>15.85306048</v>
      </c>
    </row>
    <row r="29" spans="2:49" x14ac:dyDescent="0.25">
      <c r="B29" t="s">
        <v>330</v>
      </c>
      <c r="C29">
        <v>22.212930412666701</v>
      </c>
      <c r="D29">
        <v>22.569566195417998</v>
      </c>
      <c r="E29">
        <v>22.937925360000001</v>
      </c>
      <c r="F29">
        <v>23.479189659999999</v>
      </c>
      <c r="G29">
        <v>22.610016309999999</v>
      </c>
      <c r="H29">
        <v>20.9035078</v>
      </c>
      <c r="I29">
        <v>21.3384657</v>
      </c>
      <c r="J29">
        <v>20.778525670000001</v>
      </c>
      <c r="K29">
        <v>21.005976130000001</v>
      </c>
      <c r="L29">
        <v>20.526443189999998</v>
      </c>
      <c r="M29">
        <v>20.473740020000001</v>
      </c>
      <c r="N29">
        <v>20.477154980000002</v>
      </c>
      <c r="O29">
        <v>20.28511744</v>
      </c>
      <c r="P29">
        <v>20.55818988</v>
      </c>
      <c r="Q29">
        <v>20.367443229999999</v>
      </c>
      <c r="R29">
        <v>20.275057489999998</v>
      </c>
      <c r="S29">
        <v>20.060709460000002</v>
      </c>
      <c r="T29">
        <v>20.433693340000001</v>
      </c>
      <c r="U29">
        <v>20.77988727</v>
      </c>
      <c r="V29">
        <v>21.242808910000001</v>
      </c>
      <c r="W29">
        <v>21.499774769999998</v>
      </c>
      <c r="X29">
        <v>21.888164069999998</v>
      </c>
      <c r="Y29">
        <v>22.111869630000001</v>
      </c>
      <c r="Z29">
        <v>22.330303229999998</v>
      </c>
      <c r="AA29">
        <v>22.487594990000002</v>
      </c>
      <c r="AB29">
        <v>22.610436880000002</v>
      </c>
      <c r="AC29">
        <v>22.891106069999999</v>
      </c>
      <c r="AD29">
        <v>22.99417824</v>
      </c>
      <c r="AE29">
        <v>23.058015940000001</v>
      </c>
      <c r="AF29">
        <v>23.148728030000001</v>
      </c>
      <c r="AG29">
        <v>23.223682109999999</v>
      </c>
      <c r="AH29">
        <v>23.370151589999999</v>
      </c>
      <c r="AI29">
        <v>23.492162950000001</v>
      </c>
      <c r="AJ29">
        <v>23.60663684</v>
      </c>
      <c r="AK29">
        <v>23.706464799999999</v>
      </c>
      <c r="AL29">
        <v>23.810689880000002</v>
      </c>
      <c r="AM29">
        <v>23.92198544</v>
      </c>
      <c r="AN29">
        <v>24.028639030000001</v>
      </c>
      <c r="AO29">
        <v>24.170805090000002</v>
      </c>
      <c r="AP29">
        <v>24.316681209999999</v>
      </c>
      <c r="AQ29">
        <v>24.468603779999999</v>
      </c>
      <c r="AR29">
        <v>24.70195184</v>
      </c>
      <c r="AS29">
        <v>24.888769660000001</v>
      </c>
      <c r="AT29">
        <v>25.069614380000001</v>
      </c>
      <c r="AU29">
        <v>25.247507469999999</v>
      </c>
      <c r="AV29">
        <v>25.427275040000001</v>
      </c>
      <c r="AW29">
        <v>25.614751949999999</v>
      </c>
    </row>
    <row r="30" spans="2:49" x14ac:dyDescent="0.25">
      <c r="B30" t="s">
        <v>331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37467.975810000004</v>
      </c>
      <c r="T30">
        <v>37674.031589999999</v>
      </c>
      <c r="U30">
        <v>37774.927089999997</v>
      </c>
      <c r="V30">
        <v>37726.573409999997</v>
      </c>
      <c r="W30">
        <v>37789.72565</v>
      </c>
      <c r="X30">
        <v>37117.322829999997</v>
      </c>
      <c r="Y30">
        <v>36995.758979999999</v>
      </c>
      <c r="Z30">
        <v>37081.115169999997</v>
      </c>
      <c r="AA30">
        <v>37249.04189</v>
      </c>
      <c r="AB30">
        <v>37449.990960000003</v>
      </c>
      <c r="AC30">
        <v>37134.20637</v>
      </c>
      <c r="AD30">
        <v>37196.025650000003</v>
      </c>
      <c r="AE30">
        <v>37311.215709999997</v>
      </c>
      <c r="AF30">
        <v>37453.681519999998</v>
      </c>
      <c r="AG30">
        <v>37611.253449999997</v>
      </c>
      <c r="AH30">
        <v>37385.464099999997</v>
      </c>
      <c r="AI30">
        <v>37402.183830000002</v>
      </c>
      <c r="AJ30">
        <v>37528.845849999998</v>
      </c>
      <c r="AK30">
        <v>37699.212760000002</v>
      </c>
      <c r="AL30">
        <v>37891.801599999999</v>
      </c>
      <c r="AM30">
        <v>38098.33612</v>
      </c>
      <c r="AN30">
        <v>38214.823649999998</v>
      </c>
      <c r="AO30">
        <v>38291.477250000004</v>
      </c>
      <c r="AP30">
        <v>38350.992850000002</v>
      </c>
      <c r="AQ30">
        <v>38401.319470000002</v>
      </c>
      <c r="AR30">
        <v>38157.075700000001</v>
      </c>
      <c r="AS30">
        <v>38036.270539999998</v>
      </c>
      <c r="AT30">
        <v>37966.607810000001</v>
      </c>
      <c r="AU30">
        <v>37915.680220000002</v>
      </c>
      <c r="AV30">
        <v>37871.084080000001</v>
      </c>
      <c r="AW30">
        <v>37828.133439999998</v>
      </c>
    </row>
    <row r="31" spans="2:49" x14ac:dyDescent="0.25">
      <c r="B31" t="s">
        <v>332</v>
      </c>
      <c r="C31">
        <v>17.998489648965599</v>
      </c>
      <c r="D31">
        <v>18.287461222056098</v>
      </c>
      <c r="E31">
        <v>18.581072330000001</v>
      </c>
      <c r="F31">
        <v>19.839794149999999</v>
      </c>
      <c r="G31">
        <v>49.875231530000001</v>
      </c>
      <c r="H31">
        <v>82.705247740000004</v>
      </c>
      <c r="I31">
        <v>117.45531579999999</v>
      </c>
      <c r="J31">
        <v>164.61792510000001</v>
      </c>
      <c r="K31">
        <v>207.8858395</v>
      </c>
      <c r="L31">
        <v>245.9001241</v>
      </c>
      <c r="M31">
        <v>282.30942169999997</v>
      </c>
      <c r="N31">
        <v>303.43290530000002</v>
      </c>
      <c r="O31">
        <v>319.88499899999999</v>
      </c>
      <c r="P31">
        <v>330.52314489999998</v>
      </c>
      <c r="Q31">
        <v>359.40278519999998</v>
      </c>
      <c r="R31">
        <v>391.6469318</v>
      </c>
      <c r="S31">
        <v>445.48537679999998</v>
      </c>
      <c r="T31">
        <v>488.56399069999998</v>
      </c>
      <c r="U31">
        <v>559.72157819999995</v>
      </c>
      <c r="V31">
        <v>637.64753040000005</v>
      </c>
      <c r="W31">
        <v>718.90626420000001</v>
      </c>
      <c r="X31">
        <v>761.77307269999994</v>
      </c>
      <c r="Y31">
        <v>825.21470920000002</v>
      </c>
      <c r="Z31">
        <v>894.82204820000004</v>
      </c>
      <c r="AA31">
        <v>965.56728880000003</v>
      </c>
      <c r="AB31">
        <v>1035.1638379999999</v>
      </c>
      <c r="AC31">
        <v>1076.2196389999999</v>
      </c>
      <c r="AD31">
        <v>1131.7046769999999</v>
      </c>
      <c r="AE31">
        <v>1186.7086340000001</v>
      </c>
      <c r="AF31">
        <v>1240.321682</v>
      </c>
      <c r="AG31">
        <v>1291.584527</v>
      </c>
      <c r="AH31">
        <v>1322.1822219999999</v>
      </c>
      <c r="AI31">
        <v>1362.03269</v>
      </c>
      <c r="AJ31">
        <v>1404.81339</v>
      </c>
      <c r="AK31">
        <v>1447.962403</v>
      </c>
      <c r="AL31">
        <v>1490.5366799999999</v>
      </c>
      <c r="AM31">
        <v>1532.1180830000001</v>
      </c>
      <c r="AN31">
        <v>1568.903564</v>
      </c>
      <c r="AO31">
        <v>1603.3940990000001</v>
      </c>
      <c r="AP31">
        <v>1636.6822340000001</v>
      </c>
      <c r="AQ31">
        <v>1669.3230329999999</v>
      </c>
      <c r="AR31">
        <v>1686.242062</v>
      </c>
      <c r="AS31">
        <v>1709.561375</v>
      </c>
      <c r="AT31">
        <v>1735.8282850000001</v>
      </c>
      <c r="AU31">
        <v>1763.5781999999999</v>
      </c>
      <c r="AV31">
        <v>1792.196721</v>
      </c>
      <c r="AW31">
        <v>1821.4553880000001</v>
      </c>
    </row>
    <row r="32" spans="2:49" x14ac:dyDescent="0.25">
      <c r="B32" t="s">
        <v>333</v>
      </c>
      <c r="C32">
        <v>1571.8931047778699</v>
      </c>
      <c r="D32">
        <v>1597.13035701831</v>
      </c>
      <c r="E32">
        <v>1622.772802</v>
      </c>
      <c r="F32">
        <v>1973.0344030000001</v>
      </c>
      <c r="G32">
        <v>2310.5450049999999</v>
      </c>
      <c r="H32">
        <v>2679.577859</v>
      </c>
      <c r="I32">
        <v>3015.3652200000001</v>
      </c>
      <c r="J32">
        <v>3325.0694739999999</v>
      </c>
      <c r="K32">
        <v>3551.4685869999998</v>
      </c>
      <c r="L32">
        <v>3742.454655</v>
      </c>
      <c r="M32">
        <v>3924.3694220000002</v>
      </c>
      <c r="N32">
        <v>4072.3056879999999</v>
      </c>
      <c r="O32">
        <v>4229.1055980000001</v>
      </c>
      <c r="P32">
        <v>4408.5669749999997</v>
      </c>
      <c r="Q32">
        <v>4593.4090420000002</v>
      </c>
      <c r="R32">
        <v>4773.6069319999997</v>
      </c>
      <c r="S32">
        <v>4949.2773189999998</v>
      </c>
      <c r="T32">
        <v>5080.0644350000002</v>
      </c>
      <c r="U32">
        <v>5206.4583720000001</v>
      </c>
      <c r="V32">
        <v>5301.8916559999998</v>
      </c>
      <c r="W32">
        <v>5401.9146739999996</v>
      </c>
      <c r="X32">
        <v>5357.6862709999996</v>
      </c>
      <c r="Y32">
        <v>5392.7242390000001</v>
      </c>
      <c r="Z32">
        <v>5445.7109200000004</v>
      </c>
      <c r="AA32">
        <v>5495.6369830000003</v>
      </c>
      <c r="AB32">
        <v>5534.8329649999996</v>
      </c>
      <c r="AC32">
        <v>5484.5429350000004</v>
      </c>
      <c r="AD32">
        <v>5475.346775</v>
      </c>
      <c r="AE32">
        <v>5461.3905420000001</v>
      </c>
      <c r="AF32">
        <v>5440.2092570000004</v>
      </c>
      <c r="AG32">
        <v>5411.1366969999999</v>
      </c>
      <c r="AH32">
        <v>5328.7519519999996</v>
      </c>
      <c r="AI32">
        <v>5268.3063279999997</v>
      </c>
      <c r="AJ32">
        <v>5214.413622</v>
      </c>
      <c r="AK32">
        <v>5160.374159</v>
      </c>
      <c r="AL32">
        <v>5104.525799</v>
      </c>
      <c r="AM32">
        <v>5046.6265810000004</v>
      </c>
      <c r="AN32">
        <v>4976.9299389999996</v>
      </c>
      <c r="AO32">
        <v>4901.1771259999996</v>
      </c>
      <c r="AP32">
        <v>4822.1017570000004</v>
      </c>
      <c r="AQ32">
        <v>4740.9516640000002</v>
      </c>
      <c r="AR32">
        <v>4633.7108230000003</v>
      </c>
      <c r="AS32">
        <v>4536.7966070000002</v>
      </c>
      <c r="AT32">
        <v>4444.1244429999997</v>
      </c>
      <c r="AU32">
        <v>4353.1852310000004</v>
      </c>
      <c r="AV32">
        <v>4263.1423599999998</v>
      </c>
      <c r="AW32">
        <v>4173.7729049999998</v>
      </c>
    </row>
    <row r="33" spans="2:49" x14ac:dyDescent="0.25">
      <c r="B33" t="s">
        <v>334</v>
      </c>
      <c r="C33">
        <v>3720.5673609549599</v>
      </c>
      <c r="D33">
        <v>3780.3022733867101</v>
      </c>
      <c r="E33">
        <v>3840.9962489999998</v>
      </c>
      <c r="F33">
        <v>4323.8328359999996</v>
      </c>
      <c r="G33">
        <v>4769.7173419999999</v>
      </c>
      <c r="H33">
        <v>5259.8452429999998</v>
      </c>
      <c r="I33">
        <v>5703.8667219999998</v>
      </c>
      <c r="J33">
        <v>6106.2950510000001</v>
      </c>
      <c r="K33">
        <v>6386.2346969999999</v>
      </c>
      <c r="L33">
        <v>6615.4669549999999</v>
      </c>
      <c r="M33">
        <v>6832.2391699999998</v>
      </c>
      <c r="N33">
        <v>7008.353736</v>
      </c>
      <c r="O33">
        <v>7201.2798759999996</v>
      </c>
      <c r="P33">
        <v>7442.7278100000003</v>
      </c>
      <c r="Q33">
        <v>7684.838933</v>
      </c>
      <c r="R33">
        <v>7919.8119790000001</v>
      </c>
      <c r="S33">
        <v>8133.8360259999999</v>
      </c>
      <c r="T33">
        <v>8290.0909140000003</v>
      </c>
      <c r="U33">
        <v>8416.4409720000003</v>
      </c>
      <c r="V33">
        <v>8488.08770799999</v>
      </c>
      <c r="W33">
        <v>8566.6147089999995</v>
      </c>
      <c r="X33">
        <v>8442.0742599999994</v>
      </c>
      <c r="Y33">
        <v>8431.9598289999994</v>
      </c>
      <c r="Z33">
        <v>8448.3123500000002</v>
      </c>
      <c r="AA33">
        <v>8460.8063099999999</v>
      </c>
      <c r="AB33">
        <v>8458.6399430000001</v>
      </c>
      <c r="AC33">
        <v>8333.7926640000005</v>
      </c>
      <c r="AD33">
        <v>8266.8412360000002</v>
      </c>
      <c r="AE33">
        <v>8194.3498839999902</v>
      </c>
      <c r="AF33">
        <v>8112.8331399999997</v>
      </c>
      <c r="AG33">
        <v>8021.8276740000001</v>
      </c>
      <c r="AH33">
        <v>7860.1731239999999</v>
      </c>
      <c r="AI33">
        <v>7729.0925740000002</v>
      </c>
      <c r="AJ33">
        <v>7607.8622869999999</v>
      </c>
      <c r="AK33">
        <v>7487.2585550000003</v>
      </c>
      <c r="AL33">
        <v>7365.1504349999996</v>
      </c>
      <c r="AM33">
        <v>7241.3494369999999</v>
      </c>
      <c r="AN33">
        <v>7102.6764979999998</v>
      </c>
      <c r="AO33">
        <v>6956.7551670000003</v>
      </c>
      <c r="AP33">
        <v>6807.2852199999998</v>
      </c>
      <c r="AQ33">
        <v>6655.9034380000003</v>
      </c>
      <c r="AR33">
        <v>6472.7673050000003</v>
      </c>
      <c r="AS33">
        <v>6303.6470380000001</v>
      </c>
      <c r="AT33">
        <v>6140.8168990000004</v>
      </c>
      <c r="AU33">
        <v>5981.1013419999999</v>
      </c>
      <c r="AV33">
        <v>5823.5188589999998</v>
      </c>
      <c r="AW33">
        <v>5667.864466</v>
      </c>
    </row>
    <row r="34" spans="2:49" x14ac:dyDescent="0.25">
      <c r="B34" t="s">
        <v>335</v>
      </c>
      <c r="C34">
        <v>5208.7853750706299</v>
      </c>
      <c r="D34">
        <v>5292.4141090967596</v>
      </c>
      <c r="E34">
        <v>5377.3855290000001</v>
      </c>
      <c r="F34">
        <v>5766.0425610000002</v>
      </c>
      <c r="G34">
        <v>6121.6284889999997</v>
      </c>
      <c r="H34">
        <v>6523.3806780000004</v>
      </c>
      <c r="I34">
        <v>6884.0002510000004</v>
      </c>
      <c r="J34">
        <v>7205.4677369999999</v>
      </c>
      <c r="K34">
        <v>7410.5493669999996</v>
      </c>
      <c r="L34">
        <v>7569.641842</v>
      </c>
      <c r="M34">
        <v>7719.6174650000003</v>
      </c>
      <c r="N34">
        <v>7824.5764230000004</v>
      </c>
      <c r="O34">
        <v>7950.1883879999996</v>
      </c>
      <c r="P34">
        <v>8133.6279169999998</v>
      </c>
      <c r="Q34">
        <v>8313.2264610000002</v>
      </c>
      <c r="R34">
        <v>8490.22007999999</v>
      </c>
      <c r="S34">
        <v>8636.8889479999998</v>
      </c>
      <c r="T34">
        <v>8745.7709080000004</v>
      </c>
      <c r="U34">
        <v>8813.5066470000002</v>
      </c>
      <c r="V34">
        <v>8824.82663399999</v>
      </c>
      <c r="W34">
        <v>8844.2386339999903</v>
      </c>
      <c r="X34">
        <v>8675.461061</v>
      </c>
      <c r="Y34">
        <v>8616.1864650000007</v>
      </c>
      <c r="Z34">
        <v>8583.3889409999902</v>
      </c>
      <c r="AA34">
        <v>8548.3327260000005</v>
      </c>
      <c r="AB34">
        <v>8500.8708299999998</v>
      </c>
      <c r="AC34">
        <v>8341.5286259999903</v>
      </c>
      <c r="AD34">
        <v>8237.1690799999997</v>
      </c>
      <c r="AE34">
        <v>8129.0759779999998</v>
      </c>
      <c r="AF34">
        <v>8013.9523769999996</v>
      </c>
      <c r="AG34">
        <v>7891.542899</v>
      </c>
      <c r="AH34">
        <v>7706.1285900000003</v>
      </c>
      <c r="AI34">
        <v>7549.7950840000003</v>
      </c>
      <c r="AJ34">
        <v>7403.6409960000001</v>
      </c>
      <c r="AK34">
        <v>7259.1489689999999</v>
      </c>
      <c r="AL34">
        <v>7114.4039919999996</v>
      </c>
      <c r="AM34">
        <v>6969.273443</v>
      </c>
      <c r="AN34">
        <v>6811.6575050000001</v>
      </c>
      <c r="AO34">
        <v>6648.4288429999997</v>
      </c>
      <c r="AP34">
        <v>6482.9476439999999</v>
      </c>
      <c r="AQ34">
        <v>6316.6743219999998</v>
      </c>
      <c r="AR34">
        <v>6123.6731110000001</v>
      </c>
      <c r="AS34">
        <v>5943.9413590000004</v>
      </c>
      <c r="AT34">
        <v>5770.6804510000002</v>
      </c>
      <c r="AU34">
        <v>5601.1022849999999</v>
      </c>
      <c r="AV34">
        <v>5434.3767459999999</v>
      </c>
      <c r="AW34">
        <v>5270.3526199999997</v>
      </c>
    </row>
    <row r="35" spans="2:49" x14ac:dyDescent="0.25">
      <c r="B35" t="s">
        <v>336</v>
      </c>
      <c r="C35">
        <v>13521.9613593495</v>
      </c>
      <c r="D35">
        <v>13739.0608227762</v>
      </c>
      <c r="E35">
        <v>13959.64589</v>
      </c>
      <c r="F35">
        <v>13632.185880000001</v>
      </c>
      <c r="G35">
        <v>13306.886490000001</v>
      </c>
      <c r="H35">
        <v>13036.36246</v>
      </c>
      <c r="I35">
        <v>12768.829449999999</v>
      </c>
      <c r="J35">
        <v>12499.88581</v>
      </c>
      <c r="K35">
        <v>12183.94938</v>
      </c>
      <c r="L35">
        <v>11868.72711</v>
      </c>
      <c r="M35">
        <v>11569.52211</v>
      </c>
      <c r="N35">
        <v>11255.01633</v>
      </c>
      <c r="O35">
        <v>10975.191419999999</v>
      </c>
      <c r="P35">
        <v>10778.532450000001</v>
      </c>
      <c r="Q35">
        <v>10588.686830000001</v>
      </c>
      <c r="R35">
        <v>10405.54521</v>
      </c>
      <c r="S35">
        <v>10199.55271</v>
      </c>
      <c r="T35">
        <v>10001.343220000001</v>
      </c>
      <c r="U35">
        <v>9737.6133439999994</v>
      </c>
      <c r="V35">
        <v>9436.1825009999902</v>
      </c>
      <c r="W35">
        <v>9154.4452450000008</v>
      </c>
      <c r="X35">
        <v>8791.1297219999997</v>
      </c>
      <c r="Y35">
        <v>8499.3743900000009</v>
      </c>
      <c r="Z35">
        <v>8234.8435520000003</v>
      </c>
      <c r="AA35">
        <v>7981.6427160000003</v>
      </c>
      <c r="AB35">
        <v>7733.9549939999997</v>
      </c>
      <c r="AC35">
        <v>7442.514494</v>
      </c>
      <c r="AD35">
        <v>7189.3679970000003</v>
      </c>
      <c r="AE35">
        <v>6944.8656700000001</v>
      </c>
      <c r="AF35">
        <v>6706.8135840000004</v>
      </c>
      <c r="AG35">
        <v>6474.8637269999999</v>
      </c>
      <c r="AH35">
        <v>6222.1021540000002</v>
      </c>
      <c r="AI35">
        <v>5991.7487339999998</v>
      </c>
      <c r="AJ35">
        <v>5774.4041969999998</v>
      </c>
      <c r="AK35">
        <v>5565.5389919999998</v>
      </c>
      <c r="AL35">
        <v>5363.9381199999998</v>
      </c>
      <c r="AM35">
        <v>5169.2559629999996</v>
      </c>
      <c r="AN35">
        <v>4974.8867579999996</v>
      </c>
      <c r="AO35">
        <v>4783.8148799999999</v>
      </c>
      <c r="AP35">
        <v>4597.4228350000003</v>
      </c>
      <c r="AQ35">
        <v>4416.1869210000004</v>
      </c>
      <c r="AR35">
        <v>4228.8160019999996</v>
      </c>
      <c r="AS35">
        <v>4052.4455419999999</v>
      </c>
      <c r="AT35">
        <v>3883.9297120000001</v>
      </c>
      <c r="AU35">
        <v>3721.8905150000001</v>
      </c>
      <c r="AV35">
        <v>3565.8232330000001</v>
      </c>
      <c r="AW35">
        <v>3415.5168239999998</v>
      </c>
    </row>
    <row r="36" spans="2:49" x14ac:dyDescent="0.25">
      <c r="B36" t="s">
        <v>337</v>
      </c>
      <c r="C36">
        <v>4769.5635809194901</v>
      </c>
      <c r="D36">
        <v>4846.1404669702097</v>
      </c>
      <c r="E36">
        <v>4923.9468200000001</v>
      </c>
      <c r="F36">
        <v>4800.2599609999997</v>
      </c>
      <c r="G36">
        <v>4669.73974</v>
      </c>
      <c r="H36">
        <v>4553.4998159999996</v>
      </c>
      <c r="I36">
        <v>4440.0206150000004</v>
      </c>
      <c r="J36">
        <v>4323.909944</v>
      </c>
      <c r="K36">
        <v>4195.2323530000003</v>
      </c>
      <c r="L36">
        <v>4065.6514010000001</v>
      </c>
      <c r="M36">
        <v>3941.698993</v>
      </c>
      <c r="N36">
        <v>3811.822854</v>
      </c>
      <c r="O36">
        <v>3693.7376479999998</v>
      </c>
      <c r="P36">
        <v>3612.3152009999999</v>
      </c>
      <c r="Q36">
        <v>3531.0711310000002</v>
      </c>
      <c r="R36">
        <v>3450.189179</v>
      </c>
      <c r="S36">
        <v>3355.0160340000002</v>
      </c>
      <c r="T36">
        <v>3239.6176599999999</v>
      </c>
      <c r="U36">
        <v>3097.7475749999999</v>
      </c>
      <c r="V36">
        <v>2946.7503379999998</v>
      </c>
      <c r="W36">
        <v>2803.5994919999998</v>
      </c>
      <c r="X36">
        <v>2656.5107720000001</v>
      </c>
      <c r="Y36">
        <v>2523.4387830000001</v>
      </c>
      <c r="Z36">
        <v>2398.5697749999999</v>
      </c>
      <c r="AA36">
        <v>2279.6585610000002</v>
      </c>
      <c r="AB36">
        <v>2165.865401</v>
      </c>
      <c r="AC36">
        <v>2052.4195800000002</v>
      </c>
      <c r="AD36">
        <v>1947.1534549999999</v>
      </c>
      <c r="AE36">
        <v>1846.960116</v>
      </c>
      <c r="AF36">
        <v>1751.4268790000001</v>
      </c>
      <c r="AG36">
        <v>1660.431844</v>
      </c>
      <c r="AH36">
        <v>1571.6371879999999</v>
      </c>
      <c r="AI36">
        <v>1488.316004</v>
      </c>
      <c r="AJ36">
        <v>1409.5404639999999</v>
      </c>
      <c r="AK36">
        <v>1334.7621899999999</v>
      </c>
      <c r="AL36">
        <v>1263.749982</v>
      </c>
      <c r="AM36">
        <v>1196.3453099999999</v>
      </c>
      <c r="AN36">
        <v>1131.65239</v>
      </c>
      <c r="AO36">
        <v>1069.7900770000001</v>
      </c>
      <c r="AP36">
        <v>1010.766565</v>
      </c>
      <c r="AQ36">
        <v>954.52027109999995</v>
      </c>
      <c r="AR36">
        <v>900.40502349999997</v>
      </c>
      <c r="AS36">
        <v>849.20144489999996</v>
      </c>
      <c r="AT36">
        <v>800.64876530000004</v>
      </c>
      <c r="AU36">
        <v>754.58467740000003</v>
      </c>
      <c r="AV36">
        <v>710.89634779999994</v>
      </c>
      <c r="AW36">
        <v>669.4861373</v>
      </c>
    </row>
    <row r="37" spans="2:49" x14ac:dyDescent="0.25">
      <c r="B37" t="s">
        <v>338</v>
      </c>
      <c r="C37">
        <v>2185.3248924602099</v>
      </c>
      <c r="D37">
        <v>2220.4109904720199</v>
      </c>
      <c r="E37">
        <v>2256.0604069999999</v>
      </c>
      <c r="F37">
        <v>2168.6223070000001</v>
      </c>
      <c r="G37">
        <v>2077.8560149999998</v>
      </c>
      <c r="H37">
        <v>1992.323185</v>
      </c>
      <c r="I37">
        <v>1909.9599350000001</v>
      </c>
      <c r="J37">
        <v>1826.9700270000001</v>
      </c>
      <c r="K37">
        <v>1744.1699630000001</v>
      </c>
      <c r="L37">
        <v>1661.321152</v>
      </c>
      <c r="M37">
        <v>1582.421317</v>
      </c>
      <c r="N37">
        <v>1509.65976</v>
      </c>
      <c r="O37">
        <v>1441.3072520000001</v>
      </c>
      <c r="P37">
        <v>1389.595511</v>
      </c>
      <c r="Q37">
        <v>1337.003332</v>
      </c>
      <c r="R37">
        <v>1283.4959570000001</v>
      </c>
      <c r="S37">
        <v>1227.728846</v>
      </c>
      <c r="T37">
        <v>1168.5604699999999</v>
      </c>
      <c r="U37">
        <v>1103.6404439999999</v>
      </c>
      <c r="V37">
        <v>1038.7204180000001</v>
      </c>
      <c r="W37">
        <v>977.61921649999999</v>
      </c>
      <c r="X37">
        <v>920.11220379999997</v>
      </c>
      <c r="Y37">
        <v>865.9879565</v>
      </c>
      <c r="Z37">
        <v>815.04748849999999</v>
      </c>
      <c r="AA37">
        <v>767.10351860000003</v>
      </c>
      <c r="AB37">
        <v>721.97978220000005</v>
      </c>
      <c r="AC37">
        <v>679.51038319999998</v>
      </c>
      <c r="AD37">
        <v>639.53918420000002</v>
      </c>
      <c r="AE37">
        <v>601.91923220000001</v>
      </c>
      <c r="AF37">
        <v>566.51221850000002</v>
      </c>
      <c r="AG37">
        <v>533.18797040000004</v>
      </c>
      <c r="AH37">
        <v>501.82397209999999</v>
      </c>
      <c r="AI37">
        <v>472.30491489999997</v>
      </c>
      <c r="AJ37">
        <v>444.52227290000002</v>
      </c>
      <c r="AK37">
        <v>418.37390390000002</v>
      </c>
      <c r="AL37">
        <v>393.76367429999999</v>
      </c>
      <c r="AM37">
        <v>370.60110520000001</v>
      </c>
      <c r="AN37">
        <v>348.67204570000001</v>
      </c>
      <c r="AO37">
        <v>327.91775730000001</v>
      </c>
      <c r="AP37">
        <v>308.2819634</v>
      </c>
      <c r="AQ37">
        <v>289.7107608</v>
      </c>
      <c r="AR37">
        <v>272.15253289999998</v>
      </c>
      <c r="AS37">
        <v>255.55786620000001</v>
      </c>
      <c r="AT37">
        <v>239.8794695</v>
      </c>
      <c r="AU37">
        <v>225.0720949</v>
      </c>
      <c r="AV37">
        <v>211.0924617</v>
      </c>
      <c r="AW37">
        <v>197.89918280000001</v>
      </c>
    </row>
    <row r="38" spans="2:49" x14ac:dyDescent="0.25">
      <c r="B38" t="s">
        <v>339</v>
      </c>
      <c r="C38">
        <v>6.9573204344700098E-3</v>
      </c>
      <c r="D38">
        <v>7.06902246445449E-3</v>
      </c>
      <c r="E38">
        <v>7.1825179100000001E-3</v>
      </c>
      <c r="F38">
        <v>1.22817724E-2</v>
      </c>
      <c r="G38">
        <v>2.50560963E-2</v>
      </c>
      <c r="H38">
        <v>6.8078187799999995E-2</v>
      </c>
      <c r="I38">
        <v>0.13688768949999999</v>
      </c>
      <c r="J38">
        <v>0.24052891849999999</v>
      </c>
      <c r="K38">
        <v>0.36562639250000001</v>
      </c>
      <c r="L38">
        <v>0.54086102999999996</v>
      </c>
      <c r="M38">
        <v>0.82305267729999998</v>
      </c>
      <c r="N38">
        <v>1.1971172640000001</v>
      </c>
      <c r="O38">
        <v>1.7442023120000001</v>
      </c>
      <c r="P38">
        <v>2.0359858160000002</v>
      </c>
      <c r="Q38">
        <v>2.540163873</v>
      </c>
      <c r="R38">
        <v>3.4109360049999999</v>
      </c>
      <c r="S38">
        <v>4.7936948150000003</v>
      </c>
      <c r="T38">
        <v>6.8163307470000003</v>
      </c>
      <c r="U38">
        <v>11.835778489999999</v>
      </c>
      <c r="V38">
        <v>19.695943369999998</v>
      </c>
      <c r="W38">
        <v>30.003296479999999</v>
      </c>
      <c r="X38">
        <v>38.813993920000001</v>
      </c>
      <c r="Y38">
        <v>52.75628743</v>
      </c>
      <c r="Z38">
        <v>71.110108280000006</v>
      </c>
      <c r="AA38">
        <v>93.686091210000001</v>
      </c>
      <c r="AB38">
        <v>120.42765900000001</v>
      </c>
      <c r="AC38">
        <v>143.98966390000001</v>
      </c>
      <c r="AD38">
        <v>176.1151318</v>
      </c>
      <c r="AE38">
        <v>212.9493147</v>
      </c>
      <c r="AF38">
        <v>254.11308030000001</v>
      </c>
      <c r="AG38">
        <v>299.49595599999998</v>
      </c>
      <c r="AH38">
        <v>339.00028559999998</v>
      </c>
      <c r="AI38">
        <v>387.60696389999998</v>
      </c>
      <c r="AJ38">
        <v>442.82471550000002</v>
      </c>
      <c r="AK38">
        <v>503.09059910000002</v>
      </c>
      <c r="AL38">
        <v>567.79493000000002</v>
      </c>
      <c r="AM38">
        <v>636.62746549999997</v>
      </c>
      <c r="AN38">
        <v>706.58374879999997</v>
      </c>
      <c r="AO38">
        <v>779.15735099999995</v>
      </c>
      <c r="AP38">
        <v>855.10391630000004</v>
      </c>
      <c r="AQ38">
        <v>934.6593431</v>
      </c>
      <c r="AR38">
        <v>1002.341955</v>
      </c>
      <c r="AS38">
        <v>1079.5284919999999</v>
      </c>
      <c r="AT38">
        <v>1163.0230349999999</v>
      </c>
      <c r="AU38">
        <v>1251.197122</v>
      </c>
      <c r="AV38">
        <v>1343.31881</v>
      </c>
      <c r="AW38">
        <v>1439.091553</v>
      </c>
    </row>
    <row r="39" spans="2:49" x14ac:dyDescent="0.25">
      <c r="B39" t="s">
        <v>340</v>
      </c>
      <c r="C39">
        <v>1.59483191497851E-2</v>
      </c>
      <c r="D39">
        <v>1.6204374572364899E-2</v>
      </c>
      <c r="E39">
        <v>1.6464540999999999E-2</v>
      </c>
      <c r="F39">
        <v>3.0242067899999999E-2</v>
      </c>
      <c r="G39">
        <v>5.8072086299999999E-2</v>
      </c>
      <c r="H39">
        <v>0.1191418434</v>
      </c>
      <c r="I39">
        <v>0.21019064470000001</v>
      </c>
      <c r="J39">
        <v>0.34119987699999998</v>
      </c>
      <c r="K39">
        <v>0.49781941349999997</v>
      </c>
      <c r="L39">
        <v>0.70778804829999997</v>
      </c>
      <c r="M39">
        <v>1.019622907</v>
      </c>
      <c r="N39">
        <v>1.4178024549999999</v>
      </c>
      <c r="O39">
        <v>1.9872556290000001</v>
      </c>
      <c r="P39">
        <v>2.4629711580000002</v>
      </c>
      <c r="Q39">
        <v>3.1718362849999999</v>
      </c>
      <c r="R39">
        <v>4.2343462629999999</v>
      </c>
      <c r="S39">
        <v>5.7514720649999997</v>
      </c>
      <c r="T39">
        <v>7.7857035430000003</v>
      </c>
      <c r="U39">
        <v>11.95616469</v>
      </c>
      <c r="V39">
        <v>18.073123639999999</v>
      </c>
      <c r="W39">
        <v>26.027259449999999</v>
      </c>
      <c r="X39">
        <v>32.559968570000002</v>
      </c>
      <c r="Y39">
        <v>43.058652719999998</v>
      </c>
      <c r="Z39">
        <v>56.775437429999997</v>
      </c>
      <c r="AA39">
        <v>73.445199479999999</v>
      </c>
      <c r="AB39">
        <v>92.937976849999998</v>
      </c>
      <c r="AC39">
        <v>109.6547497</v>
      </c>
      <c r="AD39">
        <v>132.45927</v>
      </c>
      <c r="AE39">
        <v>158.2954799</v>
      </c>
      <c r="AF39">
        <v>186.82284139999999</v>
      </c>
      <c r="AG39">
        <v>217.87648659999999</v>
      </c>
      <c r="AH39">
        <v>244.24025750000001</v>
      </c>
      <c r="AI39">
        <v>276.57749180000002</v>
      </c>
      <c r="AJ39">
        <v>312.94045569999997</v>
      </c>
      <c r="AK39">
        <v>352.12831069999999</v>
      </c>
      <c r="AL39">
        <v>393.64668999999998</v>
      </c>
      <c r="AM39">
        <v>437.22337829999998</v>
      </c>
      <c r="AN39">
        <v>480.61238470000001</v>
      </c>
      <c r="AO39">
        <v>524.78803540000001</v>
      </c>
      <c r="AP39">
        <v>570.18718720000004</v>
      </c>
      <c r="AQ39">
        <v>616.89179220000005</v>
      </c>
      <c r="AR39">
        <v>655.09059579999996</v>
      </c>
      <c r="AS39">
        <v>698.33682980000003</v>
      </c>
      <c r="AT39">
        <v>744.40611520000004</v>
      </c>
      <c r="AU39">
        <v>792.15442340000004</v>
      </c>
      <c r="AV39">
        <v>841.03712949999999</v>
      </c>
      <c r="AW39">
        <v>890.77800090000005</v>
      </c>
    </row>
    <row r="40" spans="2:49" x14ac:dyDescent="0.25">
      <c r="B40" t="s">
        <v>341</v>
      </c>
      <c r="C40">
        <v>6.5291776385026298E-2</v>
      </c>
      <c r="D40">
        <v>6.63400569741113E-2</v>
      </c>
      <c r="E40">
        <v>6.7405168000000001E-2</v>
      </c>
      <c r="F40">
        <v>0.12710339570000001</v>
      </c>
      <c r="G40">
        <v>0.2387504459</v>
      </c>
      <c r="H40">
        <v>0.429971453</v>
      </c>
      <c r="I40">
        <v>0.69850148180000005</v>
      </c>
      <c r="J40">
        <v>1.068535303</v>
      </c>
      <c r="K40">
        <v>1.506703167</v>
      </c>
      <c r="L40">
        <v>2.067693851</v>
      </c>
      <c r="M40">
        <v>2.8243779770000002</v>
      </c>
      <c r="N40">
        <v>3.7432173309999999</v>
      </c>
      <c r="O40">
        <v>5.0158969879999997</v>
      </c>
      <c r="P40">
        <v>6.6591404199999999</v>
      </c>
      <c r="Q40">
        <v>8.8612497680000004</v>
      </c>
      <c r="R40">
        <v>11.756015229999999</v>
      </c>
      <c r="S40">
        <v>15.40347804</v>
      </c>
      <c r="T40">
        <v>19.716634639999999</v>
      </c>
      <c r="U40">
        <v>25.735581620000001</v>
      </c>
      <c r="V40">
        <v>33.14155075</v>
      </c>
      <c r="W40">
        <v>42.567598390000001</v>
      </c>
      <c r="X40">
        <v>49.398137120000001</v>
      </c>
      <c r="Y40">
        <v>61.002664359999997</v>
      </c>
      <c r="Z40">
        <v>75.861917610000006</v>
      </c>
      <c r="AA40">
        <v>93.296620009999998</v>
      </c>
      <c r="AB40">
        <v>112.91261350000001</v>
      </c>
      <c r="AC40">
        <v>128.3125512</v>
      </c>
      <c r="AD40">
        <v>149.44185110000001</v>
      </c>
      <c r="AE40">
        <v>172.49959569999999</v>
      </c>
      <c r="AF40">
        <v>196.99905240000001</v>
      </c>
      <c r="AG40">
        <v>222.588537</v>
      </c>
      <c r="AH40">
        <v>242.46418750000001</v>
      </c>
      <c r="AI40">
        <v>266.68503520000002</v>
      </c>
      <c r="AJ40">
        <v>293.02703919999999</v>
      </c>
      <c r="AK40">
        <v>320.21217089999999</v>
      </c>
      <c r="AL40">
        <v>347.70489370000001</v>
      </c>
      <c r="AM40">
        <v>375.20532800000001</v>
      </c>
      <c r="AN40">
        <v>400.5214646</v>
      </c>
      <c r="AO40">
        <v>424.45724910000001</v>
      </c>
      <c r="AP40">
        <v>447.30305879999997</v>
      </c>
      <c r="AQ40">
        <v>469.06595659999999</v>
      </c>
      <c r="AR40">
        <v>483.48218150000002</v>
      </c>
      <c r="AS40">
        <v>499.43242040000001</v>
      </c>
      <c r="AT40">
        <v>515.18714460000001</v>
      </c>
      <c r="AU40">
        <v>529.90280910000001</v>
      </c>
      <c r="AV40">
        <v>543.19044719999999</v>
      </c>
      <c r="AW40">
        <v>554.8296239</v>
      </c>
    </row>
    <row r="41" spans="2:49" x14ac:dyDescent="0.25">
      <c r="B41" t="s">
        <v>342</v>
      </c>
      <c r="C41">
        <v>1.5338215665531501</v>
      </c>
      <c r="D41">
        <v>1.55844756793281</v>
      </c>
      <c r="E41">
        <v>1.5834689479999999</v>
      </c>
      <c r="F41">
        <v>2.9948582749999999</v>
      </c>
      <c r="G41">
        <v>5.6114457939999998</v>
      </c>
      <c r="H41">
        <v>9.9474264689999998</v>
      </c>
      <c r="I41">
        <v>15.98073254</v>
      </c>
      <c r="J41">
        <v>24.237031890000001</v>
      </c>
      <c r="K41">
        <v>33.998296699999997</v>
      </c>
      <c r="L41">
        <v>46.398922370000001</v>
      </c>
      <c r="M41">
        <v>62.83759294</v>
      </c>
      <c r="N41">
        <v>82.607620920000002</v>
      </c>
      <c r="O41">
        <v>109.8189234</v>
      </c>
      <c r="P41">
        <v>147.59568100000001</v>
      </c>
      <c r="Q41">
        <v>197.46604619999999</v>
      </c>
      <c r="R41">
        <v>261.66797170000001</v>
      </c>
      <c r="S41">
        <v>340.77107489999997</v>
      </c>
      <c r="T41">
        <v>431.99119200000001</v>
      </c>
      <c r="U41">
        <v>547.98496039999998</v>
      </c>
      <c r="V41">
        <v>684.14704570000004</v>
      </c>
      <c r="W41">
        <v>856.77708840000003</v>
      </c>
      <c r="X41">
        <v>977.55545170000005</v>
      </c>
      <c r="Y41">
        <v>1186.7321019999999</v>
      </c>
      <c r="Z41">
        <v>1453.742487</v>
      </c>
      <c r="AA41">
        <v>1764.8614050000001</v>
      </c>
      <c r="AB41">
        <v>2112.3105</v>
      </c>
      <c r="AC41">
        <v>2379.9742200000001</v>
      </c>
      <c r="AD41">
        <v>2748.7203450000002</v>
      </c>
      <c r="AE41">
        <v>3149.047892</v>
      </c>
      <c r="AF41">
        <v>3572.4439299999999</v>
      </c>
      <c r="AG41">
        <v>4012.8654019999999</v>
      </c>
      <c r="AH41">
        <v>4351.4157740000001</v>
      </c>
      <c r="AI41">
        <v>4765.3998979999997</v>
      </c>
      <c r="AJ41">
        <v>5216.0222050000002</v>
      </c>
      <c r="AK41">
        <v>5681.6463430000003</v>
      </c>
      <c r="AL41">
        <v>6153.8270789999997</v>
      </c>
      <c r="AM41">
        <v>6628.3072789999997</v>
      </c>
      <c r="AN41">
        <v>7068.8015089999999</v>
      </c>
      <c r="AO41">
        <v>7490.6142870000003</v>
      </c>
      <c r="AP41">
        <v>7900.2427040000002</v>
      </c>
      <c r="AQ41">
        <v>8299.3322439999902</v>
      </c>
      <c r="AR41">
        <v>8578.697381</v>
      </c>
      <c r="AS41">
        <v>8895.2886909999997</v>
      </c>
      <c r="AT41">
        <v>9221.3271829999994</v>
      </c>
      <c r="AU41">
        <v>9543.9443019999999</v>
      </c>
      <c r="AV41">
        <v>9857.9639370000004</v>
      </c>
      <c r="AW41">
        <v>10161.23769</v>
      </c>
    </row>
    <row r="42" spans="2:49" x14ac:dyDescent="0.25">
      <c r="B42" t="s">
        <v>343</v>
      </c>
      <c r="C42">
        <v>0.60453762790594801</v>
      </c>
      <c r="D42">
        <v>0.61424367506521405</v>
      </c>
      <c r="E42">
        <v>0.62410555599999995</v>
      </c>
      <c r="F42">
        <v>1.181091452</v>
      </c>
      <c r="G42">
        <v>2.2118992230000001</v>
      </c>
      <c r="H42">
        <v>3.9082387989999998</v>
      </c>
      <c r="I42">
        <v>6.2637630499999997</v>
      </c>
      <c r="J42">
        <v>9.4820473300000003</v>
      </c>
      <c r="K42" s="100">
        <v>13.285571559999999</v>
      </c>
      <c r="L42" s="100">
        <v>18.108683540000001</v>
      </c>
      <c r="M42" s="100">
        <v>24.47526581</v>
      </c>
      <c r="N42" s="100">
        <v>32.113217280000001</v>
      </c>
      <c r="O42" s="100">
        <v>42.608519280000003</v>
      </c>
      <c r="P42">
        <v>57.432701000000002</v>
      </c>
      <c r="Q42">
        <v>76.938118399999894</v>
      </c>
      <c r="R42">
        <v>101.9286724</v>
      </c>
      <c r="S42">
        <v>132.55124839999999</v>
      </c>
      <c r="T42">
        <v>167.63202949999999</v>
      </c>
      <c r="U42">
        <v>210.91331220000001</v>
      </c>
      <c r="V42">
        <v>260.66466830000002</v>
      </c>
      <c r="W42">
        <v>323.56137269999999</v>
      </c>
      <c r="X42">
        <v>366.71971760000002</v>
      </c>
      <c r="Y42">
        <v>442.16846659999999</v>
      </c>
      <c r="Z42">
        <v>538.19094740000003</v>
      </c>
      <c r="AA42">
        <v>649.46029759999999</v>
      </c>
      <c r="AB42">
        <v>772.93696269999998</v>
      </c>
      <c r="AC42">
        <v>866.54168440000001</v>
      </c>
      <c r="AD42">
        <v>995.6846481</v>
      </c>
      <c r="AE42">
        <v>1134.9129190000001</v>
      </c>
      <c r="AF42">
        <v>1281.0759559999999</v>
      </c>
      <c r="AG42">
        <v>1431.867377</v>
      </c>
      <c r="AH42">
        <v>1545.5320770000001</v>
      </c>
      <c r="AI42">
        <v>1684.423358</v>
      </c>
      <c r="AJ42">
        <v>1834.549481</v>
      </c>
      <c r="AK42">
        <v>1988.2122890000001</v>
      </c>
      <c r="AL42">
        <v>2142.4327830000002</v>
      </c>
      <c r="AM42">
        <v>2295.7333290000001</v>
      </c>
      <c r="AN42">
        <v>2435.4226990000002</v>
      </c>
      <c r="AO42">
        <v>2566.8458019999998</v>
      </c>
      <c r="AP42">
        <v>2692.2603349999999</v>
      </c>
      <c r="AQ42">
        <v>2812.2778589999998</v>
      </c>
      <c r="AR42">
        <v>2891.446813</v>
      </c>
      <c r="AS42">
        <v>2981.2623010000002</v>
      </c>
      <c r="AT42">
        <v>3072.488476</v>
      </c>
      <c r="AU42">
        <v>3160.9650099999999</v>
      </c>
      <c r="AV42">
        <v>3245.112705</v>
      </c>
      <c r="AW42">
        <v>3324.3417469999999</v>
      </c>
    </row>
    <row r="43" spans="2:49" x14ac:dyDescent="0.25">
      <c r="B43" t="s">
        <v>344</v>
      </c>
      <c r="C43">
        <v>8.2417488223721705E-3</v>
      </c>
      <c r="D43">
        <v>8.3740727655845504E-3</v>
      </c>
      <c r="E43">
        <v>8.5085212099999998E-3</v>
      </c>
      <c r="F43">
        <v>1.7087907499999999E-2</v>
      </c>
      <c r="G43">
        <v>3.0457194199999999E-2</v>
      </c>
      <c r="H43">
        <v>3.6127238800000003E-2</v>
      </c>
      <c r="I43">
        <v>3.7364539199999998E-2</v>
      </c>
      <c r="J43">
        <v>4.9223902799999997E-2</v>
      </c>
      <c r="K43">
        <v>6.3415087300000006E-2</v>
      </c>
      <c r="L43">
        <v>8.1664419500000002E-2</v>
      </c>
      <c r="M43">
        <v>0.1061024614</v>
      </c>
      <c r="N43">
        <v>0.1356509833</v>
      </c>
      <c r="O43">
        <v>0.1765702069</v>
      </c>
      <c r="P43">
        <v>0.26206837160000002</v>
      </c>
      <c r="Q43">
        <v>0.29576855120000001</v>
      </c>
      <c r="R43">
        <v>0.3938122885</v>
      </c>
      <c r="S43">
        <v>0.51455748359999998</v>
      </c>
      <c r="T43">
        <v>0.65378100360000002</v>
      </c>
      <c r="U43">
        <v>0.8310781411</v>
      </c>
      <c r="V43">
        <v>1.0395636880000001</v>
      </c>
      <c r="W43">
        <v>1.303917153</v>
      </c>
      <c r="X43">
        <v>1.4893164720000001</v>
      </c>
      <c r="Y43">
        <v>1.8099712139999999</v>
      </c>
      <c r="Z43">
        <v>2.2194104800000001</v>
      </c>
      <c r="AA43">
        <v>2.696826191</v>
      </c>
      <c r="AB43">
        <v>3.2304647609999999</v>
      </c>
      <c r="AC43">
        <v>3.6425540399999998</v>
      </c>
      <c r="AD43">
        <v>4.2101760510000004</v>
      </c>
      <c r="AE43">
        <v>4.8271384079999997</v>
      </c>
      <c r="AF43">
        <v>5.4805094969999999</v>
      </c>
      <c r="AG43">
        <v>6.1611927440000001</v>
      </c>
      <c r="AH43">
        <v>6.6863171440000002</v>
      </c>
      <c r="AI43">
        <v>7.3286787520000001</v>
      </c>
      <c r="AJ43">
        <v>8.0289873919999994</v>
      </c>
      <c r="AK43">
        <v>8.754147004</v>
      </c>
      <c r="AL43">
        <v>9.4912880869999903</v>
      </c>
      <c r="AM43">
        <v>10.23396026</v>
      </c>
      <c r="AN43">
        <v>10.92653831</v>
      </c>
      <c r="AO43">
        <v>11.59273947</v>
      </c>
      <c r="AP43">
        <v>12.242748239999999</v>
      </c>
      <c r="AQ43">
        <v>12.87924026</v>
      </c>
      <c r="AR43">
        <v>13.33138484</v>
      </c>
      <c r="AS43">
        <v>13.844457350000001</v>
      </c>
      <c r="AT43">
        <v>14.37549128</v>
      </c>
      <c r="AU43">
        <v>14.90454828</v>
      </c>
      <c r="AV43">
        <v>15.42361258</v>
      </c>
      <c r="AW43">
        <v>15.929407899999999</v>
      </c>
    </row>
    <row r="44" spans="2:49" x14ac:dyDescent="0.25">
      <c r="B44" t="s">
        <v>345</v>
      </c>
      <c r="C44">
        <v>0.101255771246286</v>
      </c>
      <c r="D44">
        <v>0.10288146540575301</v>
      </c>
      <c r="E44">
        <v>0.1045332606</v>
      </c>
      <c r="F44">
        <v>0.19859704850000001</v>
      </c>
      <c r="G44">
        <v>0.3707163892</v>
      </c>
      <c r="H44">
        <v>0.64147123120000005</v>
      </c>
      <c r="I44">
        <v>1.012495567</v>
      </c>
      <c r="J44">
        <v>1.5142563360000001</v>
      </c>
      <c r="K44">
        <v>2.105885534</v>
      </c>
      <c r="L44">
        <v>2.847362323</v>
      </c>
      <c r="M44">
        <v>3.7999496559999999</v>
      </c>
      <c r="N44">
        <v>4.9250273939999998</v>
      </c>
      <c r="O44">
        <v>6.4548977220000001</v>
      </c>
      <c r="P44">
        <v>8.8668161570000006</v>
      </c>
      <c r="Q44">
        <v>11.97445772</v>
      </c>
      <c r="R44">
        <v>15.835826580000001</v>
      </c>
      <c r="S44">
        <v>20.405022769999999</v>
      </c>
      <c r="T44">
        <v>25.424316659999999</v>
      </c>
      <c r="U44">
        <v>30.541280449999999</v>
      </c>
      <c r="V44">
        <v>35.704726379999997</v>
      </c>
      <c r="W44">
        <v>42.146879660000003</v>
      </c>
      <c r="X44">
        <v>46.038879989999998</v>
      </c>
      <c r="Y44">
        <v>53.344464860000002</v>
      </c>
      <c r="Z44">
        <v>62.519790839999999</v>
      </c>
      <c r="AA44">
        <v>72.847346770000001</v>
      </c>
      <c r="AB44">
        <v>83.927026749999996</v>
      </c>
      <c r="AC44">
        <v>91.562627559999996</v>
      </c>
      <c r="AD44">
        <v>102.27181950000001</v>
      </c>
      <c r="AE44">
        <v>113.4133178</v>
      </c>
      <c r="AF44">
        <v>124.67701599999999</v>
      </c>
      <c r="AG44">
        <v>135.82315840000001</v>
      </c>
      <c r="AH44">
        <v>143.32599769999999</v>
      </c>
      <c r="AI44">
        <v>152.56607120000001</v>
      </c>
      <c r="AJ44">
        <v>162.2557376</v>
      </c>
      <c r="AK44">
        <v>171.74972339999999</v>
      </c>
      <c r="AL44">
        <v>180.8352553</v>
      </c>
      <c r="AM44">
        <v>189.43545950000001</v>
      </c>
      <c r="AN44">
        <v>196.57660970000001</v>
      </c>
      <c r="AO44">
        <v>202.74383209999999</v>
      </c>
      <c r="AP44">
        <v>208.16468169999999</v>
      </c>
      <c r="AQ44">
        <v>212.94262939999999</v>
      </c>
      <c r="AR44">
        <v>214.91852829999999</v>
      </c>
      <c r="AS44">
        <v>217.4261151</v>
      </c>
      <c r="AT44">
        <v>219.89234049999999</v>
      </c>
      <c r="AU44">
        <v>222.0976622</v>
      </c>
      <c r="AV44">
        <v>223.99070610000001</v>
      </c>
      <c r="AW44">
        <v>225.5778899</v>
      </c>
    </row>
    <row r="45" spans="2:49" x14ac:dyDescent="0.25">
      <c r="B45" t="s">
        <v>346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347</v>
      </c>
      <c r="C46">
        <v>30996.0941631817</v>
      </c>
      <c r="D46">
        <v>31493.7464809423</v>
      </c>
      <c r="E46">
        <v>31999.388770000001</v>
      </c>
      <c r="F46">
        <v>32683.817739999999</v>
      </c>
      <c r="G46">
        <v>33306.248310000003</v>
      </c>
      <c r="H46">
        <v>34127.694490000002</v>
      </c>
      <c r="I46">
        <v>34839.497510000001</v>
      </c>
      <c r="J46">
        <v>35452.215969999997</v>
      </c>
      <c r="K46">
        <v>35679.490189999997</v>
      </c>
      <c r="L46">
        <v>35769.163240000002</v>
      </c>
      <c r="M46">
        <v>35852.177900000002</v>
      </c>
      <c r="N46">
        <v>35785.167699999998</v>
      </c>
      <c r="O46">
        <v>35810.695180000002</v>
      </c>
      <c r="P46">
        <v>36095.889009999999</v>
      </c>
      <c r="Q46">
        <v>36407.63852</v>
      </c>
      <c r="R46">
        <v>36714.51627</v>
      </c>
      <c r="S46">
        <v>36947.785259999997</v>
      </c>
      <c r="T46">
        <v>37014.011599999998</v>
      </c>
      <c r="U46">
        <v>36935.128929999999</v>
      </c>
      <c r="V46">
        <v>36674.106780000002</v>
      </c>
      <c r="W46">
        <v>36467.338230000001</v>
      </c>
      <c r="X46">
        <v>35604.747360000001</v>
      </c>
      <c r="Y46">
        <v>35154.88637</v>
      </c>
      <c r="Z46">
        <v>34820.695070000002</v>
      </c>
      <c r="AA46">
        <v>34498.748099999997</v>
      </c>
      <c r="AB46">
        <v>34151.30775</v>
      </c>
      <c r="AC46">
        <v>33410.528319999998</v>
      </c>
      <c r="AD46">
        <v>32887.1224</v>
      </c>
      <c r="AE46">
        <v>32365.270059999999</v>
      </c>
      <c r="AF46">
        <v>31832.06914</v>
      </c>
      <c r="AG46">
        <v>31284.575339999999</v>
      </c>
      <c r="AH46">
        <v>30512.799200000001</v>
      </c>
      <c r="AI46">
        <v>29861.59633</v>
      </c>
      <c r="AJ46">
        <v>29259.197230000002</v>
      </c>
      <c r="AK46" s="100">
        <v>28673.419170000001</v>
      </c>
      <c r="AL46" s="100">
        <v>28096.06868</v>
      </c>
      <c r="AM46" s="100">
        <v>27525.569920000002</v>
      </c>
      <c r="AN46" s="100">
        <v>26915.378700000001</v>
      </c>
      <c r="AO46" s="100">
        <v>26291.27795</v>
      </c>
      <c r="AP46" s="100">
        <v>25665.488219999999</v>
      </c>
      <c r="AQ46" s="100">
        <v>25043.270410000001</v>
      </c>
      <c r="AR46" s="100">
        <v>24317.76686</v>
      </c>
      <c r="AS46" s="100">
        <v>23651.151229999999</v>
      </c>
      <c r="AT46" s="100">
        <v>23015.908019999999</v>
      </c>
      <c r="AU46" s="100">
        <v>22400.514350000001</v>
      </c>
      <c r="AV46" s="100">
        <v>21801.046729999998</v>
      </c>
      <c r="AW46">
        <v>21216.347519999999</v>
      </c>
    </row>
    <row r="47" spans="2:49" x14ac:dyDescent="0.25">
      <c r="B47" t="s">
        <v>348</v>
      </c>
      <c r="C47">
        <v>2.3360541304970401</v>
      </c>
      <c r="D47" s="100">
        <v>2.3735602351802898</v>
      </c>
      <c r="E47" s="100">
        <v>2.411668513</v>
      </c>
      <c r="F47">
        <v>4.5612619189999997</v>
      </c>
      <c r="G47">
        <v>8.546397228</v>
      </c>
      <c r="H47">
        <v>15.15045522</v>
      </c>
      <c r="I47">
        <v>24.339935520000001</v>
      </c>
      <c r="J47">
        <v>36.932823550000002</v>
      </c>
      <c r="K47">
        <v>51.823317850000002</v>
      </c>
      <c r="L47">
        <v>70.752975570000004</v>
      </c>
      <c r="M47">
        <v>95.885964430000001</v>
      </c>
      <c r="N47" s="100">
        <v>126.1396536</v>
      </c>
      <c r="O47" s="100">
        <v>167.80626559999999</v>
      </c>
      <c r="P47" s="100">
        <v>225.31536399999999</v>
      </c>
      <c r="Q47" s="100">
        <v>301.2476408</v>
      </c>
      <c r="R47" s="100">
        <v>399.22758049999999</v>
      </c>
      <c r="S47" s="100">
        <v>520.19054849999998</v>
      </c>
      <c r="T47" s="100">
        <v>660.01998809999998</v>
      </c>
      <c r="U47" s="100">
        <v>839.79815599999995</v>
      </c>
      <c r="V47" s="100">
        <v>1052.4666219999999</v>
      </c>
      <c r="W47" s="100">
        <v>1322.387412</v>
      </c>
      <c r="X47" s="100">
        <v>1512.5754649999999</v>
      </c>
      <c r="Y47" s="100">
        <v>1840.872609</v>
      </c>
      <c r="Z47" s="100">
        <v>2260.4200989999999</v>
      </c>
      <c r="AA47" s="100">
        <v>2750.2937870000001</v>
      </c>
      <c r="AB47" s="100">
        <v>3298.6832039999999</v>
      </c>
      <c r="AC47" s="100">
        <v>3723.6780509999999</v>
      </c>
      <c r="AD47" s="100">
        <v>4308.903241</v>
      </c>
      <c r="AE47" s="100">
        <v>4945.9456570000002</v>
      </c>
      <c r="AF47" s="100">
        <v>5621.6123850000004</v>
      </c>
      <c r="AG47">
        <v>6326.6781099999998</v>
      </c>
      <c r="AH47">
        <v>6872.6648960000002</v>
      </c>
      <c r="AI47">
        <v>7540.5874970000004</v>
      </c>
      <c r="AJ47">
        <v>8269.6486220000006</v>
      </c>
      <c r="AK47">
        <v>9025.7935830000006</v>
      </c>
      <c r="AL47">
        <v>9795.732919</v>
      </c>
      <c r="AM47">
        <v>10572.7662</v>
      </c>
      <c r="AN47">
        <v>11299.444949999999</v>
      </c>
      <c r="AO47">
        <v>12000.1993</v>
      </c>
      <c r="AP47">
        <v>12685.504629999999</v>
      </c>
      <c r="AQ47">
        <v>13358.049069999999</v>
      </c>
      <c r="AR47">
        <v>13839.30884</v>
      </c>
      <c r="AS47">
        <v>14385.11931</v>
      </c>
      <c r="AT47">
        <v>14950.699790000001</v>
      </c>
      <c r="AU47">
        <v>15515.16588</v>
      </c>
      <c r="AV47">
        <v>16070.037350000001</v>
      </c>
      <c r="AW47">
        <v>16611.785909999999</v>
      </c>
    </row>
    <row r="48" spans="2:49" x14ac:dyDescent="0.25">
      <c r="B48" t="s">
        <v>349</v>
      </c>
      <c r="C48">
        <v>2.1906436884240502E-2</v>
      </c>
      <c r="D48" s="100">
        <v>2.2258151814254699E-2</v>
      </c>
      <c r="E48" s="100">
        <v>2.2615513600000001E-2</v>
      </c>
      <c r="F48">
        <v>2.4387868699999999E-2</v>
      </c>
      <c r="G48">
        <v>5.8659166399999997E-2</v>
      </c>
      <c r="H48">
        <v>9.61192783E-2</v>
      </c>
      <c r="I48" s="100">
        <v>0.13571540330000001</v>
      </c>
      <c r="J48" s="100">
        <v>0.18930903090000001</v>
      </c>
      <c r="K48" s="100">
        <v>0.23841915950000001</v>
      </c>
      <c r="L48" s="100">
        <v>0.2815583679</v>
      </c>
      <c r="M48" s="100">
        <v>0.32287520400000003</v>
      </c>
      <c r="N48" s="100">
        <v>0.34688827630000002</v>
      </c>
      <c r="O48" s="100">
        <v>0.36563251460000001</v>
      </c>
      <c r="P48" s="100">
        <v>0.37783086469999999</v>
      </c>
      <c r="Q48" s="100">
        <v>0.41064368400000001</v>
      </c>
      <c r="R48" s="100">
        <v>0.44725305030000001</v>
      </c>
      <c r="S48" s="100">
        <v>0.50825494770000001</v>
      </c>
      <c r="T48" s="100">
        <v>0.55705559410000005</v>
      </c>
      <c r="U48" s="100">
        <v>0.63757523810000005</v>
      </c>
      <c r="V48" s="100">
        <v>0.72571076349999997</v>
      </c>
      <c r="W48" s="100">
        <v>0.81761622749999996</v>
      </c>
      <c r="X48" s="100">
        <v>0.86600256249999996</v>
      </c>
      <c r="Y48" s="100">
        <v>0.93771343330000001</v>
      </c>
      <c r="Z48" s="100">
        <v>1.016408212</v>
      </c>
      <c r="AA48" s="100">
        <v>1.0963855220000001</v>
      </c>
      <c r="AB48" s="100">
        <v>1.1750543200000001</v>
      </c>
      <c r="AC48" s="100">
        <v>1.2213885330000001</v>
      </c>
      <c r="AD48" s="100">
        <v>1.2840658700000001</v>
      </c>
      <c r="AE48" s="100">
        <v>1.3461949259999999</v>
      </c>
      <c r="AF48" s="100">
        <v>1.406745321</v>
      </c>
      <c r="AG48" s="100">
        <v>1.4646325840000001</v>
      </c>
      <c r="AH48" s="100">
        <v>1.4991192200000001</v>
      </c>
      <c r="AI48" s="100">
        <v>1.544081501</v>
      </c>
      <c r="AJ48" s="100">
        <v>1.5923608869999999</v>
      </c>
      <c r="AK48" s="100">
        <v>1.6410562440000001</v>
      </c>
      <c r="AL48">
        <v>1.6891004599999999</v>
      </c>
      <c r="AM48">
        <v>1.7360208829999999</v>
      </c>
      <c r="AN48">
        <v>1.7775111159999999</v>
      </c>
      <c r="AO48">
        <v>1.8164024830000001</v>
      </c>
      <c r="AP48">
        <v>1.853932065</v>
      </c>
      <c r="AQ48">
        <v>1.890728218</v>
      </c>
      <c r="AR48">
        <v>1.909735956</v>
      </c>
      <c r="AS48">
        <v>1.935985007</v>
      </c>
      <c r="AT48">
        <v>1.9655684710000001</v>
      </c>
      <c r="AU48">
        <v>1.9968291540000001</v>
      </c>
      <c r="AV48">
        <v>2.0290720790000001</v>
      </c>
      <c r="AW48">
        <v>2.0620389079999999</v>
      </c>
    </row>
    <row r="49" spans="2:49" x14ac:dyDescent="0.25">
      <c r="B49" t="s">
        <v>350</v>
      </c>
      <c r="C49">
        <v>2298.5980133353301</v>
      </c>
      <c r="D49">
        <v>2335.5027479420201</v>
      </c>
      <c r="E49">
        <v>2373</v>
      </c>
      <c r="F49">
        <v>2446.6775899999998</v>
      </c>
      <c r="G49">
        <v>2424.2765530000001</v>
      </c>
      <c r="H49">
        <v>2660.3639440000002</v>
      </c>
      <c r="I49">
        <v>2598.8489709999999</v>
      </c>
      <c r="J49">
        <v>2542.822412</v>
      </c>
      <c r="K49">
        <v>2194.0678939999998</v>
      </c>
      <c r="L49">
        <v>2073.8249529999998</v>
      </c>
      <c r="M49">
        <v>2079.3430400000002</v>
      </c>
      <c r="N49">
        <v>1940.3869999999999</v>
      </c>
      <c r="O49">
        <v>2042.316</v>
      </c>
      <c r="P49">
        <v>2141.6280000000002</v>
      </c>
      <c r="Q49">
        <v>2203.7420000000002</v>
      </c>
      <c r="R49">
        <v>2240.3020000000001</v>
      </c>
      <c r="S49">
        <v>2209.9191489999998</v>
      </c>
      <c r="T49">
        <v>2079.4545720000001</v>
      </c>
      <c r="U49">
        <v>2193.8972560000002</v>
      </c>
      <c r="V49">
        <v>2173.7008540000002</v>
      </c>
      <c r="W49">
        <v>2282.3624410000002</v>
      </c>
      <c r="X49">
        <v>1550.522219</v>
      </c>
      <c r="Y49">
        <v>2061.8080839999998</v>
      </c>
      <c r="Z49">
        <v>2261.5773089999998</v>
      </c>
      <c r="AA49">
        <v>2349.1687849999998</v>
      </c>
      <c r="AB49">
        <v>2392.0691790000001</v>
      </c>
      <c r="AC49">
        <v>1887.1560589999999</v>
      </c>
      <c r="AD49">
        <v>2246.184354</v>
      </c>
      <c r="AE49">
        <v>2303.1915749999998</v>
      </c>
      <c r="AF49">
        <v>2337.2432060000001</v>
      </c>
      <c r="AG49">
        <v>2360.7296620000002</v>
      </c>
      <c r="AH49">
        <v>1986.6373229999999</v>
      </c>
      <c r="AI49">
        <v>2215.8646709999998</v>
      </c>
      <c r="AJ49">
        <v>2326.7904840000001</v>
      </c>
      <c r="AK49">
        <v>2377.9460730000001</v>
      </c>
      <c r="AL49">
        <v>2410.1895960000002</v>
      </c>
      <c r="AM49">
        <v>2435.464027</v>
      </c>
      <c r="AN49">
        <v>2370.8269479999999</v>
      </c>
      <c r="AO49">
        <v>2351.3454750000001</v>
      </c>
      <c r="AP49">
        <v>2352.4184329999998</v>
      </c>
      <c r="AQ49">
        <v>2360.627399</v>
      </c>
      <c r="AR49">
        <v>2083.1089200000001</v>
      </c>
      <c r="AS49">
        <v>2205.8457960000001</v>
      </c>
      <c r="AT49">
        <v>2263.8508019999999</v>
      </c>
      <c r="AU49">
        <v>2292.6901790000002</v>
      </c>
      <c r="AV49">
        <v>2310.415047</v>
      </c>
      <c r="AW49">
        <v>2323.992115</v>
      </c>
    </row>
    <row r="50" spans="2:49" x14ac:dyDescent="0.25">
      <c r="B50" t="s">
        <v>351</v>
      </c>
      <c r="C50">
        <v>2297.4487143286601</v>
      </c>
      <c r="D50">
        <v>2334.33499656805</v>
      </c>
      <c r="E50">
        <v>2371.8135000000002</v>
      </c>
      <c r="F50">
        <v>2444.3953550000001</v>
      </c>
      <c r="G50">
        <v>2420.0405489999998</v>
      </c>
      <c r="H50">
        <v>2653.2898340000002</v>
      </c>
      <c r="I50">
        <v>2588.826215</v>
      </c>
      <c r="J50">
        <v>2528.8908270000002</v>
      </c>
      <c r="K50">
        <v>2177.1460950000001</v>
      </c>
      <c r="L50">
        <v>2052.0450129999999</v>
      </c>
      <c r="M50">
        <v>2050.3186380000002</v>
      </c>
      <c r="N50">
        <v>1904.8595829999999</v>
      </c>
      <c r="O50">
        <v>1993.7117069999999</v>
      </c>
      <c r="P50">
        <v>2075.7285879999999</v>
      </c>
      <c r="Q50">
        <v>2116.5439550000001</v>
      </c>
      <c r="R50">
        <v>2127.2596779999999</v>
      </c>
      <c r="S50">
        <v>2068.9948009999998</v>
      </c>
      <c r="T50">
        <v>1913.615605</v>
      </c>
      <c r="U50">
        <v>1977.451311</v>
      </c>
      <c r="V50">
        <v>1911.6324959999999</v>
      </c>
      <c r="W50">
        <v>1950.531849</v>
      </c>
      <c r="X50">
        <v>1282.5466710000001</v>
      </c>
      <c r="Y50">
        <v>1644.5359129999999</v>
      </c>
      <c r="Z50">
        <v>1733.743195</v>
      </c>
      <c r="AA50">
        <v>1726.329209</v>
      </c>
      <c r="AB50">
        <v>1681.8977749999999</v>
      </c>
      <c r="AC50">
        <v>1268.121024</v>
      </c>
      <c r="AD50">
        <v>1441.9192780000001</v>
      </c>
      <c r="AE50">
        <v>1412.6842630000001</v>
      </c>
      <c r="AF50">
        <v>1370.6384969999999</v>
      </c>
      <c r="AG50">
        <v>1324.9808559999999</v>
      </c>
      <c r="AH50">
        <v>1068.493001</v>
      </c>
      <c r="AI50">
        <v>1143.6676660000001</v>
      </c>
      <c r="AJ50">
        <v>1154.1653879999999</v>
      </c>
      <c r="AK50">
        <v>1135.351193</v>
      </c>
      <c r="AL50">
        <v>1109.321226</v>
      </c>
      <c r="AM50">
        <v>1082.2111629999999</v>
      </c>
      <c r="AN50">
        <v>1018.5407259999999</v>
      </c>
      <c r="AO50">
        <v>978.00512349999997</v>
      </c>
      <c r="AP50" s="100">
        <v>948.53829010000004</v>
      </c>
      <c r="AQ50" s="100">
        <v>923.89593920000004</v>
      </c>
      <c r="AR50" s="100">
        <v>792.27041440000005</v>
      </c>
      <c r="AS50" s="100">
        <v>816.17503429999999</v>
      </c>
      <c r="AT50" s="100">
        <v>815.74766550000004</v>
      </c>
      <c r="AU50">
        <v>805.34138419999999</v>
      </c>
      <c r="AV50">
        <v>791.86867800000005</v>
      </c>
      <c r="AW50">
        <v>777.86621630000002</v>
      </c>
    </row>
    <row r="51" spans="2:49" x14ac:dyDescent="0.25">
      <c r="B51" t="s">
        <v>352</v>
      </c>
      <c r="C51" s="100">
        <v>1.1492990066676601</v>
      </c>
      <c r="D51" s="100">
        <v>1.1677513739710099</v>
      </c>
      <c r="E51" s="100">
        <v>1.1865000000000001</v>
      </c>
      <c r="F51" s="100">
        <v>2.2806808030000001</v>
      </c>
      <c r="G51" s="100">
        <v>31.12662606</v>
      </c>
      <c r="H51" s="100">
        <v>35.573153939999997</v>
      </c>
      <c r="I51" s="100">
        <v>39.298856700000002</v>
      </c>
      <c r="J51" s="100">
        <v>53.622651689999998</v>
      </c>
      <c r="K51" s="100">
        <v>52.32190026</v>
      </c>
      <c r="L51" s="100">
        <v>49.448005799999997</v>
      </c>
      <c r="M51">
        <v>49.933804369999997</v>
      </c>
      <c r="N51">
        <v>36.650501859999999</v>
      </c>
      <c r="O51">
        <v>33.140903420000001</v>
      </c>
      <c r="P51">
        <v>26.63239591</v>
      </c>
      <c r="Q51">
        <v>45.405797550000003</v>
      </c>
      <c r="R51">
        <v>50.214285830000001</v>
      </c>
      <c r="S51">
        <v>73.420791609999995</v>
      </c>
      <c r="T51">
        <v>65.352882719999997</v>
      </c>
      <c r="U51">
        <v>98.300031410000003</v>
      </c>
      <c r="V51">
        <v>110.850751</v>
      </c>
      <c r="W51">
        <v>118.76741199999999</v>
      </c>
      <c r="X51">
        <v>85.155412299999995</v>
      </c>
      <c r="Y51">
        <v>108.2518173</v>
      </c>
      <c r="Z51">
        <v>118.14938069999999</v>
      </c>
      <c r="AA51">
        <v>123.38183170000001</v>
      </c>
      <c r="AB51">
        <v>126.39462519999999</v>
      </c>
      <c r="AC51">
        <v>101.9477916</v>
      </c>
      <c r="AD51">
        <v>118.7920756</v>
      </c>
      <c r="AE51">
        <v>121.57481970000001</v>
      </c>
      <c r="AF51">
        <v>123.41943879999999</v>
      </c>
      <c r="AG51">
        <v>124.2229439</v>
      </c>
      <c r="AH51">
        <v>106.5732548</v>
      </c>
      <c r="AI51">
        <v>117.62589319999999</v>
      </c>
      <c r="AJ51">
        <v>122.9002699</v>
      </c>
      <c r="AK51">
        <v>125.7850949</v>
      </c>
      <c r="AL51">
        <v>127.74853640000001</v>
      </c>
      <c r="AM51">
        <v>129.26003059999999</v>
      </c>
      <c r="AN51" s="100">
        <v>127.44335599999999</v>
      </c>
      <c r="AO51" s="100">
        <v>127.87765159999999</v>
      </c>
      <c r="AP51" s="100">
        <v>129.29975780000001</v>
      </c>
      <c r="AQ51" s="100">
        <v>131.23611399999999</v>
      </c>
      <c r="AR51" s="100">
        <v>118.0901224</v>
      </c>
      <c r="AS51" s="100">
        <v>126.1389508</v>
      </c>
      <c r="AT51">
        <v>131.14797590000001</v>
      </c>
      <c r="AU51">
        <v>134.89980879999999</v>
      </c>
      <c r="AV51">
        <v>138.15754010000001</v>
      </c>
      <c r="AW51">
        <v>141.27096230000001</v>
      </c>
    </row>
    <row r="52" spans="2:49" x14ac:dyDescent="0.25">
      <c r="B52" t="s">
        <v>353</v>
      </c>
      <c r="C52">
        <v>413.74764240035898</v>
      </c>
      <c r="D52">
        <v>420.39049462956399</v>
      </c>
      <c r="E52">
        <v>427.14</v>
      </c>
      <c r="F52">
        <v>439.51410540000001</v>
      </c>
      <c r="G52">
        <v>446.02749399999999</v>
      </c>
      <c r="H52">
        <v>496.11282990000001</v>
      </c>
      <c r="I52">
        <v>483.16414350000002</v>
      </c>
      <c r="J52">
        <v>475.5493409</v>
      </c>
      <c r="K52">
        <v>409.2779342</v>
      </c>
      <c r="L52">
        <v>386.31683980000003</v>
      </c>
      <c r="M52">
        <v>387.74977319999999</v>
      </c>
      <c r="N52">
        <v>363.77658400000001</v>
      </c>
      <c r="O52">
        <v>380.77672280000002</v>
      </c>
      <c r="P52">
        <v>390.91665690000002</v>
      </c>
      <c r="Q52">
        <v>405.2704157</v>
      </c>
      <c r="R52">
        <v>409.86834229999999</v>
      </c>
      <c r="S52">
        <v>414.35073390000002</v>
      </c>
      <c r="T52">
        <v>378.2509814</v>
      </c>
      <c r="U52">
        <v>408.6197391</v>
      </c>
      <c r="V52">
        <v>401.6955413</v>
      </c>
      <c r="W52">
        <v>411.8989977</v>
      </c>
      <c r="X52">
        <v>273.53128409999999</v>
      </c>
      <c r="Y52">
        <v>350.19598330000002</v>
      </c>
      <c r="Z52">
        <v>370.20575430000002</v>
      </c>
      <c r="AA52">
        <v>370.26199939999998</v>
      </c>
      <c r="AB52">
        <v>362.46874550000001</v>
      </c>
      <c r="AC52">
        <v>275.28838000000002</v>
      </c>
      <c r="AD52">
        <v>313.42401219999999</v>
      </c>
      <c r="AE52">
        <v>308.12298929999997</v>
      </c>
      <c r="AF52">
        <v>300.07698219999997</v>
      </c>
      <c r="AG52">
        <v>290.93974919999999</v>
      </c>
      <c r="AH52">
        <v>235.9174137</v>
      </c>
      <c r="AI52">
        <v>253.01037349999999</v>
      </c>
      <c r="AJ52">
        <v>256.0076656</v>
      </c>
      <c r="AK52">
        <v>252.69075040000001</v>
      </c>
      <c r="AL52">
        <v>247.7030613</v>
      </c>
      <c r="AM52">
        <v>242.36700590000001</v>
      </c>
      <c r="AN52">
        <v>228.9203152</v>
      </c>
      <c r="AO52" s="100">
        <v>220.49301679999999</v>
      </c>
      <c r="AP52" s="100">
        <v>214.40829049999999</v>
      </c>
      <c r="AQ52" s="100">
        <v>209.33796520000001</v>
      </c>
      <c r="AR52" s="100">
        <v>180.08956319999999</v>
      </c>
      <c r="AS52" s="100">
        <v>185.62912600000001</v>
      </c>
      <c r="AT52">
        <v>185.65891629999999</v>
      </c>
      <c r="AU52">
        <v>183.38945799999999</v>
      </c>
      <c r="AV52">
        <v>180.3413041</v>
      </c>
      <c r="AW52">
        <v>177.07694319999999</v>
      </c>
    </row>
    <row r="53" spans="2:49" x14ac:dyDescent="0.25">
      <c r="B53" t="s">
        <v>354</v>
      </c>
      <c r="C53">
        <v>652.80183578723302</v>
      </c>
      <c r="D53">
        <v>663.28278041553403</v>
      </c>
      <c r="E53">
        <v>673.93200000000002</v>
      </c>
      <c r="F53">
        <v>694.09138099999996</v>
      </c>
      <c r="G53">
        <v>683.6953115</v>
      </c>
      <c r="H53">
        <v>752.46235539999998</v>
      </c>
      <c r="I53">
        <v>733.31296650000002</v>
      </c>
      <c r="J53">
        <v>716.14099940000006</v>
      </c>
      <c r="K53">
        <v>615.78587349999998</v>
      </c>
      <c r="L53">
        <v>580.4751665</v>
      </c>
      <c r="M53">
        <v>580.62289729999998</v>
      </c>
      <c r="N53">
        <v>551.88772059999997</v>
      </c>
      <c r="O53">
        <v>578.38559529999998</v>
      </c>
      <c r="P53">
        <v>601.51192760000004</v>
      </c>
      <c r="Q53">
        <v>614.24751360000005</v>
      </c>
      <c r="R53">
        <v>619.21499289999997</v>
      </c>
      <c r="S53">
        <v>610.01464599999997</v>
      </c>
      <c r="T53">
        <v>562.94668890000003</v>
      </c>
      <c r="U53">
        <v>586.91066460000002</v>
      </c>
      <c r="V53">
        <v>566.73149850000004</v>
      </c>
      <c r="W53">
        <v>577.82627849999994</v>
      </c>
      <c r="X53">
        <v>379.37806319999999</v>
      </c>
      <c r="Y53">
        <v>486.47817279999998</v>
      </c>
      <c r="Z53">
        <v>512.35015810000004</v>
      </c>
      <c r="AA53">
        <v>509.45350939999997</v>
      </c>
      <c r="AB53">
        <v>495.52812210000002</v>
      </c>
      <c r="AC53">
        <v>372.71977650000002</v>
      </c>
      <c r="AD53">
        <v>423.2716696</v>
      </c>
      <c r="AE53">
        <v>413.79342680000002</v>
      </c>
      <c r="AF53">
        <v>400.50383720000002</v>
      </c>
      <c r="AG53">
        <v>386.22001310000002</v>
      </c>
      <c r="AH53">
        <v>310.2176662</v>
      </c>
      <c r="AI53">
        <v>331.28257459999998</v>
      </c>
      <c r="AJ53">
        <v>333.42221740000002</v>
      </c>
      <c r="AK53">
        <v>326.91757890000002</v>
      </c>
      <c r="AL53">
        <v>318.31885340000002</v>
      </c>
      <c r="AM53">
        <v>309.44314559999998</v>
      </c>
      <c r="AN53">
        <v>289.80927630000002</v>
      </c>
      <c r="AO53" s="100">
        <v>276.857032</v>
      </c>
      <c r="AP53" s="100">
        <v>267.10221910000001</v>
      </c>
      <c r="AQ53" s="100">
        <v>258.69564009999999</v>
      </c>
      <c r="AR53" s="100">
        <v>220.25195410000001</v>
      </c>
      <c r="AS53" s="100">
        <v>225.56066659999999</v>
      </c>
      <c r="AT53">
        <v>223.89667259999999</v>
      </c>
      <c r="AU53">
        <v>219.34721519999999</v>
      </c>
      <c r="AV53">
        <v>213.91449460000001</v>
      </c>
      <c r="AW53">
        <v>208.31553600000001</v>
      </c>
    </row>
    <row r="54" spans="2:49" x14ac:dyDescent="0.25">
      <c r="B54" t="s">
        <v>355</v>
      </c>
      <c r="C54">
        <v>643.60744373389196</v>
      </c>
      <c r="D54">
        <v>653.94076942376603</v>
      </c>
      <c r="E54">
        <v>664.44</v>
      </c>
      <c r="F54">
        <v>684.41323560000001</v>
      </c>
      <c r="G54">
        <v>672.71826940000005</v>
      </c>
      <c r="H54">
        <v>738.44175510000002</v>
      </c>
      <c r="I54">
        <v>719.40551089999997</v>
      </c>
      <c r="J54">
        <v>700.08749929999999</v>
      </c>
      <c r="K54">
        <v>601.38235569999995</v>
      </c>
      <c r="L54">
        <v>566.67268969999998</v>
      </c>
      <c r="M54">
        <v>566.30592490000004</v>
      </c>
      <c r="N54">
        <v>529.53791790000002</v>
      </c>
      <c r="O54">
        <v>555.96366920000003</v>
      </c>
      <c r="P54">
        <v>580.94894799999997</v>
      </c>
      <c r="Q54">
        <v>586.27994030000002</v>
      </c>
      <c r="R54">
        <v>592.65494139999998</v>
      </c>
      <c r="S54">
        <v>571.17987230000006</v>
      </c>
      <c r="T54">
        <v>540.72640750000005</v>
      </c>
      <c r="U54">
        <v>553.61190009999996</v>
      </c>
      <c r="V54">
        <v>529.76155470000003</v>
      </c>
      <c r="W54">
        <v>538.51944890000004</v>
      </c>
      <c r="X54">
        <v>351.47175850000002</v>
      </c>
      <c r="Y54">
        <v>451.04664259999998</v>
      </c>
      <c r="Z54">
        <v>474.03697399999999</v>
      </c>
      <c r="AA54">
        <v>469.84901669999999</v>
      </c>
      <c r="AB54">
        <v>455.38120620000001</v>
      </c>
      <c r="AC54">
        <v>340.70902089999998</v>
      </c>
      <c r="AD54">
        <v>386.31860899999998</v>
      </c>
      <c r="AE54">
        <v>376.44625530000002</v>
      </c>
      <c r="AF54">
        <v>363.05733859999998</v>
      </c>
      <c r="AG54">
        <v>348.99948549999999</v>
      </c>
      <c r="AH54">
        <v>278.79409750000002</v>
      </c>
      <c r="AI54">
        <v>296.96817570000002</v>
      </c>
      <c r="AJ54">
        <v>297.9515045</v>
      </c>
      <c r="AK54">
        <v>291.01626750000003</v>
      </c>
      <c r="AL54">
        <v>282.26378570000003</v>
      </c>
      <c r="AM54">
        <v>273.36380359999998</v>
      </c>
      <c r="AN54">
        <v>254.76710560000001</v>
      </c>
      <c r="AO54" s="100">
        <v>242.2271417</v>
      </c>
      <c r="AP54" s="100">
        <v>232.6283123</v>
      </c>
      <c r="AQ54" s="100">
        <v>224.2656929</v>
      </c>
      <c r="AR54" s="100">
        <v>189.8275361</v>
      </c>
      <c r="AS54" s="100">
        <v>193.6629494</v>
      </c>
      <c r="AT54">
        <v>191.3980717</v>
      </c>
      <c r="AU54">
        <v>186.6366763</v>
      </c>
      <c r="AV54">
        <v>181.16901329999999</v>
      </c>
      <c r="AW54">
        <v>175.62442060000001</v>
      </c>
    </row>
    <row r="55" spans="2:49" x14ac:dyDescent="0.25">
      <c r="B55" t="s">
        <v>356</v>
      </c>
      <c r="C55">
        <v>413.74764240035898</v>
      </c>
      <c r="D55">
        <v>420.39049462956399</v>
      </c>
      <c r="E55">
        <v>427.14</v>
      </c>
      <c r="F55">
        <v>440.32051389999998</v>
      </c>
      <c r="G55">
        <v>424.47083500000002</v>
      </c>
      <c r="H55">
        <v>461.35472770000001</v>
      </c>
      <c r="I55">
        <v>449.46692400000001</v>
      </c>
      <c r="J55">
        <v>433.34198479999998</v>
      </c>
      <c r="K55">
        <v>371.55728720000002</v>
      </c>
      <c r="L55">
        <v>354.89494710000002</v>
      </c>
      <c r="M55">
        <v>353.57499030000002</v>
      </c>
      <c r="N55">
        <v>321.81793770000002</v>
      </c>
      <c r="O55">
        <v>339.200986</v>
      </c>
      <c r="P55">
        <v>352.10060390000001</v>
      </c>
      <c r="Q55">
        <v>349.08100089999999</v>
      </c>
      <c r="R55">
        <v>346.2927201</v>
      </c>
      <c r="S55">
        <v>314.28475600000002</v>
      </c>
      <c r="T55">
        <v>311.76815099999999</v>
      </c>
      <c r="U55">
        <v>291.90030100000001</v>
      </c>
      <c r="V55">
        <v>271.3699421</v>
      </c>
      <c r="W55">
        <v>273.33230320000001</v>
      </c>
      <c r="X55">
        <v>175.18125599999999</v>
      </c>
      <c r="Y55">
        <v>225.3699459</v>
      </c>
      <c r="Z55">
        <v>235.4323607</v>
      </c>
      <c r="AA55">
        <v>231.20172590000001</v>
      </c>
      <c r="AB55">
        <v>221.8206734</v>
      </c>
      <c r="AC55">
        <v>163.49802940000001</v>
      </c>
      <c r="AD55">
        <v>184.648473</v>
      </c>
      <c r="AE55">
        <v>178.40167260000001</v>
      </c>
      <c r="AF55">
        <v>170.46942429999999</v>
      </c>
      <c r="AG55">
        <v>162.568589</v>
      </c>
      <c r="AH55">
        <v>128.11276409999999</v>
      </c>
      <c r="AI55">
        <v>135.65258929999999</v>
      </c>
      <c r="AJ55">
        <v>135.11127010000001</v>
      </c>
      <c r="AK55">
        <v>130.80563050000001</v>
      </c>
      <c r="AL55">
        <v>125.7837741</v>
      </c>
      <c r="AM55">
        <v>120.8436153</v>
      </c>
      <c r="AN55" s="100">
        <v>111.50392859999999</v>
      </c>
      <c r="AO55" s="100">
        <v>105.0523336</v>
      </c>
      <c r="AP55" s="100">
        <v>100.0639357</v>
      </c>
      <c r="AQ55" s="100">
        <v>95.717269119999997</v>
      </c>
      <c r="AR55" s="100">
        <v>80.276772989999998</v>
      </c>
      <c r="AS55" s="100">
        <v>81.484174730000007</v>
      </c>
      <c r="AT55">
        <v>80.10046045</v>
      </c>
      <c r="AU55">
        <v>77.709550660000005</v>
      </c>
      <c r="AV55">
        <v>75.106041970000007</v>
      </c>
      <c r="AW55">
        <v>72.557543069999994</v>
      </c>
    </row>
    <row r="56" spans="2:49" x14ac:dyDescent="0.25">
      <c r="B56" t="s">
        <v>357</v>
      </c>
      <c r="C56">
        <v>137.915880800119</v>
      </c>
      <c r="D56">
        <v>140.13016487652101</v>
      </c>
      <c r="E56">
        <v>142.38</v>
      </c>
      <c r="F56">
        <v>147.13021660000001</v>
      </c>
      <c r="G56">
        <v>133.494077</v>
      </c>
      <c r="H56">
        <v>140.59576129999999</v>
      </c>
      <c r="I56">
        <v>136.96328840000001</v>
      </c>
      <c r="J56">
        <v>128.090463</v>
      </c>
      <c r="K56">
        <v>109.1374563</v>
      </c>
      <c r="L56">
        <v>101.1568274</v>
      </c>
      <c r="M56">
        <v>99.658418819999994</v>
      </c>
      <c r="N56">
        <v>86.91730561</v>
      </c>
      <c r="O56">
        <v>91.565051240000003</v>
      </c>
      <c r="P56">
        <v>103.26443500000001</v>
      </c>
      <c r="Q56">
        <v>99.371689849999996</v>
      </c>
      <c r="R56">
        <v>95.671604779999996</v>
      </c>
      <c r="S56">
        <v>77.336314049999999</v>
      </c>
      <c r="T56">
        <v>52.352427499999997</v>
      </c>
      <c r="U56">
        <v>38.10867442</v>
      </c>
      <c r="V56">
        <v>31.22320874</v>
      </c>
      <c r="W56">
        <v>30.18740888</v>
      </c>
      <c r="X56">
        <v>17.82889715</v>
      </c>
      <c r="Y56">
        <v>23.193350909999999</v>
      </c>
      <c r="Z56">
        <v>23.568567389999998</v>
      </c>
      <c r="AA56">
        <v>22.18112554</v>
      </c>
      <c r="AB56">
        <v>20.304402100000001</v>
      </c>
      <c r="AC56">
        <v>13.9580261</v>
      </c>
      <c r="AD56">
        <v>15.46443871</v>
      </c>
      <c r="AE56">
        <v>14.345099319999999</v>
      </c>
      <c r="AF56">
        <v>13.11147617</v>
      </c>
      <c r="AG56">
        <v>12.030075679999999</v>
      </c>
      <c r="AH56">
        <v>8.8778046110000002</v>
      </c>
      <c r="AI56">
        <v>9.1280626540000007</v>
      </c>
      <c r="AJ56">
        <v>8.7724607750000008</v>
      </c>
      <c r="AK56">
        <v>8.1358703979999998</v>
      </c>
      <c r="AL56">
        <v>7.503214839</v>
      </c>
      <c r="AM56" s="100">
        <v>6.933562148</v>
      </c>
      <c r="AN56" s="100">
        <v>6.0967439160000003</v>
      </c>
      <c r="AO56" s="100">
        <v>5.4979477780000003</v>
      </c>
      <c r="AP56" s="100">
        <v>5.0357746480000003</v>
      </c>
      <c r="AQ56" s="100">
        <v>4.6432578180000004</v>
      </c>
      <c r="AR56" s="100">
        <v>3.7344658480000001</v>
      </c>
      <c r="AS56">
        <v>3.6991667370000001</v>
      </c>
      <c r="AT56">
        <v>3.5455685219999999</v>
      </c>
      <c r="AU56">
        <v>3.3586753460000001</v>
      </c>
      <c r="AV56">
        <v>3.1802838979999999</v>
      </c>
      <c r="AW56">
        <v>3.0208112329999999</v>
      </c>
    </row>
    <row r="57" spans="2:49" x14ac:dyDescent="0.25">
      <c r="B57" t="s">
        <v>358</v>
      </c>
      <c r="C57">
        <v>34.478970200029899</v>
      </c>
      <c r="D57">
        <v>35.032541219130302</v>
      </c>
      <c r="E57">
        <v>35.594999999999999</v>
      </c>
      <c r="F57">
        <v>36.645221829999997</v>
      </c>
      <c r="G57">
        <v>28.507935660000001</v>
      </c>
      <c r="H57" s="100">
        <v>28.749250459999999</v>
      </c>
      <c r="I57">
        <v>27.214525330000001</v>
      </c>
      <c r="J57">
        <v>22.057887820000001</v>
      </c>
      <c r="K57">
        <v>17.683287700000001</v>
      </c>
      <c r="L57">
        <v>13.08053675</v>
      </c>
      <c r="M57">
        <v>12.47282906</v>
      </c>
      <c r="N57">
        <v>14.271615069999999</v>
      </c>
      <c r="O57">
        <v>14.678779219999999</v>
      </c>
      <c r="P57">
        <v>20.35362099</v>
      </c>
      <c r="Q57">
        <v>16.887597070000002</v>
      </c>
      <c r="R57">
        <v>13.342790969999999</v>
      </c>
      <c r="S57">
        <v>8.4076876069999997</v>
      </c>
      <c r="T57">
        <v>2.21806569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100">
        <v>0</v>
      </c>
      <c r="AM57" s="100">
        <v>0</v>
      </c>
      <c r="AN57" s="100">
        <v>0</v>
      </c>
      <c r="AO57" s="100">
        <v>0</v>
      </c>
      <c r="AP57" s="100">
        <v>0</v>
      </c>
      <c r="AQ57" s="100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</row>
    <row r="58" spans="2:49" x14ac:dyDescent="0.25">
      <c r="B58" t="s">
        <v>359</v>
      </c>
      <c r="C58" s="100">
        <v>1.1492990066676601</v>
      </c>
      <c r="D58" s="100">
        <v>1.1677513739710099</v>
      </c>
      <c r="E58" s="100">
        <v>1.1865000000000001</v>
      </c>
      <c r="F58" s="100">
        <v>2.2822351749999998</v>
      </c>
      <c r="G58" s="100">
        <v>4.2360047160000001</v>
      </c>
      <c r="H58" s="100">
        <v>7.0741098420000004</v>
      </c>
      <c r="I58">
        <v>10.022755330000001</v>
      </c>
      <c r="J58">
        <v>13.931584490000001</v>
      </c>
      <c r="K58" s="100">
        <v>16.921799589999999</v>
      </c>
      <c r="L58" s="100">
        <v>21.779940199999999</v>
      </c>
      <c r="M58">
        <v>29.024402510000002</v>
      </c>
      <c r="N58">
        <v>35.527417239999998</v>
      </c>
      <c r="O58">
        <v>48.604292899999997</v>
      </c>
      <c r="P58">
        <v>65.899411659999998</v>
      </c>
      <c r="Q58">
        <v>87.19804499</v>
      </c>
      <c r="R58">
        <v>113.0423218</v>
      </c>
      <c r="S58">
        <v>140.92434710000001</v>
      </c>
      <c r="T58">
        <v>165.838967</v>
      </c>
      <c r="U58">
        <v>216.44594520000001</v>
      </c>
      <c r="V58">
        <v>262.06835740000002</v>
      </c>
      <c r="W58">
        <v>331.83059159999999</v>
      </c>
      <c r="X58">
        <v>267.97554810000003</v>
      </c>
      <c r="Y58">
        <v>417.2721707</v>
      </c>
      <c r="Z58">
        <v>527.83411409999997</v>
      </c>
      <c r="AA58">
        <v>622.83957610000004</v>
      </c>
      <c r="AB58">
        <v>710.17140459999996</v>
      </c>
      <c r="AC58">
        <v>619.0350353</v>
      </c>
      <c r="AD58">
        <v>804.26507590000006</v>
      </c>
      <c r="AE58">
        <v>890.50731199999996</v>
      </c>
      <c r="AF58">
        <v>966.60470850000002</v>
      </c>
      <c r="AG58">
        <v>1035.7488060000001</v>
      </c>
      <c r="AH58">
        <v>918.14432209999995</v>
      </c>
      <c r="AI58">
        <v>1072.197005</v>
      </c>
      <c r="AJ58">
        <v>1172.625096</v>
      </c>
      <c r="AK58">
        <v>1242.5948800000001</v>
      </c>
      <c r="AL58">
        <v>1300.8683699999999</v>
      </c>
      <c r="AM58">
        <v>1353.252864</v>
      </c>
      <c r="AN58">
        <v>1352.286222</v>
      </c>
      <c r="AO58">
        <v>1373.3403510000001</v>
      </c>
      <c r="AP58">
        <v>1403.8801430000001</v>
      </c>
      <c r="AQ58">
        <v>1436.73146</v>
      </c>
      <c r="AR58">
        <v>1290.8385060000001</v>
      </c>
      <c r="AS58">
        <v>1389.6707610000001</v>
      </c>
      <c r="AT58">
        <v>1448.1031359999999</v>
      </c>
      <c r="AU58">
        <v>1487.3487950000001</v>
      </c>
      <c r="AV58">
        <v>1518.5463689999999</v>
      </c>
      <c r="AW58">
        <v>1546.125898</v>
      </c>
    </row>
    <row r="59" spans="2:49" x14ac:dyDescent="0.25">
      <c r="B59" t="s">
        <v>360</v>
      </c>
      <c r="C59" s="100">
        <v>3.4228836395600501E-3</v>
      </c>
      <c r="D59" s="100">
        <v>3.4778391435562701E-3</v>
      </c>
      <c r="E59" s="100">
        <v>3.5336769799999999E-3</v>
      </c>
      <c r="F59" s="100">
        <v>5.4942930099999999E-3</v>
      </c>
      <c r="G59" s="100">
        <v>1.3449821299999999E-2</v>
      </c>
      <c r="H59" s="100">
        <v>4.4400176899999998E-2</v>
      </c>
      <c r="I59" s="100">
        <v>7.2553801900000006E-2</v>
      </c>
      <c r="J59" s="100">
        <v>0.1111700519</v>
      </c>
      <c r="K59" s="100">
        <v>0.13832656460000001</v>
      </c>
      <c r="L59" s="100">
        <v>0.195344089</v>
      </c>
      <c r="M59">
        <v>0.31193900390000001</v>
      </c>
      <c r="N59">
        <v>0.41933248360000003</v>
      </c>
      <c r="O59">
        <v>0.61292649759999995</v>
      </c>
      <c r="P59">
        <v>0.37899361949999999</v>
      </c>
      <c r="Q59">
        <v>0.6059773477</v>
      </c>
      <c r="R59">
        <v>0.99778032589999999</v>
      </c>
      <c r="S59">
        <v>1.5533056110000001</v>
      </c>
      <c r="T59">
        <v>2.262320672</v>
      </c>
      <c r="U59">
        <v>5.3981327800000001</v>
      </c>
      <c r="V59">
        <v>8.5563871509999903</v>
      </c>
      <c r="W59">
        <v>11.46593801</v>
      </c>
      <c r="X59">
        <v>10.57559723</v>
      </c>
      <c r="Y59">
        <v>16.225469619999998</v>
      </c>
      <c r="Z59">
        <v>21.457131879999999</v>
      </c>
      <c r="AA59">
        <v>26.758930469999999</v>
      </c>
      <c r="AB59">
        <v>32.252514339999998</v>
      </c>
      <c r="AC59">
        <v>30.64598483</v>
      </c>
      <c r="AD59">
        <v>40.595448150000003</v>
      </c>
      <c r="AE59">
        <v>47.193896500000001</v>
      </c>
      <c r="AF59">
        <v>53.690195860000003</v>
      </c>
      <c r="AG59">
        <v>60.330704019999999</v>
      </c>
      <c r="AH59">
        <v>57.121738749999999</v>
      </c>
      <c r="AI59">
        <v>68.547871599999894</v>
      </c>
      <c r="AJ59">
        <v>78.018161239999998</v>
      </c>
      <c r="AK59">
        <v>86.314396200000004</v>
      </c>
      <c r="AL59">
        <v>94.297895600000004</v>
      </c>
      <c r="AM59">
        <v>102.2322372</v>
      </c>
      <c r="AN59">
        <v>107.6265475</v>
      </c>
      <c r="AO59">
        <v>114.63215870000001</v>
      </c>
      <c r="AP59">
        <v>122.60269409999999</v>
      </c>
      <c r="AQ59">
        <v>131.06771090000001</v>
      </c>
      <c r="AR59">
        <v>124.3286332</v>
      </c>
      <c r="AS59">
        <v>138.30494809999999</v>
      </c>
      <c r="AT59">
        <v>149.7232856</v>
      </c>
      <c r="AU59">
        <v>159.9656325</v>
      </c>
      <c r="AV59">
        <v>169.83579449999999</v>
      </c>
      <c r="AW59">
        <v>179.7301689</v>
      </c>
    </row>
    <row r="60" spans="2:49" x14ac:dyDescent="0.25">
      <c r="B60" t="s">
        <v>361</v>
      </c>
      <c r="C60" s="100">
        <v>7.8463024968376607E-3</v>
      </c>
      <c r="D60" s="100">
        <v>7.9722774213828399E-3</v>
      </c>
      <c r="E60" s="100">
        <v>8.10027491E-3</v>
      </c>
      <c r="F60" s="100">
        <v>1.4683076600000001E-2</v>
      </c>
      <c r="G60" s="100">
        <v>2.94933322E-2</v>
      </c>
      <c r="H60" s="100">
        <v>6.4263721800000007E-2</v>
      </c>
      <c r="I60" s="100">
        <v>9.7601602600000004E-2</v>
      </c>
      <c r="J60" s="100">
        <v>0.1425697178</v>
      </c>
      <c r="K60" s="100">
        <v>0.17538552969999999</v>
      </c>
      <c r="L60" s="100">
        <v>0.23734870250000001</v>
      </c>
      <c r="M60">
        <v>0.35076320090000002</v>
      </c>
      <c r="N60">
        <v>0.45425880790000001</v>
      </c>
      <c r="O60">
        <v>0.64743230969999999</v>
      </c>
      <c r="P60">
        <v>0.57507830989999997</v>
      </c>
      <c r="Q60">
        <v>0.83201368509999996</v>
      </c>
      <c r="R60">
        <v>1.221101792</v>
      </c>
      <c r="S60">
        <v>1.7288431150000001</v>
      </c>
      <c r="T60">
        <v>2.3218050809999999</v>
      </c>
      <c r="U60">
        <v>4.6030002320000003</v>
      </c>
      <c r="V60">
        <v>6.8202627580000001</v>
      </c>
      <c r="W60">
        <v>9.0172607290000002</v>
      </c>
      <c r="X60">
        <v>8.0637243850000004</v>
      </c>
      <c r="Y60">
        <v>12.413976419999999</v>
      </c>
      <c r="Z60">
        <v>16.249646630000001</v>
      </c>
      <c r="AA60">
        <v>20.00949366</v>
      </c>
      <c r="AB60">
        <v>23.813083219999999</v>
      </c>
      <c r="AC60">
        <v>22.18371265</v>
      </c>
      <c r="AD60">
        <v>29.25479975</v>
      </c>
      <c r="AE60">
        <v>33.627931599999997</v>
      </c>
      <c r="AF60">
        <v>37.8388603</v>
      </c>
      <c r="AG60">
        <v>42.043224129999999</v>
      </c>
      <c r="AH60">
        <v>39.180034839999998</v>
      </c>
      <c r="AI60">
        <v>46.704308220000001</v>
      </c>
      <c r="AJ60">
        <v>52.632228130000001</v>
      </c>
      <c r="AK60">
        <v>57.596117110000002</v>
      </c>
      <c r="AL60">
        <v>62.231809380000001</v>
      </c>
      <c r="AM60">
        <v>66.732375880000006</v>
      </c>
      <c r="AN60">
        <v>69.260212300000006</v>
      </c>
      <c r="AO60">
        <v>72.783530709999894</v>
      </c>
      <c r="AP60">
        <v>76.823585080000001</v>
      </c>
      <c r="AQ60">
        <v>81.053230749999997</v>
      </c>
      <c r="AR60">
        <v>75.586184950000003</v>
      </c>
      <c r="AS60">
        <v>83.190782470000002</v>
      </c>
      <c r="AT60">
        <v>88.912035700000004</v>
      </c>
      <c r="AU60">
        <v>93.699302990000007</v>
      </c>
      <c r="AV60">
        <v>98.084844140000001</v>
      </c>
      <c r="AW60">
        <v>102.30569199999999</v>
      </c>
    </row>
    <row r="61" spans="2:49" x14ac:dyDescent="0.25">
      <c r="B61" t="s">
        <v>362</v>
      </c>
      <c r="C61" s="100">
        <v>3.2122446463563603E-2</v>
      </c>
      <c r="D61" s="100">
        <v>3.2638182731835802E-2</v>
      </c>
      <c r="E61" s="100">
        <v>3.31621993E-2</v>
      </c>
      <c r="F61" s="100">
        <v>6.3405511900000003E-2</v>
      </c>
      <c r="G61" s="100">
        <v>0.11863773699999999</v>
      </c>
      <c r="H61" s="100">
        <v>0.20435228159999999</v>
      </c>
      <c r="I61" s="100">
        <v>0.29217845869999998</v>
      </c>
      <c r="J61" s="100">
        <v>0.4084514031</v>
      </c>
      <c r="K61" s="100">
        <v>0.4969373057</v>
      </c>
      <c r="L61" s="100">
        <v>0.64385935729999999</v>
      </c>
      <c r="M61">
        <v>0.87040728840000003</v>
      </c>
      <c r="N61">
        <v>1.074180143</v>
      </c>
      <c r="O61">
        <v>1.4785566109999999</v>
      </c>
      <c r="P61">
        <v>1.894038281</v>
      </c>
      <c r="Q61">
        <v>2.53506637</v>
      </c>
      <c r="R61">
        <v>3.337827946</v>
      </c>
      <c r="S61">
        <v>4.2352635760000004</v>
      </c>
      <c r="T61">
        <v>5.0833304970000004</v>
      </c>
      <c r="U61">
        <v>7.1143155729999998</v>
      </c>
      <c r="V61">
        <v>8.9198268780000003</v>
      </c>
      <c r="W61">
        <v>11.37555062</v>
      </c>
      <c r="X61">
        <v>9.3345151029999904</v>
      </c>
      <c r="Y61">
        <v>14.51030001</v>
      </c>
      <c r="Z61" s="100">
        <v>18.447645269999999</v>
      </c>
      <c r="AA61">
        <v>21.897168149999999</v>
      </c>
      <c r="AB61">
        <v>25.104029910000001</v>
      </c>
      <c r="AC61">
        <v>22.04185614</v>
      </c>
      <c r="AD61">
        <v>28.67709709</v>
      </c>
      <c r="AE61">
        <v>31.848441749999999</v>
      </c>
      <c r="AF61">
        <v>34.646491679999997</v>
      </c>
      <c r="AG61">
        <v>37.177664159999999</v>
      </c>
      <c r="AH61">
        <v>32.969093890000003</v>
      </c>
      <c r="AI61">
        <v>38.483446950000001</v>
      </c>
      <c r="AJ61">
        <v>42.029358989999999</v>
      </c>
      <c r="AK61">
        <v>44.422016429999999</v>
      </c>
      <c r="AL61">
        <v>46.328732799999997</v>
      </c>
      <c r="AM61">
        <v>47.953663370000001</v>
      </c>
      <c r="AN61">
        <v>47.517635310000003</v>
      </c>
      <c r="AO61">
        <v>47.776347850000001</v>
      </c>
      <c r="AP61">
        <v>48.262411470000004</v>
      </c>
      <c r="AQ61">
        <v>48.708865119999999</v>
      </c>
      <c r="AR61">
        <v>42.844464690000002</v>
      </c>
      <c r="AS61">
        <v>45.430859769999998</v>
      </c>
      <c r="AT61">
        <v>46.394749939999997</v>
      </c>
      <c r="AU61">
        <v>46.517340109999999</v>
      </c>
      <c r="AV61">
        <v>46.200856039999998</v>
      </c>
      <c r="AW61">
        <v>45.588579709999998</v>
      </c>
    </row>
    <row r="62" spans="2:49" x14ac:dyDescent="0.25">
      <c r="B62" t="s">
        <v>363</v>
      </c>
      <c r="C62" s="100">
        <v>0.75461419315223899</v>
      </c>
      <c r="D62" s="100">
        <v>0.76672976811017601</v>
      </c>
      <c r="E62" s="100">
        <v>0.77903986250000001</v>
      </c>
      <c r="F62" s="100">
        <v>1.49848012</v>
      </c>
      <c r="G62" s="100">
        <v>2.781304724</v>
      </c>
      <c r="H62" s="100">
        <v>4.6446101940000002</v>
      </c>
      <c r="I62">
        <v>6.5804145299999997</v>
      </c>
      <c r="J62">
        <v>9.1352396339999995</v>
      </c>
      <c r="K62" s="100">
        <v>11.094301570000001</v>
      </c>
      <c r="L62" s="100">
        <v>14.27053199</v>
      </c>
      <c r="M62">
        <v>18.990611300000001</v>
      </c>
      <c r="N62">
        <v>23.226095600000001</v>
      </c>
      <c r="O62">
        <v>31.754721669999999</v>
      </c>
      <c r="P62">
        <v>43.267703769999997</v>
      </c>
      <c r="Q62">
        <v>57.25014917</v>
      </c>
      <c r="R62">
        <v>74.075227900000002</v>
      </c>
      <c r="S62">
        <v>92.186501770000007</v>
      </c>
      <c r="T62">
        <v>108.2586708</v>
      </c>
      <c r="U62">
        <v>139.9932791</v>
      </c>
      <c r="V62">
        <v>168.39649470000001</v>
      </c>
      <c r="W62">
        <v>212.87398659999999</v>
      </c>
      <c r="X62">
        <v>171.1770156</v>
      </c>
      <c r="Y62">
        <v>266.67991169999999</v>
      </c>
      <c r="Z62">
        <v>336.81815590000002</v>
      </c>
      <c r="AA62">
        <v>396.6331826</v>
      </c>
      <c r="AB62">
        <v>451.2644717</v>
      </c>
      <c r="AC62">
        <v>391.91727850000001</v>
      </c>
      <c r="AD62">
        <v>508.74460829999998</v>
      </c>
      <c r="AE62">
        <v>562.01697879999995</v>
      </c>
      <c r="AF62">
        <v>608.63414939999996</v>
      </c>
      <c r="AG62">
        <v>650.56523259999994</v>
      </c>
      <c r="AH62">
        <v>574.60127780000005</v>
      </c>
      <c r="AI62">
        <v>669.94975829999998</v>
      </c>
      <c r="AJ62">
        <v>730.93994840000005</v>
      </c>
      <c r="AK62">
        <v>772.4489734</v>
      </c>
      <c r="AL62">
        <v>806.3952266</v>
      </c>
      <c r="AM62">
        <v>836.47002789999999</v>
      </c>
      <c r="AN62">
        <v>832.70176189999995</v>
      </c>
      <c r="AO62">
        <v>842.57477259999996</v>
      </c>
      <c r="AP62">
        <v>858.16819469999996</v>
      </c>
      <c r="AQ62">
        <v>875.00777500000004</v>
      </c>
      <c r="AR62">
        <v>782.35496969999997</v>
      </c>
      <c r="AS62">
        <v>839.68261389999998</v>
      </c>
      <c r="AT62">
        <v>871.76172429999997</v>
      </c>
      <c r="AU62">
        <v>891.83484629999998</v>
      </c>
      <c r="AV62">
        <v>906.81120710000005</v>
      </c>
      <c r="AW62">
        <v>919.3964982</v>
      </c>
    </row>
    <row r="63" spans="2:49" x14ac:dyDescent="0.25">
      <c r="B63" t="s">
        <v>364</v>
      </c>
      <c r="C63" s="100">
        <v>0.29742225840361802</v>
      </c>
      <c r="D63" s="100">
        <v>0.302197468966243</v>
      </c>
      <c r="E63" s="100">
        <v>0.30704934709999998</v>
      </c>
      <c r="F63" s="100">
        <v>0.59131170190000004</v>
      </c>
      <c r="G63" s="100">
        <v>1.0957678</v>
      </c>
      <c r="H63" s="100">
        <v>1.817994034</v>
      </c>
      <c r="I63" s="100">
        <v>2.5704773849999998</v>
      </c>
      <c r="J63" s="100">
        <v>3.5627912469999998</v>
      </c>
      <c r="K63" s="100">
        <v>4.3250368320000003</v>
      </c>
      <c r="L63" s="100">
        <v>5.5538184130000001</v>
      </c>
      <c r="M63">
        <v>7.3625598720000003</v>
      </c>
      <c r="N63">
        <v>8.9840910810000008</v>
      </c>
      <c r="O63">
        <v>12.261528950000001</v>
      </c>
      <c r="P63">
        <v>16.954607679999999</v>
      </c>
      <c r="Q63">
        <v>22.377052460000002</v>
      </c>
      <c r="R63">
        <v>28.837459880000001</v>
      </c>
      <c r="S63">
        <v>35.719009679999999</v>
      </c>
      <c r="T63">
        <v>41.708343470000003</v>
      </c>
      <c r="U63">
        <v>52.594173259999998</v>
      </c>
      <c r="V63">
        <v>62.158021550000001</v>
      </c>
      <c r="W63">
        <v>78.229920120000003</v>
      </c>
      <c r="X63">
        <v>62.191366889999998</v>
      </c>
      <c r="Y63">
        <v>97.020497109999994</v>
      </c>
      <c r="Z63">
        <v>122.0323906</v>
      </c>
      <c r="AA63">
        <v>142.92764120000001</v>
      </c>
      <c r="AB63">
        <v>161.68021200000001</v>
      </c>
      <c r="AC63">
        <v>139.07160189999999</v>
      </c>
      <c r="AD63">
        <v>180.116004</v>
      </c>
      <c r="AE63">
        <v>197.79795580000001</v>
      </c>
      <c r="AF63">
        <v>212.92262099999999</v>
      </c>
      <c r="AG63">
        <v>226.14883029999999</v>
      </c>
      <c r="AH63">
        <v>197.8921923</v>
      </c>
      <c r="AI63">
        <v>229.80493250000001</v>
      </c>
      <c r="AJ63">
        <v>249.20985020000001</v>
      </c>
      <c r="AK63">
        <v>261.57748329999998</v>
      </c>
      <c r="AL63">
        <v>271.17415799999998</v>
      </c>
      <c r="AM63">
        <v>279.3260037</v>
      </c>
      <c r="AN63">
        <v>275.53157870000001</v>
      </c>
      <c r="AO63">
        <v>276.38874010000001</v>
      </c>
      <c r="AP63">
        <v>279.11787409999999</v>
      </c>
      <c r="AQ63">
        <v>282.20188230000002</v>
      </c>
      <c r="AR63">
        <v>249.61003629999999</v>
      </c>
      <c r="AS63">
        <v>266.12322010000003</v>
      </c>
      <c r="AT63">
        <v>274.12570269999998</v>
      </c>
      <c r="AU63">
        <v>278.13631700000002</v>
      </c>
      <c r="AV63">
        <v>280.48092509999998</v>
      </c>
      <c r="AW63">
        <v>282.0485855</v>
      </c>
    </row>
    <row r="64" spans="2:49" x14ac:dyDescent="0.25">
      <c r="B64" t="s">
        <v>365</v>
      </c>
      <c r="C64" s="100">
        <v>4.0548006191711396E-3</v>
      </c>
      <c r="D64">
        <v>4.1199017546743504E-3</v>
      </c>
      <c r="E64">
        <v>4.1860481099999999E-3</v>
      </c>
      <c r="F64">
        <v>9.0473549499999906E-3</v>
      </c>
      <c r="G64">
        <v>1.43091216E-2</v>
      </c>
      <c r="H64" s="100">
        <v>7.3451903100000002E-3</v>
      </c>
      <c r="I64">
        <v>3.2242984599999999E-3</v>
      </c>
      <c r="J64">
        <v>1.3914413299999999E-2</v>
      </c>
      <c r="K64">
        <v>1.68984992E-2</v>
      </c>
      <c r="L64">
        <v>2.1737162099999999E-2</v>
      </c>
      <c r="M64">
        <v>2.8929584899999999E-2</v>
      </c>
      <c r="N64">
        <v>3.5384157300000003E-2</v>
      </c>
      <c r="O64" s="100">
        <v>4.8380027800000003E-2</v>
      </c>
      <c r="P64">
        <v>9.4326674999999999E-2</v>
      </c>
      <c r="Q64" s="100">
        <v>4.6803598199999998E-2</v>
      </c>
      <c r="R64" s="100">
        <v>0.1128321648</v>
      </c>
      <c r="S64" s="100">
        <v>0.14043580959999999</v>
      </c>
      <c r="T64">
        <v>0.16495139410000001</v>
      </c>
      <c r="U64">
        <v>0.21361830439999999</v>
      </c>
      <c r="V64">
        <v>0.25737249639999998</v>
      </c>
      <c r="W64">
        <v>0.32550426999999998</v>
      </c>
      <c r="X64">
        <v>0.26210032830000002</v>
      </c>
      <c r="Y64">
        <v>0.40826159309999999</v>
      </c>
      <c r="Z64">
        <v>0.51590816090000002</v>
      </c>
      <c r="AA64">
        <v>0.60796926920000005</v>
      </c>
      <c r="AB64">
        <v>0.69227540409999999</v>
      </c>
      <c r="AC64">
        <v>0.60211661849999998</v>
      </c>
      <c r="AD64">
        <v>0.78188989490000005</v>
      </c>
      <c r="AE64">
        <v>0.86461977239999999</v>
      </c>
      <c r="AF64">
        <v>0.93732040729999999</v>
      </c>
      <c r="AG64">
        <v>1.003066158</v>
      </c>
      <c r="AH64">
        <v>0.88754750250000003</v>
      </c>
      <c r="AI64">
        <v>1.0356743820000001</v>
      </c>
      <c r="AJ64">
        <v>1.1314073899999999</v>
      </c>
      <c r="AK64">
        <v>1.197452988</v>
      </c>
      <c r="AL64">
        <v>1.2520909069999999</v>
      </c>
      <c r="AM64">
        <v>1.3009832320000001</v>
      </c>
      <c r="AN64">
        <v>1.2981378370000001</v>
      </c>
      <c r="AO64">
        <v>1.316590342</v>
      </c>
      <c r="AP64">
        <v>1.344184786</v>
      </c>
      <c r="AQ64">
        <v>1.374006974</v>
      </c>
      <c r="AR64">
        <v>1.2327045999999999</v>
      </c>
      <c r="AS64">
        <v>1.325961824</v>
      </c>
      <c r="AT64">
        <v>1.3803871430000001</v>
      </c>
      <c r="AU64">
        <v>1.416433008</v>
      </c>
      <c r="AV64">
        <v>1.444812634</v>
      </c>
      <c r="AW64">
        <v>1.4697711040000001</v>
      </c>
    </row>
    <row r="65" spans="2:49" x14ac:dyDescent="0.25">
      <c r="B65" t="s">
        <v>366</v>
      </c>
      <c r="C65" s="100">
        <v>4.9816121892674002E-2</v>
      </c>
      <c r="D65" s="100">
        <v>5.0615935843142099E-2</v>
      </c>
      <c r="E65" s="100">
        <v>5.1428591099999997E-2</v>
      </c>
      <c r="F65" s="100">
        <v>9.9813117199999996E-2</v>
      </c>
      <c r="G65" s="100">
        <v>0.18304217840000001</v>
      </c>
      <c r="H65" s="100">
        <v>0.2911442434</v>
      </c>
      <c r="I65" s="100">
        <v>0.406305254</v>
      </c>
      <c r="J65" s="100">
        <v>0.55744802429999996</v>
      </c>
      <c r="K65" s="100">
        <v>0.67491329730000005</v>
      </c>
      <c r="L65" s="100">
        <v>0.85730049320000001</v>
      </c>
      <c r="M65" s="100">
        <v>1.109192261</v>
      </c>
      <c r="N65" s="100">
        <v>1.334074969</v>
      </c>
      <c r="O65" s="100">
        <v>1.8007468339999999</v>
      </c>
      <c r="P65" s="100">
        <v>2.7346633210000002</v>
      </c>
      <c r="Q65" s="100">
        <v>3.5509823690000002</v>
      </c>
      <c r="R65" s="100">
        <v>4.4600917430000004</v>
      </c>
      <c r="S65" s="100">
        <v>5.3609875220000003</v>
      </c>
      <c r="T65" s="100">
        <v>6.0395450310000003</v>
      </c>
      <c r="U65" s="100">
        <v>6.5294258259999998</v>
      </c>
      <c r="V65" s="100">
        <v>6.9599918409999999</v>
      </c>
      <c r="W65" s="100">
        <v>8.5424312960000002</v>
      </c>
      <c r="X65" s="100">
        <v>6.3712285509999997</v>
      </c>
      <c r="Y65" s="100">
        <v>10.013754280000001</v>
      </c>
      <c r="Z65" s="100">
        <v>12.31323568</v>
      </c>
      <c r="AA65" s="100">
        <v>14.005190689999999</v>
      </c>
      <c r="AB65" s="100">
        <v>15.36481803</v>
      </c>
      <c r="AC65" s="100">
        <v>12.572484729999999</v>
      </c>
      <c r="AD65" s="100">
        <v>16.095228819999999</v>
      </c>
      <c r="AE65" s="100">
        <v>17.157487719999999</v>
      </c>
      <c r="AF65" s="100">
        <v>17.93506983</v>
      </c>
      <c r="AG65" s="100">
        <v>18.480084510000001</v>
      </c>
      <c r="AH65" s="100">
        <v>15.49243689</v>
      </c>
      <c r="AI65" s="100">
        <v>17.671014469999999</v>
      </c>
      <c r="AJ65" s="100">
        <v>18.664141220000001</v>
      </c>
      <c r="AK65" s="100">
        <v>19.03844093</v>
      </c>
      <c r="AL65" s="100">
        <v>19.188456769999998</v>
      </c>
      <c r="AM65" s="100">
        <v>19.237572230000001</v>
      </c>
      <c r="AN65" s="100">
        <v>18.35034894</v>
      </c>
      <c r="AO65" s="100">
        <v>17.868211079999998</v>
      </c>
      <c r="AP65" s="100">
        <v>17.561198829999999</v>
      </c>
      <c r="AQ65" s="100">
        <v>17.317988809999999</v>
      </c>
      <c r="AR65" s="100">
        <v>14.881512750000001</v>
      </c>
      <c r="AS65" s="100">
        <v>15.6123751</v>
      </c>
      <c r="AT65" s="100">
        <v>15.80525091</v>
      </c>
      <c r="AU65" s="100">
        <v>15.77892291</v>
      </c>
      <c r="AV65" s="100">
        <v>15.68792979</v>
      </c>
      <c r="AW65">
        <v>15.586602940000001</v>
      </c>
    </row>
    <row r="66" spans="2:49" x14ac:dyDescent="0.25">
      <c r="B66" t="s">
        <v>367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368</v>
      </c>
      <c r="C67">
        <v>5.2121797950038999</v>
      </c>
      <c r="D67">
        <v>5.29586302754001</v>
      </c>
      <c r="E67">
        <v>5.3808898210000002</v>
      </c>
      <c r="F67">
        <v>5.4329972270000004</v>
      </c>
      <c r="G67">
        <v>4.4695090210000004</v>
      </c>
      <c r="H67">
        <v>3.8784064620000001</v>
      </c>
      <c r="I67">
        <v>3.8525074039999998</v>
      </c>
      <c r="J67">
        <v>3.6734284060000002</v>
      </c>
      <c r="K67">
        <v>3.5396796770000001</v>
      </c>
      <c r="L67">
        <v>3.810013541</v>
      </c>
      <c r="M67">
        <v>3.924643256</v>
      </c>
      <c r="N67">
        <v>4.0035977120000004</v>
      </c>
      <c r="O67">
        <v>3.0913679250000001</v>
      </c>
      <c r="P67">
        <v>2.5527156190000002</v>
      </c>
      <c r="Q67">
        <v>2.2078780400000002</v>
      </c>
      <c r="R67">
        <v>1.9876213490000001</v>
      </c>
      <c r="S67">
        <v>1.7837268930000001</v>
      </c>
      <c r="T67">
        <v>1.7492029680000001</v>
      </c>
      <c r="U67">
        <v>1.737524216</v>
      </c>
      <c r="V67">
        <v>1.742188165</v>
      </c>
      <c r="W67">
        <v>1.7029220110000001</v>
      </c>
      <c r="X67">
        <v>1.64549035</v>
      </c>
      <c r="Y67">
        <v>1.638192385</v>
      </c>
      <c r="Z67">
        <v>1.6462199740000001</v>
      </c>
      <c r="AA67">
        <v>1.653004304</v>
      </c>
      <c r="AB67">
        <v>1.659938592</v>
      </c>
      <c r="AC67">
        <v>1.6654495030000001</v>
      </c>
      <c r="AD67">
        <v>1.690196483</v>
      </c>
      <c r="AE67">
        <v>1.712428469</v>
      </c>
      <c r="AF67">
        <v>1.7353547579999999</v>
      </c>
      <c r="AG67">
        <v>1.759634438</v>
      </c>
      <c r="AH67">
        <v>1.783248905</v>
      </c>
      <c r="AI67">
        <v>1.812027179</v>
      </c>
      <c r="AJ67">
        <v>1.8398137750000001</v>
      </c>
      <c r="AK67">
        <v>1.8675517079999999</v>
      </c>
      <c r="AL67">
        <v>1.8957756219999999</v>
      </c>
      <c r="AM67">
        <v>1.924195882</v>
      </c>
      <c r="AN67">
        <v>1.928508044</v>
      </c>
      <c r="AO67">
        <v>1.9299490159999999</v>
      </c>
      <c r="AP67">
        <v>1.927928965</v>
      </c>
      <c r="AQ67">
        <v>1.9240615000000001</v>
      </c>
      <c r="AR67">
        <v>1.9159574189999999</v>
      </c>
      <c r="AS67">
        <v>1.925559698</v>
      </c>
      <c r="AT67">
        <v>1.935770335</v>
      </c>
      <c r="AU67">
        <v>1.9453570389999999</v>
      </c>
      <c r="AV67">
        <v>1.95418227</v>
      </c>
      <c r="AW67">
        <v>1.9632694129999999</v>
      </c>
    </row>
    <row r="68" spans="2:49" x14ac:dyDescent="0.25">
      <c r="B68" t="s">
        <v>369</v>
      </c>
      <c r="C68">
        <v>0.35839918454870201</v>
      </c>
      <c r="D68">
        <v>0.36415339938413299</v>
      </c>
      <c r="E68">
        <v>0.37</v>
      </c>
      <c r="F68">
        <v>0.36697518759999997</v>
      </c>
      <c r="G68">
        <v>0.36292271860000003</v>
      </c>
      <c r="H68">
        <v>0.35834057629999999</v>
      </c>
      <c r="I68">
        <v>0.35577015290000003</v>
      </c>
      <c r="J68">
        <v>0.35293232159999999</v>
      </c>
      <c r="K68">
        <v>0.34839003680000002</v>
      </c>
      <c r="L68">
        <v>0.34213183149999998</v>
      </c>
      <c r="M68">
        <v>0.3359529269</v>
      </c>
      <c r="N68" s="100">
        <v>0.33130144299999997</v>
      </c>
      <c r="O68" s="100">
        <v>0.32978322160000001</v>
      </c>
      <c r="P68" s="100">
        <v>0.32970609290000003</v>
      </c>
      <c r="Q68" s="100">
        <v>0.32872250240000001</v>
      </c>
      <c r="R68" s="100">
        <v>0.32413029859999998</v>
      </c>
      <c r="S68" s="100">
        <v>0.31827946930000001</v>
      </c>
      <c r="T68" s="100">
        <v>0.3113000997</v>
      </c>
      <c r="U68" s="100">
        <v>0.30460633580000002</v>
      </c>
      <c r="V68" s="100">
        <v>0.29832752829999998</v>
      </c>
      <c r="W68" s="100">
        <v>0.29390273109999998</v>
      </c>
      <c r="X68" s="100">
        <v>0.29040280629999998</v>
      </c>
      <c r="Y68" s="100">
        <v>0.28833173270000001</v>
      </c>
      <c r="Z68" s="100">
        <v>0.28727749670000002</v>
      </c>
      <c r="AA68" s="100">
        <v>0.28654276810000001</v>
      </c>
      <c r="AB68" s="100">
        <v>0.28576560670000001</v>
      </c>
      <c r="AC68" s="100">
        <v>0.28477760460000001</v>
      </c>
      <c r="AD68">
        <v>0.28353210420000002</v>
      </c>
      <c r="AE68">
        <v>0.28202420090000002</v>
      </c>
      <c r="AF68">
        <v>0.28028373699999998</v>
      </c>
      <c r="AG68">
        <v>0.27832849980000002</v>
      </c>
      <c r="AH68">
        <v>0.27618379180000002</v>
      </c>
      <c r="AI68">
        <v>0.27386246809999998</v>
      </c>
      <c r="AJ68">
        <v>0.27139067680000001</v>
      </c>
      <c r="AK68">
        <v>0.26881607470000002</v>
      </c>
      <c r="AL68">
        <v>0.26616031550000002</v>
      </c>
      <c r="AM68">
        <v>0.26343501219999998</v>
      </c>
      <c r="AN68">
        <v>0.26063031190000002</v>
      </c>
      <c r="AO68" s="100">
        <v>0.25770333229999998</v>
      </c>
      <c r="AP68" s="100">
        <v>0.25464991460000003</v>
      </c>
      <c r="AQ68" s="100">
        <v>0.25148400440000002</v>
      </c>
      <c r="AR68" s="100">
        <v>0.24821517339999999</v>
      </c>
      <c r="AS68" s="100">
        <v>0.24484511040000001</v>
      </c>
      <c r="AT68" s="100">
        <v>0.2413428983</v>
      </c>
      <c r="AU68" s="100">
        <v>0.23769770139999999</v>
      </c>
      <c r="AV68" s="100">
        <v>0.23391116300000001</v>
      </c>
      <c r="AW68" s="100">
        <v>0.2300331813</v>
      </c>
    </row>
    <row r="69" spans="2:49" x14ac:dyDescent="0.25">
      <c r="B69" t="s">
        <v>370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371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372</v>
      </c>
      <c r="C71" s="100">
        <v>0</v>
      </c>
      <c r="D71" s="100">
        <v>0</v>
      </c>
      <c r="E71" s="100">
        <v>0</v>
      </c>
      <c r="F71" s="100">
        <v>0</v>
      </c>
      <c r="G71" s="100">
        <v>0</v>
      </c>
      <c r="H71" s="100">
        <v>0</v>
      </c>
      <c r="I71" s="100">
        <v>0</v>
      </c>
      <c r="J71" s="100">
        <v>0</v>
      </c>
      <c r="K71" s="100">
        <v>0</v>
      </c>
      <c r="L71" s="100">
        <v>0</v>
      </c>
      <c r="M71" s="100">
        <v>0</v>
      </c>
      <c r="N71" s="100">
        <v>0</v>
      </c>
      <c r="O71" s="100">
        <v>0</v>
      </c>
      <c r="P71" s="100">
        <v>0</v>
      </c>
      <c r="Q71" s="100">
        <v>0</v>
      </c>
      <c r="R71" s="100">
        <v>0</v>
      </c>
      <c r="S71" s="100">
        <v>0</v>
      </c>
      <c r="T71" s="100">
        <v>0</v>
      </c>
      <c r="U71" s="100">
        <v>0</v>
      </c>
      <c r="V71" s="100">
        <v>0</v>
      </c>
      <c r="W71" s="100">
        <v>0</v>
      </c>
      <c r="X71" s="100">
        <v>0</v>
      </c>
      <c r="Y71" s="100">
        <v>0</v>
      </c>
      <c r="Z71" s="100">
        <v>0</v>
      </c>
      <c r="AA71" s="100">
        <v>0</v>
      </c>
      <c r="AB71" s="100">
        <v>0</v>
      </c>
      <c r="AC71" s="100">
        <v>0</v>
      </c>
      <c r="AD71" s="100">
        <v>0</v>
      </c>
      <c r="AE71" s="100">
        <v>0</v>
      </c>
      <c r="AF71" s="100">
        <v>0</v>
      </c>
      <c r="AG71" s="100">
        <v>0</v>
      </c>
      <c r="AH71" s="100">
        <v>0</v>
      </c>
      <c r="AI71" s="100">
        <v>0</v>
      </c>
      <c r="AJ71" s="100">
        <v>0</v>
      </c>
      <c r="AK71" s="100">
        <v>0</v>
      </c>
      <c r="AL71" s="100">
        <v>0</v>
      </c>
      <c r="AM71" s="100">
        <v>0</v>
      </c>
      <c r="AN71" s="100">
        <v>0</v>
      </c>
      <c r="AO71" s="100">
        <v>0</v>
      </c>
      <c r="AP71" s="100">
        <v>0</v>
      </c>
      <c r="AQ71" s="100">
        <v>0</v>
      </c>
      <c r="AR71" s="100">
        <v>0</v>
      </c>
      <c r="AS71" s="100">
        <v>0</v>
      </c>
      <c r="AT71" s="100">
        <v>0</v>
      </c>
      <c r="AU71" s="100">
        <v>0</v>
      </c>
      <c r="AV71" s="100">
        <v>0</v>
      </c>
      <c r="AW71">
        <v>0</v>
      </c>
    </row>
    <row r="72" spans="2:49" x14ac:dyDescent="0.25">
      <c r="B72" t="s">
        <v>373</v>
      </c>
      <c r="C72">
        <v>2.1503951072922098</v>
      </c>
      <c r="D72">
        <v>2.1849203963048001</v>
      </c>
      <c r="E72">
        <v>2.2200000000000002</v>
      </c>
      <c r="F72">
        <v>2.3061787059999999</v>
      </c>
      <c r="G72">
        <v>2.1940804580000002</v>
      </c>
      <c r="H72">
        <v>2.331647056</v>
      </c>
      <c r="I72">
        <v>2.4256660220000001</v>
      </c>
      <c r="J72">
        <v>2.2820200659999998</v>
      </c>
      <c r="K72">
        <v>2.186760789</v>
      </c>
      <c r="L72">
        <v>2.1383153020000001</v>
      </c>
      <c r="M72">
        <v>2.3030508730000001</v>
      </c>
      <c r="N72">
        <v>2.4754793400000001</v>
      </c>
      <c r="O72">
        <v>2.5786220200000001</v>
      </c>
      <c r="P72">
        <v>2.5910300629999998</v>
      </c>
      <c r="Q72">
        <v>2.3961744189999998</v>
      </c>
      <c r="R72">
        <v>2.3735553739999999</v>
      </c>
      <c r="S72">
        <v>2.3909870770000001</v>
      </c>
      <c r="T72">
        <v>2.4510520250000001</v>
      </c>
      <c r="U72">
        <v>2.510369963</v>
      </c>
      <c r="V72">
        <v>2.5896528330000002</v>
      </c>
      <c r="W72">
        <v>2.6494055369999998</v>
      </c>
      <c r="X72">
        <v>2.7243111999999998</v>
      </c>
      <c r="Y72">
        <v>2.7748046569999998</v>
      </c>
      <c r="Z72">
        <v>2.8143110839999999</v>
      </c>
      <c r="AA72">
        <v>2.8469186020000001</v>
      </c>
      <c r="AB72">
        <v>2.8771638749999999</v>
      </c>
      <c r="AC72">
        <v>2.9211787089999999</v>
      </c>
      <c r="AD72">
        <v>2.9417147639999999</v>
      </c>
      <c r="AE72">
        <v>2.9684670799999999</v>
      </c>
      <c r="AF72">
        <v>2.9971573280000001</v>
      </c>
      <c r="AG72">
        <v>3.0280478149999999</v>
      </c>
      <c r="AH72">
        <v>3.0674617780000002</v>
      </c>
      <c r="AI72">
        <v>3.0998995740000002</v>
      </c>
      <c r="AJ72">
        <v>3.1387167229999999</v>
      </c>
      <c r="AK72">
        <v>3.1770497409999998</v>
      </c>
      <c r="AL72">
        <v>3.2166742949999998</v>
      </c>
      <c r="AM72">
        <v>3.2583484720000002</v>
      </c>
      <c r="AN72">
        <v>3.3011598179999999</v>
      </c>
      <c r="AO72">
        <v>3.3454174120000002</v>
      </c>
      <c r="AP72">
        <v>3.389429502</v>
      </c>
      <c r="AQ72">
        <v>3.4332568189999999</v>
      </c>
      <c r="AR72">
        <v>3.4826582319999999</v>
      </c>
      <c r="AS72">
        <v>3.5183586070000001</v>
      </c>
      <c r="AT72">
        <v>3.5542572959999998</v>
      </c>
      <c r="AU72">
        <v>3.5903075580000001</v>
      </c>
      <c r="AV72">
        <v>3.6269662230000002</v>
      </c>
      <c r="AW72">
        <v>3.6647201790000001</v>
      </c>
    </row>
    <row r="73" spans="2:49" x14ac:dyDescent="0.25">
      <c r="B73" t="s">
        <v>374</v>
      </c>
      <c r="C73">
        <v>17.283948650263198</v>
      </c>
      <c r="D73">
        <v>17.561448036494799</v>
      </c>
      <c r="E73">
        <v>17.843402770000001</v>
      </c>
      <c r="F73">
        <v>18.153572799999999</v>
      </c>
      <c r="G73">
        <v>16.958109740000001</v>
      </c>
      <c r="H73">
        <v>16.05861603</v>
      </c>
      <c r="I73">
        <v>15.46026614</v>
      </c>
      <c r="J73">
        <v>15.376888279999999</v>
      </c>
      <c r="K73">
        <v>14.117067430000001</v>
      </c>
      <c r="L73">
        <v>13.83045443</v>
      </c>
      <c r="M73">
        <v>14.157767140000001</v>
      </c>
      <c r="N73">
        <v>14.885319259999999</v>
      </c>
      <c r="O73">
        <v>14.04728377</v>
      </c>
      <c r="P73">
        <v>12.719750660000001</v>
      </c>
      <c r="Q73">
        <v>11.250206589999999</v>
      </c>
      <c r="R73">
        <v>10.25956944</v>
      </c>
      <c r="S73">
        <v>9.3506075059999905</v>
      </c>
      <c r="T73">
        <v>9.2494226019999903</v>
      </c>
      <c r="U73">
        <v>9.1747076980000006</v>
      </c>
      <c r="V73">
        <v>9.1752799679999999</v>
      </c>
      <c r="W73">
        <v>9.0041684909999997</v>
      </c>
      <c r="X73">
        <v>8.7871689970000002</v>
      </c>
      <c r="Y73">
        <v>8.7774069170000004</v>
      </c>
      <c r="Z73">
        <v>8.8486385829999996</v>
      </c>
      <c r="AA73">
        <v>8.9266823750000004</v>
      </c>
      <c r="AB73">
        <v>9.006662554</v>
      </c>
      <c r="AC73">
        <v>9.1048244040000004</v>
      </c>
      <c r="AD73">
        <v>9.2072794840000007</v>
      </c>
      <c r="AE73">
        <v>9.3056522390000005</v>
      </c>
      <c r="AF73">
        <v>9.4088291220000002</v>
      </c>
      <c r="AG73">
        <v>9.5181888949999998</v>
      </c>
      <c r="AH73">
        <v>9.6399236479999999</v>
      </c>
      <c r="AI73">
        <v>9.7731011199999998</v>
      </c>
      <c r="AJ73">
        <v>9.9076201210000008</v>
      </c>
      <c r="AK73">
        <v>10.04378386</v>
      </c>
      <c r="AL73">
        <v>10.18238528</v>
      </c>
      <c r="AM73">
        <v>10.32300498</v>
      </c>
      <c r="AN73">
        <v>10.31440873</v>
      </c>
      <c r="AO73">
        <v>10.28260431</v>
      </c>
      <c r="AP73">
        <v>10.236965659999999</v>
      </c>
      <c r="AQ73">
        <v>10.185603889999999</v>
      </c>
      <c r="AR73">
        <v>10.12515513</v>
      </c>
      <c r="AS73">
        <v>10.139691839999999</v>
      </c>
      <c r="AT73">
        <v>10.16200806</v>
      </c>
      <c r="AU73">
        <v>10.18206507</v>
      </c>
      <c r="AV73">
        <v>10.199877089999999</v>
      </c>
      <c r="AW73">
        <v>10.227391799999999</v>
      </c>
    </row>
    <row r="74" spans="2:49" x14ac:dyDescent="0.25">
      <c r="B74" t="s">
        <v>375</v>
      </c>
      <c r="C74">
        <v>9.6518912203120095</v>
      </c>
      <c r="D74">
        <v>9.8068554558467902</v>
      </c>
      <c r="E74">
        <v>9.9643076920000002</v>
      </c>
      <c r="F74">
        <v>9.5495097819999994</v>
      </c>
      <c r="G74">
        <v>8.8735978000000006</v>
      </c>
      <c r="H74">
        <v>9.1082302249999998</v>
      </c>
      <c r="I74">
        <v>8.5076115170000008</v>
      </c>
      <c r="J74">
        <v>7.9253736469999998</v>
      </c>
      <c r="K74">
        <v>7.4808091790000004</v>
      </c>
      <c r="L74">
        <v>7.2895369609999996</v>
      </c>
      <c r="M74">
        <v>7.1530300609999999</v>
      </c>
      <c r="N74">
        <v>7.2432191079999999</v>
      </c>
      <c r="O74">
        <v>7.2577189789999998</v>
      </c>
      <c r="P74">
        <v>7.0154373239999996</v>
      </c>
      <c r="Q74">
        <v>6.7030892829999997</v>
      </c>
      <c r="R74">
        <v>6.6332461990000002</v>
      </c>
      <c r="S74">
        <v>6.4564873140000003</v>
      </c>
      <c r="T74">
        <v>6.3921026110000003</v>
      </c>
      <c r="U74">
        <v>6.30593643</v>
      </c>
      <c r="V74">
        <v>6.2307846810000003</v>
      </c>
      <c r="W74">
        <v>6.1955923559999997</v>
      </c>
      <c r="X74">
        <v>6.1646589819999997</v>
      </c>
      <c r="Y74">
        <v>6.0864528030000002</v>
      </c>
      <c r="Z74">
        <v>6.0984231680000001</v>
      </c>
      <c r="AA74">
        <v>6.1109041890000002</v>
      </c>
      <c r="AB74">
        <v>6.127519393</v>
      </c>
      <c r="AC74">
        <v>6.1401510190000002</v>
      </c>
      <c r="AD74">
        <v>6.1457773150000001</v>
      </c>
      <c r="AE74">
        <v>6.1463075890000001</v>
      </c>
      <c r="AF74">
        <v>6.1383104160000004</v>
      </c>
      <c r="AG74">
        <v>6.1301696159999999</v>
      </c>
      <c r="AH74">
        <v>6.1176348340000004</v>
      </c>
      <c r="AI74">
        <v>6.1162755889999998</v>
      </c>
      <c r="AJ74">
        <v>6.1137242059999997</v>
      </c>
      <c r="AK74">
        <v>6.1102621060000004</v>
      </c>
      <c r="AL74">
        <v>6.1053200099999998</v>
      </c>
      <c r="AM74">
        <v>6.0992746200000001</v>
      </c>
      <c r="AN74">
        <v>6.0741383249999998</v>
      </c>
      <c r="AO74">
        <v>6.0438857749999997</v>
      </c>
      <c r="AP74">
        <v>6.0095442869999998</v>
      </c>
      <c r="AQ74">
        <v>5.9710554619999998</v>
      </c>
      <c r="AR74">
        <v>5.9279617609999997</v>
      </c>
      <c r="AS74">
        <v>5.8725097890000004</v>
      </c>
      <c r="AT74">
        <v>5.811113465</v>
      </c>
      <c r="AU74">
        <v>5.7444205439999996</v>
      </c>
      <c r="AV74">
        <v>5.6721893110000003</v>
      </c>
      <c r="AW74">
        <v>5.5967740170000004</v>
      </c>
    </row>
    <row r="75" spans="2:49" x14ac:dyDescent="0.25">
      <c r="B75" t="s">
        <v>376</v>
      </c>
      <c r="C75">
        <v>4.6065844460580001</v>
      </c>
      <c r="D75">
        <v>4.68054464938142</v>
      </c>
      <c r="E75">
        <v>4.7556923080000004</v>
      </c>
      <c r="F75">
        <v>4.7683497319999999</v>
      </c>
      <c r="G75">
        <v>4.4869140229999998</v>
      </c>
      <c r="H75">
        <v>4.3324879579999998</v>
      </c>
      <c r="I75">
        <v>4.2417828169999998</v>
      </c>
      <c r="J75" s="42">
        <v>4.0289978069999997</v>
      </c>
      <c r="K75">
        <v>3.808307552</v>
      </c>
      <c r="L75">
        <v>3.7177758179999998</v>
      </c>
      <c r="M75">
        <v>3.7094801959999999</v>
      </c>
      <c r="N75">
        <v>3.779866948</v>
      </c>
      <c r="O75">
        <v>3.570188044</v>
      </c>
      <c r="P75">
        <v>3.324214886</v>
      </c>
      <c r="Q75">
        <v>3.0946926779999999</v>
      </c>
      <c r="R75">
        <v>2.9162695259999998</v>
      </c>
      <c r="S75">
        <v>2.730972585</v>
      </c>
      <c r="T75">
        <v>2.7410718420000002</v>
      </c>
      <c r="U75">
        <v>2.7560931339999999</v>
      </c>
      <c r="V75">
        <v>2.7736646770000002</v>
      </c>
      <c r="W75">
        <v>2.6959824349999999</v>
      </c>
      <c r="X75">
        <v>2.6084798990000002</v>
      </c>
      <c r="Y75">
        <v>2.5023847149999998</v>
      </c>
      <c r="Z75">
        <v>2.4242315169999999</v>
      </c>
      <c r="AA75">
        <v>2.3560138500000001</v>
      </c>
      <c r="AB75">
        <v>2.295732492</v>
      </c>
      <c r="AC75">
        <v>2.2413697859999999</v>
      </c>
      <c r="AD75">
        <v>2.1904954010000002</v>
      </c>
      <c r="AE75">
        <v>2.1434816130000001</v>
      </c>
      <c r="AF75">
        <v>2.0987316040000001</v>
      </c>
      <c r="AG75">
        <v>2.058190126</v>
      </c>
      <c r="AH75">
        <v>2.020756505</v>
      </c>
      <c r="AI75">
        <v>1.987027009</v>
      </c>
      <c r="AJ75">
        <v>1.9557300559999999</v>
      </c>
      <c r="AK75">
        <v>1.926633101</v>
      </c>
      <c r="AL75">
        <v>1.899248601</v>
      </c>
      <c r="AM75">
        <v>1.873281899</v>
      </c>
      <c r="AN75">
        <v>1.871136771</v>
      </c>
      <c r="AO75">
        <v>1.872848912</v>
      </c>
      <c r="AP75">
        <v>1.8749575679999999</v>
      </c>
      <c r="AQ75">
        <v>1.8766789420000001</v>
      </c>
      <c r="AR75">
        <v>1.877839657</v>
      </c>
      <c r="AS75">
        <v>1.8783548299999999</v>
      </c>
      <c r="AT75">
        <v>1.87826</v>
      </c>
      <c r="AU75">
        <v>1.877692006</v>
      </c>
      <c r="AV75">
        <v>1.8765615840000001</v>
      </c>
      <c r="AW75">
        <v>1.8750386000000001</v>
      </c>
    </row>
    <row r="76" spans="2:49" x14ac:dyDescent="0.25">
      <c r="B76" t="s">
        <v>377</v>
      </c>
      <c r="C76">
        <v>23.690015269078899</v>
      </c>
      <c r="D76">
        <v>24.070366126976499</v>
      </c>
      <c r="E76">
        <v>24.45682364</v>
      </c>
      <c r="F76">
        <v>25.365577439999999</v>
      </c>
      <c r="G76">
        <v>24.93579965</v>
      </c>
      <c r="H76">
        <v>25.08193644</v>
      </c>
      <c r="I76">
        <v>25.174493139999999</v>
      </c>
      <c r="J76">
        <v>25.035306160000001</v>
      </c>
      <c r="K76">
        <v>24.79338722</v>
      </c>
      <c r="L76">
        <v>24.56219299</v>
      </c>
      <c r="M76">
        <v>24.400980149999999</v>
      </c>
      <c r="N76">
        <v>24.178210549999999</v>
      </c>
      <c r="O76">
        <v>24.04709604</v>
      </c>
      <c r="P76">
        <v>23.783465419999999</v>
      </c>
      <c r="Q76">
        <v>23.48139892</v>
      </c>
      <c r="R76">
        <v>23.201902690000001</v>
      </c>
      <c r="S76">
        <v>23.165783430000001</v>
      </c>
      <c r="T76">
        <v>23.042938249999999</v>
      </c>
      <c r="U76">
        <v>22.801428949999998</v>
      </c>
      <c r="V76">
        <v>22.453249110000002</v>
      </c>
      <c r="W76">
        <v>22.1416884</v>
      </c>
      <c r="X76">
        <v>21.506459100000001</v>
      </c>
      <c r="Y76">
        <v>21.064221079999999</v>
      </c>
      <c r="Z76">
        <v>20.68985241</v>
      </c>
      <c r="AA76">
        <v>20.32966454</v>
      </c>
      <c r="AB76">
        <v>19.964156320000001</v>
      </c>
      <c r="AC76">
        <v>19.410760700000001</v>
      </c>
      <c r="AD76">
        <v>18.9748728</v>
      </c>
      <c r="AE76">
        <v>18.658452130000001</v>
      </c>
      <c r="AF76">
        <v>18.337980009999999</v>
      </c>
      <c r="AG76">
        <v>18.012186700000001</v>
      </c>
      <c r="AH76">
        <v>17.679346280000001</v>
      </c>
      <c r="AI76">
        <v>17.299880160000001</v>
      </c>
      <c r="AJ76">
        <v>16.9458327</v>
      </c>
      <c r="AK76">
        <v>16.600855110000001</v>
      </c>
      <c r="AL76">
        <v>16.260879299999999</v>
      </c>
      <c r="AM76">
        <v>15.92519849</v>
      </c>
      <c r="AN76">
        <v>15.584658109999999</v>
      </c>
      <c r="AO76">
        <v>15.23561786</v>
      </c>
      <c r="AP76">
        <v>14.884280690000001</v>
      </c>
      <c r="AQ76">
        <v>14.533284310000001</v>
      </c>
      <c r="AR76">
        <v>14.129571139999999</v>
      </c>
      <c r="AS76">
        <v>13.760956699999999</v>
      </c>
      <c r="AT76">
        <v>13.406043710000001</v>
      </c>
      <c r="AU76">
        <v>13.05917002</v>
      </c>
      <c r="AV76">
        <v>12.71853658</v>
      </c>
      <c r="AW76">
        <v>12.38371592</v>
      </c>
    </row>
    <row r="77" spans="2:49" x14ac:dyDescent="0.25">
      <c r="B77" t="s">
        <v>378</v>
      </c>
      <c r="C77">
        <v>20.7498358478441</v>
      </c>
      <c r="D77">
        <v>21.0829811741058</v>
      </c>
      <c r="E77">
        <v>21.427087060000002</v>
      </c>
      <c r="F77">
        <v>21.88274341</v>
      </c>
      <c r="G77">
        <v>21.037437829999998</v>
      </c>
      <c r="H77">
        <v>19.517213259999998</v>
      </c>
      <c r="I77">
        <v>19.881512130000001</v>
      </c>
      <c r="J77">
        <v>19.301235599999998</v>
      </c>
      <c r="K77">
        <v>19.482445779999999</v>
      </c>
      <c r="L77">
        <v>18.999197339999998</v>
      </c>
      <c r="M77">
        <v>18.943608789999999</v>
      </c>
      <c r="N77">
        <v>18.959363</v>
      </c>
      <c r="O77">
        <v>18.77979036</v>
      </c>
      <c r="P77">
        <v>18.979097800000002</v>
      </c>
      <c r="Q77">
        <v>18.75107233</v>
      </c>
      <c r="R77">
        <v>18.607990959999999</v>
      </c>
      <c r="S77">
        <v>18.34910305</v>
      </c>
      <c r="T77">
        <v>18.51721452</v>
      </c>
      <c r="U77">
        <v>18.683597559999999</v>
      </c>
      <c r="V77">
        <v>18.962969959999999</v>
      </c>
      <c r="W77">
        <v>19.111856</v>
      </c>
      <c r="X77">
        <v>19.084436230000001</v>
      </c>
      <c r="Y77">
        <v>19.006874710000002</v>
      </c>
      <c r="Z77">
        <v>18.958240539999998</v>
      </c>
      <c r="AA77">
        <v>18.864028139999999</v>
      </c>
      <c r="AB77">
        <v>18.753182500000001</v>
      </c>
      <c r="AC77">
        <v>18.65892375</v>
      </c>
      <c r="AD77">
        <v>18.498277460000001</v>
      </c>
      <c r="AE77">
        <v>18.300529340000001</v>
      </c>
      <c r="AF77">
        <v>18.123346560000002</v>
      </c>
      <c r="AG77">
        <v>17.933690169999998</v>
      </c>
      <c r="AH77">
        <v>17.745820470000002</v>
      </c>
      <c r="AI77">
        <v>17.664685339999998</v>
      </c>
      <c r="AJ77">
        <v>17.574516410000001</v>
      </c>
      <c r="AK77">
        <v>17.472246729999998</v>
      </c>
      <c r="AL77">
        <v>17.371851400000001</v>
      </c>
      <c r="AM77">
        <v>17.274439050000002</v>
      </c>
      <c r="AN77">
        <v>17.291391220000001</v>
      </c>
      <c r="AO77">
        <v>17.331258500000001</v>
      </c>
      <c r="AP77">
        <v>17.371972240000002</v>
      </c>
      <c r="AQ77">
        <v>17.414738400000001</v>
      </c>
      <c r="AR77">
        <v>17.462122959999999</v>
      </c>
      <c r="AS77">
        <v>17.610806740000001</v>
      </c>
      <c r="AT77">
        <v>17.751473359999999</v>
      </c>
      <c r="AU77">
        <v>17.889049310000001</v>
      </c>
      <c r="AV77">
        <v>18.02768416</v>
      </c>
      <c r="AW77">
        <v>18.171738099999999</v>
      </c>
    </row>
    <row r="78" spans="2:49" x14ac:dyDescent="0.25">
      <c r="B78" t="s">
        <v>379</v>
      </c>
      <c r="C78">
        <v>0.28090746897060398</v>
      </c>
      <c r="D78">
        <v>0.28541752924702302</v>
      </c>
      <c r="E78">
        <v>0.28999999999999998</v>
      </c>
      <c r="F78">
        <v>0.30263555180000001</v>
      </c>
      <c r="G78">
        <v>0.30356363739999997</v>
      </c>
      <c r="H78">
        <v>0.2953276359</v>
      </c>
      <c r="I78">
        <v>0.31284449530000003</v>
      </c>
      <c r="J78">
        <v>0.3142509658</v>
      </c>
      <c r="K78">
        <v>0.3210421993</v>
      </c>
      <c r="L78">
        <v>0.3141574305</v>
      </c>
      <c r="M78">
        <v>0.32682523479999998</v>
      </c>
      <c r="N78">
        <v>0.31951541039999998</v>
      </c>
      <c r="O78">
        <v>0.306372696</v>
      </c>
      <c r="P78">
        <v>0.31169699849999999</v>
      </c>
      <c r="Q78">
        <v>0.3118247696</v>
      </c>
      <c r="R78">
        <v>0.31003052419999999</v>
      </c>
      <c r="S78">
        <v>0.31095171459999998</v>
      </c>
      <c r="T78">
        <v>0.31506776469999997</v>
      </c>
      <c r="U78">
        <v>0.3189496188</v>
      </c>
      <c r="V78">
        <v>0.3250211315</v>
      </c>
      <c r="W78">
        <v>0.32774841929999998</v>
      </c>
      <c r="X78">
        <v>0.33173062780000001</v>
      </c>
      <c r="Y78">
        <v>0.33889571540000002</v>
      </c>
      <c r="Z78">
        <v>0.34251944099999998</v>
      </c>
      <c r="AA78">
        <v>0.34618751809999998</v>
      </c>
      <c r="AB78">
        <v>0.3491348789</v>
      </c>
      <c r="AC78">
        <v>0.35354035569999998</v>
      </c>
      <c r="AD78">
        <v>0.3556080948</v>
      </c>
      <c r="AE78">
        <v>0.35852574580000002</v>
      </c>
      <c r="AF78">
        <v>0.36185147369999998</v>
      </c>
      <c r="AG78">
        <v>0.3653548499</v>
      </c>
      <c r="AH78">
        <v>0.3699239822</v>
      </c>
      <c r="AI78">
        <v>0.37293045600000002</v>
      </c>
      <c r="AJ78">
        <v>0.37633356109999999</v>
      </c>
      <c r="AK78">
        <v>0.37952257849999999</v>
      </c>
      <c r="AL78">
        <v>0.3828154332</v>
      </c>
      <c r="AM78">
        <v>0.38626805980000001</v>
      </c>
      <c r="AN78">
        <v>0.3901297856</v>
      </c>
      <c r="AO78">
        <v>0.39416298999999999</v>
      </c>
      <c r="AP78">
        <v>0.39811376500000001</v>
      </c>
      <c r="AQ78">
        <v>0.40198840019999998</v>
      </c>
      <c r="AR78">
        <v>0.40653686880000001</v>
      </c>
      <c r="AS78">
        <v>0.4099196349</v>
      </c>
      <c r="AT78">
        <v>0.41347305239999999</v>
      </c>
      <c r="AU78">
        <v>0.41708595069999999</v>
      </c>
      <c r="AV78">
        <v>0.42081534240000001</v>
      </c>
      <c r="AW78">
        <v>0.42469111170000001</v>
      </c>
    </row>
    <row r="79" spans="2:49" x14ac:dyDescent="0.25">
      <c r="B79" t="s">
        <v>380</v>
      </c>
      <c r="C79">
        <v>11.323476938849501</v>
      </c>
      <c r="D79">
        <v>11.5052790237851</v>
      </c>
      <c r="E79">
        <v>11.69</v>
      </c>
      <c r="F79">
        <v>11.971041639999999</v>
      </c>
      <c r="G79">
        <v>11.941145499999999</v>
      </c>
      <c r="H79">
        <v>10.41819184</v>
      </c>
      <c r="I79">
        <v>11.041013599999999</v>
      </c>
      <c r="J79">
        <v>11.505149879999999</v>
      </c>
      <c r="K79">
        <v>11.366224839999999</v>
      </c>
      <c r="L79">
        <v>11.212504579999999</v>
      </c>
      <c r="M79">
        <v>11.161710429999999</v>
      </c>
      <c r="N79">
        <v>10.963094849999999</v>
      </c>
      <c r="O79">
        <v>10.19491816</v>
      </c>
      <c r="P79">
        <v>9.9649273459999996</v>
      </c>
      <c r="Q79">
        <v>9.7873512609999995</v>
      </c>
      <c r="R79">
        <v>9.4091906269999903</v>
      </c>
      <c r="S79">
        <v>8.9805503580000003</v>
      </c>
      <c r="T79">
        <v>9.0815106990000007</v>
      </c>
      <c r="U79">
        <v>9.2599609990000005</v>
      </c>
      <c r="V79">
        <v>9.5381223439999996</v>
      </c>
      <c r="W79">
        <v>9.7085885059999999</v>
      </c>
      <c r="X79">
        <v>9.8471845019999904</v>
      </c>
      <c r="Y79">
        <v>9.9041901110000001</v>
      </c>
      <c r="Z79">
        <v>9.9663930999999994</v>
      </c>
      <c r="AA79">
        <v>10.045888959999999</v>
      </c>
      <c r="AB79">
        <v>10.11221907</v>
      </c>
      <c r="AC79">
        <v>10.171960670000001</v>
      </c>
      <c r="AD79">
        <v>10.282371919999999</v>
      </c>
      <c r="AE79">
        <v>10.38526729</v>
      </c>
      <c r="AF79">
        <v>10.49495016</v>
      </c>
      <c r="AG79">
        <v>10.6095586</v>
      </c>
      <c r="AH79">
        <v>10.72124565</v>
      </c>
      <c r="AI79">
        <v>10.860767279999999</v>
      </c>
      <c r="AJ79">
        <v>10.994710169999999</v>
      </c>
      <c r="AK79">
        <v>11.12258561</v>
      </c>
      <c r="AL79">
        <v>11.25066659</v>
      </c>
      <c r="AM79">
        <v>11.378702710000001</v>
      </c>
      <c r="AN79">
        <v>11.53127465</v>
      </c>
      <c r="AO79">
        <v>11.70667901</v>
      </c>
      <c r="AP79">
        <v>11.88611747</v>
      </c>
      <c r="AQ79">
        <v>12.07010189</v>
      </c>
      <c r="AR79">
        <v>12.24917494</v>
      </c>
      <c r="AS79">
        <v>12.4197658</v>
      </c>
      <c r="AT79">
        <v>12.580185520000001</v>
      </c>
      <c r="AU79">
        <v>12.739257889999999</v>
      </c>
      <c r="AV79">
        <v>12.9001781</v>
      </c>
      <c r="AW79">
        <v>13.06882178</v>
      </c>
    </row>
    <row r="80" spans="2:49" x14ac:dyDescent="0.25">
      <c r="B80" t="s">
        <v>381</v>
      </c>
      <c r="C80">
        <v>12.401465507675301</v>
      </c>
      <c r="D80">
        <v>12.6005750477687</v>
      </c>
      <c r="E80">
        <v>12.802881360000001</v>
      </c>
      <c r="F80">
        <v>12.960209499999999</v>
      </c>
      <c r="G80">
        <v>13.34775217</v>
      </c>
      <c r="H80">
        <v>13.031363730000001</v>
      </c>
      <c r="I80">
        <v>13.288344459999999</v>
      </c>
      <c r="J80">
        <v>13.650227299999999</v>
      </c>
      <c r="K80">
        <v>13.979369910000001</v>
      </c>
      <c r="L80">
        <v>14.02847098</v>
      </c>
      <c r="M80">
        <v>13.96952239</v>
      </c>
      <c r="N80">
        <v>13.749912500000001</v>
      </c>
      <c r="O80">
        <v>13.652408400000001</v>
      </c>
      <c r="P80">
        <v>13.88014276</v>
      </c>
      <c r="Q80">
        <v>14.307591179999999</v>
      </c>
      <c r="R80">
        <v>14.368472219999999</v>
      </c>
      <c r="S80">
        <v>14.4312141</v>
      </c>
      <c r="T80">
        <v>14.41196837</v>
      </c>
      <c r="U80">
        <v>14.50098667</v>
      </c>
      <c r="V80">
        <v>14.598389299999999</v>
      </c>
      <c r="W80">
        <v>14.718224299999999</v>
      </c>
      <c r="X80">
        <v>14.83373067</v>
      </c>
      <c r="Y80">
        <v>15.0466122</v>
      </c>
      <c r="Z80">
        <v>15.21787885</v>
      </c>
      <c r="AA80">
        <v>15.424880610000001</v>
      </c>
      <c r="AB80">
        <v>15.61525679</v>
      </c>
      <c r="AC80">
        <v>15.79566436</v>
      </c>
      <c r="AD80">
        <v>15.97425812</v>
      </c>
      <c r="AE80">
        <v>16.146785090000002</v>
      </c>
      <c r="AF80">
        <v>16.312759379999999</v>
      </c>
      <c r="AG80">
        <v>16.472091989999999</v>
      </c>
      <c r="AH80">
        <v>16.6259823</v>
      </c>
      <c r="AI80">
        <v>16.768707169999999</v>
      </c>
      <c r="AJ80">
        <v>16.898351359999999</v>
      </c>
      <c r="AK80">
        <v>17.018969089999999</v>
      </c>
      <c r="AL80">
        <v>17.130934910000001</v>
      </c>
      <c r="AM80">
        <v>17.23353814</v>
      </c>
      <c r="AN80">
        <v>17.33401199</v>
      </c>
      <c r="AO80">
        <v>17.421029099999998</v>
      </c>
      <c r="AP80">
        <v>17.4957961</v>
      </c>
      <c r="AQ80">
        <v>17.559441249999999</v>
      </c>
      <c r="AR80">
        <v>17.61281082</v>
      </c>
      <c r="AS80">
        <v>17.65876957</v>
      </c>
      <c r="AT80">
        <v>17.695063820000001</v>
      </c>
      <c r="AU80">
        <v>17.720043860000001</v>
      </c>
      <c r="AV80">
        <v>17.733866219999999</v>
      </c>
      <c r="AW80">
        <v>17.748119819999999</v>
      </c>
    </row>
    <row r="81" spans="2:49" x14ac:dyDescent="0.25">
      <c r="B81" t="s">
        <v>382</v>
      </c>
      <c r="C81">
        <v>10.826676236859401</v>
      </c>
      <c r="D81">
        <v>11.000502025829901</v>
      </c>
      <c r="E81">
        <v>11.17711864</v>
      </c>
      <c r="F81">
        <v>11.65397974</v>
      </c>
      <c r="G81">
        <v>11.979272590000001</v>
      </c>
      <c r="H81">
        <v>10.965741660000001</v>
      </c>
      <c r="I81">
        <v>11.324591699999999</v>
      </c>
      <c r="J81">
        <v>11.751705129999999</v>
      </c>
      <c r="K81">
        <v>12.031128989999999</v>
      </c>
      <c r="L81">
        <v>12.02952387</v>
      </c>
      <c r="M81">
        <v>11.94329317</v>
      </c>
      <c r="N81">
        <v>11.57655602</v>
      </c>
      <c r="O81">
        <v>11.02723632</v>
      </c>
      <c r="P81">
        <v>11.06584215</v>
      </c>
      <c r="Q81">
        <v>11.431595189999999</v>
      </c>
      <c r="R81">
        <v>11.32127373</v>
      </c>
      <c r="S81">
        <v>11.124698349999999</v>
      </c>
      <c r="T81">
        <v>11.13245311</v>
      </c>
      <c r="U81">
        <v>11.080035609999999</v>
      </c>
      <c r="V81">
        <v>11.00789378</v>
      </c>
      <c r="W81">
        <v>11.14619199</v>
      </c>
      <c r="X81">
        <v>11.294232279999999</v>
      </c>
      <c r="Y81">
        <v>11.54454651</v>
      </c>
      <c r="Z81">
        <v>11.69811179</v>
      </c>
      <c r="AA81">
        <v>11.854535630000001</v>
      </c>
      <c r="AB81">
        <v>11.975763479999999</v>
      </c>
      <c r="AC81">
        <v>12.07074931</v>
      </c>
      <c r="AD81">
        <v>12.15336353</v>
      </c>
      <c r="AE81">
        <v>12.22154525</v>
      </c>
      <c r="AF81">
        <v>12.276747569999999</v>
      </c>
      <c r="AG81">
        <v>12.31740329</v>
      </c>
      <c r="AH81">
        <v>12.34483376</v>
      </c>
      <c r="AI81">
        <v>12.35838313</v>
      </c>
      <c r="AJ81">
        <v>12.356350750000001</v>
      </c>
      <c r="AK81">
        <v>12.3415518</v>
      </c>
      <c r="AL81">
        <v>12.31661804</v>
      </c>
      <c r="AM81">
        <v>12.28294884</v>
      </c>
      <c r="AN81">
        <v>12.13730865</v>
      </c>
      <c r="AO81">
        <v>11.968625279999999</v>
      </c>
      <c r="AP81">
        <v>11.795613960000001</v>
      </c>
      <c r="AQ81">
        <v>11.62170379</v>
      </c>
      <c r="AR81">
        <v>11.449112619999999</v>
      </c>
      <c r="AS81">
        <v>11.27752549</v>
      </c>
      <c r="AT81">
        <v>11.10753036</v>
      </c>
      <c r="AU81">
        <v>10.93886417</v>
      </c>
      <c r="AV81">
        <v>10.772053209999999</v>
      </c>
      <c r="AW81">
        <v>10.606688520000001</v>
      </c>
    </row>
    <row r="82" spans="2:49" x14ac:dyDescent="0.25">
      <c r="B82" t="s">
        <v>383</v>
      </c>
      <c r="C82">
        <v>4.42659733299524E-4</v>
      </c>
      <c r="D82">
        <v>4.4976677849999601E-4</v>
      </c>
      <c r="E82">
        <v>4.5698792999999998E-4</v>
      </c>
      <c r="F82">
        <v>8.9237134200000003E-4</v>
      </c>
      <c r="G82">
        <v>1.63977989E-3</v>
      </c>
      <c r="H82">
        <v>2.9022617500000002E-3</v>
      </c>
      <c r="I82">
        <v>4.6548971200000002E-3</v>
      </c>
      <c r="J82">
        <v>7.0033834100000003E-3</v>
      </c>
      <c r="K82">
        <v>9.7854357499999999E-3</v>
      </c>
      <c r="L82">
        <v>1.33448903E-2</v>
      </c>
      <c r="M82">
        <v>1.8110543E-2</v>
      </c>
      <c r="N82">
        <v>2.3864354300000001E-2</v>
      </c>
      <c r="O82">
        <v>3.1832411800000002E-2</v>
      </c>
      <c r="P82">
        <v>4.2281141000000001E-2</v>
      </c>
      <c r="Q82">
        <v>5.5811565700000003E-2</v>
      </c>
      <c r="R82">
        <v>7.3093089099999994E-2</v>
      </c>
      <c r="S82">
        <v>9.5353809299999995E-2</v>
      </c>
      <c r="T82">
        <v>0.1211300419</v>
      </c>
      <c r="U82">
        <v>0.15430793700000001</v>
      </c>
      <c r="V82">
        <v>0.19361528089999999</v>
      </c>
      <c r="W82">
        <v>0.2435607705</v>
      </c>
      <c r="X82">
        <v>0.27892176359999998</v>
      </c>
      <c r="Y82">
        <v>0.3394334417</v>
      </c>
      <c r="Z82">
        <v>0.41675957899999999</v>
      </c>
      <c r="AA82">
        <v>0.50703863630000001</v>
      </c>
      <c r="AB82">
        <v>0.60809034539999995</v>
      </c>
      <c r="AC82">
        <v>0.68638084359999996</v>
      </c>
      <c r="AD82">
        <v>0.79425465939999995</v>
      </c>
      <c r="AE82">
        <v>0.91716482020000001</v>
      </c>
      <c r="AF82">
        <v>1.0486931500000001</v>
      </c>
      <c r="AG82">
        <v>1.1872369659999999</v>
      </c>
      <c r="AH82">
        <v>1.3049377369999999</v>
      </c>
      <c r="AI82">
        <v>1.4400343010000001</v>
      </c>
      <c r="AJ82">
        <v>1.5883397260000001</v>
      </c>
      <c r="AK82">
        <v>1.743477097</v>
      </c>
      <c r="AL82">
        <v>1.9029539280000001</v>
      </c>
      <c r="AM82">
        <v>2.0655066340000001</v>
      </c>
      <c r="AN82">
        <v>2.2220956109999999</v>
      </c>
      <c r="AO82">
        <v>2.3754338640000001</v>
      </c>
      <c r="AP82">
        <v>2.5275078949999998</v>
      </c>
      <c r="AQ82">
        <v>2.6787967859999999</v>
      </c>
      <c r="AR82">
        <v>2.7932191359999998</v>
      </c>
      <c r="AS82">
        <v>2.9235557879999998</v>
      </c>
      <c r="AT82">
        <v>3.0594690689999999</v>
      </c>
      <c r="AU82">
        <v>3.196739145</v>
      </c>
      <c r="AV82">
        <v>3.3336021690000002</v>
      </c>
      <c r="AW82">
        <v>3.4692809100000002</v>
      </c>
    </row>
    <row r="83" spans="2:49" x14ac:dyDescent="0.25">
      <c r="B83" t="s">
        <v>384</v>
      </c>
      <c r="C83">
        <v>1.1996237928359601</v>
      </c>
      <c r="D83">
        <v>1.2188841408592499</v>
      </c>
      <c r="E83">
        <v>1.2387944769999999</v>
      </c>
      <c r="F83">
        <v>1.296145372</v>
      </c>
      <c r="G83">
        <v>1.2811800200000001</v>
      </c>
      <c r="H83">
        <v>1.1449214990000001</v>
      </c>
      <c r="I83">
        <v>1.2158510549999999</v>
      </c>
      <c r="J83">
        <v>1.2399680740000001</v>
      </c>
      <c r="K83">
        <v>1.2680378889999999</v>
      </c>
      <c r="L83">
        <v>1.274533524</v>
      </c>
      <c r="M83">
        <v>1.279113339</v>
      </c>
      <c r="N83">
        <v>1.2684708929999999</v>
      </c>
      <c r="O83">
        <v>1.265350572</v>
      </c>
      <c r="P83">
        <v>1.3319043239999999</v>
      </c>
      <c r="Q83">
        <v>1.362115261</v>
      </c>
      <c r="R83">
        <v>1.403337641</v>
      </c>
      <c r="S83">
        <v>1.4331250360000001</v>
      </c>
      <c r="T83">
        <v>1.5777417389999999</v>
      </c>
      <c r="U83">
        <v>1.707287177</v>
      </c>
      <c r="V83">
        <v>1.847123093</v>
      </c>
      <c r="W83">
        <v>1.92601599</v>
      </c>
      <c r="X83">
        <v>2.2112847630000001</v>
      </c>
      <c r="Y83">
        <v>2.3695216389999998</v>
      </c>
      <c r="Z83">
        <v>2.4893851470000001</v>
      </c>
      <c r="AA83">
        <v>2.5941144870000001</v>
      </c>
      <c r="AB83">
        <v>2.6805863950000002</v>
      </c>
      <c r="AC83">
        <v>2.9059124770000002</v>
      </c>
      <c r="AD83">
        <v>2.9880060209999999</v>
      </c>
      <c r="AE83">
        <v>3.0697269110000001</v>
      </c>
      <c r="AF83">
        <v>3.1539258989999999</v>
      </c>
      <c r="AG83">
        <v>3.2338411969999998</v>
      </c>
      <c r="AH83">
        <v>3.3835047600000001</v>
      </c>
      <c r="AI83">
        <v>3.4401661730000002</v>
      </c>
      <c r="AJ83">
        <v>3.4978086390000001</v>
      </c>
      <c r="AK83">
        <v>3.5525035850000002</v>
      </c>
      <c r="AL83">
        <v>3.6071338540000002</v>
      </c>
      <c r="AM83">
        <v>3.6628873149999999</v>
      </c>
      <c r="AN83">
        <v>3.6851790910000002</v>
      </c>
      <c r="AO83">
        <v>3.7140390249999999</v>
      </c>
      <c r="AP83">
        <v>3.7436885520000001</v>
      </c>
      <c r="AQ83">
        <v>3.7751364019999998</v>
      </c>
      <c r="AR83">
        <v>3.8851567309999999</v>
      </c>
      <c r="AS83">
        <v>3.8886422600000001</v>
      </c>
      <c r="AT83">
        <v>3.8964198639999998</v>
      </c>
      <c r="AU83">
        <v>3.9051298050000001</v>
      </c>
      <c r="AV83">
        <v>3.9144535130000002</v>
      </c>
      <c r="AW83">
        <v>3.92490462</v>
      </c>
    </row>
    <row r="84" spans="2:49" x14ac:dyDescent="0.25">
      <c r="B84" t="s">
        <v>385</v>
      </c>
      <c r="C84">
        <v>0.33902625565417799</v>
      </c>
      <c r="D84">
        <v>0.34446943184985501</v>
      </c>
      <c r="E84">
        <v>0.35</v>
      </c>
      <c r="F84">
        <v>0.36630371969999997</v>
      </c>
      <c r="G84">
        <v>0.356846155</v>
      </c>
      <c r="H84">
        <v>0.36147350430000003</v>
      </c>
      <c r="I84">
        <v>0.38827849780000001</v>
      </c>
      <c r="J84">
        <v>0.3816482383</v>
      </c>
      <c r="K84">
        <v>0.37506099009999999</v>
      </c>
      <c r="L84">
        <v>0.36454665629999999</v>
      </c>
      <c r="M84">
        <v>0.3859041077</v>
      </c>
      <c r="N84">
        <v>0.39410968880000002</v>
      </c>
      <c r="O84">
        <v>0.39498126830000002</v>
      </c>
      <c r="P84">
        <v>0.40051271840000002</v>
      </c>
      <c r="Q84">
        <v>0.37834965650000002</v>
      </c>
      <c r="R84">
        <v>0.36989230789999999</v>
      </c>
      <c r="S84">
        <v>0.36966501210000002</v>
      </c>
      <c r="T84">
        <v>0.37470013590000001</v>
      </c>
      <c r="U84">
        <v>0.38138655069999999</v>
      </c>
      <c r="V84">
        <v>0.39153904709999998</v>
      </c>
      <c r="W84">
        <v>0.39776513899999999</v>
      </c>
      <c r="X84">
        <v>0.40749316400000002</v>
      </c>
      <c r="Y84">
        <v>0.4166740545</v>
      </c>
      <c r="Z84">
        <v>0.42321177110000002</v>
      </c>
      <c r="AA84">
        <v>0.42704159460000002</v>
      </c>
      <c r="AB84">
        <v>0.43048892490000001</v>
      </c>
      <c r="AC84">
        <v>0.43596763449999998</v>
      </c>
      <c r="AD84">
        <v>0.43822069089999999</v>
      </c>
      <c r="AE84">
        <v>0.4413124014</v>
      </c>
      <c r="AF84">
        <v>0.44495018819999999</v>
      </c>
      <c r="AG84">
        <v>0.44858223429999999</v>
      </c>
      <c r="AH84">
        <v>0.45347204720000001</v>
      </c>
      <c r="AI84">
        <v>0.45617727289999999</v>
      </c>
      <c r="AJ84">
        <v>0.45969144610000001</v>
      </c>
      <c r="AK84">
        <v>0.46313292410000001</v>
      </c>
      <c r="AL84">
        <v>0.46681409699999998</v>
      </c>
      <c r="AM84">
        <v>0.47077405900000002</v>
      </c>
      <c r="AN84">
        <v>0.47592429330000002</v>
      </c>
      <c r="AO84">
        <v>0.4817145545</v>
      </c>
      <c r="AP84">
        <v>0.48757746270000002</v>
      </c>
      <c r="AQ84">
        <v>0.49351047260000003</v>
      </c>
      <c r="AR84">
        <v>0.5002963627</v>
      </c>
      <c r="AS84">
        <v>0.50580876949999998</v>
      </c>
      <c r="AT84">
        <v>0.51158604939999996</v>
      </c>
      <c r="AU84">
        <v>0.51746615549999997</v>
      </c>
      <c r="AV84">
        <v>0.52349519609999995</v>
      </c>
      <c r="AW84">
        <v>0.52969402430000001</v>
      </c>
    </row>
    <row r="85" spans="2:49" x14ac:dyDescent="0.25">
      <c r="B85" t="s">
        <v>386</v>
      </c>
      <c r="C85">
        <v>12.8442518570697</v>
      </c>
      <c r="D85">
        <v>13.0504704752259</v>
      </c>
      <c r="E85">
        <v>13.26</v>
      </c>
      <c r="F85">
        <v>13.64489781</v>
      </c>
      <c r="G85">
        <v>13.20337984</v>
      </c>
      <c r="H85">
        <v>12.15335595</v>
      </c>
      <c r="I85">
        <v>12.668666460000001</v>
      </c>
      <c r="J85">
        <v>12.89615423</v>
      </c>
      <c r="K85">
        <v>12.29429326</v>
      </c>
      <c r="L85">
        <v>12.082263709999999</v>
      </c>
      <c r="M85">
        <v>12.258280579999999</v>
      </c>
      <c r="N85">
        <v>12.55821523</v>
      </c>
      <c r="O85">
        <v>12.832532260000001</v>
      </c>
      <c r="P85">
        <v>13.143194319999999</v>
      </c>
      <c r="Q85">
        <v>12.851797019999999</v>
      </c>
      <c r="R85">
        <v>12.78565143</v>
      </c>
      <c r="S85">
        <v>12.703201959999999</v>
      </c>
      <c r="T85">
        <v>12.81400867</v>
      </c>
      <c r="U85">
        <v>12.9265747</v>
      </c>
      <c r="V85">
        <v>13.14274361</v>
      </c>
      <c r="W85">
        <v>13.0238399</v>
      </c>
      <c r="X85">
        <v>12.82953814</v>
      </c>
      <c r="Y85">
        <v>12.745568799999999</v>
      </c>
      <c r="Z85">
        <v>12.78866899</v>
      </c>
      <c r="AA85">
        <v>12.79466225</v>
      </c>
      <c r="AB85">
        <v>12.799411389999999</v>
      </c>
      <c r="AC85">
        <v>12.81736326</v>
      </c>
      <c r="AD85">
        <v>12.88116608</v>
      </c>
      <c r="AE85" s="100">
        <v>12.934804400000001</v>
      </c>
      <c r="AF85" s="100">
        <v>13.00173903</v>
      </c>
      <c r="AG85">
        <v>13.068531719999999</v>
      </c>
      <c r="AH85">
        <v>13.140357979999999</v>
      </c>
      <c r="AI85">
        <v>13.214776219999999</v>
      </c>
      <c r="AJ85" s="100">
        <v>13.29030756</v>
      </c>
      <c r="AK85">
        <v>13.363991970000001</v>
      </c>
      <c r="AL85">
        <v>13.44194733</v>
      </c>
      <c r="AM85">
        <v>13.523702370000001</v>
      </c>
      <c r="AN85">
        <v>13.53876925</v>
      </c>
      <c r="AO85">
        <v>13.561058989999999</v>
      </c>
      <c r="AP85">
        <v>13.57641974</v>
      </c>
      <c r="AQ85">
        <v>13.588500740000001</v>
      </c>
      <c r="AR85">
        <v>13.58922508</v>
      </c>
      <c r="AS85">
        <v>13.65043824</v>
      </c>
      <c r="AT85">
        <v>13.71498918</v>
      </c>
      <c r="AU85">
        <v>13.778340460000001</v>
      </c>
      <c r="AV85">
        <v>13.84127984</v>
      </c>
      <c r="AW85">
        <v>13.91248523</v>
      </c>
    </row>
    <row r="86" spans="2:49" x14ac:dyDescent="0.25">
      <c r="B86" t="s">
        <v>387</v>
      </c>
      <c r="C86" s="100">
        <v>17.113958899133198</v>
      </c>
      <c r="D86">
        <v>17.388729044925601</v>
      </c>
      <c r="E86">
        <v>17.667910710000001</v>
      </c>
      <c r="F86">
        <v>17.809816049999998</v>
      </c>
      <c r="G86" s="100">
        <v>17.735098270000002</v>
      </c>
      <c r="H86">
        <v>17.743810010000001</v>
      </c>
      <c r="I86">
        <v>18.11077568</v>
      </c>
      <c r="J86">
        <v>18.123192840000002</v>
      </c>
      <c r="K86" s="100">
        <v>17.783516039999999</v>
      </c>
      <c r="L86" s="100">
        <v>17.55831702</v>
      </c>
      <c r="M86" s="100">
        <v>17.552085829999999</v>
      </c>
      <c r="N86">
        <v>17.69456336</v>
      </c>
      <c r="O86">
        <v>18.048124869999999</v>
      </c>
      <c r="P86">
        <v>18.142409239999999</v>
      </c>
      <c r="Q86">
        <v>17.70338757</v>
      </c>
      <c r="R86">
        <v>17.385951339999998</v>
      </c>
      <c r="S86">
        <v>17.149222380000001</v>
      </c>
      <c r="T86">
        <v>16.753363749999998</v>
      </c>
      <c r="U86">
        <v>16.60969901</v>
      </c>
      <c r="V86">
        <v>16.486711060000001</v>
      </c>
      <c r="W86">
        <v>16.461524050000001</v>
      </c>
      <c r="X86">
        <v>16.54870163</v>
      </c>
      <c r="Y86">
        <v>16.643240240000001</v>
      </c>
      <c r="Z86">
        <v>16.810357190000001</v>
      </c>
      <c r="AA86">
        <v>16.910166839999999</v>
      </c>
      <c r="AB86">
        <v>17.032919100000001</v>
      </c>
      <c r="AC86">
        <v>17.147846470000001</v>
      </c>
      <c r="AD86">
        <v>17.240451960000001</v>
      </c>
      <c r="AE86">
        <v>17.315122410000001</v>
      </c>
      <c r="AF86">
        <v>17.383481759999999</v>
      </c>
      <c r="AG86">
        <v>17.42902681</v>
      </c>
      <c r="AH86">
        <v>17.463939440000001</v>
      </c>
      <c r="AI86">
        <v>17.466291139999999</v>
      </c>
      <c r="AJ86">
        <v>17.466730340000002</v>
      </c>
      <c r="AK86">
        <v>17.46144382</v>
      </c>
      <c r="AL86">
        <v>17.450665780000001</v>
      </c>
      <c r="AM86">
        <v>17.433955900000001</v>
      </c>
      <c r="AN86">
        <v>17.420130409999999</v>
      </c>
      <c r="AO86">
        <v>17.402959150000001</v>
      </c>
      <c r="AP86">
        <v>17.37535969</v>
      </c>
      <c r="AQ86">
        <v>17.339299839999999</v>
      </c>
      <c r="AR86">
        <v>17.291457950000002</v>
      </c>
      <c r="AS86">
        <v>17.240744400000001</v>
      </c>
      <c r="AT86">
        <v>17.175676330000002</v>
      </c>
      <c r="AU86">
        <v>17.096164940000001</v>
      </c>
      <c r="AV86">
        <v>17.00210521</v>
      </c>
      <c r="AW86">
        <v>16.89811525</v>
      </c>
    </row>
    <row r="87" spans="2:49" x14ac:dyDescent="0.25">
      <c r="B87" t="s">
        <v>388</v>
      </c>
      <c r="C87" s="100">
        <v>5.6395460874857797</v>
      </c>
      <c r="D87" s="100">
        <v>5.7300908240832298</v>
      </c>
      <c r="E87" s="100">
        <v>5.8220892859999998</v>
      </c>
      <c r="F87">
        <v>6.2133444019999997</v>
      </c>
      <c r="G87">
        <v>6.3837987890000001</v>
      </c>
      <c r="H87">
        <v>6.5218101590000002</v>
      </c>
      <c r="I87">
        <v>7.061840761</v>
      </c>
      <c r="J87">
        <v>7.3753157509999996</v>
      </c>
      <c r="K87">
        <v>7.4829696270000001</v>
      </c>
      <c r="L87">
        <v>7.7611130900000003</v>
      </c>
      <c r="M87">
        <v>8.2988782069999996</v>
      </c>
      <c r="N87">
        <v>9.1318221269999995</v>
      </c>
      <c r="O87">
        <v>9.4432036539999995</v>
      </c>
      <c r="P87">
        <v>9.3074139939999903</v>
      </c>
      <c r="Q87">
        <v>8.6394359479999903</v>
      </c>
      <c r="R87">
        <v>8.1586295040000003</v>
      </c>
      <c r="S87">
        <v>7.8622854489999998</v>
      </c>
      <c r="T87">
        <v>7.7847251770000003</v>
      </c>
      <c r="U87">
        <v>7.7470254709999997</v>
      </c>
      <c r="V87">
        <v>7.7152301169999999</v>
      </c>
      <c r="W87">
        <v>7.7970253920000001</v>
      </c>
      <c r="X87">
        <v>7.9379117419999998</v>
      </c>
      <c r="Y87">
        <v>8.0858423590000008</v>
      </c>
      <c r="Z87">
        <v>8.1487768880000004</v>
      </c>
      <c r="AA87">
        <v>8.1378221970000002</v>
      </c>
      <c r="AB87">
        <v>8.1128122850000004</v>
      </c>
      <c r="AC87">
        <v>8.0773181300000001</v>
      </c>
      <c r="AD87">
        <v>8.0318587709999996</v>
      </c>
      <c r="AE87">
        <v>7.976273924</v>
      </c>
      <c r="AF87">
        <v>7.920220745</v>
      </c>
      <c r="AG87">
        <v>7.8515045170000004</v>
      </c>
      <c r="AH87">
        <v>7.7764450280000004</v>
      </c>
      <c r="AI87">
        <v>7.6918849890000001</v>
      </c>
      <c r="AJ87">
        <v>7.6085980160000002</v>
      </c>
      <c r="AK87">
        <v>7.52474913</v>
      </c>
      <c r="AL87">
        <v>7.4406611629999997</v>
      </c>
      <c r="AM87">
        <v>7.356762164</v>
      </c>
      <c r="AN87">
        <v>7.2351543359999999</v>
      </c>
      <c r="AO87">
        <v>7.1130808200000004</v>
      </c>
      <c r="AP87">
        <v>6.9937771350000002</v>
      </c>
      <c r="AQ87">
        <v>6.8783187689999998</v>
      </c>
      <c r="AR87">
        <v>6.7653578669999996</v>
      </c>
      <c r="AS87">
        <v>6.6553959599999999</v>
      </c>
      <c r="AT87">
        <v>6.5478519119999996</v>
      </c>
      <c r="AU87" s="100">
        <v>6.4421686840000003</v>
      </c>
      <c r="AV87" s="100">
        <v>6.3383883489999997</v>
      </c>
      <c r="AW87">
        <v>6.2357761500000004</v>
      </c>
    </row>
    <row r="88" spans="2:49" x14ac:dyDescent="0.25">
      <c r="B88" t="s">
        <v>389</v>
      </c>
      <c r="C88" s="100">
        <v>1.0609788529198101E-6</v>
      </c>
      <c r="D88" s="100">
        <v>1.0780132115867701E-6</v>
      </c>
      <c r="E88" s="100">
        <v>1.0953210600000001E-6</v>
      </c>
      <c r="F88" s="100">
        <v>1.28696919E-6</v>
      </c>
      <c r="G88" s="100">
        <v>2.3135476800000001E-6</v>
      </c>
      <c r="H88" s="100">
        <v>3.45730207E-6</v>
      </c>
      <c r="I88" s="100">
        <v>4.6463777000000001E-6</v>
      </c>
      <c r="J88" s="100">
        <v>6.1680443299999997E-6</v>
      </c>
      <c r="K88" s="100">
        <v>7.5496002100000002E-6</v>
      </c>
      <c r="L88" s="100">
        <v>8.7739965099999996E-6</v>
      </c>
      <c r="M88" s="100">
        <v>9.9683443300000004E-6</v>
      </c>
      <c r="N88" s="100">
        <v>1.06854332E-5</v>
      </c>
      <c r="O88" s="100">
        <v>1.1274487E-5</v>
      </c>
      <c r="P88" s="100">
        <v>1.1536209600000001E-5</v>
      </c>
      <c r="Q88" s="100">
        <v>1.2322001700000001E-5</v>
      </c>
      <c r="R88" s="100">
        <v>1.31975779E-5</v>
      </c>
      <c r="S88" s="100">
        <v>1.48808753E-5</v>
      </c>
      <c r="T88" s="100">
        <v>1.62314758E-5</v>
      </c>
      <c r="U88" s="100">
        <v>1.8427184000000002E-5</v>
      </c>
      <c r="V88" s="100">
        <v>2.0821972800000001E-5</v>
      </c>
      <c r="W88" s="100">
        <v>2.3324178300000001E-5</v>
      </c>
      <c r="X88" s="100">
        <v>2.4630173399999999E-5</v>
      </c>
      <c r="Y88" s="100">
        <v>2.6551134299999998E-5</v>
      </c>
      <c r="Z88" s="100">
        <v>2.8663190399999999E-5</v>
      </c>
      <c r="AA88" s="100">
        <v>3.08082456E-5</v>
      </c>
      <c r="AB88" s="100">
        <v>3.2915005300000001E-5</v>
      </c>
      <c r="AC88" s="100">
        <v>3.4133662299999999E-5</v>
      </c>
      <c r="AD88" s="100">
        <v>3.5802464800000003E-5</v>
      </c>
      <c r="AE88" s="100">
        <v>3.7680632199999997E-5</v>
      </c>
      <c r="AF88" s="100">
        <v>3.9533999000000002E-5</v>
      </c>
      <c r="AG88" s="100">
        <v>4.1332133300000002E-5</v>
      </c>
      <c r="AH88" s="100">
        <v>4.2743791699999999E-5</v>
      </c>
      <c r="AI88" s="100">
        <v>4.4215231000000001E-5</v>
      </c>
      <c r="AJ88" s="100">
        <v>4.5794860300000003E-5</v>
      </c>
      <c r="AK88" s="100">
        <v>4.7401218600000002E-5</v>
      </c>
      <c r="AL88" s="100">
        <v>4.9004013699999997E-5</v>
      </c>
      <c r="AM88" s="100">
        <v>5.0589494299999999E-5</v>
      </c>
      <c r="AN88" s="100">
        <v>5.20838705E-5</v>
      </c>
      <c r="AO88" s="100">
        <v>5.3517226499999999E-5</v>
      </c>
      <c r="AP88" s="100">
        <v>5.4924566799999999E-5</v>
      </c>
      <c r="AQ88" s="100">
        <v>5.6323723300000002E-5</v>
      </c>
      <c r="AR88" s="100">
        <v>5.7208783899999998E-5</v>
      </c>
      <c r="AS88" s="100">
        <v>5.834764E-5</v>
      </c>
      <c r="AT88" s="100">
        <v>5.9596785200000001E-5</v>
      </c>
      <c r="AU88" s="100">
        <v>6.0908079800000003E-5</v>
      </c>
      <c r="AV88" s="100">
        <v>6.22614309E-5</v>
      </c>
      <c r="AW88" s="100">
        <v>6.3649564700000004E-5</v>
      </c>
    </row>
    <row r="89" spans="2:49" x14ac:dyDescent="0.25">
      <c r="B89" t="s">
        <v>390</v>
      </c>
      <c r="C89">
        <v>0.26347077198670499</v>
      </c>
      <c r="D89">
        <v>0.26770088045298701</v>
      </c>
      <c r="E89">
        <v>0.27204382449999998</v>
      </c>
      <c r="F89">
        <v>0.3003008808</v>
      </c>
      <c r="G89">
        <v>0.29139846289999999</v>
      </c>
      <c r="H89">
        <v>0.2413730486</v>
      </c>
      <c r="I89">
        <v>0.24110250859999999</v>
      </c>
      <c r="J89">
        <v>0.2373219905</v>
      </c>
      <c r="K89">
        <v>0.25549245549999999</v>
      </c>
      <c r="L89">
        <v>0.25271232850000003</v>
      </c>
      <c r="M89">
        <v>0.25101789390000001</v>
      </c>
      <c r="N89">
        <v>0.24932108920000001</v>
      </c>
      <c r="O89">
        <v>0.2399765109</v>
      </c>
      <c r="P89">
        <v>0.2471877559</v>
      </c>
      <c r="Q89">
        <v>0.25425564</v>
      </c>
      <c r="R89">
        <v>0.26372888259999999</v>
      </c>
      <c r="S89">
        <v>0.27848137340000001</v>
      </c>
      <c r="T89">
        <v>0.33873707689999999</v>
      </c>
      <c r="U89">
        <v>0.38900252930000001</v>
      </c>
      <c r="V89">
        <v>0.43271584969999999</v>
      </c>
      <c r="W89">
        <v>0.46190278299999998</v>
      </c>
      <c r="X89">
        <v>0.59244307900000004</v>
      </c>
      <c r="Y89">
        <v>0.73547328010000002</v>
      </c>
      <c r="Z89">
        <v>0.88267753819999994</v>
      </c>
      <c r="AA89">
        <v>1.0294523600000001</v>
      </c>
      <c r="AB89">
        <v>1.1766679849999999</v>
      </c>
      <c r="AC89">
        <v>1.3262698399999999</v>
      </c>
      <c r="AD89">
        <v>1.5078947549999999</v>
      </c>
      <c r="AE89">
        <v>1.687759692</v>
      </c>
      <c r="AF89">
        <v>1.8714555719999999</v>
      </c>
      <c r="AG89">
        <v>2.056150744</v>
      </c>
      <c r="AH89">
        <v>2.2408263590000002</v>
      </c>
      <c r="AI89">
        <v>2.387311441</v>
      </c>
      <c r="AJ89">
        <v>2.5343117949999998</v>
      </c>
      <c r="AK89">
        <v>2.6817144829999999</v>
      </c>
      <c r="AL89">
        <v>2.8317046270000001</v>
      </c>
      <c r="AM89">
        <v>2.9846590700000002</v>
      </c>
      <c r="AN89">
        <v>3.0520687230000001</v>
      </c>
      <c r="AO89">
        <v>3.1255075670000001</v>
      </c>
      <c r="AP89">
        <v>3.201020427</v>
      </c>
      <c r="AQ89">
        <v>3.2787289720000001</v>
      </c>
      <c r="AR89">
        <v>3.3546721530000001</v>
      </c>
      <c r="AS89">
        <v>3.3893206569999998</v>
      </c>
      <c r="AT89">
        <v>3.4217211500000002</v>
      </c>
      <c r="AU89">
        <v>3.4533283560000001</v>
      </c>
      <c r="AV89">
        <v>3.4851373680000002</v>
      </c>
      <c r="AW89">
        <v>3.5181092309999999</v>
      </c>
    </row>
    <row r="90" spans="2:49" x14ac:dyDescent="0.25">
      <c r="B90" t="s">
        <v>391</v>
      </c>
      <c r="C90">
        <v>2318131524.4374599</v>
      </c>
      <c r="D90">
        <v>2355349875.8831902</v>
      </c>
      <c r="E90" s="100">
        <v>2393165780</v>
      </c>
      <c r="F90" s="100">
        <v>2417743066</v>
      </c>
      <c r="G90" s="100">
        <v>2442572755</v>
      </c>
      <c r="H90">
        <v>2467657440</v>
      </c>
      <c r="I90" s="100">
        <v>2492999739</v>
      </c>
      <c r="J90" s="100">
        <v>2518602297</v>
      </c>
      <c r="K90" s="100">
        <v>2544467789</v>
      </c>
      <c r="L90" s="100">
        <v>2570598913</v>
      </c>
      <c r="M90" s="10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2894524521</v>
      </c>
      <c r="X90" s="100">
        <v>2924411523</v>
      </c>
      <c r="Y90">
        <v>2953544095</v>
      </c>
      <c r="Z90">
        <v>2981851909</v>
      </c>
      <c r="AA90">
        <v>3009484025</v>
      </c>
      <c r="AB90">
        <v>3036284686</v>
      </c>
      <c r="AC90">
        <v>3062184172</v>
      </c>
      <c r="AD90">
        <v>3087964217</v>
      </c>
      <c r="AE90">
        <v>3113483048</v>
      </c>
      <c r="AF90">
        <v>3138686341</v>
      </c>
      <c r="AG90">
        <v>3163564425</v>
      </c>
      <c r="AH90">
        <v>3188384924</v>
      </c>
      <c r="AI90">
        <v>3212818008</v>
      </c>
      <c r="AJ90">
        <v>3236712515</v>
      </c>
      <c r="AK90">
        <v>3260337894</v>
      </c>
      <c r="AL90">
        <v>3283638812</v>
      </c>
      <c r="AM90">
        <v>3306510935</v>
      </c>
      <c r="AN90">
        <v>3328474335</v>
      </c>
      <c r="AO90">
        <v>3349315510</v>
      </c>
      <c r="AP90">
        <v>3369011741</v>
      </c>
      <c r="AQ90">
        <v>3387834688</v>
      </c>
      <c r="AR90">
        <v>3405571666</v>
      </c>
      <c r="AS90">
        <v>3422253727</v>
      </c>
      <c r="AT90">
        <v>3438013091</v>
      </c>
      <c r="AU90">
        <v>3452736286</v>
      </c>
      <c r="AV90">
        <v>3466409026</v>
      </c>
      <c r="AW90">
        <v>3479017918</v>
      </c>
    </row>
    <row r="91" spans="2:49" x14ac:dyDescent="0.25">
      <c r="B91" t="s">
        <v>392</v>
      </c>
      <c r="C91" s="100">
        <v>640398.31806251395</v>
      </c>
      <c r="D91">
        <v>650680.12020171306</v>
      </c>
      <c r="E91">
        <v>661127</v>
      </c>
      <c r="F91">
        <v>1873263.764</v>
      </c>
      <c r="G91" s="100">
        <v>3556578.47</v>
      </c>
      <c r="H91">
        <v>5352115.1430000002</v>
      </c>
      <c r="I91">
        <v>6916454.8820000002</v>
      </c>
      <c r="J91">
        <v>8504169.2860000003</v>
      </c>
      <c r="K91" s="100">
        <v>10262624.550000001</v>
      </c>
      <c r="L91" s="100">
        <v>12199400.810000001</v>
      </c>
      <c r="M91">
        <v>14305240.619999999</v>
      </c>
      <c r="N91" s="100">
        <v>16527656.119999999</v>
      </c>
      <c r="O91">
        <v>18587603.280000001</v>
      </c>
      <c r="P91">
        <v>20875551.98</v>
      </c>
      <c r="Q91">
        <v>23647643.98</v>
      </c>
      <c r="R91">
        <v>27618954.170000002</v>
      </c>
      <c r="S91">
        <v>32440808.98</v>
      </c>
      <c r="T91">
        <v>38212456.539999999</v>
      </c>
      <c r="U91">
        <v>44646775.200000003</v>
      </c>
      <c r="V91">
        <v>51507199.689999998</v>
      </c>
      <c r="W91">
        <v>57548013.420000002</v>
      </c>
      <c r="X91">
        <v>63081551.219999999</v>
      </c>
      <c r="Y91">
        <v>67789414.730000004</v>
      </c>
      <c r="Z91">
        <v>71552265.890000001</v>
      </c>
      <c r="AA91">
        <v>75262817.599999994</v>
      </c>
      <c r="AB91">
        <v>79228875.549999997</v>
      </c>
      <c r="AC91">
        <v>83656586.340000004</v>
      </c>
      <c r="AD91">
        <v>88687884.150000006</v>
      </c>
      <c r="AE91">
        <v>94345601.920000002</v>
      </c>
      <c r="AF91">
        <v>100621145.3</v>
      </c>
      <c r="AG91">
        <v>107531296</v>
      </c>
      <c r="AH91">
        <v>115112553.5</v>
      </c>
      <c r="AI91" s="100">
        <v>123377261.59999999</v>
      </c>
      <c r="AJ91">
        <v>132369556.5</v>
      </c>
      <c r="AK91">
        <v>142147613.5</v>
      </c>
      <c r="AL91" s="100">
        <v>152753645.30000001</v>
      </c>
      <c r="AM91">
        <v>164222932.09999999</v>
      </c>
      <c r="AN91">
        <v>176533433.69999999</v>
      </c>
      <c r="AO91">
        <v>189678931.90000001</v>
      </c>
      <c r="AP91">
        <v>203691278.40000001</v>
      </c>
      <c r="AQ91">
        <v>218619475.19999999</v>
      </c>
      <c r="AR91" s="100">
        <v>234435733.19999999</v>
      </c>
      <c r="AS91">
        <v>251151430.5</v>
      </c>
      <c r="AT91">
        <v>268852869.69999999</v>
      </c>
      <c r="AU91">
        <v>287541654.39999998</v>
      </c>
      <c r="AV91">
        <v>307225231.89999998</v>
      </c>
      <c r="AW91">
        <v>327901828.60000002</v>
      </c>
    </row>
    <row r="92" spans="2:49" x14ac:dyDescent="0.25">
      <c r="B92" t="s">
        <v>393</v>
      </c>
      <c r="C92" s="100">
        <v>41062689.603059798</v>
      </c>
      <c r="D92">
        <v>41721964.366740197</v>
      </c>
      <c r="E92">
        <v>42391824</v>
      </c>
      <c r="F92">
        <v>48313275.68</v>
      </c>
      <c r="G92" s="100">
        <v>55391001.670000002</v>
      </c>
      <c r="H92">
        <v>62855582.280000001</v>
      </c>
      <c r="I92">
        <v>69239204.200000003</v>
      </c>
      <c r="J92">
        <v>75841180.810000002</v>
      </c>
      <c r="K92" s="100">
        <v>83235640.489999995</v>
      </c>
      <c r="L92" s="100">
        <v>91784060.439999998</v>
      </c>
      <c r="M92">
        <v>100827653.40000001</v>
      </c>
      <c r="N92">
        <v>109847461.59999999</v>
      </c>
      <c r="O92">
        <v>117288273.8</v>
      </c>
      <c r="P92">
        <v>125219411.5</v>
      </c>
      <c r="Q92">
        <v>134461746.09999999</v>
      </c>
      <c r="R92">
        <v>148312200.40000001</v>
      </c>
      <c r="S92">
        <v>164023572.90000001</v>
      </c>
      <c r="T92">
        <v>182591413.59999999</v>
      </c>
      <c r="U92">
        <v>201359151.90000001</v>
      </c>
      <c r="V92">
        <v>220563907.5</v>
      </c>
      <c r="W92">
        <v>236367635.30000001</v>
      </c>
      <c r="X92">
        <v>251047116</v>
      </c>
      <c r="Y92">
        <v>262849112.09999999</v>
      </c>
      <c r="Z92">
        <v>272268789.39999998</v>
      </c>
      <c r="AA92">
        <v>281271531.89999998</v>
      </c>
      <c r="AB92">
        <v>290670738.30000001</v>
      </c>
      <c r="AC92">
        <v>300942574.60000002</v>
      </c>
      <c r="AD92">
        <v>312306629.89999998</v>
      </c>
      <c r="AE92">
        <v>324731236.30000001</v>
      </c>
      <c r="AF92">
        <v>338098741.89999998</v>
      </c>
      <c r="AG92">
        <v>352344948.39999998</v>
      </c>
      <c r="AH92">
        <v>367426437.89999998</v>
      </c>
      <c r="AI92">
        <v>383282377.60000002</v>
      </c>
      <c r="AJ92">
        <v>399886520.30000001</v>
      </c>
      <c r="AK92">
        <v>417206328.39999998</v>
      </c>
      <c r="AL92">
        <v>435202224.89999998</v>
      </c>
      <c r="AM92">
        <v>453825532.39999998</v>
      </c>
      <c r="AN92">
        <v>472960129.10000002</v>
      </c>
      <c r="AO92">
        <v>492528070.39999998</v>
      </c>
      <c r="AP92">
        <v>512441909.30000001</v>
      </c>
      <c r="AQ92">
        <v>532670926.80000001</v>
      </c>
      <c r="AR92">
        <v>553092197.70000005</v>
      </c>
      <c r="AS92">
        <v>573642379</v>
      </c>
      <c r="AT92">
        <v>594356998.29999995</v>
      </c>
      <c r="AU92">
        <v>615154495.10000002</v>
      </c>
      <c r="AV92">
        <v>635959400.10000002</v>
      </c>
      <c r="AW92">
        <v>656686088.70000005</v>
      </c>
    </row>
    <row r="93" spans="2:49" x14ac:dyDescent="0.25">
      <c r="B93" t="s">
        <v>394</v>
      </c>
      <c r="C93" s="100">
        <v>291506404.18067801</v>
      </c>
      <c r="D93" s="100">
        <v>296186633.79021603</v>
      </c>
      <c r="E93" s="100">
        <v>300942006</v>
      </c>
      <c r="F93" s="100">
        <v>329947512.80000001</v>
      </c>
      <c r="G93">
        <v>360030544.89999998</v>
      </c>
      <c r="H93">
        <v>390075618.89999998</v>
      </c>
      <c r="I93">
        <v>415183227.19999999</v>
      </c>
      <c r="J93">
        <v>440205726.39999998</v>
      </c>
      <c r="K93" s="100">
        <v>467801831.30000001</v>
      </c>
      <c r="L93" s="100">
        <v>497857154.60000002</v>
      </c>
      <c r="M93">
        <v>526970152</v>
      </c>
      <c r="N93">
        <v>552505194.10000002</v>
      </c>
      <c r="O93">
        <v>573103739.39999998</v>
      </c>
      <c r="P93">
        <v>590452135</v>
      </c>
      <c r="Q93">
        <v>609000821.5</v>
      </c>
      <c r="R93">
        <v>632640413.10000002</v>
      </c>
      <c r="S93">
        <v>657380389.79999995</v>
      </c>
      <c r="T93">
        <v>682787702.5</v>
      </c>
      <c r="U93">
        <v>706447832.70000005</v>
      </c>
      <c r="V93">
        <v>729295765</v>
      </c>
      <c r="W93">
        <v>748499723.79999995</v>
      </c>
      <c r="X93">
        <v>765382342.79999995</v>
      </c>
      <c r="Y93">
        <v>779385735.5</v>
      </c>
      <c r="Z93">
        <v>791455168.20000005</v>
      </c>
      <c r="AA93">
        <v>802472826.70000005</v>
      </c>
      <c r="AB93">
        <v>812859460.60000002</v>
      </c>
      <c r="AC93">
        <v>822784817.39999998</v>
      </c>
      <c r="AD93">
        <v>832602348.70000005</v>
      </c>
      <c r="AE93">
        <v>842251089.10000002</v>
      </c>
      <c r="AF93">
        <v>851665593.29999995</v>
      </c>
      <c r="AG93">
        <v>860811021.60000002</v>
      </c>
      <c r="AH93">
        <v>869741816.20000005</v>
      </c>
      <c r="AI93">
        <v>878291262.89999998</v>
      </c>
      <c r="AJ93">
        <v>886314480.60000002</v>
      </c>
      <c r="AK93">
        <v>893813894.29999995</v>
      </c>
      <c r="AL93">
        <v>900719062</v>
      </c>
      <c r="AM93">
        <v>906964305.70000005</v>
      </c>
      <c r="AN93">
        <v>912400633.5</v>
      </c>
      <c r="AO93">
        <v>917056147.5</v>
      </c>
      <c r="AP93">
        <v>920931166</v>
      </c>
      <c r="AQ93">
        <v>924105931.60000002</v>
      </c>
      <c r="AR93">
        <v>926498295.10000002</v>
      </c>
      <c r="AS93">
        <v>928126478.60000002</v>
      </c>
      <c r="AT93">
        <v>929081492.70000005</v>
      </c>
      <c r="AU93">
        <v>929343256.70000005</v>
      </c>
      <c r="AV93">
        <v>928902540.60000002</v>
      </c>
      <c r="AW93">
        <v>927744203.20000005</v>
      </c>
    </row>
    <row r="94" spans="2:49" x14ac:dyDescent="0.25">
      <c r="B94" t="s">
        <v>395</v>
      </c>
      <c r="C94" s="100">
        <v>640671991.67983496</v>
      </c>
      <c r="D94" s="100">
        <v>650958187.73748195</v>
      </c>
      <c r="E94" s="100">
        <v>661409532</v>
      </c>
      <c r="F94" s="100">
        <v>679066305.89999998</v>
      </c>
      <c r="G94" s="100">
        <v>696820560.20000005</v>
      </c>
      <c r="H94" s="100">
        <v>714812255.60000002</v>
      </c>
      <c r="I94" s="100">
        <v>730318855.79999995</v>
      </c>
      <c r="J94" s="100">
        <v>745963066.89999998</v>
      </c>
      <c r="K94" s="100">
        <v>763535289</v>
      </c>
      <c r="L94" s="100">
        <v>782503515.29999995</v>
      </c>
      <c r="M94" s="100">
        <v>800538212.89999998</v>
      </c>
      <c r="N94" s="100">
        <v>815873435.20000005</v>
      </c>
      <c r="O94" s="100">
        <v>829726843.79999995</v>
      </c>
      <c r="P94" s="100">
        <v>840710676</v>
      </c>
      <c r="Q94" s="100">
        <v>851792184.70000005</v>
      </c>
      <c r="R94" s="100">
        <v>862424408.79999995</v>
      </c>
      <c r="S94">
        <v>872668840.29999995</v>
      </c>
      <c r="T94">
        <v>880811007.70000005</v>
      </c>
      <c r="U94">
        <v>887910488.70000005</v>
      </c>
      <c r="V94">
        <v>894884292</v>
      </c>
      <c r="W94">
        <v>902989044.29999995</v>
      </c>
      <c r="X94">
        <v>910551101.70000005</v>
      </c>
      <c r="Y94">
        <v>918823204.79999995</v>
      </c>
      <c r="Z94">
        <v>927857349</v>
      </c>
      <c r="AA94" s="100">
        <v>936445984.89999998</v>
      </c>
      <c r="AB94" s="100">
        <v>944074700.79999995</v>
      </c>
      <c r="AC94" s="100">
        <v>950373775.70000005</v>
      </c>
      <c r="AD94" s="100">
        <v>955607587.60000002</v>
      </c>
      <c r="AE94" s="100">
        <v>959709944.70000005</v>
      </c>
      <c r="AF94" s="100">
        <v>962719518.70000005</v>
      </c>
      <c r="AG94" s="100">
        <v>964655206.29999995</v>
      </c>
      <c r="AH94" s="100">
        <v>965669854</v>
      </c>
      <c r="AI94" s="100">
        <v>965589402.60000002</v>
      </c>
      <c r="AJ94" s="100">
        <v>964289120</v>
      </c>
      <c r="AK94" s="100">
        <v>961873627.79999995</v>
      </c>
      <c r="AL94" s="100">
        <v>958292506.70000005</v>
      </c>
      <c r="AM94" s="100">
        <v>953490765.79999995</v>
      </c>
      <c r="AN94" s="100">
        <v>947304736.5</v>
      </c>
      <c r="AO94" s="100">
        <v>939733658.89999998</v>
      </c>
      <c r="AP94" s="100">
        <v>930843779.70000005</v>
      </c>
      <c r="AQ94" s="100">
        <v>920787167.10000002</v>
      </c>
      <c r="AR94" s="100">
        <v>909558418.5</v>
      </c>
      <c r="AS94" s="100">
        <v>897233308.79999995</v>
      </c>
      <c r="AT94" s="100">
        <v>883854962.10000002</v>
      </c>
      <c r="AU94" s="100">
        <v>869455609.60000002</v>
      </c>
      <c r="AV94" s="100">
        <v>854101670.79999995</v>
      </c>
      <c r="AW94">
        <v>839353179.10000002</v>
      </c>
    </row>
    <row r="95" spans="2:49" x14ac:dyDescent="0.25">
      <c r="B95" t="s">
        <v>396</v>
      </c>
      <c r="C95">
        <v>762047427.55376601</v>
      </c>
      <c r="D95">
        <v>774282345.494367</v>
      </c>
      <c r="E95">
        <v>786713699</v>
      </c>
      <c r="F95">
        <v>767713813.79999995</v>
      </c>
      <c r="G95" s="100">
        <v>747563093.29999995</v>
      </c>
      <c r="H95" s="100">
        <v>727533772</v>
      </c>
      <c r="I95" s="100">
        <v>712574824.20000005</v>
      </c>
      <c r="J95" s="100">
        <v>697836970.60000002</v>
      </c>
      <c r="K95" s="100">
        <v>680687063.79999995</v>
      </c>
      <c r="L95" s="100">
        <v>661283644.60000002</v>
      </c>
      <c r="M95" s="100">
        <v>642840274.20000005</v>
      </c>
      <c r="N95">
        <v>627845205.79999995</v>
      </c>
      <c r="O95">
        <v>619144813.29999995</v>
      </c>
      <c r="P95">
        <v>613456185.5</v>
      </c>
      <c r="Q95">
        <v>606396300.29999995</v>
      </c>
      <c r="R95">
        <v>593293626.10000002</v>
      </c>
      <c r="S95">
        <v>578496921</v>
      </c>
      <c r="T95">
        <v>562206567.10000002</v>
      </c>
      <c r="U95">
        <v>546936296.29999995</v>
      </c>
      <c r="V95">
        <v>532821623.80000001</v>
      </c>
      <c r="W95">
        <v>522502926.5</v>
      </c>
      <c r="X95">
        <v>514233449.39999998</v>
      </c>
      <c r="Y95">
        <v>508820505.19999999</v>
      </c>
      <c r="Z95">
        <v>505491148</v>
      </c>
      <c r="AA95">
        <v>502880630</v>
      </c>
      <c r="AB95">
        <v>500340752.5</v>
      </c>
      <c r="AC95">
        <v>497563188.60000002</v>
      </c>
      <c r="AD95">
        <v>494439215.60000002</v>
      </c>
      <c r="AE95">
        <v>490972271</v>
      </c>
      <c r="AF95">
        <v>487222529.89999998</v>
      </c>
      <c r="AG95" s="100">
        <v>483222672.5</v>
      </c>
      <c r="AH95" s="100">
        <v>479012207.80000001</v>
      </c>
      <c r="AI95">
        <v>474624346.80000001</v>
      </c>
      <c r="AJ95" s="100">
        <v>470110896.10000002</v>
      </c>
      <c r="AK95" s="100">
        <v>465542051.60000002</v>
      </c>
      <c r="AL95">
        <v>460948730.60000002</v>
      </c>
      <c r="AM95">
        <v>456344861</v>
      </c>
      <c r="AN95" s="100">
        <v>451715257.89999998</v>
      </c>
      <c r="AO95" s="100">
        <v>446980224.30000001</v>
      </c>
      <c r="AP95" s="100">
        <v>442122617.5</v>
      </c>
      <c r="AQ95" s="100">
        <v>437153386.69999999</v>
      </c>
      <c r="AR95" s="100">
        <v>432085512.89999998</v>
      </c>
      <c r="AS95">
        <v>426912307.39999998</v>
      </c>
      <c r="AT95">
        <v>421564950.60000002</v>
      </c>
      <c r="AU95">
        <v>416018544.5</v>
      </c>
      <c r="AV95">
        <v>410270897.5</v>
      </c>
      <c r="AW95">
        <v>404328029.89999998</v>
      </c>
    </row>
    <row r="96" spans="2:49" x14ac:dyDescent="0.25">
      <c r="B96" t="s">
        <v>397</v>
      </c>
      <c r="C96">
        <v>399231640.45290101</v>
      </c>
      <c r="D96">
        <v>405641433.57550502</v>
      </c>
      <c r="E96">
        <v>412154138</v>
      </c>
      <c r="F96">
        <v>399772763.5</v>
      </c>
      <c r="G96" s="100">
        <v>386967517</v>
      </c>
      <c r="H96" s="100">
        <v>374327063</v>
      </c>
      <c r="I96" s="100">
        <v>364699601.80000001</v>
      </c>
      <c r="J96" s="100">
        <v>355232997.60000002</v>
      </c>
      <c r="K96" s="100">
        <v>344366769.10000002</v>
      </c>
      <c r="L96" s="100">
        <v>332304261.10000002</v>
      </c>
      <c r="M96">
        <v>321006188.5</v>
      </c>
      <c r="N96">
        <v>311915137.80000001</v>
      </c>
      <c r="O96">
        <v>306453590.39999998</v>
      </c>
      <c r="P96">
        <v>302864635.69999999</v>
      </c>
      <c r="Q96">
        <v>298634215.10000002</v>
      </c>
      <c r="R96">
        <v>291390849.5</v>
      </c>
      <c r="S96">
        <v>283370724.5</v>
      </c>
      <c r="T96">
        <v>274794736</v>
      </c>
      <c r="U96">
        <v>266814490.69999999</v>
      </c>
      <c r="V96">
        <v>259511144.30000001</v>
      </c>
      <c r="W96">
        <v>254017900.40000001</v>
      </c>
      <c r="X96">
        <v>249572964</v>
      </c>
      <c r="Y96">
        <v>246478281.40000001</v>
      </c>
      <c r="Z96">
        <v>244341922</v>
      </c>
      <c r="AA96">
        <v>242587494.69999999</v>
      </c>
      <c r="AB96">
        <v>240924710.30000001</v>
      </c>
      <c r="AC96">
        <v>239217778.80000001</v>
      </c>
      <c r="AD96">
        <v>237413781.5</v>
      </c>
      <c r="AE96">
        <v>235504905</v>
      </c>
      <c r="AF96">
        <v>233507860.09999999</v>
      </c>
      <c r="AG96">
        <v>231428869.59999999</v>
      </c>
      <c r="AH96">
        <v>229279413.5</v>
      </c>
      <c r="AI96">
        <v>227071561.90000001</v>
      </c>
      <c r="AJ96">
        <v>224833032.5</v>
      </c>
      <c r="AK96">
        <v>222595455.69999999</v>
      </c>
      <c r="AL96">
        <v>220370001.59999999</v>
      </c>
      <c r="AM96">
        <v>218158514.80000001</v>
      </c>
      <c r="AN96">
        <v>215945837.59999999</v>
      </c>
      <c r="AO96">
        <v>213680065.40000001</v>
      </c>
      <c r="AP96">
        <v>211344393</v>
      </c>
      <c r="AQ96">
        <v>208939160.30000001</v>
      </c>
      <c r="AR96">
        <v>206467582.90000001</v>
      </c>
      <c r="AS96">
        <v>203923039.09999999</v>
      </c>
      <c r="AT96">
        <v>201269297.5</v>
      </c>
      <c r="AU96">
        <v>198491955.5</v>
      </c>
      <c r="AV96">
        <v>195589237.59999999</v>
      </c>
      <c r="AW96">
        <v>192564206</v>
      </c>
    </row>
    <row r="97" spans="2:49" x14ac:dyDescent="0.25">
      <c r="B97" t="s">
        <v>398</v>
      </c>
      <c r="C97">
        <v>182970972.649156</v>
      </c>
      <c r="D97" s="100">
        <v>185908630.79867601</v>
      </c>
      <c r="E97" s="100">
        <v>188893454</v>
      </c>
      <c r="F97" s="100">
        <v>191056130.5</v>
      </c>
      <c r="G97">
        <v>192243459.5</v>
      </c>
      <c r="H97">
        <v>192701032.90000001</v>
      </c>
      <c r="I97" s="100">
        <v>194067570.5</v>
      </c>
      <c r="J97" s="100">
        <v>195018185.80000001</v>
      </c>
      <c r="K97" s="100">
        <v>194578570.30000001</v>
      </c>
      <c r="L97" s="100">
        <v>192666876.09999999</v>
      </c>
      <c r="M97">
        <v>190510676.30000001</v>
      </c>
      <c r="N97">
        <v>189154909.40000001</v>
      </c>
      <c r="O97" s="100">
        <v>189683581.90000001</v>
      </c>
      <c r="P97">
        <v>191079671.40000001</v>
      </c>
      <c r="Q97">
        <v>191749601</v>
      </c>
      <c r="R97">
        <v>189786673.40000001</v>
      </c>
      <c r="S97">
        <v>186770482</v>
      </c>
      <c r="T97">
        <v>182825687.90000001</v>
      </c>
      <c r="U97">
        <v>178942541.5</v>
      </c>
      <c r="V97">
        <v>175199257.09999999</v>
      </c>
      <c r="W97">
        <v>172599277.40000001</v>
      </c>
      <c r="X97">
        <v>170542997.69999999</v>
      </c>
      <c r="Y97">
        <v>169397841.5</v>
      </c>
      <c r="Z97">
        <v>168885266.80000001</v>
      </c>
      <c r="AA97">
        <v>168562739.30000001</v>
      </c>
      <c r="AB97">
        <v>168185448</v>
      </c>
      <c r="AC97">
        <v>167645450.80000001</v>
      </c>
      <c r="AD97">
        <v>166906769.80000001</v>
      </c>
      <c r="AE97">
        <v>165967999.40000001</v>
      </c>
      <c r="AF97">
        <v>164850952</v>
      </c>
      <c r="AG97">
        <v>163570410.59999999</v>
      </c>
      <c r="AH97">
        <v>162142641.40000001</v>
      </c>
      <c r="AI97">
        <v>160581794.90000001</v>
      </c>
      <c r="AJ97">
        <v>158908909.19999999</v>
      </c>
      <c r="AK97">
        <v>157158922.30000001</v>
      </c>
      <c r="AL97">
        <v>155352641.09999999</v>
      </c>
      <c r="AM97">
        <v>153504022.90000001</v>
      </c>
      <c r="AN97">
        <v>151614306.69999999</v>
      </c>
      <c r="AO97">
        <v>149658411.5</v>
      </c>
      <c r="AP97">
        <v>147636596.69999999</v>
      </c>
      <c r="AQ97">
        <v>145558640</v>
      </c>
      <c r="AR97">
        <v>143433925.90000001</v>
      </c>
      <c r="AS97">
        <v>141264784</v>
      </c>
      <c r="AT97">
        <v>139032519.69999999</v>
      </c>
      <c r="AU97">
        <v>136730770.09999999</v>
      </c>
      <c r="AV97">
        <v>134360047.40000001</v>
      </c>
      <c r="AW97">
        <v>131923338.3</v>
      </c>
    </row>
    <row r="98" spans="2:49" x14ac:dyDescent="0.25">
      <c r="B98" s="62" t="s">
        <v>399</v>
      </c>
      <c r="C98">
        <v>651205.12405279896</v>
      </c>
      <c r="D98">
        <v>661660.432957732</v>
      </c>
      <c r="E98">
        <v>672283.60519999999</v>
      </c>
      <c r="F98">
        <v>690924.66559999995</v>
      </c>
      <c r="G98">
        <v>678581.71100000001</v>
      </c>
      <c r="H98">
        <v>619435.65870000003</v>
      </c>
      <c r="I98">
        <v>636180.69220000005</v>
      </c>
      <c r="J98">
        <v>653802.57869999995</v>
      </c>
      <c r="K98">
        <v>644454.95090000005</v>
      </c>
      <c r="L98">
        <v>636957.33299999998</v>
      </c>
      <c r="M98">
        <v>640329.71609999996</v>
      </c>
      <c r="N98">
        <v>649163.82010000001</v>
      </c>
      <c r="O98">
        <v>659683.12349999999</v>
      </c>
      <c r="P98">
        <v>687399.4203</v>
      </c>
      <c r="Q98">
        <v>700150.70160000003</v>
      </c>
      <c r="R98">
        <v>714944.25320000004</v>
      </c>
      <c r="S98">
        <v>711497.79639999999</v>
      </c>
      <c r="T98">
        <v>720819.42059999995</v>
      </c>
      <c r="U98">
        <v>729977.59439999994</v>
      </c>
      <c r="V98">
        <v>745376.12670000002</v>
      </c>
      <c r="W98">
        <v>743896.55980000005</v>
      </c>
      <c r="X98">
        <v>739760.43920000002</v>
      </c>
      <c r="Y98">
        <v>737247.00659999996</v>
      </c>
      <c r="Z98">
        <v>736945.19129999995</v>
      </c>
      <c r="AA98">
        <v>736575.37580000004</v>
      </c>
      <c r="AB98">
        <v>736571.21530000004</v>
      </c>
      <c r="AC98">
        <v>736703.15419999999</v>
      </c>
      <c r="AD98">
        <v>742501.10250000004</v>
      </c>
      <c r="AE98">
        <v>746977.73829999997</v>
      </c>
      <c r="AF98">
        <v>752267.63970000006</v>
      </c>
      <c r="AG98">
        <v>757420.18799999997</v>
      </c>
      <c r="AH98">
        <v>762495.28700000001</v>
      </c>
      <c r="AI98">
        <v>770242.37719999999</v>
      </c>
      <c r="AJ98">
        <v>777794.95299999998</v>
      </c>
      <c r="AK98">
        <v>785144.7513</v>
      </c>
      <c r="AL98">
        <v>792721.90110000002</v>
      </c>
      <c r="AM98">
        <v>800539.19940000004</v>
      </c>
      <c r="AN98">
        <v>808225.68480000005</v>
      </c>
      <c r="AO98">
        <v>817171.29070000001</v>
      </c>
      <c r="AP98">
        <v>826449.4523</v>
      </c>
      <c r="AQ98">
        <v>836153.64419999998</v>
      </c>
      <c r="AR98">
        <v>845323.81839999999</v>
      </c>
      <c r="AS98">
        <v>855902.06339999998</v>
      </c>
      <c r="AT98">
        <v>866076.61399999994</v>
      </c>
      <c r="AU98">
        <v>876097.87419999996</v>
      </c>
      <c r="AV98">
        <v>886173.7389</v>
      </c>
      <c r="AW98">
        <v>896649.43770000001</v>
      </c>
    </row>
    <row r="99" spans="2:49" x14ac:dyDescent="0.25">
      <c r="B99" t="s">
        <v>400</v>
      </c>
      <c r="C99">
        <v>11699515.674308199</v>
      </c>
      <c r="D99">
        <v>11887355.182774801</v>
      </c>
      <c r="E99">
        <v>12078210.52</v>
      </c>
      <c r="F99">
        <v>12394208.23</v>
      </c>
      <c r="G99">
        <v>12130936.02</v>
      </c>
      <c r="H99">
        <v>11018218.310000001</v>
      </c>
      <c r="I99">
        <v>11233802.220000001</v>
      </c>
      <c r="J99">
        <v>11656711.98</v>
      </c>
      <c r="K99">
        <v>11446952.24</v>
      </c>
      <c r="L99">
        <v>11263843.59</v>
      </c>
      <c r="M99">
        <v>11300821.92</v>
      </c>
      <c r="N99">
        <v>11409654.07</v>
      </c>
      <c r="O99">
        <v>11619492.98</v>
      </c>
      <c r="P99">
        <v>12136393.41</v>
      </c>
      <c r="Q99">
        <v>12362443.25</v>
      </c>
      <c r="R99">
        <v>12640256.91</v>
      </c>
      <c r="S99">
        <v>12353989.869999999</v>
      </c>
      <c r="T99">
        <v>12672059.98</v>
      </c>
      <c r="U99">
        <v>12760212.220000001</v>
      </c>
      <c r="V99">
        <v>13077627.93</v>
      </c>
      <c r="W99">
        <v>13041473.800000001</v>
      </c>
      <c r="X99">
        <v>13027370.08</v>
      </c>
      <c r="Y99">
        <v>12869924.869999999</v>
      </c>
      <c r="Z99">
        <v>12810331.32</v>
      </c>
      <c r="AA99">
        <v>12775756.82</v>
      </c>
      <c r="AB99">
        <v>12748282.57</v>
      </c>
      <c r="AC99">
        <v>12756298.17</v>
      </c>
      <c r="AD99">
        <v>12806022.810000001</v>
      </c>
      <c r="AE99" s="100">
        <v>12847450.470000001</v>
      </c>
      <c r="AF99" s="100">
        <v>12909848.99</v>
      </c>
      <c r="AG99">
        <v>12964716.369999999</v>
      </c>
      <c r="AH99">
        <v>13053954.710000001</v>
      </c>
      <c r="AI99">
        <v>13139990.27</v>
      </c>
      <c r="AJ99" s="100">
        <v>13217113.1</v>
      </c>
      <c r="AK99">
        <v>13308648.43</v>
      </c>
      <c r="AL99">
        <v>13404716.359999999</v>
      </c>
      <c r="AM99">
        <v>13502427</v>
      </c>
      <c r="AN99">
        <v>13575383.73</v>
      </c>
      <c r="AO99">
        <v>13669297.890000001</v>
      </c>
      <c r="AP99">
        <v>13764162.48</v>
      </c>
      <c r="AQ99">
        <v>13877509.210000001</v>
      </c>
      <c r="AR99">
        <v>13987132.01</v>
      </c>
      <c r="AS99">
        <v>14097316.85</v>
      </c>
      <c r="AT99">
        <v>14205024.77</v>
      </c>
      <c r="AU99">
        <v>14304142.82</v>
      </c>
      <c r="AV99">
        <v>14403529.73</v>
      </c>
      <c r="AW99">
        <v>14559847.949999999</v>
      </c>
    </row>
    <row r="100" spans="2:49" x14ac:dyDescent="0.25">
      <c r="B100" t="s">
        <v>401</v>
      </c>
      <c r="C100">
        <v>12350720.798361</v>
      </c>
      <c r="D100">
        <v>12549015.615732601</v>
      </c>
      <c r="E100">
        <v>12750494.119999999</v>
      </c>
      <c r="F100">
        <v>13085132.9</v>
      </c>
      <c r="G100" s="100">
        <v>12809517.73</v>
      </c>
      <c r="H100">
        <v>11637653.970000001</v>
      </c>
      <c r="I100">
        <v>11869982.91</v>
      </c>
      <c r="J100">
        <v>12310514.560000001</v>
      </c>
      <c r="K100" s="100">
        <v>12091407.189999999</v>
      </c>
      <c r="L100" s="100">
        <v>11900800.92</v>
      </c>
      <c r="M100" s="100">
        <v>11941151.640000001</v>
      </c>
      <c r="N100">
        <v>12058817.890000001</v>
      </c>
      <c r="O100">
        <v>12279176.1</v>
      </c>
      <c r="P100">
        <v>12823792.83</v>
      </c>
      <c r="Q100">
        <v>13062593.949999999</v>
      </c>
      <c r="R100">
        <v>13355201.16</v>
      </c>
      <c r="S100">
        <v>13065487.67</v>
      </c>
      <c r="T100">
        <v>13392879.4</v>
      </c>
      <c r="U100">
        <v>13490189.82</v>
      </c>
      <c r="V100">
        <v>13823004.060000001</v>
      </c>
      <c r="W100">
        <v>13785370.359999999</v>
      </c>
      <c r="X100">
        <v>13767130.52</v>
      </c>
      <c r="Y100">
        <v>13607171.880000001</v>
      </c>
      <c r="Z100">
        <v>13547276.51</v>
      </c>
      <c r="AA100">
        <v>13512332.189999999</v>
      </c>
      <c r="AB100">
        <v>13484853.789999999</v>
      </c>
      <c r="AC100">
        <v>13493001.32</v>
      </c>
      <c r="AD100">
        <v>13548523.91</v>
      </c>
      <c r="AE100">
        <v>13594428.210000001</v>
      </c>
      <c r="AF100">
        <v>13662116.630000001</v>
      </c>
      <c r="AG100">
        <v>13722136.560000001</v>
      </c>
      <c r="AH100">
        <v>13816450</v>
      </c>
      <c r="AI100">
        <v>13910232.65</v>
      </c>
      <c r="AJ100">
        <v>13994908.050000001</v>
      </c>
      <c r="AK100">
        <v>14093793.18</v>
      </c>
      <c r="AL100">
        <v>14197438.26</v>
      </c>
      <c r="AM100">
        <v>14302966.199999999</v>
      </c>
      <c r="AN100">
        <v>14383609.42</v>
      </c>
      <c r="AO100">
        <v>14486469.18</v>
      </c>
      <c r="AP100">
        <v>14590611.93</v>
      </c>
      <c r="AQ100">
        <v>14713662.85</v>
      </c>
      <c r="AR100">
        <v>14832455.83</v>
      </c>
      <c r="AS100">
        <v>14953218.92</v>
      </c>
      <c r="AT100">
        <v>15071101.380000001</v>
      </c>
      <c r="AU100">
        <v>15180240.689999999</v>
      </c>
      <c r="AV100">
        <v>15289703.470000001</v>
      </c>
      <c r="AW100">
        <v>15456497.390000001</v>
      </c>
    </row>
    <row r="101" spans="2:49" x14ac:dyDescent="0.25">
      <c r="B101" t="s">
        <v>402</v>
      </c>
      <c r="C101" s="100">
        <v>144913116.15770999</v>
      </c>
      <c r="D101" s="100">
        <v>147239743.11109701</v>
      </c>
      <c r="E101" s="100">
        <v>149603724.80000001</v>
      </c>
      <c r="F101">
        <v>149826091.80000001</v>
      </c>
      <c r="G101">
        <v>144562945.19999999</v>
      </c>
      <c r="H101">
        <v>144204673.80000001</v>
      </c>
      <c r="I101">
        <v>141803854.30000001</v>
      </c>
      <c r="J101">
        <v>138069123.19999999</v>
      </c>
      <c r="K101">
        <v>133839973</v>
      </c>
      <c r="L101">
        <v>130708207</v>
      </c>
      <c r="M101">
        <v>128402047.40000001</v>
      </c>
      <c r="N101">
        <v>126895479.90000001</v>
      </c>
      <c r="O101">
        <v>126925006.3</v>
      </c>
      <c r="P101">
        <v>125328769.3</v>
      </c>
      <c r="Q101">
        <v>122510596.7</v>
      </c>
      <c r="R101">
        <v>120695159.7</v>
      </c>
      <c r="S101">
        <v>119425361.09999999</v>
      </c>
      <c r="T101">
        <v>116828108.3</v>
      </c>
      <c r="U101">
        <v>114224163.5</v>
      </c>
      <c r="V101">
        <v>111366957.40000001</v>
      </c>
      <c r="W101">
        <v>111305293.59999999</v>
      </c>
      <c r="X101">
        <v>110392287.40000001</v>
      </c>
      <c r="Y101">
        <v>108699624.09999999</v>
      </c>
      <c r="Z101">
        <v>107594770</v>
      </c>
      <c r="AA101">
        <v>106425542.90000001</v>
      </c>
      <c r="AB101">
        <v>105275232.8</v>
      </c>
      <c r="AC101">
        <v>103531042.09999999</v>
      </c>
      <c r="AD101">
        <v>102125174.59999999</v>
      </c>
      <c r="AE101">
        <v>101035015.3</v>
      </c>
      <c r="AF101">
        <v>99896712.870000005</v>
      </c>
      <c r="AG101">
        <v>98701544.200000003</v>
      </c>
      <c r="AH101">
        <v>97456671.439999998</v>
      </c>
      <c r="AI101">
        <v>96190313.549999997</v>
      </c>
      <c r="AJ101">
        <v>94994091.859999999</v>
      </c>
      <c r="AK101">
        <v>93814462.930000007</v>
      </c>
      <c r="AL101">
        <v>92636162.260000005</v>
      </c>
      <c r="AM101">
        <v>91459550.510000005</v>
      </c>
      <c r="AN101">
        <v>90170263.430000007</v>
      </c>
      <c r="AO101">
        <v>88835375.530000001</v>
      </c>
      <c r="AP101">
        <v>87466973.349999994</v>
      </c>
      <c r="AQ101">
        <v>86075812.299999997</v>
      </c>
      <c r="AR101">
        <v>84496887.609999999</v>
      </c>
      <c r="AS101">
        <v>82976907.299999997</v>
      </c>
      <c r="AT101">
        <v>81461282.019999996</v>
      </c>
      <c r="AU101" s="100">
        <v>79935178.239999995</v>
      </c>
      <c r="AV101" s="100">
        <v>78392725.150000006</v>
      </c>
      <c r="AW101">
        <v>76846324.430000007</v>
      </c>
    </row>
    <row r="102" spans="2:49" x14ac:dyDescent="0.25">
      <c r="B102" t="s">
        <v>403</v>
      </c>
      <c r="C102" s="100">
        <v>1098851.8998263199</v>
      </c>
      <c r="D102" s="100">
        <v>1116494.32251175</v>
      </c>
      <c r="E102" s="100">
        <v>1134420</v>
      </c>
      <c r="F102" s="100">
        <v>1125145.925</v>
      </c>
      <c r="G102" s="100">
        <v>1112721.0549999999</v>
      </c>
      <c r="H102" s="100">
        <v>1098672.2069999999</v>
      </c>
      <c r="I102">
        <v>1090791.2890000001</v>
      </c>
      <c r="J102" s="100">
        <v>1082090.4979999999</v>
      </c>
      <c r="K102" s="100">
        <v>1068163.8529999999</v>
      </c>
      <c r="L102" s="100">
        <v>1048976.1950000001</v>
      </c>
      <c r="M102" s="100">
        <v>1030031.674</v>
      </c>
      <c r="N102" s="100">
        <v>1015770.224</v>
      </c>
      <c r="O102">
        <v>1011115.357</v>
      </c>
      <c r="P102">
        <v>1010878.8810000001</v>
      </c>
      <c r="Q102">
        <v>1007863.192</v>
      </c>
      <c r="R102">
        <v>993783.49549999996</v>
      </c>
      <c r="S102">
        <v>975844.853</v>
      </c>
      <c r="T102">
        <v>954446.10569999996</v>
      </c>
      <c r="U102">
        <v>933923.02549999999</v>
      </c>
      <c r="V102">
        <v>914672.20169999998</v>
      </c>
      <c r="W102">
        <v>901105.77359999996</v>
      </c>
      <c r="X102">
        <v>890375.00399999996</v>
      </c>
      <c r="Y102">
        <v>884025.09250000003</v>
      </c>
      <c r="Z102">
        <v>880792.80480000004</v>
      </c>
      <c r="AA102">
        <v>878540.12690000003</v>
      </c>
      <c r="AB102">
        <v>876157.35010000004</v>
      </c>
      <c r="AC102">
        <v>873128.13569999998</v>
      </c>
      <c r="AD102">
        <v>869309.43149999995</v>
      </c>
      <c r="AE102">
        <v>864686.19990000001</v>
      </c>
      <c r="AF102">
        <v>859349.93759999995</v>
      </c>
      <c r="AG102">
        <v>853355.18030000001</v>
      </c>
      <c r="AH102">
        <v>846779.50560000003</v>
      </c>
      <c r="AI102">
        <v>839662.3273</v>
      </c>
      <c r="AJ102">
        <v>832083.81510000001</v>
      </c>
      <c r="AK102">
        <v>824190.08510000003</v>
      </c>
      <c r="AL102">
        <v>816047.52729999996</v>
      </c>
      <c r="AM102">
        <v>807691.74750000006</v>
      </c>
      <c r="AN102">
        <v>799092.53619999997</v>
      </c>
      <c r="AO102">
        <v>790118.41669999994</v>
      </c>
      <c r="AP102">
        <v>780756.63809999998</v>
      </c>
      <c r="AQ102">
        <v>771049.95750000002</v>
      </c>
      <c r="AR102">
        <v>761027.72160000005</v>
      </c>
      <c r="AS102">
        <v>750695.10849999997</v>
      </c>
      <c r="AT102">
        <v>739957.32609999995</v>
      </c>
      <c r="AU102">
        <v>728781.15249999997</v>
      </c>
      <c r="AV102">
        <v>717171.62580000004</v>
      </c>
      <c r="AW102">
        <v>705281.73389999999</v>
      </c>
    </row>
    <row r="103" spans="2:49" x14ac:dyDescent="0.25">
      <c r="B103" t="s">
        <v>404</v>
      </c>
      <c r="C103">
        <v>1098851.8998263199</v>
      </c>
      <c r="D103">
        <v>1116494.32251175</v>
      </c>
      <c r="E103">
        <v>1134420</v>
      </c>
      <c r="F103">
        <v>1125145.925</v>
      </c>
      <c r="G103">
        <v>1112721.0549999999</v>
      </c>
      <c r="H103">
        <v>1098672.2069999999</v>
      </c>
      <c r="I103">
        <v>1090791.2890000001</v>
      </c>
      <c r="J103">
        <v>1082090.4979999999</v>
      </c>
      <c r="K103">
        <v>1068163.8529999999</v>
      </c>
      <c r="L103">
        <v>1048976.1950000001</v>
      </c>
      <c r="M103">
        <v>1030031.674</v>
      </c>
      <c r="N103">
        <v>1015770.224</v>
      </c>
      <c r="O103">
        <v>1011115.357</v>
      </c>
      <c r="P103">
        <v>1010878.8810000001</v>
      </c>
      <c r="Q103">
        <v>1007863.192</v>
      </c>
      <c r="R103">
        <v>993783.49549999996</v>
      </c>
      <c r="S103">
        <v>975844.853</v>
      </c>
      <c r="T103">
        <v>954446.10569999996</v>
      </c>
      <c r="U103">
        <v>933923.02549999999</v>
      </c>
      <c r="V103">
        <v>914672.20169999998</v>
      </c>
      <c r="W103">
        <v>901105.77359999996</v>
      </c>
      <c r="X103">
        <v>890375.00399999996</v>
      </c>
      <c r="Y103">
        <v>884025.09250000003</v>
      </c>
      <c r="Z103">
        <v>880792.80480000004</v>
      </c>
      <c r="AA103">
        <v>878540.12690000003</v>
      </c>
      <c r="AB103">
        <v>876157.35010000004</v>
      </c>
      <c r="AC103">
        <v>873128.13569999998</v>
      </c>
      <c r="AD103">
        <v>869309.43149999995</v>
      </c>
      <c r="AE103">
        <v>864686.19990000001</v>
      </c>
      <c r="AF103">
        <v>859349.93759999995</v>
      </c>
      <c r="AG103">
        <v>853355.18030000001</v>
      </c>
      <c r="AH103">
        <v>846779.50560000003</v>
      </c>
      <c r="AI103">
        <v>839662.3273</v>
      </c>
      <c r="AJ103">
        <v>832083.81510000001</v>
      </c>
      <c r="AK103">
        <v>824190.08510000003</v>
      </c>
      <c r="AL103">
        <v>816047.52729999996</v>
      </c>
      <c r="AM103">
        <v>807691.74750000006</v>
      </c>
      <c r="AN103">
        <v>799092.53619999997</v>
      </c>
      <c r="AO103">
        <v>790118.41669999994</v>
      </c>
      <c r="AP103">
        <v>780756.63809999998</v>
      </c>
      <c r="AQ103">
        <v>771049.95750000002</v>
      </c>
      <c r="AR103">
        <v>761027.72160000005</v>
      </c>
      <c r="AS103">
        <v>750695.10849999997</v>
      </c>
      <c r="AT103">
        <v>739957.32609999995</v>
      </c>
      <c r="AU103">
        <v>728781.15249999997</v>
      </c>
      <c r="AV103">
        <v>717171.62580000004</v>
      </c>
      <c r="AW103">
        <v>705281.73389999999</v>
      </c>
    </row>
    <row r="104" spans="2:49" x14ac:dyDescent="0.25">
      <c r="B104" t="s">
        <v>405</v>
      </c>
      <c r="C104" s="100">
        <v>105875266.531468</v>
      </c>
      <c r="D104">
        <v>107575128.18195701</v>
      </c>
      <c r="E104">
        <v>109302281.7</v>
      </c>
      <c r="F104">
        <v>110415489.59999999</v>
      </c>
      <c r="G104" s="100">
        <v>106479764.8</v>
      </c>
      <c r="H104">
        <v>107236751.09999999</v>
      </c>
      <c r="I104">
        <v>105209371.40000001</v>
      </c>
      <c r="J104">
        <v>102533111.59999999</v>
      </c>
      <c r="K104" s="100">
        <v>99985306.700000003</v>
      </c>
      <c r="L104" s="100">
        <v>98271262.680000007</v>
      </c>
      <c r="M104">
        <v>96952907.099999994</v>
      </c>
      <c r="N104" s="100">
        <v>96149044.980000004</v>
      </c>
      <c r="O104">
        <v>95720701.450000003</v>
      </c>
      <c r="P104">
        <v>94098954.310000002</v>
      </c>
      <c r="Q104">
        <v>92143612.439999998</v>
      </c>
      <c r="R104">
        <v>90994714.359999999</v>
      </c>
      <c r="S104">
        <v>90257813.549999997</v>
      </c>
      <c r="T104">
        <v>89446761.280000001</v>
      </c>
      <c r="U104">
        <v>88220849.239999995</v>
      </c>
      <c r="V104">
        <v>86718193.790000007</v>
      </c>
      <c r="W104">
        <v>85445084.420000002</v>
      </c>
      <c r="X104">
        <v>83207647.980000004</v>
      </c>
      <c r="Y104">
        <v>81642925.799999997</v>
      </c>
      <c r="Z104">
        <v>80553459.480000004</v>
      </c>
      <c r="AA104">
        <v>79508180.280000001</v>
      </c>
      <c r="AB104">
        <v>78457796.269999996</v>
      </c>
      <c r="AC104">
        <v>76830418.349999994</v>
      </c>
      <c r="AD104">
        <v>75540741.900000006</v>
      </c>
      <c r="AE104">
        <v>74595091.840000004</v>
      </c>
      <c r="AF104">
        <v>73611738.319999903</v>
      </c>
      <c r="AG104">
        <v>72611426.379999995</v>
      </c>
      <c r="AH104">
        <v>71576825.010000005</v>
      </c>
      <c r="AI104" s="100">
        <v>70429414.689999998</v>
      </c>
      <c r="AJ104">
        <v>69354833.409999996</v>
      </c>
      <c r="AK104">
        <v>68304748.239999995</v>
      </c>
      <c r="AL104" s="100">
        <v>67265949.920000002</v>
      </c>
      <c r="AM104">
        <v>66236715.619999997</v>
      </c>
      <c r="AN104">
        <v>65121794.829999998</v>
      </c>
      <c r="AO104">
        <v>63965880.829999998</v>
      </c>
      <c r="AP104">
        <v>62790729.43</v>
      </c>
      <c r="AQ104">
        <v>61604102.259999998</v>
      </c>
      <c r="AR104" s="100">
        <v>60245267.049999997</v>
      </c>
      <c r="AS104">
        <v>58952565.700000003</v>
      </c>
      <c r="AT104">
        <v>57683558.280000001</v>
      </c>
      <c r="AU104">
        <v>56423188.539999999</v>
      </c>
      <c r="AV104">
        <v>55165340.200000003</v>
      </c>
      <c r="AW104">
        <v>53915802.950000003</v>
      </c>
    </row>
    <row r="105" spans="2:49" x14ac:dyDescent="0.25">
      <c r="B105" t="s">
        <v>406</v>
      </c>
      <c r="C105" s="100">
        <v>105875266.531468</v>
      </c>
      <c r="D105">
        <v>107575128.18195701</v>
      </c>
      <c r="E105">
        <v>109302281.7</v>
      </c>
      <c r="F105">
        <v>110415489.59999999</v>
      </c>
      <c r="G105" s="100">
        <v>106479764.8</v>
      </c>
      <c r="H105">
        <v>107236751.09999999</v>
      </c>
      <c r="I105">
        <v>105209371.40000001</v>
      </c>
      <c r="J105">
        <v>102533111.59999999</v>
      </c>
      <c r="K105" s="100">
        <v>99985306.700000003</v>
      </c>
      <c r="L105" s="100">
        <v>98271262.680000007</v>
      </c>
      <c r="M105">
        <v>96952907.099999994</v>
      </c>
      <c r="N105">
        <v>96149044.980000004</v>
      </c>
      <c r="O105">
        <v>95720701.450000003</v>
      </c>
      <c r="P105">
        <v>94098954.310000002</v>
      </c>
      <c r="Q105">
        <v>92143612.439999998</v>
      </c>
      <c r="R105">
        <v>90994714.359999999</v>
      </c>
      <c r="S105">
        <v>90257813.549999997</v>
      </c>
      <c r="T105">
        <v>89446761.280000001</v>
      </c>
      <c r="U105">
        <v>88220849.239999995</v>
      </c>
      <c r="V105">
        <v>86718193.790000007</v>
      </c>
      <c r="W105">
        <v>85445084.420000002</v>
      </c>
      <c r="X105">
        <v>83207647.980000004</v>
      </c>
      <c r="Y105">
        <v>81642925.799999997</v>
      </c>
      <c r="Z105">
        <v>80553459.480000004</v>
      </c>
      <c r="AA105">
        <v>79508180.280000001</v>
      </c>
      <c r="AB105">
        <v>78457796.269999996</v>
      </c>
      <c r="AC105">
        <v>76830418.349999994</v>
      </c>
      <c r="AD105">
        <v>75540741.900000006</v>
      </c>
      <c r="AE105">
        <v>74595091.840000004</v>
      </c>
      <c r="AF105">
        <v>73611738.319999903</v>
      </c>
      <c r="AG105">
        <v>72611426.379999995</v>
      </c>
      <c r="AH105">
        <v>71576825.010000005</v>
      </c>
      <c r="AI105">
        <v>70429414.689999998</v>
      </c>
      <c r="AJ105">
        <v>69354833.409999996</v>
      </c>
      <c r="AK105">
        <v>68304748.239999995</v>
      </c>
      <c r="AL105">
        <v>67265949.920000002</v>
      </c>
      <c r="AM105">
        <v>66236715.619999997</v>
      </c>
      <c r="AN105">
        <v>65121794.829999998</v>
      </c>
      <c r="AO105">
        <v>63965880.829999998</v>
      </c>
      <c r="AP105">
        <v>62790729.43</v>
      </c>
      <c r="AQ105">
        <v>61604102.259999998</v>
      </c>
      <c r="AR105">
        <v>60245267.049999997</v>
      </c>
      <c r="AS105">
        <v>58952565.700000003</v>
      </c>
      <c r="AT105">
        <v>57683558.280000001</v>
      </c>
      <c r="AU105">
        <v>56423188.539999999</v>
      </c>
      <c r="AV105">
        <v>55165340.200000003</v>
      </c>
      <c r="AW105">
        <v>53915802.950000003</v>
      </c>
    </row>
    <row r="106" spans="2:49" x14ac:dyDescent="0.25">
      <c r="B106" t="s">
        <v>407</v>
      </c>
      <c r="C106">
        <v>37938997.726415001</v>
      </c>
      <c r="D106">
        <v>38548120.6066292</v>
      </c>
      <c r="E106">
        <v>39167023.149999999</v>
      </c>
      <c r="F106">
        <v>38285456.299999997</v>
      </c>
      <c r="G106">
        <v>36970459.340000004</v>
      </c>
      <c r="H106">
        <v>35869250.509999998</v>
      </c>
      <c r="I106">
        <v>35503691.640000001</v>
      </c>
      <c r="J106">
        <v>34453921.119999997</v>
      </c>
      <c r="K106" s="100">
        <v>32786502.440000001</v>
      </c>
      <c r="L106" s="100">
        <v>31387968.149999999</v>
      </c>
      <c r="M106">
        <v>30419108.640000001</v>
      </c>
      <c r="N106">
        <v>29730664.710000001</v>
      </c>
      <c r="O106">
        <v>30193189.530000001</v>
      </c>
      <c r="P106">
        <v>30218936.100000001</v>
      </c>
      <c r="Q106">
        <v>29359121.059999999</v>
      </c>
      <c r="R106">
        <v>28706661.82</v>
      </c>
      <c r="S106">
        <v>28191702.699999999</v>
      </c>
      <c r="T106">
        <v>26426900.879999999</v>
      </c>
      <c r="U106">
        <v>25069391.210000001</v>
      </c>
      <c r="V106">
        <v>23734091.440000001</v>
      </c>
      <c r="W106">
        <v>24959103.449999999</v>
      </c>
      <c r="X106">
        <v>26294264.370000001</v>
      </c>
      <c r="Y106">
        <v>26172673.18</v>
      </c>
      <c r="Z106">
        <v>26160517.699999999</v>
      </c>
      <c r="AA106">
        <v>26038822.52</v>
      </c>
      <c r="AB106">
        <v>25941279.170000002</v>
      </c>
      <c r="AC106">
        <v>25827495.640000001</v>
      </c>
      <c r="AD106">
        <v>25715123.27</v>
      </c>
      <c r="AE106">
        <v>25575237.289999999</v>
      </c>
      <c r="AF106">
        <v>25425624.609999999</v>
      </c>
      <c r="AG106">
        <v>25236762.640000001</v>
      </c>
      <c r="AH106">
        <v>25033066.93</v>
      </c>
      <c r="AI106">
        <v>24921236.530000001</v>
      </c>
      <c r="AJ106">
        <v>24807174.640000001</v>
      </c>
      <c r="AK106">
        <v>24685524.600000001</v>
      </c>
      <c r="AL106">
        <v>24554164.809999999</v>
      </c>
      <c r="AM106">
        <v>24415143.149999999</v>
      </c>
      <c r="AN106">
        <v>24249376.07</v>
      </c>
      <c r="AO106">
        <v>24079376.289999999</v>
      </c>
      <c r="AP106">
        <v>23895487.280000001</v>
      </c>
      <c r="AQ106">
        <v>23700660.079999998</v>
      </c>
      <c r="AR106">
        <v>23490592.84</v>
      </c>
      <c r="AS106">
        <v>23273646.489999998</v>
      </c>
      <c r="AT106">
        <v>23037766.41</v>
      </c>
      <c r="AU106">
        <v>22783208.550000001</v>
      </c>
      <c r="AV106">
        <v>22510213.329999998</v>
      </c>
      <c r="AW106">
        <v>22225239.75</v>
      </c>
    </row>
    <row r="107" spans="2:49" x14ac:dyDescent="0.25">
      <c r="B107" t="s">
        <v>408</v>
      </c>
      <c r="C107" s="100">
        <v>37938997.726415001</v>
      </c>
      <c r="D107" s="100">
        <v>38548120.6066292</v>
      </c>
      <c r="E107" s="100">
        <v>39167023.149999999</v>
      </c>
      <c r="F107" s="100">
        <v>38285456.299999997</v>
      </c>
      <c r="G107" s="100">
        <v>36970459.340000004</v>
      </c>
      <c r="H107">
        <v>35869250.509999998</v>
      </c>
      <c r="I107">
        <v>35503691.640000001</v>
      </c>
      <c r="J107">
        <v>34453921.119999997</v>
      </c>
      <c r="K107" s="100">
        <v>32786502.440000001</v>
      </c>
      <c r="L107" s="100">
        <v>31387968.149999999</v>
      </c>
      <c r="M107">
        <v>30419108.640000001</v>
      </c>
      <c r="N107">
        <v>29730664.710000001</v>
      </c>
      <c r="O107">
        <v>30193189.530000001</v>
      </c>
      <c r="P107">
        <v>30218936.100000001</v>
      </c>
      <c r="Q107">
        <v>29359121.059999999</v>
      </c>
      <c r="R107">
        <v>28706661.82</v>
      </c>
      <c r="S107">
        <v>28191702.699999999</v>
      </c>
      <c r="T107">
        <v>26426900.879999999</v>
      </c>
      <c r="U107">
        <v>25069391.210000001</v>
      </c>
      <c r="V107">
        <v>23734091.440000001</v>
      </c>
      <c r="W107">
        <v>24959103.449999999</v>
      </c>
      <c r="X107">
        <v>26294264.370000001</v>
      </c>
      <c r="Y107">
        <v>26172673.18</v>
      </c>
      <c r="Z107">
        <v>26160517.699999999</v>
      </c>
      <c r="AA107">
        <v>26038822.52</v>
      </c>
      <c r="AB107">
        <v>25941279.170000002</v>
      </c>
      <c r="AC107">
        <v>25827495.640000001</v>
      </c>
      <c r="AD107">
        <v>25715123.27</v>
      </c>
      <c r="AE107">
        <v>25575237.289999999</v>
      </c>
      <c r="AF107">
        <v>25425624.609999999</v>
      </c>
      <c r="AG107">
        <v>25236762.640000001</v>
      </c>
      <c r="AH107">
        <v>25033066.93</v>
      </c>
      <c r="AI107">
        <v>24921236.530000001</v>
      </c>
      <c r="AJ107">
        <v>24807174.640000001</v>
      </c>
      <c r="AK107">
        <v>24685524.600000001</v>
      </c>
      <c r="AL107">
        <v>24554164.809999999</v>
      </c>
      <c r="AM107">
        <v>24415143.149999999</v>
      </c>
      <c r="AN107">
        <v>24249376.07</v>
      </c>
      <c r="AO107">
        <v>24079376.289999999</v>
      </c>
      <c r="AP107">
        <v>23895487.280000001</v>
      </c>
      <c r="AQ107">
        <v>23700660.079999998</v>
      </c>
      <c r="AR107">
        <v>23490592.84</v>
      </c>
      <c r="AS107">
        <v>23273646.489999998</v>
      </c>
      <c r="AT107">
        <v>23037766.41</v>
      </c>
      <c r="AU107">
        <v>22783208.550000001</v>
      </c>
      <c r="AV107">
        <v>22510213.329999998</v>
      </c>
      <c r="AW107">
        <v>22225239.75</v>
      </c>
    </row>
    <row r="108" spans="2:49" x14ac:dyDescent="0.25">
      <c r="B108" t="s">
        <v>409</v>
      </c>
      <c r="C108">
        <v>7249974.6999914004</v>
      </c>
      <c r="D108">
        <v>7366375.3888705196</v>
      </c>
      <c r="E108">
        <v>6262275.8710000003</v>
      </c>
      <c r="F108">
        <v>6465558.9800000004</v>
      </c>
      <c r="G108" s="100">
        <v>6124128.4510000004</v>
      </c>
      <c r="H108">
        <v>6432866.8890000004</v>
      </c>
      <c r="I108">
        <v>6668294.5860000001</v>
      </c>
      <c r="J108">
        <v>6258276.5769999996</v>
      </c>
      <c r="K108" s="100">
        <v>5971610.1529999999</v>
      </c>
      <c r="L108" s="100">
        <v>5796715.1519999998</v>
      </c>
      <c r="M108">
        <v>6191747.352</v>
      </c>
      <c r="N108">
        <v>6581895.5489999996</v>
      </c>
      <c r="O108">
        <v>6826578.1830000002</v>
      </c>
      <c r="P108">
        <v>6857140.7819999997</v>
      </c>
      <c r="Q108">
        <v>6345544.5089999996</v>
      </c>
      <c r="R108">
        <v>6271184.8679999998</v>
      </c>
      <c r="S108">
        <v>6305161.0410000002</v>
      </c>
      <c r="T108">
        <v>6420282.6189999999</v>
      </c>
      <c r="U108">
        <v>6534401.5180000002</v>
      </c>
      <c r="V108">
        <v>6699161.0089999996</v>
      </c>
      <c r="W108">
        <v>6859724.1809999999</v>
      </c>
      <c r="X108">
        <v>7059221.7300000004</v>
      </c>
      <c r="Y108">
        <v>7186463.5820000004</v>
      </c>
      <c r="Z108">
        <v>7283682.7520000003</v>
      </c>
      <c r="AA108">
        <v>7360664.2369999997</v>
      </c>
      <c r="AB108">
        <v>7431102.051</v>
      </c>
      <c r="AC108">
        <v>7536920.1299999999</v>
      </c>
      <c r="AD108">
        <v>7583746.0039999997</v>
      </c>
      <c r="AE108">
        <v>7646482.4749999996</v>
      </c>
      <c r="AF108">
        <v>7714521.1490000002</v>
      </c>
      <c r="AG108">
        <v>7787591.1069999998</v>
      </c>
      <c r="AH108">
        <v>7882540.5269999998</v>
      </c>
      <c r="AI108">
        <v>7960539.7829999998</v>
      </c>
      <c r="AJ108">
        <v>8054723.2769999998</v>
      </c>
      <c r="AK108">
        <v>8147617.5290000001</v>
      </c>
      <c r="AL108">
        <v>8243865.5829999996</v>
      </c>
      <c r="AM108">
        <v>8345298.5329999998</v>
      </c>
      <c r="AN108">
        <v>8448435.5079999994</v>
      </c>
      <c r="AO108">
        <v>8555593.7980000004</v>
      </c>
      <c r="AP108">
        <v>8662044.3579999898</v>
      </c>
      <c r="AQ108">
        <v>8767920.3690000009</v>
      </c>
      <c r="AR108">
        <v>8887857.4460000005</v>
      </c>
      <c r="AS108">
        <v>8972989.0930000003</v>
      </c>
      <c r="AT108">
        <v>9058687.8969999999</v>
      </c>
      <c r="AU108">
        <v>9144646.5030000005</v>
      </c>
      <c r="AV108">
        <v>9231997.9350000005</v>
      </c>
      <c r="AW108">
        <v>9321915.1439999994</v>
      </c>
    </row>
    <row r="109" spans="2:49" x14ac:dyDescent="0.25">
      <c r="B109" t="s">
        <v>410</v>
      </c>
      <c r="C109">
        <v>11428306.3019633</v>
      </c>
      <c r="D109">
        <v>11611791.4562317</v>
      </c>
      <c r="E109">
        <v>9982935.9829999898</v>
      </c>
      <c r="F109">
        <v>10143100.960000001</v>
      </c>
      <c r="G109" s="100">
        <v>9532226.1940000001</v>
      </c>
      <c r="H109" s="100">
        <v>9670170.3589999899</v>
      </c>
      <c r="I109" s="100">
        <v>9464607.5120000001</v>
      </c>
      <c r="J109" s="100">
        <v>9137564.52999999</v>
      </c>
      <c r="K109" s="100">
        <v>8526581.56399999</v>
      </c>
      <c r="L109" s="100">
        <v>8286318.2220000001</v>
      </c>
      <c r="M109">
        <v>8389582.8670000006</v>
      </c>
      <c r="N109">
        <v>8540367.2070000004</v>
      </c>
      <c r="O109">
        <v>7981545.4309999999</v>
      </c>
      <c r="P109">
        <v>7367626.5259999996</v>
      </c>
      <c r="Q109">
        <v>6612767.8839999996</v>
      </c>
      <c r="R109">
        <v>6121324.3729999997</v>
      </c>
      <c r="S109">
        <v>5863597.1600000001</v>
      </c>
      <c r="T109">
        <v>5736535.9759999998</v>
      </c>
      <c r="U109">
        <v>5678018.8099999996</v>
      </c>
      <c r="V109">
        <v>5653616.6370000001</v>
      </c>
      <c r="W109">
        <v>5849921.5099999998</v>
      </c>
      <c r="X109">
        <v>6034629.2949999999</v>
      </c>
      <c r="Y109">
        <v>6034987.6490000002</v>
      </c>
      <c r="Z109">
        <v>6067050.4910000004</v>
      </c>
      <c r="AA109">
        <v>6086863.2170000002</v>
      </c>
      <c r="AB109">
        <v>6104393.5410000002</v>
      </c>
      <c r="AC109">
        <v>6153611.4859999996</v>
      </c>
      <c r="AD109">
        <v>6157948.2089999998</v>
      </c>
      <c r="AE109">
        <v>6175532.1849999996</v>
      </c>
      <c r="AF109">
        <v>6193446.0449999999</v>
      </c>
      <c r="AG109">
        <v>6216502.2790000001</v>
      </c>
      <c r="AH109">
        <v>6260221.3119999999</v>
      </c>
      <c r="AI109">
        <v>6295943.2589999996</v>
      </c>
      <c r="AJ109">
        <v>6343006.5389999999</v>
      </c>
      <c r="AK109">
        <v>6387138.9249999998</v>
      </c>
      <c r="AL109">
        <v>6431898.824</v>
      </c>
      <c r="AM109">
        <v>6478402.9840000002</v>
      </c>
      <c r="AN109">
        <v>6492592.0109999999</v>
      </c>
      <c r="AO109">
        <v>6498010.1169999996</v>
      </c>
      <c r="AP109">
        <v>6497293.6579999998</v>
      </c>
      <c r="AQ109">
        <v>6490242.199</v>
      </c>
      <c r="AR109">
        <v>6488284.4989999998</v>
      </c>
      <c r="AS109">
        <v>6489688.1399999997</v>
      </c>
      <c r="AT109">
        <v>6496244.4950000001</v>
      </c>
      <c r="AU109">
        <v>6502347.8650000002</v>
      </c>
      <c r="AV109">
        <v>6507396.1459999997</v>
      </c>
      <c r="AW109">
        <v>6511722.0109999999</v>
      </c>
    </row>
    <row r="110" spans="2:49" x14ac:dyDescent="0.25">
      <c r="B110" t="s">
        <v>411</v>
      </c>
      <c r="C110">
        <v>1153294.1412084801</v>
      </c>
      <c r="D110" s="100">
        <v>1171810.6516891399</v>
      </c>
      <c r="E110" s="100">
        <v>1014014.031</v>
      </c>
      <c r="F110" s="100">
        <v>1087012.875</v>
      </c>
      <c r="G110">
        <v>1011831.882</v>
      </c>
      <c r="H110">
        <v>886894.31499999994</v>
      </c>
      <c r="I110" s="100">
        <v>964144.93059999996</v>
      </c>
      <c r="J110" s="100">
        <v>930298.8382</v>
      </c>
      <c r="K110" s="100">
        <v>878109.33279999997</v>
      </c>
      <c r="L110" s="100">
        <v>869485.3112</v>
      </c>
      <c r="M110">
        <v>908085.56649999996</v>
      </c>
      <c r="N110">
        <v>996115.05260000005</v>
      </c>
      <c r="O110">
        <v>934408.83279999997</v>
      </c>
      <c r="P110">
        <v>856098.0344</v>
      </c>
      <c r="Q110">
        <v>738087.90850000002</v>
      </c>
      <c r="R110">
        <v>669938.08319999999</v>
      </c>
      <c r="S110">
        <v>584413.4031</v>
      </c>
      <c r="T110">
        <v>544631.54799999995</v>
      </c>
      <c r="U110">
        <v>541888.93400000001</v>
      </c>
      <c r="V110">
        <v>544184.09589999996</v>
      </c>
      <c r="W110">
        <v>573994.46160000004</v>
      </c>
      <c r="X110">
        <v>556913.11609999998</v>
      </c>
      <c r="Y110">
        <v>590314.49</v>
      </c>
      <c r="Z110">
        <v>611214.61360000004</v>
      </c>
      <c r="AA110">
        <v>624462.95389999996</v>
      </c>
      <c r="AB110">
        <v>634052.13159999996</v>
      </c>
      <c r="AC110">
        <v>614120.7219</v>
      </c>
      <c r="AD110">
        <v>641741.25690000004</v>
      </c>
      <c r="AE110">
        <v>650802.56149999995</v>
      </c>
      <c r="AF110">
        <v>659441.41500000004</v>
      </c>
      <c r="AG110">
        <v>667174.56579999998</v>
      </c>
      <c r="AH110">
        <v>651828.67799999996</v>
      </c>
      <c r="AI110">
        <v>674163.61439999996</v>
      </c>
      <c r="AJ110">
        <v>688796.78419999999</v>
      </c>
      <c r="AK110">
        <v>699089.13930000004</v>
      </c>
      <c r="AL110">
        <v>708052.98439999996</v>
      </c>
      <c r="AM110">
        <v>716260.57290000003</v>
      </c>
      <c r="AN110">
        <v>715509.97580000001</v>
      </c>
      <c r="AO110">
        <v>717971.70090000005</v>
      </c>
      <c r="AP110">
        <v>720884.50120000006</v>
      </c>
      <c r="AQ110">
        <v>723691.92079999996</v>
      </c>
      <c r="AR110">
        <v>710256.1298</v>
      </c>
      <c r="AS110">
        <v>721482.49170000001</v>
      </c>
      <c r="AT110">
        <v>728442.91879999998</v>
      </c>
      <c r="AU110">
        <v>733551.70900000003</v>
      </c>
      <c r="AV110">
        <v>737788.37309999997</v>
      </c>
      <c r="AW110">
        <v>741691.13560000004</v>
      </c>
    </row>
    <row r="111" spans="2:49" x14ac:dyDescent="0.25">
      <c r="B111" t="s">
        <v>412</v>
      </c>
      <c r="C111">
        <v>6211298.5004764497</v>
      </c>
      <c r="D111">
        <v>6311022.9070030199</v>
      </c>
      <c r="E111">
        <v>5388522.5060000001</v>
      </c>
      <c r="F111">
        <v>5419610.1409999998</v>
      </c>
      <c r="G111">
        <v>4895411.102</v>
      </c>
      <c r="H111">
        <v>4387687.4309999999</v>
      </c>
      <c r="I111">
        <v>4071264.6159999999</v>
      </c>
      <c r="J111">
        <v>4289356.2929999996</v>
      </c>
      <c r="K111">
        <v>3828170.9070000001</v>
      </c>
      <c r="L111">
        <v>3653268.9160000002</v>
      </c>
      <c r="M111">
        <v>3725887.2659999998</v>
      </c>
      <c r="N111">
        <v>3816055.95</v>
      </c>
      <c r="O111">
        <v>3662193.389</v>
      </c>
      <c r="P111">
        <v>3398394.31</v>
      </c>
      <c r="Q111">
        <v>3059993.2829999998</v>
      </c>
      <c r="R111">
        <v>2800469.3849999998</v>
      </c>
      <c r="S111" s="100">
        <v>2572966.2680000002</v>
      </c>
      <c r="T111" s="100">
        <v>2461404.8309999998</v>
      </c>
      <c r="U111" s="100">
        <v>2371208.142</v>
      </c>
      <c r="V111" s="100">
        <v>2288691.7779999999</v>
      </c>
      <c r="W111">
        <v>2238770.6540000001</v>
      </c>
      <c r="X111">
        <v>2165697.9219999998</v>
      </c>
      <c r="Y111">
        <v>2149330.1230000001</v>
      </c>
      <c r="Z111">
        <v>2154317.696</v>
      </c>
      <c r="AA111">
        <v>2159244.94</v>
      </c>
      <c r="AB111">
        <v>2164245.426</v>
      </c>
      <c r="AC111">
        <v>2168544.7850000001</v>
      </c>
      <c r="AD111">
        <v>2184521.318</v>
      </c>
      <c r="AE111">
        <v>2195660.6269999999</v>
      </c>
      <c r="AF111">
        <v>2207900.7769999998</v>
      </c>
      <c r="AG111">
        <v>2220903.1519999998</v>
      </c>
      <c r="AH111">
        <v>2232790.06</v>
      </c>
      <c r="AI111">
        <v>2256753.3590000002</v>
      </c>
      <c r="AJ111">
        <v>2280039.89</v>
      </c>
      <c r="AK111">
        <v>2302589.62</v>
      </c>
      <c r="AL111">
        <v>2325496.5410000002</v>
      </c>
      <c r="AM111">
        <v>2348932.3059999999</v>
      </c>
      <c r="AN111">
        <v>2324934.2680000002</v>
      </c>
      <c r="AO111">
        <v>2293718.9879999999</v>
      </c>
      <c r="AP111">
        <v>2259618.5189999999</v>
      </c>
      <c r="AQ111">
        <v>2224270.6549999998</v>
      </c>
      <c r="AR111">
        <v>2185540.7489999998</v>
      </c>
      <c r="AS111">
        <v>2175160.3220000002</v>
      </c>
      <c r="AT111">
        <v>2167550.1370000001</v>
      </c>
      <c r="AU111">
        <v>2159637.801</v>
      </c>
      <c r="AV111">
        <v>2151135.8130000001</v>
      </c>
      <c r="AW111">
        <v>2142950.696</v>
      </c>
    </row>
    <row r="112" spans="2:49" x14ac:dyDescent="0.25">
      <c r="B112" t="s">
        <v>413</v>
      </c>
      <c r="C112" s="100">
        <v>19068539.7330263</v>
      </c>
      <c r="D112">
        <v>19374691.306334</v>
      </c>
      <c r="E112">
        <v>16594488.720000001</v>
      </c>
      <c r="F112">
        <v>16767731.630000001</v>
      </c>
      <c r="G112" s="100">
        <v>15202293.09</v>
      </c>
      <c r="H112">
        <v>13559443.619999999</v>
      </c>
      <c r="I112">
        <v>12960097.130000001</v>
      </c>
      <c r="J112">
        <v>13889886.720000001</v>
      </c>
      <c r="K112">
        <v>12406497.43</v>
      </c>
      <c r="L112">
        <v>11882823.300000001</v>
      </c>
      <c r="M112">
        <v>12155756.67</v>
      </c>
      <c r="N112">
        <v>12397891.869999999</v>
      </c>
      <c r="O112">
        <v>11962821.689999999</v>
      </c>
      <c r="P112">
        <v>11168012.130000001</v>
      </c>
      <c r="Q112">
        <v>10082909</v>
      </c>
      <c r="R112">
        <v>9288400.6329999994</v>
      </c>
      <c r="S112" s="100">
        <v>8392005.6380000003</v>
      </c>
      <c r="T112" s="100">
        <v>8261663.1339999996</v>
      </c>
      <c r="U112" s="100">
        <v>8063508.5020000003</v>
      </c>
      <c r="V112" s="100">
        <v>7975225.0060000001</v>
      </c>
      <c r="W112">
        <v>7744508.1610000003</v>
      </c>
      <c r="X112">
        <v>7480636.5789999999</v>
      </c>
      <c r="Y112">
        <v>7368331.3820000002</v>
      </c>
      <c r="Z112">
        <v>7355040.9699999997</v>
      </c>
      <c r="AA112">
        <v>7364529.8890000004</v>
      </c>
      <c r="AB112">
        <v>7379094.6109999996</v>
      </c>
      <c r="AC112">
        <v>7415166.7510000002</v>
      </c>
      <c r="AD112">
        <v>7467076.9689999996</v>
      </c>
      <c r="AE112">
        <v>7511647.824</v>
      </c>
      <c r="AF112">
        <v>7563882.8480000002</v>
      </c>
      <c r="AG112">
        <v>7616634.4019999998</v>
      </c>
      <c r="AH112">
        <v>7686998.2989999996</v>
      </c>
      <c r="AI112">
        <v>7762386.568</v>
      </c>
      <c r="AJ112">
        <v>7832024.8990000002</v>
      </c>
      <c r="AK112">
        <v>7909658.6069999998</v>
      </c>
      <c r="AL112">
        <v>7989024.358</v>
      </c>
      <c r="AM112">
        <v>8068711.2869999995</v>
      </c>
      <c r="AN112">
        <v>7992394.5750000002</v>
      </c>
      <c r="AO112">
        <v>7893328.4280000003</v>
      </c>
      <c r="AP112">
        <v>7780588.0219999999</v>
      </c>
      <c r="AQ112">
        <v>7668146.7649999997</v>
      </c>
      <c r="AR112">
        <v>7544832.8729999997</v>
      </c>
      <c r="AS112">
        <v>7497997.2479999997</v>
      </c>
      <c r="AT112">
        <v>7461160.0920000002</v>
      </c>
      <c r="AU112">
        <v>7419773.665</v>
      </c>
      <c r="AV112">
        <v>7376081.8739999998</v>
      </c>
      <c r="AW112">
        <v>7359320.2989999996</v>
      </c>
    </row>
    <row r="113" spans="2:49" x14ac:dyDescent="0.25">
      <c r="B113" t="s">
        <v>414</v>
      </c>
      <c r="C113">
        <v>14426006.8404216</v>
      </c>
      <c r="D113">
        <v>14657621.046468699</v>
      </c>
      <c r="E113">
        <v>12566850.289999999</v>
      </c>
      <c r="F113">
        <v>12554223.300000001</v>
      </c>
      <c r="G113">
        <v>11550398.49</v>
      </c>
      <c r="H113">
        <v>10778139.880000001</v>
      </c>
      <c r="I113">
        <v>10030692.880000001</v>
      </c>
      <c r="J113">
        <v>9105213.3080000002</v>
      </c>
      <c r="K113">
        <v>8256910.8420000002</v>
      </c>
      <c r="L113">
        <v>8150282.7929999996</v>
      </c>
      <c r="M113">
        <v>8107602.7759999996</v>
      </c>
      <c r="N113">
        <v>8448174.2109999899</v>
      </c>
      <c r="O113">
        <v>7833424.5810000002</v>
      </c>
      <c r="P113">
        <v>7019029.0700000003</v>
      </c>
      <c r="Q113">
        <v>6266908.574</v>
      </c>
      <c r="R113">
        <v>5639211.5250000004</v>
      </c>
      <c r="S113">
        <v>5211605.8959999997</v>
      </c>
      <c r="T113">
        <v>5005805.9759999998</v>
      </c>
      <c r="U113" s="100">
        <v>4799347.8990000002</v>
      </c>
      <c r="V113">
        <v>4602975.67</v>
      </c>
      <c r="W113">
        <v>4488128.0590000004</v>
      </c>
      <c r="X113">
        <v>4340615.96</v>
      </c>
      <c r="Y113">
        <v>4323420.9780000001</v>
      </c>
      <c r="Z113">
        <v>4366667.2659999998</v>
      </c>
      <c r="AA113">
        <v>4411458.6310000001</v>
      </c>
      <c r="AB113">
        <v>4457599.1399999997</v>
      </c>
      <c r="AC113">
        <v>4514079.585</v>
      </c>
      <c r="AD113">
        <v>4548019.9759999998</v>
      </c>
      <c r="AE113">
        <v>4581668.9589999998</v>
      </c>
      <c r="AF113">
        <v>4616750.3550000004</v>
      </c>
      <c r="AG113">
        <v>4654971.7869999995</v>
      </c>
      <c r="AH113">
        <v>4699991.0439999998</v>
      </c>
      <c r="AI113">
        <v>4752824.6030000001</v>
      </c>
      <c r="AJ113">
        <v>4808231.5369999995</v>
      </c>
      <c r="AK113">
        <v>4863742.0590000004</v>
      </c>
      <c r="AL113">
        <v>4920613.0240000002</v>
      </c>
      <c r="AM113">
        <v>4978873.6770000001</v>
      </c>
      <c r="AN113">
        <v>4925585.0199999996</v>
      </c>
      <c r="AO113">
        <v>4852928.1469999999</v>
      </c>
      <c r="AP113">
        <v>4772950.6449999996</v>
      </c>
      <c r="AQ113">
        <v>4689697.7690000003</v>
      </c>
      <c r="AR113">
        <v>4605115.0140000004</v>
      </c>
      <c r="AS113">
        <v>4577636.3449999997</v>
      </c>
      <c r="AT113">
        <v>4558915.1979999999</v>
      </c>
      <c r="AU113">
        <v>4540904.4689999996</v>
      </c>
      <c r="AV113">
        <v>4522235.1490000002</v>
      </c>
      <c r="AW113">
        <v>4503729.6720000003</v>
      </c>
    </row>
    <row r="114" spans="2:49" x14ac:dyDescent="0.25">
      <c r="B114" t="s">
        <v>415</v>
      </c>
      <c r="C114">
        <v>9279692.21316991</v>
      </c>
      <c r="D114">
        <v>9428680.6732538398</v>
      </c>
      <c r="E114">
        <v>8373820.3509999998</v>
      </c>
      <c r="F114">
        <v>8335671.5209999997</v>
      </c>
      <c r="G114">
        <v>7954959.7470000004</v>
      </c>
      <c r="H114">
        <v>7478340.585</v>
      </c>
      <c r="I114">
        <v>7266896.3449999997</v>
      </c>
      <c r="J114">
        <v>7041656.9939999999</v>
      </c>
      <c r="K114">
        <v>6681648.0219999999</v>
      </c>
      <c r="L114">
        <v>6629113.5609999998</v>
      </c>
      <c r="M114">
        <v>6591962.2479999997</v>
      </c>
      <c r="N114">
        <v>6808867.1160000004</v>
      </c>
      <c r="O114">
        <v>6623895.9989999998</v>
      </c>
      <c r="P114">
        <v>6364276.2819999997</v>
      </c>
      <c r="Q114">
        <v>6034011.3739999998</v>
      </c>
      <c r="R114">
        <v>5911427.6909999996</v>
      </c>
      <c r="S114">
        <v>5680903.9369999999</v>
      </c>
      <c r="T114">
        <v>5531665.858</v>
      </c>
      <c r="U114">
        <v>5401010.4129999997</v>
      </c>
      <c r="V114">
        <v>5295496.2609999999</v>
      </c>
      <c r="W114">
        <v>5295505.3669999996</v>
      </c>
      <c r="X114">
        <v>5249683.0729999999</v>
      </c>
      <c r="Y114">
        <v>5098495.2280000001</v>
      </c>
      <c r="Z114">
        <v>4997455.6960000005</v>
      </c>
      <c r="AA114">
        <v>4890108.3140000002</v>
      </c>
      <c r="AB114">
        <v>4783401.4639999997</v>
      </c>
      <c r="AC114">
        <v>4682203.4689999996</v>
      </c>
      <c r="AD114">
        <v>4683223.3640000001</v>
      </c>
      <c r="AE114">
        <v>4683787.182</v>
      </c>
      <c r="AF114">
        <v>4690500.5049999999</v>
      </c>
      <c r="AG114">
        <v>4695147.6459999997</v>
      </c>
      <c r="AH114">
        <v>4703507.1100000003</v>
      </c>
      <c r="AI114">
        <v>4729427.9340000004</v>
      </c>
      <c r="AJ114">
        <v>4756803.0470000003</v>
      </c>
      <c r="AK114">
        <v>4784781.3859999999</v>
      </c>
      <c r="AL114">
        <v>4814374.0810000002</v>
      </c>
      <c r="AM114">
        <v>4845194.8569999998</v>
      </c>
      <c r="AN114">
        <v>4832779.9060000004</v>
      </c>
      <c r="AO114">
        <v>4816575.3559999997</v>
      </c>
      <c r="AP114">
        <v>4795699.9349999996</v>
      </c>
      <c r="AQ114">
        <v>4772578.7690000003</v>
      </c>
      <c r="AR114">
        <v>4746525.1749999998</v>
      </c>
      <c r="AS114">
        <v>4743086.3810000001</v>
      </c>
      <c r="AT114">
        <v>4742513.2070000004</v>
      </c>
      <c r="AU114">
        <v>4741617.2089999998</v>
      </c>
      <c r="AV114">
        <v>4740237.7209999999</v>
      </c>
      <c r="AW114">
        <v>4738240.7549999999</v>
      </c>
    </row>
    <row r="115" spans="2:49" x14ac:dyDescent="0.25">
      <c r="B115" t="s">
        <v>416</v>
      </c>
      <c r="C115">
        <v>10783636.5742715</v>
      </c>
      <c r="D115">
        <v>10956771.347537501</v>
      </c>
      <c r="E115">
        <v>9457747.3770000003</v>
      </c>
      <c r="F115">
        <v>9452423.9810000006</v>
      </c>
      <c r="G115">
        <v>9394096.5539999995</v>
      </c>
      <c r="H115">
        <v>8712896.534</v>
      </c>
      <c r="I115">
        <v>8998196.6960000005</v>
      </c>
      <c r="J115">
        <v>9049332.2310000006</v>
      </c>
      <c r="K115">
        <v>8835679.4879999999</v>
      </c>
      <c r="L115">
        <v>8787988.0960000008</v>
      </c>
      <c r="M115">
        <v>8775292.9629999995</v>
      </c>
      <c r="N115">
        <v>9012695.9030000009</v>
      </c>
      <c r="O115">
        <v>9065784.4529999997</v>
      </c>
      <c r="P115">
        <v>9178003.4920000006</v>
      </c>
      <c r="Q115">
        <v>9124779.7070000004</v>
      </c>
      <c r="R115">
        <v>9297243.3589999899</v>
      </c>
      <c r="S115">
        <v>9287432.8839999996</v>
      </c>
      <c r="T115">
        <v>9176457.1219999995</v>
      </c>
      <c r="U115">
        <v>9164143.2670000009</v>
      </c>
      <c r="V115">
        <v>9184939.4580000006</v>
      </c>
      <c r="W115">
        <v>9486080.2190000005</v>
      </c>
      <c r="X115">
        <v>9759202.1140000001</v>
      </c>
      <c r="Y115">
        <v>9837413.2880000006</v>
      </c>
      <c r="Z115">
        <v>9925591.1459999997</v>
      </c>
      <c r="AA115">
        <v>9996294.6349999998</v>
      </c>
      <c r="AB115">
        <v>10057378.189999999</v>
      </c>
      <c r="AC115">
        <v>10113050.42</v>
      </c>
      <c r="AD115">
        <v>10167547.18</v>
      </c>
      <c r="AE115">
        <v>10218853.77</v>
      </c>
      <c r="AF115">
        <v>10282618.710000001</v>
      </c>
      <c r="AG115">
        <v>10338327.199999999</v>
      </c>
      <c r="AH115">
        <v>10398726.550000001</v>
      </c>
      <c r="AI115">
        <v>10484143.68</v>
      </c>
      <c r="AJ115">
        <v>10578570.970000001</v>
      </c>
      <c r="AK115">
        <v>10675974.25</v>
      </c>
      <c r="AL115">
        <v>10778506.619999999</v>
      </c>
      <c r="AM115">
        <v>10884895.27</v>
      </c>
      <c r="AN115">
        <v>10990997.470000001</v>
      </c>
      <c r="AO115">
        <v>11102866.460000001</v>
      </c>
      <c r="AP115">
        <v>11212887.57</v>
      </c>
      <c r="AQ115">
        <v>11323090.24</v>
      </c>
      <c r="AR115">
        <v>11432001.52</v>
      </c>
      <c r="AS115">
        <v>11538648.25</v>
      </c>
      <c r="AT115">
        <v>11645609.699999999</v>
      </c>
      <c r="AU115">
        <v>11753299.470000001</v>
      </c>
      <c r="AV115">
        <v>11862035.029999999</v>
      </c>
      <c r="AW115">
        <v>11969336.08</v>
      </c>
    </row>
    <row r="116" spans="2:49" x14ac:dyDescent="0.25">
      <c r="B116" t="s">
        <v>417</v>
      </c>
      <c r="C116">
        <v>584010.86634464201</v>
      </c>
      <c r="D116">
        <v>593387.34970747295</v>
      </c>
      <c r="E116">
        <v>510539.89689999999</v>
      </c>
      <c r="F116">
        <v>524878.21770000004</v>
      </c>
      <c r="G116">
        <v>495741.9155</v>
      </c>
      <c r="H116">
        <v>429696.14569999999</v>
      </c>
      <c r="I116">
        <v>448596.56640000001</v>
      </c>
      <c r="J116">
        <v>447936.09989999997</v>
      </c>
      <c r="K116">
        <v>411588.17800000001</v>
      </c>
      <c r="L116">
        <v>385006.72369999997</v>
      </c>
      <c r="M116">
        <v>377036.25880000001</v>
      </c>
      <c r="N116">
        <v>396017.50829999999</v>
      </c>
      <c r="O116">
        <v>377878.93070000003</v>
      </c>
      <c r="P116">
        <v>362343.5871</v>
      </c>
      <c r="Q116">
        <v>335412.83919999999</v>
      </c>
      <c r="R116">
        <v>310981.24800000002</v>
      </c>
      <c r="S116">
        <v>293994.57189999998</v>
      </c>
      <c r="T116">
        <v>288304.43449999997</v>
      </c>
      <c r="U116">
        <v>285848.07939999999</v>
      </c>
      <c r="V116">
        <v>286456.70020000002</v>
      </c>
      <c r="W116">
        <v>296669.74099999998</v>
      </c>
      <c r="X116">
        <v>304778.46990000003</v>
      </c>
      <c r="Y116">
        <v>307323.62849999999</v>
      </c>
      <c r="Z116">
        <v>312319.48749999999</v>
      </c>
      <c r="AA116">
        <v>317593.71919999999</v>
      </c>
      <c r="AB116">
        <v>323707.065</v>
      </c>
      <c r="AC116">
        <v>329391.63669999997</v>
      </c>
      <c r="AD116">
        <v>330252.06199999998</v>
      </c>
      <c r="AE116">
        <v>330070.90610000002</v>
      </c>
      <c r="AF116">
        <v>330201.1336</v>
      </c>
      <c r="AG116">
        <v>330399.92310000001</v>
      </c>
      <c r="AH116">
        <v>329265.12650000001</v>
      </c>
      <c r="AI116">
        <v>331396.00939999998</v>
      </c>
      <c r="AJ116">
        <v>333206.51579999999</v>
      </c>
      <c r="AK116">
        <v>334777.86129999999</v>
      </c>
      <c r="AL116">
        <v>336337.29450000002</v>
      </c>
      <c r="AM116">
        <v>337914.06</v>
      </c>
      <c r="AN116">
        <v>337962.12150000001</v>
      </c>
      <c r="AO116">
        <v>338528.41759999999</v>
      </c>
      <c r="AP116">
        <v>339070.3357</v>
      </c>
      <c r="AQ116">
        <v>339656.98710000003</v>
      </c>
      <c r="AR116">
        <v>338772.88410000002</v>
      </c>
      <c r="AS116">
        <v>340192.83319999999</v>
      </c>
      <c r="AT116">
        <v>341376.57669999998</v>
      </c>
      <c r="AU116">
        <v>342416.24670000002</v>
      </c>
      <c r="AV116">
        <v>343406.30910000001</v>
      </c>
      <c r="AW116">
        <v>344618.96879999997</v>
      </c>
    </row>
    <row r="117" spans="2:49" x14ac:dyDescent="0.25">
      <c r="B117" t="s">
        <v>418</v>
      </c>
      <c r="C117">
        <v>22712835.5539211</v>
      </c>
      <c r="D117">
        <v>23077497.475414101</v>
      </c>
      <c r="E117">
        <v>23175578.760000002</v>
      </c>
      <c r="F117">
        <v>23253460.780000001</v>
      </c>
      <c r="G117">
        <v>19702875.350000001</v>
      </c>
      <c r="H117">
        <v>16418771.800000001</v>
      </c>
      <c r="I117">
        <v>17174243.66</v>
      </c>
      <c r="J117">
        <v>16761263.24</v>
      </c>
      <c r="K117">
        <v>15882450.310000001</v>
      </c>
      <c r="L117">
        <v>16595374.76</v>
      </c>
      <c r="M117">
        <v>16981864.050000001</v>
      </c>
      <c r="N117">
        <v>17333746.399999999</v>
      </c>
      <c r="O117">
        <v>14524958.880000001</v>
      </c>
      <c r="P117">
        <v>13150143.02</v>
      </c>
      <c r="Q117">
        <v>11999043.23</v>
      </c>
      <c r="R117">
        <v>11044408.810000001</v>
      </c>
      <c r="S117">
        <v>10271982.439999999</v>
      </c>
      <c r="T117">
        <v>10130925.85</v>
      </c>
      <c r="U117">
        <v>10101171.85</v>
      </c>
      <c r="V117">
        <v>10169526.550000001</v>
      </c>
      <c r="W117">
        <v>10061719.58</v>
      </c>
      <c r="X117">
        <v>9836526.3540000003</v>
      </c>
      <c r="Y117">
        <v>9764626.3699999899</v>
      </c>
      <c r="Z117">
        <v>9762713.1630000006</v>
      </c>
      <c r="AA117">
        <v>9751472.7300000004</v>
      </c>
      <c r="AB117">
        <v>9737268.3579999898</v>
      </c>
      <c r="AC117">
        <v>9706734.7750000004</v>
      </c>
      <c r="AD117">
        <v>9809466.3320000004</v>
      </c>
      <c r="AE117">
        <v>9893267.9539999999</v>
      </c>
      <c r="AF117">
        <v>9980649.3029999901</v>
      </c>
      <c r="AG117">
        <v>10073514.18</v>
      </c>
      <c r="AH117">
        <v>10157114.34</v>
      </c>
      <c r="AI117">
        <v>10282967.289999999</v>
      </c>
      <c r="AJ117">
        <v>10401500.609999999</v>
      </c>
      <c r="AK117">
        <v>10518184.43</v>
      </c>
      <c r="AL117">
        <v>10636119.970000001</v>
      </c>
      <c r="AM117">
        <v>10753874.949999999</v>
      </c>
      <c r="AN117">
        <v>10774652</v>
      </c>
      <c r="AO117">
        <v>10790028.529999999</v>
      </c>
      <c r="AP117">
        <v>10792382.550000001</v>
      </c>
      <c r="AQ117">
        <v>10787726.25</v>
      </c>
      <c r="AR117">
        <v>10758930.539999999</v>
      </c>
      <c r="AS117">
        <v>10808941.550000001</v>
      </c>
      <c r="AT117">
        <v>10857241.82</v>
      </c>
      <c r="AU117">
        <v>10901518.18</v>
      </c>
      <c r="AV117">
        <v>10942081.76</v>
      </c>
      <c r="AW117">
        <v>10984760.630000001</v>
      </c>
    </row>
    <row r="118" spans="2:49" x14ac:dyDescent="0.25">
      <c r="B118" t="s">
        <v>419</v>
      </c>
      <c r="C118">
        <v>611949.61832884501</v>
      </c>
      <c r="D118">
        <v>621774.66739182698</v>
      </c>
      <c r="E118">
        <v>544393.97349999996</v>
      </c>
      <c r="F118">
        <v>535182.73840000003</v>
      </c>
      <c r="G118">
        <v>479561.57270000002</v>
      </c>
      <c r="H118">
        <v>403580.21220000001</v>
      </c>
      <c r="I118">
        <v>428889.66269999999</v>
      </c>
      <c r="J118">
        <v>411731.53350000002</v>
      </c>
      <c r="K118">
        <v>370194.88410000002</v>
      </c>
      <c r="L118">
        <v>351423.16460000002</v>
      </c>
      <c r="M118">
        <v>350767.27490000002</v>
      </c>
      <c r="N118">
        <v>350715.09350000002</v>
      </c>
      <c r="O118">
        <v>325109.53769999999</v>
      </c>
      <c r="P118">
        <v>314365.9926</v>
      </c>
      <c r="Q118">
        <v>279805.58889999997</v>
      </c>
      <c r="R118">
        <v>256950.50330000001</v>
      </c>
      <c r="S118">
        <v>243033.23310000001</v>
      </c>
      <c r="T118">
        <v>236715.26149999999</v>
      </c>
      <c r="U118">
        <v>229042.4577</v>
      </c>
      <c r="V118">
        <v>223690.60089999999</v>
      </c>
      <c r="W118">
        <v>234042.1066</v>
      </c>
      <c r="X118">
        <v>241915.6618</v>
      </c>
      <c r="Y118">
        <v>239054.96599999999</v>
      </c>
      <c r="Z118">
        <v>239895.17319999999</v>
      </c>
      <c r="AA118">
        <v>240061.3181</v>
      </c>
      <c r="AB118">
        <v>240189.8272</v>
      </c>
      <c r="AC118">
        <v>240382.67290000001</v>
      </c>
      <c r="AD118">
        <v>240539.78150000001</v>
      </c>
      <c r="AE118">
        <v>240475.86319999999</v>
      </c>
      <c r="AF118">
        <v>240611.5882</v>
      </c>
      <c r="AG118">
        <v>240713.52979999999</v>
      </c>
      <c r="AH118">
        <v>240716.554</v>
      </c>
      <c r="AI118">
        <v>242167.9204</v>
      </c>
      <c r="AJ118">
        <v>243505.5282</v>
      </c>
      <c r="AK118">
        <v>244868.65289999999</v>
      </c>
      <c r="AL118">
        <v>246263.978</v>
      </c>
      <c r="AM118">
        <v>247662.5012</v>
      </c>
      <c r="AN118">
        <v>247017.51240000001</v>
      </c>
      <c r="AO118">
        <v>246482.16940000001</v>
      </c>
      <c r="AP118">
        <v>245686.24050000001</v>
      </c>
      <c r="AQ118">
        <v>244778.36249999999</v>
      </c>
      <c r="AR118">
        <v>243437.1251</v>
      </c>
      <c r="AS118">
        <v>243523.9295</v>
      </c>
      <c r="AT118">
        <v>243606.18340000001</v>
      </c>
      <c r="AU118">
        <v>243644.9099</v>
      </c>
      <c r="AV118">
        <v>243638.9645</v>
      </c>
      <c r="AW118">
        <v>243672.62090000001</v>
      </c>
    </row>
    <row r="119" spans="2:49" x14ac:dyDescent="0.25">
      <c r="B119" t="s">
        <v>420</v>
      </c>
      <c r="C119">
        <v>18604230.451297902</v>
      </c>
      <c r="D119">
        <v>18902927.3889024</v>
      </c>
      <c r="E119">
        <v>16611231.98</v>
      </c>
      <c r="F119">
        <v>16884499.719999999</v>
      </c>
      <c r="G119">
        <v>15763272.119999999</v>
      </c>
      <c r="H119">
        <v>14527554.82</v>
      </c>
      <c r="I119">
        <v>14533379.560000001</v>
      </c>
      <c r="J119">
        <v>14072903.5</v>
      </c>
      <c r="K119">
        <v>13296613.869999999</v>
      </c>
      <c r="L119">
        <v>13048761.01</v>
      </c>
      <c r="M119">
        <v>13112549.210000001</v>
      </c>
      <c r="N119">
        <v>13431450.369999999</v>
      </c>
      <c r="O119">
        <v>12712497.539999999</v>
      </c>
      <c r="P119">
        <v>11991258.42</v>
      </c>
      <c r="Q119">
        <v>11101702.51</v>
      </c>
      <c r="R119">
        <v>10790669.6</v>
      </c>
      <c r="S119">
        <v>10388312.27</v>
      </c>
      <c r="T119">
        <v>10304055.539999999</v>
      </c>
      <c r="U119">
        <v>10178885.109999999</v>
      </c>
      <c r="V119">
        <v>10129379.4</v>
      </c>
      <c r="W119">
        <v>10422840</v>
      </c>
      <c r="X119">
        <v>10656946.220000001</v>
      </c>
      <c r="Y119">
        <v>10617500.210000001</v>
      </c>
      <c r="Z119">
        <v>10685034.630000001</v>
      </c>
      <c r="AA119">
        <v>10726257.48</v>
      </c>
      <c r="AB119">
        <v>10764063.68</v>
      </c>
      <c r="AC119">
        <v>10826310.880000001</v>
      </c>
      <c r="AD119">
        <v>10869877.92</v>
      </c>
      <c r="AE119">
        <v>10912977.539999999</v>
      </c>
      <c r="AF119">
        <v>10965824.91</v>
      </c>
      <c r="AG119">
        <v>11024852.460000001</v>
      </c>
      <c r="AH119">
        <v>11097380.529999999</v>
      </c>
      <c r="AI119">
        <v>11200340.58</v>
      </c>
      <c r="AJ119">
        <v>11305870.48</v>
      </c>
      <c r="AK119">
        <v>11411594.99</v>
      </c>
      <c r="AL119">
        <v>11521837.32</v>
      </c>
      <c r="AM119">
        <v>11636420.970000001</v>
      </c>
      <c r="AN119">
        <v>11684822.880000001</v>
      </c>
      <c r="AO119">
        <v>11741451.289999999</v>
      </c>
      <c r="AP119">
        <v>11790093.869999999</v>
      </c>
      <c r="AQ119">
        <v>11833308.439999999</v>
      </c>
      <c r="AR119">
        <v>11874705.060000001</v>
      </c>
      <c r="AS119">
        <v>11948524.699999999</v>
      </c>
      <c r="AT119">
        <v>12019366.77</v>
      </c>
      <c r="AU119">
        <v>12089542.220000001</v>
      </c>
      <c r="AV119">
        <v>12158654.109999999</v>
      </c>
      <c r="AW119">
        <v>12230920.710000001</v>
      </c>
    </row>
    <row r="120" spans="2:49" x14ac:dyDescent="0.25">
      <c r="B120" t="s">
        <v>421</v>
      </c>
      <c r="C120">
        <v>583438.22926562198</v>
      </c>
      <c r="D120">
        <v>592805.51875492395</v>
      </c>
      <c r="E120">
        <v>519029.97649999999</v>
      </c>
      <c r="F120">
        <v>540349.22679999995</v>
      </c>
      <c r="G120">
        <v>527123.06129999994</v>
      </c>
      <c r="H120">
        <v>458029.92729999998</v>
      </c>
      <c r="I120">
        <v>456493.41</v>
      </c>
      <c r="J120">
        <v>463406.97629999998</v>
      </c>
      <c r="K120">
        <v>442851.59049999999</v>
      </c>
      <c r="L120">
        <v>428803.2928</v>
      </c>
      <c r="M120">
        <v>400942.06959999999</v>
      </c>
      <c r="N120">
        <v>368851.43790000002</v>
      </c>
      <c r="O120">
        <v>359287.09450000001</v>
      </c>
      <c r="P120">
        <v>362395.04749999999</v>
      </c>
      <c r="Q120">
        <v>353560.88709999999</v>
      </c>
      <c r="R120">
        <v>358352.61210000003</v>
      </c>
      <c r="S120">
        <v>345963.58319999999</v>
      </c>
      <c r="T120">
        <v>342818.04320000001</v>
      </c>
      <c r="U120">
        <v>331671.7035</v>
      </c>
      <c r="V120">
        <v>326387.59980000003</v>
      </c>
      <c r="W120">
        <v>339818.41590000002</v>
      </c>
      <c r="X120">
        <v>355097.09379999997</v>
      </c>
      <c r="Y120">
        <v>345099.47279999999</v>
      </c>
      <c r="Z120">
        <v>340025.40850000002</v>
      </c>
      <c r="AA120">
        <v>336012.92670000001</v>
      </c>
      <c r="AB120">
        <v>332518.10879999999</v>
      </c>
      <c r="AC120">
        <v>330731.1323</v>
      </c>
      <c r="AD120">
        <v>329961.97720000002</v>
      </c>
      <c r="AE120">
        <v>328988.65149999998</v>
      </c>
      <c r="AF120">
        <v>328523.39970000001</v>
      </c>
      <c r="AG120">
        <v>327665.91739999998</v>
      </c>
      <c r="AH120">
        <v>327897.79029999999</v>
      </c>
      <c r="AI120">
        <v>328439.53419999999</v>
      </c>
      <c r="AJ120">
        <v>328669.23129999998</v>
      </c>
      <c r="AK120">
        <v>329333.81290000002</v>
      </c>
      <c r="AL120">
        <v>330059.56020000001</v>
      </c>
      <c r="AM120">
        <v>330768.57860000001</v>
      </c>
      <c r="AN120">
        <v>330338.22480000003</v>
      </c>
      <c r="AO120">
        <v>330657.68650000001</v>
      </c>
      <c r="AP120">
        <v>330941.91330000001</v>
      </c>
      <c r="AQ120">
        <v>331732.25099999999</v>
      </c>
      <c r="AR120">
        <v>332556.21189999999</v>
      </c>
      <c r="AS120">
        <v>333253.14</v>
      </c>
      <c r="AT120">
        <v>334011.05050000001</v>
      </c>
      <c r="AU120">
        <v>334506.71049999999</v>
      </c>
      <c r="AV120">
        <v>334971.08760000003</v>
      </c>
      <c r="AW120">
        <v>338155.26429999998</v>
      </c>
    </row>
    <row r="121" spans="2:49" x14ac:dyDescent="0.25">
      <c r="B121" t="s">
        <v>422</v>
      </c>
      <c r="C121">
        <v>640997.091904014</v>
      </c>
      <c r="D121">
        <v>651288.50755091803</v>
      </c>
      <c r="E121">
        <v>552934.97519999999</v>
      </c>
      <c r="F121">
        <v>572009.77</v>
      </c>
      <c r="G121">
        <v>543685.07579999999</v>
      </c>
      <c r="H121">
        <v>545488.65760000004</v>
      </c>
      <c r="I121">
        <v>566713.14320000005</v>
      </c>
      <c r="J121">
        <v>549553.29599999997</v>
      </c>
      <c r="K121">
        <v>522141.08429999999</v>
      </c>
      <c r="L121">
        <v>529031.36730000004</v>
      </c>
      <c r="M121">
        <v>542378.71440000006</v>
      </c>
      <c r="N121">
        <v>576108.7794</v>
      </c>
      <c r="O121">
        <v>617620.33849999995</v>
      </c>
      <c r="P121">
        <v>633508.95079999999</v>
      </c>
      <c r="Q121">
        <v>588154.53319999995</v>
      </c>
      <c r="R121">
        <v>600370.46420000005</v>
      </c>
      <c r="S121">
        <v>621465.64439999999</v>
      </c>
      <c r="T121">
        <v>724237.56019999995</v>
      </c>
      <c r="U121">
        <v>817161.42559999996</v>
      </c>
      <c r="V121">
        <v>920071.27190000005</v>
      </c>
      <c r="W121">
        <v>990578.17709999997</v>
      </c>
      <c r="X121">
        <v>1213974.03</v>
      </c>
      <c r="Y121">
        <v>1298122.6640000001</v>
      </c>
      <c r="Z121">
        <v>1359394.6040000001</v>
      </c>
      <c r="AA121">
        <v>1405446.0319999999</v>
      </c>
      <c r="AB121">
        <v>1439181.372</v>
      </c>
      <c r="AC121">
        <v>1588203.594</v>
      </c>
      <c r="AD121">
        <v>1598287.149</v>
      </c>
      <c r="AE121">
        <v>1610737.436</v>
      </c>
      <c r="AF121">
        <v>1623125.0730000001</v>
      </c>
      <c r="AG121">
        <v>1632032.108</v>
      </c>
      <c r="AH121">
        <v>1699232.06</v>
      </c>
      <c r="AI121">
        <v>1695898.2779999999</v>
      </c>
      <c r="AJ121">
        <v>1695353.3570000001</v>
      </c>
      <c r="AK121">
        <v>1693259.2790000001</v>
      </c>
      <c r="AL121">
        <v>1690328.1740000001</v>
      </c>
      <c r="AM121">
        <v>1687451.365</v>
      </c>
      <c r="AN121">
        <v>1683549.8759999999</v>
      </c>
      <c r="AO121">
        <v>1682426.122</v>
      </c>
      <c r="AP121">
        <v>1681021.6850000001</v>
      </c>
      <c r="AQ121">
        <v>1680204.7660000001</v>
      </c>
      <c r="AR121">
        <v>1745936.919</v>
      </c>
      <c r="AS121">
        <v>1737967.307</v>
      </c>
      <c r="AT121">
        <v>1734560.777</v>
      </c>
      <c r="AU121">
        <v>1732139.0460000001</v>
      </c>
      <c r="AV121">
        <v>1729837.0460000001</v>
      </c>
      <c r="AW121">
        <v>1727801.5889999999</v>
      </c>
    </row>
    <row r="122" spans="2:49" x14ac:dyDescent="0.25">
      <c r="B122" t="s">
        <v>423</v>
      </c>
      <c r="C122">
        <v>2194958.1052306499</v>
      </c>
      <c r="D122">
        <v>2230198.86758945</v>
      </c>
      <c r="E122">
        <v>1880654.692</v>
      </c>
      <c r="F122">
        <v>1871234.8840000001</v>
      </c>
      <c r="G122">
        <v>1864159.8859999999</v>
      </c>
      <c r="H122">
        <v>1861162.2960000001</v>
      </c>
      <c r="I122">
        <v>1867067.99</v>
      </c>
      <c r="J122">
        <v>1879099.5719999999</v>
      </c>
      <c r="K122">
        <v>1880914.933</v>
      </c>
      <c r="L122">
        <v>1879627.767</v>
      </c>
      <c r="M122">
        <v>1891982.0419999999</v>
      </c>
      <c r="N122">
        <v>1874456.736</v>
      </c>
      <c r="O122">
        <v>1897715.9809999999</v>
      </c>
      <c r="P122">
        <v>1916481.639</v>
      </c>
      <c r="Q122">
        <v>1940744.615</v>
      </c>
      <c r="R122">
        <v>1965462.7120000001</v>
      </c>
      <c r="S122">
        <v>1957445.7420000001</v>
      </c>
      <c r="T122">
        <v>1935124.0789999999</v>
      </c>
      <c r="U122">
        <v>1926145.1359999999</v>
      </c>
      <c r="V122">
        <v>1917994.26</v>
      </c>
      <c r="W122">
        <v>1890859.959</v>
      </c>
      <c r="X122">
        <v>1814949.1740000001</v>
      </c>
      <c r="Y122">
        <v>1795177.7009999999</v>
      </c>
      <c r="Z122">
        <v>1785541.0060000001</v>
      </c>
      <c r="AA122">
        <v>1770992.67</v>
      </c>
      <c r="AB122">
        <v>1753023.2069999999</v>
      </c>
      <c r="AC122">
        <v>1713938.541</v>
      </c>
      <c r="AD122">
        <v>1706912.3959999999</v>
      </c>
      <c r="AE122">
        <v>1685598.03</v>
      </c>
      <c r="AF122">
        <v>1663632.9450000001</v>
      </c>
      <c r="AG122">
        <v>1641284.5079999999</v>
      </c>
      <c r="AH122">
        <v>1604024.727</v>
      </c>
      <c r="AI122">
        <v>1601421.683</v>
      </c>
      <c r="AJ122">
        <v>1594071.8389999999</v>
      </c>
      <c r="AK122">
        <v>1584300.5830000001</v>
      </c>
      <c r="AL122">
        <v>1573940.2660000001</v>
      </c>
      <c r="AM122">
        <v>1563630.6610000001</v>
      </c>
      <c r="AN122">
        <v>1561488.9550000001</v>
      </c>
      <c r="AO122">
        <v>1561726.3370000001</v>
      </c>
      <c r="AP122">
        <v>1563082.371</v>
      </c>
      <c r="AQ122">
        <v>1564881.3019999999</v>
      </c>
      <c r="AR122">
        <v>1557237.67</v>
      </c>
      <c r="AS122">
        <v>1569360.622</v>
      </c>
      <c r="AT122">
        <v>1579002.62</v>
      </c>
      <c r="AU122">
        <v>1587536.034</v>
      </c>
      <c r="AV122">
        <v>1595667.0419999999</v>
      </c>
      <c r="AW122">
        <v>1603837.6040000001</v>
      </c>
    </row>
    <row r="123" spans="2:49" x14ac:dyDescent="0.25">
      <c r="B123" t="s">
        <v>424</v>
      </c>
      <c r="C123">
        <v>48301536.741083004</v>
      </c>
      <c r="D123">
        <v>49077033.537035801</v>
      </c>
      <c r="E123">
        <v>41603683.399999999</v>
      </c>
      <c r="F123">
        <v>41334315.219999999</v>
      </c>
      <c r="G123">
        <v>40505798.969999999</v>
      </c>
      <c r="H123">
        <v>39040604.390000001</v>
      </c>
      <c r="I123">
        <v>38695490.689999998</v>
      </c>
      <c r="J123">
        <v>38423767.100000001</v>
      </c>
      <c r="K123">
        <v>37920809.130000003</v>
      </c>
      <c r="L123">
        <v>37193857.880000003</v>
      </c>
      <c r="M123">
        <v>36789772.710000001</v>
      </c>
      <c r="N123">
        <v>36337035.560000002</v>
      </c>
      <c r="O123">
        <v>36297539.039999999</v>
      </c>
      <c r="P123">
        <v>36440354.460000001</v>
      </c>
      <c r="Q123">
        <v>35930954.350000001</v>
      </c>
      <c r="R123">
        <v>35442573.850000001</v>
      </c>
      <c r="S123">
        <v>34837770.009999998</v>
      </c>
      <c r="T123">
        <v>35264099.549999997</v>
      </c>
      <c r="U123">
        <v>35540073.579999998</v>
      </c>
      <c r="V123">
        <v>36045569.18</v>
      </c>
      <c r="W123">
        <v>36335858.710000001</v>
      </c>
      <c r="X123">
        <v>36283787.859999999</v>
      </c>
      <c r="Y123">
        <v>36195723.890000001</v>
      </c>
      <c r="Z123">
        <v>36173029.390000001</v>
      </c>
      <c r="AA123">
        <v>36060593.799999997</v>
      </c>
      <c r="AB123">
        <v>35919234.899999999</v>
      </c>
      <c r="AC123">
        <v>35725894.82</v>
      </c>
      <c r="AD123">
        <v>35510039.530000001</v>
      </c>
      <c r="AE123">
        <v>35219716.149999999</v>
      </c>
      <c r="AF123">
        <v>34969182.460000001</v>
      </c>
      <c r="AG123">
        <v>34689401.82</v>
      </c>
      <c r="AH123">
        <v>34367932.869999997</v>
      </c>
      <c r="AI123">
        <v>34276942.43</v>
      </c>
      <c r="AJ123">
        <v>34162787.649999999</v>
      </c>
      <c r="AK123">
        <v>34023820.210000001</v>
      </c>
      <c r="AL123">
        <v>33888292.960000001</v>
      </c>
      <c r="AM123">
        <v>33757385.490000002</v>
      </c>
      <c r="AN123">
        <v>33820821.920000002</v>
      </c>
      <c r="AO123">
        <v>33943955.25</v>
      </c>
      <c r="AP123">
        <v>34075326.719999999</v>
      </c>
      <c r="AQ123">
        <v>34216187.619999997</v>
      </c>
      <c r="AR123">
        <v>34317829.75</v>
      </c>
      <c r="AS123">
        <v>34633846.039999999</v>
      </c>
      <c r="AT123">
        <v>34923860.68</v>
      </c>
      <c r="AU123">
        <v>35204893.539999999</v>
      </c>
      <c r="AV123">
        <v>35487402.780000001</v>
      </c>
      <c r="AW123">
        <v>35781537.549999997</v>
      </c>
    </row>
    <row r="124" spans="2:49" x14ac:dyDescent="0.25">
      <c r="B124" t="s">
        <v>425</v>
      </c>
      <c r="C124">
        <v>9397840.0105028208</v>
      </c>
      <c r="D124">
        <v>9548725.3716889191</v>
      </c>
      <c r="E124">
        <v>8095813.2759999996</v>
      </c>
      <c r="F124">
        <v>9224671.4120000005</v>
      </c>
      <c r="G124">
        <v>7735850.7359999996</v>
      </c>
      <c r="H124">
        <v>5539799.9670000002</v>
      </c>
      <c r="I124">
        <v>6509632.9950000001</v>
      </c>
      <c r="J124">
        <v>5040881.4649999999</v>
      </c>
      <c r="K124">
        <v>5890781.324</v>
      </c>
      <c r="L124">
        <v>5275044.9079999998</v>
      </c>
      <c r="M124">
        <v>5316550.8140000002</v>
      </c>
      <c r="N124">
        <v>5481125.0920000002</v>
      </c>
      <c r="O124">
        <v>4976298.8720000004</v>
      </c>
      <c r="P124">
        <v>5261452.0149999997</v>
      </c>
      <c r="Q124">
        <v>5144974.6660000002</v>
      </c>
      <c r="R124">
        <v>5197381.2659999998</v>
      </c>
      <c r="S124">
        <v>5176300.1500000004</v>
      </c>
      <c r="T124">
        <v>5063658.858</v>
      </c>
      <c r="U124">
        <v>5053164.0920000002</v>
      </c>
      <c r="V124">
        <v>5047984.7240000004</v>
      </c>
      <c r="W124">
        <v>5002647.78</v>
      </c>
      <c r="X124">
        <v>4920913.6770000001</v>
      </c>
      <c r="Y124">
        <v>4927183.4910000004</v>
      </c>
      <c r="Z124">
        <v>4953130.7570000002</v>
      </c>
      <c r="AA124">
        <v>4976169.8329999996</v>
      </c>
      <c r="AB124">
        <v>5000740.8140000002</v>
      </c>
      <c r="AC124">
        <v>5023490.8159999996</v>
      </c>
      <c r="AD124">
        <v>5054203.2589999996</v>
      </c>
      <c r="AE124">
        <v>5080740.5999999996</v>
      </c>
      <c r="AF124">
        <v>5115603.8540000003</v>
      </c>
      <c r="AG124">
        <v>5148930.6330000004</v>
      </c>
      <c r="AH124">
        <v>5180594.1509999996</v>
      </c>
      <c r="AI124">
        <v>5224785.9400000004</v>
      </c>
      <c r="AJ124">
        <v>5270666.0599999996</v>
      </c>
      <c r="AK124">
        <v>5316081.4740000004</v>
      </c>
      <c r="AL124">
        <v>5364326.915</v>
      </c>
      <c r="AM124">
        <v>5415332.5800000001</v>
      </c>
      <c r="AN124">
        <v>5424785.398</v>
      </c>
      <c r="AO124">
        <v>5427406.0449999999</v>
      </c>
      <c r="AP124">
        <v>5422241.2719999999</v>
      </c>
      <c r="AQ124">
        <v>5411677.2570000002</v>
      </c>
      <c r="AR124">
        <v>5392105.04</v>
      </c>
      <c r="AS124">
        <v>5397210.7369999997</v>
      </c>
      <c r="AT124">
        <v>5404584.1869999999</v>
      </c>
      <c r="AU124">
        <v>5412337.8729999997</v>
      </c>
      <c r="AV124">
        <v>5420523.8080000002</v>
      </c>
      <c r="AW124">
        <v>5429228.7740000002</v>
      </c>
    </row>
    <row r="125" spans="2:49" x14ac:dyDescent="0.25">
      <c r="B125" t="s">
        <v>426</v>
      </c>
      <c r="C125">
        <v>2784044.1169573502</v>
      </c>
      <c r="D125">
        <v>2828742.8457796802</v>
      </c>
      <c r="E125">
        <v>2402692.5989999999</v>
      </c>
      <c r="F125">
        <v>2492148.8220000002</v>
      </c>
      <c r="G125">
        <v>2472992.412</v>
      </c>
      <c r="H125">
        <v>2031376.422</v>
      </c>
      <c r="I125">
        <v>2070238.834</v>
      </c>
      <c r="J125">
        <v>2161834.7960000001</v>
      </c>
      <c r="K125">
        <v>2107463.182</v>
      </c>
      <c r="L125">
        <v>2047527.821</v>
      </c>
      <c r="M125">
        <v>2043334.794</v>
      </c>
      <c r="N125">
        <v>2149958.0070000002</v>
      </c>
      <c r="O125">
        <v>2144236.8879999998</v>
      </c>
      <c r="P125">
        <v>2137646.2140000002</v>
      </c>
      <c r="Q125">
        <v>2201486.7760000001</v>
      </c>
      <c r="R125">
        <v>2224755.8689999999</v>
      </c>
      <c r="S125">
        <v>2186763.5430000001</v>
      </c>
      <c r="T125">
        <v>2144788.92</v>
      </c>
      <c r="U125">
        <v>2124767.5150000001</v>
      </c>
      <c r="V125">
        <v>2117395.1239999998</v>
      </c>
      <c r="W125">
        <v>2132457.4479999999</v>
      </c>
      <c r="X125">
        <v>2134604.5890000002</v>
      </c>
      <c r="Y125">
        <v>2151648.9389999998</v>
      </c>
      <c r="Z125">
        <v>2167000.7400000002</v>
      </c>
      <c r="AA125">
        <v>2181610.9789999998</v>
      </c>
      <c r="AB125">
        <v>2194770.145</v>
      </c>
      <c r="AC125">
        <v>2205932.0090000001</v>
      </c>
      <c r="AD125">
        <v>2222674.406</v>
      </c>
      <c r="AE125">
        <v>2234846.048</v>
      </c>
      <c r="AF125">
        <v>2249286.0060000001</v>
      </c>
      <c r="AG125">
        <v>2264569.3760000002</v>
      </c>
      <c r="AH125">
        <v>2279700.6030000001</v>
      </c>
      <c r="AI125">
        <v>2304127.327</v>
      </c>
      <c r="AJ125">
        <v>2329401.84</v>
      </c>
      <c r="AK125">
        <v>2353878.1639999999</v>
      </c>
      <c r="AL125">
        <v>2379574.2790000001</v>
      </c>
      <c r="AM125">
        <v>2406790.91</v>
      </c>
      <c r="AN125">
        <v>2429775.6009999998</v>
      </c>
      <c r="AO125">
        <v>2455244.56</v>
      </c>
      <c r="AP125">
        <v>2482416.1740000001</v>
      </c>
      <c r="AQ125">
        <v>2510408.665</v>
      </c>
      <c r="AR125">
        <v>2536887.6690000002</v>
      </c>
      <c r="AS125">
        <v>2568072.0419999999</v>
      </c>
      <c r="AT125">
        <v>2598082.8280000002</v>
      </c>
      <c r="AU125">
        <v>2627441.0090000001</v>
      </c>
      <c r="AV125">
        <v>2656811.5159999998</v>
      </c>
      <c r="AW125">
        <v>2686804.8190000001</v>
      </c>
    </row>
    <row r="126" spans="2:49" x14ac:dyDescent="0.25">
      <c r="B126" t="s">
        <v>427</v>
      </c>
      <c r="C126">
        <v>20640520.667746101</v>
      </c>
      <c r="D126">
        <v>20971910.903432399</v>
      </c>
      <c r="E126">
        <v>17996165.57</v>
      </c>
      <c r="F126">
        <v>18361007.27</v>
      </c>
      <c r="G126">
        <v>17728944.98</v>
      </c>
      <c r="H126">
        <v>17074566.550000001</v>
      </c>
      <c r="I126">
        <v>17333733.359999999</v>
      </c>
      <c r="J126">
        <v>17021444.149999999</v>
      </c>
      <c r="K126">
        <v>16395696.380000001</v>
      </c>
      <c r="L126">
        <v>16219673.18</v>
      </c>
      <c r="M126">
        <v>16521902.470000001</v>
      </c>
      <c r="N126">
        <v>17260394.859999999</v>
      </c>
      <c r="O126">
        <v>17113257.809999999</v>
      </c>
      <c r="P126">
        <v>16462822.4</v>
      </c>
      <c r="Q126">
        <v>15312881.039999999</v>
      </c>
      <c r="R126">
        <v>14441441.34</v>
      </c>
      <c r="S126">
        <v>13738076.27</v>
      </c>
      <c r="T126">
        <v>13355290.41</v>
      </c>
      <c r="U126" s="100">
        <v>13016659.529999999</v>
      </c>
      <c r="V126">
        <v>12684175.98</v>
      </c>
      <c r="W126">
        <v>12950414.050000001</v>
      </c>
      <c r="X126">
        <v>13250409.800000001</v>
      </c>
      <c r="Y126">
        <v>13132286.92</v>
      </c>
      <c r="Z126">
        <v>12976056.939999999</v>
      </c>
      <c r="AA126">
        <v>12764233.960000001</v>
      </c>
      <c r="AB126">
        <v>12549656.199999999</v>
      </c>
      <c r="AC126">
        <v>12335018.83</v>
      </c>
      <c r="AD126">
        <v>12128488.83</v>
      </c>
      <c r="AE126">
        <v>11920051.390000001</v>
      </c>
      <c r="AF126">
        <v>11716088.560000001</v>
      </c>
      <c r="AG126">
        <v>11507355.33</v>
      </c>
      <c r="AH126">
        <v>11299693.42</v>
      </c>
      <c r="AI126">
        <v>11127947.68</v>
      </c>
      <c r="AJ126">
        <v>10962205.310000001</v>
      </c>
      <c r="AK126">
        <v>10800488.77</v>
      </c>
      <c r="AL126">
        <v>10641647.380000001</v>
      </c>
      <c r="AM126">
        <v>10486197.279999999</v>
      </c>
      <c r="AN126">
        <v>10331576.52</v>
      </c>
      <c r="AO126">
        <v>10184758.119999999</v>
      </c>
      <c r="AP126">
        <v>10042322.83</v>
      </c>
      <c r="AQ126">
        <v>9903851.1940000001</v>
      </c>
      <c r="AR126">
        <v>9767811.1689999998</v>
      </c>
      <c r="AS126">
        <v>9633446.5769999996</v>
      </c>
      <c r="AT126">
        <v>9501160.75</v>
      </c>
      <c r="AU126">
        <v>9370666.9120000005</v>
      </c>
      <c r="AV126">
        <v>9241804.33699999</v>
      </c>
      <c r="AW126">
        <v>9114242.3609999996</v>
      </c>
    </row>
    <row r="127" spans="2:49" x14ac:dyDescent="0.25">
      <c r="B127" t="s">
        <v>428</v>
      </c>
      <c r="C127">
        <v>261855678.291933</v>
      </c>
      <c r="D127">
        <v>266059855.90652901</v>
      </c>
      <c r="E127">
        <v>239664587.59999999</v>
      </c>
      <c r="F127">
        <v>240806921.19999999</v>
      </c>
      <c r="G127">
        <v>225930951.40000001</v>
      </c>
      <c r="H127">
        <v>208878601</v>
      </c>
      <c r="I127">
        <v>207599694.69999999</v>
      </c>
      <c r="J127">
        <v>201218967.09999999</v>
      </c>
      <c r="K127">
        <v>191898318.09999999</v>
      </c>
      <c r="L127">
        <v>186667305</v>
      </c>
      <c r="M127">
        <v>185547970.80000001</v>
      </c>
      <c r="N127">
        <v>186396853.09999999</v>
      </c>
      <c r="O127">
        <v>178396603.90000001</v>
      </c>
      <c r="P127">
        <v>171655980.09999999</v>
      </c>
      <c r="Q127">
        <v>162894872.59999999</v>
      </c>
      <c r="R127">
        <v>157475325.40000001</v>
      </c>
      <c r="S127">
        <v>152231412.59999999</v>
      </c>
      <c r="T127">
        <v>151384871.69999999</v>
      </c>
      <c r="U127">
        <v>150827577.09999999</v>
      </c>
      <c r="V127">
        <v>151070314.69999999</v>
      </c>
      <c r="W127">
        <v>152180761.40000001</v>
      </c>
      <c r="X127">
        <v>152253192</v>
      </c>
      <c r="Y127">
        <v>152023683</v>
      </c>
      <c r="Z127">
        <v>152407449.5</v>
      </c>
      <c r="AA127">
        <v>152553480.69999999</v>
      </c>
      <c r="AB127">
        <v>152636766.90000001</v>
      </c>
      <c r="AC127">
        <v>152812966.59999999</v>
      </c>
      <c r="AD127">
        <v>152985902.69999999</v>
      </c>
      <c r="AE127">
        <v>153039467.19999999</v>
      </c>
      <c r="AF127">
        <v>153196774.30000001</v>
      </c>
      <c r="AG127">
        <v>153353142.30000001</v>
      </c>
      <c r="AH127">
        <v>153565804.69999999</v>
      </c>
      <c r="AI127">
        <v>154147533.40000001</v>
      </c>
      <c r="AJ127">
        <v>154727756.69999999</v>
      </c>
      <c r="AK127">
        <v>155275035.5</v>
      </c>
      <c r="AL127">
        <v>155873675.19999999</v>
      </c>
      <c r="AM127">
        <v>156499409</v>
      </c>
      <c r="AN127">
        <v>156645705.5</v>
      </c>
      <c r="AO127">
        <v>156812625</v>
      </c>
      <c r="AP127">
        <v>156918406.19999999</v>
      </c>
      <c r="AQ127">
        <v>157001977</v>
      </c>
      <c r="AR127">
        <v>157031950.5</v>
      </c>
      <c r="AS127">
        <v>158304533.30000001</v>
      </c>
      <c r="AT127">
        <v>159670587.80000001</v>
      </c>
      <c r="AU127">
        <v>161013028.40000001</v>
      </c>
      <c r="AV127">
        <v>162331798.59999999</v>
      </c>
      <c r="AW127">
        <v>163692316.90000001</v>
      </c>
    </row>
    <row r="128" spans="2:49" x14ac:dyDescent="0.25">
      <c r="B128" t="s">
        <v>429</v>
      </c>
      <c r="C128">
        <v>5733144.4507061103</v>
      </c>
      <c r="D128">
        <v>5825191.9393003099</v>
      </c>
      <c r="E128">
        <v>5064672.3430000003</v>
      </c>
      <c r="F128">
        <v>5068432.3830000004</v>
      </c>
      <c r="G128">
        <v>4905517.1550000003</v>
      </c>
      <c r="H128">
        <v>5023145.5219999999</v>
      </c>
      <c r="I128">
        <v>5060791.6540000001</v>
      </c>
      <c r="J128">
        <v>4956551.7570000002</v>
      </c>
      <c r="K128">
        <v>4805424.9170000004</v>
      </c>
      <c r="L128">
        <v>4788256.6579999998</v>
      </c>
      <c r="M128">
        <v>4864597.6890000002</v>
      </c>
      <c r="N128">
        <v>5084154.8130000001</v>
      </c>
      <c r="O128">
        <v>5105192.2450000001</v>
      </c>
      <c r="P128">
        <v>4899151.8880000003</v>
      </c>
      <c r="Q128">
        <v>4477755.63</v>
      </c>
      <c r="R128">
        <v>4175648.5010000002</v>
      </c>
      <c r="S128">
        <v>3955388.287</v>
      </c>
      <c r="T128">
        <v>3791386.6269999999</v>
      </c>
      <c r="U128">
        <v>3645470.9210000001</v>
      </c>
      <c r="V128">
        <v>3500698.844</v>
      </c>
      <c r="W128">
        <v>3644499.1529999999</v>
      </c>
      <c r="X128">
        <v>3796140.5649999999</v>
      </c>
      <c r="Y128">
        <v>3749349.5890000002</v>
      </c>
      <c r="Z128">
        <v>3689583.36</v>
      </c>
      <c r="AA128">
        <v>3609584.9610000001</v>
      </c>
      <c r="AB128">
        <v>3530043.548</v>
      </c>
      <c r="AC128">
        <v>3451735.7629999998</v>
      </c>
      <c r="AD128">
        <v>3377715.5070000002</v>
      </c>
      <c r="AE128">
        <v>3303796.9539999999</v>
      </c>
      <c r="AF128">
        <v>3232261.3939999999</v>
      </c>
      <c r="AG128">
        <v>3159522.378</v>
      </c>
      <c r="AH128">
        <v>3087732.719</v>
      </c>
      <c r="AI128">
        <v>3031306.3190000001</v>
      </c>
      <c r="AJ128">
        <v>2977383.2969999998</v>
      </c>
      <c r="AK128">
        <v>2925130.807</v>
      </c>
      <c r="AL128">
        <v>2874040.2259999998</v>
      </c>
      <c r="AM128">
        <v>2824309.6039999998</v>
      </c>
      <c r="AN128">
        <v>2774516.1979999999</v>
      </c>
      <c r="AO128">
        <v>2727346.4130000002</v>
      </c>
      <c r="AP128">
        <v>2681777.2889999999</v>
      </c>
      <c r="AQ128">
        <v>2637553.5490000001</v>
      </c>
      <c r="AR128">
        <v>2594135.1290000002</v>
      </c>
      <c r="AS128">
        <v>2551117.3650000002</v>
      </c>
      <c r="AT128">
        <v>2508756.5329999998</v>
      </c>
      <c r="AU128">
        <v>2466983.2289999998</v>
      </c>
      <c r="AV128">
        <v>2425759.7910000002</v>
      </c>
      <c r="AW128">
        <v>2384957.7319999998</v>
      </c>
    </row>
    <row r="129" spans="2:49" x14ac:dyDescent="0.25">
      <c r="B129" t="s">
        <v>430</v>
      </c>
      <c r="C129">
        <v>746221.21464997705</v>
      </c>
      <c r="D129">
        <v>758202.03762327298</v>
      </c>
      <c r="E129">
        <v>770375.21660000004</v>
      </c>
      <c r="F129">
        <v>786060.63820000004</v>
      </c>
      <c r="G129">
        <v>645152.17079999996</v>
      </c>
      <c r="H129">
        <v>572918.47490000003</v>
      </c>
      <c r="I129">
        <v>402503.91340000002</v>
      </c>
      <c r="J129">
        <v>409671.6201</v>
      </c>
      <c r="K129">
        <v>379132.32250000001</v>
      </c>
      <c r="L129">
        <v>377206.30609999999</v>
      </c>
      <c r="M129">
        <v>381948.62479999999</v>
      </c>
      <c r="N129">
        <v>370136.8101</v>
      </c>
      <c r="O129">
        <v>310321.3504</v>
      </c>
      <c r="P129">
        <v>262912.07990000001</v>
      </c>
      <c r="Q129">
        <v>228920.08360000001</v>
      </c>
      <c r="R129">
        <v>203330.38219999999</v>
      </c>
      <c r="S129">
        <v>174878.56839999999</v>
      </c>
      <c r="T129">
        <v>165630.1159</v>
      </c>
      <c r="U129">
        <v>155306.65169999999</v>
      </c>
      <c r="V129">
        <v>147504.61379999999</v>
      </c>
      <c r="W129">
        <v>135719.88370000001</v>
      </c>
      <c r="X129">
        <v>124429.16929999999</v>
      </c>
      <c r="Y129">
        <v>121754.68640000001</v>
      </c>
      <c r="Z129">
        <v>121555.1686</v>
      </c>
      <c r="AA129">
        <v>121992.35769999999</v>
      </c>
      <c r="AB129">
        <v>122542.7969</v>
      </c>
      <c r="AC129">
        <v>123449.36629999999</v>
      </c>
      <c r="AD129">
        <v>124532.9246</v>
      </c>
      <c r="AE129">
        <v>125484.8373</v>
      </c>
      <c r="AF129">
        <v>126561.9589</v>
      </c>
      <c r="AG129">
        <v>127656.4901</v>
      </c>
      <c r="AH129">
        <v>129039.61840000001</v>
      </c>
      <c r="AI129">
        <v>130313.16869999999</v>
      </c>
      <c r="AJ129">
        <v>131440.24559999999</v>
      </c>
      <c r="AK129">
        <v>132680.69440000001</v>
      </c>
      <c r="AL129">
        <v>133944.2628</v>
      </c>
      <c r="AM129">
        <v>135206.1035</v>
      </c>
      <c r="AN129">
        <v>132582.75959999999</v>
      </c>
      <c r="AO129">
        <v>129407.2558</v>
      </c>
      <c r="AP129">
        <v>126061.7599</v>
      </c>
      <c r="AQ129">
        <v>122830.99830000001</v>
      </c>
      <c r="AR129">
        <v>119545.34699999999</v>
      </c>
      <c r="AS129">
        <v>118158.15640000001</v>
      </c>
      <c r="AT129">
        <v>117078.976</v>
      </c>
      <c r="AU129">
        <v>115975.3115</v>
      </c>
      <c r="AV129">
        <v>114863.6287</v>
      </c>
      <c r="AW129">
        <v>114191.314</v>
      </c>
    </row>
    <row r="130" spans="2:49" x14ac:dyDescent="0.25">
      <c r="B130" t="s">
        <v>431</v>
      </c>
      <c r="C130">
        <v>480333.66960581898</v>
      </c>
      <c r="D130">
        <v>488045.58203966799</v>
      </c>
      <c r="E130">
        <v>495881.31170000002</v>
      </c>
      <c r="F130">
        <v>501263.8052</v>
      </c>
      <c r="G130">
        <v>416901.7672</v>
      </c>
      <c r="H130">
        <v>385318.39199999999</v>
      </c>
      <c r="I130">
        <v>361168.04719999997</v>
      </c>
      <c r="J130">
        <v>324287.32510000002</v>
      </c>
      <c r="K130">
        <v>313019.65169999999</v>
      </c>
      <c r="L130">
        <v>337429.67959999997</v>
      </c>
      <c r="M130">
        <v>339079.77710000001</v>
      </c>
      <c r="N130">
        <v>339791.06089999998</v>
      </c>
      <c r="O130">
        <v>252504.88810000001</v>
      </c>
      <c r="P130">
        <v>192576.52050000001</v>
      </c>
      <c r="Q130">
        <v>162116.74979999999</v>
      </c>
      <c r="R130">
        <v>142694.93030000001</v>
      </c>
      <c r="S130">
        <v>125856.8009</v>
      </c>
      <c r="T130">
        <v>123063.861</v>
      </c>
      <c r="U130">
        <v>121496.3805</v>
      </c>
      <c r="V130">
        <v>120589.8787</v>
      </c>
      <c r="W130">
        <v>118642.47870000001</v>
      </c>
      <c r="X130">
        <v>115689.89049999999</v>
      </c>
      <c r="Y130">
        <v>116752.1951</v>
      </c>
      <c r="Z130">
        <v>119057.0488</v>
      </c>
      <c r="AA130">
        <v>121591.4454</v>
      </c>
      <c r="AB130">
        <v>124186.0448</v>
      </c>
      <c r="AC130">
        <v>127100.0065</v>
      </c>
      <c r="AD130">
        <v>129448.4712</v>
      </c>
      <c r="AE130">
        <v>131853.61040000001</v>
      </c>
      <c r="AF130">
        <v>134285.48879999999</v>
      </c>
      <c r="AG130">
        <v>136884.31520000001</v>
      </c>
      <c r="AH130">
        <v>139728.6741</v>
      </c>
      <c r="AI130">
        <v>142560.7311</v>
      </c>
      <c r="AJ130">
        <v>145443.56950000001</v>
      </c>
      <c r="AK130">
        <v>148335.4541</v>
      </c>
      <c r="AL130">
        <v>151279.98550000001</v>
      </c>
      <c r="AM130">
        <v>154269.52789999999</v>
      </c>
      <c r="AN130">
        <v>154585.72159999999</v>
      </c>
      <c r="AO130">
        <v>154318.59020000001</v>
      </c>
      <c r="AP130">
        <v>153670.47510000001</v>
      </c>
      <c r="AQ130">
        <v>152776.24890000001</v>
      </c>
      <c r="AR130">
        <v>151703.55360000001</v>
      </c>
      <c r="AS130">
        <v>152157.1765</v>
      </c>
      <c r="AT130">
        <v>152804.861</v>
      </c>
      <c r="AU130">
        <v>153424.7078</v>
      </c>
      <c r="AV130">
        <v>153977.14720000001</v>
      </c>
      <c r="AW130">
        <v>154497.32449999999</v>
      </c>
    </row>
    <row r="131" spans="2:49" x14ac:dyDescent="0.25">
      <c r="B131" t="s">
        <v>432</v>
      </c>
      <c r="C131">
        <v>1469582.3108926199</v>
      </c>
      <c r="D131">
        <v>1493176.93024387</v>
      </c>
      <c r="E131">
        <v>1517150.3689999999</v>
      </c>
      <c r="F131">
        <v>1535019.9240000001</v>
      </c>
      <c r="G131">
        <v>1321628.727</v>
      </c>
      <c r="H131">
        <v>1268548.5149999999</v>
      </c>
      <c r="I131">
        <v>1036821.546</v>
      </c>
      <c r="J131">
        <v>961450.47510000004</v>
      </c>
      <c r="K131">
        <v>960554.94700000004</v>
      </c>
      <c r="L131">
        <v>1029388.474</v>
      </c>
      <c r="M131">
        <v>1034215.405</v>
      </c>
      <c r="N131">
        <v>1040760.486</v>
      </c>
      <c r="O131">
        <v>788023.65769999998</v>
      </c>
      <c r="P131">
        <v>608760.96550000005</v>
      </c>
      <c r="Q131">
        <v>512983.31770000001</v>
      </c>
      <c r="R131">
        <v>460850.17950000003</v>
      </c>
      <c r="S131">
        <v>399684.3382</v>
      </c>
      <c r="T131">
        <v>383570.98359999998</v>
      </c>
      <c r="U131">
        <v>371357.141</v>
      </c>
      <c r="V131">
        <v>360657.79590000003</v>
      </c>
      <c r="W131">
        <v>338420.33740000002</v>
      </c>
      <c r="X131">
        <v>314806.55540000001</v>
      </c>
      <c r="Y131">
        <v>307286.80979999999</v>
      </c>
      <c r="Z131">
        <v>304007.69329999998</v>
      </c>
      <c r="AA131">
        <v>301288.93930000003</v>
      </c>
      <c r="AB131">
        <v>298583.46269999997</v>
      </c>
      <c r="AC131">
        <v>296099.11790000001</v>
      </c>
      <c r="AD131">
        <v>299621.26630000002</v>
      </c>
      <c r="AE131">
        <v>303122.50380000001</v>
      </c>
      <c r="AF131">
        <v>306901.48859999998</v>
      </c>
      <c r="AG131">
        <v>310739.54210000002</v>
      </c>
      <c r="AH131">
        <v>314851.19809999998</v>
      </c>
      <c r="AI131">
        <v>319234.20179999998</v>
      </c>
      <c r="AJ131">
        <v>323575.02659999998</v>
      </c>
      <c r="AK131">
        <v>327903.10710000002</v>
      </c>
      <c r="AL131">
        <v>332320.21429999999</v>
      </c>
      <c r="AM131">
        <v>336781.22610000003</v>
      </c>
      <c r="AN131">
        <v>333783.19010000001</v>
      </c>
      <c r="AO131">
        <v>329371.51049999997</v>
      </c>
      <c r="AP131">
        <v>324291.05040000001</v>
      </c>
      <c r="AQ131">
        <v>318963.99949999998</v>
      </c>
      <c r="AR131">
        <v>313430.902</v>
      </c>
      <c r="AS131">
        <v>311820.92320000002</v>
      </c>
      <c r="AT131">
        <v>310825.31849999999</v>
      </c>
      <c r="AU131">
        <v>309858.41560000001</v>
      </c>
      <c r="AV131">
        <v>308840.6434</v>
      </c>
      <c r="AW131">
        <v>307764.03529999999</v>
      </c>
    </row>
    <row r="132" spans="2:49" x14ac:dyDescent="0.25">
      <c r="B132" t="s">
        <v>433</v>
      </c>
      <c r="C132">
        <v>225722.47732836599</v>
      </c>
      <c r="D132">
        <v>229346.52471387701</v>
      </c>
      <c r="E132">
        <v>233028.7574</v>
      </c>
      <c r="F132">
        <v>236352.48310000001</v>
      </c>
      <c r="G132">
        <v>213683.23989999999</v>
      </c>
      <c r="H132">
        <v>203612.3333</v>
      </c>
      <c r="I132">
        <v>192547.3322</v>
      </c>
      <c r="J132">
        <v>186522.70129999999</v>
      </c>
      <c r="K132">
        <v>188863.66279999999</v>
      </c>
      <c r="L132">
        <v>202198.0417</v>
      </c>
      <c r="M132">
        <v>206178.64129999999</v>
      </c>
      <c r="N132">
        <v>210796.29680000001</v>
      </c>
      <c r="O132">
        <v>175805.3106</v>
      </c>
      <c r="P132">
        <v>152340.56280000001</v>
      </c>
      <c r="Q132">
        <v>139677.91200000001</v>
      </c>
      <c r="R132">
        <v>135732.1606</v>
      </c>
      <c r="S132">
        <v>127910.9694</v>
      </c>
      <c r="T132">
        <v>124815.2001</v>
      </c>
      <c r="U132">
        <v>123332.4939</v>
      </c>
      <c r="V132">
        <v>121929.9023</v>
      </c>
      <c r="W132">
        <v>119537.94680000001</v>
      </c>
      <c r="X132">
        <v>116105.3762</v>
      </c>
      <c r="Y132">
        <v>116834.6701</v>
      </c>
      <c r="Z132">
        <v>118520.09910000001</v>
      </c>
      <c r="AA132">
        <v>120155.60129999999</v>
      </c>
      <c r="AB132">
        <v>121769.7885</v>
      </c>
      <c r="AC132">
        <v>123358.30070000001</v>
      </c>
      <c r="AD132">
        <v>124788.4862</v>
      </c>
      <c r="AE132">
        <v>126166.3912</v>
      </c>
      <c r="AF132">
        <v>127689.1372</v>
      </c>
      <c r="AG132">
        <v>129147.0352</v>
      </c>
      <c r="AH132">
        <v>130667.71460000001</v>
      </c>
      <c r="AI132">
        <v>132207.89509999999</v>
      </c>
      <c r="AJ132">
        <v>133828.30590000001</v>
      </c>
      <c r="AK132">
        <v>135481.09669999999</v>
      </c>
      <c r="AL132">
        <v>137204.64300000001</v>
      </c>
      <c r="AM132">
        <v>138976.06219999999</v>
      </c>
      <c r="AN132">
        <v>138731.61420000001</v>
      </c>
      <c r="AO132">
        <v>137992.4903</v>
      </c>
      <c r="AP132">
        <v>136955.27979999999</v>
      </c>
      <c r="AQ132">
        <v>135747.49919999999</v>
      </c>
      <c r="AR132">
        <v>134365.02929999999</v>
      </c>
      <c r="AS132">
        <v>134264.43160000001</v>
      </c>
      <c r="AT132">
        <v>134377.9412</v>
      </c>
      <c r="AU132">
        <v>134496.82029999999</v>
      </c>
      <c r="AV132">
        <v>134584.9136</v>
      </c>
      <c r="AW132">
        <v>134606.59359999999</v>
      </c>
    </row>
    <row r="133" spans="2:49" x14ac:dyDescent="0.25">
      <c r="B133" t="s">
        <v>434</v>
      </c>
      <c r="C133">
        <v>20679763.666016001</v>
      </c>
      <c r="D133">
        <v>21011783.9607329</v>
      </c>
      <c r="E133">
        <v>21366946.07</v>
      </c>
      <c r="F133">
        <v>21487968.23</v>
      </c>
      <c r="G133">
        <v>18146676.890000001</v>
      </c>
      <c r="H133">
        <v>15167521.6</v>
      </c>
      <c r="I133">
        <v>15850942.99</v>
      </c>
      <c r="J133">
        <v>15470008.07</v>
      </c>
      <c r="K133">
        <v>14716549.949999999</v>
      </c>
      <c r="L133">
        <v>15461821.66</v>
      </c>
      <c r="M133">
        <v>15858326.26</v>
      </c>
      <c r="N133">
        <v>16203600.960000001</v>
      </c>
      <c r="O133">
        <v>13416132.300000001</v>
      </c>
      <c r="P133">
        <v>12003526.970000001</v>
      </c>
      <c r="Q133">
        <v>10883576.17</v>
      </c>
      <c r="R133">
        <v>9977013.2589999996</v>
      </c>
      <c r="S133">
        <v>9228595.6229999997</v>
      </c>
      <c r="T133">
        <v>9133673.5800000001</v>
      </c>
      <c r="U133">
        <v>9146091.3579999898</v>
      </c>
      <c r="V133">
        <v>9250009.0950000007</v>
      </c>
      <c r="W133">
        <v>9112500.22299999</v>
      </c>
      <c r="X133">
        <v>8873441.9580000006</v>
      </c>
      <c r="Y133">
        <v>8822595.4120000005</v>
      </c>
      <c r="Z133">
        <v>8832827.4780000001</v>
      </c>
      <c r="AA133">
        <v>8836288.7039999999</v>
      </c>
      <c r="AB133">
        <v>8837008.7180000003</v>
      </c>
      <c r="AC133">
        <v>8822710.6270000003</v>
      </c>
      <c r="AD133">
        <v>8928601.1899999995</v>
      </c>
      <c r="AE133">
        <v>9017504.7770000007</v>
      </c>
      <c r="AF133">
        <v>9109461.7760000005</v>
      </c>
      <c r="AG133">
        <v>9206969.0380000006</v>
      </c>
      <c r="AH133">
        <v>9296126.4179999996</v>
      </c>
      <c r="AI133">
        <v>9419920.9269999899</v>
      </c>
      <c r="AJ133">
        <v>9536864.0879999995</v>
      </c>
      <c r="AK133">
        <v>9652069.3589999899</v>
      </c>
      <c r="AL133">
        <v>9768464.5140000004</v>
      </c>
      <c r="AM133">
        <v>9884645.1449999996</v>
      </c>
      <c r="AN133">
        <v>9912308.7609999999</v>
      </c>
      <c r="AO133">
        <v>9934629.3350000009</v>
      </c>
      <c r="AP133">
        <v>9944672.352</v>
      </c>
      <c r="AQ133">
        <v>9948079.4690000005</v>
      </c>
      <c r="AR133">
        <v>9929139.6850000005</v>
      </c>
      <c r="AS133">
        <v>9982576.6429999899</v>
      </c>
      <c r="AT133">
        <v>10034300.68</v>
      </c>
      <c r="AU133">
        <v>10082254.73</v>
      </c>
      <c r="AV133">
        <v>10126740.77</v>
      </c>
      <c r="AW133">
        <v>10173187.57</v>
      </c>
    </row>
    <row r="134" spans="2:49" x14ac:dyDescent="0.25">
      <c r="B134" t="s">
        <v>435</v>
      </c>
      <c r="C134">
        <v>2009388.6600685499</v>
      </c>
      <c r="D134">
        <v>2041650.04496113</v>
      </c>
      <c r="E134">
        <v>2074429.3970000001</v>
      </c>
      <c r="F134">
        <v>2145815.27</v>
      </c>
      <c r="G134">
        <v>1714145.0449999999</v>
      </c>
      <c r="H134">
        <v>1629941.3829999999</v>
      </c>
      <c r="I134">
        <v>1632549.8940000001</v>
      </c>
      <c r="J134">
        <v>1504039.645</v>
      </c>
      <c r="K134">
        <v>1536970.6140000001</v>
      </c>
      <c r="L134">
        <v>1760659.7749999999</v>
      </c>
      <c r="M134">
        <v>1834828.612</v>
      </c>
      <c r="N134">
        <v>1844393.56</v>
      </c>
      <c r="O134">
        <v>1202969.4380000001</v>
      </c>
      <c r="P134">
        <v>837983.46589999995</v>
      </c>
      <c r="Q134">
        <v>676371.77269999997</v>
      </c>
      <c r="R134">
        <v>611877.9963</v>
      </c>
      <c r="S134">
        <v>530193.06660000002</v>
      </c>
      <c r="T134">
        <v>528172.84829999995</v>
      </c>
      <c r="U134">
        <v>532417.23100000003</v>
      </c>
      <c r="V134">
        <v>543403.60199999996</v>
      </c>
      <c r="W134">
        <v>549987.3702</v>
      </c>
      <c r="X134">
        <v>555887.78590000002</v>
      </c>
      <c r="Y134">
        <v>563594.39930000005</v>
      </c>
      <c r="Z134">
        <v>576276.73369999998</v>
      </c>
      <c r="AA134">
        <v>588636.90489999996</v>
      </c>
      <c r="AB134">
        <v>601332.07169999997</v>
      </c>
      <c r="AC134">
        <v>615847.51320000004</v>
      </c>
      <c r="AD134">
        <v>629752.97759999998</v>
      </c>
      <c r="AE134">
        <v>644232.31909999996</v>
      </c>
      <c r="AF134">
        <v>659344.10690000001</v>
      </c>
      <c r="AG134">
        <v>675639.59080000001</v>
      </c>
      <c r="AH134">
        <v>693328.8284</v>
      </c>
      <c r="AI134">
        <v>711073.41760000004</v>
      </c>
      <c r="AJ134">
        <v>729026.71490000002</v>
      </c>
      <c r="AK134">
        <v>747310.80180000002</v>
      </c>
      <c r="AL134">
        <v>766250.46580000001</v>
      </c>
      <c r="AM134">
        <v>785749.89659999998</v>
      </c>
      <c r="AN134">
        <v>803414.10679999995</v>
      </c>
      <c r="AO134">
        <v>822396.98809999996</v>
      </c>
      <c r="AP134">
        <v>840734.78040000005</v>
      </c>
      <c r="AQ134">
        <v>859076.02060000005</v>
      </c>
      <c r="AR134">
        <v>877719.08849999995</v>
      </c>
      <c r="AS134">
        <v>898282.61129999999</v>
      </c>
      <c r="AT134">
        <v>918905.29980000004</v>
      </c>
      <c r="AU134">
        <v>939839.62459999998</v>
      </c>
      <c r="AV134">
        <v>961025.05810000002</v>
      </c>
      <c r="AW134">
        <v>982868.13710000005</v>
      </c>
    </row>
    <row r="135" spans="2:49" x14ac:dyDescent="0.25">
      <c r="B135" t="s">
        <v>436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</row>
    <row r="136" spans="2:49" x14ac:dyDescent="0.25">
      <c r="B136" t="s">
        <v>437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</row>
    <row r="137" spans="2:49" x14ac:dyDescent="0.25">
      <c r="B137" t="s">
        <v>438</v>
      </c>
      <c r="C137">
        <v>20174774.421468802</v>
      </c>
      <c r="D137">
        <v>20498686.950521201</v>
      </c>
      <c r="E137">
        <v>20827800</v>
      </c>
      <c r="F137">
        <v>19626753.850000001</v>
      </c>
      <c r="G137">
        <v>18314435.039999999</v>
      </c>
      <c r="H137">
        <v>15978312.67</v>
      </c>
      <c r="I137">
        <v>14865643.439999999</v>
      </c>
      <c r="J137">
        <v>13982229.18</v>
      </c>
      <c r="K137">
        <v>13018398.59</v>
      </c>
      <c r="L137">
        <v>11933480.15</v>
      </c>
      <c r="M137">
        <v>10890368.02</v>
      </c>
      <c r="N137">
        <v>9799355.352</v>
      </c>
      <c r="O137">
        <v>8289089.7470000004</v>
      </c>
      <c r="P137">
        <v>6999372.534</v>
      </c>
      <c r="Q137">
        <v>6547717.6200000001</v>
      </c>
      <c r="R137">
        <v>6442127.9309999999</v>
      </c>
      <c r="S137">
        <v>6335637.2949999999</v>
      </c>
      <c r="T137">
        <v>6304413.1289999997</v>
      </c>
      <c r="U137">
        <v>6294705.7309999997</v>
      </c>
      <c r="V137">
        <v>6300407.0860000001</v>
      </c>
      <c r="W137">
        <v>6475145.4550000001</v>
      </c>
      <c r="X137">
        <v>6687153.0800000001</v>
      </c>
      <c r="Y137">
        <v>6819780.4630000005</v>
      </c>
      <c r="Z137">
        <v>6935346.2390000001</v>
      </c>
      <c r="AA137">
        <v>7059139.2520000003</v>
      </c>
      <c r="AB137">
        <v>7165727.3439999996</v>
      </c>
      <c r="AC137">
        <v>7273547.8279999997</v>
      </c>
      <c r="AD137">
        <v>7337677.415</v>
      </c>
      <c r="AE137">
        <v>7395181.7149999999</v>
      </c>
      <c r="AF137">
        <v>7451842.0729999999</v>
      </c>
      <c r="AG137">
        <v>7507499.1299999999</v>
      </c>
      <c r="AH137">
        <v>7563247.8229999999</v>
      </c>
      <c r="AI137">
        <v>7614848.4529999997</v>
      </c>
      <c r="AJ137">
        <v>7663371.2460000003</v>
      </c>
      <c r="AK137">
        <v>7708639.2719999999</v>
      </c>
      <c r="AL137">
        <v>7752075.4840000002</v>
      </c>
      <c r="AM137">
        <v>7793354.0489999996</v>
      </c>
      <c r="AN137">
        <v>7827576.5470000003</v>
      </c>
      <c r="AO137">
        <v>7858782.9800000004</v>
      </c>
      <c r="AP137">
        <v>7887118.7470000004</v>
      </c>
      <c r="AQ137">
        <v>7913477.0080000004</v>
      </c>
      <c r="AR137">
        <v>7937844.6069999998</v>
      </c>
      <c r="AS137">
        <v>7976122.352</v>
      </c>
      <c r="AT137">
        <v>8016345.9349999996</v>
      </c>
      <c r="AU137">
        <v>8055205.3839999996</v>
      </c>
      <c r="AV137">
        <v>8092242.977</v>
      </c>
      <c r="AW137">
        <v>8130723.3660000004</v>
      </c>
    </row>
    <row r="138" spans="2:49" x14ac:dyDescent="0.25">
      <c r="B138" t="s">
        <v>439</v>
      </c>
      <c r="C138">
        <v>16278956.881142</v>
      </c>
      <c r="D138">
        <v>16540320.799446501</v>
      </c>
      <c r="E138">
        <v>16805881</v>
      </c>
      <c r="F138">
        <v>16816498.829999998</v>
      </c>
      <c r="G138">
        <v>15834231.33</v>
      </c>
      <c r="H138">
        <v>15173663.18</v>
      </c>
      <c r="I138">
        <v>14787431.67</v>
      </c>
      <c r="J138">
        <v>12913587.539999999</v>
      </c>
      <c r="K138">
        <v>11217944.130000001</v>
      </c>
      <c r="L138">
        <v>9841383.0920000002</v>
      </c>
      <c r="M138">
        <v>8812959.2019999996</v>
      </c>
      <c r="N138">
        <v>7972583.0520000001</v>
      </c>
      <c r="O138">
        <v>7253726.9050000003</v>
      </c>
      <c r="P138">
        <v>6496367.6960000005</v>
      </c>
      <c r="Q138">
        <v>5695074.1799999997</v>
      </c>
      <c r="R138">
        <v>5022066.4709999999</v>
      </c>
      <c r="S138">
        <v>4386957.8260000004</v>
      </c>
      <c r="T138">
        <v>5183255.8279999997</v>
      </c>
      <c r="U138">
        <v>5963740.9639999997</v>
      </c>
      <c r="V138">
        <v>6748957.1339999996</v>
      </c>
      <c r="W138">
        <v>8228420.9840000002</v>
      </c>
      <c r="X138">
        <v>9595183.3220000006</v>
      </c>
      <c r="Y138">
        <v>9707879.4450000003</v>
      </c>
      <c r="Z138">
        <v>9862757.1720000003</v>
      </c>
      <c r="AA138">
        <v>10011363.68</v>
      </c>
      <c r="AB138">
        <v>10190640.4</v>
      </c>
      <c r="AC138">
        <v>10342147.970000001</v>
      </c>
      <c r="AD138">
        <v>10456759.65</v>
      </c>
      <c r="AE138">
        <v>10583049.220000001</v>
      </c>
      <c r="AF138">
        <v>10709480.83</v>
      </c>
      <c r="AG138">
        <v>10862251.439999999</v>
      </c>
      <c r="AH138">
        <v>11014418.43</v>
      </c>
      <c r="AI138">
        <v>11150606.93</v>
      </c>
      <c r="AJ138">
        <v>11289541.73</v>
      </c>
      <c r="AK138">
        <v>11426139.91</v>
      </c>
      <c r="AL138">
        <v>11590329.880000001</v>
      </c>
      <c r="AM138">
        <v>11754591.73</v>
      </c>
      <c r="AN138">
        <v>11825665.779999999</v>
      </c>
      <c r="AO138">
        <v>11893057.949999999</v>
      </c>
      <c r="AP138">
        <v>11954334.83</v>
      </c>
      <c r="AQ138">
        <v>12011854.779999999</v>
      </c>
      <c r="AR138">
        <v>12054466.85</v>
      </c>
      <c r="AS138">
        <v>12037456.23</v>
      </c>
      <c r="AT138">
        <v>12021671.49</v>
      </c>
      <c r="AU138">
        <v>12004822.189999999</v>
      </c>
      <c r="AV138">
        <v>11987473.08</v>
      </c>
      <c r="AW138">
        <v>11973977.720000001</v>
      </c>
    </row>
    <row r="139" spans="2:49" x14ac:dyDescent="0.25">
      <c r="B139" t="s">
        <v>440</v>
      </c>
      <c r="C139">
        <v>6501803.9853722304</v>
      </c>
      <c r="D139">
        <v>6606192.55142547</v>
      </c>
      <c r="E139">
        <v>5596698.8099999996</v>
      </c>
      <c r="F139">
        <v>5790081.8490000004</v>
      </c>
      <c r="G139">
        <v>5486016.0690000001</v>
      </c>
      <c r="H139">
        <v>5806041.2280000001</v>
      </c>
      <c r="I139">
        <v>6015352.5190000003</v>
      </c>
      <c r="J139">
        <v>5635887.4220000003</v>
      </c>
      <c r="K139">
        <v>5378447.0480000004</v>
      </c>
      <c r="L139">
        <v>5237694.0810000002</v>
      </c>
      <c r="M139">
        <v>5618038.0870000003</v>
      </c>
      <c r="N139">
        <v>6013858.6109999996</v>
      </c>
      <c r="O139">
        <v>6259754.3609999996</v>
      </c>
      <c r="P139">
        <v>6284878.3899999997</v>
      </c>
      <c r="Q139">
        <v>5807306.1150000002</v>
      </c>
      <c r="R139">
        <v>5747277.9139999999</v>
      </c>
      <c r="S139">
        <v>5783870.5480000004</v>
      </c>
      <c r="T139">
        <v>5913265.5190000003</v>
      </c>
      <c r="U139">
        <v>6040611.9890000001</v>
      </c>
      <c r="V139">
        <v>6215648.0990000004</v>
      </c>
      <c r="W139">
        <v>6342379.483</v>
      </c>
      <c r="X139">
        <v>6503814.2300000004</v>
      </c>
      <c r="Y139">
        <v>6624379.9680000003</v>
      </c>
      <c r="Z139">
        <v>6718718.0049999999</v>
      </c>
      <c r="AA139">
        <v>6796588.0130000003</v>
      </c>
      <c r="AB139">
        <v>6868685.0939999996</v>
      </c>
      <c r="AC139">
        <v>6973644.3810000001</v>
      </c>
      <c r="AD139">
        <v>7023050.7240000004</v>
      </c>
      <c r="AE139">
        <v>7087324.8499999996</v>
      </c>
      <c r="AF139">
        <v>7156256.3669999996</v>
      </c>
      <c r="AG139">
        <v>7230409.8430000003</v>
      </c>
      <c r="AH139">
        <v>7324948.8760000002</v>
      </c>
      <c r="AI139">
        <v>7402202.7989999996</v>
      </c>
      <c r="AJ139">
        <v>7494674.3990000002</v>
      </c>
      <c r="AK139">
        <v>7585972.8530000001</v>
      </c>
      <c r="AL139">
        <v>7680421.4409999996</v>
      </c>
      <c r="AM139">
        <v>7779750.4239999996</v>
      </c>
      <c r="AN139">
        <v>7880131.523</v>
      </c>
      <c r="AO139">
        <v>7983844.6519999998</v>
      </c>
      <c r="AP139">
        <v>8086843.8020000001</v>
      </c>
      <c r="AQ139">
        <v>8189266.574</v>
      </c>
      <c r="AR139">
        <v>8304837.7419999996</v>
      </c>
      <c r="AS139">
        <v>8387271.5060000001</v>
      </c>
      <c r="AT139">
        <v>8470062.9440000001</v>
      </c>
      <c r="AU139">
        <v>8553096.3800000008</v>
      </c>
      <c r="AV139">
        <v>8637455.3310000002</v>
      </c>
      <c r="AW139">
        <v>8724293.1339999996</v>
      </c>
    </row>
    <row r="140" spans="2:49" x14ac:dyDescent="0.25">
      <c r="B140" t="s">
        <v>441</v>
      </c>
      <c r="C140">
        <v>6377150.6112568304</v>
      </c>
      <c r="D140">
        <v>6479537.8270683698</v>
      </c>
      <c r="E140">
        <v>5489398.2220000001</v>
      </c>
      <c r="F140">
        <v>5625669.2010000004</v>
      </c>
      <c r="G140">
        <v>5294847.1040000003</v>
      </c>
      <c r="H140">
        <v>5546579.3119999999</v>
      </c>
      <c r="I140">
        <v>5406039.6730000004</v>
      </c>
      <c r="J140">
        <v>5179233.0310000004</v>
      </c>
      <c r="K140">
        <v>4836315.2910000002</v>
      </c>
      <c r="L140">
        <v>4764953.3969999999</v>
      </c>
      <c r="M140">
        <v>4885844.3600000003</v>
      </c>
      <c r="N140">
        <v>5091210.0990000004</v>
      </c>
      <c r="O140">
        <v>4568610.9460000005</v>
      </c>
      <c r="P140">
        <v>3965644.4720000001</v>
      </c>
      <c r="Q140">
        <v>3369061.9240000001</v>
      </c>
      <c r="R140">
        <v>2993169.8629999999</v>
      </c>
      <c r="S140">
        <v>2752426.5440000002</v>
      </c>
      <c r="T140">
        <v>2739606.372</v>
      </c>
      <c r="U140">
        <v>2775317.4210000001</v>
      </c>
      <c r="V140">
        <v>2833557.1910000001</v>
      </c>
      <c r="W140">
        <v>2874115.196</v>
      </c>
      <c r="X140">
        <v>2911300.2230000002</v>
      </c>
      <c r="Y140">
        <v>2945486.7850000001</v>
      </c>
      <c r="Z140">
        <v>2987989.9210000001</v>
      </c>
      <c r="AA140">
        <v>3028729.0150000001</v>
      </c>
      <c r="AB140">
        <v>3069020.8810000001</v>
      </c>
      <c r="AC140">
        <v>3125908.6090000002</v>
      </c>
      <c r="AD140">
        <v>3157661.196</v>
      </c>
      <c r="AE140">
        <v>3196665.5660000001</v>
      </c>
      <c r="AF140">
        <v>3234619.9389999998</v>
      </c>
      <c r="AG140">
        <v>3277112.7220000001</v>
      </c>
      <c r="AH140">
        <v>3330972.0720000002</v>
      </c>
      <c r="AI140">
        <v>3375347.9029999999</v>
      </c>
      <c r="AJ140">
        <v>3425963.1310000001</v>
      </c>
      <c r="AK140">
        <v>3475013.8790000002</v>
      </c>
      <c r="AL140">
        <v>3524365.2659999998</v>
      </c>
      <c r="AM140">
        <v>3574503.3220000002</v>
      </c>
      <c r="AN140">
        <v>3602853.5150000001</v>
      </c>
      <c r="AO140">
        <v>3623515.66</v>
      </c>
      <c r="AP140">
        <v>3639299.7370000002</v>
      </c>
      <c r="AQ140">
        <v>3650132.2740000002</v>
      </c>
      <c r="AR140">
        <v>3662606.7519999999</v>
      </c>
      <c r="AS140">
        <v>3677581.4440000001</v>
      </c>
      <c r="AT140">
        <v>3695033.4049999998</v>
      </c>
      <c r="AU140">
        <v>3711768.696</v>
      </c>
      <c r="AV140">
        <v>3727374.8339999998</v>
      </c>
      <c r="AW140">
        <v>3742199.4989999998</v>
      </c>
    </row>
    <row r="141" spans="2:49" x14ac:dyDescent="0.25">
      <c r="B141" t="s">
        <v>442</v>
      </c>
      <c r="C141">
        <v>415184.68418409303</v>
      </c>
      <c r="D141">
        <v>421850.60858395998</v>
      </c>
      <c r="E141">
        <v>357387.52399999998</v>
      </c>
      <c r="F141">
        <v>387897.55690000003</v>
      </c>
      <c r="G141">
        <v>361875.07079999999</v>
      </c>
      <c r="H141">
        <v>332322.56699999998</v>
      </c>
      <c r="I141">
        <v>361839.22369999997</v>
      </c>
      <c r="J141">
        <v>345562.60759999999</v>
      </c>
      <c r="K141">
        <v>326426.00089999998</v>
      </c>
      <c r="L141">
        <v>329805.3248</v>
      </c>
      <c r="M141">
        <v>354049.47480000003</v>
      </c>
      <c r="N141">
        <v>407261.96600000001</v>
      </c>
      <c r="O141">
        <v>364237.87199999997</v>
      </c>
      <c r="P141">
        <v>307456.40429999999</v>
      </c>
      <c r="Q141">
        <v>246913.62169999999</v>
      </c>
      <c r="R141">
        <v>211458.28769999999</v>
      </c>
      <c r="S141">
        <v>173766.86079999999</v>
      </c>
      <c r="T141">
        <v>165993.51269999999</v>
      </c>
      <c r="U141">
        <v>171181.87299999999</v>
      </c>
      <c r="V141">
        <v>179040.94570000001</v>
      </c>
      <c r="W141">
        <v>185178.45170000001</v>
      </c>
      <c r="X141">
        <v>176525.5477</v>
      </c>
      <c r="Y141">
        <v>190928.77110000001</v>
      </c>
      <c r="Z141">
        <v>200294.25080000001</v>
      </c>
      <c r="AA141">
        <v>207646.99840000001</v>
      </c>
      <c r="AB141">
        <v>213971.03899999999</v>
      </c>
      <c r="AC141">
        <v>210145.41759999999</v>
      </c>
      <c r="AD141">
        <v>222918.45439999999</v>
      </c>
      <c r="AE141">
        <v>229148.62479999999</v>
      </c>
      <c r="AF141">
        <v>235220.35380000001</v>
      </c>
      <c r="AG141">
        <v>241247.34650000001</v>
      </c>
      <c r="AH141">
        <v>238796.35649999999</v>
      </c>
      <c r="AI141">
        <v>250007.5607</v>
      </c>
      <c r="AJ141">
        <v>258349.45079999999</v>
      </c>
      <c r="AK141">
        <v>265131.01150000002</v>
      </c>
      <c r="AL141">
        <v>271466.79350000003</v>
      </c>
      <c r="AM141">
        <v>277544.64390000002</v>
      </c>
      <c r="AN141">
        <v>280644.48830000003</v>
      </c>
      <c r="AO141">
        <v>285024.34120000002</v>
      </c>
      <c r="AP141">
        <v>289624.2121</v>
      </c>
      <c r="AQ141">
        <v>294209.27059999999</v>
      </c>
      <c r="AR141">
        <v>292121.09110000002</v>
      </c>
      <c r="AS141">
        <v>299606.2781</v>
      </c>
      <c r="AT141">
        <v>305175.31140000001</v>
      </c>
      <c r="AU141">
        <v>309969.3101</v>
      </c>
      <c r="AV141">
        <v>314408.46460000001</v>
      </c>
      <c r="AW141">
        <v>318741.79710000003</v>
      </c>
    </row>
    <row r="142" spans="2:49" x14ac:dyDescent="0.25">
      <c r="B142" t="s">
        <v>443</v>
      </c>
      <c r="C142">
        <v>4757556.1935294</v>
      </c>
      <c r="D142">
        <v>4833940.2970916703</v>
      </c>
      <c r="E142">
        <v>4095264.8139999998</v>
      </c>
      <c r="F142">
        <v>4137798.0389999999</v>
      </c>
      <c r="G142">
        <v>3740691.446</v>
      </c>
      <c r="H142">
        <v>3409649.0109999999</v>
      </c>
      <c r="I142">
        <v>3079472.09</v>
      </c>
      <c r="J142">
        <v>3220006.716</v>
      </c>
      <c r="K142">
        <v>2877202.8029999998</v>
      </c>
      <c r="L142">
        <v>2765876.0639999998</v>
      </c>
      <c r="M142">
        <v>2840492.557</v>
      </c>
      <c r="N142">
        <v>2944031.8330000001</v>
      </c>
      <c r="O142">
        <v>2749851.5860000001</v>
      </c>
      <c r="P142">
        <v>2451187.3330000001</v>
      </c>
      <c r="Q142">
        <v>2125748.2489999998</v>
      </c>
      <c r="R142">
        <v>1879629.9</v>
      </c>
      <c r="S142">
        <v>1666537.7949999999</v>
      </c>
      <c r="T142">
        <v>1591283.7760000001</v>
      </c>
      <c r="U142">
        <v>1531354.8840000001</v>
      </c>
      <c r="V142">
        <v>1474331.8459999999</v>
      </c>
      <c r="W142">
        <v>1386287.49</v>
      </c>
      <c r="X142">
        <v>1284627.6610000001</v>
      </c>
      <c r="Y142">
        <v>1278316.406</v>
      </c>
      <c r="Z142">
        <v>1287772.8640000001</v>
      </c>
      <c r="AA142">
        <v>1299610.8049999999</v>
      </c>
      <c r="AB142">
        <v>1311875.2290000001</v>
      </c>
      <c r="AC142">
        <v>1323800.1780000001</v>
      </c>
      <c r="AD142">
        <v>1341618.2169999999</v>
      </c>
      <c r="AE142">
        <v>1356377.939</v>
      </c>
      <c r="AF142">
        <v>1371524.405</v>
      </c>
      <c r="AG142">
        <v>1387677.72</v>
      </c>
      <c r="AH142">
        <v>1403147.493</v>
      </c>
      <c r="AI142">
        <v>1424122.108</v>
      </c>
      <c r="AJ142">
        <v>1444525.862</v>
      </c>
      <c r="AK142">
        <v>1464404.2039999999</v>
      </c>
      <c r="AL142">
        <v>1484507.6980000001</v>
      </c>
      <c r="AM142">
        <v>1504899.6669999999</v>
      </c>
      <c r="AN142">
        <v>1482736.7169999999</v>
      </c>
      <c r="AO142">
        <v>1452900.6569999999</v>
      </c>
      <c r="AP142">
        <v>1420452.507</v>
      </c>
      <c r="AQ142">
        <v>1386927.5419999999</v>
      </c>
      <c r="AR142">
        <v>1351192.3629999999</v>
      </c>
      <c r="AS142">
        <v>1339460.041</v>
      </c>
      <c r="AT142">
        <v>1330549.987</v>
      </c>
      <c r="AU142">
        <v>1321605.08</v>
      </c>
      <c r="AV142">
        <v>1312270.132</v>
      </c>
      <c r="AW142">
        <v>1303098.5859999999</v>
      </c>
    </row>
    <row r="143" spans="2:49" x14ac:dyDescent="0.25">
      <c r="B143" t="s">
        <v>444</v>
      </c>
      <c r="C143">
        <v>16503281.675133999</v>
      </c>
      <c r="D143">
        <v>16768247.200565999</v>
      </c>
      <c r="E143">
        <v>14205887.65</v>
      </c>
      <c r="F143">
        <v>14375324.779999999</v>
      </c>
      <c r="G143">
        <v>13098315.15</v>
      </c>
      <c r="H143">
        <v>11768708.76</v>
      </c>
      <c r="I143">
        <v>11303303.07</v>
      </c>
      <c r="J143">
        <v>12103162.43</v>
      </c>
      <c r="K143">
        <v>10802686.85</v>
      </c>
      <c r="L143">
        <v>10366096.970000001</v>
      </c>
      <c r="M143">
        <v>10640905.859999999</v>
      </c>
      <c r="N143">
        <v>10929732.6</v>
      </c>
      <c r="O143">
        <v>10481145.189999999</v>
      </c>
      <c r="P143">
        <v>9650847.0079999994</v>
      </c>
      <c r="Q143">
        <v>8584640.6380000003</v>
      </c>
      <c r="R143">
        <v>7805726.5860000001</v>
      </c>
      <c r="S143">
        <v>6957744.7230000002</v>
      </c>
      <c r="T143">
        <v>6865760.1699999999</v>
      </c>
      <c r="U143">
        <v>6722376.9910000004</v>
      </c>
      <c r="V143">
        <v>6667551.3490000004</v>
      </c>
      <c r="W143">
        <v>6394094.9369999999</v>
      </c>
      <c r="X143">
        <v>6089624.7549999999</v>
      </c>
      <c r="Y143">
        <v>6010621.7609999999</v>
      </c>
      <c r="Z143">
        <v>6014690.6560000004</v>
      </c>
      <c r="AA143">
        <v>6041363.6050000004</v>
      </c>
      <c r="AB143">
        <v>6072562.8820000002</v>
      </c>
      <c r="AC143">
        <v>6121475.0180000002</v>
      </c>
      <c r="AD143">
        <v>6181172.523</v>
      </c>
      <c r="AE143">
        <v>6234595.4699999997</v>
      </c>
      <c r="AF143">
        <v>6293639.6660000002</v>
      </c>
      <c r="AG143">
        <v>6354063.9819999998</v>
      </c>
      <c r="AH143">
        <v>6429226.0669999998</v>
      </c>
      <c r="AI143">
        <v>6504933.5880000005</v>
      </c>
      <c r="AJ143">
        <v>6575567.8640000001</v>
      </c>
      <c r="AK143">
        <v>6652785.6849999996</v>
      </c>
      <c r="AL143">
        <v>6731396.7560000001</v>
      </c>
      <c r="AM143">
        <v>6810128.3569999998</v>
      </c>
      <c r="AN143">
        <v>6740720.9239999996</v>
      </c>
      <c r="AO143">
        <v>6647239.1600000001</v>
      </c>
      <c r="AP143">
        <v>6540440.2139999997</v>
      </c>
      <c r="AQ143">
        <v>6432720.0970000001</v>
      </c>
      <c r="AR143">
        <v>6314962.1619999995</v>
      </c>
      <c r="AS143">
        <v>6270086.9979999997</v>
      </c>
      <c r="AT143">
        <v>6234947.3310000002</v>
      </c>
      <c r="AU143">
        <v>6196040.8739999998</v>
      </c>
      <c r="AV143">
        <v>6154993.7439999999</v>
      </c>
      <c r="AW143">
        <v>6136241.5669999998</v>
      </c>
    </row>
    <row r="144" spans="2:49" x14ac:dyDescent="0.25">
      <c r="B144" t="s">
        <v>445</v>
      </c>
      <c r="C144">
        <v>11632594.838881901</v>
      </c>
      <c r="D144">
        <v>11819359.911689499</v>
      </c>
      <c r="E144">
        <v>10013240.92</v>
      </c>
      <c r="F144">
        <v>10030881.01</v>
      </c>
      <c r="G144">
        <v>9270360.1469999999</v>
      </c>
      <c r="H144">
        <v>8757394.5610000007</v>
      </c>
      <c r="I144">
        <v>7968328.216</v>
      </c>
      <c r="J144">
        <v>7193249.2999999998</v>
      </c>
      <c r="K144">
        <v>6513974.3729999997</v>
      </c>
      <c r="L144">
        <v>6440820.4840000002</v>
      </c>
      <c r="M144">
        <v>6435509.5360000003</v>
      </c>
      <c r="N144">
        <v>6772455.841</v>
      </c>
      <c r="O144">
        <v>6203491.2879999997</v>
      </c>
      <c r="P144">
        <v>5419591.7790000001</v>
      </c>
      <c r="Q144">
        <v>4710435.8499999996</v>
      </c>
      <c r="R144">
        <v>4127420.889</v>
      </c>
      <c r="S144">
        <v>3711174.273</v>
      </c>
      <c r="T144">
        <v>3550299.2110000001</v>
      </c>
      <c r="U144">
        <v>3389775.432</v>
      </c>
      <c r="V144">
        <v>3232232.8110000002</v>
      </c>
      <c r="W144">
        <v>3040770.6030000001</v>
      </c>
      <c r="X144">
        <v>2824342.719</v>
      </c>
      <c r="Y144">
        <v>2815781.4210000001</v>
      </c>
      <c r="Z144">
        <v>2854967.2769999998</v>
      </c>
      <c r="AA144">
        <v>2900255.122</v>
      </c>
      <c r="AB144">
        <v>2947424.44</v>
      </c>
      <c r="AC144">
        <v>3001871.233</v>
      </c>
      <c r="AD144">
        <v>3038689.8730000001</v>
      </c>
      <c r="AE144">
        <v>3075090.2170000002</v>
      </c>
      <c r="AF144">
        <v>3111904.9049999998</v>
      </c>
      <c r="AG144">
        <v>3151817.469</v>
      </c>
      <c r="AH144">
        <v>3196385.4980000001</v>
      </c>
      <c r="AI144">
        <v>3242291.1690000002</v>
      </c>
      <c r="AJ144">
        <v>3289618.4369999999</v>
      </c>
      <c r="AK144">
        <v>3336877.676</v>
      </c>
      <c r="AL144">
        <v>3385060.7549999999</v>
      </c>
      <c r="AM144">
        <v>3434113.96</v>
      </c>
      <c r="AN144">
        <v>3379708.8509999998</v>
      </c>
      <c r="AO144">
        <v>3305557.8990000002</v>
      </c>
      <c r="AP144">
        <v>3224913.2620000001</v>
      </c>
      <c r="AQ144">
        <v>3141585.8050000002</v>
      </c>
      <c r="AR144">
        <v>3057256.753</v>
      </c>
      <c r="AS144">
        <v>3025429.1179999998</v>
      </c>
      <c r="AT144">
        <v>3001998.4079999998</v>
      </c>
      <c r="AU144">
        <v>2979438.267</v>
      </c>
      <c r="AV144">
        <v>2956436.7510000002</v>
      </c>
      <c r="AW144">
        <v>2933513.4679999999</v>
      </c>
    </row>
    <row r="145" spans="2:49" x14ac:dyDescent="0.25">
      <c r="B145" t="s">
        <v>446</v>
      </c>
      <c r="C145">
        <v>3166830.51938263</v>
      </c>
      <c r="D145">
        <v>3217675.0077116699</v>
      </c>
      <c r="E145">
        <v>2725981.38</v>
      </c>
      <c r="F145">
        <v>2740721.3810000001</v>
      </c>
      <c r="G145">
        <v>2687359.3509999998</v>
      </c>
      <c r="H145">
        <v>2607796.037</v>
      </c>
      <c r="I145">
        <v>2582961.1919999998</v>
      </c>
      <c r="J145">
        <v>2510425.7760000001</v>
      </c>
      <c r="K145">
        <v>2380084.2459999998</v>
      </c>
      <c r="L145">
        <v>2372823.8199999998</v>
      </c>
      <c r="M145">
        <v>2397189.5559999999</v>
      </c>
      <c r="N145">
        <v>2561107.0720000002</v>
      </c>
      <c r="O145">
        <v>2521215.8790000002</v>
      </c>
      <c r="P145">
        <v>2376712.298</v>
      </c>
      <c r="Q145">
        <v>2192680.5099999998</v>
      </c>
      <c r="R145">
        <v>2107296.0720000002</v>
      </c>
      <c r="S145">
        <v>1989266.973</v>
      </c>
      <c r="T145">
        <v>1975242.8049999999</v>
      </c>
      <c r="U145">
        <v>1971959.7450000001</v>
      </c>
      <c r="V145">
        <v>1978650.1969999999</v>
      </c>
      <c r="W145">
        <v>1915292.4550000001</v>
      </c>
      <c r="X145">
        <v>1839201.963</v>
      </c>
      <c r="Y145">
        <v>1799487.42</v>
      </c>
      <c r="Z145">
        <v>1776174.49</v>
      </c>
      <c r="AA145">
        <v>1751448.4450000001</v>
      </c>
      <c r="AB145">
        <v>1726808.7890000001</v>
      </c>
      <c r="AC145">
        <v>1703759.6</v>
      </c>
      <c r="AD145">
        <v>1716488.8049999999</v>
      </c>
      <c r="AE145">
        <v>1729172.9820000001</v>
      </c>
      <c r="AF145">
        <v>1743937.0079999999</v>
      </c>
      <c r="AG145">
        <v>1758520.9450000001</v>
      </c>
      <c r="AH145">
        <v>1774568.504</v>
      </c>
      <c r="AI145">
        <v>1793198.493</v>
      </c>
      <c r="AJ145">
        <v>1812560.2660000001</v>
      </c>
      <c r="AK145">
        <v>1832202.24</v>
      </c>
      <c r="AL145">
        <v>1852570.9380000001</v>
      </c>
      <c r="AM145">
        <v>1873403.5449999999</v>
      </c>
      <c r="AN145">
        <v>1872971.6159999999</v>
      </c>
      <c r="AO145">
        <v>1869251.0759999999</v>
      </c>
      <c r="AP145">
        <v>1862937.618</v>
      </c>
      <c r="AQ145">
        <v>1855141.8970000001</v>
      </c>
      <c r="AR145">
        <v>1845679.6189999999</v>
      </c>
      <c r="AS145">
        <v>1847124.3759999999</v>
      </c>
      <c r="AT145">
        <v>1849939.8359999999</v>
      </c>
      <c r="AU145">
        <v>1852592.639</v>
      </c>
      <c r="AV145">
        <v>1854960.693</v>
      </c>
      <c r="AW145">
        <v>1857009.4450000001</v>
      </c>
    </row>
    <row r="146" spans="2:49" x14ac:dyDescent="0.25">
      <c r="B146" t="s">
        <v>447</v>
      </c>
      <c r="C146">
        <v>6723975.7599636996</v>
      </c>
      <c r="D146">
        <v>6831931.3657214995</v>
      </c>
      <c r="E146">
        <v>5798504.7070000004</v>
      </c>
      <c r="F146">
        <v>5844719.8609999996</v>
      </c>
      <c r="G146">
        <v>5863795.5310000004</v>
      </c>
      <c r="H146">
        <v>5514642.1169999996</v>
      </c>
      <c r="I146">
        <v>5736324.8660000004</v>
      </c>
      <c r="J146">
        <v>5791742.983</v>
      </c>
      <c r="K146">
        <v>5685187.1370000001</v>
      </c>
      <c r="L146">
        <v>5696429.0839999998</v>
      </c>
      <c r="M146">
        <v>5739107.3039999995</v>
      </c>
      <c r="N146">
        <v>5980748.4570000004</v>
      </c>
      <c r="O146">
        <v>5990853.0599999996</v>
      </c>
      <c r="P146">
        <v>5995969.7719999999</v>
      </c>
      <c r="Q146">
        <v>5889217.4859999996</v>
      </c>
      <c r="R146">
        <v>5938128.818</v>
      </c>
      <c r="S146">
        <v>5881425.6189999999</v>
      </c>
      <c r="T146">
        <v>5892139.818</v>
      </c>
      <c r="U146">
        <v>5978449.1979999999</v>
      </c>
      <c r="V146">
        <v>6094096.1789999995</v>
      </c>
      <c r="W146">
        <v>6194270.5470000003</v>
      </c>
      <c r="X146">
        <v>6276441.7539999997</v>
      </c>
      <c r="Y146">
        <v>6359734.1399999997</v>
      </c>
      <c r="Z146">
        <v>6446373.1050000004</v>
      </c>
      <c r="AA146">
        <v>6523984.3669999996</v>
      </c>
      <c r="AB146">
        <v>6596437.3799999999</v>
      </c>
      <c r="AC146">
        <v>6665847.1299999999</v>
      </c>
      <c r="AD146">
        <v>6731199.7750000004</v>
      </c>
      <c r="AE146">
        <v>6794673.7630000003</v>
      </c>
      <c r="AF146">
        <v>6865987.1119999997</v>
      </c>
      <c r="AG146">
        <v>6933299.4179999996</v>
      </c>
      <c r="AH146">
        <v>7004107.0599999996</v>
      </c>
      <c r="AI146">
        <v>7082459.0549999997</v>
      </c>
      <c r="AJ146">
        <v>7167474.3700000001</v>
      </c>
      <c r="AK146">
        <v>7254773.0690000001</v>
      </c>
      <c r="AL146">
        <v>7345888.0449999999</v>
      </c>
      <c r="AM146">
        <v>7439724.665</v>
      </c>
      <c r="AN146">
        <v>7534885.8789999997</v>
      </c>
      <c r="AO146">
        <v>7633302.7300000004</v>
      </c>
      <c r="AP146">
        <v>7730520.1969999997</v>
      </c>
      <c r="AQ146">
        <v>7827993.4579999996</v>
      </c>
      <c r="AR146">
        <v>7924788.0779999997</v>
      </c>
      <c r="AS146">
        <v>8019067.2769999998</v>
      </c>
      <c r="AT146">
        <v>8113384.1040000003</v>
      </c>
      <c r="AU146">
        <v>8208416.3320000004</v>
      </c>
      <c r="AV146">
        <v>8304432.3090000004</v>
      </c>
      <c r="AW146">
        <v>8399795.9749999996</v>
      </c>
    </row>
    <row r="147" spans="2:49" x14ac:dyDescent="0.25">
      <c r="B147" t="s">
        <v>448</v>
      </c>
      <c r="C147">
        <v>312332.22295347298</v>
      </c>
      <c r="D147">
        <v>317346.817819711</v>
      </c>
      <c r="E147">
        <v>268852.98060000001</v>
      </c>
      <c r="F147">
        <v>279471.52409999998</v>
      </c>
      <c r="G147">
        <v>268192.18520000001</v>
      </c>
      <c r="H147">
        <v>234603.25289999999</v>
      </c>
      <c r="I147">
        <v>246881.0036</v>
      </c>
      <c r="J147">
        <v>249452.24179999999</v>
      </c>
      <c r="K147">
        <v>233040.5386</v>
      </c>
      <c r="L147">
        <v>220927.0736</v>
      </c>
      <c r="M147">
        <v>217871.26459999999</v>
      </c>
      <c r="N147">
        <v>229925.22020000001</v>
      </c>
      <c r="O147">
        <v>212153.90289999999</v>
      </c>
      <c r="P147">
        <v>196780.59390000001</v>
      </c>
      <c r="Q147">
        <v>178598.92129999999</v>
      </c>
      <c r="R147">
        <v>162352.92439999999</v>
      </c>
      <c r="S147">
        <v>150161.98060000001</v>
      </c>
      <c r="T147">
        <v>150175.5785</v>
      </c>
      <c r="U147">
        <v>152430.1072</v>
      </c>
      <c r="V147">
        <v>156659.82709999999</v>
      </c>
      <c r="W147">
        <v>159130.70110000001</v>
      </c>
      <c r="X147">
        <v>160626.10709999999</v>
      </c>
      <c r="Y147">
        <v>163460.076</v>
      </c>
      <c r="Z147">
        <v>167269.5393</v>
      </c>
      <c r="AA147">
        <v>171552.8322</v>
      </c>
      <c r="AB147">
        <v>176328.48389999999</v>
      </c>
      <c r="AC147">
        <v>180909.97949999999</v>
      </c>
      <c r="AD147">
        <v>182782.3316</v>
      </c>
      <c r="AE147">
        <v>184091.27900000001</v>
      </c>
      <c r="AF147">
        <v>185524.86629999999</v>
      </c>
      <c r="AG147">
        <v>187058.03200000001</v>
      </c>
      <c r="AH147">
        <v>187832.4362</v>
      </c>
      <c r="AI147">
        <v>190089.9037</v>
      </c>
      <c r="AJ147">
        <v>192135.1722</v>
      </c>
      <c r="AK147">
        <v>194025.50779999999</v>
      </c>
      <c r="AL147">
        <v>195900.23250000001</v>
      </c>
      <c r="AM147">
        <v>197768.2506</v>
      </c>
      <c r="AN147">
        <v>198976.89290000001</v>
      </c>
      <c r="AO147">
        <v>200486.95329999999</v>
      </c>
      <c r="AP147">
        <v>201983.5477</v>
      </c>
      <c r="AQ147">
        <v>203503.158</v>
      </c>
      <c r="AR147">
        <v>204146.7879</v>
      </c>
      <c r="AS147">
        <v>205977.57769999999</v>
      </c>
      <c r="AT147">
        <v>207623.45360000001</v>
      </c>
      <c r="AU147">
        <v>209175.47930000001</v>
      </c>
      <c r="AV147">
        <v>210696.9767</v>
      </c>
      <c r="AW147">
        <v>212362.3095</v>
      </c>
    </row>
    <row r="148" spans="2:49" x14ac:dyDescent="0.25">
      <c r="B148" t="s">
        <v>449</v>
      </c>
      <c r="C148">
        <v>7845653.0561234802</v>
      </c>
      <c r="D148">
        <v>7971617.5536879301</v>
      </c>
      <c r="E148">
        <v>6753472.9170000004</v>
      </c>
      <c r="F148">
        <v>6917732.2699999996</v>
      </c>
      <c r="G148">
        <v>6604945.1239999998</v>
      </c>
      <c r="H148">
        <v>6302566.8370000003</v>
      </c>
      <c r="I148">
        <v>6324261.8569999998</v>
      </c>
      <c r="J148">
        <v>6110713.3890000004</v>
      </c>
      <c r="K148">
        <v>5720050.3859999999</v>
      </c>
      <c r="L148">
        <v>5581621.8940000003</v>
      </c>
      <c r="M148">
        <v>5713796.8739999998</v>
      </c>
      <c r="N148">
        <v>6110531.3320000004</v>
      </c>
      <c r="O148">
        <v>5871179.1699999999</v>
      </c>
      <c r="P148">
        <v>5362207.4369999999</v>
      </c>
      <c r="Q148">
        <v>4771036.0020000003</v>
      </c>
      <c r="R148">
        <v>4464030.5690000001</v>
      </c>
      <c r="S148">
        <v>4139761.7889999999</v>
      </c>
      <c r="T148">
        <v>4195664.1050000004</v>
      </c>
      <c r="U148">
        <v>4264957.4060000004</v>
      </c>
      <c r="V148">
        <v>4380392.2539999997</v>
      </c>
      <c r="W148">
        <v>4459741.6399999997</v>
      </c>
      <c r="X148">
        <v>4533635.7529999996</v>
      </c>
      <c r="Y148">
        <v>4576084.8339999998</v>
      </c>
      <c r="Z148">
        <v>4643896.0710000005</v>
      </c>
      <c r="AA148">
        <v>4704344.892</v>
      </c>
      <c r="AB148">
        <v>4763785.7960000001</v>
      </c>
      <c r="AC148">
        <v>4834557.3430000003</v>
      </c>
      <c r="AD148">
        <v>4894455.102</v>
      </c>
      <c r="AE148">
        <v>4954781.1109999996</v>
      </c>
      <c r="AF148">
        <v>5017843.2319999998</v>
      </c>
      <c r="AG148">
        <v>5086403.7319999998</v>
      </c>
      <c r="AH148">
        <v>5161681.182</v>
      </c>
      <c r="AI148">
        <v>5245088.7470000004</v>
      </c>
      <c r="AJ148">
        <v>5330559.8509999998</v>
      </c>
      <c r="AK148">
        <v>5416371.8609999996</v>
      </c>
      <c r="AL148">
        <v>5504333.602</v>
      </c>
      <c r="AM148">
        <v>5594234.676</v>
      </c>
      <c r="AN148">
        <v>5663308.0640000002</v>
      </c>
      <c r="AO148">
        <v>5736964.2470000004</v>
      </c>
      <c r="AP148">
        <v>5807268.1540000001</v>
      </c>
      <c r="AQ148">
        <v>5874740.3880000003</v>
      </c>
      <c r="AR148">
        <v>5941314.2209999999</v>
      </c>
      <c r="AS148">
        <v>6012600.5779999997</v>
      </c>
      <c r="AT148">
        <v>6079569.8650000002</v>
      </c>
      <c r="AU148">
        <v>6145497.8269999996</v>
      </c>
      <c r="AV148">
        <v>6210467.659</v>
      </c>
      <c r="AW148">
        <v>6276971.2709999997</v>
      </c>
    </row>
    <row r="149" spans="2:49" x14ac:dyDescent="0.25">
      <c r="B149" t="s">
        <v>450</v>
      </c>
      <c r="C149">
        <v>3.3990718667427999</v>
      </c>
      <c r="D149">
        <v>3.4536450650243098</v>
      </c>
      <c r="E149">
        <v>2.9258928009999998</v>
      </c>
      <c r="F149">
        <v>3.1051402399999999</v>
      </c>
      <c r="G149">
        <v>3.03818549</v>
      </c>
      <c r="H149">
        <v>2.8441313429999999</v>
      </c>
      <c r="I149">
        <v>2.8194125940000001</v>
      </c>
      <c r="J149">
        <v>2.8103266320000002</v>
      </c>
      <c r="K149">
        <v>2.6889552459999999</v>
      </c>
      <c r="L149">
        <v>2.6904121440000002</v>
      </c>
      <c r="M149">
        <v>2.700289691</v>
      </c>
      <c r="N149">
        <v>2.7777845860000001</v>
      </c>
      <c r="O149">
        <v>2.9382700540000002</v>
      </c>
      <c r="P149">
        <v>3.0480028809999999</v>
      </c>
      <c r="Q149">
        <v>3.0341445610000002</v>
      </c>
      <c r="R149">
        <v>3.1235610029999998</v>
      </c>
      <c r="S149">
        <v>3.0422401369999998</v>
      </c>
      <c r="T149">
        <v>3.1447296630000001</v>
      </c>
      <c r="U149">
        <v>3.1690849069999998</v>
      </c>
      <c r="V149">
        <v>3.255789966</v>
      </c>
      <c r="W149">
        <v>3.2377909539999998</v>
      </c>
      <c r="X149">
        <v>3.2449049429999999</v>
      </c>
      <c r="Y149">
        <v>3.1891861669999999</v>
      </c>
      <c r="Z149">
        <v>3.1639931419999998</v>
      </c>
      <c r="AA149">
        <v>3.1551480779999999</v>
      </c>
      <c r="AB149">
        <v>3.1504381590000001</v>
      </c>
      <c r="AC149">
        <v>3.161714484</v>
      </c>
      <c r="AD149">
        <v>3.1780744649999999</v>
      </c>
      <c r="AE149">
        <v>3.1924519</v>
      </c>
      <c r="AF149">
        <v>3.2109976250000001</v>
      </c>
      <c r="AG149">
        <v>3.2286005430000002</v>
      </c>
      <c r="AH149">
        <v>3.2574370520000002</v>
      </c>
      <c r="AI149">
        <v>3.2818820999999998</v>
      </c>
      <c r="AJ149">
        <v>3.3046165850000002</v>
      </c>
      <c r="AK149">
        <v>3.3322810860000001</v>
      </c>
      <c r="AL149">
        <v>3.3609836560000002</v>
      </c>
      <c r="AM149">
        <v>3.3900226600000001</v>
      </c>
      <c r="AN149">
        <v>3.402670283</v>
      </c>
      <c r="AO149">
        <v>3.420721168</v>
      </c>
      <c r="AP149">
        <v>3.4380669940000002</v>
      </c>
      <c r="AQ149">
        <v>3.4605725500000002</v>
      </c>
      <c r="AR149">
        <v>3.483454176</v>
      </c>
      <c r="AS149">
        <v>3.499835595</v>
      </c>
      <c r="AT149">
        <v>3.515410229</v>
      </c>
      <c r="AU149">
        <v>3.5280636360000002</v>
      </c>
      <c r="AV149">
        <v>3.5404850090000002</v>
      </c>
      <c r="AW149">
        <v>3.582739304</v>
      </c>
    </row>
    <row r="150" spans="2:49" x14ac:dyDescent="0.25">
      <c r="B150" t="s">
        <v>451</v>
      </c>
      <c r="C150">
        <v>600391.80946004798</v>
      </c>
      <c r="D150">
        <v>610031.29416316305</v>
      </c>
      <c r="E150">
        <v>516812.27750000003</v>
      </c>
      <c r="F150">
        <v>535306.72389999998</v>
      </c>
      <c r="G150">
        <v>508914.2107</v>
      </c>
      <c r="H150">
        <v>512924.34379999997</v>
      </c>
      <c r="I150">
        <v>532737.35730000003</v>
      </c>
      <c r="J150">
        <v>516094.19530000002</v>
      </c>
      <c r="K150">
        <v>490398.34879999998</v>
      </c>
      <c r="L150">
        <v>497836.30959999998</v>
      </c>
      <c r="M150">
        <v>511124.54249999998</v>
      </c>
      <c r="N150">
        <v>544469.70860000001</v>
      </c>
      <c r="O150">
        <v>583984.53540000005</v>
      </c>
      <c r="P150">
        <v>597923.39150000003</v>
      </c>
      <c r="Q150">
        <v>553574.9301</v>
      </c>
      <c r="R150">
        <v>565527.59400000004</v>
      </c>
      <c r="S150">
        <v>585828.03119999997</v>
      </c>
      <c r="T150">
        <v>684903.41139999998</v>
      </c>
      <c r="U150">
        <v>775061.51610000001</v>
      </c>
      <c r="V150">
        <v>875165.74710000004</v>
      </c>
      <c r="W150">
        <v>940105.42440000002</v>
      </c>
      <c r="X150">
        <v>1149558.497</v>
      </c>
      <c r="Y150">
        <v>1229763.4339999999</v>
      </c>
      <c r="Z150">
        <v>1288597.105</v>
      </c>
      <c r="AA150">
        <v>1333364.54</v>
      </c>
      <c r="AB150">
        <v>1366517.2309999999</v>
      </c>
      <c r="AC150">
        <v>1509345.767</v>
      </c>
      <c r="AD150">
        <v>1519935.4920000001</v>
      </c>
      <c r="AE150">
        <v>1532833.41</v>
      </c>
      <c r="AF150">
        <v>1545625.2919999999</v>
      </c>
      <c r="AG150">
        <v>1555174.219</v>
      </c>
      <c r="AH150">
        <v>1620339.6910000001</v>
      </c>
      <c r="AI150">
        <v>1617903.345</v>
      </c>
      <c r="AJ150">
        <v>1618129.0989999999</v>
      </c>
      <c r="AK150">
        <v>1616861.6</v>
      </c>
      <c r="AL150">
        <v>1614775.9809999999</v>
      </c>
      <c r="AM150">
        <v>1612726.5970000001</v>
      </c>
      <c r="AN150">
        <v>1609669.2250000001</v>
      </c>
      <c r="AO150">
        <v>1609202.7660000001</v>
      </c>
      <c r="AP150">
        <v>1608444.264</v>
      </c>
      <c r="AQ150">
        <v>1608225.37</v>
      </c>
      <c r="AR150">
        <v>1671727.639</v>
      </c>
      <c r="AS150">
        <v>1664610.0120000001</v>
      </c>
      <c r="AT150">
        <v>1661848.4890000001</v>
      </c>
      <c r="AU150">
        <v>1660021.638</v>
      </c>
      <c r="AV150">
        <v>1658299.4990000001</v>
      </c>
      <c r="AW150">
        <v>1656830.703</v>
      </c>
    </row>
    <row r="151" spans="2:49" x14ac:dyDescent="0.25">
      <c r="B151" t="s">
        <v>452</v>
      </c>
      <c r="C151">
        <v>2139866.37253871</v>
      </c>
      <c r="D151">
        <v>2174222.6193092102</v>
      </c>
      <c r="E151">
        <v>1831643.385</v>
      </c>
      <c r="F151">
        <v>1819646.571</v>
      </c>
      <c r="G151">
        <v>1811495.382</v>
      </c>
      <c r="H151">
        <v>1808224.2279999999</v>
      </c>
      <c r="I151">
        <v>1811615.8589999999</v>
      </c>
      <c r="J151">
        <v>1821813.2039999999</v>
      </c>
      <c r="K151">
        <v>1822407.808</v>
      </c>
      <c r="L151">
        <v>1819603.267</v>
      </c>
      <c r="M151">
        <v>1830363.8430000001</v>
      </c>
      <c r="N151">
        <v>1812038.916</v>
      </c>
      <c r="O151">
        <v>1835770.094</v>
      </c>
      <c r="P151">
        <v>1852140.73</v>
      </c>
      <c r="Q151">
        <v>1874649.8030000001</v>
      </c>
      <c r="R151">
        <v>1893330.753</v>
      </c>
      <c r="S151">
        <v>1872054.973</v>
      </c>
      <c r="T151">
        <v>1840734.4809999999</v>
      </c>
      <c r="U151">
        <v>1825709.7990000001</v>
      </c>
      <c r="V151">
        <v>1814313.0759999999</v>
      </c>
      <c r="W151">
        <v>1776709.34</v>
      </c>
      <c r="X151">
        <v>1673469.148</v>
      </c>
      <c r="Y151">
        <v>1635723.4950000001</v>
      </c>
      <c r="Z151">
        <v>1607357.9110000001</v>
      </c>
      <c r="AA151">
        <v>1574643.4580000001</v>
      </c>
      <c r="AB151">
        <v>1539083.254</v>
      </c>
      <c r="AC151">
        <v>1485400.1969999999</v>
      </c>
      <c r="AD151">
        <v>1457678.51</v>
      </c>
      <c r="AE151">
        <v>1417717.4469999999</v>
      </c>
      <c r="AF151">
        <v>1377338.169</v>
      </c>
      <c r="AG151">
        <v>1336816.22</v>
      </c>
      <c r="AH151">
        <v>1284457.996</v>
      </c>
      <c r="AI151">
        <v>1266077.3529999999</v>
      </c>
      <c r="AJ151">
        <v>1243756.9950000001</v>
      </c>
      <c r="AK151">
        <v>1219423.368</v>
      </c>
      <c r="AL151">
        <v>1194566.9210000001</v>
      </c>
      <c r="AM151">
        <v>1169643.8970000001</v>
      </c>
      <c r="AN151">
        <v>1160973.726</v>
      </c>
      <c r="AO151">
        <v>1154064.861</v>
      </c>
      <c r="AP151">
        <v>1147957.548</v>
      </c>
      <c r="AQ151">
        <v>1142141.5419999999</v>
      </c>
      <c r="AR151">
        <v>1129439.166</v>
      </c>
      <c r="AS151">
        <v>1140111.466</v>
      </c>
      <c r="AT151">
        <v>1149020.206</v>
      </c>
      <c r="AU151">
        <v>1157157.078</v>
      </c>
      <c r="AV151">
        <v>1165033.9620000001</v>
      </c>
      <c r="AW151">
        <v>1172972.9240000001</v>
      </c>
    </row>
    <row r="152" spans="2:49" x14ac:dyDescent="0.25">
      <c r="B152" t="s">
        <v>453</v>
      </c>
      <c r="C152">
        <v>48247577.676067904</v>
      </c>
      <c r="D152">
        <v>49022208.141778298</v>
      </c>
      <c r="E152">
        <v>41555597.060000002</v>
      </c>
      <c r="F152">
        <v>41279352.049999997</v>
      </c>
      <c r="G152">
        <v>40445281.420000002</v>
      </c>
      <c r="H152">
        <v>38975646.520000003</v>
      </c>
      <c r="I152">
        <v>38624428.640000001</v>
      </c>
      <c r="J152">
        <v>38347533.270000003</v>
      </c>
      <c r="K152">
        <v>37840384.399999999</v>
      </c>
      <c r="L152">
        <v>37109864.289999999</v>
      </c>
      <c r="M152">
        <v>36703638.200000003</v>
      </c>
      <c r="N152">
        <v>36250819.380000003</v>
      </c>
      <c r="O152">
        <v>36202845.770000003</v>
      </c>
      <c r="P152">
        <v>36335567.189999998</v>
      </c>
      <c r="Q152">
        <v>35815477.729999997</v>
      </c>
      <c r="R152">
        <v>35314627.329999998</v>
      </c>
      <c r="S152">
        <v>34695378.789999999</v>
      </c>
      <c r="T152">
        <v>35054502.140000001</v>
      </c>
      <c r="U152">
        <v>35282200.75</v>
      </c>
      <c r="V152">
        <v>35752365.630000003</v>
      </c>
      <c r="W152">
        <v>35987133.979999997</v>
      </c>
      <c r="X152">
        <v>35762702.810000002</v>
      </c>
      <c r="Y152">
        <v>35509520.979999997</v>
      </c>
      <c r="Z152">
        <v>35321545.189999998</v>
      </c>
      <c r="AA152">
        <v>35047099.090000004</v>
      </c>
      <c r="AB152">
        <v>34746500.329999998</v>
      </c>
      <c r="AC152">
        <v>34397696.560000002</v>
      </c>
      <c r="AD152">
        <v>33986398.869999997</v>
      </c>
      <c r="AE152">
        <v>33505137.859999999</v>
      </c>
      <c r="AF152">
        <v>33063108.949999999</v>
      </c>
      <c r="AG152">
        <v>32595056.550000001</v>
      </c>
      <c r="AH152">
        <v>32089377.48</v>
      </c>
      <c r="AI152">
        <v>31846992.899999999</v>
      </c>
      <c r="AJ152">
        <v>31581666.890000001</v>
      </c>
      <c r="AK152">
        <v>31292124.120000001</v>
      </c>
      <c r="AL152">
        <v>31004788.09</v>
      </c>
      <c r="AM152">
        <v>30720325.77</v>
      </c>
      <c r="AN152">
        <v>30728545.739999998</v>
      </c>
      <c r="AO152">
        <v>30790736.09</v>
      </c>
      <c r="AP152">
        <v>30860026.170000002</v>
      </c>
      <c r="AQ152">
        <v>30937505.559999999</v>
      </c>
      <c r="AR152">
        <v>30979156.98</v>
      </c>
      <c r="AS152">
        <v>31279357.73</v>
      </c>
      <c r="AT152">
        <v>31556453.329999998</v>
      </c>
      <c r="AU152">
        <v>31825799.77</v>
      </c>
      <c r="AV152">
        <v>32096847.739999998</v>
      </c>
      <c r="AW152">
        <v>32378786.75</v>
      </c>
    </row>
    <row r="153" spans="2:49" x14ac:dyDescent="0.25">
      <c r="B153" t="s">
        <v>454</v>
      </c>
      <c r="C153">
        <v>9181601.5739378203</v>
      </c>
      <c r="D153">
        <v>9329015.1570805702</v>
      </c>
      <c r="E153">
        <v>7903446.2929999996</v>
      </c>
      <c r="F153">
        <v>9009556.2060000002</v>
      </c>
      <c r="G153">
        <v>7556051.841</v>
      </c>
      <c r="H153">
        <v>5419987.6830000002</v>
      </c>
      <c r="I153">
        <v>6387289.8480000002</v>
      </c>
      <c r="J153">
        <v>4946737.7860000003</v>
      </c>
      <c r="K153">
        <v>5780556.2110000001</v>
      </c>
      <c r="L153">
        <v>5179144.2230000002</v>
      </c>
      <c r="M153">
        <v>5233984.8609999996</v>
      </c>
      <c r="N153">
        <v>5410666.4289999995</v>
      </c>
      <c r="O153">
        <v>4921878.6840000004</v>
      </c>
      <c r="P153">
        <v>5208802.5159999998</v>
      </c>
      <c r="Q153">
        <v>5096954.5460000001</v>
      </c>
      <c r="R153">
        <v>5150305.2489999998</v>
      </c>
      <c r="S153">
        <v>5130392.3430000003</v>
      </c>
      <c r="T153">
        <v>5020774.63</v>
      </c>
      <c r="U153">
        <v>5012401.6890000002</v>
      </c>
      <c r="V153">
        <v>5009363.87</v>
      </c>
      <c r="W153">
        <v>4964580.6320000002</v>
      </c>
      <c r="X153">
        <v>4884297.335</v>
      </c>
      <c r="Y153">
        <v>4891289.7070000004</v>
      </c>
      <c r="Z153">
        <v>4917244.2570000002</v>
      </c>
      <c r="AA153">
        <v>4940230.9720000001</v>
      </c>
      <c r="AB153">
        <v>4964719.9780000001</v>
      </c>
      <c r="AC153">
        <v>4987394.6900000004</v>
      </c>
      <c r="AD153">
        <v>5017976.6440000003</v>
      </c>
      <c r="AE153">
        <v>5044423.6179999998</v>
      </c>
      <c r="AF153">
        <v>5079137.4639999997</v>
      </c>
      <c r="AG153">
        <v>5112338.78</v>
      </c>
      <c r="AH153">
        <v>5143889.1050000004</v>
      </c>
      <c r="AI153">
        <v>5187845.2300000004</v>
      </c>
      <c r="AJ153">
        <v>5233514.0590000004</v>
      </c>
      <c r="AK153">
        <v>5278731.3049999997</v>
      </c>
      <c r="AL153">
        <v>5326763.1960000005</v>
      </c>
      <c r="AM153">
        <v>5377540.2089999998</v>
      </c>
      <c r="AN153">
        <v>5387508.6900000004</v>
      </c>
      <c r="AO153">
        <v>5390775.227</v>
      </c>
      <c r="AP153">
        <v>5386324.5690000001</v>
      </c>
      <c r="AQ153">
        <v>5376507.824</v>
      </c>
      <c r="AR153">
        <v>5357732.5420000004</v>
      </c>
      <c r="AS153">
        <v>5363185.5449999999</v>
      </c>
      <c r="AT153">
        <v>5370832.8679999998</v>
      </c>
      <c r="AU153">
        <v>5378846.8320000004</v>
      </c>
      <c r="AV153">
        <v>5387287.6220000004</v>
      </c>
      <c r="AW153">
        <v>5396243.8099999996</v>
      </c>
    </row>
    <row r="154" spans="2:49" x14ac:dyDescent="0.25">
      <c r="B154" t="s">
        <v>455</v>
      </c>
      <c r="C154">
        <v>2568505.4482754301</v>
      </c>
      <c r="D154">
        <v>2609743.6340541099</v>
      </c>
      <c r="E154">
        <v>2210948.1340000001</v>
      </c>
      <c r="F154">
        <v>2296753.0150000001</v>
      </c>
      <c r="G154">
        <v>2279665.423</v>
      </c>
      <c r="H154">
        <v>1883087.66</v>
      </c>
      <c r="I154">
        <v>1947625.936</v>
      </c>
      <c r="J154">
        <v>2035934.8130000001</v>
      </c>
      <c r="K154">
        <v>1984298.743</v>
      </c>
      <c r="L154">
        <v>1931115.084</v>
      </c>
      <c r="M154">
        <v>1931728.6710000001</v>
      </c>
      <c r="N154">
        <v>2041339.0560000001</v>
      </c>
      <c r="O154">
        <v>2044550.1240000001</v>
      </c>
      <c r="P154">
        <v>2041821.523</v>
      </c>
      <c r="Q154">
        <v>2103955.0789999999</v>
      </c>
      <c r="R154">
        <v>2133213.716</v>
      </c>
      <c r="S154">
        <v>2103384.8879999998</v>
      </c>
      <c r="T154">
        <v>2072639.814</v>
      </c>
      <c r="U154">
        <v>2062287.8870000001</v>
      </c>
      <c r="V154">
        <v>2063443.9509999999</v>
      </c>
      <c r="W154">
        <v>2083108.7520000001</v>
      </c>
      <c r="X154">
        <v>2090709.888</v>
      </c>
      <c r="Y154">
        <v>2109422.7080000001</v>
      </c>
      <c r="Z154">
        <v>2125025.4219999998</v>
      </c>
      <c r="AA154">
        <v>2139678.9</v>
      </c>
      <c r="AB154">
        <v>2152858.9010000001</v>
      </c>
      <c r="AC154">
        <v>2164064.9989999998</v>
      </c>
      <c r="AD154">
        <v>2180803.7439999999</v>
      </c>
      <c r="AE154">
        <v>2193077.7510000002</v>
      </c>
      <c r="AF154">
        <v>2207564.969</v>
      </c>
      <c r="AG154">
        <v>2222900.35</v>
      </c>
      <c r="AH154">
        <v>2238088.0890000002</v>
      </c>
      <c r="AI154">
        <v>2262413.213</v>
      </c>
      <c r="AJ154">
        <v>2287624.2080000001</v>
      </c>
      <c r="AK154">
        <v>2312064.5950000002</v>
      </c>
      <c r="AL154">
        <v>2337703.7960000001</v>
      </c>
      <c r="AM154">
        <v>2364837.7400000002</v>
      </c>
      <c r="AN154">
        <v>2389231.2379999999</v>
      </c>
      <c r="AO154">
        <v>2416300.5419999999</v>
      </c>
      <c r="AP154">
        <v>2445056.267</v>
      </c>
      <c r="AQ154">
        <v>2474584.7829999998</v>
      </c>
      <c r="AR154">
        <v>2502577.9670000002</v>
      </c>
      <c r="AS154">
        <v>2534418.7719999999</v>
      </c>
      <c r="AT154">
        <v>2564943.6740000001</v>
      </c>
      <c r="AU154">
        <v>2594791.9010000001</v>
      </c>
      <c r="AV154">
        <v>2624642.2119999998</v>
      </c>
      <c r="AW154">
        <v>2655104.4270000001</v>
      </c>
    </row>
    <row r="155" spans="2:49" x14ac:dyDescent="0.25">
      <c r="B155" t="s">
        <v>456</v>
      </c>
      <c r="C155">
        <v>12693844.6626458</v>
      </c>
      <c r="D155">
        <v>12897648.444645001</v>
      </c>
      <c r="E155">
        <v>10926755.939999999</v>
      </c>
      <c r="F155">
        <v>10946620.33</v>
      </c>
      <c r="G155">
        <v>10277115.630000001</v>
      </c>
      <c r="H155">
        <v>9838629.9900000002</v>
      </c>
      <c r="I155">
        <v>9624412.68899999</v>
      </c>
      <c r="J155">
        <v>9126073.3859999999</v>
      </c>
      <c r="K155">
        <v>8598260.3129999898</v>
      </c>
      <c r="L155">
        <v>8364424.9979999997</v>
      </c>
      <c r="M155">
        <v>8325302.1869999999</v>
      </c>
      <c r="N155">
        <v>8462563.6239999998</v>
      </c>
      <c r="O155">
        <v>7999404.1710000001</v>
      </c>
      <c r="P155">
        <v>7453847.102</v>
      </c>
      <c r="Q155">
        <v>6941403.0439999998</v>
      </c>
      <c r="R155">
        <v>6541941.591</v>
      </c>
      <c r="S155">
        <v>6126519.4280000003</v>
      </c>
      <c r="T155">
        <v>6131047.1969999997</v>
      </c>
      <c r="U155">
        <v>6146487.9950000001</v>
      </c>
      <c r="V155">
        <v>6167654.4680000003</v>
      </c>
      <c r="W155">
        <v>5985038.824</v>
      </c>
      <c r="X155">
        <v>5781633.9910000004</v>
      </c>
      <c r="Y155">
        <v>5554683.1960000005</v>
      </c>
      <c r="Z155">
        <v>5386602.7220000001</v>
      </c>
      <c r="AA155">
        <v>5239234.0839999998</v>
      </c>
      <c r="AB155">
        <v>5108543.0659999996</v>
      </c>
      <c r="AC155">
        <v>4990389.2740000002</v>
      </c>
      <c r="AD155">
        <v>4879956.5520000001</v>
      </c>
      <c r="AE155">
        <v>4777724.8190000001</v>
      </c>
      <c r="AF155">
        <v>4680306.7970000003</v>
      </c>
      <c r="AG155">
        <v>4591849.301</v>
      </c>
      <c r="AH155">
        <v>4510054.7680000002</v>
      </c>
      <c r="AI155">
        <v>4435833.9939999999</v>
      </c>
      <c r="AJ155">
        <v>4366863.2929999996</v>
      </c>
      <c r="AK155">
        <v>4302641.3360000001</v>
      </c>
      <c r="AL155">
        <v>4242165.0240000002</v>
      </c>
      <c r="AM155">
        <v>4184753.872</v>
      </c>
      <c r="AN155">
        <v>4177997.01</v>
      </c>
      <c r="AO155">
        <v>4179539.6490000002</v>
      </c>
      <c r="AP155">
        <v>4181854.5759999999</v>
      </c>
      <c r="AQ155">
        <v>4183263.5860000001</v>
      </c>
      <c r="AR155">
        <v>4183386.5649999999</v>
      </c>
      <c r="AS155">
        <v>4181877.7310000001</v>
      </c>
      <c r="AT155">
        <v>4178994.8539999998</v>
      </c>
      <c r="AU155">
        <v>4175033.3080000002</v>
      </c>
      <c r="AV155">
        <v>4169803.074</v>
      </c>
      <c r="AW155">
        <v>4163668.4959999998</v>
      </c>
    </row>
    <row r="156" spans="2:49" x14ac:dyDescent="0.25">
      <c r="B156" t="s">
        <v>457</v>
      </c>
      <c r="C156">
        <v>1234344.16589374</v>
      </c>
      <c r="D156">
        <v>1254161.9607370901</v>
      </c>
      <c r="E156">
        <v>1062513.1950000001</v>
      </c>
      <c r="F156">
        <v>1025190.5110000001</v>
      </c>
      <c r="G156">
        <v>941835.95059999998</v>
      </c>
      <c r="H156">
        <v>949711.08360000001</v>
      </c>
      <c r="I156">
        <v>894685.45719999995</v>
      </c>
      <c r="J156">
        <v>824311.54079999996</v>
      </c>
      <c r="K156">
        <v>768461.74349999998</v>
      </c>
      <c r="L156">
        <v>742076.91830000002</v>
      </c>
      <c r="M156">
        <v>723564.80390000006</v>
      </c>
      <c r="N156">
        <v>720136.8861</v>
      </c>
      <c r="O156">
        <v>667434.16379999998</v>
      </c>
      <c r="P156">
        <v>609465.86499999999</v>
      </c>
      <c r="Q156">
        <v>558813.79059999995</v>
      </c>
      <c r="R156">
        <v>519453.15330000001</v>
      </c>
      <c r="S156">
        <v>479786.4179</v>
      </c>
      <c r="T156">
        <v>481903.26059999998</v>
      </c>
      <c r="U156">
        <v>485398.72720000002</v>
      </c>
      <c r="V156">
        <v>489656.25589999999</v>
      </c>
      <c r="W156">
        <v>468840.52500000002</v>
      </c>
      <c r="X156">
        <v>445653.36489999999</v>
      </c>
      <c r="Y156">
        <v>419339.92619999999</v>
      </c>
      <c r="Z156">
        <v>400862.64760000003</v>
      </c>
      <c r="AA156">
        <v>385393.00589999999</v>
      </c>
      <c r="AB156">
        <v>372084.46720000001</v>
      </c>
      <c r="AC156">
        <v>360367.17460000003</v>
      </c>
      <c r="AD156">
        <v>349632.83600000001</v>
      </c>
      <c r="AE156">
        <v>339916.74190000002</v>
      </c>
      <c r="AF156">
        <v>330795.31199999998</v>
      </c>
      <c r="AG156">
        <v>322722.41519999999</v>
      </c>
      <c r="AH156">
        <v>315413.04940000002</v>
      </c>
      <c r="AI156">
        <v>308957.41989999998</v>
      </c>
      <c r="AJ156">
        <v>303057.97639999999</v>
      </c>
      <c r="AK156">
        <v>297660.07199999999</v>
      </c>
      <c r="AL156">
        <v>292652.10070000001</v>
      </c>
      <c r="AM156">
        <v>287961.60739999998</v>
      </c>
      <c r="AN156">
        <v>288555.55550000002</v>
      </c>
      <c r="AO156">
        <v>290017.6372</v>
      </c>
      <c r="AP156">
        <v>291608.87270000001</v>
      </c>
      <c r="AQ156">
        <v>293134.46399999998</v>
      </c>
      <c r="AR156">
        <v>294558.90490000002</v>
      </c>
      <c r="AS156">
        <v>295855.69699999999</v>
      </c>
      <c r="AT156">
        <v>297040.24939999997</v>
      </c>
      <c r="AU156">
        <v>298143.5563</v>
      </c>
      <c r="AV156">
        <v>299143.10810000001</v>
      </c>
      <c r="AW156">
        <v>300079.23719999997</v>
      </c>
    </row>
    <row r="157" spans="2:49" x14ac:dyDescent="0.25">
      <c r="B157" t="s">
        <v>458</v>
      </c>
      <c r="C157">
        <v>16278955.912495499</v>
      </c>
      <c r="D157">
        <v>16540319.8152481</v>
      </c>
      <c r="E157">
        <v>16805880</v>
      </c>
      <c r="F157">
        <v>16816497.850000001</v>
      </c>
      <c r="G157">
        <v>15834230.41</v>
      </c>
      <c r="H157">
        <v>15173662.310000001</v>
      </c>
      <c r="I157">
        <v>14787430.83</v>
      </c>
      <c r="J157">
        <v>12913586.74</v>
      </c>
      <c r="K157">
        <v>11217943.380000001</v>
      </c>
      <c r="L157">
        <v>9841382.375</v>
      </c>
      <c r="M157">
        <v>8812958.5099999998</v>
      </c>
      <c r="N157">
        <v>7972582.3770000003</v>
      </c>
      <c r="O157">
        <v>7253726.2410000004</v>
      </c>
      <c r="P157">
        <v>6496367.0480000004</v>
      </c>
      <c r="Q157">
        <v>5695073.5539999995</v>
      </c>
      <c r="R157">
        <v>5022065.8590000002</v>
      </c>
      <c r="S157">
        <v>4386957.2379999999</v>
      </c>
      <c r="T157">
        <v>5183255.2690000003</v>
      </c>
      <c r="U157">
        <v>5963740.432</v>
      </c>
      <c r="V157">
        <v>6748956.6289999997</v>
      </c>
      <c r="W157">
        <v>8228420.4579999996</v>
      </c>
      <c r="X157">
        <v>9595182.7789999899</v>
      </c>
      <c r="Y157">
        <v>9707878.9120000005</v>
      </c>
      <c r="Z157">
        <v>9862756.6500000004</v>
      </c>
      <c r="AA157">
        <v>10011363.16</v>
      </c>
      <c r="AB157">
        <v>10190639.9</v>
      </c>
      <c r="AC157">
        <v>10342147.48</v>
      </c>
      <c r="AD157">
        <v>10456759.17</v>
      </c>
      <c r="AE157">
        <v>10583048.75</v>
      </c>
      <c r="AF157">
        <v>10709480.369999999</v>
      </c>
      <c r="AG157">
        <v>10862250.98</v>
      </c>
      <c r="AH157">
        <v>11014417.98</v>
      </c>
      <c r="AI157">
        <v>11150606.5</v>
      </c>
      <c r="AJ157">
        <v>11289541.300000001</v>
      </c>
      <c r="AK157">
        <v>11426139.49</v>
      </c>
      <c r="AL157">
        <v>11590329.460000001</v>
      </c>
      <c r="AM157">
        <v>11754591.32</v>
      </c>
      <c r="AN157">
        <v>11825665.369999999</v>
      </c>
      <c r="AO157">
        <v>11893057.550000001</v>
      </c>
      <c r="AP157">
        <v>11954334.439999999</v>
      </c>
      <c r="AQ157">
        <v>12011854.4</v>
      </c>
      <c r="AR157">
        <v>12054466.470000001</v>
      </c>
      <c r="AS157">
        <v>12037455.859999999</v>
      </c>
      <c r="AT157">
        <v>12021671.119999999</v>
      </c>
      <c r="AU157">
        <v>12004821.83</v>
      </c>
      <c r="AV157">
        <v>11987472.720000001</v>
      </c>
      <c r="AW157">
        <v>11973977.369999999</v>
      </c>
    </row>
    <row r="158" spans="2:49" x14ac:dyDescent="0.25">
      <c r="B158" t="s">
        <v>459</v>
      </c>
      <c r="C158">
        <v>4315668.6239754204</v>
      </c>
      <c r="D158">
        <v>4384958.0796759203</v>
      </c>
      <c r="E158">
        <v>4455360</v>
      </c>
      <c r="F158">
        <v>4620974.5410000002</v>
      </c>
      <c r="G158">
        <v>4688472.0769999996</v>
      </c>
      <c r="H158">
        <v>4441569.8609999996</v>
      </c>
      <c r="I158">
        <v>4486131.9460000005</v>
      </c>
      <c r="J158">
        <v>4580549.8490000004</v>
      </c>
      <c r="K158">
        <v>4629452.949</v>
      </c>
      <c r="L158">
        <v>4606286.1409999998</v>
      </c>
      <c r="M158">
        <v>4562688.3629999999</v>
      </c>
      <c r="N158">
        <v>4456097.79</v>
      </c>
      <c r="O158">
        <v>4305991.1869999999</v>
      </c>
      <c r="P158">
        <v>4283922.3449999997</v>
      </c>
      <c r="Q158">
        <v>4328660.9270000001</v>
      </c>
      <c r="R158">
        <v>4286606.4119999995</v>
      </c>
      <c r="S158">
        <v>4211798.2929999996</v>
      </c>
      <c r="T158">
        <v>4524147.2960000001</v>
      </c>
      <c r="U158">
        <v>4887824.0420000004</v>
      </c>
      <c r="V158">
        <v>5268052.5259999996</v>
      </c>
      <c r="W158">
        <v>5354694.68</v>
      </c>
      <c r="X158">
        <v>5425868.1200000001</v>
      </c>
      <c r="Y158">
        <v>5486613.4649999999</v>
      </c>
      <c r="Z158">
        <v>5537562.9210000001</v>
      </c>
      <c r="AA158">
        <v>5595173.8439999996</v>
      </c>
      <c r="AB158">
        <v>5643546.7630000003</v>
      </c>
      <c r="AC158">
        <v>5693193.7060000002</v>
      </c>
      <c r="AD158">
        <v>5757637.5240000002</v>
      </c>
      <c r="AE158">
        <v>5822070.6449999996</v>
      </c>
      <c r="AF158">
        <v>5886369.9249999998</v>
      </c>
      <c r="AG158">
        <v>5950831.483</v>
      </c>
      <c r="AH158">
        <v>6015432.0870000003</v>
      </c>
      <c r="AI158">
        <v>6031984.8449999997</v>
      </c>
      <c r="AJ158">
        <v>6041703.7390000001</v>
      </c>
      <c r="AK158">
        <v>6048704.841</v>
      </c>
      <c r="AL158">
        <v>6053557.7829999998</v>
      </c>
      <c r="AM158">
        <v>6056956.5329999998</v>
      </c>
      <c r="AN158">
        <v>6097056.1509999996</v>
      </c>
      <c r="AO158">
        <v>6139240.6270000003</v>
      </c>
      <c r="AP158">
        <v>6179471.898</v>
      </c>
      <c r="AQ158">
        <v>6217989.2889999999</v>
      </c>
      <c r="AR158">
        <v>6254718.6890000002</v>
      </c>
      <c r="AS158">
        <v>6283439.8679999998</v>
      </c>
      <c r="AT158">
        <v>6311694.8109999998</v>
      </c>
      <c r="AU158">
        <v>6338643.6639999999</v>
      </c>
      <c r="AV158">
        <v>6364110.1940000001</v>
      </c>
      <c r="AW158">
        <v>6390676.8039999995</v>
      </c>
    </row>
    <row r="159" spans="2:49" x14ac:dyDescent="0.25">
      <c r="B159" t="s">
        <v>460</v>
      </c>
      <c r="C159">
        <v>4315668.6239754204</v>
      </c>
      <c r="D159">
        <v>4384958.0796759203</v>
      </c>
      <c r="E159">
        <v>4455360</v>
      </c>
      <c r="F159">
        <v>4620974.5410000002</v>
      </c>
      <c r="G159">
        <v>4688472.0769999996</v>
      </c>
      <c r="H159">
        <v>4441569.8609999996</v>
      </c>
      <c r="I159">
        <v>4486131.9460000005</v>
      </c>
      <c r="J159">
        <v>4580549.8490000004</v>
      </c>
      <c r="K159">
        <v>4629452.949</v>
      </c>
      <c r="L159">
        <v>4606286.1409999998</v>
      </c>
      <c r="M159">
        <v>4562688.3629999999</v>
      </c>
      <c r="N159">
        <v>4456097.79</v>
      </c>
      <c r="O159">
        <v>4305991.1869999999</v>
      </c>
      <c r="P159">
        <v>4283922.3449999997</v>
      </c>
      <c r="Q159">
        <v>4328660.9270000001</v>
      </c>
      <c r="R159">
        <v>4286606.4119999995</v>
      </c>
      <c r="S159">
        <v>4211798.2929999996</v>
      </c>
      <c r="T159">
        <v>4524147.2960000001</v>
      </c>
      <c r="U159">
        <v>4887824.0420000004</v>
      </c>
      <c r="V159">
        <v>5268052.5259999996</v>
      </c>
      <c r="W159">
        <v>5354694.68</v>
      </c>
      <c r="X159">
        <v>5425868.1200000001</v>
      </c>
      <c r="Y159">
        <v>5486613.4649999999</v>
      </c>
      <c r="Z159">
        <v>5537562.9210000001</v>
      </c>
      <c r="AA159">
        <v>5595173.8439999996</v>
      </c>
      <c r="AB159">
        <v>5643546.7630000003</v>
      </c>
      <c r="AC159">
        <v>5693193.7060000002</v>
      </c>
      <c r="AD159">
        <v>5757637.5240000002</v>
      </c>
      <c r="AE159">
        <v>5822070.6449999996</v>
      </c>
      <c r="AF159">
        <v>5886369.9249999998</v>
      </c>
      <c r="AG159">
        <v>5950831.483</v>
      </c>
      <c r="AH159">
        <v>6015432.0870000003</v>
      </c>
      <c r="AI159">
        <v>6031984.8449999997</v>
      </c>
      <c r="AJ159">
        <v>6041703.7390000001</v>
      </c>
      <c r="AK159">
        <v>6048704.841</v>
      </c>
      <c r="AL159">
        <v>6053557.7829999998</v>
      </c>
      <c r="AM159">
        <v>6056956.5329999998</v>
      </c>
      <c r="AN159">
        <v>6097056.1509999996</v>
      </c>
      <c r="AO159">
        <v>6139240.6270000003</v>
      </c>
      <c r="AP159">
        <v>6179471.898</v>
      </c>
      <c r="AQ159">
        <v>6217989.2889999999</v>
      </c>
      <c r="AR159">
        <v>6254718.6890000002</v>
      </c>
      <c r="AS159">
        <v>6283439.8679999998</v>
      </c>
      <c r="AT159">
        <v>6311694.8109999998</v>
      </c>
      <c r="AU159">
        <v>6338643.6639999999</v>
      </c>
      <c r="AV159">
        <v>6364110.1940000001</v>
      </c>
      <c r="AW159">
        <v>6390676.8039999995</v>
      </c>
    </row>
    <row r="160" spans="2:49" x14ac:dyDescent="0.25">
      <c r="B160" t="s">
        <v>461</v>
      </c>
      <c r="C160">
        <v>8232235.5397947598</v>
      </c>
      <c r="D160">
        <v>8364406.7441781899</v>
      </c>
      <c r="E160">
        <v>8498700</v>
      </c>
      <c r="F160">
        <v>8378916.9179999996</v>
      </c>
      <c r="G160">
        <v>8245498.3300000001</v>
      </c>
      <c r="H160">
        <v>7592320.0410000002</v>
      </c>
      <c r="I160">
        <v>7455170.4649999999</v>
      </c>
      <c r="J160">
        <v>7400464.2290000003</v>
      </c>
      <c r="K160">
        <v>7271539.2750000004</v>
      </c>
      <c r="L160">
        <v>7032755.8710000003</v>
      </c>
      <c r="M160">
        <v>6770205.057</v>
      </c>
      <c r="N160">
        <v>6426080.8269999996</v>
      </c>
      <c r="O160">
        <v>6732992.5209999997</v>
      </c>
      <c r="P160">
        <v>7295601.3770000003</v>
      </c>
      <c r="Q160">
        <v>8000909.2560000001</v>
      </c>
      <c r="R160">
        <v>8566847.0669999998</v>
      </c>
      <c r="S160">
        <v>9070637.0490000006</v>
      </c>
      <c r="T160">
        <v>8363738.0209999997</v>
      </c>
      <c r="U160">
        <v>7607914.6330000004</v>
      </c>
      <c r="V160">
        <v>6887935.9989999998</v>
      </c>
      <c r="W160">
        <v>5019774.773</v>
      </c>
      <c r="X160">
        <v>2811642.5690000001</v>
      </c>
      <c r="Y160">
        <v>2622398.4709999999</v>
      </c>
      <c r="Z160">
        <v>2592656.2409999999</v>
      </c>
      <c r="AA160">
        <v>2581865.3769999999</v>
      </c>
      <c r="AB160">
        <v>2570861.2960000001</v>
      </c>
      <c r="AC160">
        <v>2560280.4580000001</v>
      </c>
      <c r="AD160">
        <v>2554440.0350000001</v>
      </c>
      <c r="AE160">
        <v>2547782.946</v>
      </c>
      <c r="AF160">
        <v>2540755.5690000001</v>
      </c>
      <c r="AG160">
        <v>2532459.4569999999</v>
      </c>
      <c r="AH160">
        <v>2523953.7910000002</v>
      </c>
      <c r="AI160">
        <v>2527151.1639999999</v>
      </c>
      <c r="AJ160">
        <v>2529137.0529999998</v>
      </c>
      <c r="AK160">
        <v>2529937.9870000002</v>
      </c>
      <c r="AL160">
        <v>2529667.165</v>
      </c>
      <c r="AM160">
        <v>2528602.642</v>
      </c>
      <c r="AN160">
        <v>2521805.8539999998</v>
      </c>
      <c r="AO160">
        <v>2513929.39</v>
      </c>
      <c r="AP160">
        <v>2505053.665</v>
      </c>
      <c r="AQ160">
        <v>2495484.2790000001</v>
      </c>
      <c r="AR160">
        <v>2485233.554</v>
      </c>
      <c r="AS160">
        <v>3288343.608</v>
      </c>
      <c r="AT160">
        <v>4181077.6609999998</v>
      </c>
      <c r="AU160">
        <v>5071933.1260000002</v>
      </c>
      <c r="AV160">
        <v>5947600.125</v>
      </c>
      <c r="AW160">
        <v>6808695.7810000004</v>
      </c>
    </row>
    <row r="161" spans="2:49" x14ac:dyDescent="0.25">
      <c r="B161" t="s">
        <v>462</v>
      </c>
      <c r="C161">
        <v>20174774.421468802</v>
      </c>
      <c r="D161">
        <v>20498686.950521201</v>
      </c>
      <c r="E161">
        <v>20827800</v>
      </c>
      <c r="F161">
        <v>19626753.850000001</v>
      </c>
      <c r="G161">
        <v>18314435.039999999</v>
      </c>
      <c r="H161">
        <v>15978312.67</v>
      </c>
      <c r="I161">
        <v>14865643.439999999</v>
      </c>
      <c r="J161">
        <v>13982229.18</v>
      </c>
      <c r="K161">
        <v>13018398.59</v>
      </c>
      <c r="L161">
        <v>11933480.15</v>
      </c>
      <c r="M161">
        <v>10890368.02</v>
      </c>
      <c r="N161">
        <v>9799355.352</v>
      </c>
      <c r="O161">
        <v>8289089.7470000004</v>
      </c>
      <c r="P161">
        <v>6999372.534</v>
      </c>
      <c r="Q161">
        <v>6547717.6200000001</v>
      </c>
      <c r="R161">
        <v>6442127.9309999999</v>
      </c>
      <c r="S161">
        <v>6335637.2949999999</v>
      </c>
      <c r="T161">
        <v>6304413.1289999997</v>
      </c>
      <c r="U161">
        <v>6294705.7309999997</v>
      </c>
      <c r="V161">
        <v>6300407.0860000001</v>
      </c>
      <c r="W161">
        <v>6475145.4550000001</v>
      </c>
      <c r="X161">
        <v>6687153.0800000001</v>
      </c>
      <c r="Y161">
        <v>6819780.4630000005</v>
      </c>
      <c r="Z161">
        <v>6935346.2390000001</v>
      </c>
      <c r="AA161">
        <v>7059139.2520000003</v>
      </c>
      <c r="AB161">
        <v>7165727.3439999996</v>
      </c>
      <c r="AC161">
        <v>7273547.8279999997</v>
      </c>
      <c r="AD161">
        <v>7337677.415</v>
      </c>
      <c r="AE161">
        <v>7395181.7149999999</v>
      </c>
      <c r="AF161">
        <v>7451842.0729999999</v>
      </c>
      <c r="AG161">
        <v>7507499.1299999999</v>
      </c>
      <c r="AH161">
        <v>7563247.8229999999</v>
      </c>
      <c r="AI161">
        <v>7614848.4529999997</v>
      </c>
      <c r="AJ161">
        <v>7663371.2460000003</v>
      </c>
      <c r="AK161">
        <v>7708639.2719999999</v>
      </c>
      <c r="AL161">
        <v>7752075.4840000002</v>
      </c>
      <c r="AM161">
        <v>7793354.0489999996</v>
      </c>
      <c r="AN161">
        <v>7827576.5470000003</v>
      </c>
      <c r="AO161">
        <v>7858782.9800000004</v>
      </c>
      <c r="AP161">
        <v>7887118.7470000004</v>
      </c>
      <c r="AQ161">
        <v>7913477.0080000004</v>
      </c>
      <c r="AR161">
        <v>7937844.6069999998</v>
      </c>
      <c r="AS161">
        <v>7976122.352</v>
      </c>
      <c r="AT161">
        <v>8016345.9349999996</v>
      </c>
      <c r="AU161">
        <v>8055205.3839999996</v>
      </c>
      <c r="AV161">
        <v>8092242.977</v>
      </c>
      <c r="AW161">
        <v>8130723.3660000004</v>
      </c>
    </row>
    <row r="162" spans="2:49" x14ac:dyDescent="0.25">
      <c r="B162" t="s">
        <v>463</v>
      </c>
      <c r="C162">
        <v>463787.91773491597</v>
      </c>
      <c r="D162">
        <v>471234.182770602</v>
      </c>
      <c r="E162">
        <v>478800</v>
      </c>
      <c r="F162">
        <v>476253.26130000001</v>
      </c>
      <c r="G162">
        <v>457445.87660000002</v>
      </c>
      <c r="H162">
        <v>432518.92349999998</v>
      </c>
      <c r="I162">
        <v>435850.97989999998</v>
      </c>
      <c r="J162">
        <v>450177.33409999998</v>
      </c>
      <c r="K162">
        <v>448845.59289999999</v>
      </c>
      <c r="L162">
        <v>455015.90210000001</v>
      </c>
      <c r="M162">
        <v>472154.36570000002</v>
      </c>
      <c r="N162">
        <v>496658.57390000002</v>
      </c>
      <c r="O162">
        <v>472557.78720000002</v>
      </c>
      <c r="P162">
        <v>440211.90340000001</v>
      </c>
      <c r="Q162">
        <v>391031.76640000002</v>
      </c>
      <c r="R162">
        <v>349480.79310000001</v>
      </c>
      <c r="S162">
        <v>311800.11440000002</v>
      </c>
      <c r="T162">
        <v>289465.2181</v>
      </c>
      <c r="U162">
        <v>269802.87809999997</v>
      </c>
      <c r="V162">
        <v>251341.80040000001</v>
      </c>
      <c r="W162">
        <v>263687.78350000002</v>
      </c>
      <c r="X162">
        <v>276701.61259999999</v>
      </c>
      <c r="Y162">
        <v>275156.54950000002</v>
      </c>
      <c r="Z162">
        <v>274381.65039999998</v>
      </c>
      <c r="AA162">
        <v>272281.32020000002</v>
      </c>
      <c r="AB162">
        <v>270327.34820000001</v>
      </c>
      <c r="AC162">
        <v>268333.7807</v>
      </c>
      <c r="AD162">
        <v>267144.66310000001</v>
      </c>
      <c r="AE162">
        <v>265679.53960000002</v>
      </c>
      <c r="AF162">
        <v>264273.43150000001</v>
      </c>
      <c r="AG162">
        <v>262606.51380000002</v>
      </c>
      <c r="AH162">
        <v>260864.13620000001</v>
      </c>
      <c r="AI162">
        <v>259018.2066</v>
      </c>
      <c r="AJ162">
        <v>257184.2568</v>
      </c>
      <c r="AK162">
        <v>255302.91899999999</v>
      </c>
      <c r="AL162">
        <v>253444.5459</v>
      </c>
      <c r="AM162">
        <v>251595.61319999999</v>
      </c>
      <c r="AN162">
        <v>249065.204</v>
      </c>
      <c r="AO162">
        <v>246610.1103</v>
      </c>
      <c r="AP162">
        <v>244096.62820000001</v>
      </c>
      <c r="AQ162">
        <v>241566.26420000001</v>
      </c>
      <c r="AR162">
        <v>238928.16959999999</v>
      </c>
      <c r="AS162">
        <v>237026.12479999999</v>
      </c>
      <c r="AT162">
        <v>235063.4688</v>
      </c>
      <c r="AU162">
        <v>233019.43950000001</v>
      </c>
      <c r="AV162">
        <v>230905.58730000001</v>
      </c>
      <c r="AW162">
        <v>228798.77059999999</v>
      </c>
    </row>
    <row r="163" spans="2:49" x14ac:dyDescent="0.25">
      <c r="B163" t="s">
        <v>464</v>
      </c>
      <c r="C163">
        <v>748170.71461916296</v>
      </c>
      <c r="D163">
        <v>760182.83744504896</v>
      </c>
      <c r="E163">
        <v>665577.06059999997</v>
      </c>
      <c r="F163">
        <v>675477.13119999995</v>
      </c>
      <c r="G163">
        <v>638112.38130000001</v>
      </c>
      <c r="H163">
        <v>626825.66110000003</v>
      </c>
      <c r="I163">
        <v>652942.0673</v>
      </c>
      <c r="J163">
        <v>622389.15549999999</v>
      </c>
      <c r="K163">
        <v>593163.10450000002</v>
      </c>
      <c r="L163">
        <v>559021.07149999996</v>
      </c>
      <c r="M163">
        <v>573709.26529999997</v>
      </c>
      <c r="N163">
        <v>568036.93779999996</v>
      </c>
      <c r="O163">
        <v>566823.82189999998</v>
      </c>
      <c r="P163">
        <v>572262.39210000006</v>
      </c>
      <c r="Q163">
        <v>538238.39320000005</v>
      </c>
      <c r="R163">
        <v>523906.95370000001</v>
      </c>
      <c r="S163">
        <v>521290.49310000002</v>
      </c>
      <c r="T163">
        <v>507017.09980000003</v>
      </c>
      <c r="U163">
        <v>493789.52870000002</v>
      </c>
      <c r="V163">
        <v>483512.91029999999</v>
      </c>
      <c r="W163">
        <v>517344.6974</v>
      </c>
      <c r="X163">
        <v>555407.49970000004</v>
      </c>
      <c r="Y163">
        <v>562083.61399999994</v>
      </c>
      <c r="Z163">
        <v>564964.74750000006</v>
      </c>
      <c r="AA163">
        <v>564076.22459999996</v>
      </c>
      <c r="AB163">
        <v>562416.95739999996</v>
      </c>
      <c r="AC163">
        <v>563275.74970000004</v>
      </c>
      <c r="AD163">
        <v>560695.28009999997</v>
      </c>
      <c r="AE163">
        <v>559157.62479999999</v>
      </c>
      <c r="AF163">
        <v>558264.78119999997</v>
      </c>
      <c r="AG163">
        <v>557181.26370000001</v>
      </c>
      <c r="AH163">
        <v>557591.65029999998</v>
      </c>
      <c r="AI163">
        <v>558336.98430000001</v>
      </c>
      <c r="AJ163">
        <v>560048.87820000004</v>
      </c>
      <c r="AK163">
        <v>561644.67590000003</v>
      </c>
      <c r="AL163">
        <v>563444.14179999998</v>
      </c>
      <c r="AM163">
        <v>565548.10919999995</v>
      </c>
      <c r="AN163">
        <v>568303.98490000004</v>
      </c>
      <c r="AO163">
        <v>571749.14610000001</v>
      </c>
      <c r="AP163">
        <v>575200.55530000001</v>
      </c>
      <c r="AQ163">
        <v>578653.79590000003</v>
      </c>
      <c r="AR163">
        <v>583019.70349999995</v>
      </c>
      <c r="AS163">
        <v>585717.58669999999</v>
      </c>
      <c r="AT163">
        <v>588624.95239999995</v>
      </c>
      <c r="AU163">
        <v>591550.12239999999</v>
      </c>
      <c r="AV163">
        <v>594542.60389999999</v>
      </c>
      <c r="AW163">
        <v>597622.00939999998</v>
      </c>
    </row>
    <row r="164" spans="2:49" x14ac:dyDescent="0.25">
      <c r="B164" s="245" t="s">
        <v>465</v>
      </c>
      <c r="C164">
        <v>5051155.6907064496</v>
      </c>
      <c r="D164">
        <v>5132253.62916335</v>
      </c>
      <c r="E164">
        <v>4493537.76</v>
      </c>
      <c r="F164">
        <v>4517431.7589999996</v>
      </c>
      <c r="G164">
        <v>4237379.091</v>
      </c>
      <c r="H164">
        <v>4123591.0469999998</v>
      </c>
      <c r="I164">
        <v>4058567.8390000002</v>
      </c>
      <c r="J164">
        <v>3958331.4989999998</v>
      </c>
      <c r="K164">
        <v>3690266.2719999999</v>
      </c>
      <c r="L164">
        <v>3521364.8259999999</v>
      </c>
      <c r="M164">
        <v>3503738.5070000002</v>
      </c>
      <c r="N164">
        <v>3449157.108</v>
      </c>
      <c r="O164">
        <v>3412934.4849999999</v>
      </c>
      <c r="P164">
        <v>3401982.054</v>
      </c>
      <c r="Q164">
        <v>3243705.9610000001</v>
      </c>
      <c r="R164">
        <v>3128154.5109999999</v>
      </c>
      <c r="S164">
        <v>3111170.6159999999</v>
      </c>
      <c r="T164">
        <v>2996929.6039999998</v>
      </c>
      <c r="U164">
        <v>2902701.39</v>
      </c>
      <c r="V164">
        <v>2820059.4449999998</v>
      </c>
      <c r="W164">
        <v>2975806.3139999998</v>
      </c>
      <c r="X164">
        <v>3123329.0720000002</v>
      </c>
      <c r="Y164">
        <v>3089500.8640000001</v>
      </c>
      <c r="Z164">
        <v>3079060.5690000001</v>
      </c>
      <c r="AA164">
        <v>3058134.202</v>
      </c>
      <c r="AB164">
        <v>3035372.66</v>
      </c>
      <c r="AC164">
        <v>3027702.8769999999</v>
      </c>
      <c r="AD164">
        <v>3000287.0129999998</v>
      </c>
      <c r="AE164">
        <v>2978866.6189999999</v>
      </c>
      <c r="AF164">
        <v>2958826.1069999998</v>
      </c>
      <c r="AG164">
        <v>2939389.557</v>
      </c>
      <c r="AH164">
        <v>2929249.24</v>
      </c>
      <c r="AI164">
        <v>2920595.3569999998</v>
      </c>
      <c r="AJ164">
        <v>2917043.409</v>
      </c>
      <c r="AK164">
        <v>2912125.0460000001</v>
      </c>
      <c r="AL164">
        <v>2907533.557</v>
      </c>
      <c r="AM164">
        <v>2903899.662</v>
      </c>
      <c r="AN164">
        <v>2889738.4950000001</v>
      </c>
      <c r="AO164">
        <v>2874494.4569999999</v>
      </c>
      <c r="AP164">
        <v>2857993.9210000001</v>
      </c>
      <c r="AQ164">
        <v>2840109.9249999998</v>
      </c>
      <c r="AR164">
        <v>2825677.747</v>
      </c>
      <c r="AS164">
        <v>2812106.696</v>
      </c>
      <c r="AT164">
        <v>2801211.09</v>
      </c>
      <c r="AU164">
        <v>2790579.17</v>
      </c>
      <c r="AV164">
        <v>2780021.3119999999</v>
      </c>
      <c r="AW164">
        <v>2769522.5120000001</v>
      </c>
    </row>
    <row r="165" spans="2:49" x14ac:dyDescent="0.25">
      <c r="B165" s="245" t="s">
        <v>466</v>
      </c>
      <c r="C165">
        <v>738109.45702439197</v>
      </c>
      <c r="D165">
        <v>749960.04310518701</v>
      </c>
      <c r="E165">
        <v>656626.50679999997</v>
      </c>
      <c r="F165">
        <v>699115.31799999997</v>
      </c>
      <c r="G165">
        <v>649956.81129999994</v>
      </c>
      <c r="H165">
        <v>554571.74800000002</v>
      </c>
      <c r="I165">
        <v>602305.70689999999</v>
      </c>
      <c r="J165">
        <v>584736.23060000001</v>
      </c>
      <c r="K165">
        <v>551683.33189999999</v>
      </c>
      <c r="L165">
        <v>539679.9865</v>
      </c>
      <c r="M165">
        <v>554036.09169999999</v>
      </c>
      <c r="N165">
        <v>588853.08660000004</v>
      </c>
      <c r="O165">
        <v>570170.96070000005</v>
      </c>
      <c r="P165">
        <v>548641.63009999995</v>
      </c>
      <c r="Q165">
        <v>491174.2868</v>
      </c>
      <c r="R165">
        <v>458479.7954</v>
      </c>
      <c r="S165">
        <v>410646.54229999997</v>
      </c>
      <c r="T165">
        <v>378638.03539999999</v>
      </c>
      <c r="U165">
        <v>370707.06099999999</v>
      </c>
      <c r="V165">
        <v>365143.15019999997</v>
      </c>
      <c r="W165">
        <v>388816.0099</v>
      </c>
      <c r="X165">
        <v>380387.56839999999</v>
      </c>
      <c r="Y165">
        <v>399385.71889999998</v>
      </c>
      <c r="Z165">
        <v>410920.3628</v>
      </c>
      <c r="AA165">
        <v>416815.95549999998</v>
      </c>
      <c r="AB165">
        <v>420081.09259999997</v>
      </c>
      <c r="AC165">
        <v>403975.30430000002</v>
      </c>
      <c r="AD165">
        <v>418822.80249999999</v>
      </c>
      <c r="AE165">
        <v>421653.93670000002</v>
      </c>
      <c r="AF165">
        <v>424221.0612</v>
      </c>
      <c r="AG165">
        <v>425927.2193</v>
      </c>
      <c r="AH165">
        <v>413032.32150000002</v>
      </c>
      <c r="AI165">
        <v>424156.05369999999</v>
      </c>
      <c r="AJ165">
        <v>430447.3334</v>
      </c>
      <c r="AK165">
        <v>433958.12780000002</v>
      </c>
      <c r="AL165">
        <v>436586.19079999998</v>
      </c>
      <c r="AM165">
        <v>438715.929</v>
      </c>
      <c r="AN165">
        <v>434865.48759999999</v>
      </c>
      <c r="AO165">
        <v>432947.35969999997</v>
      </c>
      <c r="AP165">
        <v>431260.28909999999</v>
      </c>
      <c r="AQ165">
        <v>429482.65019999997</v>
      </c>
      <c r="AR165">
        <v>418135.03869999998</v>
      </c>
      <c r="AS165">
        <v>421876.21360000002</v>
      </c>
      <c r="AT165">
        <v>423267.60739999998</v>
      </c>
      <c r="AU165">
        <v>423582.39889999997</v>
      </c>
      <c r="AV165">
        <v>423379.90850000002</v>
      </c>
      <c r="AW165">
        <v>422949.33850000001</v>
      </c>
    </row>
    <row r="166" spans="2:49" x14ac:dyDescent="0.25">
      <c r="B166" s="245" t="s">
        <v>467</v>
      </c>
      <c r="C166">
        <v>1453742.3069470399</v>
      </c>
      <c r="D166">
        <v>1477082.6099113501</v>
      </c>
      <c r="E166">
        <v>1293257.692</v>
      </c>
      <c r="F166">
        <v>1281812.102</v>
      </c>
      <c r="G166">
        <v>1154719.656</v>
      </c>
      <c r="H166">
        <v>978038.42020000005</v>
      </c>
      <c r="I166">
        <v>991792.52630000003</v>
      </c>
      <c r="J166">
        <v>1069349.577</v>
      </c>
      <c r="K166">
        <v>950968.10369999998</v>
      </c>
      <c r="L166">
        <v>887392.85190000001</v>
      </c>
      <c r="M166">
        <v>885394.70929999999</v>
      </c>
      <c r="N166">
        <v>872024.11739999999</v>
      </c>
      <c r="O166">
        <v>912341.80290000001</v>
      </c>
      <c r="P166">
        <v>947206.97620000003</v>
      </c>
      <c r="Q166">
        <v>934245.03430000006</v>
      </c>
      <c r="R166">
        <v>920839.48540000001</v>
      </c>
      <c r="S166">
        <v>906428.473</v>
      </c>
      <c r="T166">
        <v>870121.05539999995</v>
      </c>
      <c r="U166">
        <v>839853.25809999998</v>
      </c>
      <c r="V166">
        <v>814359.93229999999</v>
      </c>
      <c r="W166">
        <v>852483.16440000001</v>
      </c>
      <c r="X166">
        <v>881070.26060000004</v>
      </c>
      <c r="Y166">
        <v>871013.71680000005</v>
      </c>
      <c r="Z166">
        <v>866544.83169999998</v>
      </c>
      <c r="AA166">
        <v>859634.13520000002</v>
      </c>
      <c r="AB166">
        <v>852370.19680000003</v>
      </c>
      <c r="AC166">
        <v>844744.60660000006</v>
      </c>
      <c r="AD166">
        <v>842903.1004</v>
      </c>
      <c r="AE166">
        <v>839282.68770000001</v>
      </c>
      <c r="AF166">
        <v>836376.37239999999</v>
      </c>
      <c r="AG166">
        <v>833225.43229999999</v>
      </c>
      <c r="AH166">
        <v>829642.56720000005</v>
      </c>
      <c r="AI166">
        <v>832631.25060000003</v>
      </c>
      <c r="AJ166">
        <v>835514.02839999995</v>
      </c>
      <c r="AK166">
        <v>838185.4155</v>
      </c>
      <c r="AL166">
        <v>840988.84290000005</v>
      </c>
      <c r="AM166">
        <v>844032.63919999998</v>
      </c>
      <c r="AN166">
        <v>842197.55070000002</v>
      </c>
      <c r="AO166">
        <v>840818.33070000005</v>
      </c>
      <c r="AP166">
        <v>839166.01210000005</v>
      </c>
      <c r="AQ166">
        <v>837343.11289999995</v>
      </c>
      <c r="AR166">
        <v>834348.38549999997</v>
      </c>
      <c r="AS166">
        <v>835700.28099999996</v>
      </c>
      <c r="AT166">
        <v>837000.15009999997</v>
      </c>
      <c r="AU166">
        <v>838032.72149999999</v>
      </c>
      <c r="AV166">
        <v>838865.68130000005</v>
      </c>
      <c r="AW166">
        <v>839852.11069999996</v>
      </c>
    </row>
    <row r="167" spans="2:49" x14ac:dyDescent="0.25">
      <c r="B167" s="245" t="s">
        <v>468</v>
      </c>
      <c r="C167">
        <v>1819036.8432423901</v>
      </c>
      <c r="D167">
        <v>1848242.0681447799</v>
      </c>
      <c r="E167">
        <v>1618225.8559999999</v>
      </c>
      <c r="F167">
        <v>1606346.209</v>
      </c>
      <c r="G167">
        <v>1458825.7709999999</v>
      </c>
      <c r="H167">
        <v>1217816.3810000001</v>
      </c>
      <c r="I167">
        <v>1254290.1459999999</v>
      </c>
      <c r="J167">
        <v>1377052.67</v>
      </c>
      <c r="K167">
        <v>1224678.2560000001</v>
      </c>
      <c r="L167">
        <v>1139520.0220000001</v>
      </c>
      <c r="M167">
        <v>1132902.179</v>
      </c>
      <c r="N167">
        <v>1098022.46</v>
      </c>
      <c r="O167">
        <v>1171355.1499999999</v>
      </c>
      <c r="P167">
        <v>1254253.0430000001</v>
      </c>
      <c r="Q167">
        <v>1269348.274</v>
      </c>
      <c r="R167">
        <v>1279343.6640000001</v>
      </c>
      <c r="S167">
        <v>1259382.3470000001</v>
      </c>
      <c r="T167">
        <v>1230272.848</v>
      </c>
      <c r="U167">
        <v>1185824.8589999999</v>
      </c>
      <c r="V167">
        <v>1160169.0430000001</v>
      </c>
      <c r="W167">
        <v>1214693.3400000001</v>
      </c>
      <c r="X167">
        <v>1266582.655</v>
      </c>
      <c r="Y167">
        <v>1235954.9339999999</v>
      </c>
      <c r="Z167">
        <v>1218795.1459999999</v>
      </c>
      <c r="AA167">
        <v>1201173.9269999999</v>
      </c>
      <c r="AB167">
        <v>1183988.933</v>
      </c>
      <c r="AC167">
        <v>1170242.3670000001</v>
      </c>
      <c r="AD167">
        <v>1161371.5209999999</v>
      </c>
      <c r="AE167">
        <v>1151567.517</v>
      </c>
      <c r="AF167">
        <v>1143681.223</v>
      </c>
      <c r="AG167">
        <v>1134913.9310000001</v>
      </c>
      <c r="AH167">
        <v>1128732.6129999999</v>
      </c>
      <c r="AI167">
        <v>1127139.811</v>
      </c>
      <c r="AJ167">
        <v>1125016.79</v>
      </c>
      <c r="AK167">
        <v>1124192.227</v>
      </c>
      <c r="AL167">
        <v>1123683.3389999999</v>
      </c>
      <c r="AM167">
        <v>1123376.8259999999</v>
      </c>
      <c r="AN167">
        <v>1119090.892</v>
      </c>
      <c r="AO167">
        <v>1116682.0120000001</v>
      </c>
      <c r="AP167">
        <v>1114086.048</v>
      </c>
      <c r="AQ167">
        <v>1112595.67</v>
      </c>
      <c r="AR167">
        <v>1110325.3640000001</v>
      </c>
      <c r="AS167">
        <v>1109752.0930000001</v>
      </c>
      <c r="AT167">
        <v>1109133.7860000001</v>
      </c>
      <c r="AU167">
        <v>1107757.48</v>
      </c>
      <c r="AV167">
        <v>1106224.5009999999</v>
      </c>
      <c r="AW167">
        <v>1108887.419</v>
      </c>
    </row>
    <row r="168" spans="2:49" x14ac:dyDescent="0.25">
      <c r="B168" s="245" t="s">
        <v>469</v>
      </c>
      <c r="C168">
        <v>2313078.33193391</v>
      </c>
      <c r="D168">
        <v>2350215.5527395001</v>
      </c>
      <c r="E168">
        <v>2057728.0649999999</v>
      </c>
      <c r="F168">
        <v>2022078.4839999999</v>
      </c>
      <c r="G168">
        <v>1863136.58</v>
      </c>
      <c r="H168">
        <v>1635426.929</v>
      </c>
      <c r="I168">
        <v>1701196.6170000001</v>
      </c>
      <c r="J168">
        <v>1587676.682</v>
      </c>
      <c r="K168">
        <v>1429916.818</v>
      </c>
      <c r="L168">
        <v>1372032.629</v>
      </c>
      <c r="M168">
        <v>1333013.463</v>
      </c>
      <c r="N168">
        <v>1335927.3089999999</v>
      </c>
      <c r="O168">
        <v>1377428.405</v>
      </c>
      <c r="P168">
        <v>1406860.7709999999</v>
      </c>
      <c r="Q168">
        <v>1394355.9750000001</v>
      </c>
      <c r="R168">
        <v>1369095.7050000001</v>
      </c>
      <c r="S168">
        <v>1374574.8219999999</v>
      </c>
      <c r="T168">
        <v>1332442.905</v>
      </c>
      <c r="U168">
        <v>1288076.0859999999</v>
      </c>
      <c r="V168">
        <v>1250152.9809999999</v>
      </c>
      <c r="W168">
        <v>1328714.977</v>
      </c>
      <c r="X168">
        <v>1400583.351</v>
      </c>
      <c r="Y168">
        <v>1390887.362</v>
      </c>
      <c r="Z168">
        <v>1392642.94</v>
      </c>
      <c r="AA168">
        <v>1389612.064</v>
      </c>
      <c r="AB168">
        <v>1385988.655</v>
      </c>
      <c r="AC168">
        <v>1385108.345</v>
      </c>
      <c r="AD168">
        <v>1379881.632</v>
      </c>
      <c r="AE168">
        <v>1374725.1310000001</v>
      </c>
      <c r="AF168">
        <v>1370559.9620000001</v>
      </c>
      <c r="AG168">
        <v>1366270.003</v>
      </c>
      <c r="AH168">
        <v>1363876.872</v>
      </c>
      <c r="AI168">
        <v>1367972.703</v>
      </c>
      <c r="AJ168">
        <v>1373169.531</v>
      </c>
      <c r="AK168">
        <v>1378528.929</v>
      </c>
      <c r="AL168">
        <v>1384272.284</v>
      </c>
      <c r="AM168">
        <v>1390490.189</v>
      </c>
      <c r="AN168">
        <v>1391290.4469999999</v>
      </c>
      <c r="AO168">
        <v>1393051.6580000001</v>
      </c>
      <c r="AP168">
        <v>1394366.9080000001</v>
      </c>
      <c r="AQ168">
        <v>1395335.716</v>
      </c>
      <c r="AR168">
        <v>1396154.7069999999</v>
      </c>
      <c r="AS168">
        <v>1400050.05</v>
      </c>
      <c r="AT168">
        <v>1404111.929</v>
      </c>
      <c r="AU168">
        <v>1408041.4939999999</v>
      </c>
      <c r="AV168">
        <v>1411821.2509999999</v>
      </c>
      <c r="AW168">
        <v>1415718.879</v>
      </c>
    </row>
    <row r="169" spans="2:49" x14ac:dyDescent="0.25">
      <c r="B169" s="245" t="s">
        <v>470</v>
      </c>
      <c r="C169">
        <v>4643279.3828946501</v>
      </c>
      <c r="D169">
        <v>4717828.7352982899</v>
      </c>
      <c r="E169">
        <v>4130688.602</v>
      </c>
      <c r="F169">
        <v>4059930.2170000002</v>
      </c>
      <c r="G169">
        <v>3945971.6690000002</v>
      </c>
      <c r="H169">
        <v>3601996.034</v>
      </c>
      <c r="I169">
        <v>3647113.6060000001</v>
      </c>
      <c r="J169">
        <v>3569780.7429999998</v>
      </c>
      <c r="K169">
        <v>3341008.8289999999</v>
      </c>
      <c r="L169">
        <v>3226901.267</v>
      </c>
      <c r="M169">
        <v>3160557.287</v>
      </c>
      <c r="N169">
        <v>3206999.5580000002</v>
      </c>
      <c r="O169">
        <v>3314656.4619999998</v>
      </c>
      <c r="P169">
        <v>3378803.0180000002</v>
      </c>
      <c r="Q169">
        <v>3328347.5460000001</v>
      </c>
      <c r="R169">
        <v>3343281.44</v>
      </c>
      <c r="S169">
        <v>3291952.6260000002</v>
      </c>
      <c r="T169">
        <v>3172852.0690000001</v>
      </c>
      <c r="U169">
        <v>3057693.5269999998</v>
      </c>
      <c r="V169">
        <v>2956188.2689999999</v>
      </c>
      <c r="W169">
        <v>3041792.5750000002</v>
      </c>
      <c r="X169">
        <v>3095674.5550000002</v>
      </c>
      <c r="Y169">
        <v>2991720.9989999998</v>
      </c>
      <c r="Z169">
        <v>2917273.5129999998</v>
      </c>
      <c r="AA169">
        <v>2837370.93</v>
      </c>
      <c r="AB169">
        <v>2758009.2119999998</v>
      </c>
      <c r="AC169">
        <v>2682344.7510000002</v>
      </c>
      <c r="AD169">
        <v>2667113.2930000001</v>
      </c>
      <c r="AE169">
        <v>2651491.6949999998</v>
      </c>
      <c r="AF169">
        <v>2639662.0079999999</v>
      </c>
      <c r="AG169">
        <v>2625887.159</v>
      </c>
      <c r="AH169">
        <v>2614087.4079999998</v>
      </c>
      <c r="AI169">
        <v>2616995.2390000001</v>
      </c>
      <c r="AJ169">
        <v>2620667.7549999999</v>
      </c>
      <c r="AK169">
        <v>2624676.0389999999</v>
      </c>
      <c r="AL169">
        <v>2629482.9279999998</v>
      </c>
      <c r="AM169">
        <v>2635010.0860000001</v>
      </c>
      <c r="AN169">
        <v>2626025.1</v>
      </c>
      <c r="AO169">
        <v>2617952.77</v>
      </c>
      <c r="AP169">
        <v>2608471.2659999998</v>
      </c>
      <c r="AQ169">
        <v>2598472.872</v>
      </c>
      <c r="AR169">
        <v>2587414.6540000001</v>
      </c>
      <c r="AS169">
        <v>2584141.0809999998</v>
      </c>
      <c r="AT169">
        <v>2581748.0520000001</v>
      </c>
      <c r="AU169">
        <v>2579166.1540000001</v>
      </c>
      <c r="AV169">
        <v>2576436.3840000001</v>
      </c>
      <c r="AW169">
        <v>2573467.2749999999</v>
      </c>
    </row>
    <row r="170" spans="2:49" x14ac:dyDescent="0.25">
      <c r="B170" s="245" t="s">
        <v>471</v>
      </c>
      <c r="C170">
        <v>3833938.33697946</v>
      </c>
      <c r="D170">
        <v>3895493.45710216</v>
      </c>
      <c r="E170">
        <v>3426213.9130000002</v>
      </c>
      <c r="F170">
        <v>3371351.6370000001</v>
      </c>
      <c r="G170">
        <v>3316617.7829999998</v>
      </c>
      <c r="H170">
        <v>2994642.0839999998</v>
      </c>
      <c r="I170">
        <v>3069324.4980000001</v>
      </c>
      <c r="J170">
        <v>3071066.5469999998</v>
      </c>
      <c r="K170">
        <v>2961628.6889999998</v>
      </c>
      <c r="L170">
        <v>2889360.97</v>
      </c>
      <c r="M170">
        <v>2830007.0180000002</v>
      </c>
      <c r="N170">
        <v>2821151.1490000002</v>
      </c>
      <c r="O170">
        <v>2899126.0819999999</v>
      </c>
      <c r="P170">
        <v>3029693.1570000001</v>
      </c>
      <c r="Q170">
        <v>3095884.3089999999</v>
      </c>
      <c r="R170">
        <v>3223382.3810000001</v>
      </c>
      <c r="S170">
        <v>3278096.2949999999</v>
      </c>
      <c r="T170">
        <v>3159502.1039999998</v>
      </c>
      <c r="U170">
        <v>3062361.574</v>
      </c>
      <c r="V170">
        <v>2968913.3769999999</v>
      </c>
      <c r="W170">
        <v>3172271.7250000001</v>
      </c>
      <c r="X170">
        <v>3366654.9840000002</v>
      </c>
      <c r="Y170">
        <v>3360844.4780000001</v>
      </c>
      <c r="Z170">
        <v>3360697.9419999998</v>
      </c>
      <c r="AA170">
        <v>3352154.6669999999</v>
      </c>
      <c r="AB170">
        <v>3339171.02</v>
      </c>
      <c r="AC170">
        <v>3323844.986</v>
      </c>
      <c r="AD170">
        <v>3311558.9169999999</v>
      </c>
      <c r="AE170">
        <v>3298013.6179999998</v>
      </c>
      <c r="AF170">
        <v>3288942.4559999998</v>
      </c>
      <c r="AG170">
        <v>3275880.7510000002</v>
      </c>
      <c r="AH170">
        <v>3263951.7769999998</v>
      </c>
      <c r="AI170">
        <v>3269476.73</v>
      </c>
      <c r="AJ170">
        <v>3277268.2969999998</v>
      </c>
      <c r="AK170">
        <v>3285720.08</v>
      </c>
      <c r="AL170">
        <v>3295413.9360000002</v>
      </c>
      <c r="AM170">
        <v>3306194.5419999999</v>
      </c>
      <c r="AN170">
        <v>3317379.98</v>
      </c>
      <c r="AO170">
        <v>3331571.2379999999</v>
      </c>
      <c r="AP170">
        <v>3345412.0970000001</v>
      </c>
      <c r="AQ170">
        <v>3359349.287</v>
      </c>
      <c r="AR170">
        <v>3372848.415</v>
      </c>
      <c r="AS170">
        <v>3385316.5430000001</v>
      </c>
      <c r="AT170">
        <v>3397847.6570000001</v>
      </c>
      <c r="AU170">
        <v>3410386.3139999998</v>
      </c>
      <c r="AV170">
        <v>3423017.81</v>
      </c>
      <c r="AW170">
        <v>3434933.5150000001</v>
      </c>
    </row>
    <row r="171" spans="2:49" x14ac:dyDescent="0.25">
      <c r="B171" s="245" t="s">
        <v>472</v>
      </c>
      <c r="C171">
        <v>271678.64339116903</v>
      </c>
      <c r="D171">
        <v>276040.53188776103</v>
      </c>
      <c r="E171">
        <v>241686.91630000001</v>
      </c>
      <c r="F171">
        <v>245406.69349999999</v>
      </c>
      <c r="G171">
        <v>227549.73019999999</v>
      </c>
      <c r="H171">
        <v>195092.8927</v>
      </c>
      <c r="I171">
        <v>201715.56280000001</v>
      </c>
      <c r="J171">
        <v>198483.85810000001</v>
      </c>
      <c r="K171">
        <v>178547.63939999999</v>
      </c>
      <c r="L171">
        <v>164079.6502</v>
      </c>
      <c r="M171">
        <v>159164.99419999999</v>
      </c>
      <c r="N171">
        <v>166092.28810000001</v>
      </c>
      <c r="O171">
        <v>165725.02770000001</v>
      </c>
      <c r="P171">
        <v>165562.9932</v>
      </c>
      <c r="Q171">
        <v>156813.9179</v>
      </c>
      <c r="R171">
        <v>148628.3236</v>
      </c>
      <c r="S171">
        <v>143832.5913</v>
      </c>
      <c r="T171">
        <v>138128.856</v>
      </c>
      <c r="U171">
        <v>133417.97219999999</v>
      </c>
      <c r="V171">
        <v>129796.8731</v>
      </c>
      <c r="W171">
        <v>137539.0399</v>
      </c>
      <c r="X171">
        <v>144152.3628</v>
      </c>
      <c r="Y171">
        <v>143863.55239999999</v>
      </c>
      <c r="Z171">
        <v>145049.94820000001</v>
      </c>
      <c r="AA171">
        <v>146040.88699999999</v>
      </c>
      <c r="AB171">
        <v>147378.58110000001</v>
      </c>
      <c r="AC171">
        <v>148481.65710000001</v>
      </c>
      <c r="AD171">
        <v>147469.73050000001</v>
      </c>
      <c r="AE171">
        <v>145979.62710000001</v>
      </c>
      <c r="AF171">
        <v>144676.26730000001</v>
      </c>
      <c r="AG171">
        <v>143341.89110000001</v>
      </c>
      <c r="AH171">
        <v>141432.69039999999</v>
      </c>
      <c r="AI171">
        <v>141306.10569999999</v>
      </c>
      <c r="AJ171">
        <v>141071.34349999999</v>
      </c>
      <c r="AK171">
        <v>140752.3535</v>
      </c>
      <c r="AL171">
        <v>140437.06200000001</v>
      </c>
      <c r="AM171">
        <v>140145.8094</v>
      </c>
      <c r="AN171">
        <v>138985.2286</v>
      </c>
      <c r="AO171">
        <v>138041.46429999999</v>
      </c>
      <c r="AP171">
        <v>137086.788</v>
      </c>
      <c r="AQ171">
        <v>136153.8291</v>
      </c>
      <c r="AR171">
        <v>134626.0962</v>
      </c>
      <c r="AS171">
        <v>134215.2555</v>
      </c>
      <c r="AT171">
        <v>133753.1231</v>
      </c>
      <c r="AU171">
        <v>133240.76740000001</v>
      </c>
      <c r="AV171">
        <v>132709.33240000001</v>
      </c>
      <c r="AW171">
        <v>132256.6593</v>
      </c>
    </row>
    <row r="172" spans="2:49" x14ac:dyDescent="0.25">
      <c r="B172" s="245" t="s">
        <v>473</v>
      </c>
      <c r="C172">
        <v>2033071.8879050901</v>
      </c>
      <c r="D172">
        <v>2065713.51468114</v>
      </c>
      <c r="E172">
        <v>1808632.689</v>
      </c>
      <c r="F172">
        <v>1765492.5549999999</v>
      </c>
      <c r="G172">
        <v>1556198.4539999999</v>
      </c>
      <c r="H172">
        <v>1251250.203</v>
      </c>
      <c r="I172">
        <v>1323300.673</v>
      </c>
      <c r="J172">
        <v>1291255.166</v>
      </c>
      <c r="K172">
        <v>1165900.3600000001</v>
      </c>
      <c r="L172">
        <v>1133553.098</v>
      </c>
      <c r="M172">
        <v>1123537.7949999999</v>
      </c>
      <c r="N172">
        <v>1130145.4410000001</v>
      </c>
      <c r="O172">
        <v>1108826.584</v>
      </c>
      <c r="P172">
        <v>1146616.05</v>
      </c>
      <c r="Q172">
        <v>1115467.064</v>
      </c>
      <c r="R172">
        <v>1067395.5530000001</v>
      </c>
      <c r="S172">
        <v>1043386.822</v>
      </c>
      <c r="T172">
        <v>997252.26969999995</v>
      </c>
      <c r="U172">
        <v>955080.4889</v>
      </c>
      <c r="V172">
        <v>919517.45530000003</v>
      </c>
      <c r="W172">
        <v>949219.36219999997</v>
      </c>
      <c r="X172">
        <v>963084.39670000004</v>
      </c>
      <c r="Y172">
        <v>942030.95810000005</v>
      </c>
      <c r="Z172">
        <v>929885.68460000004</v>
      </c>
      <c r="AA172">
        <v>915184.02619999996</v>
      </c>
      <c r="AB172">
        <v>900259.64029999997</v>
      </c>
      <c r="AC172">
        <v>884024.14769999997</v>
      </c>
      <c r="AD172">
        <v>880865.14210000006</v>
      </c>
      <c r="AE172">
        <v>875763.1764</v>
      </c>
      <c r="AF172">
        <v>871187.52749999997</v>
      </c>
      <c r="AG172">
        <v>866545.14309999999</v>
      </c>
      <c r="AH172">
        <v>860987.91830000002</v>
      </c>
      <c r="AI172">
        <v>863046.36670000001</v>
      </c>
      <c r="AJ172">
        <v>864636.52540000004</v>
      </c>
      <c r="AK172">
        <v>866115.07250000001</v>
      </c>
      <c r="AL172">
        <v>867655.45519999997</v>
      </c>
      <c r="AM172">
        <v>869229.8088</v>
      </c>
      <c r="AN172">
        <v>862343.2415</v>
      </c>
      <c r="AO172">
        <v>855399.19720000005</v>
      </c>
      <c r="AP172">
        <v>847710.19570000004</v>
      </c>
      <c r="AQ172">
        <v>839646.77879999997</v>
      </c>
      <c r="AR172">
        <v>829790.85739999998</v>
      </c>
      <c r="AS172">
        <v>826364.90769999998</v>
      </c>
      <c r="AT172">
        <v>822941.13150000002</v>
      </c>
      <c r="AU172">
        <v>819263.44750000001</v>
      </c>
      <c r="AV172">
        <v>815340.98899999994</v>
      </c>
      <c r="AW172">
        <v>811573.06449999998</v>
      </c>
    </row>
    <row r="173" spans="2:49" x14ac:dyDescent="0.25">
      <c r="B173" s="245" t="s">
        <v>474</v>
      </c>
      <c r="C173">
        <v>611949.61832884501</v>
      </c>
      <c r="D173">
        <v>621774.66739182698</v>
      </c>
      <c r="E173">
        <v>544393.97349999996</v>
      </c>
      <c r="F173">
        <v>535182.73840000003</v>
      </c>
      <c r="G173">
        <v>479561.57270000002</v>
      </c>
      <c r="H173">
        <v>403580.21220000001</v>
      </c>
      <c r="I173">
        <v>428889.66269999999</v>
      </c>
      <c r="J173">
        <v>411731.53350000002</v>
      </c>
      <c r="K173">
        <v>370194.88410000002</v>
      </c>
      <c r="L173">
        <v>351423.16460000002</v>
      </c>
      <c r="M173">
        <v>350767.27490000002</v>
      </c>
      <c r="N173">
        <v>350715.09350000002</v>
      </c>
      <c r="O173">
        <v>325109.53769999999</v>
      </c>
      <c r="P173">
        <v>314365.9926</v>
      </c>
      <c r="Q173">
        <v>279805.58889999997</v>
      </c>
      <c r="R173">
        <v>256950.50330000001</v>
      </c>
      <c r="S173">
        <v>243033.23310000001</v>
      </c>
      <c r="T173">
        <v>236715.26149999999</v>
      </c>
      <c r="U173">
        <v>229042.4577</v>
      </c>
      <c r="V173">
        <v>223690.60089999999</v>
      </c>
      <c r="W173">
        <v>234042.1066</v>
      </c>
      <c r="X173">
        <v>241915.6618</v>
      </c>
      <c r="Y173">
        <v>239054.96599999999</v>
      </c>
      <c r="Z173">
        <v>239895.17319999999</v>
      </c>
      <c r="AA173">
        <v>240061.3181</v>
      </c>
      <c r="AB173">
        <v>240189.8272</v>
      </c>
      <c r="AC173">
        <v>240382.67290000001</v>
      </c>
      <c r="AD173">
        <v>240539.78150000001</v>
      </c>
      <c r="AE173">
        <v>240475.86319999999</v>
      </c>
      <c r="AF173">
        <v>240611.5882</v>
      </c>
      <c r="AG173">
        <v>240713.52979999999</v>
      </c>
      <c r="AH173">
        <v>240716.554</v>
      </c>
      <c r="AI173">
        <v>242167.9204</v>
      </c>
      <c r="AJ173">
        <v>243505.5282</v>
      </c>
      <c r="AK173">
        <v>244868.65289999999</v>
      </c>
      <c r="AL173">
        <v>246263.978</v>
      </c>
      <c r="AM173">
        <v>247662.5012</v>
      </c>
      <c r="AN173">
        <v>247017.51240000001</v>
      </c>
      <c r="AO173">
        <v>246482.16940000001</v>
      </c>
      <c r="AP173">
        <v>245686.24050000001</v>
      </c>
      <c r="AQ173">
        <v>244778.36249999999</v>
      </c>
      <c r="AR173">
        <v>243437.1251</v>
      </c>
      <c r="AS173">
        <v>243523.9295</v>
      </c>
      <c r="AT173">
        <v>243606.18340000001</v>
      </c>
      <c r="AU173">
        <v>243644.9099</v>
      </c>
      <c r="AV173">
        <v>243638.9645</v>
      </c>
      <c r="AW173">
        <v>243672.62090000001</v>
      </c>
    </row>
    <row r="174" spans="2:49" x14ac:dyDescent="0.25">
      <c r="B174" s="245" t="s">
        <v>475</v>
      </c>
      <c r="C174">
        <v>8749188.7351059392</v>
      </c>
      <c r="D174">
        <v>8889659.7902533505</v>
      </c>
      <c r="E174">
        <v>7783329.6699999999</v>
      </c>
      <c r="F174">
        <v>7820952.1830000002</v>
      </c>
      <c r="G174">
        <v>7444181.9469999997</v>
      </c>
      <c r="H174">
        <v>6595046.6009999998</v>
      </c>
      <c r="I174">
        <v>6576567.8059999999</v>
      </c>
      <c r="J174">
        <v>6458150.4709999999</v>
      </c>
      <c r="K174">
        <v>6039592.8689999999</v>
      </c>
      <c r="L174">
        <v>5706479.3360000001</v>
      </c>
      <c r="M174">
        <v>5563923.7249999996</v>
      </c>
      <c r="N174">
        <v>5476525.4819999998</v>
      </c>
      <c r="O174">
        <v>5638348.932</v>
      </c>
      <c r="P174">
        <v>5791067.5159999998</v>
      </c>
      <c r="Q174">
        <v>5654294.733</v>
      </c>
      <c r="R174">
        <v>5714761.0329999998</v>
      </c>
      <c r="S174">
        <v>5718357.4170000004</v>
      </c>
      <c r="T174">
        <v>5580218.5870000003</v>
      </c>
      <c r="U174">
        <v>5381510.4720000001</v>
      </c>
      <c r="V174">
        <v>5205583.5470000003</v>
      </c>
      <c r="W174">
        <v>5413110.9859999996</v>
      </c>
      <c r="X174">
        <v>5567422.676</v>
      </c>
      <c r="Y174">
        <v>5477820.9790000003</v>
      </c>
      <c r="Z174">
        <v>5464861.8289999999</v>
      </c>
      <c r="AA174">
        <v>5433275.6849999996</v>
      </c>
      <c r="AB174">
        <v>5398945.8169999998</v>
      </c>
      <c r="AC174">
        <v>5375906.0259999996</v>
      </c>
      <c r="AD174">
        <v>5345669.8380000005</v>
      </c>
      <c r="AE174">
        <v>5313964.1050000004</v>
      </c>
      <c r="AF174">
        <v>5288637.5690000001</v>
      </c>
      <c r="AG174">
        <v>5262809.1330000004</v>
      </c>
      <c r="AH174">
        <v>5242370.5199999996</v>
      </c>
      <c r="AI174">
        <v>5244178.42</v>
      </c>
      <c r="AJ174">
        <v>5246283.9129999997</v>
      </c>
      <c r="AK174">
        <v>5247912.3289999999</v>
      </c>
      <c r="AL174">
        <v>5251253.2560000001</v>
      </c>
      <c r="AM174">
        <v>5256436.4000000004</v>
      </c>
      <c r="AN174">
        <v>5218100.7089999998</v>
      </c>
      <c r="AO174">
        <v>5182090.0549999997</v>
      </c>
      <c r="AP174">
        <v>5142090.9330000002</v>
      </c>
      <c r="AQ174">
        <v>5099492.0269999998</v>
      </c>
      <c r="AR174">
        <v>5055671.7529999996</v>
      </c>
      <c r="AS174">
        <v>5037641.51</v>
      </c>
      <c r="AT174">
        <v>5020891.6040000003</v>
      </c>
      <c r="AU174">
        <v>5004204.7719999999</v>
      </c>
      <c r="AV174">
        <v>4987161.3909999998</v>
      </c>
      <c r="AW174">
        <v>4971081.3030000003</v>
      </c>
    </row>
    <row r="175" spans="2:49" x14ac:dyDescent="0.25">
      <c r="B175" s="245" t="s">
        <v>476</v>
      </c>
      <c r="C175">
        <v>583434.83019375498</v>
      </c>
      <c r="D175">
        <v>592802.06510985899</v>
      </c>
      <c r="E175">
        <v>519027.05060000002</v>
      </c>
      <c r="F175">
        <v>540346.12159999995</v>
      </c>
      <c r="G175">
        <v>527120.02320000005</v>
      </c>
      <c r="H175">
        <v>458027.08319999999</v>
      </c>
      <c r="I175">
        <v>456490.5906</v>
      </c>
      <c r="J175">
        <v>463404.16590000002</v>
      </c>
      <c r="K175">
        <v>442848.90159999998</v>
      </c>
      <c r="L175">
        <v>428800.60230000003</v>
      </c>
      <c r="M175">
        <v>400939.36930000002</v>
      </c>
      <c r="N175">
        <v>368848.66009999998</v>
      </c>
      <c r="O175">
        <v>359284.15620000003</v>
      </c>
      <c r="P175">
        <v>362391.99949999998</v>
      </c>
      <c r="Q175">
        <v>353557.853</v>
      </c>
      <c r="R175">
        <v>358349.48859999998</v>
      </c>
      <c r="S175">
        <v>345960.54090000002</v>
      </c>
      <c r="T175">
        <v>342814.89850000001</v>
      </c>
      <c r="U175">
        <v>331668.5344</v>
      </c>
      <c r="V175">
        <v>326384.34399999998</v>
      </c>
      <c r="W175">
        <v>339815.17810000002</v>
      </c>
      <c r="X175">
        <v>355093.84889999998</v>
      </c>
      <c r="Y175">
        <v>345096.28360000002</v>
      </c>
      <c r="Z175">
        <v>340022.24449999997</v>
      </c>
      <c r="AA175">
        <v>336009.77159999998</v>
      </c>
      <c r="AB175">
        <v>332514.9584</v>
      </c>
      <c r="AC175">
        <v>330727.9706</v>
      </c>
      <c r="AD175">
        <v>329958.7991</v>
      </c>
      <c r="AE175">
        <v>328985.45909999998</v>
      </c>
      <c r="AF175">
        <v>328520.1887</v>
      </c>
      <c r="AG175">
        <v>327662.6888</v>
      </c>
      <c r="AH175">
        <v>327894.53279999999</v>
      </c>
      <c r="AI175">
        <v>328436.2524</v>
      </c>
      <c r="AJ175">
        <v>328665.92670000001</v>
      </c>
      <c r="AK175">
        <v>329330.48070000001</v>
      </c>
      <c r="AL175">
        <v>330056.19919999997</v>
      </c>
      <c r="AM175">
        <v>330765.18849999999</v>
      </c>
      <c r="AN175">
        <v>330334.82209999999</v>
      </c>
      <c r="AO175">
        <v>330654.26579999999</v>
      </c>
      <c r="AP175">
        <v>330938.47519999999</v>
      </c>
      <c r="AQ175">
        <v>331728.7905</v>
      </c>
      <c r="AR175">
        <v>332552.72840000002</v>
      </c>
      <c r="AS175">
        <v>333249.64010000002</v>
      </c>
      <c r="AT175">
        <v>334007.53509999998</v>
      </c>
      <c r="AU175">
        <v>334503.18239999999</v>
      </c>
      <c r="AV175">
        <v>334967.54710000003</v>
      </c>
      <c r="AW175">
        <v>338151.68160000001</v>
      </c>
    </row>
    <row r="176" spans="2:49" x14ac:dyDescent="0.25">
      <c r="B176" s="245" t="s">
        <v>477</v>
      </c>
      <c r="C176">
        <v>40605.282443966003</v>
      </c>
      <c r="D176">
        <v>41257.2133877546</v>
      </c>
      <c r="E176">
        <v>36122.697679999997</v>
      </c>
      <c r="F176">
        <v>36703.046130000002</v>
      </c>
      <c r="G176">
        <v>34770.865080000003</v>
      </c>
      <c r="H176">
        <v>32564.313839999999</v>
      </c>
      <c r="I176">
        <v>33975.785929999998</v>
      </c>
      <c r="J176">
        <v>33459.100740000002</v>
      </c>
      <c r="K176">
        <v>31742.735509999999</v>
      </c>
      <c r="L176">
        <v>31195.05773</v>
      </c>
      <c r="M176">
        <v>31254.17195</v>
      </c>
      <c r="N176">
        <v>31639.070749999999</v>
      </c>
      <c r="O176">
        <v>33635.803059999998</v>
      </c>
      <c r="P176">
        <v>35585.559229999999</v>
      </c>
      <c r="Q176">
        <v>34579.6031</v>
      </c>
      <c r="R176">
        <v>34842.870190000001</v>
      </c>
      <c r="S176">
        <v>35637.6132</v>
      </c>
      <c r="T176">
        <v>39334.148719999997</v>
      </c>
      <c r="U176">
        <v>42099.909469999999</v>
      </c>
      <c r="V176">
        <v>44905.524790000003</v>
      </c>
      <c r="W176">
        <v>50472.752699999997</v>
      </c>
      <c r="X176">
        <v>64415.53325</v>
      </c>
      <c r="Y176">
        <v>68359.229189999998</v>
      </c>
      <c r="Z176">
        <v>70797.498550000004</v>
      </c>
      <c r="AA176">
        <v>72081.492339999997</v>
      </c>
      <c r="AB176">
        <v>72664.140549999996</v>
      </c>
      <c r="AC176">
        <v>78857.826749999906</v>
      </c>
      <c r="AD176">
        <v>78351.656780000005</v>
      </c>
      <c r="AE176">
        <v>77904.026389999999</v>
      </c>
      <c r="AF176">
        <v>77499.781040000002</v>
      </c>
      <c r="AG176">
        <v>76857.889550000007</v>
      </c>
      <c r="AH176">
        <v>78892.369690000007</v>
      </c>
      <c r="AI176">
        <v>77994.933130000005</v>
      </c>
      <c r="AJ176">
        <v>77224.258140000005</v>
      </c>
      <c r="AK176">
        <v>76397.67873</v>
      </c>
      <c r="AL176">
        <v>75552.193220000001</v>
      </c>
      <c r="AM176">
        <v>74724.768129999997</v>
      </c>
      <c r="AN176">
        <v>73880.650710000002</v>
      </c>
      <c r="AO176">
        <v>73223.356029999995</v>
      </c>
      <c r="AP176">
        <v>72577.420719999995</v>
      </c>
      <c r="AQ176">
        <v>71979.396210000006</v>
      </c>
      <c r="AR176">
        <v>74209.279769999906</v>
      </c>
      <c r="AS176">
        <v>73357.295230000003</v>
      </c>
      <c r="AT176">
        <v>72712.287590000007</v>
      </c>
      <c r="AU176">
        <v>72117.407269999996</v>
      </c>
      <c r="AV176">
        <v>71537.546889999998</v>
      </c>
      <c r="AW176">
        <v>70970.886159999995</v>
      </c>
    </row>
    <row r="177" spans="2:49" x14ac:dyDescent="0.25">
      <c r="B177" s="245" t="s">
        <v>478</v>
      </c>
      <c r="C177">
        <v>55091.732691944802</v>
      </c>
      <c r="D177">
        <v>55976.248280239903</v>
      </c>
      <c r="E177">
        <v>49011.306579999997</v>
      </c>
      <c r="F177">
        <v>51588.313370000003</v>
      </c>
      <c r="G177">
        <v>52664.504110000002</v>
      </c>
      <c r="H177">
        <v>52938.06798</v>
      </c>
      <c r="I177">
        <v>55452.130850000001</v>
      </c>
      <c r="J177">
        <v>57286.368060000001</v>
      </c>
      <c r="K177">
        <v>58507.124830000001</v>
      </c>
      <c r="L177">
        <v>60024.499790000002</v>
      </c>
      <c r="M177">
        <v>61618.199780000003</v>
      </c>
      <c r="N177">
        <v>62417.819530000001</v>
      </c>
      <c r="O177">
        <v>61945.887040000001</v>
      </c>
      <c r="P177">
        <v>64340.909149999999</v>
      </c>
      <c r="Q177">
        <v>66094.811919999906</v>
      </c>
      <c r="R177">
        <v>72131.959390000004</v>
      </c>
      <c r="S177">
        <v>85390.768859999996</v>
      </c>
      <c r="T177">
        <v>94389.597599999906</v>
      </c>
      <c r="U177">
        <v>100435.33779999999</v>
      </c>
      <c r="V177">
        <v>103681.1836</v>
      </c>
      <c r="W177">
        <v>114150.61900000001</v>
      </c>
      <c r="X177">
        <v>141480.02600000001</v>
      </c>
      <c r="Y177">
        <v>159454.20550000001</v>
      </c>
      <c r="Z177">
        <v>178183.0955</v>
      </c>
      <c r="AA177">
        <v>196349.21239999999</v>
      </c>
      <c r="AB177">
        <v>213939.95329999999</v>
      </c>
      <c r="AC177">
        <v>228538.34330000001</v>
      </c>
      <c r="AD177">
        <v>249233.88649999999</v>
      </c>
      <c r="AE177">
        <v>267880.58390000003</v>
      </c>
      <c r="AF177">
        <v>286294.77539999998</v>
      </c>
      <c r="AG177">
        <v>304468.28759999998</v>
      </c>
      <c r="AH177">
        <v>319566.73080000002</v>
      </c>
      <c r="AI177">
        <v>335344.32929999998</v>
      </c>
      <c r="AJ177">
        <v>350314.84399999998</v>
      </c>
      <c r="AK177">
        <v>364877.21539999999</v>
      </c>
      <c r="AL177">
        <v>379373.34539999999</v>
      </c>
      <c r="AM177">
        <v>393986.76429999998</v>
      </c>
      <c r="AN177">
        <v>400515.2291</v>
      </c>
      <c r="AO177">
        <v>407661.47600000002</v>
      </c>
      <c r="AP177">
        <v>415124.82299999997</v>
      </c>
      <c r="AQ177">
        <v>422739.7599</v>
      </c>
      <c r="AR177">
        <v>427798.50469999999</v>
      </c>
      <c r="AS177">
        <v>429249.15590000001</v>
      </c>
      <c r="AT177">
        <v>429982.41369999998</v>
      </c>
      <c r="AU177">
        <v>430378.95600000001</v>
      </c>
      <c r="AV177">
        <v>430633.08049999998</v>
      </c>
      <c r="AW177">
        <v>430864.67930000002</v>
      </c>
    </row>
    <row r="178" spans="2:49" x14ac:dyDescent="0.25">
      <c r="B178" s="245" t="s">
        <v>479</v>
      </c>
      <c r="C178">
        <v>53959.065015136701</v>
      </c>
      <c r="D178">
        <v>54825.395257508797</v>
      </c>
      <c r="E178">
        <v>48086.345000000001</v>
      </c>
      <c r="F178">
        <v>54963.169629999997</v>
      </c>
      <c r="G178">
        <v>60517.548999999999</v>
      </c>
      <c r="H178">
        <v>64957.874040000002</v>
      </c>
      <c r="I178">
        <v>71062.055120000005</v>
      </c>
      <c r="J178">
        <v>76233.835560000007</v>
      </c>
      <c r="K178">
        <v>80424.731969999906</v>
      </c>
      <c r="L178">
        <v>83993.593640000006</v>
      </c>
      <c r="M178">
        <v>86134.506980000006</v>
      </c>
      <c r="N178">
        <v>86216.18432</v>
      </c>
      <c r="O178">
        <v>94693.267229999998</v>
      </c>
      <c r="P178">
        <v>104787.26790000001</v>
      </c>
      <c r="Q178">
        <v>115476.6133</v>
      </c>
      <c r="R178">
        <v>127946.5212</v>
      </c>
      <c r="S178">
        <v>142391.22169999999</v>
      </c>
      <c r="T178">
        <v>209597.41200000001</v>
      </c>
      <c r="U178">
        <v>257872.8241</v>
      </c>
      <c r="V178">
        <v>293203.54889999999</v>
      </c>
      <c r="W178">
        <v>348724.73229999997</v>
      </c>
      <c r="X178">
        <v>521085.05200000003</v>
      </c>
      <c r="Y178">
        <v>686202.90800000005</v>
      </c>
      <c r="Z178">
        <v>851484.20010000002</v>
      </c>
      <c r="AA178">
        <v>1013494.703</v>
      </c>
      <c r="AB178">
        <v>1172734.5660000001</v>
      </c>
      <c r="AC178">
        <v>1328198.2609999999</v>
      </c>
      <c r="AD178">
        <v>1523640.6680000001</v>
      </c>
      <c r="AE178">
        <v>1714578.287</v>
      </c>
      <c r="AF178">
        <v>1906073.513</v>
      </c>
      <c r="AG178">
        <v>2094345.2720000001</v>
      </c>
      <c r="AH178">
        <v>2278555.3939999999</v>
      </c>
      <c r="AI178">
        <v>2429949.531</v>
      </c>
      <c r="AJ178">
        <v>2581120.7549999999</v>
      </c>
      <c r="AK178">
        <v>2731696.0860000001</v>
      </c>
      <c r="AL178">
        <v>2883504.8730000001</v>
      </c>
      <c r="AM178">
        <v>3037059.7179999999</v>
      </c>
      <c r="AN178">
        <v>3092276.179</v>
      </c>
      <c r="AO178">
        <v>3153219.1579999998</v>
      </c>
      <c r="AP178">
        <v>3215300.5430000001</v>
      </c>
      <c r="AQ178">
        <v>3278682.0669999998</v>
      </c>
      <c r="AR178">
        <v>3338672.7659999998</v>
      </c>
      <c r="AS178">
        <v>3354488.3130000001</v>
      </c>
      <c r="AT178">
        <v>3367407.3459999999</v>
      </c>
      <c r="AU178">
        <v>3379093.7689999999</v>
      </c>
      <c r="AV178">
        <v>3390555.0389999999</v>
      </c>
      <c r="AW178">
        <v>3402750.7930000001</v>
      </c>
    </row>
    <row r="179" spans="2:49" x14ac:dyDescent="0.25">
      <c r="B179" s="245" t="s">
        <v>480</v>
      </c>
      <c r="C179">
        <v>216238.436565001</v>
      </c>
      <c r="D179">
        <v>219710.21460835601</v>
      </c>
      <c r="E179">
        <v>192366.9828</v>
      </c>
      <c r="F179">
        <v>215115.20559999999</v>
      </c>
      <c r="G179">
        <v>179798.8953</v>
      </c>
      <c r="H179">
        <v>119812.2844</v>
      </c>
      <c r="I179">
        <v>122343.147</v>
      </c>
      <c r="J179">
        <v>94143.679910000006</v>
      </c>
      <c r="K179">
        <v>110225.1134</v>
      </c>
      <c r="L179">
        <v>95900.684999999998</v>
      </c>
      <c r="M179">
        <v>82565.953739999997</v>
      </c>
      <c r="N179">
        <v>70458.662270000001</v>
      </c>
      <c r="O179">
        <v>54420.187559999998</v>
      </c>
      <c r="P179">
        <v>52649.498809999997</v>
      </c>
      <c r="Q179">
        <v>48020.119720000002</v>
      </c>
      <c r="R179">
        <v>47076.017189999999</v>
      </c>
      <c r="S179">
        <v>45907.806660000002</v>
      </c>
      <c r="T179">
        <v>42884.227850000003</v>
      </c>
      <c r="U179">
        <v>40762.403539999999</v>
      </c>
      <c r="V179">
        <v>38620.853719999999</v>
      </c>
      <c r="W179">
        <v>38067.14847</v>
      </c>
      <c r="X179">
        <v>36616.342170000004</v>
      </c>
      <c r="Y179">
        <v>35893.78471</v>
      </c>
      <c r="Z179">
        <v>35886.499559999997</v>
      </c>
      <c r="AA179">
        <v>35938.861360000003</v>
      </c>
      <c r="AB179">
        <v>36020.836020000002</v>
      </c>
      <c r="AC179">
        <v>36096.125829999997</v>
      </c>
      <c r="AD179">
        <v>36226.615579999998</v>
      </c>
      <c r="AE179">
        <v>36316.982830000001</v>
      </c>
      <c r="AF179">
        <v>36466.39026</v>
      </c>
      <c r="AG179">
        <v>36591.852989999999</v>
      </c>
      <c r="AH179">
        <v>36705.04664</v>
      </c>
      <c r="AI179">
        <v>36940.709629999998</v>
      </c>
      <c r="AJ179">
        <v>37152.000800000002</v>
      </c>
      <c r="AK179">
        <v>37350.16891</v>
      </c>
      <c r="AL179">
        <v>37563.719140000001</v>
      </c>
      <c r="AM179">
        <v>37792.371099999997</v>
      </c>
      <c r="AN179">
        <v>37276.707999999999</v>
      </c>
      <c r="AO179">
        <v>36630.81727</v>
      </c>
      <c r="AP179">
        <v>35916.703260000002</v>
      </c>
      <c r="AQ179">
        <v>35169.433120000002</v>
      </c>
      <c r="AR179">
        <v>34372.497100000001</v>
      </c>
      <c r="AS179">
        <v>34025.191310000002</v>
      </c>
      <c r="AT179">
        <v>33751.31811</v>
      </c>
      <c r="AU179">
        <v>33491.041469999996</v>
      </c>
      <c r="AV179">
        <v>33236.186070000003</v>
      </c>
      <c r="AW179">
        <v>32984.96473</v>
      </c>
    </row>
    <row r="180" spans="2:49" x14ac:dyDescent="0.25">
      <c r="B180" s="245" t="s">
        <v>481</v>
      </c>
      <c r="C180">
        <v>215538.66868192199</v>
      </c>
      <c r="D180">
        <v>218999.21172556799</v>
      </c>
      <c r="E180">
        <v>191744.46520000001</v>
      </c>
      <c r="F180">
        <v>195395.80609999999</v>
      </c>
      <c r="G180">
        <v>193326.989</v>
      </c>
      <c r="H180">
        <v>148288.7623</v>
      </c>
      <c r="I180">
        <v>122612.898</v>
      </c>
      <c r="J180">
        <v>125899.982</v>
      </c>
      <c r="K180">
        <v>123164.4388</v>
      </c>
      <c r="L180">
        <v>116412.7375</v>
      </c>
      <c r="M180">
        <v>111606.1222</v>
      </c>
      <c r="N180">
        <v>108618.95170000001</v>
      </c>
      <c r="O180">
        <v>99686.763829999996</v>
      </c>
      <c r="P180">
        <v>95824.69124</v>
      </c>
      <c r="Q180">
        <v>97531.696899999995</v>
      </c>
      <c r="R180">
        <v>91542.152960000007</v>
      </c>
      <c r="S180">
        <v>83378.655110000007</v>
      </c>
      <c r="T180">
        <v>72149.105469999995</v>
      </c>
      <c r="U180">
        <v>62479.628279999997</v>
      </c>
      <c r="V180">
        <v>53951.173849999999</v>
      </c>
      <c r="W180">
        <v>49348.696060000002</v>
      </c>
      <c r="X180">
        <v>43894.701150000001</v>
      </c>
      <c r="Y180">
        <v>42226.231699999997</v>
      </c>
      <c r="Z180">
        <v>41975.318679999997</v>
      </c>
      <c r="AA180">
        <v>41932.078600000001</v>
      </c>
      <c r="AB180">
        <v>41911.244019999998</v>
      </c>
      <c r="AC180">
        <v>41867.009270000002</v>
      </c>
      <c r="AD180">
        <v>41870.662389999998</v>
      </c>
      <c r="AE180">
        <v>41768.297059999997</v>
      </c>
      <c r="AF180">
        <v>41721.03686</v>
      </c>
      <c r="AG180">
        <v>41669.026080000003</v>
      </c>
      <c r="AH180">
        <v>41612.514049999998</v>
      </c>
      <c r="AI180">
        <v>41714.113940000003</v>
      </c>
      <c r="AJ180">
        <v>41777.632469999997</v>
      </c>
      <c r="AK180">
        <v>41813.569300000003</v>
      </c>
      <c r="AL180">
        <v>41870.483399999997</v>
      </c>
      <c r="AM180">
        <v>41953.170209999997</v>
      </c>
      <c r="AN180">
        <v>40544.362699999998</v>
      </c>
      <c r="AO180">
        <v>38944.017670000001</v>
      </c>
      <c r="AP180">
        <v>37359.907720000003</v>
      </c>
      <c r="AQ180">
        <v>35823.88164</v>
      </c>
      <c r="AR180">
        <v>34309.702239999999</v>
      </c>
      <c r="AS180">
        <v>33653.269999999997</v>
      </c>
      <c r="AT180">
        <v>33139.154410000003</v>
      </c>
      <c r="AU180">
        <v>32649.1083</v>
      </c>
      <c r="AV180">
        <v>32169.303489999998</v>
      </c>
      <c r="AW180">
        <v>31700.39158</v>
      </c>
    </row>
    <row r="181" spans="2:49" x14ac:dyDescent="0.25">
      <c r="B181" s="245" t="s">
        <v>482</v>
      </c>
      <c r="C181">
        <v>7946676.0051002903</v>
      </c>
      <c r="D181">
        <v>8074262.4587873695</v>
      </c>
      <c r="E181">
        <v>7069409.6330000004</v>
      </c>
      <c r="F181">
        <v>7414386.9380000001</v>
      </c>
      <c r="G181">
        <v>7451829.3459999999</v>
      </c>
      <c r="H181">
        <v>7235936.5559999999</v>
      </c>
      <c r="I181">
        <v>7709320.6720000003</v>
      </c>
      <c r="J181">
        <v>7895370.7649999997</v>
      </c>
      <c r="K181">
        <v>7797436.0640000002</v>
      </c>
      <c r="L181">
        <v>7855248.1859999998</v>
      </c>
      <c r="M181">
        <v>8196600.2829999998</v>
      </c>
      <c r="N181">
        <v>8797831.2349999994</v>
      </c>
      <c r="O181">
        <v>9113853.6429999899</v>
      </c>
      <c r="P181">
        <v>9008975.2970000003</v>
      </c>
      <c r="Q181">
        <v>8371477.9970000004</v>
      </c>
      <c r="R181">
        <v>7899499.7520000003</v>
      </c>
      <c r="S181">
        <v>7611556.8389999997</v>
      </c>
      <c r="T181">
        <v>7224243.2149999999</v>
      </c>
      <c r="U181">
        <v>6870171.5310000004</v>
      </c>
      <c r="V181">
        <v>6516521.5089999996</v>
      </c>
      <c r="W181">
        <v>6965375.2300000004</v>
      </c>
      <c r="X181">
        <v>7468775.8039999995</v>
      </c>
      <c r="Y181">
        <v>7577603.727</v>
      </c>
      <c r="Z181">
        <v>7589454.2149999999</v>
      </c>
      <c r="AA181">
        <v>7524999.8799999999</v>
      </c>
      <c r="AB181">
        <v>7441113.1310000001</v>
      </c>
      <c r="AC181">
        <v>7344629.5559999999</v>
      </c>
      <c r="AD181">
        <v>7248532.2779999999</v>
      </c>
      <c r="AE181">
        <v>7142326.5659999996</v>
      </c>
      <c r="AF181">
        <v>7035781.7680000002</v>
      </c>
      <c r="AG181">
        <v>6915506.0250000004</v>
      </c>
      <c r="AH181">
        <v>6789638.6550000003</v>
      </c>
      <c r="AI181">
        <v>6692113.6890000002</v>
      </c>
      <c r="AJ181">
        <v>6595342.0180000002</v>
      </c>
      <c r="AK181">
        <v>6497847.4330000002</v>
      </c>
      <c r="AL181">
        <v>6399482.3540000003</v>
      </c>
      <c r="AM181">
        <v>6301443.4079999998</v>
      </c>
      <c r="AN181">
        <v>6153579.5070000002</v>
      </c>
      <c r="AO181">
        <v>6005218.4689999996</v>
      </c>
      <c r="AP181">
        <v>5860468.25</v>
      </c>
      <c r="AQ181">
        <v>5720587.6090000002</v>
      </c>
      <c r="AR181">
        <v>5584424.6040000003</v>
      </c>
      <c r="AS181">
        <v>5451568.8470000001</v>
      </c>
      <c r="AT181">
        <v>5322165.8959999997</v>
      </c>
      <c r="AU181">
        <v>5195633.6040000003</v>
      </c>
      <c r="AV181">
        <v>5072001.2630000003</v>
      </c>
      <c r="AW181">
        <v>4950573.8650000002</v>
      </c>
    </row>
    <row r="182" spans="2:49" x14ac:dyDescent="0.25">
      <c r="B182" s="245" t="s">
        <v>483</v>
      </c>
      <c r="C182">
        <v>4498800.2848123703</v>
      </c>
      <c r="D182">
        <v>4571029.97856321</v>
      </c>
      <c r="E182">
        <v>4002159.148</v>
      </c>
      <c r="F182">
        <v>4043241.872</v>
      </c>
      <c r="G182">
        <v>3963681.2039999999</v>
      </c>
      <c r="H182">
        <v>4073434.4389999998</v>
      </c>
      <c r="I182">
        <v>4166106.196</v>
      </c>
      <c r="J182">
        <v>4132240.216</v>
      </c>
      <c r="K182">
        <v>4036963.173</v>
      </c>
      <c r="L182">
        <v>4046179.7390000001</v>
      </c>
      <c r="M182">
        <v>4141032.8849999998</v>
      </c>
      <c r="N182">
        <v>4364017.9270000001</v>
      </c>
      <c r="O182">
        <v>4437758.0820000004</v>
      </c>
      <c r="P182">
        <v>4289686.023</v>
      </c>
      <c r="Q182">
        <v>3918941.8390000002</v>
      </c>
      <c r="R182">
        <v>3656195.3470000001</v>
      </c>
      <c r="S182">
        <v>3475601.87</v>
      </c>
      <c r="T182">
        <v>3309483.3670000001</v>
      </c>
      <c r="U182">
        <v>3160072.193</v>
      </c>
      <c r="V182">
        <v>3011042.588</v>
      </c>
      <c r="W182">
        <v>3175658.628</v>
      </c>
      <c r="X182">
        <v>3350487.2</v>
      </c>
      <c r="Y182">
        <v>3330009.6630000002</v>
      </c>
      <c r="Z182">
        <v>3288720.7119999998</v>
      </c>
      <c r="AA182">
        <v>3224191.9550000001</v>
      </c>
      <c r="AB182">
        <v>3157959.0809999998</v>
      </c>
      <c r="AC182">
        <v>3091368.588</v>
      </c>
      <c r="AD182">
        <v>3028082.6710000001</v>
      </c>
      <c r="AE182">
        <v>2963880.213</v>
      </c>
      <c r="AF182">
        <v>2901466.0819999999</v>
      </c>
      <c r="AG182">
        <v>2836799.963</v>
      </c>
      <c r="AH182">
        <v>2772319.6690000002</v>
      </c>
      <c r="AI182">
        <v>2722348.8990000002</v>
      </c>
      <c r="AJ182">
        <v>2674325.321</v>
      </c>
      <c r="AK182">
        <v>2627470.7349999999</v>
      </c>
      <c r="AL182">
        <v>2581388.1260000002</v>
      </c>
      <c r="AM182">
        <v>2536347.997</v>
      </c>
      <c r="AN182">
        <v>2485960.6430000002</v>
      </c>
      <c r="AO182">
        <v>2437328.7749999999</v>
      </c>
      <c r="AP182">
        <v>2390168.4160000002</v>
      </c>
      <c r="AQ182">
        <v>2344419.085</v>
      </c>
      <c r="AR182">
        <v>2299576.2239999999</v>
      </c>
      <c r="AS182">
        <v>2255261.6680000001</v>
      </c>
      <c r="AT182">
        <v>2211716.284</v>
      </c>
      <c r="AU182">
        <v>2168839.673</v>
      </c>
      <c r="AV182">
        <v>2126616.6830000002</v>
      </c>
      <c r="AW182">
        <v>2084878.4950000001</v>
      </c>
    </row>
    <row r="183" spans="2:49" x14ac:dyDescent="0.25">
      <c r="B183" t="s">
        <v>484</v>
      </c>
      <c r="C183">
        <v>0.96864644472622397</v>
      </c>
      <c r="D183">
        <v>0.984198376713873</v>
      </c>
      <c r="E183">
        <v>1</v>
      </c>
      <c r="F183">
        <v>0.97936994690000001</v>
      </c>
      <c r="G183">
        <v>0.92194365160000002</v>
      </c>
      <c r="H183">
        <v>0.87183722770000005</v>
      </c>
      <c r="I183">
        <v>0.84038148690000003</v>
      </c>
      <c r="J183">
        <v>0.79765940570000005</v>
      </c>
      <c r="K183">
        <v>0.75234818810000004</v>
      </c>
      <c r="L183">
        <v>0.71722682400000004</v>
      </c>
      <c r="M183">
        <v>0.69176189850000003</v>
      </c>
      <c r="N183">
        <v>0.6749215274</v>
      </c>
      <c r="O183">
        <v>0.66411191459999996</v>
      </c>
      <c r="P183">
        <v>0.64793298180000003</v>
      </c>
      <c r="Q183">
        <v>0.6257699672</v>
      </c>
      <c r="R183">
        <v>0.61196631410000002</v>
      </c>
      <c r="S183">
        <v>0.58800509079999996</v>
      </c>
      <c r="T183">
        <v>0.55934336120000006</v>
      </c>
      <c r="U183">
        <v>0.5318627963</v>
      </c>
      <c r="V183">
        <v>0.50474726660000002</v>
      </c>
      <c r="W183">
        <v>0.52591951589999997</v>
      </c>
      <c r="X183">
        <v>0.54312340820000005</v>
      </c>
      <c r="Y183">
        <v>0.53268361249999996</v>
      </c>
      <c r="Z183">
        <v>0.52212640030000002</v>
      </c>
      <c r="AA183">
        <v>0.51166339159999996</v>
      </c>
      <c r="AB183">
        <v>0.50112832959999998</v>
      </c>
      <c r="AC183">
        <v>0.48996683590000001</v>
      </c>
      <c r="AD183">
        <v>0.4800954275</v>
      </c>
      <c r="AE183">
        <v>0.47077699579999999</v>
      </c>
      <c r="AF183">
        <v>0.4615833499</v>
      </c>
      <c r="AG183">
        <v>0.45228457859999999</v>
      </c>
      <c r="AH183">
        <v>0.44308678070000002</v>
      </c>
      <c r="AI183">
        <v>0.43652999599999998</v>
      </c>
      <c r="AJ183">
        <v>0.43002622150000003</v>
      </c>
      <c r="AK183">
        <v>0.4236014132</v>
      </c>
      <c r="AL183">
        <v>0.41719887880000001</v>
      </c>
      <c r="AM183">
        <v>0.41087526130000002</v>
      </c>
      <c r="AN183">
        <v>0.40441285789999998</v>
      </c>
      <c r="AO183">
        <v>0.3981027781</v>
      </c>
      <c r="AP183">
        <v>0.39182624890000001</v>
      </c>
      <c r="AQ183">
        <v>0.38564941250000001</v>
      </c>
      <c r="AR183">
        <v>0.37927557680000001</v>
      </c>
      <c r="AS183">
        <v>0.37298547310000002</v>
      </c>
      <c r="AT183">
        <v>0.36670747970000001</v>
      </c>
      <c r="AU183">
        <v>0.3604003033</v>
      </c>
      <c r="AV183">
        <v>0.3541027316</v>
      </c>
      <c r="AW183">
        <v>0.34800143880000001</v>
      </c>
    </row>
    <row r="184" spans="2:49" x14ac:dyDescent="0.25">
      <c r="B184" t="s">
        <v>485</v>
      </c>
      <c r="C184">
        <v>8232235.5397947598</v>
      </c>
      <c r="D184">
        <v>8364406.7441781899</v>
      </c>
      <c r="E184">
        <v>8498700</v>
      </c>
      <c r="F184">
        <v>8378916.9179999996</v>
      </c>
      <c r="G184">
        <v>8245498.3300000001</v>
      </c>
      <c r="H184">
        <v>7592320.0410000002</v>
      </c>
      <c r="I184">
        <v>7455170.4649999999</v>
      </c>
      <c r="J184">
        <v>7400464.2290000003</v>
      </c>
      <c r="K184">
        <v>7271539.2750000004</v>
      </c>
      <c r="L184">
        <v>7032755.8710000003</v>
      </c>
      <c r="M184">
        <v>6770205.057</v>
      </c>
      <c r="N184">
        <v>6426080.8269999996</v>
      </c>
      <c r="O184">
        <v>6732992.5209999997</v>
      </c>
      <c r="P184">
        <v>7295601.3770000003</v>
      </c>
      <c r="Q184">
        <v>8000909.2560000001</v>
      </c>
      <c r="R184">
        <v>8566847.0669999998</v>
      </c>
      <c r="S184">
        <v>9070637.0490000006</v>
      </c>
      <c r="T184">
        <v>8363738.0209999997</v>
      </c>
      <c r="U184">
        <v>7607914.6330000004</v>
      </c>
      <c r="V184">
        <v>6887935.9989999998</v>
      </c>
      <c r="W184">
        <v>5019774.773</v>
      </c>
      <c r="X184">
        <v>2811642.5690000001</v>
      </c>
      <c r="Y184">
        <v>2622398.4709999999</v>
      </c>
      <c r="Z184">
        <v>2592656.2409999999</v>
      </c>
      <c r="AA184">
        <v>2581865.3769999999</v>
      </c>
      <c r="AB184">
        <v>2570861.2960000001</v>
      </c>
      <c r="AC184">
        <v>2560280.4580000001</v>
      </c>
      <c r="AD184">
        <v>2554440.0350000001</v>
      </c>
      <c r="AE184">
        <v>2547782.946</v>
      </c>
      <c r="AF184">
        <v>2540755.5690000001</v>
      </c>
      <c r="AG184">
        <v>2532459.4569999999</v>
      </c>
      <c r="AH184">
        <v>2523953.7910000002</v>
      </c>
      <c r="AI184">
        <v>2527151.1639999999</v>
      </c>
      <c r="AJ184">
        <v>2529137.0529999998</v>
      </c>
      <c r="AK184">
        <v>2529937.9870000002</v>
      </c>
      <c r="AL184">
        <v>2529667.165</v>
      </c>
      <c r="AM184">
        <v>2528602.642</v>
      </c>
      <c r="AN184">
        <v>2521805.8539999998</v>
      </c>
      <c r="AO184">
        <v>2513929.39</v>
      </c>
      <c r="AP184">
        <v>2505053.665</v>
      </c>
      <c r="AQ184">
        <v>2495484.2790000001</v>
      </c>
      <c r="AR184">
        <v>2485233.554</v>
      </c>
      <c r="AS184">
        <v>3288343.608</v>
      </c>
      <c r="AT184">
        <v>4181077.6609999998</v>
      </c>
      <c r="AU184">
        <v>5071933.1260000002</v>
      </c>
      <c r="AV184">
        <v>5947600.125</v>
      </c>
      <c r="AW184">
        <v>6808695.7810000004</v>
      </c>
    </row>
    <row r="185" spans="2:49" x14ac:dyDescent="0.25">
      <c r="B185" t="s">
        <v>486</v>
      </c>
      <c r="C185">
        <v>463787.91773491597</v>
      </c>
      <c r="D185">
        <v>471234.182770602</v>
      </c>
      <c r="E185">
        <v>478800</v>
      </c>
      <c r="F185">
        <v>476253.26130000001</v>
      </c>
      <c r="G185">
        <v>457445.87660000002</v>
      </c>
      <c r="H185">
        <v>432518.92349999998</v>
      </c>
      <c r="I185">
        <v>435850.97989999998</v>
      </c>
      <c r="J185">
        <v>450177.33409999998</v>
      </c>
      <c r="K185">
        <v>448845.59289999999</v>
      </c>
      <c r="L185">
        <v>455015.90210000001</v>
      </c>
      <c r="M185">
        <v>472154.36570000002</v>
      </c>
      <c r="N185">
        <v>496658.57390000002</v>
      </c>
      <c r="O185">
        <v>472557.78720000002</v>
      </c>
      <c r="P185">
        <v>440211.90340000001</v>
      </c>
      <c r="Q185">
        <v>391031.76640000002</v>
      </c>
      <c r="R185">
        <v>349480.79310000001</v>
      </c>
      <c r="S185">
        <v>311800.11440000002</v>
      </c>
      <c r="T185">
        <v>289465.2181</v>
      </c>
      <c r="U185">
        <v>269802.87809999997</v>
      </c>
      <c r="V185">
        <v>251341.80040000001</v>
      </c>
      <c r="W185">
        <v>263687.78350000002</v>
      </c>
      <c r="X185">
        <v>276701.61259999999</v>
      </c>
      <c r="Y185">
        <v>275156.54950000002</v>
      </c>
      <c r="Z185">
        <v>274381.65039999998</v>
      </c>
      <c r="AA185">
        <v>272281.32020000002</v>
      </c>
      <c r="AB185">
        <v>270327.34820000001</v>
      </c>
      <c r="AC185">
        <v>268333.7807</v>
      </c>
      <c r="AD185">
        <v>267144.66310000001</v>
      </c>
      <c r="AE185">
        <v>265679.53960000002</v>
      </c>
      <c r="AF185">
        <v>264273.43150000001</v>
      </c>
      <c r="AG185">
        <v>262606.51380000002</v>
      </c>
      <c r="AH185">
        <v>260864.13620000001</v>
      </c>
      <c r="AI185">
        <v>259018.2066</v>
      </c>
      <c r="AJ185">
        <v>257184.2568</v>
      </c>
      <c r="AK185">
        <v>255302.91899999999</v>
      </c>
      <c r="AL185">
        <v>253444.5459</v>
      </c>
      <c r="AM185">
        <v>251595.61319999999</v>
      </c>
      <c r="AN185">
        <v>249065.204</v>
      </c>
      <c r="AO185">
        <v>246610.1103</v>
      </c>
      <c r="AP185">
        <v>244096.62820000001</v>
      </c>
      <c r="AQ185">
        <v>241566.26420000001</v>
      </c>
      <c r="AR185">
        <v>238928.16959999999</v>
      </c>
      <c r="AS185">
        <v>237026.12479999999</v>
      </c>
      <c r="AT185">
        <v>235063.4688</v>
      </c>
      <c r="AU185">
        <v>233019.43950000001</v>
      </c>
      <c r="AV185">
        <v>230905.58730000001</v>
      </c>
      <c r="AW185">
        <v>228798.77059999999</v>
      </c>
    </row>
    <row r="186" spans="2:49" x14ac:dyDescent="0.25">
      <c r="B186" t="s">
        <v>487</v>
      </c>
      <c r="C186">
        <v>247860837.32111701</v>
      </c>
      <c r="D186">
        <v>251840323.237167</v>
      </c>
      <c r="E186">
        <v>226648707.19999999</v>
      </c>
      <c r="F186">
        <v>227780295.80000001</v>
      </c>
      <c r="G186">
        <v>213311056.40000001</v>
      </c>
      <c r="H186">
        <v>197743576.69999999</v>
      </c>
      <c r="I186">
        <v>195855826.19999999</v>
      </c>
      <c r="J186">
        <v>189319267.30000001</v>
      </c>
      <c r="K186">
        <v>180404931.40000001</v>
      </c>
      <c r="L186">
        <v>175243480.90000001</v>
      </c>
      <c r="M186">
        <v>174129452.19999999</v>
      </c>
      <c r="N186">
        <v>174772631.5</v>
      </c>
      <c r="O186">
        <v>166914383.30000001</v>
      </c>
      <c r="P186">
        <v>159967614.59999999</v>
      </c>
      <c r="Q186">
        <v>151286015</v>
      </c>
      <c r="R186">
        <v>145888044.80000001</v>
      </c>
      <c r="S186">
        <v>140763186.90000001</v>
      </c>
      <c r="T186">
        <v>140014307.80000001</v>
      </c>
      <c r="U186">
        <v>139445014.09999999</v>
      </c>
      <c r="V186">
        <v>139610893.90000001</v>
      </c>
      <c r="W186">
        <v>140454598</v>
      </c>
      <c r="X186">
        <v>140316814.90000001</v>
      </c>
      <c r="Y186">
        <v>140048615.19999999</v>
      </c>
      <c r="Z186">
        <v>140371893.40000001</v>
      </c>
      <c r="AA186">
        <v>140472621.5</v>
      </c>
      <c r="AB186">
        <v>140522245.5</v>
      </c>
      <c r="AC186">
        <v>140676313.90000001</v>
      </c>
      <c r="AD186">
        <v>140779188.19999999</v>
      </c>
      <c r="AE186">
        <v>140771866.90000001</v>
      </c>
      <c r="AF186">
        <v>140855993.69999999</v>
      </c>
      <c r="AG186">
        <v>140944865.40000001</v>
      </c>
      <c r="AH186">
        <v>141089484</v>
      </c>
      <c r="AI186">
        <v>141565917.40000001</v>
      </c>
      <c r="AJ186">
        <v>142036126.19999999</v>
      </c>
      <c r="AK186">
        <v>142472076.59999999</v>
      </c>
      <c r="AL186">
        <v>142954990.69999999</v>
      </c>
      <c r="AM186">
        <v>143462091.19999999</v>
      </c>
      <c r="AN186">
        <v>143498190.80000001</v>
      </c>
      <c r="AO186">
        <v>143545008.59999999</v>
      </c>
      <c r="AP186">
        <v>143532666</v>
      </c>
      <c r="AQ186">
        <v>143497651.90000001</v>
      </c>
      <c r="AR186">
        <v>143415717</v>
      </c>
      <c r="AS186">
        <v>144567199.80000001</v>
      </c>
      <c r="AT186">
        <v>145814768.69999999</v>
      </c>
      <c r="AU186">
        <v>147039106.30000001</v>
      </c>
      <c r="AV186">
        <v>148239191.69999999</v>
      </c>
      <c r="AW186">
        <v>149480395.80000001</v>
      </c>
    </row>
    <row r="187" spans="2:49" x14ac:dyDescent="0.25">
      <c r="B187" t="s">
        <v>488</v>
      </c>
      <c r="C187">
        <v>41023493.601484403</v>
      </c>
      <c r="D187">
        <v>41682139.060681202</v>
      </c>
      <c r="E187">
        <v>42351359.289999999</v>
      </c>
      <c r="F187">
        <v>41358742.759999998</v>
      </c>
      <c r="G187">
        <v>36192471.130000003</v>
      </c>
      <c r="H187">
        <v>31491938.52</v>
      </c>
      <c r="I187">
        <v>30275673.050000001</v>
      </c>
      <c r="J187">
        <v>28675942.800000001</v>
      </c>
      <c r="K187">
        <v>27177117.300000001</v>
      </c>
      <c r="L187">
        <v>27173534.309999999</v>
      </c>
      <c r="M187">
        <v>26588941.039999999</v>
      </c>
      <c r="N187">
        <v>25813746.199999999</v>
      </c>
      <c r="O187">
        <v>20654561.449999999</v>
      </c>
      <c r="P187">
        <v>17210235.010000002</v>
      </c>
      <c r="Q187">
        <v>15379229.779999999</v>
      </c>
      <c r="R187">
        <v>14392613.33</v>
      </c>
      <c r="S187">
        <v>13470544.869999999</v>
      </c>
      <c r="T187">
        <v>13301225</v>
      </c>
      <c r="U187">
        <v>13244802.59</v>
      </c>
      <c r="V187">
        <v>13269159.75</v>
      </c>
      <c r="W187">
        <v>13286833.5</v>
      </c>
      <c r="X187">
        <v>13269114.48</v>
      </c>
      <c r="Y187">
        <v>13372550</v>
      </c>
      <c r="Z187">
        <v>13520226.140000001</v>
      </c>
      <c r="AA187">
        <v>13671156.470000001</v>
      </c>
      <c r="AB187">
        <v>13805481.710000001</v>
      </c>
      <c r="AC187">
        <v>13935345.84</v>
      </c>
      <c r="AD187">
        <v>14098463.35</v>
      </c>
      <c r="AE187">
        <v>14244895.59</v>
      </c>
      <c r="AF187">
        <v>14393261.109999999</v>
      </c>
      <c r="AG187">
        <v>14546036.880000001</v>
      </c>
      <c r="AH187">
        <v>14696243.439999999</v>
      </c>
      <c r="AI187">
        <v>14862957.17</v>
      </c>
      <c r="AJ187">
        <v>15022626.35</v>
      </c>
      <c r="AK187">
        <v>15178846.1</v>
      </c>
      <c r="AL187">
        <v>15335177.970000001</v>
      </c>
      <c r="AM187">
        <v>15490137.58</v>
      </c>
      <c r="AN187">
        <v>15541608.720000001</v>
      </c>
      <c r="AO187">
        <v>15578579.039999999</v>
      </c>
      <c r="AP187">
        <v>15598834.609999999</v>
      </c>
      <c r="AQ187">
        <v>15609723.01</v>
      </c>
      <c r="AR187">
        <v>15601674.279999999</v>
      </c>
      <c r="AS187">
        <v>15678361.15</v>
      </c>
      <c r="AT187">
        <v>15759427.279999999</v>
      </c>
      <c r="AU187">
        <v>15836633.539999999</v>
      </c>
      <c r="AV187">
        <v>15908972.060000001</v>
      </c>
      <c r="AW187">
        <v>15983801.02</v>
      </c>
    </row>
    <row r="188" spans="2:49" x14ac:dyDescent="0.25">
      <c r="B188" t="s">
        <v>489</v>
      </c>
      <c r="C188">
        <v>156021257.172526</v>
      </c>
      <c r="D188">
        <v>158526228.92293701</v>
      </c>
      <c r="E188">
        <v>137849506.90000001</v>
      </c>
      <c r="F188">
        <v>139717831.90000001</v>
      </c>
      <c r="G188">
        <v>132230651.3</v>
      </c>
      <c r="H188">
        <v>124797092.2</v>
      </c>
      <c r="I188">
        <v>123451264</v>
      </c>
      <c r="J188">
        <v>118724705</v>
      </c>
      <c r="K188">
        <v>113232241.2</v>
      </c>
      <c r="L188">
        <v>109206419.2</v>
      </c>
      <c r="M188">
        <v>108789700.40000001</v>
      </c>
      <c r="N188">
        <v>109846541.09999999</v>
      </c>
      <c r="O188">
        <v>106175934.59999999</v>
      </c>
      <c r="P188">
        <v>102018135.8</v>
      </c>
      <c r="Q188">
        <v>96041578.140000001</v>
      </c>
      <c r="R188">
        <v>92016658.909999996</v>
      </c>
      <c r="S188">
        <v>87995375.25</v>
      </c>
      <c r="T188">
        <v>89221791.879999995</v>
      </c>
      <c r="U188">
        <v>90558490.450000003</v>
      </c>
      <c r="V188">
        <v>92426997.450000003</v>
      </c>
      <c r="W188">
        <v>93685980.829999998</v>
      </c>
      <c r="X188">
        <v>94290711.930000007</v>
      </c>
      <c r="Y188">
        <v>94123200.260000005</v>
      </c>
      <c r="Z188">
        <v>94290983.489999995</v>
      </c>
      <c r="AA188">
        <v>94373874.489999995</v>
      </c>
      <c r="AB188">
        <v>94454883.969999999</v>
      </c>
      <c r="AC188">
        <v>94639324.879999995</v>
      </c>
      <c r="AD188">
        <v>94611291.909999996</v>
      </c>
      <c r="AE188">
        <v>94520864.489999995</v>
      </c>
      <c r="AF188">
        <v>94501268.530000001</v>
      </c>
      <c r="AG188">
        <v>94507998.75</v>
      </c>
      <c r="AH188">
        <v>94576085.870000005</v>
      </c>
      <c r="AI188">
        <v>94847856.340000004</v>
      </c>
      <c r="AJ188">
        <v>95118094.409999996</v>
      </c>
      <c r="AK188">
        <v>95362281.019999996</v>
      </c>
      <c r="AL188">
        <v>95650104.530000001</v>
      </c>
      <c r="AM188">
        <v>95956667.260000005</v>
      </c>
      <c r="AN188">
        <v>96166649.730000004</v>
      </c>
      <c r="AO188">
        <v>96386233.209999904</v>
      </c>
      <c r="AP188">
        <v>96566310.719999999</v>
      </c>
      <c r="AQ188">
        <v>96729954.299999997</v>
      </c>
      <c r="AR188">
        <v>96877311.930000007</v>
      </c>
      <c r="AS188">
        <v>97339181.780000001</v>
      </c>
      <c r="AT188">
        <v>97799393.439999998</v>
      </c>
      <c r="AU188">
        <v>98242824.930000007</v>
      </c>
      <c r="AV188">
        <v>98680639.510000005</v>
      </c>
      <c r="AW188">
        <v>99160130.799999997</v>
      </c>
    </row>
    <row r="189" spans="2:49" x14ac:dyDescent="0.25">
      <c r="B189" t="s">
        <v>490</v>
      </c>
      <c r="C189">
        <v>50816086.547106199</v>
      </c>
      <c r="D189">
        <v>51631955.253548898</v>
      </c>
      <c r="E189">
        <v>46447840.990000002</v>
      </c>
      <c r="F189">
        <v>46703721.140000001</v>
      </c>
      <c r="G189">
        <v>44887933.920000002</v>
      </c>
      <c r="H189">
        <v>41454546</v>
      </c>
      <c r="I189">
        <v>42128889.140000001</v>
      </c>
      <c r="J189">
        <v>41918619.460000001</v>
      </c>
      <c r="K189">
        <v>39995572.890000001</v>
      </c>
      <c r="L189">
        <v>38863527.390000001</v>
      </c>
      <c r="M189">
        <v>38750810.729999997</v>
      </c>
      <c r="N189">
        <v>39112344.159999996</v>
      </c>
      <c r="O189">
        <v>40083887.240000002</v>
      </c>
      <c r="P189">
        <v>40739243.869999997</v>
      </c>
      <c r="Q189">
        <v>39865207.07</v>
      </c>
      <c r="R189">
        <v>39478772.530000001</v>
      </c>
      <c r="S189">
        <v>39297266.740000002</v>
      </c>
      <c r="T189">
        <v>37491290.909999996</v>
      </c>
      <c r="U189">
        <v>35641721.060000002</v>
      </c>
      <c r="V189">
        <v>33914736.689999998</v>
      </c>
      <c r="W189">
        <v>33481783.629999999</v>
      </c>
      <c r="X189">
        <v>32756988.449999999</v>
      </c>
      <c r="Y189">
        <v>32552864.960000001</v>
      </c>
      <c r="Z189">
        <v>32560683.780000001</v>
      </c>
      <c r="AA189">
        <v>32427590.57</v>
      </c>
      <c r="AB189">
        <v>32261879.859999999</v>
      </c>
      <c r="AC189">
        <v>32101643.16</v>
      </c>
      <c r="AD189">
        <v>32069432.98</v>
      </c>
      <c r="AE189">
        <v>32006106.859999999</v>
      </c>
      <c r="AF189">
        <v>31961464.030000001</v>
      </c>
      <c r="AG189">
        <v>31890829.73</v>
      </c>
      <c r="AH189">
        <v>31817154.719999999</v>
      </c>
      <c r="AI189">
        <v>31855103.91</v>
      </c>
      <c r="AJ189">
        <v>31895405.440000001</v>
      </c>
      <c r="AK189">
        <v>31930949.449999999</v>
      </c>
      <c r="AL189">
        <v>31969708.16</v>
      </c>
      <c r="AM189">
        <v>32015286.390000001</v>
      </c>
      <c r="AN189">
        <v>31789932.350000001</v>
      </c>
      <c r="AO189">
        <v>31580196.32</v>
      </c>
      <c r="AP189">
        <v>31367520.66</v>
      </c>
      <c r="AQ189">
        <v>31157974.600000001</v>
      </c>
      <c r="AR189">
        <v>30936730.82</v>
      </c>
      <c r="AS189">
        <v>31549656.890000001</v>
      </c>
      <c r="AT189">
        <v>32255948.02</v>
      </c>
      <c r="AU189">
        <v>32959647.809999999</v>
      </c>
      <c r="AV189">
        <v>33649580.149999999</v>
      </c>
      <c r="AW189">
        <v>34336463.939999998</v>
      </c>
    </row>
    <row r="190" spans="2:49" x14ac:dyDescent="0.25">
      <c r="B190" t="s">
        <v>491</v>
      </c>
      <c r="C190">
        <v>392773953.478827</v>
      </c>
      <c r="D190">
        <v>399080066.34826499</v>
      </c>
      <c r="E190">
        <v>376252432</v>
      </c>
      <c r="F190">
        <v>377606387.60000002</v>
      </c>
      <c r="G190">
        <v>357874001.5</v>
      </c>
      <c r="H190">
        <v>341948250.5</v>
      </c>
      <c r="I190">
        <v>337659680.60000002</v>
      </c>
      <c r="J190">
        <v>327388390.5</v>
      </c>
      <c r="K190">
        <v>314244904.39999998</v>
      </c>
      <c r="L190">
        <v>305951687.89999998</v>
      </c>
      <c r="M190">
        <v>302531499.60000002</v>
      </c>
      <c r="N190">
        <v>301668111.39999998</v>
      </c>
      <c r="O190">
        <v>293839389.60000002</v>
      </c>
      <c r="P190">
        <v>285296383.89999998</v>
      </c>
      <c r="Q190">
        <v>273796611.69999999</v>
      </c>
      <c r="R190">
        <v>266583204.40000001</v>
      </c>
      <c r="S190">
        <v>260188548</v>
      </c>
      <c r="T190">
        <v>256842416.09999999</v>
      </c>
      <c r="U190">
        <v>253669177.59999999</v>
      </c>
      <c r="V190">
        <v>250977851.30000001</v>
      </c>
      <c r="W190">
        <v>251759891.59999999</v>
      </c>
      <c r="X190">
        <v>250709102.19999999</v>
      </c>
      <c r="Y190">
        <v>248748239.30000001</v>
      </c>
      <c r="Z190">
        <v>247966663.40000001</v>
      </c>
      <c r="AA190">
        <v>246898164.40000001</v>
      </c>
      <c r="AB190">
        <v>245797478.30000001</v>
      </c>
      <c r="AC190">
        <v>244207356</v>
      </c>
      <c r="AD190">
        <v>242904362.80000001</v>
      </c>
      <c r="AE190">
        <v>241806882.30000001</v>
      </c>
      <c r="AF190">
        <v>240752706.5</v>
      </c>
      <c r="AG190">
        <v>239646409.59999999</v>
      </c>
      <c r="AH190">
        <v>238546155.5</v>
      </c>
      <c r="AI190">
        <v>237756231</v>
      </c>
      <c r="AJ190">
        <v>237030218.09999999</v>
      </c>
      <c r="AK190">
        <v>236286539.5</v>
      </c>
      <c r="AL190">
        <v>235591152.90000001</v>
      </c>
      <c r="AM190">
        <v>234921641.69999999</v>
      </c>
      <c r="AN190">
        <v>233668454.19999999</v>
      </c>
      <c r="AO190">
        <v>232380384.09999999</v>
      </c>
      <c r="AP190">
        <v>230999639.30000001</v>
      </c>
      <c r="AQ190">
        <v>229573464.19999999</v>
      </c>
      <c r="AR190">
        <v>227912604.69999999</v>
      </c>
      <c r="AS190">
        <v>227544107.09999999</v>
      </c>
      <c r="AT190">
        <v>227276050.80000001</v>
      </c>
      <c r="AU190">
        <v>226974284.5</v>
      </c>
      <c r="AV190">
        <v>226631916.90000001</v>
      </c>
      <c r="AW190">
        <v>226326720.19999999</v>
      </c>
    </row>
    <row r="191" spans="2:49" x14ac:dyDescent="0.25">
      <c r="B191" t="s">
        <v>492</v>
      </c>
      <c r="C191">
        <v>42122345.501310699</v>
      </c>
      <c r="D191">
        <v>42798633.383193001</v>
      </c>
      <c r="E191">
        <v>43485779.289999999</v>
      </c>
      <c r="F191">
        <v>42483888.689999998</v>
      </c>
      <c r="G191">
        <v>37305192.18</v>
      </c>
      <c r="H191">
        <v>32590610.73</v>
      </c>
      <c r="I191">
        <v>31366464.34</v>
      </c>
      <c r="J191">
        <v>29758033.300000001</v>
      </c>
      <c r="K191">
        <v>28245281.149999999</v>
      </c>
      <c r="L191">
        <v>28222510.510000002</v>
      </c>
      <c r="M191">
        <v>27618972.719999999</v>
      </c>
      <c r="N191">
        <v>26829516.420000002</v>
      </c>
      <c r="O191">
        <v>21665676.800000001</v>
      </c>
      <c r="P191">
        <v>18221113.890000001</v>
      </c>
      <c r="Q191">
        <v>16387092.970000001</v>
      </c>
      <c r="R191">
        <v>15386396.82</v>
      </c>
      <c r="S191">
        <v>14446389.720000001</v>
      </c>
      <c r="T191">
        <v>14255671.109999999</v>
      </c>
      <c r="U191">
        <v>14178725.619999999</v>
      </c>
      <c r="V191">
        <v>14183831.949999999</v>
      </c>
      <c r="W191">
        <v>14187939.27</v>
      </c>
      <c r="X191">
        <v>14159489.48</v>
      </c>
      <c r="Y191">
        <v>14256575.09</v>
      </c>
      <c r="Z191">
        <v>14401018.939999999</v>
      </c>
      <c r="AA191">
        <v>14549696.59</v>
      </c>
      <c r="AB191">
        <v>14681639.060000001</v>
      </c>
      <c r="AC191">
        <v>14808473.970000001</v>
      </c>
      <c r="AD191">
        <v>14967772.779999999</v>
      </c>
      <c r="AE191">
        <v>15109581.789999999</v>
      </c>
      <c r="AF191">
        <v>15252611.039999999</v>
      </c>
      <c r="AG191">
        <v>15399392.060000001</v>
      </c>
      <c r="AH191">
        <v>15543022.949999999</v>
      </c>
      <c r="AI191">
        <v>15702619.5</v>
      </c>
      <c r="AJ191">
        <v>15854710.16</v>
      </c>
      <c r="AK191">
        <v>16003036.189999999</v>
      </c>
      <c r="AL191">
        <v>16151225.5</v>
      </c>
      <c r="AM191">
        <v>16297829.32</v>
      </c>
      <c r="AN191">
        <v>16340701.26</v>
      </c>
      <c r="AO191">
        <v>16368697.460000001</v>
      </c>
      <c r="AP191">
        <v>16379591.24</v>
      </c>
      <c r="AQ191">
        <v>16380772.970000001</v>
      </c>
      <c r="AR191">
        <v>16362702</v>
      </c>
      <c r="AS191">
        <v>16429056.25</v>
      </c>
      <c r="AT191">
        <v>16499384.6</v>
      </c>
      <c r="AU191">
        <v>16565414.689999999</v>
      </c>
      <c r="AV191">
        <v>16626143.68</v>
      </c>
      <c r="AW191">
        <v>16689082.75</v>
      </c>
    </row>
    <row r="192" spans="2:49" x14ac:dyDescent="0.25">
      <c r="B192" t="s">
        <v>493</v>
      </c>
      <c r="C192">
        <v>261896523.70399499</v>
      </c>
      <c r="D192">
        <v>266101357.10489401</v>
      </c>
      <c r="E192">
        <v>247151788.59999999</v>
      </c>
      <c r="F192">
        <v>250133321.5</v>
      </c>
      <c r="G192">
        <v>238710416.09999999</v>
      </c>
      <c r="H192">
        <v>232033843.30000001</v>
      </c>
      <c r="I192">
        <v>228660635.5</v>
      </c>
      <c r="J192">
        <v>221257816.59999999</v>
      </c>
      <c r="K192">
        <v>213217547.90000001</v>
      </c>
      <c r="L192">
        <v>207477681.90000001</v>
      </c>
      <c r="M192">
        <v>205742607.5</v>
      </c>
      <c r="N192">
        <v>205995586.09999999</v>
      </c>
      <c r="O192">
        <v>201896636</v>
      </c>
      <c r="P192">
        <v>196117090.09999999</v>
      </c>
      <c r="Q192">
        <v>188185190.59999999</v>
      </c>
      <c r="R192">
        <v>183011373.30000001</v>
      </c>
      <c r="S192">
        <v>178253188.80000001</v>
      </c>
      <c r="T192">
        <v>178668553.19999999</v>
      </c>
      <c r="U192">
        <v>178779339.69999999</v>
      </c>
      <c r="V192">
        <v>179145191.19999999</v>
      </c>
      <c r="W192">
        <v>179131065.30000001</v>
      </c>
      <c r="X192">
        <v>177498359.90000001</v>
      </c>
      <c r="Y192">
        <v>175766126.09999999</v>
      </c>
      <c r="Z192">
        <v>174844443</v>
      </c>
      <c r="AA192">
        <v>173882054.80000001</v>
      </c>
      <c r="AB192">
        <v>172912680.19999999</v>
      </c>
      <c r="AC192">
        <v>171469743.19999999</v>
      </c>
      <c r="AD192">
        <v>170152033.80000001</v>
      </c>
      <c r="AE192">
        <v>169115956.30000001</v>
      </c>
      <c r="AF192">
        <v>168113006.90000001</v>
      </c>
      <c r="AG192">
        <v>167119425.09999999</v>
      </c>
      <c r="AH192">
        <v>166152910.90000001</v>
      </c>
      <c r="AI192">
        <v>165277271</v>
      </c>
      <c r="AJ192">
        <v>164472927.80000001</v>
      </c>
      <c r="AK192">
        <v>163667029.30000001</v>
      </c>
      <c r="AL192">
        <v>162916054.40000001</v>
      </c>
      <c r="AM192">
        <v>162193382.90000001</v>
      </c>
      <c r="AN192">
        <v>161288444.59999999</v>
      </c>
      <c r="AO192">
        <v>160352114</v>
      </c>
      <c r="AP192">
        <v>159357040.09999999</v>
      </c>
      <c r="AQ192">
        <v>158334056.59999999</v>
      </c>
      <c r="AR192">
        <v>157122579</v>
      </c>
      <c r="AS192">
        <v>156291747.5</v>
      </c>
      <c r="AT192">
        <v>155482951.69999999</v>
      </c>
      <c r="AU192">
        <v>154666013.5</v>
      </c>
      <c r="AV192">
        <v>153845979.69999999</v>
      </c>
      <c r="AW192">
        <v>153075933.69999999</v>
      </c>
    </row>
    <row r="193" spans="2:49" x14ac:dyDescent="0.25">
      <c r="B193" t="s">
        <v>494</v>
      </c>
      <c r="C193">
        <v>88755084.273521304</v>
      </c>
      <c r="D193">
        <v>90180075.860178098</v>
      </c>
      <c r="E193">
        <v>85614864.150000006</v>
      </c>
      <c r="F193">
        <v>84989177.439999998</v>
      </c>
      <c r="G193">
        <v>81858393.25</v>
      </c>
      <c r="H193">
        <v>77323796.510000005</v>
      </c>
      <c r="I193">
        <v>77632580.769999996</v>
      </c>
      <c r="J193">
        <v>76372540.579999998</v>
      </c>
      <c r="K193">
        <v>72782075.329999998</v>
      </c>
      <c r="L193">
        <v>70251495.540000007</v>
      </c>
      <c r="M193">
        <v>69169919.359999999</v>
      </c>
      <c r="N193">
        <v>68843008.870000005</v>
      </c>
      <c r="O193">
        <v>70277076.780000001</v>
      </c>
      <c r="P193">
        <v>70958179.969999999</v>
      </c>
      <c r="Q193">
        <v>69224328.129999995</v>
      </c>
      <c r="R193">
        <v>68185434.349999994</v>
      </c>
      <c r="S193">
        <v>67488969.439999998</v>
      </c>
      <c r="T193">
        <v>63918191.799999997</v>
      </c>
      <c r="U193">
        <v>60711112.270000003</v>
      </c>
      <c r="V193">
        <v>57648828.130000003</v>
      </c>
      <c r="W193">
        <v>58440887.090000004</v>
      </c>
      <c r="X193">
        <v>59051252.82</v>
      </c>
      <c r="Y193">
        <v>58725538.140000001</v>
      </c>
      <c r="Z193">
        <v>58721201.479999997</v>
      </c>
      <c r="AA193">
        <v>58466413.079999998</v>
      </c>
      <c r="AB193">
        <v>58203159.030000001</v>
      </c>
      <c r="AC193">
        <v>57929138.789999999</v>
      </c>
      <c r="AD193">
        <v>57784556.25</v>
      </c>
      <c r="AE193">
        <v>57581344.149999999</v>
      </c>
      <c r="AF193">
        <v>57387088.649999999</v>
      </c>
      <c r="AG193">
        <v>57127592.380000003</v>
      </c>
      <c r="AH193">
        <v>56850221.659999996</v>
      </c>
      <c r="AI193">
        <v>56776340.439999998</v>
      </c>
      <c r="AJ193">
        <v>56702580.079999998</v>
      </c>
      <c r="AK193">
        <v>56616474.049999997</v>
      </c>
      <c r="AL193">
        <v>56523872.969999999</v>
      </c>
      <c r="AM193">
        <v>56430429.539999999</v>
      </c>
      <c r="AN193">
        <v>56039308.420000002</v>
      </c>
      <c r="AO193">
        <v>55659572.600000001</v>
      </c>
      <c r="AP193">
        <v>55263007.939999998</v>
      </c>
      <c r="AQ193">
        <v>54858634.68</v>
      </c>
      <c r="AR193">
        <v>54427323.659999996</v>
      </c>
      <c r="AS193">
        <v>54823303.380000003</v>
      </c>
      <c r="AT193">
        <v>55293714.439999998</v>
      </c>
      <c r="AU193">
        <v>55742856.359999999</v>
      </c>
      <c r="AV193">
        <v>56159793.479999997</v>
      </c>
      <c r="AW193">
        <v>56561703.689999998</v>
      </c>
    </row>
    <row r="194" spans="2:49" x14ac:dyDescent="0.25">
      <c r="B194" t="s">
        <v>495</v>
      </c>
      <c r="C194">
        <v>419119515.24800497</v>
      </c>
      <c r="D194">
        <v>425848614.63336003</v>
      </c>
      <c r="E194">
        <v>402018806.5</v>
      </c>
      <c r="F194">
        <v>403718146</v>
      </c>
      <c r="G194">
        <v>383303414.30000001</v>
      </c>
      <c r="H194">
        <v>364720928.80000001</v>
      </c>
      <c r="I194">
        <v>361273532</v>
      </c>
      <c r="J194">
        <v>351598604.89999998</v>
      </c>
      <c r="K194">
        <v>337829698.19999999</v>
      </c>
      <c r="L194">
        <v>329276313</v>
      </c>
      <c r="M194">
        <v>325891169.89999998</v>
      </c>
      <c r="N194">
        <v>325351150.89999998</v>
      </c>
      <c r="O194">
        <v>317600786.30000001</v>
      </c>
      <c r="P194">
        <v>309808542.19999999</v>
      </c>
      <c r="Q194">
        <v>298468063.30000001</v>
      </c>
      <c r="R194">
        <v>291525686.19999999</v>
      </c>
      <c r="S194">
        <v>284722261.30000001</v>
      </c>
      <c r="T194">
        <v>281605859.39999998</v>
      </c>
      <c r="U194">
        <v>278541930.39999998</v>
      </c>
      <c r="V194">
        <v>276260276.19999999</v>
      </c>
      <c r="W194">
        <v>277271425.39999998</v>
      </c>
      <c r="X194">
        <v>276412609.89999998</v>
      </c>
      <c r="Y194">
        <v>274330478.89999998</v>
      </c>
      <c r="Z194">
        <v>273549496</v>
      </c>
      <c r="AA194">
        <v>272491355.80000001</v>
      </c>
      <c r="AB194">
        <v>271396853.5</v>
      </c>
      <c r="AC194">
        <v>269837010</v>
      </c>
      <c r="AD194">
        <v>268659601.19999999</v>
      </c>
      <c r="AE194">
        <v>267668910.69999999</v>
      </c>
      <c r="AF194">
        <v>266755603.80000001</v>
      </c>
      <c r="AG194">
        <v>265776823.09999999</v>
      </c>
      <c r="AH194">
        <v>264838926.19999999</v>
      </c>
      <c r="AI194">
        <v>264248079.59999999</v>
      </c>
      <c r="AJ194">
        <v>263716756.59999999</v>
      </c>
      <c r="AK194">
        <v>263183291.59999999</v>
      </c>
      <c r="AL194">
        <v>262707275.69999999</v>
      </c>
      <c r="AM194">
        <v>262261925.69999999</v>
      </c>
      <c r="AN194">
        <v>261199578.30000001</v>
      </c>
      <c r="AO194">
        <v>260134469.69999999</v>
      </c>
      <c r="AP194">
        <v>258975991.5</v>
      </c>
      <c r="AQ194">
        <v>257791452.09999999</v>
      </c>
      <c r="AR194">
        <v>256361293.90000001</v>
      </c>
      <c r="AS194">
        <v>256234659.5</v>
      </c>
      <c r="AT194">
        <v>256202971.19999999</v>
      </c>
      <c r="AU194">
        <v>256128447.30000001</v>
      </c>
      <c r="AV194">
        <v>256014227.19999999</v>
      </c>
      <c r="AW194">
        <v>255995138.69999999</v>
      </c>
    </row>
    <row r="195" spans="2:49" x14ac:dyDescent="0.25">
      <c r="B195" t="s">
        <v>496</v>
      </c>
      <c r="C195">
        <v>255.88316116441601</v>
      </c>
      <c r="D195">
        <v>259.991448084664</v>
      </c>
      <c r="E195">
        <v>230.85787869999999</v>
      </c>
      <c r="F195">
        <v>238.1787617</v>
      </c>
      <c r="G195">
        <v>238.4192769</v>
      </c>
      <c r="H195">
        <v>228.92635139999999</v>
      </c>
      <c r="I195">
        <v>236.2786691</v>
      </c>
      <c r="J195">
        <v>237.15409099999999</v>
      </c>
      <c r="K195">
        <v>234.36133359999999</v>
      </c>
      <c r="L195">
        <v>231.5028058</v>
      </c>
      <c r="M195">
        <v>230.57345979999999</v>
      </c>
      <c r="N195">
        <v>229.0676182</v>
      </c>
      <c r="O195">
        <v>221.1142509</v>
      </c>
      <c r="P195">
        <v>216.8336688</v>
      </c>
      <c r="Q195">
        <v>211.9874973</v>
      </c>
      <c r="R195">
        <v>205.73221050000001</v>
      </c>
      <c r="S195">
        <v>199.4621855</v>
      </c>
      <c r="T195">
        <v>197.77278419999999</v>
      </c>
      <c r="U195">
        <v>196.58620400000001</v>
      </c>
      <c r="V195">
        <v>195.91544759999999</v>
      </c>
      <c r="W195">
        <v>203.7810466</v>
      </c>
      <c r="X195">
        <v>211.8435906</v>
      </c>
      <c r="Y195">
        <v>213.4340881</v>
      </c>
      <c r="Z195">
        <v>214.9178579</v>
      </c>
      <c r="AA195">
        <v>216.33231760000001</v>
      </c>
      <c r="AB195">
        <v>217.27407930000001</v>
      </c>
      <c r="AC195">
        <v>218.269553</v>
      </c>
      <c r="AD195">
        <v>216.0754187</v>
      </c>
      <c r="AE195">
        <v>213.9352385</v>
      </c>
      <c r="AF195">
        <v>211.86677800000001</v>
      </c>
      <c r="AG195">
        <v>209.78295900000001</v>
      </c>
      <c r="AH195">
        <v>207.819357</v>
      </c>
      <c r="AI195">
        <v>205.92905300000001</v>
      </c>
      <c r="AJ195">
        <v>204.0352188</v>
      </c>
      <c r="AK195">
        <v>202.0985287</v>
      </c>
      <c r="AL195">
        <v>200.22350990000001</v>
      </c>
      <c r="AM195">
        <v>198.3535918</v>
      </c>
      <c r="AN195">
        <v>196.2767748</v>
      </c>
      <c r="AO195">
        <v>194.21105489999999</v>
      </c>
      <c r="AP195">
        <v>192.12060579999999</v>
      </c>
      <c r="AQ195">
        <v>190.0370834</v>
      </c>
      <c r="AR195">
        <v>187.9725646</v>
      </c>
      <c r="AS195">
        <v>186.52966330000001</v>
      </c>
      <c r="AT195">
        <v>185.0738422</v>
      </c>
      <c r="AU195">
        <v>183.59067859999999</v>
      </c>
      <c r="AV195">
        <v>182.08804069999999</v>
      </c>
      <c r="AW195">
        <v>180.6282252</v>
      </c>
    </row>
    <row r="196" spans="2:49" x14ac:dyDescent="0.25">
      <c r="B196" t="s">
        <v>497</v>
      </c>
      <c r="C196">
        <v>5.5705789795526002</v>
      </c>
      <c r="D196">
        <v>5.6600164269241402</v>
      </c>
      <c r="E196">
        <v>4.7606703819999998</v>
      </c>
      <c r="F196">
        <v>4.8013016679999998</v>
      </c>
      <c r="G196">
        <v>4.0003574009999996</v>
      </c>
      <c r="H196">
        <v>3.5072409260000001</v>
      </c>
      <c r="I196">
        <v>3.4836734740000002</v>
      </c>
      <c r="J196">
        <v>3.3330800730000001</v>
      </c>
      <c r="K196">
        <v>3.2186007559999998</v>
      </c>
      <c r="L196">
        <v>3.4372064340000001</v>
      </c>
      <c r="M196">
        <v>3.5269835949999999</v>
      </c>
      <c r="N196">
        <v>3.5884926780000002</v>
      </c>
      <c r="O196">
        <v>2.8320787639999998</v>
      </c>
      <c r="P196">
        <v>2.3861106890000001</v>
      </c>
      <c r="Q196">
        <v>2.099834886</v>
      </c>
      <c r="R196">
        <v>1.9137016950000001</v>
      </c>
      <c r="S196">
        <v>1.740071492</v>
      </c>
      <c r="T196">
        <v>1.70571446</v>
      </c>
      <c r="U196">
        <v>1.6905054230000001</v>
      </c>
      <c r="V196">
        <v>1.68916862</v>
      </c>
      <c r="W196">
        <v>1.653000614</v>
      </c>
      <c r="X196">
        <v>1.6025605599999999</v>
      </c>
      <c r="Y196">
        <v>1.5948047329999999</v>
      </c>
      <c r="Z196">
        <v>1.600577377</v>
      </c>
      <c r="AA196">
        <v>1.605585324</v>
      </c>
      <c r="AB196">
        <v>1.6106822839999999</v>
      </c>
      <c r="AC196">
        <v>1.6144264129999999</v>
      </c>
      <c r="AD196">
        <v>1.6338812810000001</v>
      </c>
      <c r="AE196">
        <v>1.651036978</v>
      </c>
      <c r="AF196">
        <v>1.668574913</v>
      </c>
      <c r="AG196">
        <v>1.6870554120000001</v>
      </c>
      <c r="AH196">
        <v>1.704828392</v>
      </c>
      <c r="AI196">
        <v>1.726729841</v>
      </c>
      <c r="AJ196">
        <v>1.7476858049999999</v>
      </c>
      <c r="AK196">
        <v>1.768516376</v>
      </c>
      <c r="AL196">
        <v>1.789682067</v>
      </c>
      <c r="AM196">
        <v>1.8109527270000001</v>
      </c>
      <c r="AN196">
        <v>1.8122006260000001</v>
      </c>
      <c r="AO196">
        <v>1.8109704870000001</v>
      </c>
      <c r="AP196">
        <v>1.8067705949999999</v>
      </c>
      <c r="AQ196">
        <v>1.8009482649999999</v>
      </c>
      <c r="AR196">
        <v>1.791533603</v>
      </c>
      <c r="AS196">
        <v>1.796692723</v>
      </c>
      <c r="AT196">
        <v>1.802246054</v>
      </c>
      <c r="AU196">
        <v>1.8071645199999999</v>
      </c>
      <c r="AV196">
        <v>1.811335623</v>
      </c>
      <c r="AW196">
        <v>1.815647843</v>
      </c>
    </row>
    <row r="197" spans="2:49" x14ac:dyDescent="0.25">
      <c r="B197" t="s">
        <v>498</v>
      </c>
      <c r="C197">
        <v>5.5705789795526002</v>
      </c>
      <c r="D197">
        <v>5.6600164269241402</v>
      </c>
      <c r="E197">
        <v>4.7606703819999998</v>
      </c>
      <c r="F197">
        <v>4.8013016679999998</v>
      </c>
      <c r="G197">
        <v>4.0003574009999996</v>
      </c>
      <c r="H197">
        <v>3.5072409260000001</v>
      </c>
      <c r="I197">
        <v>3.4836734740000002</v>
      </c>
      <c r="J197">
        <v>3.3330800730000001</v>
      </c>
      <c r="K197">
        <v>3.2186007559999998</v>
      </c>
      <c r="L197">
        <v>3.4372064340000001</v>
      </c>
      <c r="M197">
        <v>3.5269835949999999</v>
      </c>
      <c r="N197">
        <v>3.5884926780000002</v>
      </c>
      <c r="O197">
        <v>2.8320787639999998</v>
      </c>
      <c r="P197">
        <v>2.3861106890000001</v>
      </c>
      <c r="Q197">
        <v>2.099834886</v>
      </c>
      <c r="R197">
        <v>1.9137016950000001</v>
      </c>
      <c r="S197">
        <v>1.740071492</v>
      </c>
      <c r="T197">
        <v>1.70571446</v>
      </c>
      <c r="U197">
        <v>1.6905054230000001</v>
      </c>
      <c r="V197">
        <v>1.68916862</v>
      </c>
      <c r="W197">
        <v>1.653000614</v>
      </c>
      <c r="X197">
        <v>1.6025605599999999</v>
      </c>
      <c r="Y197">
        <v>1.5948047329999999</v>
      </c>
      <c r="Z197">
        <v>1.600577377</v>
      </c>
      <c r="AA197">
        <v>1.605585324</v>
      </c>
      <c r="AB197">
        <v>1.6106822839999999</v>
      </c>
      <c r="AC197">
        <v>1.6144264129999999</v>
      </c>
      <c r="AD197">
        <v>1.6338812810000001</v>
      </c>
      <c r="AE197">
        <v>1.651036978</v>
      </c>
      <c r="AF197">
        <v>1.668574913</v>
      </c>
      <c r="AG197">
        <v>1.6870554120000001</v>
      </c>
      <c r="AH197">
        <v>1.704828392</v>
      </c>
      <c r="AI197">
        <v>1.726729841</v>
      </c>
      <c r="AJ197">
        <v>1.7476858049999999</v>
      </c>
      <c r="AK197">
        <v>1.768516376</v>
      </c>
      <c r="AL197">
        <v>1.789682067</v>
      </c>
      <c r="AM197">
        <v>1.8109527270000001</v>
      </c>
      <c r="AN197">
        <v>1.8122006260000001</v>
      </c>
      <c r="AO197">
        <v>1.8109704870000001</v>
      </c>
      <c r="AP197">
        <v>1.8067705949999999</v>
      </c>
      <c r="AQ197">
        <v>1.8009482649999999</v>
      </c>
      <c r="AR197">
        <v>1.791533603</v>
      </c>
      <c r="AS197">
        <v>1.796692723</v>
      </c>
      <c r="AT197">
        <v>1.802246054</v>
      </c>
      <c r="AU197">
        <v>1.8071645199999999</v>
      </c>
      <c r="AV197">
        <v>1.811335623</v>
      </c>
      <c r="AW197">
        <v>1.815647843</v>
      </c>
    </row>
    <row r="198" spans="2:49" x14ac:dyDescent="0.25">
      <c r="B198" t="s">
        <v>499</v>
      </c>
      <c r="C198">
        <v>82.165927612137295</v>
      </c>
      <c r="D198">
        <v>83.485128157272499</v>
      </c>
      <c r="E198">
        <v>70.71179746</v>
      </c>
      <c r="F198">
        <v>71.558899629999999</v>
      </c>
      <c r="G198">
        <v>68.143720479999999</v>
      </c>
      <c r="H198">
        <v>66.042476250000007</v>
      </c>
      <c r="I198">
        <v>65.09279927</v>
      </c>
      <c r="J198">
        <v>62.980020250000003</v>
      </c>
      <c r="K198">
        <v>60.648848309999998</v>
      </c>
      <c r="L198">
        <v>59.011187390000003</v>
      </c>
      <c r="M198">
        <v>58.635971820000002</v>
      </c>
      <c r="N198">
        <v>58.881957659999998</v>
      </c>
      <c r="O198">
        <v>57.679307450000003</v>
      </c>
      <c r="P198">
        <v>55.967679199999999</v>
      </c>
      <c r="Q198">
        <v>53.554854730000002</v>
      </c>
      <c r="R198">
        <v>52.009023659999997</v>
      </c>
      <c r="S198">
        <v>50.57903932</v>
      </c>
      <c r="T198">
        <v>50.597707389999997</v>
      </c>
      <c r="U198">
        <v>50.529104580000002</v>
      </c>
      <c r="V198">
        <v>50.556986809999998</v>
      </c>
      <c r="W198">
        <v>50.480084380000001</v>
      </c>
      <c r="X198">
        <v>49.952623889999998</v>
      </c>
      <c r="Y198">
        <v>49.460593670000002</v>
      </c>
      <c r="Z198">
        <v>49.201714090000003</v>
      </c>
      <c r="AA198">
        <v>48.924869389999998</v>
      </c>
      <c r="AB198">
        <v>48.646415259999998</v>
      </c>
      <c r="AC198">
        <v>48.253701460000002</v>
      </c>
      <c r="AD198">
        <v>47.877615720000001</v>
      </c>
      <c r="AE198">
        <v>47.569601300000002</v>
      </c>
      <c r="AF198">
        <v>47.275027489999999</v>
      </c>
      <c r="AG198">
        <v>46.982305359999998</v>
      </c>
      <c r="AH198">
        <v>46.700782099999998</v>
      </c>
      <c r="AI198">
        <v>46.473832209999998</v>
      </c>
      <c r="AJ198">
        <v>46.26733685</v>
      </c>
      <c r="AK198">
        <v>46.059772590000001</v>
      </c>
      <c r="AL198">
        <v>45.867735439999997</v>
      </c>
      <c r="AM198">
        <v>45.684802300000001</v>
      </c>
      <c r="AN198">
        <v>45.44404737</v>
      </c>
      <c r="AO198">
        <v>45.195409439999999</v>
      </c>
      <c r="AP198">
        <v>44.9299885</v>
      </c>
      <c r="AQ198">
        <v>44.657083989999997</v>
      </c>
      <c r="AR198">
        <v>44.335909010000002</v>
      </c>
      <c r="AS198">
        <v>44.142927550000003</v>
      </c>
      <c r="AT198">
        <v>43.955615180000002</v>
      </c>
      <c r="AU198">
        <v>43.765571260000002</v>
      </c>
      <c r="AV198">
        <v>43.574871870000003</v>
      </c>
      <c r="AW198">
        <v>43.399301340000001</v>
      </c>
    </row>
    <row r="199" spans="2:49" x14ac:dyDescent="0.25">
      <c r="B199" t="s">
        <v>500</v>
      </c>
      <c r="C199">
        <v>0.67805251130835598</v>
      </c>
      <c r="D199">
        <v>0.68893886369971102</v>
      </c>
      <c r="E199">
        <v>0.87438821980000003</v>
      </c>
      <c r="F199">
        <v>1.1675536799999999</v>
      </c>
      <c r="G199">
        <v>1.3824941100000001</v>
      </c>
      <c r="H199">
        <v>1.6035999999999999</v>
      </c>
      <c r="I199">
        <v>1.8418839149999999</v>
      </c>
      <c r="J199">
        <v>2.0464331740000001</v>
      </c>
      <c r="K199">
        <v>2.2278375619999999</v>
      </c>
      <c r="L199">
        <v>2.4201724570000001</v>
      </c>
      <c r="M199">
        <v>2.657722927</v>
      </c>
      <c r="N199">
        <v>2.9247450650000002</v>
      </c>
      <c r="O199">
        <v>2.9157927629999998</v>
      </c>
      <c r="P199">
        <v>2.8815666040000001</v>
      </c>
      <c r="Q199">
        <v>2.8105667959999998</v>
      </c>
      <c r="R199">
        <v>2.7845449900000001</v>
      </c>
      <c r="S199">
        <v>2.7652496659999999</v>
      </c>
      <c r="T199">
        <v>2.8957670969999998</v>
      </c>
      <c r="U199">
        <v>3.0163636079999998</v>
      </c>
      <c r="V199">
        <v>3.1380266579999998</v>
      </c>
      <c r="W199">
        <v>3.2461135909999999</v>
      </c>
      <c r="X199">
        <v>3.32862357</v>
      </c>
      <c r="Y199">
        <v>3.292198231</v>
      </c>
      <c r="Z199">
        <v>3.271345116</v>
      </c>
      <c r="AA199">
        <v>3.2493341039999999</v>
      </c>
      <c r="AB199">
        <v>3.2276629209999999</v>
      </c>
      <c r="AC199">
        <v>3.1985128719999998</v>
      </c>
      <c r="AD199">
        <v>3.1676740900000002</v>
      </c>
      <c r="AE199">
        <v>3.1412934739999998</v>
      </c>
      <c r="AF199">
        <v>3.1157358209999999</v>
      </c>
      <c r="AG199">
        <v>3.0901724380000002</v>
      </c>
      <c r="AH199">
        <v>3.0652836919999999</v>
      </c>
      <c r="AI199">
        <v>3.0485218629999999</v>
      </c>
      <c r="AJ199">
        <v>3.0331899180000002</v>
      </c>
      <c r="AK199">
        <v>3.0178793719999999</v>
      </c>
      <c r="AL199">
        <v>3.0027415</v>
      </c>
      <c r="AM199">
        <v>2.9882814170000001</v>
      </c>
      <c r="AN199">
        <v>2.980930367</v>
      </c>
      <c r="AO199">
        <v>2.9733719170000001</v>
      </c>
      <c r="AP199">
        <v>2.96503117</v>
      </c>
      <c r="AQ199">
        <v>2.9565314900000002</v>
      </c>
      <c r="AR199">
        <v>2.945177846</v>
      </c>
      <c r="AS199">
        <v>2.9459680939999999</v>
      </c>
      <c r="AT199">
        <v>2.94733563</v>
      </c>
      <c r="AU199">
        <v>2.9487266409999999</v>
      </c>
      <c r="AV199">
        <v>2.950286111</v>
      </c>
      <c r="AW199">
        <v>2.95309482</v>
      </c>
    </row>
    <row r="200" spans="2:49" x14ac:dyDescent="0.25">
      <c r="B200" t="s">
        <v>501</v>
      </c>
      <c r="C200">
        <v>82.165927612137295</v>
      </c>
      <c r="D200">
        <v>83.485128157272499</v>
      </c>
      <c r="E200">
        <v>70.71179746</v>
      </c>
      <c r="F200">
        <v>71.558899629999999</v>
      </c>
      <c r="G200">
        <v>68.143720479999999</v>
      </c>
      <c r="H200">
        <v>66.042476250000007</v>
      </c>
      <c r="I200">
        <v>65.09279927</v>
      </c>
      <c r="J200">
        <v>62.980020250000003</v>
      </c>
      <c r="K200">
        <v>60.648848309999998</v>
      </c>
      <c r="L200">
        <v>59.011187390000003</v>
      </c>
      <c r="M200">
        <v>58.635971820000002</v>
      </c>
      <c r="N200">
        <v>58.881957659999998</v>
      </c>
      <c r="O200">
        <v>57.679307450000003</v>
      </c>
      <c r="P200">
        <v>55.967679199999999</v>
      </c>
      <c r="Q200">
        <v>53.554854730000002</v>
      </c>
      <c r="R200">
        <v>52.009023659999997</v>
      </c>
      <c r="S200">
        <v>50.57903932</v>
      </c>
      <c r="T200">
        <v>50.597707389999997</v>
      </c>
      <c r="U200">
        <v>50.529104580000002</v>
      </c>
      <c r="V200">
        <v>50.556986809999998</v>
      </c>
      <c r="W200">
        <v>50.480084380000001</v>
      </c>
      <c r="X200">
        <v>49.952623889999998</v>
      </c>
      <c r="Y200">
        <v>49.460593670000002</v>
      </c>
      <c r="Z200">
        <v>49.201714090000003</v>
      </c>
      <c r="AA200">
        <v>48.924869389999998</v>
      </c>
      <c r="AB200">
        <v>48.646415259999998</v>
      </c>
      <c r="AC200">
        <v>48.253701460000002</v>
      </c>
      <c r="AD200">
        <v>47.877615720000001</v>
      </c>
      <c r="AE200">
        <v>47.569601300000002</v>
      </c>
      <c r="AF200">
        <v>47.275027489999999</v>
      </c>
      <c r="AG200">
        <v>46.982305359999998</v>
      </c>
      <c r="AH200">
        <v>46.700782099999998</v>
      </c>
      <c r="AI200">
        <v>46.473832209999998</v>
      </c>
      <c r="AJ200">
        <v>46.26733685</v>
      </c>
      <c r="AK200">
        <v>46.059772590000001</v>
      </c>
      <c r="AL200">
        <v>45.867735439999997</v>
      </c>
      <c r="AM200">
        <v>45.684802300000001</v>
      </c>
      <c r="AN200">
        <v>45.44404737</v>
      </c>
      <c r="AO200">
        <v>45.195409439999999</v>
      </c>
      <c r="AP200">
        <v>44.9299885</v>
      </c>
      <c r="AQ200">
        <v>44.657083989999997</v>
      </c>
      <c r="AR200">
        <v>44.335909010000002</v>
      </c>
      <c r="AS200">
        <v>44.142927550000003</v>
      </c>
      <c r="AT200">
        <v>43.955615180000002</v>
      </c>
      <c r="AU200">
        <v>43.765571260000002</v>
      </c>
      <c r="AV200">
        <v>43.574871870000003</v>
      </c>
      <c r="AW200">
        <v>43.399301340000001</v>
      </c>
    </row>
    <row r="201" spans="2:49" x14ac:dyDescent="0.25">
      <c r="B201" t="s">
        <v>502</v>
      </c>
      <c r="C201">
        <v>0.67805251130835598</v>
      </c>
      <c r="D201">
        <v>0.68893886369971102</v>
      </c>
      <c r="E201">
        <v>0.87438821980000003</v>
      </c>
      <c r="F201">
        <v>1.1675536799999999</v>
      </c>
      <c r="G201">
        <v>1.3824941100000001</v>
      </c>
      <c r="H201">
        <v>1.6035999999999999</v>
      </c>
      <c r="I201">
        <v>1.8418839149999999</v>
      </c>
      <c r="J201">
        <v>2.0464331740000001</v>
      </c>
      <c r="K201">
        <v>2.2278375619999999</v>
      </c>
      <c r="L201">
        <v>2.4201724570000001</v>
      </c>
      <c r="M201">
        <v>2.657722927</v>
      </c>
      <c r="N201">
        <v>2.9247450650000002</v>
      </c>
      <c r="O201">
        <v>2.9157927629999998</v>
      </c>
      <c r="P201">
        <v>2.8815666040000001</v>
      </c>
      <c r="Q201">
        <v>2.8105667959999998</v>
      </c>
      <c r="R201">
        <v>2.7845449900000001</v>
      </c>
      <c r="S201">
        <v>2.7652496659999999</v>
      </c>
      <c r="T201">
        <v>2.8957670969999998</v>
      </c>
      <c r="U201">
        <v>3.0163636079999998</v>
      </c>
      <c r="V201">
        <v>3.1380266579999998</v>
      </c>
      <c r="W201">
        <v>3.2461135909999999</v>
      </c>
      <c r="X201">
        <v>3.32862357</v>
      </c>
      <c r="Y201">
        <v>3.292198231</v>
      </c>
      <c r="Z201">
        <v>3.271345116</v>
      </c>
      <c r="AA201">
        <v>3.2493341039999999</v>
      </c>
      <c r="AB201">
        <v>3.2276629209999999</v>
      </c>
      <c r="AC201">
        <v>3.1985128719999998</v>
      </c>
      <c r="AD201">
        <v>3.1676740900000002</v>
      </c>
      <c r="AE201">
        <v>3.1412934739999998</v>
      </c>
      <c r="AF201">
        <v>3.1157358209999999</v>
      </c>
      <c r="AG201">
        <v>3.0901724380000002</v>
      </c>
      <c r="AH201">
        <v>3.0652836919999999</v>
      </c>
      <c r="AI201">
        <v>3.0485218629999999</v>
      </c>
      <c r="AJ201">
        <v>3.0331899180000002</v>
      </c>
      <c r="AK201">
        <v>3.0178793719999999</v>
      </c>
      <c r="AL201">
        <v>3.0027415</v>
      </c>
      <c r="AM201">
        <v>2.9882814170000001</v>
      </c>
      <c r="AN201">
        <v>2.980930367</v>
      </c>
      <c r="AO201">
        <v>2.9733719170000001</v>
      </c>
      <c r="AP201">
        <v>2.96503117</v>
      </c>
      <c r="AQ201">
        <v>2.9565314900000002</v>
      </c>
      <c r="AR201">
        <v>2.945177846</v>
      </c>
      <c r="AS201">
        <v>2.9459680939999999</v>
      </c>
      <c r="AT201">
        <v>2.94733563</v>
      </c>
      <c r="AU201">
        <v>2.9487266409999999</v>
      </c>
      <c r="AV201">
        <v>2.950286111</v>
      </c>
      <c r="AW201">
        <v>2.95309482</v>
      </c>
    </row>
    <row r="202" spans="2:49" x14ac:dyDescent="0.25">
      <c r="B202" t="s">
        <v>503</v>
      </c>
      <c r="C202">
        <v>114.221490567207</v>
      </c>
      <c r="D202">
        <v>116.055353544252</v>
      </c>
      <c r="E202">
        <v>103.6846785</v>
      </c>
      <c r="F202">
        <v>108.3169116</v>
      </c>
      <c r="G202">
        <v>112.3272913</v>
      </c>
      <c r="H202">
        <v>106.9950863</v>
      </c>
      <c r="I202">
        <v>112.8531752</v>
      </c>
      <c r="J202">
        <v>114.69853809999999</v>
      </c>
      <c r="K202">
        <v>114.59165539999999</v>
      </c>
      <c r="L202">
        <v>113.0096394</v>
      </c>
      <c r="M202">
        <v>111.3508752</v>
      </c>
      <c r="N202">
        <v>108.22778510000001</v>
      </c>
      <c r="O202">
        <v>101.8092242</v>
      </c>
      <c r="P202">
        <v>99.186197960000001</v>
      </c>
      <c r="Q202">
        <v>97.627478859999997</v>
      </c>
      <c r="R202">
        <v>93.522470620000007</v>
      </c>
      <c r="S202">
        <v>89.113621899999998</v>
      </c>
      <c r="T202">
        <v>87.334644609999998</v>
      </c>
      <c r="U202">
        <v>85.818767469999997</v>
      </c>
      <c r="V202">
        <v>84.533757780000002</v>
      </c>
      <c r="W202">
        <v>92.061602050000005</v>
      </c>
      <c r="X202">
        <v>100.1946906</v>
      </c>
      <c r="Y202">
        <v>101.3992715</v>
      </c>
      <c r="Z202">
        <v>102.2254394</v>
      </c>
      <c r="AA202">
        <v>103.1501899</v>
      </c>
      <c r="AB202">
        <v>103.7292149</v>
      </c>
      <c r="AC202">
        <v>104.4595959</v>
      </c>
      <c r="AD202">
        <v>101.8228857</v>
      </c>
      <c r="AE202">
        <v>99.224579599999998</v>
      </c>
      <c r="AF202">
        <v>96.687159960000002</v>
      </c>
      <c r="AG202">
        <v>94.132614500000003</v>
      </c>
      <c r="AH202">
        <v>91.692989350000005</v>
      </c>
      <c r="AI202">
        <v>89.263940349999999</v>
      </c>
      <c r="AJ202">
        <v>86.849842640000006</v>
      </c>
      <c r="AK202">
        <v>84.444681930000002</v>
      </c>
      <c r="AL202">
        <v>82.028967699999995</v>
      </c>
      <c r="AM202">
        <v>79.641259809999994</v>
      </c>
      <c r="AN202">
        <v>77.283043399999997</v>
      </c>
      <c r="AO202">
        <v>74.953619439999997</v>
      </c>
      <c r="AP202">
        <v>72.649204929999996</v>
      </c>
      <c r="AQ202">
        <v>70.379938780000003</v>
      </c>
      <c r="AR202">
        <v>68.193723219999995</v>
      </c>
      <c r="AS202">
        <v>66.078091069999999</v>
      </c>
      <c r="AT202">
        <v>63.972029820000003</v>
      </c>
      <c r="AU202">
        <v>61.875313439999999</v>
      </c>
      <c r="AV202">
        <v>59.790965079999999</v>
      </c>
      <c r="AW202">
        <v>57.738837770000004</v>
      </c>
    </row>
    <row r="203" spans="2:49" x14ac:dyDescent="0.25">
      <c r="B203" t="s">
        <v>504</v>
      </c>
      <c r="C203">
        <v>1.2736350545564401</v>
      </c>
      <c r="D203">
        <v>1.2940836773262701</v>
      </c>
      <c r="E203">
        <v>1.4657924280000001</v>
      </c>
      <c r="F203">
        <v>1.533963967</v>
      </c>
      <c r="G203">
        <v>1.593579989</v>
      </c>
      <c r="H203">
        <v>1.520656032</v>
      </c>
      <c r="I203">
        <v>1.6068249649999999</v>
      </c>
      <c r="J203">
        <v>1.6001156160000001</v>
      </c>
      <c r="K203">
        <v>1.5666201719999999</v>
      </c>
      <c r="L203">
        <v>1.514404042</v>
      </c>
      <c r="M203">
        <v>1.4630196470000001</v>
      </c>
      <c r="N203">
        <v>1.3946131049999999</v>
      </c>
      <c r="O203">
        <v>1.3338034919999999</v>
      </c>
      <c r="P203">
        <v>1.322624502</v>
      </c>
      <c r="Q203">
        <v>1.326706623</v>
      </c>
      <c r="R203">
        <v>1.296956572</v>
      </c>
      <c r="S203">
        <v>1.263016039</v>
      </c>
      <c r="T203">
        <v>1.3873660249999999</v>
      </c>
      <c r="U203">
        <v>1.5179382189999999</v>
      </c>
      <c r="V203">
        <v>1.6554837710000001</v>
      </c>
      <c r="W203">
        <v>1.6988430210000001</v>
      </c>
      <c r="X203">
        <v>1.7468549289999999</v>
      </c>
      <c r="Y203">
        <v>1.7747963920000001</v>
      </c>
      <c r="Z203">
        <v>1.796317728</v>
      </c>
      <c r="AA203">
        <v>1.819757858</v>
      </c>
      <c r="AB203">
        <v>1.834708075</v>
      </c>
      <c r="AC203">
        <v>1.8524042650000001</v>
      </c>
      <c r="AD203">
        <v>1.853153131</v>
      </c>
      <c r="AE203">
        <v>1.853126311</v>
      </c>
      <c r="AF203">
        <v>1.852762824</v>
      </c>
      <c r="AG203">
        <v>1.852901881</v>
      </c>
      <c r="AH203">
        <v>1.8538400420000001</v>
      </c>
      <c r="AI203">
        <v>1.8402924700000001</v>
      </c>
      <c r="AJ203">
        <v>1.8261697050000001</v>
      </c>
      <c r="AK203">
        <v>1.8113225230000001</v>
      </c>
      <c r="AL203">
        <v>1.79658948</v>
      </c>
      <c r="AM203">
        <v>1.7815411430000001</v>
      </c>
      <c r="AN203">
        <v>1.781812755</v>
      </c>
      <c r="AO203">
        <v>1.781578594</v>
      </c>
      <c r="AP203">
        <v>1.7807377950000001</v>
      </c>
      <c r="AQ203">
        <v>1.7795291230000001</v>
      </c>
      <c r="AR203">
        <v>1.779207794</v>
      </c>
      <c r="AS203">
        <v>1.779995201</v>
      </c>
      <c r="AT203">
        <v>1.7804805159999999</v>
      </c>
      <c r="AU203">
        <v>1.7806376290000001</v>
      </c>
      <c r="AV203">
        <v>1.780533938</v>
      </c>
      <c r="AW203">
        <v>1.780765956</v>
      </c>
    </row>
    <row r="204" spans="2:49" x14ac:dyDescent="0.25">
      <c r="B204" t="s">
        <v>505</v>
      </c>
      <c r="C204">
        <v>3.4574974609126801</v>
      </c>
      <c r="D204">
        <v>3.51300870100687</v>
      </c>
      <c r="E204">
        <v>3.1385469659999998</v>
      </c>
      <c r="F204">
        <v>3.261210368</v>
      </c>
      <c r="G204">
        <v>3.364036896</v>
      </c>
      <c r="H204">
        <v>3.1875571479999998</v>
      </c>
      <c r="I204">
        <v>3.3446730320000002</v>
      </c>
      <c r="J204">
        <v>3.4641296669999999</v>
      </c>
      <c r="K204">
        <v>3.5322368759999998</v>
      </c>
      <c r="L204">
        <v>3.5601235240000002</v>
      </c>
      <c r="M204">
        <v>3.589421502</v>
      </c>
      <c r="N204">
        <v>3.5737452599999999</v>
      </c>
      <c r="O204">
        <v>3.755817381</v>
      </c>
      <c r="P204">
        <v>4.071975589</v>
      </c>
      <c r="Q204">
        <v>4.4465617079999999</v>
      </c>
      <c r="R204">
        <v>4.714498581</v>
      </c>
      <c r="S204">
        <v>4.9633059749999999</v>
      </c>
      <c r="T204">
        <v>4.7117608869999996</v>
      </c>
      <c r="U204">
        <v>4.4743012679999996</v>
      </c>
      <c r="V204">
        <v>4.2479027120000001</v>
      </c>
      <c r="W204">
        <v>2.9168009850000001</v>
      </c>
      <c r="X204">
        <v>1.559347875</v>
      </c>
      <c r="Y204">
        <v>1.5646144150000001</v>
      </c>
      <c r="Z204">
        <v>1.5638414359999999</v>
      </c>
      <c r="AA204">
        <v>1.5644142940000001</v>
      </c>
      <c r="AB204">
        <v>1.5606853380000001</v>
      </c>
      <c r="AC204">
        <v>1.5590823170000001</v>
      </c>
      <c r="AD204">
        <v>1.546481781</v>
      </c>
      <c r="AE204">
        <v>1.5334262970000001</v>
      </c>
      <c r="AF204">
        <v>1.520279285</v>
      </c>
      <c r="AG204">
        <v>1.507816984</v>
      </c>
      <c r="AH204">
        <v>1.496179114</v>
      </c>
      <c r="AI204">
        <v>1.4848436110000001</v>
      </c>
      <c r="AJ204">
        <v>1.472896376</v>
      </c>
      <c r="AK204">
        <v>1.4602209479999999</v>
      </c>
      <c r="AL204">
        <v>1.448058547</v>
      </c>
      <c r="AM204">
        <v>1.4355052340000001</v>
      </c>
      <c r="AN204">
        <v>1.4239679119999999</v>
      </c>
      <c r="AO204">
        <v>1.412171273</v>
      </c>
      <c r="AP204">
        <v>1.400039882</v>
      </c>
      <c r="AQ204">
        <v>1.3877657299999999</v>
      </c>
      <c r="AR204">
        <v>1.376321039</v>
      </c>
      <c r="AS204">
        <v>1.8722447289999999</v>
      </c>
      <c r="AT204">
        <v>2.3581379550000001</v>
      </c>
      <c r="AU204">
        <v>2.833863756</v>
      </c>
      <c r="AV204">
        <v>3.2994373860000001</v>
      </c>
      <c r="AW204">
        <v>3.75606616</v>
      </c>
    </row>
    <row r="205" spans="2:49" x14ac:dyDescent="0.25">
      <c r="B205" t="s">
        <v>506</v>
      </c>
      <c r="C205">
        <v>5.0750954082325404</v>
      </c>
      <c r="D205">
        <v>5.1565777065978304</v>
      </c>
      <c r="E205">
        <v>4.6069232089999996</v>
      </c>
      <c r="F205">
        <v>4.425128892</v>
      </c>
      <c r="G205">
        <v>4.2194602730000002</v>
      </c>
      <c r="H205">
        <v>3.695611344</v>
      </c>
      <c r="I205">
        <v>3.5842322329999998</v>
      </c>
      <c r="J205">
        <v>3.4989745729999999</v>
      </c>
      <c r="K205">
        <v>3.3628832260000001</v>
      </c>
      <c r="L205">
        <v>3.194861591</v>
      </c>
      <c r="M205">
        <v>3.0363138329999999</v>
      </c>
      <c r="N205">
        <v>2.8496589800000001</v>
      </c>
      <c r="O205">
        <v>2.370049807</v>
      </c>
      <c r="P205">
        <v>1.9859678780000001</v>
      </c>
      <c r="Q205">
        <v>1.8593669239999999</v>
      </c>
      <c r="R205">
        <v>1.8156077779999999</v>
      </c>
      <c r="S205">
        <v>1.7660717239999999</v>
      </c>
      <c r="T205">
        <v>1.757886351</v>
      </c>
      <c r="U205">
        <v>1.7548004690000001</v>
      </c>
      <c r="V205">
        <v>1.756393286</v>
      </c>
      <c r="W205">
        <v>1.86522638</v>
      </c>
      <c r="X205">
        <v>1.98268676</v>
      </c>
      <c r="Y205">
        <v>2.0291419199999998</v>
      </c>
      <c r="Z205">
        <v>2.0686311850000001</v>
      </c>
      <c r="AA205">
        <v>2.1106657740000001</v>
      </c>
      <c r="AB205">
        <v>2.1405091110000001</v>
      </c>
      <c r="AC205">
        <v>2.173721418</v>
      </c>
      <c r="AD205">
        <v>2.1643616539999999</v>
      </c>
      <c r="AE205">
        <v>2.1543239700000001</v>
      </c>
      <c r="AF205">
        <v>2.1441168679999998</v>
      </c>
      <c r="AG205">
        <v>2.1344572739999998</v>
      </c>
      <c r="AH205">
        <v>2.1259267679999998</v>
      </c>
      <c r="AI205">
        <v>2.118403383</v>
      </c>
      <c r="AJ205">
        <v>2.1099549120000001</v>
      </c>
      <c r="AK205">
        <v>2.1004055840000002</v>
      </c>
      <c r="AL205">
        <v>2.0912505010000002</v>
      </c>
      <c r="AM205">
        <v>2.0814660969999998</v>
      </c>
      <c r="AN205">
        <v>2.073615974</v>
      </c>
      <c r="AO205">
        <v>2.0653253440000001</v>
      </c>
      <c r="AP205">
        <v>2.0564794229999999</v>
      </c>
      <c r="AQ205">
        <v>2.0473558930000002</v>
      </c>
      <c r="AR205">
        <v>2.039393381</v>
      </c>
      <c r="AS205">
        <v>2.040350036</v>
      </c>
      <c r="AT205">
        <v>2.0409547739999998</v>
      </c>
      <c r="AU205">
        <v>2.0411777149999999</v>
      </c>
      <c r="AV205">
        <v>2.041096166</v>
      </c>
      <c r="AW205">
        <v>2.0413940039999998</v>
      </c>
    </row>
    <row r="206" spans="2:49" x14ac:dyDescent="0.25">
      <c r="B206" t="s">
        <v>507</v>
      </c>
      <c r="C206">
        <v>0.35516190417563898</v>
      </c>
      <c r="D206">
        <v>0.36086414342755202</v>
      </c>
      <c r="E206">
        <v>0.50773300079999995</v>
      </c>
      <c r="F206">
        <v>0.87309864930000003</v>
      </c>
      <c r="G206">
        <v>1.2166194020000001</v>
      </c>
      <c r="H206">
        <v>1.4134556490000001</v>
      </c>
      <c r="I206">
        <v>1.7146676949999999</v>
      </c>
      <c r="J206">
        <v>1.997193564</v>
      </c>
      <c r="K206">
        <v>2.2118103640000002</v>
      </c>
      <c r="L206">
        <v>2.347515043</v>
      </c>
      <c r="M206">
        <v>2.4172415909999998</v>
      </c>
      <c r="N206">
        <v>2.3758011630000002</v>
      </c>
      <c r="O206">
        <v>2.504187704</v>
      </c>
      <c r="P206">
        <v>2.7231779629999999</v>
      </c>
      <c r="Q206">
        <v>2.9828417159999998</v>
      </c>
      <c r="R206">
        <v>3.1724769259999999</v>
      </c>
      <c r="S206">
        <v>3.3505001210000001</v>
      </c>
      <c r="T206">
        <v>3.4803101839999999</v>
      </c>
      <c r="U206">
        <v>3.6193490449999999</v>
      </c>
      <c r="V206">
        <v>3.7679890060000001</v>
      </c>
      <c r="W206">
        <v>4.3042055870000002</v>
      </c>
      <c r="X206">
        <v>4.8655656110000001</v>
      </c>
      <c r="Y206">
        <v>5.2439063719999996</v>
      </c>
      <c r="Z206">
        <v>5.6097963210000001</v>
      </c>
      <c r="AA206">
        <v>5.9873767559999997</v>
      </c>
      <c r="AB206">
        <v>6.2467580729999996</v>
      </c>
      <c r="AC206">
        <v>6.5182088929999997</v>
      </c>
      <c r="AD206">
        <v>6.8439178399999996</v>
      </c>
      <c r="AE206">
        <v>7.1627664229999999</v>
      </c>
      <c r="AF206">
        <v>7.4764305599999998</v>
      </c>
      <c r="AG206">
        <v>7.7988273619999999</v>
      </c>
      <c r="AH206">
        <v>8.1209286190000007</v>
      </c>
      <c r="AI206">
        <v>8.44753519</v>
      </c>
      <c r="AJ206">
        <v>8.7663437519999903</v>
      </c>
      <c r="AK206">
        <v>9.0763020480000005</v>
      </c>
      <c r="AL206">
        <v>9.3926699649999996</v>
      </c>
      <c r="AM206">
        <v>9.7016789200000009</v>
      </c>
      <c r="AN206">
        <v>10.0135176</v>
      </c>
      <c r="AO206">
        <v>10.31917473</v>
      </c>
      <c r="AP206">
        <v>10.617936739999999</v>
      </c>
      <c r="AQ206">
        <v>10.911104099999999</v>
      </c>
      <c r="AR206">
        <v>11.206539810000001</v>
      </c>
      <c r="AS206">
        <v>11.498356210000001</v>
      </c>
      <c r="AT206">
        <v>11.786114939999999</v>
      </c>
      <c r="AU206">
        <v>12.069539499999999</v>
      </c>
      <c r="AV206">
        <v>12.348986719999999</v>
      </c>
      <c r="AW206">
        <v>12.62860927</v>
      </c>
    </row>
    <row r="207" spans="2:49" x14ac:dyDescent="0.25">
      <c r="B207" t="s">
        <v>508</v>
      </c>
      <c r="C207">
        <v>7.99114284395189E-2</v>
      </c>
      <c r="D207">
        <v>8.1194432271199296E-2</v>
      </c>
      <c r="E207">
        <v>0.50773300079999995</v>
      </c>
      <c r="F207">
        <v>0.54423973160000005</v>
      </c>
      <c r="G207">
        <v>0.58587412750000001</v>
      </c>
      <c r="H207">
        <v>0.58734295079999999</v>
      </c>
      <c r="I207">
        <v>0.66242677299999997</v>
      </c>
      <c r="J207">
        <v>0.76096047720000004</v>
      </c>
      <c r="K207">
        <v>0.87537766500000003</v>
      </c>
      <c r="L207">
        <v>1.0134484020000001</v>
      </c>
      <c r="M207">
        <v>1.1951915660000001</v>
      </c>
      <c r="N207">
        <v>1.4165532240000001</v>
      </c>
      <c r="O207">
        <v>1.458535498</v>
      </c>
      <c r="P207">
        <v>1.5535812739999999</v>
      </c>
      <c r="Q207">
        <v>1.6706314229999999</v>
      </c>
      <c r="R207">
        <v>1.747718756</v>
      </c>
      <c r="S207">
        <v>1.8184942239999999</v>
      </c>
      <c r="T207">
        <v>1.8530304500000001</v>
      </c>
      <c r="U207">
        <v>1.8927048399999999</v>
      </c>
      <c r="V207">
        <v>1.9374301840000001</v>
      </c>
      <c r="W207">
        <v>2.1474842440000002</v>
      </c>
      <c r="X207">
        <v>2.3686088189999999</v>
      </c>
      <c r="Y207">
        <v>2.5443806009999999</v>
      </c>
      <c r="Z207">
        <v>2.7139385690000002</v>
      </c>
      <c r="AA207">
        <v>2.8890093499999998</v>
      </c>
      <c r="AB207">
        <v>3.059193198</v>
      </c>
      <c r="AC207">
        <v>3.235850809</v>
      </c>
      <c r="AD207">
        <v>3.5679937339999999</v>
      </c>
      <c r="AE207">
        <v>3.8938271879999999</v>
      </c>
      <c r="AF207">
        <v>4.2142702749999996</v>
      </c>
      <c r="AG207">
        <v>4.5443816249999998</v>
      </c>
      <c r="AH207">
        <v>4.8720350540000004</v>
      </c>
      <c r="AI207">
        <v>5.2064580310000004</v>
      </c>
      <c r="AJ207">
        <v>5.5341269080000002</v>
      </c>
      <c r="AK207">
        <v>5.854271625</v>
      </c>
      <c r="AL207">
        <v>6.1816956110000003</v>
      </c>
      <c r="AM207">
        <v>6.5023870329999998</v>
      </c>
      <c r="AN207">
        <v>6.8286010389999996</v>
      </c>
      <c r="AO207">
        <v>7.1490560710000004</v>
      </c>
      <c r="AP207">
        <v>7.463218554</v>
      </c>
      <c r="AQ207">
        <v>7.7719670010000002</v>
      </c>
      <c r="AR207">
        <v>8.0809641229999905</v>
      </c>
      <c r="AS207">
        <v>8.2374543780000007</v>
      </c>
      <c r="AT207">
        <v>8.3914653250000004</v>
      </c>
      <c r="AU207">
        <v>8.5428181250000002</v>
      </c>
      <c r="AV207">
        <v>8.6917822709999903</v>
      </c>
      <c r="AW207">
        <v>8.8412774350000003</v>
      </c>
    </row>
    <row r="208" spans="2:49" x14ac:dyDescent="0.25">
      <c r="B208" t="s">
        <v>509</v>
      </c>
      <c r="C208">
        <v>4.4799793836545803</v>
      </c>
      <c r="D208">
        <v>4.5519069017495504</v>
      </c>
      <c r="E208">
        <v>4.0667060099999999</v>
      </c>
      <c r="F208">
        <v>4.0198613200000004</v>
      </c>
      <c r="G208">
        <v>3.944113121</v>
      </c>
      <c r="H208">
        <v>3.5542093769999998</v>
      </c>
      <c r="I208">
        <v>3.5463131379999999</v>
      </c>
      <c r="J208">
        <v>3.4695549749999999</v>
      </c>
      <c r="K208">
        <v>3.341107107</v>
      </c>
      <c r="L208">
        <v>3.1799702700000001</v>
      </c>
      <c r="M208">
        <v>3.0276118489999999</v>
      </c>
      <c r="N208">
        <v>2.846784258</v>
      </c>
      <c r="O208">
        <v>3.0283038279999999</v>
      </c>
      <c r="P208">
        <v>3.319798091</v>
      </c>
      <c r="Q208">
        <v>3.6625178460000001</v>
      </c>
      <c r="R208">
        <v>3.920529792</v>
      </c>
      <c r="S208">
        <v>4.1647670740000002</v>
      </c>
      <c r="T208">
        <v>4.3193874919999997</v>
      </c>
      <c r="U208">
        <v>4.4857171139999998</v>
      </c>
      <c r="V208">
        <v>4.6641647070000003</v>
      </c>
      <c r="W208">
        <v>4.7313713259999997</v>
      </c>
      <c r="X208">
        <v>4.8128173050000003</v>
      </c>
      <c r="Y208">
        <v>4.8570978079999998</v>
      </c>
      <c r="Z208">
        <v>4.8830907699999999</v>
      </c>
      <c r="AA208">
        <v>4.9136712390000001</v>
      </c>
      <c r="AB208">
        <v>4.9368418040000002</v>
      </c>
      <c r="AC208">
        <v>4.9671815290000003</v>
      </c>
      <c r="AD208">
        <v>4.9669258149999997</v>
      </c>
      <c r="AE208">
        <v>4.9654943229999997</v>
      </c>
      <c r="AF208">
        <v>4.964041656</v>
      </c>
      <c r="AG208">
        <v>4.9622193640000001</v>
      </c>
      <c r="AH208">
        <v>4.9633699900000003</v>
      </c>
      <c r="AI208">
        <v>4.9622868809999998</v>
      </c>
      <c r="AJ208">
        <v>4.9593140079999998</v>
      </c>
      <c r="AK208">
        <v>4.9540124529999998</v>
      </c>
      <c r="AL208">
        <v>4.9482237680000001</v>
      </c>
      <c r="AM208">
        <v>4.9411710539999998</v>
      </c>
      <c r="AN208">
        <v>4.9314217520000003</v>
      </c>
      <c r="AO208">
        <v>4.9207692080000003</v>
      </c>
      <c r="AP208">
        <v>4.9089311899999997</v>
      </c>
      <c r="AQ208">
        <v>4.8965618089999996</v>
      </c>
      <c r="AR208">
        <v>4.887102166</v>
      </c>
      <c r="AS208">
        <v>4.8738601849999998</v>
      </c>
      <c r="AT208">
        <v>4.85999289</v>
      </c>
      <c r="AU208">
        <v>4.8454334619999999</v>
      </c>
      <c r="AV208">
        <v>4.8303694899999998</v>
      </c>
      <c r="AW208">
        <v>4.816417317</v>
      </c>
    </row>
    <row r="209" spans="2:49" x14ac:dyDescent="0.25">
      <c r="B209" t="s">
        <v>510</v>
      </c>
      <c r="C209">
        <v>1.4169855567767899</v>
      </c>
      <c r="D209">
        <v>1.4397357182278101</v>
      </c>
      <c r="E209">
        <v>2.7801289140000001</v>
      </c>
      <c r="F209">
        <v>3.0837397769999999</v>
      </c>
      <c r="G209">
        <v>3.4056610520000001</v>
      </c>
      <c r="H209">
        <v>3.4651092370000001</v>
      </c>
      <c r="I209">
        <v>3.9155855079999999</v>
      </c>
      <c r="J209">
        <v>4.164296974</v>
      </c>
      <c r="K209">
        <v>4.36473054</v>
      </c>
      <c r="L209">
        <v>4.5275721659999997</v>
      </c>
      <c r="M209">
        <v>4.7044397570000003</v>
      </c>
      <c r="N209">
        <v>4.8341585440000001</v>
      </c>
      <c r="O209">
        <v>4.4628966029999999</v>
      </c>
      <c r="P209">
        <v>4.2614430280000004</v>
      </c>
      <c r="Q209">
        <v>4.1048439889999999</v>
      </c>
      <c r="R209">
        <v>3.84149428</v>
      </c>
      <c r="S209">
        <v>3.568636154</v>
      </c>
      <c r="T209">
        <v>3.667129879</v>
      </c>
      <c r="U209">
        <v>3.7762973020000001</v>
      </c>
      <c r="V209">
        <v>3.8962154830000002</v>
      </c>
      <c r="W209">
        <v>4.626234298</v>
      </c>
      <c r="X209">
        <v>5.2266352149999999</v>
      </c>
      <c r="Y209">
        <v>5.2026140869999997</v>
      </c>
      <c r="Z209">
        <v>5.1408759670000004</v>
      </c>
      <c r="AA209">
        <v>5.0655438479999999</v>
      </c>
      <c r="AB209">
        <v>5.0127762750000002</v>
      </c>
      <c r="AC209">
        <v>4.9522111310000003</v>
      </c>
      <c r="AD209">
        <v>4.890126811</v>
      </c>
      <c r="AE209">
        <v>4.824538886</v>
      </c>
      <c r="AF209">
        <v>4.7566507820000004</v>
      </c>
      <c r="AG209">
        <v>4.6988798249999997</v>
      </c>
      <c r="AH209">
        <v>4.6418152260000003</v>
      </c>
      <c r="AI209">
        <v>4.6548944099999998</v>
      </c>
      <c r="AJ209">
        <v>4.6455053619999997</v>
      </c>
      <c r="AK209">
        <v>4.6137001450000001</v>
      </c>
      <c r="AL209">
        <v>4.6225950249999999</v>
      </c>
      <c r="AM209">
        <v>4.6142292329999997</v>
      </c>
      <c r="AN209">
        <v>4.5806982600000001</v>
      </c>
      <c r="AO209">
        <v>4.5450892469999999</v>
      </c>
      <c r="AP209">
        <v>4.5071830989999997</v>
      </c>
      <c r="AQ209">
        <v>4.467622403</v>
      </c>
      <c r="AR209">
        <v>4.429561337</v>
      </c>
      <c r="AS209">
        <v>4.4126835509999998</v>
      </c>
      <c r="AT209">
        <v>4.3939308920000002</v>
      </c>
      <c r="AU209">
        <v>4.3732616780000004</v>
      </c>
      <c r="AV209">
        <v>4.3508647829999996</v>
      </c>
      <c r="AW209">
        <v>4.3282124599999996</v>
      </c>
    </row>
    <row r="210" spans="2:49" x14ac:dyDescent="0.25">
      <c r="B210" t="s">
        <v>511</v>
      </c>
      <c r="C210">
        <v>114.221490567207</v>
      </c>
      <c r="D210">
        <v>116.055353544252</v>
      </c>
      <c r="E210">
        <v>103.6846785</v>
      </c>
      <c r="F210">
        <v>108.3169116</v>
      </c>
      <c r="G210">
        <v>112.3272913</v>
      </c>
      <c r="H210">
        <v>106.9950863</v>
      </c>
      <c r="I210">
        <v>112.8531752</v>
      </c>
      <c r="J210">
        <v>114.69853809999999</v>
      </c>
      <c r="K210">
        <v>114.59165539999999</v>
      </c>
      <c r="L210">
        <v>113.0096394</v>
      </c>
      <c r="M210">
        <v>111.3508752</v>
      </c>
      <c r="N210">
        <v>108.22778510000001</v>
      </c>
      <c r="O210">
        <v>101.8092242</v>
      </c>
      <c r="P210">
        <v>99.186197960000001</v>
      </c>
      <c r="Q210">
        <v>97.627478859999997</v>
      </c>
      <c r="R210">
        <v>93.522470620000007</v>
      </c>
      <c r="S210">
        <v>89.113621899999998</v>
      </c>
      <c r="T210">
        <v>87.334644609999998</v>
      </c>
      <c r="U210">
        <v>85.818767469999997</v>
      </c>
      <c r="V210">
        <v>84.533757780000002</v>
      </c>
      <c r="W210">
        <v>92.061602050000005</v>
      </c>
      <c r="X210">
        <v>100.1946906</v>
      </c>
      <c r="Y210">
        <v>101.3992715</v>
      </c>
      <c r="Z210">
        <v>102.2254394</v>
      </c>
      <c r="AA210">
        <v>103.1501899</v>
      </c>
      <c r="AB210">
        <v>103.7292149</v>
      </c>
      <c r="AC210">
        <v>104.4595959</v>
      </c>
      <c r="AD210">
        <v>101.8228857</v>
      </c>
      <c r="AE210">
        <v>99.224579599999998</v>
      </c>
      <c r="AF210">
        <v>96.687159960000002</v>
      </c>
      <c r="AG210">
        <v>94.132614500000003</v>
      </c>
      <c r="AH210">
        <v>91.692989350000005</v>
      </c>
      <c r="AI210">
        <v>89.263940349999999</v>
      </c>
      <c r="AJ210">
        <v>86.849842640000006</v>
      </c>
      <c r="AK210">
        <v>84.444681930000002</v>
      </c>
      <c r="AL210">
        <v>82.028967699999995</v>
      </c>
      <c r="AM210">
        <v>79.641259809999994</v>
      </c>
      <c r="AN210">
        <v>77.283043399999997</v>
      </c>
      <c r="AO210">
        <v>74.953619439999997</v>
      </c>
      <c r="AP210">
        <v>72.649204929999996</v>
      </c>
      <c r="AQ210">
        <v>70.379938780000003</v>
      </c>
      <c r="AR210">
        <v>68.193723219999995</v>
      </c>
      <c r="AS210">
        <v>66.078091069999999</v>
      </c>
      <c r="AT210">
        <v>63.972029820000003</v>
      </c>
      <c r="AU210">
        <v>61.875313439999999</v>
      </c>
      <c r="AV210">
        <v>59.790965079999999</v>
      </c>
      <c r="AW210">
        <v>57.738837770000004</v>
      </c>
    </row>
    <row r="211" spans="2:49" x14ac:dyDescent="0.25">
      <c r="B211" t="s">
        <v>512</v>
      </c>
      <c r="C211">
        <v>1.2736350545564401</v>
      </c>
      <c r="D211">
        <v>1.2940836773262701</v>
      </c>
      <c r="E211">
        <v>1.4657924280000001</v>
      </c>
      <c r="F211">
        <v>1.533963967</v>
      </c>
      <c r="G211">
        <v>1.593579989</v>
      </c>
      <c r="H211">
        <v>1.520656032</v>
      </c>
      <c r="I211">
        <v>1.6068249649999999</v>
      </c>
      <c r="J211">
        <v>1.6001156160000001</v>
      </c>
      <c r="K211">
        <v>1.5666201719999999</v>
      </c>
      <c r="L211">
        <v>1.514404042</v>
      </c>
      <c r="M211">
        <v>1.4630196470000001</v>
      </c>
      <c r="N211">
        <v>1.3946131049999999</v>
      </c>
      <c r="O211">
        <v>1.3338034919999999</v>
      </c>
      <c r="P211">
        <v>1.322624502</v>
      </c>
      <c r="Q211">
        <v>1.326706623</v>
      </c>
      <c r="R211">
        <v>1.296956572</v>
      </c>
      <c r="S211">
        <v>1.263016039</v>
      </c>
      <c r="T211">
        <v>1.3873660249999999</v>
      </c>
      <c r="U211">
        <v>1.5179382189999999</v>
      </c>
      <c r="V211">
        <v>1.6554837710000001</v>
      </c>
      <c r="W211">
        <v>1.6988430210000001</v>
      </c>
      <c r="X211">
        <v>1.7468549289999999</v>
      </c>
      <c r="Y211">
        <v>1.7747963920000001</v>
      </c>
      <c r="Z211">
        <v>1.796317728</v>
      </c>
      <c r="AA211">
        <v>1.819757858</v>
      </c>
      <c r="AB211">
        <v>1.834708075</v>
      </c>
      <c r="AC211">
        <v>1.8524042650000001</v>
      </c>
      <c r="AD211">
        <v>1.853153131</v>
      </c>
      <c r="AE211">
        <v>1.853126311</v>
      </c>
      <c r="AF211">
        <v>1.852762824</v>
      </c>
      <c r="AG211">
        <v>1.852901881</v>
      </c>
      <c r="AH211">
        <v>1.8538400420000001</v>
      </c>
      <c r="AI211">
        <v>1.8402924700000001</v>
      </c>
      <c r="AJ211">
        <v>1.8261697050000001</v>
      </c>
      <c r="AK211">
        <v>1.8113225230000001</v>
      </c>
      <c r="AL211">
        <v>1.79658948</v>
      </c>
      <c r="AM211">
        <v>1.7815411430000001</v>
      </c>
      <c r="AN211">
        <v>1.781812755</v>
      </c>
      <c r="AO211">
        <v>1.781578594</v>
      </c>
      <c r="AP211">
        <v>1.7807377950000001</v>
      </c>
      <c r="AQ211">
        <v>1.7795291230000001</v>
      </c>
      <c r="AR211">
        <v>1.779207794</v>
      </c>
      <c r="AS211">
        <v>1.779995201</v>
      </c>
      <c r="AT211">
        <v>1.7804805159999999</v>
      </c>
      <c r="AU211">
        <v>1.7806376290000001</v>
      </c>
      <c r="AV211">
        <v>1.780533938</v>
      </c>
      <c r="AW211">
        <v>1.780765956</v>
      </c>
    </row>
    <row r="212" spans="2:49" x14ac:dyDescent="0.25">
      <c r="B212" t="s">
        <v>513</v>
      </c>
      <c r="C212">
        <v>3.4574974609126801</v>
      </c>
      <c r="D212">
        <v>3.51300870100687</v>
      </c>
      <c r="E212">
        <v>3.1385469659999998</v>
      </c>
      <c r="F212">
        <v>3.261210368</v>
      </c>
      <c r="G212">
        <v>3.364036896</v>
      </c>
      <c r="H212">
        <v>3.1875571479999998</v>
      </c>
      <c r="I212">
        <v>3.3446730320000002</v>
      </c>
      <c r="J212">
        <v>3.4641296669999999</v>
      </c>
      <c r="K212">
        <v>3.5322368759999998</v>
      </c>
      <c r="L212">
        <v>3.5601235240000002</v>
      </c>
      <c r="M212">
        <v>3.589421502</v>
      </c>
      <c r="N212">
        <v>3.5737452599999999</v>
      </c>
      <c r="O212">
        <v>3.755817381</v>
      </c>
      <c r="P212">
        <v>4.071975589</v>
      </c>
      <c r="Q212">
        <v>4.4465617079999999</v>
      </c>
      <c r="R212">
        <v>4.714498581</v>
      </c>
      <c r="S212">
        <v>4.9633059749999999</v>
      </c>
      <c r="T212">
        <v>4.7117608869999996</v>
      </c>
      <c r="U212">
        <v>4.4743012679999996</v>
      </c>
      <c r="V212">
        <v>4.2479027120000001</v>
      </c>
      <c r="W212">
        <v>2.9168009850000001</v>
      </c>
      <c r="X212">
        <v>1.559347875</v>
      </c>
      <c r="Y212">
        <v>1.5646144150000001</v>
      </c>
      <c r="Z212">
        <v>1.5638414359999999</v>
      </c>
      <c r="AA212">
        <v>1.5644142940000001</v>
      </c>
      <c r="AB212">
        <v>1.5606853380000001</v>
      </c>
      <c r="AC212">
        <v>1.5590823170000001</v>
      </c>
      <c r="AD212">
        <v>1.546481781</v>
      </c>
      <c r="AE212">
        <v>1.5334262970000001</v>
      </c>
      <c r="AF212">
        <v>1.520279285</v>
      </c>
      <c r="AG212">
        <v>1.507816984</v>
      </c>
      <c r="AH212">
        <v>1.496179114</v>
      </c>
      <c r="AI212">
        <v>1.4848436110000001</v>
      </c>
      <c r="AJ212">
        <v>1.472896376</v>
      </c>
      <c r="AK212">
        <v>1.4602209479999999</v>
      </c>
      <c r="AL212">
        <v>1.448058547</v>
      </c>
      <c r="AM212">
        <v>1.4355052340000001</v>
      </c>
      <c r="AN212">
        <v>1.4239679119999999</v>
      </c>
      <c r="AO212">
        <v>1.412171273</v>
      </c>
      <c r="AP212">
        <v>1.400039882</v>
      </c>
      <c r="AQ212">
        <v>1.3877657299999999</v>
      </c>
      <c r="AR212">
        <v>1.376321039</v>
      </c>
      <c r="AS212">
        <v>1.8722447289999999</v>
      </c>
      <c r="AT212">
        <v>2.3581379550000001</v>
      </c>
      <c r="AU212">
        <v>2.833863756</v>
      </c>
      <c r="AV212">
        <v>3.2994373860000001</v>
      </c>
      <c r="AW212">
        <v>3.75606616</v>
      </c>
    </row>
    <row r="213" spans="2:49" x14ac:dyDescent="0.25">
      <c r="B213" t="s">
        <v>514</v>
      </c>
      <c r="C213">
        <v>5.0750954082325404</v>
      </c>
      <c r="D213">
        <v>5.1565777065978304</v>
      </c>
      <c r="E213">
        <v>4.6069232089999996</v>
      </c>
      <c r="F213">
        <v>4.425128892</v>
      </c>
      <c r="G213">
        <v>4.2194602730000002</v>
      </c>
      <c r="H213">
        <v>3.695611344</v>
      </c>
      <c r="I213">
        <v>3.5842322329999998</v>
      </c>
      <c r="J213">
        <v>3.4989745729999999</v>
      </c>
      <c r="K213">
        <v>3.3628832260000001</v>
      </c>
      <c r="L213">
        <v>3.194861591</v>
      </c>
      <c r="M213">
        <v>3.0363138329999999</v>
      </c>
      <c r="N213">
        <v>2.8496589800000001</v>
      </c>
      <c r="O213">
        <v>2.370049807</v>
      </c>
      <c r="P213">
        <v>1.9859678780000001</v>
      </c>
      <c r="Q213">
        <v>1.8593669239999999</v>
      </c>
      <c r="R213">
        <v>1.8156077779999999</v>
      </c>
      <c r="S213">
        <v>1.7660717239999999</v>
      </c>
      <c r="T213">
        <v>1.757886351</v>
      </c>
      <c r="U213">
        <v>1.7548004690000001</v>
      </c>
      <c r="V213">
        <v>1.756393286</v>
      </c>
      <c r="W213">
        <v>1.86522638</v>
      </c>
      <c r="X213">
        <v>1.98268676</v>
      </c>
      <c r="Y213">
        <v>2.0291419199999998</v>
      </c>
      <c r="Z213">
        <v>2.0686311850000001</v>
      </c>
      <c r="AA213">
        <v>2.1106657740000001</v>
      </c>
      <c r="AB213">
        <v>2.1405091110000001</v>
      </c>
      <c r="AC213">
        <v>2.173721418</v>
      </c>
      <c r="AD213">
        <v>2.1643616539999999</v>
      </c>
      <c r="AE213">
        <v>2.1543239700000001</v>
      </c>
      <c r="AF213">
        <v>2.1441168679999998</v>
      </c>
      <c r="AG213">
        <v>2.1344572739999998</v>
      </c>
      <c r="AH213">
        <v>2.1259267679999998</v>
      </c>
      <c r="AI213">
        <v>2.118403383</v>
      </c>
      <c r="AJ213">
        <v>2.1099549120000001</v>
      </c>
      <c r="AK213">
        <v>2.1004055840000002</v>
      </c>
      <c r="AL213">
        <v>2.0912505010000002</v>
      </c>
      <c r="AM213">
        <v>2.0814660969999998</v>
      </c>
      <c r="AN213">
        <v>2.073615974</v>
      </c>
      <c r="AO213">
        <v>2.0653253440000001</v>
      </c>
      <c r="AP213">
        <v>2.0564794229999999</v>
      </c>
      <c r="AQ213">
        <v>2.0473558930000002</v>
      </c>
      <c r="AR213">
        <v>2.039393381</v>
      </c>
      <c r="AS213">
        <v>2.040350036</v>
      </c>
      <c r="AT213">
        <v>2.0409547739999998</v>
      </c>
      <c r="AU213">
        <v>2.0411777149999999</v>
      </c>
      <c r="AV213">
        <v>2.041096166</v>
      </c>
      <c r="AW213">
        <v>2.0413940039999998</v>
      </c>
    </row>
    <row r="214" spans="2:49" x14ac:dyDescent="0.25">
      <c r="B214" t="s">
        <v>515</v>
      </c>
      <c r="C214">
        <v>0.35516190417563898</v>
      </c>
      <c r="D214">
        <v>0.36086414342755202</v>
      </c>
      <c r="E214">
        <v>0.50773300079999995</v>
      </c>
      <c r="F214">
        <v>0.87309864930000003</v>
      </c>
      <c r="G214">
        <v>1.2166194020000001</v>
      </c>
      <c r="H214">
        <v>1.4134556490000001</v>
      </c>
      <c r="I214">
        <v>1.7146676949999999</v>
      </c>
      <c r="J214">
        <v>1.997193564</v>
      </c>
      <c r="K214">
        <v>2.2118103640000002</v>
      </c>
      <c r="L214">
        <v>2.347515043</v>
      </c>
      <c r="M214">
        <v>2.4172415909999998</v>
      </c>
      <c r="N214">
        <v>2.3758011630000002</v>
      </c>
      <c r="O214">
        <v>2.504187704</v>
      </c>
      <c r="P214">
        <v>2.7231779629999999</v>
      </c>
      <c r="Q214">
        <v>2.9828417159999998</v>
      </c>
      <c r="R214">
        <v>3.1724769259999999</v>
      </c>
      <c r="S214">
        <v>3.3505001210000001</v>
      </c>
      <c r="T214">
        <v>3.4803101839999999</v>
      </c>
      <c r="U214">
        <v>3.6193490449999999</v>
      </c>
      <c r="V214">
        <v>3.7679890060000001</v>
      </c>
      <c r="W214">
        <v>4.3042055870000002</v>
      </c>
      <c r="X214">
        <v>4.8655656110000001</v>
      </c>
      <c r="Y214">
        <v>5.2439063719999996</v>
      </c>
      <c r="Z214">
        <v>5.6097963210000001</v>
      </c>
      <c r="AA214">
        <v>5.9873767559999997</v>
      </c>
      <c r="AB214">
        <v>6.2467580729999996</v>
      </c>
      <c r="AC214">
        <v>6.5182088929999997</v>
      </c>
      <c r="AD214">
        <v>6.8439178399999996</v>
      </c>
      <c r="AE214">
        <v>7.1627664229999999</v>
      </c>
      <c r="AF214">
        <v>7.4764305599999998</v>
      </c>
      <c r="AG214">
        <v>7.7988273619999999</v>
      </c>
      <c r="AH214">
        <v>8.1209286190000007</v>
      </c>
      <c r="AI214">
        <v>8.44753519</v>
      </c>
      <c r="AJ214">
        <v>8.7663437519999903</v>
      </c>
      <c r="AK214">
        <v>9.0763020480000005</v>
      </c>
      <c r="AL214">
        <v>9.3926699649999996</v>
      </c>
      <c r="AM214">
        <v>9.7016789200000009</v>
      </c>
      <c r="AN214">
        <v>10.0135176</v>
      </c>
      <c r="AO214">
        <v>10.31917473</v>
      </c>
      <c r="AP214">
        <v>10.617936739999999</v>
      </c>
      <c r="AQ214">
        <v>10.911104099999999</v>
      </c>
      <c r="AR214">
        <v>11.206539810000001</v>
      </c>
      <c r="AS214">
        <v>11.498356210000001</v>
      </c>
      <c r="AT214">
        <v>11.786114939999999</v>
      </c>
      <c r="AU214">
        <v>12.069539499999999</v>
      </c>
      <c r="AV214">
        <v>12.348986719999999</v>
      </c>
      <c r="AW214">
        <v>12.62860927</v>
      </c>
    </row>
    <row r="215" spans="2:49" x14ac:dyDescent="0.25">
      <c r="B215" t="s">
        <v>516</v>
      </c>
      <c r="C215">
        <v>7.99114284395189E-2</v>
      </c>
      <c r="D215">
        <v>8.1194432271199296E-2</v>
      </c>
      <c r="E215">
        <v>0.50773300079999995</v>
      </c>
      <c r="F215">
        <v>0.54423973160000005</v>
      </c>
      <c r="G215">
        <v>0.58587412750000001</v>
      </c>
      <c r="H215">
        <v>0.58734295079999999</v>
      </c>
      <c r="I215">
        <v>0.66242677299999997</v>
      </c>
      <c r="J215">
        <v>0.76096047720000004</v>
      </c>
      <c r="K215">
        <v>0.87537766500000003</v>
      </c>
      <c r="L215">
        <v>1.0134484020000001</v>
      </c>
      <c r="M215">
        <v>1.1951915660000001</v>
      </c>
      <c r="N215">
        <v>1.4165532240000001</v>
      </c>
      <c r="O215">
        <v>1.458535498</v>
      </c>
      <c r="P215">
        <v>1.5535812739999999</v>
      </c>
      <c r="Q215">
        <v>1.6706314229999999</v>
      </c>
      <c r="R215">
        <v>1.747718756</v>
      </c>
      <c r="S215">
        <v>1.8184942239999999</v>
      </c>
      <c r="T215">
        <v>1.8530304500000001</v>
      </c>
      <c r="U215">
        <v>1.8927048399999999</v>
      </c>
      <c r="V215">
        <v>1.9374301840000001</v>
      </c>
      <c r="W215">
        <v>2.1474842440000002</v>
      </c>
      <c r="X215">
        <v>2.3686088189999999</v>
      </c>
      <c r="Y215">
        <v>2.5443806009999999</v>
      </c>
      <c r="Z215">
        <v>2.7139385690000002</v>
      </c>
      <c r="AA215">
        <v>2.8890093499999998</v>
      </c>
      <c r="AB215">
        <v>3.059193198</v>
      </c>
      <c r="AC215">
        <v>3.235850809</v>
      </c>
      <c r="AD215">
        <v>3.5679937339999999</v>
      </c>
      <c r="AE215">
        <v>3.8938271879999999</v>
      </c>
      <c r="AF215">
        <v>4.2142702749999996</v>
      </c>
      <c r="AG215">
        <v>4.5443816249999998</v>
      </c>
      <c r="AH215">
        <v>4.8720350540000004</v>
      </c>
      <c r="AI215">
        <v>5.2064580310000004</v>
      </c>
      <c r="AJ215">
        <v>5.5341269080000002</v>
      </c>
      <c r="AK215">
        <v>5.854271625</v>
      </c>
      <c r="AL215">
        <v>6.1816956110000003</v>
      </c>
      <c r="AM215">
        <v>6.5023870329999998</v>
      </c>
      <c r="AN215">
        <v>6.8286010389999996</v>
      </c>
      <c r="AO215">
        <v>7.1490560710000004</v>
      </c>
      <c r="AP215">
        <v>7.463218554</v>
      </c>
      <c r="AQ215">
        <v>7.7719670010000002</v>
      </c>
      <c r="AR215">
        <v>8.0809641229999905</v>
      </c>
      <c r="AS215">
        <v>8.2374543780000007</v>
      </c>
      <c r="AT215">
        <v>8.3914653250000004</v>
      </c>
      <c r="AU215">
        <v>8.5428181250000002</v>
      </c>
      <c r="AV215">
        <v>8.6917822709999903</v>
      </c>
      <c r="AW215">
        <v>8.8412774350000003</v>
      </c>
    </row>
    <row r="216" spans="2:49" x14ac:dyDescent="0.25">
      <c r="B216" t="s">
        <v>517</v>
      </c>
      <c r="C216">
        <v>4.4799793836545803</v>
      </c>
      <c r="D216">
        <v>4.5519069017495504</v>
      </c>
      <c r="E216">
        <v>4.0667060099999999</v>
      </c>
      <c r="F216">
        <v>4.0198613200000004</v>
      </c>
      <c r="G216">
        <v>3.944113121</v>
      </c>
      <c r="H216">
        <v>3.5542093769999998</v>
      </c>
      <c r="I216">
        <v>3.5463131379999999</v>
      </c>
      <c r="J216">
        <v>3.4695549749999999</v>
      </c>
      <c r="K216">
        <v>3.341107107</v>
      </c>
      <c r="L216">
        <v>3.1799702700000001</v>
      </c>
      <c r="M216">
        <v>3.0276118489999999</v>
      </c>
      <c r="N216">
        <v>2.846784258</v>
      </c>
      <c r="O216">
        <v>3.0283038279999999</v>
      </c>
      <c r="P216">
        <v>3.319798091</v>
      </c>
      <c r="Q216">
        <v>3.6625178460000001</v>
      </c>
      <c r="R216">
        <v>3.920529792</v>
      </c>
      <c r="S216">
        <v>4.1647670740000002</v>
      </c>
      <c r="T216">
        <v>4.3193874919999997</v>
      </c>
      <c r="U216">
        <v>4.4857171139999998</v>
      </c>
      <c r="V216">
        <v>4.6641647070000003</v>
      </c>
      <c r="W216">
        <v>4.7313713259999997</v>
      </c>
      <c r="X216">
        <v>4.8128173050000003</v>
      </c>
      <c r="Y216">
        <v>4.8570978079999998</v>
      </c>
      <c r="Z216">
        <v>4.8830907699999999</v>
      </c>
      <c r="AA216">
        <v>4.9136712390000001</v>
      </c>
      <c r="AB216">
        <v>4.9368418040000002</v>
      </c>
      <c r="AC216">
        <v>4.9671815290000003</v>
      </c>
      <c r="AD216">
        <v>4.9669258149999997</v>
      </c>
      <c r="AE216">
        <v>4.9654943229999997</v>
      </c>
      <c r="AF216">
        <v>4.964041656</v>
      </c>
      <c r="AG216">
        <v>4.9622193640000001</v>
      </c>
      <c r="AH216">
        <v>4.9633699900000003</v>
      </c>
      <c r="AI216">
        <v>4.9622868809999998</v>
      </c>
      <c r="AJ216">
        <v>4.9593140079999998</v>
      </c>
      <c r="AK216">
        <v>4.9540124529999998</v>
      </c>
      <c r="AL216">
        <v>4.9482237680000001</v>
      </c>
      <c r="AM216">
        <v>4.9411710539999998</v>
      </c>
      <c r="AN216">
        <v>4.9314217520000003</v>
      </c>
      <c r="AO216">
        <v>4.9207692080000003</v>
      </c>
      <c r="AP216">
        <v>4.9089311899999997</v>
      </c>
      <c r="AQ216">
        <v>4.8965618089999996</v>
      </c>
      <c r="AR216">
        <v>4.887102166</v>
      </c>
      <c r="AS216">
        <v>4.8738601849999998</v>
      </c>
      <c r="AT216">
        <v>4.85999289</v>
      </c>
      <c r="AU216">
        <v>4.8454334619999999</v>
      </c>
      <c r="AV216">
        <v>4.8303694899999998</v>
      </c>
      <c r="AW216">
        <v>4.816417317</v>
      </c>
    </row>
    <row r="217" spans="2:49" x14ac:dyDescent="0.25">
      <c r="B217" t="s">
        <v>518</v>
      </c>
      <c r="C217">
        <v>1.4169855567767899</v>
      </c>
      <c r="D217">
        <v>1.4397357182278101</v>
      </c>
      <c r="E217">
        <v>2.7801289140000001</v>
      </c>
      <c r="F217">
        <v>3.0837397769999999</v>
      </c>
      <c r="G217">
        <v>3.4056610520000001</v>
      </c>
      <c r="H217">
        <v>3.4651092370000001</v>
      </c>
      <c r="I217">
        <v>3.9155855079999999</v>
      </c>
      <c r="J217">
        <v>4.164296974</v>
      </c>
      <c r="K217">
        <v>4.36473054</v>
      </c>
      <c r="L217">
        <v>4.5275721659999997</v>
      </c>
      <c r="M217">
        <v>4.7044397570000003</v>
      </c>
      <c r="N217">
        <v>4.8341585440000001</v>
      </c>
      <c r="O217">
        <v>4.4628966029999999</v>
      </c>
      <c r="P217">
        <v>4.2614430280000004</v>
      </c>
      <c r="Q217">
        <v>4.1048439889999999</v>
      </c>
      <c r="R217">
        <v>3.84149428</v>
      </c>
      <c r="S217">
        <v>3.568636154</v>
      </c>
      <c r="T217">
        <v>3.667129879</v>
      </c>
      <c r="U217">
        <v>3.7762973020000001</v>
      </c>
      <c r="V217">
        <v>3.8962154830000002</v>
      </c>
      <c r="W217">
        <v>4.626234298</v>
      </c>
      <c r="X217">
        <v>5.2266352149999999</v>
      </c>
      <c r="Y217">
        <v>5.2026140869999997</v>
      </c>
      <c r="Z217">
        <v>5.1408759670000004</v>
      </c>
      <c r="AA217">
        <v>5.0655438479999999</v>
      </c>
      <c r="AB217">
        <v>5.0127762750000002</v>
      </c>
      <c r="AC217">
        <v>4.9522111310000003</v>
      </c>
      <c r="AD217">
        <v>4.890126811</v>
      </c>
      <c r="AE217">
        <v>4.824538886</v>
      </c>
      <c r="AF217">
        <v>4.7566507820000004</v>
      </c>
      <c r="AG217">
        <v>4.6988798249999997</v>
      </c>
      <c r="AH217">
        <v>4.6418152260000003</v>
      </c>
      <c r="AI217">
        <v>4.6548944099999998</v>
      </c>
      <c r="AJ217">
        <v>4.6455053619999997</v>
      </c>
      <c r="AK217">
        <v>4.6137001450000001</v>
      </c>
      <c r="AL217">
        <v>4.6225950249999999</v>
      </c>
      <c r="AM217">
        <v>4.6142292329999997</v>
      </c>
      <c r="AN217">
        <v>4.5806982600000001</v>
      </c>
      <c r="AO217">
        <v>4.5450892469999999</v>
      </c>
      <c r="AP217">
        <v>4.5071830989999997</v>
      </c>
      <c r="AQ217">
        <v>4.467622403</v>
      </c>
      <c r="AR217">
        <v>4.429561337</v>
      </c>
      <c r="AS217">
        <v>4.4126835509999998</v>
      </c>
      <c r="AT217">
        <v>4.3939308920000002</v>
      </c>
      <c r="AU217">
        <v>4.3732616780000004</v>
      </c>
      <c r="AV217">
        <v>4.3508647829999996</v>
      </c>
      <c r="AW217">
        <v>4.3282124599999996</v>
      </c>
    </row>
    <row r="218" spans="2:49" x14ac:dyDescent="0.25">
      <c r="B218" t="s">
        <v>519</v>
      </c>
      <c r="C218">
        <v>34.067295461021303</v>
      </c>
      <c r="D218">
        <v>34.614256909026899</v>
      </c>
      <c r="E218">
        <v>30.46956342</v>
      </c>
      <c r="F218">
        <v>30.307495710000001</v>
      </c>
      <c r="G218">
        <v>29.110643580000001</v>
      </c>
      <c r="H218">
        <v>27.524358329999998</v>
      </c>
      <c r="I218">
        <v>27.736401570000002</v>
      </c>
      <c r="J218">
        <v>27.316063799999998</v>
      </c>
      <c r="K218">
        <v>25.970707019999999</v>
      </c>
      <c r="L218">
        <v>25.107126860000001</v>
      </c>
      <c r="M218">
        <v>24.846823690000001</v>
      </c>
      <c r="N218">
        <v>24.9284663</v>
      </c>
      <c r="O218">
        <v>25.337583129999999</v>
      </c>
      <c r="P218">
        <v>25.340965870000002</v>
      </c>
      <c r="Q218">
        <v>24.30798107</v>
      </c>
      <c r="R218">
        <v>23.620836189999999</v>
      </c>
      <c r="S218">
        <v>23.099439400000001</v>
      </c>
      <c r="T218">
        <v>21.980005309999999</v>
      </c>
      <c r="U218">
        <v>21.012042000000001</v>
      </c>
      <c r="V218">
        <v>20.089810419999999</v>
      </c>
      <c r="W218">
        <v>21.142634090000001</v>
      </c>
      <c r="X218">
        <v>22.2557993</v>
      </c>
      <c r="Y218">
        <v>22.20401601</v>
      </c>
      <c r="Z218">
        <v>22.21425657</v>
      </c>
      <c r="AA218">
        <v>22.116913239999999</v>
      </c>
      <c r="AB218">
        <v>22.014901760000001</v>
      </c>
      <c r="AC218">
        <v>21.909135719999998</v>
      </c>
      <c r="AD218">
        <v>21.85634911</v>
      </c>
      <c r="AE218">
        <v>21.780724360000001</v>
      </c>
      <c r="AF218">
        <v>21.70964318</v>
      </c>
      <c r="AG218">
        <v>21.613873689999998</v>
      </c>
      <c r="AH218">
        <v>21.511518880000001</v>
      </c>
      <c r="AI218">
        <v>21.483490410000002</v>
      </c>
      <c r="AJ218">
        <v>21.45616575</v>
      </c>
      <c r="AK218">
        <v>21.424575189999999</v>
      </c>
      <c r="AL218">
        <v>21.39133172</v>
      </c>
      <c r="AM218">
        <v>21.35853487</v>
      </c>
      <c r="AN218">
        <v>21.204741760000001</v>
      </c>
      <c r="AO218">
        <v>21.056496689999999</v>
      </c>
      <c r="AP218">
        <v>20.902398519999998</v>
      </c>
      <c r="AQ218">
        <v>20.7459606</v>
      </c>
      <c r="AR218">
        <v>20.57933727</v>
      </c>
      <c r="AS218">
        <v>20.419937449999999</v>
      </c>
      <c r="AT218">
        <v>20.255245689999999</v>
      </c>
      <c r="AU218">
        <v>20.083469130000001</v>
      </c>
      <c r="AV218">
        <v>19.905598860000001</v>
      </c>
      <c r="AW218">
        <v>19.728258050000001</v>
      </c>
    </row>
    <row r="219" spans="2:49" x14ac:dyDescent="0.25">
      <c r="B219" t="s">
        <v>520</v>
      </c>
      <c r="C219">
        <v>1.54983431156195</v>
      </c>
      <c r="D219">
        <v>1.57471740274219</v>
      </c>
      <c r="E219">
        <v>1.3861615430000001</v>
      </c>
      <c r="F219">
        <v>2.2617004870000001</v>
      </c>
      <c r="G219">
        <v>3.0163195630000001</v>
      </c>
      <c r="H219">
        <v>3.6369205280000001</v>
      </c>
      <c r="I219">
        <v>4.4305511790000001</v>
      </c>
      <c r="J219">
        <v>5.0690048010000002</v>
      </c>
      <c r="K219">
        <v>5.4283099269999999</v>
      </c>
      <c r="L219">
        <v>5.7505028190000003</v>
      </c>
      <c r="M219">
        <v>6.0690241140000003</v>
      </c>
      <c r="N219">
        <v>6.3033491110000002</v>
      </c>
      <c r="O219">
        <v>6.5239854270000004</v>
      </c>
      <c r="P219">
        <v>6.6433246849999996</v>
      </c>
      <c r="Q219">
        <v>6.4873877999999996</v>
      </c>
      <c r="R219">
        <v>6.4168307970000003</v>
      </c>
      <c r="S219">
        <v>6.3867263379999999</v>
      </c>
      <c r="T219">
        <v>6.5048344880000002</v>
      </c>
      <c r="U219">
        <v>6.6743695110000001</v>
      </c>
      <c r="V219">
        <v>6.8708254709999999</v>
      </c>
      <c r="W219">
        <v>6.9352449920000003</v>
      </c>
      <c r="X219">
        <v>7.0328979330000001</v>
      </c>
      <c r="Y219">
        <v>7.1775096569999999</v>
      </c>
      <c r="Z219">
        <v>7.3455198299999998</v>
      </c>
      <c r="AA219">
        <v>7.4810685699999997</v>
      </c>
      <c r="AB219">
        <v>7.6199170079999998</v>
      </c>
      <c r="AC219">
        <v>7.7598935549999997</v>
      </c>
      <c r="AD219">
        <v>7.9158125070000001</v>
      </c>
      <c r="AE219">
        <v>8.0646970210000006</v>
      </c>
      <c r="AF219">
        <v>8.2163760949999904</v>
      </c>
      <c r="AG219">
        <v>8.3617287959999995</v>
      </c>
      <c r="AH219">
        <v>8.5053092229999905</v>
      </c>
      <c r="AI219">
        <v>8.5528019480000008</v>
      </c>
      <c r="AJ219">
        <v>8.6007117480000002</v>
      </c>
      <c r="AK219">
        <v>8.6470395710000005</v>
      </c>
      <c r="AL219">
        <v>8.6931252190000006</v>
      </c>
      <c r="AM219">
        <v>8.7395220810000005</v>
      </c>
      <c r="AN219">
        <v>8.7676894480000005</v>
      </c>
      <c r="AO219">
        <v>8.7978541069999903</v>
      </c>
      <c r="AP219">
        <v>8.8252700100000006</v>
      </c>
      <c r="AQ219">
        <v>8.8513534099999998</v>
      </c>
      <c r="AR219">
        <v>8.8726844370000002</v>
      </c>
      <c r="AS219">
        <v>8.8616414129999903</v>
      </c>
      <c r="AT219">
        <v>8.8483366080000003</v>
      </c>
      <c r="AU219">
        <v>8.8319364870000001</v>
      </c>
      <c r="AV219">
        <v>8.8128172560000007</v>
      </c>
      <c r="AW219">
        <v>8.7938754499999998</v>
      </c>
    </row>
    <row r="220" spans="2:49" x14ac:dyDescent="0.25">
      <c r="B220" t="s">
        <v>521</v>
      </c>
      <c r="C220">
        <v>0.19372928894524399</v>
      </c>
      <c r="D220">
        <v>0.196839675342774</v>
      </c>
      <c r="E220">
        <v>0.41865197459999998</v>
      </c>
      <c r="F220">
        <v>0.42930666499999998</v>
      </c>
      <c r="G220">
        <v>0.42510875739999998</v>
      </c>
      <c r="H220">
        <v>0.41437745040000001</v>
      </c>
      <c r="I220">
        <v>0.43048665539999997</v>
      </c>
      <c r="J220">
        <v>0.436460081</v>
      </c>
      <c r="K220">
        <v>0.4271664215</v>
      </c>
      <c r="L220">
        <v>0.42507538150000002</v>
      </c>
      <c r="M220">
        <v>0.43297480510000003</v>
      </c>
      <c r="N220">
        <v>0.44707026979999998</v>
      </c>
      <c r="O220">
        <v>0.51219056269999996</v>
      </c>
      <c r="P220">
        <v>0.57071775729999996</v>
      </c>
      <c r="Q220">
        <v>0.6041784228</v>
      </c>
      <c r="R220">
        <v>0.64286020470000005</v>
      </c>
      <c r="S220">
        <v>0.68383354669999996</v>
      </c>
      <c r="T220">
        <v>0.87639249829999999</v>
      </c>
      <c r="U220">
        <v>1.0786445</v>
      </c>
      <c r="V220">
        <v>1.2899633340000001</v>
      </c>
      <c r="W220">
        <v>1.0278831799999999</v>
      </c>
      <c r="X220">
        <v>0.78365274240000005</v>
      </c>
      <c r="Y220">
        <v>0.78966000349999999</v>
      </c>
      <c r="Z220">
        <v>0.798035245</v>
      </c>
      <c r="AA220">
        <v>0.80269626459999999</v>
      </c>
      <c r="AB220">
        <v>0.80738928430000001</v>
      </c>
      <c r="AC220">
        <v>0.81206157990000005</v>
      </c>
      <c r="AD220">
        <v>0.83573154329999999</v>
      </c>
      <c r="AE220">
        <v>0.85870996020000001</v>
      </c>
      <c r="AF220">
        <v>0.88203093109999997</v>
      </c>
      <c r="AG220">
        <v>0.90482452059999996</v>
      </c>
      <c r="AH220">
        <v>0.92745654820000001</v>
      </c>
      <c r="AI220">
        <v>0.95295386059999998</v>
      </c>
      <c r="AJ220">
        <v>0.97854659440000002</v>
      </c>
      <c r="AK220">
        <v>1.0040049390000001</v>
      </c>
      <c r="AL220">
        <v>1.0299417930000001</v>
      </c>
      <c r="AM220">
        <v>1.0559620009999999</v>
      </c>
      <c r="AN220">
        <v>1.0751933849999999</v>
      </c>
      <c r="AO220">
        <v>1.094619708</v>
      </c>
      <c r="AP220">
        <v>1.113653456</v>
      </c>
      <c r="AQ220">
        <v>1.132462037</v>
      </c>
      <c r="AR220">
        <v>1.1505958169999999</v>
      </c>
      <c r="AS220">
        <v>1.165459496</v>
      </c>
      <c r="AT220">
        <v>1.1800356569999999</v>
      </c>
      <c r="AU220">
        <v>1.194199102</v>
      </c>
      <c r="AV220">
        <v>1.20798418</v>
      </c>
      <c r="AW220">
        <v>1.221778088</v>
      </c>
    </row>
    <row r="221" spans="2:49" x14ac:dyDescent="0.25">
      <c r="B221" t="s">
        <v>522</v>
      </c>
      <c r="C221">
        <v>0.71679836909740502</v>
      </c>
      <c r="D221">
        <v>0.72830679876826598</v>
      </c>
      <c r="E221">
        <v>0.64109971359999995</v>
      </c>
      <c r="F221">
        <v>0.63718089349999996</v>
      </c>
      <c r="G221">
        <v>0.61153010249999995</v>
      </c>
      <c r="H221">
        <v>0.57774550719999995</v>
      </c>
      <c r="I221">
        <v>0.58173183510000004</v>
      </c>
      <c r="J221">
        <v>0.57912050770000001</v>
      </c>
      <c r="K221">
        <v>0.5568930044</v>
      </c>
      <c r="L221">
        <v>0.5535658</v>
      </c>
      <c r="M221">
        <v>0.57240462820000004</v>
      </c>
      <c r="N221">
        <v>0.60044616179999999</v>
      </c>
      <c r="O221">
        <v>0.82804307610000005</v>
      </c>
      <c r="P221">
        <v>1.0328376889999999</v>
      </c>
      <c r="Q221">
        <v>1.174290882</v>
      </c>
      <c r="R221">
        <v>1.306809651</v>
      </c>
      <c r="S221">
        <v>1.427418893</v>
      </c>
      <c r="T221">
        <v>1.4620717249999999</v>
      </c>
      <c r="U221">
        <v>1.50775156</v>
      </c>
      <c r="V221">
        <v>1.559043081</v>
      </c>
      <c r="W221">
        <v>1.235157622</v>
      </c>
      <c r="X221">
        <v>0.92845985109999996</v>
      </c>
      <c r="Y221">
        <v>0.93403135189999997</v>
      </c>
      <c r="Z221">
        <v>0.9423726093</v>
      </c>
      <c r="AA221">
        <v>0.94629927150000004</v>
      </c>
      <c r="AB221">
        <v>0.94998622290000001</v>
      </c>
      <c r="AC221">
        <v>0.95362575650000003</v>
      </c>
      <c r="AD221">
        <v>0.95374236000000001</v>
      </c>
      <c r="AE221">
        <v>0.95288402110000003</v>
      </c>
      <c r="AF221">
        <v>0.95224441940000004</v>
      </c>
      <c r="AG221">
        <v>0.95063235400000001</v>
      </c>
      <c r="AH221">
        <v>0.94874622090000005</v>
      </c>
      <c r="AI221">
        <v>0.94789819659999996</v>
      </c>
      <c r="AJ221">
        <v>0.94708356469999999</v>
      </c>
      <c r="AK221">
        <v>0.94608291899999997</v>
      </c>
      <c r="AL221">
        <v>0.94508966670000005</v>
      </c>
      <c r="AM221">
        <v>0.94411869550000005</v>
      </c>
      <c r="AN221">
        <v>0.94089322600000003</v>
      </c>
      <c r="AO221">
        <v>0.93790325799999996</v>
      </c>
      <c r="AP221">
        <v>0.93464164520000004</v>
      </c>
      <c r="AQ221">
        <v>0.93126284589999997</v>
      </c>
      <c r="AR221">
        <v>0.92741182659999999</v>
      </c>
      <c r="AS221">
        <v>0.92666561629999999</v>
      </c>
      <c r="AT221">
        <v>0.9256838315</v>
      </c>
      <c r="AU221">
        <v>0.9243789187</v>
      </c>
      <c r="AV221">
        <v>0.9227898376</v>
      </c>
      <c r="AW221">
        <v>0.92121963579999999</v>
      </c>
    </row>
    <row r="222" spans="2:49" x14ac:dyDescent="0.25">
      <c r="B222" t="s">
        <v>523</v>
      </c>
      <c r="C222">
        <v>0.19372928894524399</v>
      </c>
      <c r="D222">
        <v>0.196839675342774</v>
      </c>
      <c r="E222">
        <v>0.41865197459999998</v>
      </c>
      <c r="F222">
        <v>0.42930666499999998</v>
      </c>
      <c r="G222">
        <v>0.42510875739999998</v>
      </c>
      <c r="H222">
        <v>0.41437745040000001</v>
      </c>
      <c r="I222">
        <v>0.43048665539999997</v>
      </c>
      <c r="J222">
        <v>0.436460081</v>
      </c>
      <c r="K222">
        <v>0.4271664215</v>
      </c>
      <c r="L222">
        <v>0.42507538150000002</v>
      </c>
      <c r="M222">
        <v>0.43297480510000003</v>
      </c>
      <c r="N222">
        <v>0.44707026979999998</v>
      </c>
      <c r="O222">
        <v>0.48670120950000001</v>
      </c>
      <c r="P222">
        <v>0.51943430089999998</v>
      </c>
      <c r="Q222">
        <v>0.52995646149999998</v>
      </c>
      <c r="R222">
        <v>0.54612971219999995</v>
      </c>
      <c r="S222">
        <v>0.56489210629999997</v>
      </c>
      <c r="T222">
        <v>0.61927150710000001</v>
      </c>
      <c r="U222">
        <v>0.67922185960000003</v>
      </c>
      <c r="V222">
        <v>0.74306347530000005</v>
      </c>
      <c r="W222">
        <v>0.6409787549</v>
      </c>
      <c r="X222">
        <v>0.54710608949999995</v>
      </c>
      <c r="Y222">
        <v>0.55488763379999995</v>
      </c>
      <c r="Z222">
        <v>0.56440730360000002</v>
      </c>
      <c r="AA222">
        <v>0.57136838150000002</v>
      </c>
      <c r="AB222">
        <v>0.57839347649999995</v>
      </c>
      <c r="AC222">
        <v>0.58545500530000005</v>
      </c>
      <c r="AD222">
        <v>0.58791713329999995</v>
      </c>
      <c r="AE222">
        <v>0.58979212670000003</v>
      </c>
      <c r="AF222">
        <v>0.59181457689999994</v>
      </c>
      <c r="AG222">
        <v>0.59328919440000005</v>
      </c>
      <c r="AH222">
        <v>0.59460026170000002</v>
      </c>
      <c r="AI222">
        <v>0.59571568330000002</v>
      </c>
      <c r="AJ222">
        <v>0.59685484310000003</v>
      </c>
      <c r="AK222">
        <v>0.59787927200000002</v>
      </c>
      <c r="AL222">
        <v>0.59893617340000005</v>
      </c>
      <c r="AM222">
        <v>0.60000970840000001</v>
      </c>
      <c r="AN222">
        <v>0.59919179659999999</v>
      </c>
      <c r="AO222">
        <v>0.59851907299999996</v>
      </c>
      <c r="AP222">
        <v>0.5976681439</v>
      </c>
      <c r="AQ222">
        <v>0.5967368877</v>
      </c>
      <c r="AR222">
        <v>0.59549684629999999</v>
      </c>
      <c r="AS222">
        <v>0.59528270549999995</v>
      </c>
      <c r="AT222">
        <v>0.59491695069999995</v>
      </c>
      <c r="AU222">
        <v>0.59434308540000003</v>
      </c>
      <c r="AV222">
        <v>0.5935858919</v>
      </c>
      <c r="AW222">
        <v>0.59284014789999995</v>
      </c>
    </row>
    <row r="223" spans="2:49" x14ac:dyDescent="0.25">
      <c r="B223" t="s">
        <v>524</v>
      </c>
      <c r="C223">
        <v>0.38745857789048899</v>
      </c>
      <c r="D223">
        <v>0.39367935068554899</v>
      </c>
      <c r="E223">
        <v>0.41865197459999998</v>
      </c>
      <c r="F223">
        <v>0.52786199960000002</v>
      </c>
      <c r="G223">
        <v>0.6473580283</v>
      </c>
      <c r="H223">
        <v>0.78622691739999995</v>
      </c>
      <c r="I223">
        <v>1.0227560010000001</v>
      </c>
      <c r="J223">
        <v>1.3036842550000001</v>
      </c>
      <c r="K223">
        <v>1.6093827590000001</v>
      </c>
      <c r="L223">
        <v>2.0253589110000001</v>
      </c>
      <c r="M223">
        <v>2.6144644650000002</v>
      </c>
      <c r="N223">
        <v>3.4269209869999999</v>
      </c>
      <c r="O223">
        <v>3.2757500450000001</v>
      </c>
      <c r="P223">
        <v>3.0662657200000001</v>
      </c>
      <c r="Q223">
        <v>2.737497173</v>
      </c>
      <c r="R223">
        <v>2.4597203419999998</v>
      </c>
      <c r="S223">
        <v>2.207101529</v>
      </c>
      <c r="T223">
        <v>2.6195038500000001</v>
      </c>
      <c r="U223">
        <v>3.0583252089999999</v>
      </c>
      <c r="V223">
        <v>3.5192228399999999</v>
      </c>
      <c r="W223">
        <v>3.068181515</v>
      </c>
      <c r="X223">
        <v>2.6546594969999999</v>
      </c>
      <c r="Y223">
        <v>2.8105637319999999</v>
      </c>
      <c r="Z223">
        <v>2.9776983779999999</v>
      </c>
      <c r="AA223">
        <v>3.133553993</v>
      </c>
      <c r="AB223">
        <v>3.2980443319999999</v>
      </c>
      <c r="AC223">
        <v>3.4644843430000001</v>
      </c>
      <c r="AD223">
        <v>3.5908484889999999</v>
      </c>
      <c r="AE223">
        <v>3.7144162380000001</v>
      </c>
      <c r="AF223">
        <v>3.8396183760000002</v>
      </c>
      <c r="AG223">
        <v>3.9669784360000002</v>
      </c>
      <c r="AH223">
        <v>4.0937474739999997</v>
      </c>
      <c r="AI223">
        <v>4.1684546520000003</v>
      </c>
      <c r="AJ223">
        <v>4.2434900149999999</v>
      </c>
      <c r="AK223">
        <v>4.3178612100000002</v>
      </c>
      <c r="AL223">
        <v>4.3948757169999997</v>
      </c>
      <c r="AM223">
        <v>4.4721694899999997</v>
      </c>
      <c r="AN223">
        <v>4.5352081279999998</v>
      </c>
      <c r="AO223">
        <v>4.5991263089999999</v>
      </c>
      <c r="AP223">
        <v>4.6614521890000002</v>
      </c>
      <c r="AQ223">
        <v>4.7228990790000003</v>
      </c>
      <c r="AR223">
        <v>4.7816050729999997</v>
      </c>
      <c r="AS223">
        <v>4.882052861</v>
      </c>
      <c r="AT223">
        <v>4.9813195190000004</v>
      </c>
      <c r="AU223">
        <v>5.0788441659999997</v>
      </c>
      <c r="AV223">
        <v>5.1747352700000002</v>
      </c>
      <c r="AW223">
        <v>5.2706294209999998</v>
      </c>
    </row>
    <row r="224" spans="2:49" x14ac:dyDescent="0.25">
      <c r="B224" t="s">
        <v>525</v>
      </c>
      <c r="C224">
        <v>34.067295461021303</v>
      </c>
      <c r="D224">
        <v>34.614256909026899</v>
      </c>
      <c r="E224">
        <v>30.46956342</v>
      </c>
      <c r="F224">
        <v>30.307495710000001</v>
      </c>
      <c r="G224">
        <v>29.110643580000001</v>
      </c>
      <c r="H224">
        <v>27.524358329999998</v>
      </c>
      <c r="I224">
        <v>27.736401570000002</v>
      </c>
      <c r="J224">
        <v>27.316063799999998</v>
      </c>
      <c r="K224">
        <v>25.970707019999999</v>
      </c>
      <c r="L224">
        <v>25.107126860000001</v>
      </c>
      <c r="M224">
        <v>24.846823690000001</v>
      </c>
      <c r="N224">
        <v>24.9284663</v>
      </c>
      <c r="O224">
        <v>25.337583129999999</v>
      </c>
      <c r="P224">
        <v>25.340965870000002</v>
      </c>
      <c r="Q224">
        <v>24.30798107</v>
      </c>
      <c r="R224">
        <v>23.620836189999999</v>
      </c>
      <c r="S224">
        <v>23.099439400000001</v>
      </c>
      <c r="T224">
        <v>21.980005309999999</v>
      </c>
      <c r="U224">
        <v>21.012042000000001</v>
      </c>
      <c r="V224">
        <v>20.089810419999999</v>
      </c>
      <c r="W224">
        <v>21.142634090000001</v>
      </c>
      <c r="X224">
        <v>22.2557993</v>
      </c>
      <c r="Y224">
        <v>22.20401601</v>
      </c>
      <c r="Z224">
        <v>22.21425657</v>
      </c>
      <c r="AA224">
        <v>22.116913239999999</v>
      </c>
      <c r="AB224">
        <v>22.014901760000001</v>
      </c>
      <c r="AC224">
        <v>21.909135719999998</v>
      </c>
      <c r="AD224">
        <v>21.85634911</v>
      </c>
      <c r="AE224">
        <v>21.780724360000001</v>
      </c>
      <c r="AF224">
        <v>21.70964318</v>
      </c>
      <c r="AG224">
        <v>21.613873689999998</v>
      </c>
      <c r="AH224">
        <v>21.511518880000001</v>
      </c>
      <c r="AI224">
        <v>21.483490410000002</v>
      </c>
      <c r="AJ224">
        <v>21.45616575</v>
      </c>
      <c r="AK224">
        <v>21.424575189999999</v>
      </c>
      <c r="AL224">
        <v>21.39133172</v>
      </c>
      <c r="AM224">
        <v>21.35853487</v>
      </c>
      <c r="AN224">
        <v>21.204741760000001</v>
      </c>
      <c r="AO224">
        <v>21.056496689999999</v>
      </c>
      <c r="AP224">
        <v>20.902398519999998</v>
      </c>
      <c r="AQ224">
        <v>20.7459606</v>
      </c>
      <c r="AR224">
        <v>20.57933727</v>
      </c>
      <c r="AS224">
        <v>20.419937449999999</v>
      </c>
      <c r="AT224">
        <v>20.255245689999999</v>
      </c>
      <c r="AU224">
        <v>20.083469130000001</v>
      </c>
      <c r="AV224">
        <v>19.905598860000001</v>
      </c>
      <c r="AW224">
        <v>19.728258050000001</v>
      </c>
    </row>
    <row r="225" spans="2:49" x14ac:dyDescent="0.25">
      <c r="B225" t="s">
        <v>526</v>
      </c>
      <c r="C225">
        <v>1.54983431156195</v>
      </c>
      <c r="D225">
        <v>1.57471740274219</v>
      </c>
      <c r="E225">
        <v>1.3861615430000001</v>
      </c>
      <c r="F225">
        <v>2.2617004870000001</v>
      </c>
      <c r="G225">
        <v>3.0163195630000001</v>
      </c>
      <c r="H225">
        <v>3.6369205280000001</v>
      </c>
      <c r="I225">
        <v>4.4305511790000001</v>
      </c>
      <c r="J225">
        <v>5.0690048010000002</v>
      </c>
      <c r="K225">
        <v>5.4283099269999999</v>
      </c>
      <c r="L225">
        <v>5.7505028190000003</v>
      </c>
      <c r="M225">
        <v>6.0690241140000003</v>
      </c>
      <c r="N225">
        <v>6.3033491110000002</v>
      </c>
      <c r="O225">
        <v>6.5239854270000004</v>
      </c>
      <c r="P225">
        <v>6.6433246849999996</v>
      </c>
      <c r="Q225">
        <v>6.4873877999999996</v>
      </c>
      <c r="R225">
        <v>6.4168307970000003</v>
      </c>
      <c r="S225">
        <v>6.3867263379999999</v>
      </c>
      <c r="T225">
        <v>6.5048344880000002</v>
      </c>
      <c r="U225">
        <v>6.6743695110000001</v>
      </c>
      <c r="V225">
        <v>6.8708254709999999</v>
      </c>
      <c r="W225">
        <v>6.9352449920000003</v>
      </c>
      <c r="X225">
        <v>7.0328979330000001</v>
      </c>
      <c r="Y225">
        <v>7.1775096569999999</v>
      </c>
      <c r="Z225">
        <v>7.3455198299999998</v>
      </c>
      <c r="AA225">
        <v>7.4810685699999997</v>
      </c>
      <c r="AB225">
        <v>7.6199170079999998</v>
      </c>
      <c r="AC225">
        <v>7.7598935549999997</v>
      </c>
      <c r="AD225">
        <v>7.9158125070000001</v>
      </c>
      <c r="AE225">
        <v>8.0646970210000006</v>
      </c>
      <c r="AF225">
        <v>8.2163760949999904</v>
      </c>
      <c r="AG225">
        <v>8.3617287959999995</v>
      </c>
      <c r="AH225">
        <v>8.5053092229999905</v>
      </c>
      <c r="AI225">
        <v>8.5528019480000008</v>
      </c>
      <c r="AJ225">
        <v>8.6007117480000002</v>
      </c>
      <c r="AK225">
        <v>8.6470395710000005</v>
      </c>
      <c r="AL225">
        <v>8.6931252190000006</v>
      </c>
      <c r="AM225">
        <v>8.7395220810000005</v>
      </c>
      <c r="AN225">
        <v>8.7676894480000005</v>
      </c>
      <c r="AO225">
        <v>8.7978541069999903</v>
      </c>
      <c r="AP225">
        <v>8.8252700100000006</v>
      </c>
      <c r="AQ225">
        <v>8.8513534099999998</v>
      </c>
      <c r="AR225">
        <v>8.8726844370000002</v>
      </c>
      <c r="AS225">
        <v>8.8616414129999903</v>
      </c>
      <c r="AT225">
        <v>8.8483366080000003</v>
      </c>
      <c r="AU225">
        <v>8.8319364870000001</v>
      </c>
      <c r="AV225">
        <v>8.8128172560000007</v>
      </c>
      <c r="AW225">
        <v>8.7938754499999998</v>
      </c>
    </row>
    <row r="226" spans="2:49" x14ac:dyDescent="0.25">
      <c r="B226" t="s">
        <v>527</v>
      </c>
      <c r="C226">
        <v>0.19372928894524399</v>
      </c>
      <c r="D226">
        <v>0.196839675342774</v>
      </c>
      <c r="E226">
        <v>0.41865197459999998</v>
      </c>
      <c r="F226">
        <v>0.42930666499999998</v>
      </c>
      <c r="G226">
        <v>0.42510875739999998</v>
      </c>
      <c r="H226">
        <v>0.41437745040000001</v>
      </c>
      <c r="I226">
        <v>0.43048665539999997</v>
      </c>
      <c r="J226">
        <v>0.436460081</v>
      </c>
      <c r="K226">
        <v>0.4271664215</v>
      </c>
      <c r="L226">
        <v>0.42507538150000002</v>
      </c>
      <c r="M226">
        <v>0.43297480510000003</v>
      </c>
      <c r="N226">
        <v>0.44707026979999998</v>
      </c>
      <c r="O226">
        <v>0.51219056269999996</v>
      </c>
      <c r="P226">
        <v>0.57071775729999996</v>
      </c>
      <c r="Q226">
        <v>0.6041784228</v>
      </c>
      <c r="R226">
        <v>0.64286020470000005</v>
      </c>
      <c r="S226">
        <v>0.68383354669999996</v>
      </c>
      <c r="T226">
        <v>0.87639249829999999</v>
      </c>
      <c r="U226">
        <v>1.0786445</v>
      </c>
      <c r="V226">
        <v>1.2899633340000001</v>
      </c>
      <c r="W226">
        <v>1.0278831799999999</v>
      </c>
      <c r="X226">
        <v>0.78365274240000005</v>
      </c>
      <c r="Y226">
        <v>0.78966000349999999</v>
      </c>
      <c r="Z226">
        <v>0.798035245</v>
      </c>
      <c r="AA226">
        <v>0.80269626459999999</v>
      </c>
      <c r="AB226">
        <v>0.80738928430000001</v>
      </c>
      <c r="AC226">
        <v>0.81206157990000005</v>
      </c>
      <c r="AD226">
        <v>0.83573154329999999</v>
      </c>
      <c r="AE226">
        <v>0.85870996020000001</v>
      </c>
      <c r="AF226">
        <v>0.88203093109999997</v>
      </c>
      <c r="AG226">
        <v>0.90482452059999996</v>
      </c>
      <c r="AH226">
        <v>0.92745654820000001</v>
      </c>
      <c r="AI226">
        <v>0.95295386059999998</v>
      </c>
      <c r="AJ226">
        <v>0.97854659440000002</v>
      </c>
      <c r="AK226">
        <v>1.0040049390000001</v>
      </c>
      <c r="AL226">
        <v>1.0299417930000001</v>
      </c>
      <c r="AM226">
        <v>1.0559620009999999</v>
      </c>
      <c r="AN226">
        <v>1.0751933849999999</v>
      </c>
      <c r="AO226">
        <v>1.094619708</v>
      </c>
      <c r="AP226">
        <v>1.113653456</v>
      </c>
      <c r="AQ226">
        <v>1.132462037</v>
      </c>
      <c r="AR226">
        <v>1.1505958169999999</v>
      </c>
      <c r="AS226">
        <v>1.165459496</v>
      </c>
      <c r="AT226">
        <v>1.1800356569999999</v>
      </c>
      <c r="AU226">
        <v>1.194199102</v>
      </c>
      <c r="AV226">
        <v>1.20798418</v>
      </c>
      <c r="AW226">
        <v>1.221778088</v>
      </c>
    </row>
    <row r="227" spans="2:49" x14ac:dyDescent="0.25">
      <c r="B227" t="s">
        <v>528</v>
      </c>
      <c r="C227">
        <v>0.71679836909740502</v>
      </c>
      <c r="D227">
        <v>0.72830679876826598</v>
      </c>
      <c r="E227">
        <v>0.64109971359999995</v>
      </c>
      <c r="F227">
        <v>0.63718089349999996</v>
      </c>
      <c r="G227">
        <v>0.61153010249999995</v>
      </c>
      <c r="H227">
        <v>0.57774550719999995</v>
      </c>
      <c r="I227">
        <v>0.58173183510000004</v>
      </c>
      <c r="J227">
        <v>0.57912050770000001</v>
      </c>
      <c r="K227">
        <v>0.5568930044</v>
      </c>
      <c r="L227">
        <v>0.5535658</v>
      </c>
      <c r="M227">
        <v>0.57240462820000004</v>
      </c>
      <c r="N227">
        <v>0.60044616179999999</v>
      </c>
      <c r="O227">
        <v>0.82804307610000005</v>
      </c>
      <c r="P227">
        <v>1.0328376889999999</v>
      </c>
      <c r="Q227">
        <v>1.174290882</v>
      </c>
      <c r="R227">
        <v>1.306809651</v>
      </c>
      <c r="S227">
        <v>1.427418893</v>
      </c>
      <c r="T227">
        <v>1.4620717249999999</v>
      </c>
      <c r="U227">
        <v>1.50775156</v>
      </c>
      <c r="V227">
        <v>1.559043081</v>
      </c>
      <c r="W227">
        <v>1.235157622</v>
      </c>
      <c r="X227">
        <v>0.92845985109999996</v>
      </c>
      <c r="Y227">
        <v>0.93403135189999997</v>
      </c>
      <c r="Z227">
        <v>0.9423726093</v>
      </c>
      <c r="AA227">
        <v>0.94629927150000004</v>
      </c>
      <c r="AB227">
        <v>0.94998622290000001</v>
      </c>
      <c r="AC227">
        <v>0.95362575650000003</v>
      </c>
      <c r="AD227">
        <v>0.95374236000000001</v>
      </c>
      <c r="AE227">
        <v>0.95288402110000003</v>
      </c>
      <c r="AF227">
        <v>0.95224441940000004</v>
      </c>
      <c r="AG227">
        <v>0.95063235400000001</v>
      </c>
      <c r="AH227">
        <v>0.94874622090000005</v>
      </c>
      <c r="AI227">
        <v>0.94789819659999996</v>
      </c>
      <c r="AJ227">
        <v>0.94708356469999999</v>
      </c>
      <c r="AK227">
        <v>0.94608291899999997</v>
      </c>
      <c r="AL227">
        <v>0.94508966670000005</v>
      </c>
      <c r="AM227">
        <v>0.94411869550000005</v>
      </c>
      <c r="AN227">
        <v>0.94089322600000003</v>
      </c>
      <c r="AO227">
        <v>0.93790325799999996</v>
      </c>
      <c r="AP227">
        <v>0.93464164520000004</v>
      </c>
      <c r="AQ227">
        <v>0.93126284589999997</v>
      </c>
      <c r="AR227">
        <v>0.92741182659999999</v>
      </c>
      <c r="AS227">
        <v>0.92666561629999999</v>
      </c>
      <c r="AT227">
        <v>0.9256838315</v>
      </c>
      <c r="AU227">
        <v>0.9243789187</v>
      </c>
      <c r="AV227">
        <v>0.9227898376</v>
      </c>
      <c r="AW227">
        <v>0.92121963579999999</v>
      </c>
    </row>
    <row r="228" spans="2:49" x14ac:dyDescent="0.25">
      <c r="B228" t="s">
        <v>529</v>
      </c>
      <c r="C228">
        <v>0.19372928894524399</v>
      </c>
      <c r="D228">
        <v>0.196839675342774</v>
      </c>
      <c r="E228">
        <v>0.41865197459999998</v>
      </c>
      <c r="F228">
        <v>0.42930666499999998</v>
      </c>
      <c r="G228">
        <v>0.42510875739999998</v>
      </c>
      <c r="H228">
        <v>0.41437745040000001</v>
      </c>
      <c r="I228">
        <v>0.43048665539999997</v>
      </c>
      <c r="J228">
        <v>0.436460081</v>
      </c>
      <c r="K228">
        <v>0.4271664215</v>
      </c>
      <c r="L228">
        <v>0.42507538150000002</v>
      </c>
      <c r="M228">
        <v>0.43297480510000003</v>
      </c>
      <c r="N228">
        <v>0.44707026979999998</v>
      </c>
      <c r="O228">
        <v>0.48670120950000001</v>
      </c>
      <c r="P228">
        <v>0.51943430089999998</v>
      </c>
      <c r="Q228">
        <v>0.52995646149999998</v>
      </c>
      <c r="R228">
        <v>0.54612971219999995</v>
      </c>
      <c r="S228">
        <v>0.56489210629999997</v>
      </c>
      <c r="T228">
        <v>0.61927150710000001</v>
      </c>
      <c r="U228">
        <v>0.67922185960000003</v>
      </c>
      <c r="V228">
        <v>0.74306347530000005</v>
      </c>
      <c r="W228">
        <v>0.6409787549</v>
      </c>
      <c r="X228">
        <v>0.54710608949999995</v>
      </c>
      <c r="Y228">
        <v>0.55488763379999995</v>
      </c>
      <c r="Z228">
        <v>0.56440730360000002</v>
      </c>
      <c r="AA228">
        <v>0.57136838150000002</v>
      </c>
      <c r="AB228">
        <v>0.57839347649999995</v>
      </c>
      <c r="AC228">
        <v>0.58545500530000005</v>
      </c>
      <c r="AD228">
        <v>0.58791713329999995</v>
      </c>
      <c r="AE228">
        <v>0.58979212670000003</v>
      </c>
      <c r="AF228">
        <v>0.59181457689999994</v>
      </c>
      <c r="AG228">
        <v>0.59328919440000005</v>
      </c>
      <c r="AH228">
        <v>0.59460026170000002</v>
      </c>
      <c r="AI228">
        <v>0.59571568330000002</v>
      </c>
      <c r="AJ228">
        <v>0.59685484310000003</v>
      </c>
      <c r="AK228">
        <v>0.59787927200000002</v>
      </c>
      <c r="AL228">
        <v>0.59893617340000005</v>
      </c>
      <c r="AM228">
        <v>0.60000970840000001</v>
      </c>
      <c r="AN228">
        <v>0.59919179659999999</v>
      </c>
      <c r="AO228">
        <v>0.59851907299999996</v>
      </c>
      <c r="AP228">
        <v>0.5976681439</v>
      </c>
      <c r="AQ228">
        <v>0.5967368877</v>
      </c>
      <c r="AR228">
        <v>0.59549684629999999</v>
      </c>
      <c r="AS228">
        <v>0.59528270549999995</v>
      </c>
      <c r="AT228">
        <v>0.59491695069999995</v>
      </c>
      <c r="AU228">
        <v>0.59434308540000003</v>
      </c>
      <c r="AV228">
        <v>0.5935858919</v>
      </c>
      <c r="AW228">
        <v>0.59284014789999995</v>
      </c>
    </row>
    <row r="229" spans="2:49" x14ac:dyDescent="0.25">
      <c r="B229" t="s">
        <v>530</v>
      </c>
      <c r="C229">
        <v>0.38745857789048899</v>
      </c>
      <c r="D229">
        <v>0.39367935068554899</v>
      </c>
      <c r="E229">
        <v>0.41865197459999998</v>
      </c>
      <c r="F229">
        <v>0.52786199960000002</v>
      </c>
      <c r="G229">
        <v>0.6473580283</v>
      </c>
      <c r="H229">
        <v>0.78622691739999995</v>
      </c>
      <c r="I229">
        <v>1.0227560010000001</v>
      </c>
      <c r="J229">
        <v>1.3036842550000001</v>
      </c>
      <c r="K229">
        <v>1.6093827590000001</v>
      </c>
      <c r="L229">
        <v>2.0253589110000001</v>
      </c>
      <c r="M229">
        <v>2.6144644650000002</v>
      </c>
      <c r="N229">
        <v>3.4269209869999999</v>
      </c>
      <c r="O229">
        <v>3.2757500450000001</v>
      </c>
      <c r="P229">
        <v>3.0662657200000001</v>
      </c>
      <c r="Q229">
        <v>2.737497173</v>
      </c>
      <c r="R229">
        <v>2.4597203419999998</v>
      </c>
      <c r="S229">
        <v>2.207101529</v>
      </c>
      <c r="T229">
        <v>2.6195038500000001</v>
      </c>
      <c r="U229">
        <v>3.0583252089999999</v>
      </c>
      <c r="V229">
        <v>3.5192228399999999</v>
      </c>
      <c r="W229">
        <v>3.068181515</v>
      </c>
      <c r="X229">
        <v>2.6546594969999999</v>
      </c>
      <c r="Y229">
        <v>2.8105637319999999</v>
      </c>
      <c r="Z229">
        <v>2.9776983779999999</v>
      </c>
      <c r="AA229">
        <v>3.133553993</v>
      </c>
      <c r="AB229">
        <v>3.2980443319999999</v>
      </c>
      <c r="AC229">
        <v>3.4644843430000001</v>
      </c>
      <c r="AD229">
        <v>3.5908484889999999</v>
      </c>
      <c r="AE229">
        <v>3.7144162380000001</v>
      </c>
      <c r="AF229">
        <v>3.8396183760000002</v>
      </c>
      <c r="AG229">
        <v>3.9669784360000002</v>
      </c>
      <c r="AH229">
        <v>4.0937474739999997</v>
      </c>
      <c r="AI229">
        <v>4.1684546520000003</v>
      </c>
      <c r="AJ229">
        <v>4.2434900149999999</v>
      </c>
      <c r="AK229">
        <v>4.3178612100000002</v>
      </c>
      <c r="AL229">
        <v>4.3948757169999997</v>
      </c>
      <c r="AM229">
        <v>4.4721694899999997</v>
      </c>
      <c r="AN229">
        <v>4.5352081279999998</v>
      </c>
      <c r="AO229">
        <v>4.5991263089999999</v>
      </c>
      <c r="AP229">
        <v>4.6614521890000002</v>
      </c>
      <c r="AQ229">
        <v>4.7228990790000003</v>
      </c>
      <c r="AR229">
        <v>4.7816050729999997</v>
      </c>
      <c r="AS229">
        <v>4.882052861</v>
      </c>
      <c r="AT229">
        <v>4.9813195190000004</v>
      </c>
      <c r="AU229">
        <v>5.0788441659999997</v>
      </c>
      <c r="AV229">
        <v>5.1747352700000002</v>
      </c>
      <c r="AW229">
        <v>5.2706294209999998</v>
      </c>
    </row>
    <row r="230" spans="2:49" x14ac:dyDescent="0.25">
      <c r="B230" t="s">
        <v>531</v>
      </c>
      <c r="C230">
        <v>1.1905732046364299</v>
      </c>
      <c r="D230">
        <v>1.2096882425386799</v>
      </c>
      <c r="E230">
        <v>1.2335629589999999</v>
      </c>
      <c r="F230">
        <v>1.240122859</v>
      </c>
      <c r="G230">
        <v>1.1450379390000001</v>
      </c>
      <c r="H230">
        <v>0.92855871180000005</v>
      </c>
      <c r="I230">
        <v>1.016626027</v>
      </c>
      <c r="J230">
        <v>1.0405665529999999</v>
      </c>
      <c r="K230">
        <v>0.98409310959999996</v>
      </c>
      <c r="L230">
        <v>0.98216244419999998</v>
      </c>
      <c r="M230">
        <v>0.98900107349999999</v>
      </c>
      <c r="N230">
        <v>0.99877208179999999</v>
      </c>
      <c r="O230">
        <v>0.94507131119999999</v>
      </c>
      <c r="P230">
        <v>0.96180952190000002</v>
      </c>
      <c r="Q230">
        <v>0.94303346030000001</v>
      </c>
      <c r="R230">
        <v>0.89525337829999996</v>
      </c>
      <c r="S230">
        <v>0.86305294880000005</v>
      </c>
      <c r="T230">
        <v>0.8655286794</v>
      </c>
      <c r="U230">
        <v>0.87497609840000001</v>
      </c>
      <c r="V230">
        <v>0.89383555709999996</v>
      </c>
      <c r="W230">
        <v>0.89078004909999997</v>
      </c>
      <c r="X230">
        <v>0.87959983369999994</v>
      </c>
      <c r="Y230">
        <v>0.87401215860000003</v>
      </c>
      <c r="Z230">
        <v>0.87184108120000003</v>
      </c>
      <c r="AA230">
        <v>0.86948418459999999</v>
      </c>
      <c r="AB230">
        <v>0.86641712839999996</v>
      </c>
      <c r="AC230">
        <v>0.86169173040000002</v>
      </c>
      <c r="AD230">
        <v>0.86898984540000002</v>
      </c>
      <c r="AE230">
        <v>0.87466264069999999</v>
      </c>
      <c r="AF230">
        <v>0.88070623100000001</v>
      </c>
      <c r="AG230">
        <v>0.88712456520000005</v>
      </c>
      <c r="AH230">
        <v>0.89268670729999999</v>
      </c>
      <c r="AI230">
        <v>0.90180040610000001</v>
      </c>
      <c r="AJ230">
        <v>0.91023071229999997</v>
      </c>
      <c r="AK230">
        <v>0.91839342049999995</v>
      </c>
      <c r="AL230">
        <v>0.92659039949999999</v>
      </c>
      <c r="AM230">
        <v>0.93471110830000004</v>
      </c>
      <c r="AN230">
        <v>0.94034349390000005</v>
      </c>
      <c r="AO230">
        <v>0.94708002650000001</v>
      </c>
      <c r="AP230">
        <v>0.9536674597</v>
      </c>
      <c r="AQ230">
        <v>0.9603070588</v>
      </c>
      <c r="AR230">
        <v>0.96551848279999997</v>
      </c>
      <c r="AS230">
        <v>0.97375528690000002</v>
      </c>
      <c r="AT230">
        <v>0.98130293499999999</v>
      </c>
      <c r="AU230">
        <v>0.98860536450000003</v>
      </c>
      <c r="AV230">
        <v>0.99582577100000003</v>
      </c>
      <c r="AW230">
        <v>1.0035093310000001</v>
      </c>
    </row>
    <row r="231" spans="2:49" x14ac:dyDescent="0.25">
      <c r="B231" t="s">
        <v>532</v>
      </c>
      <c r="C231">
        <v>1.7112081308179601</v>
      </c>
      <c r="D231">
        <v>1.7386821308642</v>
      </c>
      <c r="E231">
        <v>1.77055586</v>
      </c>
      <c r="F231">
        <v>1.792242195</v>
      </c>
      <c r="G231">
        <v>1.8096259830000001</v>
      </c>
      <c r="H231">
        <v>1.7024379709999999</v>
      </c>
      <c r="I231">
        <v>1.7792603929999999</v>
      </c>
      <c r="J231">
        <v>1.8085987729999999</v>
      </c>
      <c r="K231">
        <v>1.787618328</v>
      </c>
      <c r="L231">
        <v>1.7984714340000001</v>
      </c>
      <c r="M231">
        <v>1.815995662</v>
      </c>
      <c r="N231">
        <v>1.8921607920000001</v>
      </c>
      <c r="O231">
        <v>1.8924485179999999</v>
      </c>
      <c r="P231">
        <v>1.8981811660000001</v>
      </c>
      <c r="Q231">
        <v>1.87235525</v>
      </c>
      <c r="R231">
        <v>1.8913310350000001</v>
      </c>
      <c r="S231">
        <v>1.8759648739999999</v>
      </c>
      <c r="T231">
        <v>1.8844115159999999</v>
      </c>
      <c r="U231">
        <v>1.916614815</v>
      </c>
      <c r="V231">
        <v>1.958117039</v>
      </c>
      <c r="W231">
        <v>1.994756604</v>
      </c>
      <c r="X231">
        <v>2.0258048299999998</v>
      </c>
      <c r="Y231">
        <v>2.052241199</v>
      </c>
      <c r="Z231">
        <v>2.0797012559999999</v>
      </c>
      <c r="AA231">
        <v>2.1046723599999999</v>
      </c>
      <c r="AB231">
        <v>2.1279299680000001</v>
      </c>
      <c r="AC231">
        <v>2.1501633330000001</v>
      </c>
      <c r="AD231">
        <v>2.170994839</v>
      </c>
      <c r="AE231">
        <v>2.1912450969999999</v>
      </c>
      <c r="AF231">
        <v>2.2140281850000001</v>
      </c>
      <c r="AG231">
        <v>2.2355261870000001</v>
      </c>
      <c r="AH231">
        <v>2.2581464929999999</v>
      </c>
      <c r="AI231">
        <v>2.2833156429999999</v>
      </c>
      <c r="AJ231">
        <v>2.3105638819999998</v>
      </c>
      <c r="AK231">
        <v>2.3385072849999999</v>
      </c>
      <c r="AL231">
        <v>2.3676355469999999</v>
      </c>
      <c r="AM231">
        <v>2.3976190580000001</v>
      </c>
      <c r="AN231">
        <v>2.4285570559999998</v>
      </c>
      <c r="AO231">
        <v>2.4605404040000001</v>
      </c>
      <c r="AP231">
        <v>2.492152876</v>
      </c>
      <c r="AQ231">
        <v>2.52387008</v>
      </c>
      <c r="AR231">
        <v>2.5554188500000001</v>
      </c>
      <c r="AS231">
        <v>2.5863550850000001</v>
      </c>
      <c r="AT231">
        <v>2.6173604300000002</v>
      </c>
      <c r="AU231">
        <v>2.648639631</v>
      </c>
      <c r="AV231">
        <v>2.680284495</v>
      </c>
      <c r="AW231">
        <v>2.7117649949999998</v>
      </c>
    </row>
    <row r="232" spans="2:49" x14ac:dyDescent="0.25">
      <c r="B232" t="s">
        <v>533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</row>
    <row r="233" spans="2:49" x14ac:dyDescent="0.25">
      <c r="B233" t="s">
        <v>534</v>
      </c>
      <c r="C233">
        <v>1.5692072404564801</v>
      </c>
      <c r="D233">
        <v>1.5944013702764701</v>
      </c>
      <c r="E233">
        <v>1.627523166</v>
      </c>
      <c r="F233">
        <v>1.6515182749999999</v>
      </c>
      <c r="G233">
        <v>1.6758493130000001</v>
      </c>
      <c r="H233">
        <v>1.5597410089999999</v>
      </c>
      <c r="I233">
        <v>1.6486103969999999</v>
      </c>
      <c r="J233">
        <v>1.701454603</v>
      </c>
      <c r="K233">
        <v>1.6924617900000001</v>
      </c>
      <c r="L233">
        <v>1.7028855899999999</v>
      </c>
      <c r="M233">
        <v>1.7200677259999999</v>
      </c>
      <c r="N233">
        <v>1.767814287</v>
      </c>
      <c r="O233">
        <v>1.824137908</v>
      </c>
      <c r="P233">
        <v>1.9149030739999999</v>
      </c>
      <c r="Q233">
        <v>1.9660349850000001</v>
      </c>
      <c r="R233">
        <v>2.0561907210000001</v>
      </c>
      <c r="S233">
        <v>2.1004027590000001</v>
      </c>
      <c r="T233">
        <v>2.1097528809999999</v>
      </c>
      <c r="U233">
        <v>2.1370867250000001</v>
      </c>
      <c r="V233">
        <v>2.1721722109999999</v>
      </c>
      <c r="W233">
        <v>2.203577686</v>
      </c>
      <c r="X233">
        <v>2.2314952849999998</v>
      </c>
      <c r="Y233">
        <v>2.2507260420000001</v>
      </c>
      <c r="Z233">
        <v>2.274225221</v>
      </c>
      <c r="AA233">
        <v>2.2925704919999998</v>
      </c>
      <c r="AB233">
        <v>2.3089003799999999</v>
      </c>
      <c r="AC233">
        <v>2.323981565</v>
      </c>
      <c r="AD233">
        <v>2.3380529910000001</v>
      </c>
      <c r="AE233">
        <v>2.3513546719999998</v>
      </c>
      <c r="AF233">
        <v>2.367988183</v>
      </c>
      <c r="AG233">
        <v>2.3824508689999999</v>
      </c>
      <c r="AH233">
        <v>2.397875607</v>
      </c>
      <c r="AI233">
        <v>2.4130201969999998</v>
      </c>
      <c r="AJ233">
        <v>2.4299275059999998</v>
      </c>
      <c r="AK233">
        <v>2.4474281640000002</v>
      </c>
      <c r="AL233">
        <v>2.4662246849999998</v>
      </c>
      <c r="AM233">
        <v>2.485963607</v>
      </c>
      <c r="AN233">
        <v>2.5094009289999999</v>
      </c>
      <c r="AO233">
        <v>2.535389248</v>
      </c>
      <c r="AP233">
        <v>2.561407032</v>
      </c>
      <c r="AQ233">
        <v>2.5877989609999998</v>
      </c>
      <c r="AR233">
        <v>2.6141601090000002</v>
      </c>
      <c r="AS233">
        <v>2.6404820490000001</v>
      </c>
      <c r="AT233">
        <v>2.6672567859999998</v>
      </c>
      <c r="AU233">
        <v>2.694449841</v>
      </c>
      <c r="AV233">
        <v>2.7221399819999998</v>
      </c>
      <c r="AW233">
        <v>2.7496917459999999</v>
      </c>
    </row>
    <row r="234" spans="2:49" x14ac:dyDescent="0.25">
      <c r="B234" t="s">
        <v>535</v>
      </c>
      <c r="C234">
        <v>0.99151022292981705</v>
      </c>
      <c r="D234">
        <v>0.99151022292981705</v>
      </c>
      <c r="E234">
        <v>0.98738657799999996</v>
      </c>
      <c r="F234">
        <v>0.98343459639999997</v>
      </c>
      <c r="G234">
        <v>0.97952904299999999</v>
      </c>
      <c r="H234">
        <v>0.97559419359999999</v>
      </c>
      <c r="I234">
        <v>0.9717345664</v>
      </c>
      <c r="J234">
        <v>0.9678914341</v>
      </c>
      <c r="K234">
        <v>0.96405040239999995</v>
      </c>
      <c r="L234">
        <v>0.96023844459999996</v>
      </c>
      <c r="M234">
        <v>0.95642641930000005</v>
      </c>
      <c r="N234">
        <v>0.95266241159999998</v>
      </c>
      <c r="O234">
        <v>0.95200032990000005</v>
      </c>
      <c r="P234">
        <v>0.95131485739999999</v>
      </c>
      <c r="Q234">
        <v>0.95057955149999995</v>
      </c>
      <c r="R234">
        <v>0.94980922609999996</v>
      </c>
      <c r="S234">
        <v>0.94894959720000005</v>
      </c>
      <c r="T234">
        <v>0.94650693870000002</v>
      </c>
      <c r="U234">
        <v>0.94417277050000004</v>
      </c>
      <c r="V234">
        <v>0.94192374130000001</v>
      </c>
      <c r="W234">
        <v>0.93960213790000002</v>
      </c>
      <c r="X234">
        <v>0.93719989940000004</v>
      </c>
      <c r="Y234">
        <v>0.93726086980000001</v>
      </c>
      <c r="Z234">
        <v>0.93731247380000005</v>
      </c>
      <c r="AA234">
        <v>0.9373626974</v>
      </c>
      <c r="AB234">
        <v>0.93739437240000001</v>
      </c>
      <c r="AC234">
        <v>0.93743063550000005</v>
      </c>
      <c r="AD234">
        <v>0.93752844580000005</v>
      </c>
      <c r="AE234">
        <v>0.93762497649999998</v>
      </c>
      <c r="AF234">
        <v>0.93772725260000001</v>
      </c>
      <c r="AG234">
        <v>0.93782378450000004</v>
      </c>
      <c r="AH234">
        <v>0.93792447830000003</v>
      </c>
      <c r="AI234">
        <v>0.93794821360000002</v>
      </c>
      <c r="AJ234">
        <v>0.93797251240000001</v>
      </c>
      <c r="AK234">
        <v>0.9379968649</v>
      </c>
      <c r="AL234">
        <v>0.93803100689999996</v>
      </c>
      <c r="AM234">
        <v>0.93806504099999999</v>
      </c>
      <c r="AN234">
        <v>0.93791600149999999</v>
      </c>
      <c r="AO234">
        <v>0.93776181619999999</v>
      </c>
      <c r="AP234">
        <v>0.93760091079999996</v>
      </c>
      <c r="AQ234">
        <v>0.93743283430000002</v>
      </c>
      <c r="AR234">
        <v>0.93725990179999996</v>
      </c>
      <c r="AS234">
        <v>0.93703224119999995</v>
      </c>
      <c r="AT234">
        <v>0.93679882640000001</v>
      </c>
      <c r="AU234">
        <v>0.9365604152</v>
      </c>
      <c r="AV234">
        <v>0.93631678780000005</v>
      </c>
      <c r="AW234">
        <v>0.93606565649999995</v>
      </c>
    </row>
    <row r="235" spans="2:49" x14ac:dyDescent="0.25">
      <c r="B235" t="s">
        <v>536</v>
      </c>
      <c r="C235">
        <v>8.4897770701825997E-3</v>
      </c>
      <c r="D235">
        <v>8.4897770701825997E-3</v>
      </c>
      <c r="E235">
        <v>1.2613421999999999E-2</v>
      </c>
      <c r="F235">
        <v>1.65654036E-2</v>
      </c>
      <c r="G235">
        <v>2.0470957000000001E-2</v>
      </c>
      <c r="H235">
        <v>2.4405806400000001E-2</v>
      </c>
      <c r="I235">
        <v>2.8265433600000001E-2</v>
      </c>
      <c r="J235">
        <v>3.2108565899999997E-2</v>
      </c>
      <c r="K235">
        <v>3.5949597600000001E-2</v>
      </c>
      <c r="L235">
        <v>3.9761555400000002E-2</v>
      </c>
      <c r="M235">
        <v>4.3573580700000003E-2</v>
      </c>
      <c r="N235">
        <v>4.7337588399999998E-2</v>
      </c>
      <c r="O235">
        <v>4.7999670100000003E-2</v>
      </c>
      <c r="P235">
        <v>4.8685142600000002E-2</v>
      </c>
      <c r="Q235">
        <v>4.9420448499999999E-2</v>
      </c>
      <c r="R235">
        <v>5.0190773899999999E-2</v>
      </c>
      <c r="S235">
        <v>5.1050402799999998E-2</v>
      </c>
      <c r="T235">
        <v>5.3493061299999999E-2</v>
      </c>
      <c r="U235">
        <v>5.5827229499999999E-2</v>
      </c>
      <c r="V235">
        <v>5.8076258700000001E-2</v>
      </c>
      <c r="W235">
        <v>6.0397862099999998E-2</v>
      </c>
      <c r="X235">
        <v>6.2800100600000006E-2</v>
      </c>
      <c r="Y235">
        <v>6.2739130200000007E-2</v>
      </c>
      <c r="Z235">
        <v>6.2687526199999996E-2</v>
      </c>
      <c r="AA235">
        <v>6.26373026E-2</v>
      </c>
      <c r="AB235">
        <v>6.2605627600000005E-2</v>
      </c>
      <c r="AC235">
        <v>6.2569364500000002E-2</v>
      </c>
      <c r="AD235">
        <v>6.2471554200000001E-2</v>
      </c>
      <c r="AE235">
        <v>6.2375023500000001E-2</v>
      </c>
      <c r="AF235">
        <v>6.2272747400000002E-2</v>
      </c>
      <c r="AG235">
        <v>6.21762155E-2</v>
      </c>
      <c r="AH235">
        <v>6.2075521699999997E-2</v>
      </c>
      <c r="AI235">
        <v>6.2051786400000003E-2</v>
      </c>
      <c r="AJ235">
        <v>6.20274876E-2</v>
      </c>
      <c r="AK235">
        <v>6.2003135100000002E-2</v>
      </c>
      <c r="AL235">
        <v>6.1968993100000001E-2</v>
      </c>
      <c r="AM235">
        <v>6.1934958999999998E-2</v>
      </c>
      <c r="AN235">
        <v>6.2083998500000001E-2</v>
      </c>
      <c r="AO235">
        <v>6.2238183799999999E-2</v>
      </c>
      <c r="AP235">
        <v>6.2399089200000001E-2</v>
      </c>
      <c r="AQ235">
        <v>6.2567165699999996E-2</v>
      </c>
      <c r="AR235">
        <v>6.2740098199999997E-2</v>
      </c>
      <c r="AS235">
        <v>6.2967758799999995E-2</v>
      </c>
      <c r="AT235">
        <v>6.3201173599999896E-2</v>
      </c>
      <c r="AU235">
        <v>6.3439584800000004E-2</v>
      </c>
      <c r="AV235">
        <v>6.3683212200000006E-2</v>
      </c>
      <c r="AW235">
        <v>6.3934343500000004E-2</v>
      </c>
    </row>
    <row r="236" spans="2:49" x14ac:dyDescent="0.25">
      <c r="B236" t="s">
        <v>537</v>
      </c>
      <c r="C236">
        <v>0.79896379760487002</v>
      </c>
      <c r="D236">
        <v>0.79896379760486902</v>
      </c>
      <c r="E236">
        <v>0.77900597940000005</v>
      </c>
      <c r="F236">
        <v>0.776059363</v>
      </c>
      <c r="G236">
        <v>0.77314800520000004</v>
      </c>
      <c r="H236">
        <v>0.77027023289999996</v>
      </c>
      <c r="I236">
        <v>0.76742447530000002</v>
      </c>
      <c r="J236">
        <v>0.76460925729999996</v>
      </c>
      <c r="K236">
        <v>0.76182319359999995</v>
      </c>
      <c r="L236">
        <v>0.7590649827</v>
      </c>
      <c r="M236">
        <v>0.75633340130000004</v>
      </c>
      <c r="N236">
        <v>0.75362729979999998</v>
      </c>
      <c r="O236">
        <v>0.73840889539999999</v>
      </c>
      <c r="P236">
        <v>0.72265938789999995</v>
      </c>
      <c r="Q236">
        <v>0.70517890100000002</v>
      </c>
      <c r="R236">
        <v>0.68650004990000002</v>
      </c>
      <c r="S236">
        <v>0.66723666879999999</v>
      </c>
      <c r="T236">
        <v>0.6586233239</v>
      </c>
      <c r="U236">
        <v>0.64996032790000002</v>
      </c>
      <c r="V236">
        <v>0.64124725019999995</v>
      </c>
      <c r="W236">
        <v>0.64951444800000002</v>
      </c>
      <c r="X236">
        <v>0.65708762529999998</v>
      </c>
      <c r="Y236">
        <v>0.64892605130000003</v>
      </c>
      <c r="Z236">
        <v>0.64090192560000003</v>
      </c>
      <c r="AA236">
        <v>0.63301180499999998</v>
      </c>
      <c r="AB236">
        <v>0.62688293709999998</v>
      </c>
      <c r="AC236">
        <v>0.62085320960000001</v>
      </c>
      <c r="AD236">
        <v>0.60766259020000002</v>
      </c>
      <c r="AE236">
        <v>0.59477969009999998</v>
      </c>
      <c r="AF236">
        <v>0.58219386529999995</v>
      </c>
      <c r="AG236">
        <v>0.56923869270000005</v>
      </c>
      <c r="AH236">
        <v>0.55657347459999995</v>
      </c>
      <c r="AI236">
        <v>0.54247636809999999</v>
      </c>
      <c r="AJ236">
        <v>0.52866057339999994</v>
      </c>
      <c r="AK236">
        <v>0.51511775309999996</v>
      </c>
      <c r="AL236">
        <v>0.50124803630000003</v>
      </c>
      <c r="AM236">
        <v>0.48764398840000001</v>
      </c>
      <c r="AN236">
        <v>0.47468222170000002</v>
      </c>
      <c r="AO236">
        <v>0.46191460670000001</v>
      </c>
      <c r="AP236">
        <v>0.44933681349999999</v>
      </c>
      <c r="AQ236">
        <v>0.4369446401</v>
      </c>
      <c r="AR236">
        <v>0.42473400760000002</v>
      </c>
      <c r="AS236">
        <v>0.41086964650000002</v>
      </c>
      <c r="AT236">
        <v>0.39717723199999999</v>
      </c>
      <c r="AU236">
        <v>0.38365358490000001</v>
      </c>
      <c r="AV236">
        <v>0.37029560439999998</v>
      </c>
      <c r="AW236">
        <v>0.35710026459999999</v>
      </c>
    </row>
    <row r="237" spans="2:49" x14ac:dyDescent="0.25">
      <c r="B237" t="s">
        <v>538</v>
      </c>
      <c r="C237">
        <v>1.02537481030392E-2</v>
      </c>
      <c r="D237">
        <v>1.02537481030392E-2</v>
      </c>
      <c r="E237">
        <v>1.2675264800000001E-2</v>
      </c>
      <c r="F237">
        <v>1.2668222099999999E-2</v>
      </c>
      <c r="G237">
        <v>1.2661578200000001E-2</v>
      </c>
      <c r="H237">
        <v>1.26553102E-2</v>
      </c>
      <c r="I237">
        <v>1.26493964E-2</v>
      </c>
      <c r="J237">
        <v>1.26438165E-2</v>
      </c>
      <c r="K237">
        <v>1.26385514E-2</v>
      </c>
      <c r="L237">
        <v>1.26335831E-2</v>
      </c>
      <c r="M237">
        <v>1.2628894599999999E-2</v>
      </c>
      <c r="N237">
        <v>1.26244701E-2</v>
      </c>
      <c r="O237">
        <v>1.2617142499999999E-2</v>
      </c>
      <c r="P237">
        <v>1.26095593E-2</v>
      </c>
      <c r="Q237">
        <v>1.2580805E-2</v>
      </c>
      <c r="R237">
        <v>1.2539652700000001E-2</v>
      </c>
      <c r="S237">
        <v>1.24972125E-2</v>
      </c>
      <c r="T237">
        <v>1.3646286000000001E-2</v>
      </c>
      <c r="U237">
        <v>1.48019832E-2</v>
      </c>
      <c r="V237">
        <v>1.5964361699999999E-2</v>
      </c>
      <c r="W237">
        <v>1.56620658E-2</v>
      </c>
      <c r="X237">
        <v>1.5385147199999999E-2</v>
      </c>
      <c r="Y237">
        <v>1.5279203E-2</v>
      </c>
      <c r="Z237">
        <v>1.5175043100000001E-2</v>
      </c>
      <c r="AA237">
        <v>1.50726226E-2</v>
      </c>
      <c r="AB237">
        <v>1.49860098E-2</v>
      </c>
      <c r="AC237">
        <v>1.4900798099999999E-2</v>
      </c>
      <c r="AD237">
        <v>1.49563878E-2</v>
      </c>
      <c r="AE237">
        <v>1.50106806E-2</v>
      </c>
      <c r="AF237">
        <v>1.50637215E-2</v>
      </c>
      <c r="AG237">
        <v>1.5118303200000001E-2</v>
      </c>
      <c r="AH237">
        <v>1.5171663300000001E-2</v>
      </c>
      <c r="AI237">
        <v>1.51016287E-2</v>
      </c>
      <c r="AJ237">
        <v>1.50329916E-2</v>
      </c>
      <c r="AK237">
        <v>1.4965710599999999E-2</v>
      </c>
      <c r="AL237">
        <v>1.48968303E-2</v>
      </c>
      <c r="AM237">
        <v>1.48292693E-2</v>
      </c>
      <c r="AN237">
        <v>1.48791676E-2</v>
      </c>
      <c r="AO237">
        <v>1.49283184E-2</v>
      </c>
      <c r="AP237">
        <v>1.49767384E-2</v>
      </c>
      <c r="AQ237">
        <v>1.50244439E-2</v>
      </c>
      <c r="AR237">
        <v>1.50714505E-2</v>
      </c>
      <c r="AS237">
        <v>1.5068615699999999E-2</v>
      </c>
      <c r="AT237">
        <v>1.5065816100000001E-2</v>
      </c>
      <c r="AU237">
        <v>1.5063050999999999E-2</v>
      </c>
      <c r="AV237">
        <v>1.5060319799999999E-2</v>
      </c>
      <c r="AW237">
        <v>1.50576218E-2</v>
      </c>
    </row>
    <row r="238" spans="2:49" x14ac:dyDescent="0.25">
      <c r="B238" t="s">
        <v>539</v>
      </c>
      <c r="C238">
        <v>4.0949078402655603E-2</v>
      </c>
      <c r="D238">
        <v>4.0949078402655603E-2</v>
      </c>
      <c r="E238">
        <v>3.9926185699999998E-2</v>
      </c>
      <c r="F238">
        <v>3.9833014899999998E-2</v>
      </c>
      <c r="G238">
        <v>3.9741301100000001E-2</v>
      </c>
      <c r="H238">
        <v>3.9650965099999998E-2</v>
      </c>
      <c r="I238">
        <v>3.9561932600000002E-2</v>
      </c>
      <c r="J238">
        <v>3.94741339E-2</v>
      </c>
      <c r="K238">
        <v>3.9387503400000003E-2</v>
      </c>
      <c r="L238">
        <v>3.9301979600000002E-2</v>
      </c>
      <c r="M238">
        <v>3.9217504399999999E-2</v>
      </c>
      <c r="N238">
        <v>3.9134023499999997E-2</v>
      </c>
      <c r="O238">
        <v>4.2943227E-2</v>
      </c>
      <c r="P238">
        <v>4.6885366800000002E-2</v>
      </c>
      <c r="Q238">
        <v>5.0882988900000002E-2</v>
      </c>
      <c r="R238">
        <v>5.4960979399999998E-2</v>
      </c>
      <c r="S238">
        <v>5.9166585200000003E-2</v>
      </c>
      <c r="T238">
        <v>5.6457268499999998E-2</v>
      </c>
      <c r="U238">
        <v>5.3732334100000001E-2</v>
      </c>
      <c r="V238">
        <v>5.0991646600000003E-2</v>
      </c>
      <c r="W238">
        <v>3.3104528899999999E-2</v>
      </c>
      <c r="X238">
        <v>1.6719011499999999E-2</v>
      </c>
      <c r="Y238">
        <v>1.65332199E-2</v>
      </c>
      <c r="Z238">
        <v>1.63505571E-2</v>
      </c>
      <c r="AA238">
        <v>1.61709448E-2</v>
      </c>
      <c r="AB238">
        <v>1.6035325900000001E-2</v>
      </c>
      <c r="AC238">
        <v>1.5901900699999999E-2</v>
      </c>
      <c r="AD238">
        <v>1.5885659399999998E-2</v>
      </c>
      <c r="AE238">
        <v>1.58697969E-2</v>
      </c>
      <c r="AF238">
        <v>1.5854300299999999E-2</v>
      </c>
      <c r="AG238">
        <v>1.5838432600000001E-2</v>
      </c>
      <c r="AH238">
        <v>1.5822920000000001E-2</v>
      </c>
      <c r="AI238">
        <v>1.58033442E-2</v>
      </c>
      <c r="AJ238">
        <v>1.5784158999999999E-2</v>
      </c>
      <c r="AK238">
        <v>1.5765352900000001E-2</v>
      </c>
      <c r="AL238">
        <v>1.5746104399999999E-2</v>
      </c>
      <c r="AM238">
        <v>1.5727224599999999E-2</v>
      </c>
      <c r="AN238">
        <v>1.5707932300000001E-2</v>
      </c>
      <c r="AO238">
        <v>1.5688928899999999E-2</v>
      </c>
      <c r="AP238">
        <v>1.5670208099999999E-2</v>
      </c>
      <c r="AQ238">
        <v>1.5651763499999999E-2</v>
      </c>
      <c r="AR238">
        <v>1.5633589199999999E-2</v>
      </c>
      <c r="AS238">
        <v>2.1338869900000002E-2</v>
      </c>
      <c r="AT238">
        <v>2.69733934E-2</v>
      </c>
      <c r="AU238">
        <v>3.25384679E-2</v>
      </c>
      <c r="AV238">
        <v>3.8035369499999999E-2</v>
      </c>
      <c r="AW238">
        <v>4.3465343199999999E-2</v>
      </c>
    </row>
    <row r="239" spans="2:49" x14ac:dyDescent="0.25">
      <c r="B239" t="s">
        <v>540</v>
      </c>
      <c r="C239">
        <v>4.0858446639591303E-2</v>
      </c>
      <c r="D239">
        <v>4.0858446639591303E-2</v>
      </c>
      <c r="E239">
        <v>3.9837817900000003E-2</v>
      </c>
      <c r="F239">
        <v>3.6544871299999997E-2</v>
      </c>
      <c r="G239">
        <v>3.3525161400000003E-2</v>
      </c>
      <c r="H239">
        <v>3.0755875700000001E-2</v>
      </c>
      <c r="I239">
        <v>2.8216125099999999E-2</v>
      </c>
      <c r="J239">
        <v>2.5886779299999999E-2</v>
      </c>
      <c r="K239">
        <v>2.3750316600000002E-2</v>
      </c>
      <c r="L239">
        <v>2.1790686600000001E-2</v>
      </c>
      <c r="M239">
        <v>1.9993184800000001E-2</v>
      </c>
      <c r="N239">
        <v>1.8344339000000001E-2</v>
      </c>
      <c r="O239">
        <v>1.59609834E-2</v>
      </c>
      <c r="P239">
        <v>1.34944517E-2</v>
      </c>
      <c r="Q239">
        <v>1.2580805E-2</v>
      </c>
      <c r="R239">
        <v>1.2539652700000001E-2</v>
      </c>
      <c r="S239">
        <v>1.24972125E-2</v>
      </c>
      <c r="T239">
        <v>1.2494037100000001E-2</v>
      </c>
      <c r="U239">
        <v>1.24908433E-2</v>
      </c>
      <c r="V239">
        <v>1.24876311E-2</v>
      </c>
      <c r="W239">
        <v>1.24665974E-2</v>
      </c>
      <c r="X239">
        <v>1.24473294E-2</v>
      </c>
      <c r="Y239">
        <v>1.2447115999999999E-2</v>
      </c>
      <c r="Z239">
        <v>1.24469062E-2</v>
      </c>
      <c r="AA239">
        <v>1.24467E-2</v>
      </c>
      <c r="AB239">
        <v>1.24465428E-2</v>
      </c>
      <c r="AC239">
        <v>1.2446388100000001E-2</v>
      </c>
      <c r="AD239">
        <v>1.24463657E-2</v>
      </c>
      <c r="AE239">
        <v>1.2446343699999999E-2</v>
      </c>
      <c r="AF239">
        <v>1.24463222E-2</v>
      </c>
      <c r="AG239">
        <v>1.24463001E-2</v>
      </c>
      <c r="AH239">
        <v>1.24462785E-2</v>
      </c>
      <c r="AI239">
        <v>1.2446255999999999E-2</v>
      </c>
      <c r="AJ239">
        <v>1.2446234E-2</v>
      </c>
      <c r="AK239">
        <v>1.24462123E-2</v>
      </c>
      <c r="AL239">
        <v>1.24461902E-2</v>
      </c>
      <c r="AM239">
        <v>1.24461685E-2</v>
      </c>
      <c r="AN239">
        <v>1.24461463E-2</v>
      </c>
      <c r="AO239">
        <v>1.2446124500000001E-2</v>
      </c>
      <c r="AP239">
        <v>1.24461031E-2</v>
      </c>
      <c r="AQ239">
        <v>1.2446081899999999E-2</v>
      </c>
      <c r="AR239">
        <v>1.2446061099999999E-2</v>
      </c>
      <c r="AS239">
        <v>1.2445991999999999E-2</v>
      </c>
      <c r="AT239">
        <v>1.24459237E-2</v>
      </c>
      <c r="AU239">
        <v>1.24458563E-2</v>
      </c>
      <c r="AV239">
        <v>1.2445789699999999E-2</v>
      </c>
      <c r="AW239">
        <v>1.24457239E-2</v>
      </c>
    </row>
    <row r="240" spans="2:49" x14ac:dyDescent="0.25">
      <c r="B240" t="s">
        <v>541</v>
      </c>
      <c r="C240">
        <v>8.2546962733871607E-3</v>
      </c>
      <c r="D240">
        <v>8.2546962733871607E-3</v>
      </c>
      <c r="E240">
        <v>1.2675264800000001E-2</v>
      </c>
      <c r="F240">
        <v>2.1269909399999998E-2</v>
      </c>
      <c r="G240">
        <v>2.91423798E-2</v>
      </c>
      <c r="H240">
        <v>3.62512054E-2</v>
      </c>
      <c r="I240">
        <v>4.2531170899999998E-2</v>
      </c>
      <c r="J240">
        <v>4.7886742699999998E-2</v>
      </c>
      <c r="K240">
        <v>5.2183302199999997E-2</v>
      </c>
      <c r="L240">
        <v>5.5235482799999999E-2</v>
      </c>
      <c r="M240">
        <v>5.6791675799999997E-2</v>
      </c>
      <c r="N240">
        <v>5.6513464499999999E-2</v>
      </c>
      <c r="O240">
        <v>6.1981451899999998E-2</v>
      </c>
      <c r="P240">
        <v>6.7640265300000002E-2</v>
      </c>
      <c r="Q240">
        <v>7.33781612E-2</v>
      </c>
      <c r="R240">
        <v>7.92310975E-2</v>
      </c>
      <c r="S240">
        <v>8.5267193800000002E-2</v>
      </c>
      <c r="T240">
        <v>8.9244817500000004E-2</v>
      </c>
      <c r="U240">
        <v>9.3245369999999994E-2</v>
      </c>
      <c r="V240">
        <v>9.7269050100000004E-2</v>
      </c>
      <c r="W240">
        <v>0.10505175849999999</v>
      </c>
      <c r="X240">
        <v>0.1121811186</v>
      </c>
      <c r="Y240">
        <v>0.1183473904</v>
      </c>
      <c r="Z240">
        <v>0.1244098166</v>
      </c>
      <c r="AA240">
        <v>0.1303709985</v>
      </c>
      <c r="AB240">
        <v>0.1341336836</v>
      </c>
      <c r="AC240">
        <v>0.13783550350000001</v>
      </c>
      <c r="AD240">
        <v>0.1442247763</v>
      </c>
      <c r="AE240">
        <v>0.1504649961</v>
      </c>
      <c r="AF240">
        <v>0.15656131840000001</v>
      </c>
      <c r="AG240">
        <v>0.1628340499</v>
      </c>
      <c r="AH240">
        <v>0.16896638899999999</v>
      </c>
      <c r="AI240">
        <v>0.17525080470000001</v>
      </c>
      <c r="AJ240">
        <v>0.181409813</v>
      </c>
      <c r="AK240">
        <v>0.1874471308</v>
      </c>
      <c r="AL240">
        <v>0.19362757459999999</v>
      </c>
      <c r="AM240">
        <v>0.1996896346</v>
      </c>
      <c r="AN240">
        <v>0.20594215490000001</v>
      </c>
      <c r="AO240">
        <v>0.21210102</v>
      </c>
      <c r="AP240">
        <v>0.21816831850000001</v>
      </c>
      <c r="AQ240">
        <v>0.2241460773</v>
      </c>
      <c r="AR240">
        <v>0.23003626420000001</v>
      </c>
      <c r="AS240">
        <v>0.2354981421</v>
      </c>
      <c r="AT240">
        <v>0.2408922815</v>
      </c>
      <c r="AU240">
        <v>0.2462199347</v>
      </c>
      <c r="AV240">
        <v>0.2514823236</v>
      </c>
      <c r="AW240">
        <v>0.25668063990000001</v>
      </c>
    </row>
    <row r="241" spans="2:49" x14ac:dyDescent="0.25">
      <c r="B241" t="s">
        <v>542</v>
      </c>
      <c r="C241">
        <v>1.85730666151211E-3</v>
      </c>
      <c r="D241">
        <v>1.85730666151211E-3</v>
      </c>
      <c r="E241">
        <v>1.2675264800000001E-2</v>
      </c>
      <c r="F241">
        <v>1.32584443E-2</v>
      </c>
      <c r="G241">
        <v>1.4033777799999999E-2</v>
      </c>
      <c r="H241">
        <v>1.50637128E-2</v>
      </c>
      <c r="I241">
        <v>1.64310475E-2</v>
      </c>
      <c r="J241">
        <v>1.8245561800000001E-2</v>
      </c>
      <c r="K241">
        <v>2.0652809099999999E-2</v>
      </c>
      <c r="L241">
        <v>2.3845773399999999E-2</v>
      </c>
      <c r="M241">
        <v>2.8080325999999999E-2</v>
      </c>
      <c r="N241">
        <v>3.3695719800000003E-2</v>
      </c>
      <c r="O241">
        <v>3.6100387999999997E-2</v>
      </c>
      <c r="P241">
        <v>3.85889762E-2</v>
      </c>
      <c r="Q241">
        <v>4.1097675799999997E-2</v>
      </c>
      <c r="R241">
        <v>4.3648442000000003E-2</v>
      </c>
      <c r="S241">
        <v>4.62790311E-2</v>
      </c>
      <c r="T241">
        <v>4.75168464E-2</v>
      </c>
      <c r="U241">
        <v>4.8761796900000001E-2</v>
      </c>
      <c r="V241">
        <v>5.00139447E-2</v>
      </c>
      <c r="W241">
        <v>5.2413155400000001E-2</v>
      </c>
      <c r="X241">
        <v>5.4610955400000001E-2</v>
      </c>
      <c r="Y241">
        <v>5.7422993999999998E-2</v>
      </c>
      <c r="Z241">
        <v>6.01876753E-2</v>
      </c>
      <c r="AA241">
        <v>6.2906185700000006E-2</v>
      </c>
      <c r="AB241">
        <v>6.5688609600000003E-2</v>
      </c>
      <c r="AC241">
        <v>6.8426025200000004E-2</v>
      </c>
      <c r="AD241">
        <v>7.5189841600000001E-2</v>
      </c>
      <c r="AE241">
        <v>8.17958674E-2</v>
      </c>
      <c r="AF241">
        <v>8.8249560399999996E-2</v>
      </c>
      <c r="AG241">
        <v>9.4883503600000002E-2</v>
      </c>
      <c r="AH241">
        <v>0.1013689701</v>
      </c>
      <c r="AI241">
        <v>0.1080120933</v>
      </c>
      <c r="AJ241">
        <v>0.11452265120000001</v>
      </c>
      <c r="AK241">
        <v>0.1209045725</v>
      </c>
      <c r="AL241">
        <v>0.1274341303</v>
      </c>
      <c r="AM241">
        <v>0.1338386171</v>
      </c>
      <c r="AN241">
        <v>0.14043984030000001</v>
      </c>
      <c r="AO241">
        <v>0.14694218519999999</v>
      </c>
      <c r="AP241">
        <v>0.15334785679999999</v>
      </c>
      <c r="AQ241">
        <v>0.15965899510000001</v>
      </c>
      <c r="AR241">
        <v>0.16587767749999999</v>
      </c>
      <c r="AS241">
        <v>0.16871152410000001</v>
      </c>
      <c r="AT241">
        <v>0.1715102251</v>
      </c>
      <c r="AU241">
        <v>0.17427443040000001</v>
      </c>
      <c r="AV241">
        <v>0.1770047739</v>
      </c>
      <c r="AW241">
        <v>0.1797018739</v>
      </c>
    </row>
    <row r="242" spans="2:49" x14ac:dyDescent="0.25">
      <c r="B242" t="s">
        <v>543</v>
      </c>
      <c r="C242">
        <v>9.2848272947954696E-2</v>
      </c>
      <c r="D242">
        <v>9.2848272947954599E-2</v>
      </c>
      <c r="E242">
        <v>9.0528957699999996E-2</v>
      </c>
      <c r="F242">
        <v>8.7010347700000004E-2</v>
      </c>
      <c r="G242">
        <v>8.3631104799999995E-2</v>
      </c>
      <c r="H242">
        <v>8.0385467500000002E-2</v>
      </c>
      <c r="I242">
        <v>7.7267934900000002E-2</v>
      </c>
      <c r="J242">
        <v>7.42732527E-2</v>
      </c>
      <c r="K242">
        <v>7.1396400200000001E-2</v>
      </c>
      <c r="L242">
        <v>6.8632578299999997E-2</v>
      </c>
      <c r="M242">
        <v>6.5977198400000006E-2</v>
      </c>
      <c r="N242">
        <v>6.3425871699999997E-2</v>
      </c>
      <c r="O242">
        <v>7.0110775400000006E-2</v>
      </c>
      <c r="P242">
        <v>7.7028973799999997E-2</v>
      </c>
      <c r="Q242">
        <v>8.4053250800000007E-2</v>
      </c>
      <c r="R242">
        <v>9.1223631999999999E-2</v>
      </c>
      <c r="S242">
        <v>9.86184009E-2</v>
      </c>
      <c r="T242">
        <v>0.102993055</v>
      </c>
      <c r="U242">
        <v>0.10739292659999999</v>
      </c>
      <c r="V242">
        <v>0.1118182343</v>
      </c>
      <c r="W242">
        <v>0.1072653261</v>
      </c>
      <c r="X242">
        <v>0.1030946286</v>
      </c>
      <c r="Y242">
        <v>0.10190257699999999</v>
      </c>
      <c r="Z242">
        <v>0.1007306006</v>
      </c>
      <c r="AA242">
        <v>9.9578196600000002E-2</v>
      </c>
      <c r="AB242">
        <v>9.8715857099999998E-2</v>
      </c>
      <c r="AC242">
        <v>9.7867466799999997E-2</v>
      </c>
      <c r="AD242">
        <v>9.7699737699999997E-2</v>
      </c>
      <c r="AE242">
        <v>9.7535921499999997E-2</v>
      </c>
      <c r="AF242">
        <v>9.7375882799999897E-2</v>
      </c>
      <c r="AG242">
        <v>9.7219118500000007E-2</v>
      </c>
      <c r="AH242">
        <v>9.70658628E-2</v>
      </c>
      <c r="AI242">
        <v>9.6912670000000006E-2</v>
      </c>
      <c r="AJ242">
        <v>9.67625342E-2</v>
      </c>
      <c r="AK242">
        <v>9.6615364800000006E-2</v>
      </c>
      <c r="AL242">
        <v>9.64691565E-2</v>
      </c>
      <c r="AM242">
        <v>9.6325748700000005E-2</v>
      </c>
      <c r="AN242">
        <v>9.6183287000000006E-2</v>
      </c>
      <c r="AO242">
        <v>9.6042959100000005E-2</v>
      </c>
      <c r="AP242">
        <v>9.5904717599999995E-2</v>
      </c>
      <c r="AQ242">
        <v>9.5768516200000001E-2</v>
      </c>
      <c r="AR242">
        <v>9.5634310099999995E-2</v>
      </c>
      <c r="AS242">
        <v>9.5245415E-2</v>
      </c>
      <c r="AT242">
        <v>9.4861343000000001E-2</v>
      </c>
      <c r="AU242">
        <v>9.44820049E-2</v>
      </c>
      <c r="AV242">
        <v>9.41073137E-2</v>
      </c>
      <c r="AW242">
        <v>9.3737184599999995E-2</v>
      </c>
    </row>
    <row r="243" spans="2:49" x14ac:dyDescent="0.25">
      <c r="B243" t="s">
        <v>544</v>
      </c>
      <c r="C243">
        <v>6.0146533669896496E-3</v>
      </c>
      <c r="D243">
        <v>6.0146533669896496E-3</v>
      </c>
      <c r="E243">
        <v>1.2675264800000001E-2</v>
      </c>
      <c r="F243">
        <v>1.33558272E-2</v>
      </c>
      <c r="G243">
        <v>1.41166917E-2</v>
      </c>
      <c r="H243">
        <v>1.4967230600000001E-2</v>
      </c>
      <c r="I243">
        <v>1.59179175E-2</v>
      </c>
      <c r="J243">
        <v>1.6980455799999999E-2</v>
      </c>
      <c r="K243">
        <v>1.8167923499999999E-2</v>
      </c>
      <c r="L243">
        <v>1.94949336E-2</v>
      </c>
      <c r="M243">
        <v>2.09778147E-2</v>
      </c>
      <c r="N243">
        <v>2.2634811599999999E-2</v>
      </c>
      <c r="O243">
        <v>2.1877136299999999E-2</v>
      </c>
      <c r="P243">
        <v>2.1093019099999999E-2</v>
      </c>
      <c r="Q243">
        <v>2.02474123E-2</v>
      </c>
      <c r="R243">
        <v>1.9356493799999999E-2</v>
      </c>
      <c r="S243">
        <v>1.84376952E-2</v>
      </c>
      <c r="T243">
        <v>1.9024365599999999E-2</v>
      </c>
      <c r="U243">
        <v>1.9614417799999999E-2</v>
      </c>
      <c r="V243">
        <v>2.02078812E-2</v>
      </c>
      <c r="W243">
        <v>2.45221199E-2</v>
      </c>
      <c r="X243">
        <v>2.8474184E-2</v>
      </c>
      <c r="Y243">
        <v>2.9141448399999999E-2</v>
      </c>
      <c r="Z243">
        <v>2.97974755E-2</v>
      </c>
      <c r="AA243">
        <v>3.04425467E-2</v>
      </c>
      <c r="AB243">
        <v>3.1111033999999999E-2</v>
      </c>
      <c r="AC243">
        <v>3.1768707799999997E-2</v>
      </c>
      <c r="AD243">
        <v>3.1934641299999997E-2</v>
      </c>
      <c r="AE243">
        <v>3.20967037E-2</v>
      </c>
      <c r="AF243">
        <v>3.2255029099999999E-2</v>
      </c>
      <c r="AG243">
        <v>3.2421599400000001E-2</v>
      </c>
      <c r="AH243">
        <v>3.2584441700000001E-2</v>
      </c>
      <c r="AI243">
        <v>3.3996835000000003E-2</v>
      </c>
      <c r="AJ243">
        <v>3.5381043700000003E-2</v>
      </c>
      <c r="AK243">
        <v>3.6737903000000002E-2</v>
      </c>
      <c r="AL243">
        <v>3.8131977400000003E-2</v>
      </c>
      <c r="AM243">
        <v>3.94993488E-2</v>
      </c>
      <c r="AN243">
        <v>3.9719249999999998E-2</v>
      </c>
      <c r="AO243">
        <v>3.9935857200000001E-2</v>
      </c>
      <c r="AP243">
        <v>4.0149244100000002E-2</v>
      </c>
      <c r="AQ243">
        <v>4.0359481900000001E-2</v>
      </c>
      <c r="AR243">
        <v>4.0566639699999997E-2</v>
      </c>
      <c r="AS243">
        <v>4.0821794699999997E-2</v>
      </c>
      <c r="AT243">
        <v>4.1073785299999999E-2</v>
      </c>
      <c r="AU243">
        <v>4.1322669899999998E-2</v>
      </c>
      <c r="AV243">
        <v>4.15685056E-2</v>
      </c>
      <c r="AW243">
        <v>4.1811348200000001E-2</v>
      </c>
    </row>
    <row r="244" spans="2:49" x14ac:dyDescent="0.25">
      <c r="B244" t="s">
        <v>545</v>
      </c>
      <c r="C244">
        <v>0.92287069498865704</v>
      </c>
      <c r="D244">
        <v>0.92287069498865704</v>
      </c>
      <c r="E244">
        <v>0.90827002150000002</v>
      </c>
      <c r="F244">
        <v>0.88209099820000003</v>
      </c>
      <c r="G244">
        <v>0.85693183049999999</v>
      </c>
      <c r="H244">
        <v>0.8320539334</v>
      </c>
      <c r="I244">
        <v>0.80839701289999999</v>
      </c>
      <c r="J244">
        <v>0.78551756110000004</v>
      </c>
      <c r="K244">
        <v>0.76336966309999998</v>
      </c>
      <c r="L244">
        <v>0.74173705320000005</v>
      </c>
      <c r="M244">
        <v>0.72040816740000002</v>
      </c>
      <c r="N244">
        <v>0.6997815543</v>
      </c>
      <c r="O244">
        <v>0.69707629049999997</v>
      </c>
      <c r="P244">
        <v>0.69488290509999995</v>
      </c>
      <c r="Q244">
        <v>0.69304693750000002</v>
      </c>
      <c r="R244">
        <v>0.69138558019999996</v>
      </c>
      <c r="S244">
        <v>0.68926574740000002</v>
      </c>
      <c r="T244">
        <v>0.664003801</v>
      </c>
      <c r="U244">
        <v>0.63819374910000004</v>
      </c>
      <c r="V244">
        <v>0.61179995880000004</v>
      </c>
      <c r="W244">
        <v>0.64145044610000002</v>
      </c>
      <c r="X244">
        <v>0.66940638460000002</v>
      </c>
      <c r="Y244">
        <v>0.66317650579999998</v>
      </c>
      <c r="Z244">
        <v>0.65691364699999999</v>
      </c>
      <c r="AA244">
        <v>0.65069227080000003</v>
      </c>
      <c r="AB244">
        <v>0.64427919389999999</v>
      </c>
      <c r="AC244">
        <v>0.63784752280000001</v>
      </c>
      <c r="AD244">
        <v>0.63223553229999996</v>
      </c>
      <c r="AE244">
        <v>0.62667508260000004</v>
      </c>
      <c r="AF244">
        <v>0.62117798170000005</v>
      </c>
      <c r="AG244">
        <v>0.61558661609999998</v>
      </c>
      <c r="AH244">
        <v>0.61004962240000005</v>
      </c>
      <c r="AI244">
        <v>0.60759977300000001</v>
      </c>
      <c r="AJ244">
        <v>0.60517849339999996</v>
      </c>
      <c r="AK244">
        <v>0.60277964449999999</v>
      </c>
      <c r="AL244">
        <v>0.60034892019999997</v>
      </c>
      <c r="AM244">
        <v>0.5979386807</v>
      </c>
      <c r="AN244">
        <v>0.59500394940000001</v>
      </c>
      <c r="AO244">
        <v>0.59209760980000004</v>
      </c>
      <c r="AP244">
        <v>0.58920794720000003</v>
      </c>
      <c r="AQ244">
        <v>0.58633457460000005</v>
      </c>
      <c r="AR244">
        <v>0.58348417100000005</v>
      </c>
      <c r="AS244">
        <v>0.58054297960000001</v>
      </c>
      <c r="AT244">
        <v>0.57760738430000003</v>
      </c>
      <c r="AU244">
        <v>0.57468030699999995</v>
      </c>
      <c r="AV244">
        <v>0.57176204750000004</v>
      </c>
      <c r="AW244">
        <v>0.56883617139999998</v>
      </c>
    </row>
    <row r="245" spans="2:49" x14ac:dyDescent="0.25">
      <c r="B245" t="s">
        <v>546</v>
      </c>
      <c r="C245">
        <v>4.1245617653124303E-2</v>
      </c>
      <c r="D245">
        <v>4.1245617653124303E-2</v>
      </c>
      <c r="E245">
        <v>4.0301958700000001E-2</v>
      </c>
      <c r="F245">
        <v>6.4136590600000001E-2</v>
      </c>
      <c r="G245">
        <v>8.6254055199999999E-2</v>
      </c>
      <c r="H245">
        <v>0.10689463439999999</v>
      </c>
      <c r="I245">
        <v>0.1252136677</v>
      </c>
      <c r="J245">
        <v>0.1411427344</v>
      </c>
      <c r="K245">
        <v>0.1542792211</v>
      </c>
      <c r="L245">
        <v>0.16408434259999999</v>
      </c>
      <c r="M245">
        <v>0.16998390820000001</v>
      </c>
      <c r="N245">
        <v>0.1709239883</v>
      </c>
      <c r="O245">
        <v>0.1728169611</v>
      </c>
      <c r="P245">
        <v>0.1744164238</v>
      </c>
      <c r="Q245">
        <v>0.1758091547</v>
      </c>
      <c r="R245">
        <v>0.1770989429</v>
      </c>
      <c r="S245">
        <v>0.17864928420000001</v>
      </c>
      <c r="T245">
        <v>0.18324179900000001</v>
      </c>
      <c r="U245">
        <v>0.18792791280000001</v>
      </c>
      <c r="V245">
        <v>0.1927204958</v>
      </c>
      <c r="W245">
        <v>0.1944847026</v>
      </c>
      <c r="X245">
        <v>0.19622953879999999</v>
      </c>
      <c r="Y245">
        <v>0.19864728479999999</v>
      </c>
      <c r="Z245">
        <v>0.20108252500000001</v>
      </c>
      <c r="AA245">
        <v>0.20349162479999999</v>
      </c>
      <c r="AB245">
        <v>0.20593310109999999</v>
      </c>
      <c r="AC245">
        <v>0.20838398550000001</v>
      </c>
      <c r="AD245">
        <v>0.2110257958</v>
      </c>
      <c r="AE245">
        <v>0.2136418024</v>
      </c>
      <c r="AF245">
        <v>0.21622529800000001</v>
      </c>
      <c r="AG245">
        <v>0.218795713</v>
      </c>
      <c r="AH245">
        <v>0.22133940020000001</v>
      </c>
      <c r="AI245">
        <v>0.2217721175</v>
      </c>
      <c r="AJ245">
        <v>0.2221933257</v>
      </c>
      <c r="AK245">
        <v>0.2226065508</v>
      </c>
      <c r="AL245">
        <v>0.2229963992</v>
      </c>
      <c r="AM245">
        <v>0.22337954600000001</v>
      </c>
      <c r="AN245">
        <v>0.22420548039999999</v>
      </c>
      <c r="AO245">
        <v>0.2250177069</v>
      </c>
      <c r="AP245">
        <v>0.22582278</v>
      </c>
      <c r="AQ245">
        <v>0.2266209565</v>
      </c>
      <c r="AR245">
        <v>0.2274086307</v>
      </c>
      <c r="AS245">
        <v>0.22727525909999999</v>
      </c>
      <c r="AT245">
        <v>0.22713513169999999</v>
      </c>
      <c r="AU245">
        <v>0.226986823</v>
      </c>
      <c r="AV245">
        <v>0.22683033999999999</v>
      </c>
      <c r="AW245">
        <v>0.22667448809999999</v>
      </c>
    </row>
    <row r="246" spans="2:49" x14ac:dyDescent="0.25">
      <c r="B246" t="s">
        <v>547</v>
      </c>
      <c r="C246">
        <v>5.1557022066405396E-3</v>
      </c>
      <c r="D246">
        <v>5.1557022066405396E-3</v>
      </c>
      <c r="E246">
        <v>1.21720983E-2</v>
      </c>
      <c r="F246">
        <v>1.2174143300000001E-2</v>
      </c>
      <c r="G246">
        <v>1.2156322799999999E-2</v>
      </c>
      <c r="H246">
        <v>1.2179184500000001E-2</v>
      </c>
      <c r="I246">
        <v>1.2166164199999999E-2</v>
      </c>
      <c r="J246">
        <v>1.2152912E-2</v>
      </c>
      <c r="K246">
        <v>1.2140593200000001E-2</v>
      </c>
      <c r="L246">
        <v>1.21290636E-2</v>
      </c>
      <c r="M246">
        <v>1.2126949600000001E-2</v>
      </c>
      <c r="N246">
        <v>1.21229258E-2</v>
      </c>
      <c r="O246">
        <v>1.35676601E-2</v>
      </c>
      <c r="P246">
        <v>1.4983845399999999E-2</v>
      </c>
      <c r="Q246">
        <v>1.6373323299999999E-2</v>
      </c>
      <c r="R246">
        <v>1.77423819E-2</v>
      </c>
      <c r="S246">
        <v>1.91281679E-2</v>
      </c>
      <c r="T246">
        <v>2.46880591E-2</v>
      </c>
      <c r="U246">
        <v>3.0371019900000001E-2</v>
      </c>
      <c r="V246">
        <v>3.6182315200000002E-2</v>
      </c>
      <c r="W246">
        <v>2.8824872800000002E-2</v>
      </c>
      <c r="X246">
        <v>2.18652137E-2</v>
      </c>
      <c r="Y246">
        <v>2.18549083E-2</v>
      </c>
      <c r="Z246">
        <v>2.1846097500000002E-2</v>
      </c>
      <c r="AA246">
        <v>2.1834042200000001E-2</v>
      </c>
      <c r="AB246">
        <v>2.18202087E-2</v>
      </c>
      <c r="AC246">
        <v>2.1807081200000002E-2</v>
      </c>
      <c r="AD246">
        <v>2.22795719E-2</v>
      </c>
      <c r="AE246">
        <v>2.2748076400000001E-2</v>
      </c>
      <c r="AF246">
        <v>2.32118636E-2</v>
      </c>
      <c r="AG246">
        <v>2.36759325E-2</v>
      </c>
      <c r="AH246">
        <v>2.4135827499999998E-2</v>
      </c>
      <c r="AI246">
        <v>2.4709866600000002E-2</v>
      </c>
      <c r="AJ246">
        <v>2.5280061499999999E-2</v>
      </c>
      <c r="AK246">
        <v>2.5846773900000002E-2</v>
      </c>
      <c r="AL246">
        <v>2.6420108500000001E-2</v>
      </c>
      <c r="AM246">
        <v>2.69900699E-2</v>
      </c>
      <c r="AN246">
        <v>2.7494615399999998E-2</v>
      </c>
      <c r="AO246">
        <v>2.7996465200000001E-2</v>
      </c>
      <c r="AP246">
        <v>2.8496388099999999E-2</v>
      </c>
      <c r="AQ246">
        <v>2.8994394199999999E-2</v>
      </c>
      <c r="AR246">
        <v>2.94899949E-2</v>
      </c>
      <c r="AS246">
        <v>2.9890637300000002E-2</v>
      </c>
      <c r="AT246">
        <v>3.02912927E-2</v>
      </c>
      <c r="AU246">
        <v>3.06917357E-2</v>
      </c>
      <c r="AV246">
        <v>3.1091925999999999E-2</v>
      </c>
      <c r="AW246">
        <v>3.1493045900000002E-2</v>
      </c>
    </row>
    <row r="247" spans="2:49" x14ac:dyDescent="0.25">
      <c r="B247" t="s">
        <v>548</v>
      </c>
      <c r="C247">
        <v>1.5260878531656001E-2</v>
      </c>
      <c r="D247">
        <v>1.5260878531656001E-2</v>
      </c>
      <c r="E247">
        <v>1.49117247E-2</v>
      </c>
      <c r="F247">
        <v>1.4455180200000001E-2</v>
      </c>
      <c r="G247">
        <v>1.39897514E-2</v>
      </c>
      <c r="H247">
        <v>1.3584656400000001E-2</v>
      </c>
      <c r="I247">
        <v>1.31524542E-2</v>
      </c>
      <c r="J247">
        <v>1.2733745100000001E-2</v>
      </c>
      <c r="K247">
        <v>1.2329298900000001E-2</v>
      </c>
      <c r="L247">
        <v>1.21290636E-2</v>
      </c>
      <c r="M247">
        <v>1.2126949600000001E-2</v>
      </c>
      <c r="N247">
        <v>1.21229258E-2</v>
      </c>
      <c r="O247">
        <v>1.6873722800000001E-2</v>
      </c>
      <c r="P247">
        <v>2.1576465999999999E-2</v>
      </c>
      <c r="Q247">
        <v>2.6222114899999999E-2</v>
      </c>
      <c r="R247">
        <v>3.0814250599999999E-2</v>
      </c>
      <c r="S247">
        <v>3.5418692199999997E-2</v>
      </c>
      <c r="T247">
        <v>3.6829734599999997E-2</v>
      </c>
      <c r="U247">
        <v>3.8270498600000001E-2</v>
      </c>
      <c r="V247">
        <v>3.9743919500000002E-2</v>
      </c>
      <c r="W247">
        <v>3.12241963E-2</v>
      </c>
      <c r="X247">
        <v>2.3164282599999999E-2</v>
      </c>
      <c r="Y247">
        <v>2.3177883999999999E-2</v>
      </c>
      <c r="Z247">
        <v>2.31931085E-2</v>
      </c>
      <c r="AA247">
        <v>2.3204925000000001E-2</v>
      </c>
      <c r="AB247">
        <v>2.3204300300000001E-2</v>
      </c>
      <c r="AC247">
        <v>2.3204441499999999E-2</v>
      </c>
      <c r="AD247">
        <v>2.30583639E-2</v>
      </c>
      <c r="AE247">
        <v>2.2912301E-2</v>
      </c>
      <c r="AF247">
        <v>2.2765571200000001E-2</v>
      </c>
      <c r="AG247">
        <v>2.26162936E-2</v>
      </c>
      <c r="AH247">
        <v>2.2467113600000001E-2</v>
      </c>
      <c r="AI247">
        <v>2.2384440700000001E-2</v>
      </c>
      <c r="AJ247">
        <v>2.2301221699999998E-2</v>
      </c>
      <c r="AK247">
        <v>2.2217819999999999E-2</v>
      </c>
      <c r="AL247">
        <v>2.2133107799999999E-2</v>
      </c>
      <c r="AM247">
        <v>2.20483343E-2</v>
      </c>
      <c r="AN247">
        <v>2.2000177499999999E-2</v>
      </c>
      <c r="AO247">
        <v>2.1951000599999999E-2</v>
      </c>
      <c r="AP247">
        <v>2.1901458200000001E-2</v>
      </c>
      <c r="AQ247">
        <v>2.1851582099999999E-2</v>
      </c>
      <c r="AR247">
        <v>2.1801033500000001E-2</v>
      </c>
      <c r="AS247">
        <v>2.1813440199999999E-2</v>
      </c>
      <c r="AT247">
        <v>2.1825252900000001E-2</v>
      </c>
      <c r="AU247">
        <v>2.1836332399999998E-2</v>
      </c>
      <c r="AV247">
        <v>2.1846676799999999E-2</v>
      </c>
      <c r="AW247">
        <v>2.1857132899999999E-2</v>
      </c>
    </row>
    <row r="248" spans="2:49" x14ac:dyDescent="0.25">
      <c r="B248" t="s">
        <v>549</v>
      </c>
      <c r="C248">
        <v>5.1557022066405396E-3</v>
      </c>
      <c r="D248">
        <v>5.1557022066405396E-3</v>
      </c>
      <c r="E248">
        <v>1.21720983E-2</v>
      </c>
      <c r="F248">
        <v>1.2174143300000001E-2</v>
      </c>
      <c r="G248">
        <v>1.2156322799999999E-2</v>
      </c>
      <c r="H248">
        <v>1.2179184500000001E-2</v>
      </c>
      <c r="I248">
        <v>1.2166164199999999E-2</v>
      </c>
      <c r="J248">
        <v>1.2152912E-2</v>
      </c>
      <c r="K248">
        <v>1.2140593200000001E-2</v>
      </c>
      <c r="L248">
        <v>1.21290636E-2</v>
      </c>
      <c r="M248">
        <v>1.2126949600000001E-2</v>
      </c>
      <c r="N248">
        <v>1.21229258E-2</v>
      </c>
      <c r="O248">
        <v>1.28924604E-2</v>
      </c>
      <c r="P248">
        <v>1.36374297E-2</v>
      </c>
      <c r="Q248">
        <v>1.4361897300000001E-2</v>
      </c>
      <c r="R248">
        <v>1.5072704500000001E-2</v>
      </c>
      <c r="S248">
        <v>1.5801142099999999E-2</v>
      </c>
      <c r="T248">
        <v>1.7444936599999999E-2</v>
      </c>
      <c r="U248">
        <v>1.91246149E-2</v>
      </c>
      <c r="V248">
        <v>2.0842264400000001E-2</v>
      </c>
      <c r="W248">
        <v>1.7974932799999999E-2</v>
      </c>
      <c r="X248">
        <v>1.5265169E-2</v>
      </c>
      <c r="Y248">
        <v>1.5357265599999999E-2</v>
      </c>
      <c r="Z248">
        <v>1.5450566900000001E-2</v>
      </c>
      <c r="AA248">
        <v>1.5541721E-2</v>
      </c>
      <c r="AB248">
        <v>1.5631451399999999E-2</v>
      </c>
      <c r="AC248">
        <v>1.5721793899999999E-2</v>
      </c>
      <c r="AD248">
        <v>1.5673145499999999E-2</v>
      </c>
      <c r="AE248">
        <v>1.56241769E-2</v>
      </c>
      <c r="AF248">
        <v>1.5574418899999999E-2</v>
      </c>
      <c r="AG248">
        <v>1.55241979E-2</v>
      </c>
      <c r="AH248">
        <v>1.5473683800000001E-2</v>
      </c>
      <c r="AI248">
        <v>1.54467658E-2</v>
      </c>
      <c r="AJ248">
        <v>1.5419324200000001E-2</v>
      </c>
      <c r="AK248">
        <v>1.53916079E-2</v>
      </c>
      <c r="AL248">
        <v>1.5363934900000001E-2</v>
      </c>
      <c r="AM248">
        <v>1.5336067E-2</v>
      </c>
      <c r="AN248">
        <v>1.5322404499999999E-2</v>
      </c>
      <c r="AO248">
        <v>1.5307981700000001E-2</v>
      </c>
      <c r="AP248">
        <v>1.52932524E-2</v>
      </c>
      <c r="AQ248">
        <v>1.5278238E-2</v>
      </c>
      <c r="AR248">
        <v>1.52627002E-2</v>
      </c>
      <c r="AS248">
        <v>1.52672654E-2</v>
      </c>
      <c r="AT248">
        <v>1.52714059E-2</v>
      </c>
      <c r="AU248">
        <v>1.52750248E-2</v>
      </c>
      <c r="AV248">
        <v>1.52781211E-2</v>
      </c>
      <c r="AW248">
        <v>1.52812873E-2</v>
      </c>
    </row>
    <row r="249" spans="2:49" x14ac:dyDescent="0.25">
      <c r="B249" t="s">
        <v>550</v>
      </c>
      <c r="C249">
        <v>1.0311404413280999E-2</v>
      </c>
      <c r="D249">
        <v>1.0311404413280999E-2</v>
      </c>
      <c r="E249">
        <v>1.21720983E-2</v>
      </c>
      <c r="F249">
        <v>1.4968944499999999E-2</v>
      </c>
      <c r="G249">
        <v>1.8511717300000001E-2</v>
      </c>
      <c r="H249">
        <v>2.3108406799999998E-2</v>
      </c>
      <c r="I249">
        <v>2.89045369E-2</v>
      </c>
      <c r="J249">
        <v>3.6300135400000003E-2</v>
      </c>
      <c r="K249">
        <v>4.5740630499999997E-2</v>
      </c>
      <c r="L249">
        <v>5.7791413399999998E-2</v>
      </c>
      <c r="M249">
        <v>7.3227075599999997E-2</v>
      </c>
      <c r="N249">
        <v>9.2925679999999997E-2</v>
      </c>
      <c r="O249">
        <v>8.6772904999999997E-2</v>
      </c>
      <c r="P249">
        <v>8.0502929900000006E-2</v>
      </c>
      <c r="Q249">
        <v>7.4186572300000003E-2</v>
      </c>
      <c r="R249">
        <v>6.7886139799999995E-2</v>
      </c>
      <c r="S249">
        <v>6.17369662E-2</v>
      </c>
      <c r="T249">
        <v>7.3791669700000007E-2</v>
      </c>
      <c r="U249">
        <v>8.61122047E-2</v>
      </c>
      <c r="V249">
        <v>9.8711046199999999E-2</v>
      </c>
      <c r="W249">
        <v>8.6040849399999994E-2</v>
      </c>
      <c r="X249">
        <v>7.4069411200000004E-2</v>
      </c>
      <c r="Y249">
        <v>7.7786151600000006E-2</v>
      </c>
      <c r="Z249">
        <v>8.1514055099999996E-2</v>
      </c>
      <c r="AA249">
        <v>8.5235416199999997E-2</v>
      </c>
      <c r="AB249">
        <v>8.9131744600000007E-2</v>
      </c>
      <c r="AC249">
        <v>9.3035174999999998E-2</v>
      </c>
      <c r="AD249">
        <v>9.5727590700000004E-2</v>
      </c>
      <c r="AE249">
        <v>9.8398560800000007E-2</v>
      </c>
      <c r="AF249">
        <v>0.1010448667</v>
      </c>
      <c r="AG249">
        <v>0.1038012469</v>
      </c>
      <c r="AH249">
        <v>0.1065343525</v>
      </c>
      <c r="AI249">
        <v>0.10808703629999999</v>
      </c>
      <c r="AJ249">
        <v>0.10962757350000001</v>
      </c>
      <c r="AK249">
        <v>0.1111576029</v>
      </c>
      <c r="AL249">
        <v>0.11273752939999999</v>
      </c>
      <c r="AM249">
        <v>0.11430730209999999</v>
      </c>
      <c r="AN249">
        <v>0.1159733728</v>
      </c>
      <c r="AO249">
        <v>0.1176292358</v>
      </c>
      <c r="AP249">
        <v>0.1192781741</v>
      </c>
      <c r="AQ249">
        <v>0.1209202545</v>
      </c>
      <c r="AR249">
        <v>0.12255346960000001</v>
      </c>
      <c r="AS249">
        <v>0.1252104184</v>
      </c>
      <c r="AT249">
        <v>0.12786953249999999</v>
      </c>
      <c r="AU249">
        <v>0.1305297772</v>
      </c>
      <c r="AV249">
        <v>0.13319088849999999</v>
      </c>
      <c r="AW249">
        <v>0.13585787439999999</v>
      </c>
    </row>
    <row r="250" spans="2:49" x14ac:dyDescent="0.25">
      <c r="B250" t="s">
        <v>551</v>
      </c>
      <c r="C250">
        <v>0.99132434052165697</v>
      </c>
      <c r="D250">
        <v>0.99132434052165697</v>
      </c>
      <c r="E250">
        <v>0.82656901640000002</v>
      </c>
      <c r="F250">
        <v>0.82317449480000005</v>
      </c>
      <c r="G250">
        <v>0.81979390799999996</v>
      </c>
      <c r="H250">
        <v>0.81642719880000003</v>
      </c>
      <c r="I250">
        <v>0.81307431029999999</v>
      </c>
      <c r="J250">
        <v>0.80973518570000003</v>
      </c>
      <c r="K250">
        <v>0.80640976860000002</v>
      </c>
      <c r="L250">
        <v>0.80309800259999997</v>
      </c>
      <c r="M250">
        <v>0.79979983170000002</v>
      </c>
      <c r="N250">
        <v>0.7965152002</v>
      </c>
      <c r="O250">
        <v>0.79592063619999998</v>
      </c>
      <c r="P250">
        <v>0.79528828910000005</v>
      </c>
      <c r="Q250">
        <v>0.79461443899999995</v>
      </c>
      <c r="R250">
        <v>0.79389486139999998</v>
      </c>
      <c r="S250">
        <v>0.79312473819999996</v>
      </c>
      <c r="T250">
        <v>0.79099731900000003</v>
      </c>
      <c r="U250">
        <v>0.7889389014</v>
      </c>
      <c r="V250">
        <v>0.78694618199999999</v>
      </c>
      <c r="W250">
        <v>0.78488123249999997</v>
      </c>
      <c r="X250">
        <v>0.78272926700000001</v>
      </c>
      <c r="Y250">
        <v>0.78273180519999996</v>
      </c>
      <c r="Z250">
        <v>0.78273449390000005</v>
      </c>
      <c r="AA250">
        <v>0.78273734660000005</v>
      </c>
      <c r="AB250">
        <v>0.78272493249999997</v>
      </c>
      <c r="AC250">
        <v>0.7827117093</v>
      </c>
      <c r="AD250">
        <v>0.78275419830000004</v>
      </c>
      <c r="AE250">
        <v>0.78279900140000003</v>
      </c>
      <c r="AF250">
        <v>0.78284631280000005</v>
      </c>
      <c r="AG250">
        <v>0.78288928150000003</v>
      </c>
      <c r="AH250">
        <v>0.78293480270000004</v>
      </c>
      <c r="AI250">
        <v>0.78291301999999996</v>
      </c>
      <c r="AJ250">
        <v>0.78289011450000001</v>
      </c>
      <c r="AK250">
        <v>0.78286599729999995</v>
      </c>
      <c r="AL250">
        <v>0.78284922040000005</v>
      </c>
      <c r="AM250">
        <v>0.78283150670000001</v>
      </c>
      <c r="AN250">
        <v>0.78264907549999996</v>
      </c>
      <c r="AO250">
        <v>0.78245960429999994</v>
      </c>
      <c r="AP250">
        <v>0.78226267760000001</v>
      </c>
      <c r="AQ250">
        <v>0.78205784649999999</v>
      </c>
      <c r="AR250">
        <v>0.78184462529999998</v>
      </c>
      <c r="AS250">
        <v>0.78159317770000003</v>
      </c>
      <c r="AT250">
        <v>0.78133617980000003</v>
      </c>
      <c r="AU250">
        <v>0.78107344570000004</v>
      </c>
      <c r="AV250">
        <v>0.78080478099999995</v>
      </c>
      <c r="AW250">
        <v>0.78052998289999997</v>
      </c>
    </row>
    <row r="251" spans="2:49" x14ac:dyDescent="0.25">
      <c r="B251" s="23" t="s">
        <v>303</v>
      </c>
      <c r="C251">
        <v>0.91950930808135101</v>
      </c>
      <c r="D251">
        <v>0.91950930808135101</v>
      </c>
      <c r="E251">
        <v>0.79235364360000005</v>
      </c>
      <c r="F251">
        <v>0.79235364360000005</v>
      </c>
      <c r="G251">
        <v>0.79235364360000005</v>
      </c>
      <c r="H251">
        <v>0.79235364360000005</v>
      </c>
      <c r="I251">
        <v>0.79235364360000005</v>
      </c>
      <c r="J251">
        <v>0.79235364360000005</v>
      </c>
      <c r="K251">
        <v>0.79235364360000005</v>
      </c>
      <c r="L251">
        <v>0.79235364360000005</v>
      </c>
      <c r="M251">
        <v>0.79235364360000005</v>
      </c>
      <c r="N251">
        <v>0.79235364360000005</v>
      </c>
      <c r="O251">
        <v>0.79235364360000005</v>
      </c>
      <c r="P251">
        <v>0.79235364360000005</v>
      </c>
      <c r="Q251">
        <v>0.79235364360000005</v>
      </c>
      <c r="R251">
        <v>0.79235364360000005</v>
      </c>
      <c r="S251">
        <v>0.79235364360000005</v>
      </c>
      <c r="T251">
        <v>0.79235364360000005</v>
      </c>
      <c r="U251">
        <v>0.79235364360000005</v>
      </c>
      <c r="V251">
        <v>0.79235364360000005</v>
      </c>
      <c r="W251">
        <v>0.79235364360000005</v>
      </c>
      <c r="X251">
        <v>0.79235364360000005</v>
      </c>
      <c r="Y251">
        <v>0.79235364360000005</v>
      </c>
      <c r="Z251">
        <v>0.79235364360000005</v>
      </c>
      <c r="AA251">
        <v>0.79235364360000005</v>
      </c>
      <c r="AB251">
        <v>0.79235364360000005</v>
      </c>
      <c r="AC251">
        <v>0.79235364360000005</v>
      </c>
      <c r="AD251">
        <v>0.79235364360000005</v>
      </c>
      <c r="AE251">
        <v>0.79235364360000005</v>
      </c>
      <c r="AF251">
        <v>0.79235364360000005</v>
      </c>
      <c r="AG251">
        <v>0.79235364360000005</v>
      </c>
      <c r="AH251">
        <v>0.79235364360000005</v>
      </c>
      <c r="AI251">
        <v>0.79235364360000005</v>
      </c>
      <c r="AJ251">
        <v>0.79235364360000005</v>
      </c>
      <c r="AK251">
        <v>0.79235364360000005</v>
      </c>
      <c r="AL251">
        <v>0.79235364360000005</v>
      </c>
      <c r="AM251">
        <v>0.79235364360000005</v>
      </c>
      <c r="AN251">
        <v>0.79235364360000005</v>
      </c>
      <c r="AO251">
        <v>0.79235364360000005</v>
      </c>
      <c r="AP251">
        <v>0.79235364360000005</v>
      </c>
      <c r="AQ251">
        <v>0.79235364360000005</v>
      </c>
      <c r="AR251">
        <v>0.79235364360000005</v>
      </c>
      <c r="AS251">
        <v>0.79235364360000005</v>
      </c>
      <c r="AT251">
        <v>0.79235364360000005</v>
      </c>
      <c r="AU251">
        <v>0.79235364360000005</v>
      </c>
      <c r="AV251">
        <v>0.79235364360000005</v>
      </c>
      <c r="AW251">
        <v>0.79235364360000005</v>
      </c>
    </row>
    <row r="252" spans="2:49" x14ac:dyDescent="0.25">
      <c r="B252" t="s">
        <v>254</v>
      </c>
      <c r="C252">
        <v>1.54983431156195</v>
      </c>
      <c r="D252">
        <v>1.57471740274219</v>
      </c>
      <c r="E252">
        <v>1.60860863</v>
      </c>
      <c r="F252">
        <v>1.873045399</v>
      </c>
      <c r="G252">
        <v>2.0755696449999999</v>
      </c>
      <c r="H252">
        <v>2.232830898</v>
      </c>
      <c r="I252">
        <v>2.5033874840000001</v>
      </c>
      <c r="J252">
        <v>2.7134910880000001</v>
      </c>
      <c r="K252">
        <v>2.813347759</v>
      </c>
      <c r="L252">
        <v>2.9338250160000001</v>
      </c>
      <c r="M252">
        <v>3.0906681640000002</v>
      </c>
      <c r="N252">
        <v>3.277185485</v>
      </c>
      <c r="O252">
        <v>4.2825014269999997</v>
      </c>
      <c r="P252">
        <v>5.3898954999999997</v>
      </c>
      <c r="Q252">
        <v>6.4980816949999998</v>
      </c>
      <c r="R252">
        <v>7.7719836359999999</v>
      </c>
      <c r="S252">
        <v>6.5687196139999999</v>
      </c>
      <c r="T252">
        <v>6.5461578789999999</v>
      </c>
      <c r="U252">
        <v>6.58783619</v>
      </c>
      <c r="V252">
        <v>6.6508047140000004</v>
      </c>
      <c r="W252">
        <v>5.9951592219999998</v>
      </c>
      <c r="X252">
        <v>5.4453704299999997</v>
      </c>
      <c r="Y252">
        <v>5.1167888960000001</v>
      </c>
      <c r="Z252">
        <v>4.8707497760000003</v>
      </c>
      <c r="AA252">
        <v>4.677296213</v>
      </c>
      <c r="AB252">
        <v>4.5236961100000004</v>
      </c>
      <c r="AC252">
        <v>4.393589714</v>
      </c>
      <c r="AD252">
        <v>4.3016795510000003</v>
      </c>
      <c r="AE252">
        <v>4.2117990499999998</v>
      </c>
      <c r="AF252">
        <v>4.1265801680000003</v>
      </c>
      <c r="AG252">
        <v>4.045275524</v>
      </c>
      <c r="AH252">
        <v>3.9695549749999999</v>
      </c>
      <c r="AI252">
        <v>3.8942467039999999</v>
      </c>
      <c r="AJ252">
        <v>3.8228503730000001</v>
      </c>
      <c r="AK252">
        <v>3.7569693740000001</v>
      </c>
      <c r="AL252">
        <v>3.695037642</v>
      </c>
      <c r="AM252">
        <v>3.634165034</v>
      </c>
      <c r="AN252">
        <v>3.5783754839999999</v>
      </c>
      <c r="AO252">
        <v>3.5288861100000002</v>
      </c>
      <c r="AP252">
        <v>3.4799140710000001</v>
      </c>
      <c r="AQ252">
        <v>3.4378799369999999</v>
      </c>
      <c r="AR252">
        <v>3.3939473699999998</v>
      </c>
      <c r="AS252">
        <v>3.3653062230000002</v>
      </c>
      <c r="AT252">
        <v>3.337850016</v>
      </c>
      <c r="AU252">
        <v>3.3122877929999999</v>
      </c>
      <c r="AV252">
        <v>3.2862358700000001</v>
      </c>
      <c r="AW252">
        <v>3.2642626219999999</v>
      </c>
    </row>
    <row r="253" spans="2:49" x14ac:dyDescent="0.25">
      <c r="B253" t="s">
        <v>255</v>
      </c>
      <c r="C253">
        <v>0.19372928894524399</v>
      </c>
      <c r="D253">
        <v>0.196839675342774</v>
      </c>
      <c r="E253">
        <v>0.2010760788</v>
      </c>
      <c r="F253">
        <v>0.1902792482</v>
      </c>
      <c r="G253">
        <v>0.1751726794</v>
      </c>
      <c r="H253">
        <v>0.15925526800000001</v>
      </c>
      <c r="I253">
        <v>0.15299376410000001</v>
      </c>
      <c r="J253">
        <v>0.14374549889999999</v>
      </c>
      <c r="K253">
        <v>0.13047423920000001</v>
      </c>
      <c r="L253">
        <v>0.1201684895</v>
      </c>
      <c r="M253">
        <v>0.1127030559</v>
      </c>
      <c r="N253">
        <v>0.1071890858</v>
      </c>
      <c r="O253">
        <v>0.1070013506</v>
      </c>
      <c r="P253">
        <v>0.1028760516</v>
      </c>
      <c r="Q253">
        <v>9.4746092599999998E-2</v>
      </c>
      <c r="R253">
        <v>8.6566571600000003E-2</v>
      </c>
      <c r="S253">
        <v>0.3673623915</v>
      </c>
      <c r="T253">
        <v>0.33170546909999998</v>
      </c>
      <c r="U253">
        <v>0.30195140180000002</v>
      </c>
      <c r="V253">
        <v>0.2751235964</v>
      </c>
      <c r="W253">
        <v>1.0280761490000001</v>
      </c>
      <c r="X253">
        <v>1.1730131049999999</v>
      </c>
      <c r="Y253">
        <v>1.321614826</v>
      </c>
      <c r="Z253">
        <v>1.4703123339999999</v>
      </c>
      <c r="AA253">
        <v>1.6190906679999999</v>
      </c>
      <c r="AB253">
        <v>1.721912653</v>
      </c>
      <c r="AC253">
        <v>1.826450232</v>
      </c>
      <c r="AD253">
        <v>2.1025166419999999</v>
      </c>
      <c r="AE253">
        <v>2.3721353550000002</v>
      </c>
      <c r="AF253">
        <v>2.6372321680000002</v>
      </c>
      <c r="AG253">
        <v>2.845815322</v>
      </c>
      <c r="AH253">
        <v>3.053368554</v>
      </c>
      <c r="AI253">
        <v>3.278587505</v>
      </c>
      <c r="AJ253">
        <v>3.501441475</v>
      </c>
      <c r="AK253">
        <v>3.7242421370000001</v>
      </c>
      <c r="AL253">
        <v>3.8967303119999999</v>
      </c>
      <c r="AM253">
        <v>4.0670278209999999</v>
      </c>
      <c r="AN253">
        <v>4.1642811870000003</v>
      </c>
      <c r="AO253">
        <v>4.266384467</v>
      </c>
      <c r="AP253">
        <v>4.3668894849999997</v>
      </c>
      <c r="AQ253">
        <v>4.4741763189999997</v>
      </c>
      <c r="AR253">
        <v>4.5772621510000002</v>
      </c>
      <c r="AS253">
        <v>4.7723618830000003</v>
      </c>
      <c r="AT253">
        <v>4.9684463760000002</v>
      </c>
      <c r="AU253">
        <v>5.1668592049999997</v>
      </c>
      <c r="AV253">
        <v>5.3641076549999998</v>
      </c>
      <c r="AW253">
        <v>5.5678684599999997</v>
      </c>
    </row>
    <row r="254" spans="2:49" x14ac:dyDescent="0.25">
      <c r="B254" t="s">
        <v>256</v>
      </c>
      <c r="C254">
        <v>0.71679836909740502</v>
      </c>
      <c r="D254">
        <v>0.72830679876826598</v>
      </c>
      <c r="E254">
        <v>0.74398149140000003</v>
      </c>
      <c r="F254">
        <v>0.73782270179999998</v>
      </c>
      <c r="G254">
        <v>0.71184562870000001</v>
      </c>
      <c r="H254">
        <v>0.67822238450000005</v>
      </c>
      <c r="I254">
        <v>0.68282734479999996</v>
      </c>
      <c r="J254">
        <v>0.67234207820000003</v>
      </c>
      <c r="K254">
        <v>0.6395576141</v>
      </c>
      <c r="L254">
        <v>0.61731149659999995</v>
      </c>
      <c r="M254">
        <v>0.60674795010000004</v>
      </c>
      <c r="N254">
        <v>0.60475860319999997</v>
      </c>
      <c r="O254">
        <v>0.61987453199999998</v>
      </c>
      <c r="P254">
        <v>0.61191243240000004</v>
      </c>
      <c r="Q254">
        <v>0.57859387829999998</v>
      </c>
      <c r="R254">
        <v>0.54272149729999997</v>
      </c>
      <c r="S254">
        <v>1.4172785000000001</v>
      </c>
      <c r="T254">
        <v>1.1944378630000001</v>
      </c>
      <c r="U254">
        <v>1.000665725</v>
      </c>
      <c r="V254">
        <v>0.823004493</v>
      </c>
      <c r="W254">
        <v>0.94465030380000004</v>
      </c>
      <c r="X254">
        <v>0.90464389430000003</v>
      </c>
      <c r="Y254">
        <v>0.8592588941</v>
      </c>
      <c r="Z254">
        <v>0.8268264448</v>
      </c>
      <c r="AA254">
        <v>0.80264161369999998</v>
      </c>
      <c r="AB254">
        <v>0.7810639667</v>
      </c>
      <c r="AC254">
        <v>0.76332137820000001</v>
      </c>
      <c r="AD254">
        <v>0.74240093409999997</v>
      </c>
      <c r="AE254">
        <v>0.72200215759999997</v>
      </c>
      <c r="AF254">
        <v>0.70452239130000005</v>
      </c>
      <c r="AG254">
        <v>0.68649036750000003</v>
      </c>
      <c r="AH254">
        <v>0.66952161060000004</v>
      </c>
      <c r="AI254">
        <v>0.66206144870000005</v>
      </c>
      <c r="AJ254">
        <v>0.65515659439999996</v>
      </c>
      <c r="AK254">
        <v>0.6490975698</v>
      </c>
      <c r="AL254">
        <v>0.64367256039999998</v>
      </c>
      <c r="AM254">
        <v>0.63835359599999997</v>
      </c>
      <c r="AN254">
        <v>0.63233541950000005</v>
      </c>
      <c r="AO254">
        <v>0.62736567659999998</v>
      </c>
      <c r="AP254">
        <v>0.62242927299999995</v>
      </c>
      <c r="AQ254">
        <v>0.61868235270000005</v>
      </c>
      <c r="AR254">
        <v>0.61454701749999996</v>
      </c>
      <c r="AS254">
        <v>0.6113320833</v>
      </c>
      <c r="AT254">
        <v>0.60832912250000004</v>
      </c>
      <c r="AU254">
        <v>0.60566978329999999</v>
      </c>
      <c r="AV254">
        <v>0.60292009599999996</v>
      </c>
      <c r="AW254">
        <v>0.60092007000000003</v>
      </c>
    </row>
    <row r="255" spans="2:49" x14ac:dyDescent="0.25">
      <c r="B255" t="s">
        <v>257</v>
      </c>
      <c r="C255">
        <v>0.19372928894524399</v>
      </c>
      <c r="D255">
        <v>0.196839675342774</v>
      </c>
      <c r="E255">
        <v>0.2010760788</v>
      </c>
      <c r="F255">
        <v>0.2107932891</v>
      </c>
      <c r="G255">
        <v>0.2149795155</v>
      </c>
      <c r="H255">
        <v>0.2165159364</v>
      </c>
      <c r="I255">
        <v>0.23042794329999999</v>
      </c>
      <c r="J255">
        <v>0.23983967210000001</v>
      </c>
      <c r="K255">
        <v>0.2411664519</v>
      </c>
      <c r="L255">
        <v>0.24606399809999999</v>
      </c>
      <c r="M255">
        <v>0.25565748929999998</v>
      </c>
      <c r="N255">
        <v>0.26936350079999999</v>
      </c>
      <c r="O255">
        <v>0.28783187970000002</v>
      </c>
      <c r="P255">
        <v>0.29622750129999997</v>
      </c>
      <c r="Q255">
        <v>0.29203429089999999</v>
      </c>
      <c r="R255">
        <v>0.28561710480000002</v>
      </c>
      <c r="S255">
        <v>0.32127477570000001</v>
      </c>
      <c r="T255">
        <v>0.30029469149999999</v>
      </c>
      <c r="U255">
        <v>0.28379159549999999</v>
      </c>
      <c r="V255">
        <v>0.26933277630000002</v>
      </c>
      <c r="W255">
        <v>0.38418376999999998</v>
      </c>
      <c r="X255">
        <v>0.39558525249999998</v>
      </c>
      <c r="Y255">
        <v>0.39731952869999998</v>
      </c>
      <c r="Z255">
        <v>0.40298614849999997</v>
      </c>
      <c r="AA255">
        <v>0.4111602701</v>
      </c>
      <c r="AB255">
        <v>0.42248848239999998</v>
      </c>
      <c r="AC255">
        <v>0.43486048049999998</v>
      </c>
      <c r="AD255">
        <v>0.46363049880000001</v>
      </c>
      <c r="AE255">
        <v>0.49172285850000003</v>
      </c>
      <c r="AF255">
        <v>0.51949826870000004</v>
      </c>
      <c r="AG255">
        <v>0.54724832540000001</v>
      </c>
      <c r="AH255">
        <v>0.57503091829999997</v>
      </c>
      <c r="AI255">
        <v>0.57833381029999997</v>
      </c>
      <c r="AJ255">
        <v>0.58193364569999995</v>
      </c>
      <c r="AK255">
        <v>0.58611681859999998</v>
      </c>
      <c r="AL255">
        <v>0.59084060959999996</v>
      </c>
      <c r="AM255">
        <v>0.59553031000000001</v>
      </c>
      <c r="AN255">
        <v>0.59883198900000001</v>
      </c>
      <c r="AO255">
        <v>0.60299458679999995</v>
      </c>
      <c r="AP255">
        <v>0.60707229770000004</v>
      </c>
      <c r="AQ255">
        <v>0.61221036309999999</v>
      </c>
      <c r="AR255">
        <v>0.61687552229999998</v>
      </c>
      <c r="AS255">
        <v>0.62160451419999996</v>
      </c>
      <c r="AT255">
        <v>0.62652280839999996</v>
      </c>
      <c r="AU255">
        <v>0.63177574240000001</v>
      </c>
      <c r="AV255">
        <v>0.63691824939999997</v>
      </c>
      <c r="AW255">
        <v>0.64284508650000005</v>
      </c>
    </row>
    <row r="256" spans="2:49" x14ac:dyDescent="0.25">
      <c r="B256" t="s">
        <v>258</v>
      </c>
      <c r="C256">
        <v>0.38745857789048899</v>
      </c>
      <c r="D256">
        <v>0.39367935068554899</v>
      </c>
      <c r="E256">
        <v>0.4021521575</v>
      </c>
      <c r="F256">
        <v>0.45763561349999998</v>
      </c>
      <c r="G256">
        <v>0.50663262340000004</v>
      </c>
      <c r="H256">
        <v>0.55388420090000001</v>
      </c>
      <c r="I256">
        <v>0.63987816630000005</v>
      </c>
      <c r="J256">
        <v>0.72296322710000005</v>
      </c>
      <c r="K256">
        <v>0.78912375680000002</v>
      </c>
      <c r="L256">
        <v>0.87399578560000002</v>
      </c>
      <c r="M256">
        <v>0.98571830110000003</v>
      </c>
      <c r="N256">
        <v>1.127368994</v>
      </c>
      <c r="O256">
        <v>1.2167055490000001</v>
      </c>
      <c r="P256">
        <v>1.264710797</v>
      </c>
      <c r="Q256">
        <v>1.259270289</v>
      </c>
      <c r="R256">
        <v>1.243908902</v>
      </c>
      <c r="S256">
        <v>2.19185813</v>
      </c>
      <c r="T256">
        <v>2.194667999</v>
      </c>
      <c r="U256">
        <v>2.2182191859999998</v>
      </c>
      <c r="V256">
        <v>2.2483528439999998</v>
      </c>
      <c r="W256">
        <v>3.2975839269999998</v>
      </c>
      <c r="X256">
        <v>3.3793332409999999</v>
      </c>
      <c r="Y256">
        <v>3.485907321</v>
      </c>
      <c r="Z256">
        <v>3.6186769760000002</v>
      </c>
      <c r="AA256">
        <v>3.768163156</v>
      </c>
      <c r="AB256">
        <v>3.9425157689999999</v>
      </c>
      <c r="AC256">
        <v>4.1235328940000002</v>
      </c>
      <c r="AD256">
        <v>4.2800960410000002</v>
      </c>
      <c r="AE256">
        <v>4.4329303619999996</v>
      </c>
      <c r="AF256">
        <v>4.5851486279999998</v>
      </c>
      <c r="AG256">
        <v>4.742080852</v>
      </c>
      <c r="AH256">
        <v>4.9008533270000001</v>
      </c>
      <c r="AI256">
        <v>5.0429950339999996</v>
      </c>
      <c r="AJ256">
        <v>5.1855039850000004</v>
      </c>
      <c r="AK256">
        <v>5.3312551790000002</v>
      </c>
      <c r="AL256">
        <v>5.483200396</v>
      </c>
      <c r="AM256">
        <v>5.6333255680000001</v>
      </c>
      <c r="AN256">
        <v>5.7332239850000004</v>
      </c>
      <c r="AO256">
        <v>5.8403198290000002</v>
      </c>
      <c r="AP256">
        <v>5.9456764829999997</v>
      </c>
      <c r="AQ256">
        <v>6.0606409320000001</v>
      </c>
      <c r="AR256">
        <v>6.1702391150000002</v>
      </c>
      <c r="AS256">
        <v>6.2503798440000002</v>
      </c>
      <c r="AT256">
        <v>6.3323278800000002</v>
      </c>
      <c r="AU256">
        <v>6.4175913659999999</v>
      </c>
      <c r="AV256">
        <v>6.5016795089999997</v>
      </c>
      <c r="AW256">
        <v>6.5937549789999998</v>
      </c>
    </row>
    <row r="257" spans="2:49" x14ac:dyDescent="0.25">
      <c r="B257" t="s">
        <v>259</v>
      </c>
      <c r="C257">
        <v>34.067295461021303</v>
      </c>
      <c r="D257">
        <v>34.614256909026899</v>
      </c>
      <c r="E257">
        <v>35.359228450000003</v>
      </c>
      <c r="F257">
        <v>35.492059910000002</v>
      </c>
      <c r="G257">
        <v>34.658004849999998</v>
      </c>
      <c r="H257">
        <v>33.421689389999997</v>
      </c>
      <c r="I257">
        <v>34.05694811</v>
      </c>
      <c r="J257">
        <v>34.071422800000001</v>
      </c>
      <c r="K257">
        <v>32.946153379999998</v>
      </c>
      <c r="L257">
        <v>32.344634630000002</v>
      </c>
      <c r="M257">
        <v>32.3562291</v>
      </c>
      <c r="N257">
        <v>32.847080149999996</v>
      </c>
      <c r="O257">
        <v>32.676530290000002</v>
      </c>
      <c r="P257">
        <v>31.308306179999999</v>
      </c>
      <c r="Q257">
        <v>28.734479289999999</v>
      </c>
      <c r="R257">
        <v>26.162973439999998</v>
      </c>
      <c r="S257">
        <v>23.739985780000001</v>
      </c>
      <c r="T257">
        <v>22.782735429999999</v>
      </c>
      <c r="U257">
        <v>22.116176790000001</v>
      </c>
      <c r="V257">
        <v>21.570481749999999</v>
      </c>
      <c r="W257">
        <v>17.60423905</v>
      </c>
      <c r="X257">
        <v>15.63870352</v>
      </c>
      <c r="Y257">
        <v>13.89959511</v>
      </c>
      <c r="Z257">
        <v>12.45955681</v>
      </c>
      <c r="AA257">
        <v>11.20941212</v>
      </c>
      <c r="AB257">
        <v>10.15622392</v>
      </c>
      <c r="AC257">
        <v>9.1851533889999999</v>
      </c>
      <c r="AD257">
        <v>8.4865207520000006</v>
      </c>
      <c r="AE257">
        <v>7.8026162780000003</v>
      </c>
      <c r="AF257">
        <v>7.1300502840000002</v>
      </c>
      <c r="AG257">
        <v>6.5382108460000001</v>
      </c>
      <c r="AH257">
        <v>5.9630941450000003</v>
      </c>
      <c r="AI257">
        <v>5.4368731190000004</v>
      </c>
      <c r="AJ257">
        <v>4.9237652790000004</v>
      </c>
      <c r="AK257">
        <v>4.4246210440000002</v>
      </c>
      <c r="AL257">
        <v>3.9900130869999999</v>
      </c>
      <c r="AM257">
        <v>3.5610016880000002</v>
      </c>
      <c r="AN257">
        <v>3.229924032</v>
      </c>
      <c r="AO257">
        <v>2.9083162730000001</v>
      </c>
      <c r="AP257">
        <v>2.5904819899999998</v>
      </c>
      <c r="AQ257">
        <v>2.2806491960000002</v>
      </c>
      <c r="AR257">
        <v>1.9720649219999999</v>
      </c>
      <c r="AS257">
        <v>1.583413269</v>
      </c>
      <c r="AT257">
        <v>1.2027520380000001</v>
      </c>
      <c r="AU257">
        <v>0.82986231349999995</v>
      </c>
      <c r="AV257">
        <v>0.46378095499999999</v>
      </c>
      <c r="AW257">
        <v>0.1049166493</v>
      </c>
    </row>
    <row r="258" spans="2:49" x14ac:dyDescent="0.25">
      <c r="B258" t="s">
        <v>260</v>
      </c>
      <c r="C258">
        <v>1.54983431156195</v>
      </c>
      <c r="D258">
        <v>1.57471740274219</v>
      </c>
      <c r="E258">
        <v>1.60860863</v>
      </c>
      <c r="F258">
        <v>1.873045399</v>
      </c>
      <c r="G258">
        <v>2.0755696449999999</v>
      </c>
      <c r="H258">
        <v>2.232830898</v>
      </c>
      <c r="I258">
        <v>2.5033874840000001</v>
      </c>
      <c r="J258">
        <v>2.7134910880000001</v>
      </c>
      <c r="K258">
        <v>2.813347759</v>
      </c>
      <c r="L258">
        <v>2.9338250160000001</v>
      </c>
      <c r="M258">
        <v>3.0906681640000002</v>
      </c>
      <c r="N258">
        <v>3.277185485</v>
      </c>
      <c r="O258">
        <v>4.2825014269999997</v>
      </c>
      <c r="P258">
        <v>5.3898954999999997</v>
      </c>
      <c r="Q258">
        <v>6.4980816949999998</v>
      </c>
      <c r="R258">
        <v>7.7719836359999999</v>
      </c>
      <c r="S258">
        <v>6.5687196139999999</v>
      </c>
      <c r="T258">
        <v>6.5461578789999999</v>
      </c>
      <c r="U258">
        <v>6.58783619</v>
      </c>
      <c r="V258">
        <v>6.6508047140000004</v>
      </c>
      <c r="W258">
        <v>5.9951592219999998</v>
      </c>
      <c r="X258">
        <v>5.4453704299999997</v>
      </c>
      <c r="Y258">
        <v>5.1167888960000001</v>
      </c>
      <c r="Z258">
        <v>4.8707497760000003</v>
      </c>
      <c r="AA258">
        <v>4.677296213</v>
      </c>
      <c r="AB258">
        <v>4.5236961100000004</v>
      </c>
      <c r="AC258">
        <v>4.393589714</v>
      </c>
      <c r="AD258">
        <v>4.3016795510000003</v>
      </c>
      <c r="AE258">
        <v>4.2117990499999998</v>
      </c>
      <c r="AF258">
        <v>4.1265801680000003</v>
      </c>
      <c r="AG258">
        <v>4.045275524</v>
      </c>
      <c r="AH258">
        <v>3.9695549749999999</v>
      </c>
      <c r="AI258">
        <v>3.8942467039999999</v>
      </c>
      <c r="AJ258">
        <v>3.8228503730000001</v>
      </c>
      <c r="AK258">
        <v>3.7569693740000001</v>
      </c>
      <c r="AL258">
        <v>3.695037642</v>
      </c>
      <c r="AM258">
        <v>3.634165034</v>
      </c>
      <c r="AN258">
        <v>3.5783754839999999</v>
      </c>
      <c r="AO258">
        <v>3.5288861100000002</v>
      </c>
      <c r="AP258">
        <v>3.4799140710000001</v>
      </c>
      <c r="AQ258">
        <v>3.4378799369999999</v>
      </c>
      <c r="AR258">
        <v>3.3939473699999998</v>
      </c>
      <c r="AS258">
        <v>3.3653062230000002</v>
      </c>
      <c r="AT258">
        <v>3.337850016</v>
      </c>
      <c r="AU258">
        <v>3.3122877929999999</v>
      </c>
      <c r="AV258">
        <v>3.2862358700000001</v>
      </c>
      <c r="AW258">
        <v>3.2642626219999999</v>
      </c>
    </row>
    <row r="259" spans="2:49" x14ac:dyDescent="0.25">
      <c r="B259" t="s">
        <v>261</v>
      </c>
      <c r="C259">
        <v>0.19372928894524399</v>
      </c>
      <c r="D259">
        <v>0.196839675342774</v>
      </c>
      <c r="E259">
        <v>0.2010760788</v>
      </c>
      <c r="F259">
        <v>0.1902792482</v>
      </c>
      <c r="G259">
        <v>0.1751726794</v>
      </c>
      <c r="H259">
        <v>0.15925526800000001</v>
      </c>
      <c r="I259">
        <v>0.15299376410000001</v>
      </c>
      <c r="J259">
        <v>0.14374549889999999</v>
      </c>
      <c r="K259">
        <v>0.13047423920000001</v>
      </c>
      <c r="L259">
        <v>0.1201684895</v>
      </c>
      <c r="M259">
        <v>0.1127030559</v>
      </c>
      <c r="N259">
        <v>0.1071890858</v>
      </c>
      <c r="O259">
        <v>0.1070013506</v>
      </c>
      <c r="P259">
        <v>0.1028760516</v>
      </c>
      <c r="Q259">
        <v>9.4746092599999998E-2</v>
      </c>
      <c r="R259">
        <v>8.6566571600000003E-2</v>
      </c>
      <c r="S259">
        <v>0.3673623915</v>
      </c>
      <c r="T259">
        <v>0.33170546909999998</v>
      </c>
      <c r="U259">
        <v>0.30195140180000002</v>
      </c>
      <c r="V259">
        <v>0.2751235964</v>
      </c>
      <c r="W259">
        <v>1.0280761490000001</v>
      </c>
      <c r="X259">
        <v>1.1730131049999999</v>
      </c>
      <c r="Y259">
        <v>1.321614826</v>
      </c>
      <c r="Z259">
        <v>1.4703123339999999</v>
      </c>
      <c r="AA259">
        <v>1.6190906679999999</v>
      </c>
      <c r="AB259">
        <v>1.721912653</v>
      </c>
      <c r="AC259">
        <v>1.826450232</v>
      </c>
      <c r="AD259">
        <v>2.1025166419999999</v>
      </c>
      <c r="AE259">
        <v>2.3721353550000002</v>
      </c>
      <c r="AF259">
        <v>2.6372321680000002</v>
      </c>
      <c r="AG259">
        <v>2.845815322</v>
      </c>
      <c r="AH259">
        <v>3.053368554</v>
      </c>
      <c r="AI259">
        <v>3.278587505</v>
      </c>
      <c r="AJ259">
        <v>3.501441475</v>
      </c>
      <c r="AK259">
        <v>3.7242421370000001</v>
      </c>
      <c r="AL259">
        <v>3.8967303119999999</v>
      </c>
      <c r="AM259">
        <v>4.0670278209999999</v>
      </c>
      <c r="AN259">
        <v>4.1642811870000003</v>
      </c>
      <c r="AO259">
        <v>4.266384467</v>
      </c>
      <c r="AP259">
        <v>4.3668894849999997</v>
      </c>
      <c r="AQ259">
        <v>4.4741763189999997</v>
      </c>
      <c r="AR259">
        <v>4.5772621510000002</v>
      </c>
      <c r="AS259">
        <v>4.7723618830000003</v>
      </c>
      <c r="AT259">
        <v>4.9684463760000002</v>
      </c>
      <c r="AU259">
        <v>5.1668592049999997</v>
      </c>
      <c r="AV259">
        <v>5.3641076549999998</v>
      </c>
      <c r="AW259">
        <v>5.5678684599999997</v>
      </c>
    </row>
    <row r="260" spans="2:49" x14ac:dyDescent="0.25">
      <c r="B260" t="s">
        <v>262</v>
      </c>
      <c r="C260">
        <v>0.71679836909740502</v>
      </c>
      <c r="D260">
        <v>0.72830679876826598</v>
      </c>
      <c r="E260">
        <v>0.74398149140000003</v>
      </c>
      <c r="F260">
        <v>0.73782270179999998</v>
      </c>
      <c r="G260">
        <v>0.71184562870000001</v>
      </c>
      <c r="H260">
        <v>0.67822238450000005</v>
      </c>
      <c r="I260">
        <v>0.68282734479999996</v>
      </c>
      <c r="J260">
        <v>0.67234207820000003</v>
      </c>
      <c r="K260">
        <v>0.6395576141</v>
      </c>
      <c r="L260">
        <v>0.61731149659999995</v>
      </c>
      <c r="M260">
        <v>0.60674795010000004</v>
      </c>
      <c r="N260">
        <v>0.60475860319999997</v>
      </c>
      <c r="O260">
        <v>0.61987453199999998</v>
      </c>
      <c r="P260">
        <v>0.61191243240000004</v>
      </c>
      <c r="Q260">
        <v>0.57859387829999998</v>
      </c>
      <c r="R260">
        <v>0.54272149729999997</v>
      </c>
      <c r="S260">
        <v>1.4172785000000001</v>
      </c>
      <c r="T260">
        <v>1.1944378630000001</v>
      </c>
      <c r="U260">
        <v>1.000665725</v>
      </c>
      <c r="V260">
        <v>0.823004493</v>
      </c>
      <c r="W260">
        <v>0.94465030380000004</v>
      </c>
      <c r="X260">
        <v>0.90464389430000003</v>
      </c>
      <c r="Y260">
        <v>0.8592588941</v>
      </c>
      <c r="Z260">
        <v>0.8268264448</v>
      </c>
      <c r="AA260">
        <v>0.80264161369999998</v>
      </c>
      <c r="AB260">
        <v>0.7810639667</v>
      </c>
      <c r="AC260">
        <v>0.76332137820000001</v>
      </c>
      <c r="AD260">
        <v>0.74240093409999997</v>
      </c>
      <c r="AE260">
        <v>0.72200215759999997</v>
      </c>
      <c r="AF260">
        <v>0.70452239130000005</v>
      </c>
      <c r="AG260">
        <v>0.68649036750000003</v>
      </c>
      <c r="AH260">
        <v>0.66952161060000004</v>
      </c>
      <c r="AI260">
        <v>0.66206144870000005</v>
      </c>
      <c r="AJ260">
        <v>0.65515659439999996</v>
      </c>
      <c r="AK260">
        <v>0.6490975698</v>
      </c>
      <c r="AL260">
        <v>0.64367256039999998</v>
      </c>
      <c r="AM260">
        <v>0.63835359599999997</v>
      </c>
      <c r="AN260">
        <v>0.63233541950000005</v>
      </c>
      <c r="AO260">
        <v>0.62736567659999998</v>
      </c>
      <c r="AP260">
        <v>0.62242927299999995</v>
      </c>
      <c r="AQ260">
        <v>0.61868235270000005</v>
      </c>
      <c r="AR260">
        <v>0.61454701749999996</v>
      </c>
      <c r="AS260">
        <v>0.6113320833</v>
      </c>
      <c r="AT260">
        <v>0.60832912250000004</v>
      </c>
      <c r="AU260">
        <v>0.60566978329999999</v>
      </c>
      <c r="AV260">
        <v>0.60292009599999996</v>
      </c>
      <c r="AW260">
        <v>0.60092007000000003</v>
      </c>
    </row>
    <row r="261" spans="2:49" x14ac:dyDescent="0.25">
      <c r="B261" t="s">
        <v>263</v>
      </c>
      <c r="C261">
        <v>0.19372928894524399</v>
      </c>
      <c r="D261">
        <v>0.196839675342774</v>
      </c>
      <c r="E261">
        <v>0.2010760788</v>
      </c>
      <c r="F261">
        <v>0.2107932891</v>
      </c>
      <c r="G261">
        <v>0.2149795155</v>
      </c>
      <c r="H261">
        <v>0.2165159364</v>
      </c>
      <c r="I261">
        <v>0.23042794329999999</v>
      </c>
      <c r="J261">
        <v>0.23983967210000001</v>
      </c>
      <c r="K261">
        <v>0.2411664519</v>
      </c>
      <c r="L261">
        <v>0.24606399809999999</v>
      </c>
      <c r="M261">
        <v>0.25565748929999998</v>
      </c>
      <c r="N261">
        <v>0.26936350079999999</v>
      </c>
      <c r="O261">
        <v>0.28783187970000002</v>
      </c>
      <c r="P261">
        <v>0.29622750129999997</v>
      </c>
      <c r="Q261">
        <v>0.29203429089999999</v>
      </c>
      <c r="R261">
        <v>0.28561710480000002</v>
      </c>
      <c r="S261">
        <v>0.32127477570000001</v>
      </c>
      <c r="T261">
        <v>0.30029469149999999</v>
      </c>
      <c r="U261">
        <v>0.28379159549999999</v>
      </c>
      <c r="V261">
        <v>0.26933277630000002</v>
      </c>
      <c r="W261">
        <v>0.38418376999999998</v>
      </c>
      <c r="X261">
        <v>0.39558525249999998</v>
      </c>
      <c r="Y261">
        <v>0.39731952869999998</v>
      </c>
      <c r="Z261">
        <v>0.40298614849999997</v>
      </c>
      <c r="AA261">
        <v>0.4111602701</v>
      </c>
      <c r="AB261">
        <v>0.42248848239999998</v>
      </c>
      <c r="AC261">
        <v>0.43486048049999998</v>
      </c>
      <c r="AD261">
        <v>0.46363049880000001</v>
      </c>
      <c r="AE261">
        <v>0.49172285850000003</v>
      </c>
      <c r="AF261">
        <v>0.51949826870000004</v>
      </c>
      <c r="AG261">
        <v>0.54724832540000001</v>
      </c>
      <c r="AH261">
        <v>0.57503091829999997</v>
      </c>
      <c r="AI261">
        <v>0.57833381029999997</v>
      </c>
      <c r="AJ261">
        <v>0.58193364569999995</v>
      </c>
      <c r="AK261">
        <v>0.58611681859999998</v>
      </c>
      <c r="AL261">
        <v>0.59084060959999996</v>
      </c>
      <c r="AM261">
        <v>0.59553031000000001</v>
      </c>
      <c r="AN261">
        <v>0.59883198900000001</v>
      </c>
      <c r="AO261">
        <v>0.60299458679999995</v>
      </c>
      <c r="AP261">
        <v>0.60707229770000004</v>
      </c>
      <c r="AQ261">
        <v>0.61221036309999999</v>
      </c>
      <c r="AR261">
        <v>0.61687552229999998</v>
      </c>
      <c r="AS261">
        <v>0.62160451419999996</v>
      </c>
      <c r="AT261">
        <v>0.62652280839999996</v>
      </c>
      <c r="AU261">
        <v>0.63177574240000001</v>
      </c>
      <c r="AV261">
        <v>0.63691824939999997</v>
      </c>
      <c r="AW261">
        <v>0.64284508650000005</v>
      </c>
    </row>
    <row r="262" spans="2:49" x14ac:dyDescent="0.25">
      <c r="B262" t="s">
        <v>264</v>
      </c>
      <c r="C262">
        <v>0.38745857789048899</v>
      </c>
      <c r="D262">
        <v>0.39367935068554899</v>
      </c>
      <c r="E262">
        <v>0.4021521575</v>
      </c>
      <c r="F262">
        <v>0.45763561349999998</v>
      </c>
      <c r="G262">
        <v>0.50663262340000004</v>
      </c>
      <c r="H262">
        <v>0.55388420090000001</v>
      </c>
      <c r="I262">
        <v>0.63987816630000005</v>
      </c>
      <c r="J262">
        <v>0.72296322710000005</v>
      </c>
      <c r="K262">
        <v>0.78912375680000002</v>
      </c>
      <c r="L262">
        <v>0.87399578560000002</v>
      </c>
      <c r="M262">
        <v>0.98571830110000003</v>
      </c>
      <c r="N262">
        <v>1.127368994</v>
      </c>
      <c r="O262">
        <v>1.2167055490000001</v>
      </c>
      <c r="P262">
        <v>1.264710797</v>
      </c>
      <c r="Q262">
        <v>1.259270289</v>
      </c>
      <c r="R262">
        <v>1.243908902</v>
      </c>
      <c r="S262">
        <v>2.19185813</v>
      </c>
      <c r="T262">
        <v>2.194667999</v>
      </c>
      <c r="U262">
        <v>2.2182191859999998</v>
      </c>
      <c r="V262">
        <v>2.2483528439999998</v>
      </c>
      <c r="W262">
        <v>3.2975839269999998</v>
      </c>
      <c r="X262">
        <v>3.3793332409999999</v>
      </c>
      <c r="Y262">
        <v>3.485907321</v>
      </c>
      <c r="Z262">
        <v>3.6186769760000002</v>
      </c>
      <c r="AA262">
        <v>3.768163156</v>
      </c>
      <c r="AB262">
        <v>3.9425157689999999</v>
      </c>
      <c r="AC262">
        <v>4.1235328940000002</v>
      </c>
      <c r="AD262">
        <v>4.2800960410000002</v>
      </c>
      <c r="AE262">
        <v>4.4329303619999996</v>
      </c>
      <c r="AF262">
        <v>4.5851486279999998</v>
      </c>
      <c r="AG262">
        <v>4.742080852</v>
      </c>
      <c r="AH262">
        <v>4.9008533270000001</v>
      </c>
      <c r="AI262">
        <v>5.0429950339999996</v>
      </c>
      <c r="AJ262">
        <v>5.1855039850000004</v>
      </c>
      <c r="AK262">
        <v>5.3312551790000002</v>
      </c>
      <c r="AL262">
        <v>5.483200396</v>
      </c>
      <c r="AM262">
        <v>5.6333255680000001</v>
      </c>
      <c r="AN262">
        <v>5.7332239850000004</v>
      </c>
      <c r="AO262">
        <v>5.8403198290000002</v>
      </c>
      <c r="AP262">
        <v>5.9456764829999997</v>
      </c>
      <c r="AQ262">
        <v>6.0606409320000001</v>
      </c>
      <c r="AR262">
        <v>6.1702391150000002</v>
      </c>
      <c r="AS262">
        <v>6.2503798440000002</v>
      </c>
      <c r="AT262">
        <v>6.3323278800000002</v>
      </c>
      <c r="AU262">
        <v>6.4175913659999999</v>
      </c>
      <c r="AV262">
        <v>6.5016795089999997</v>
      </c>
      <c r="AW262">
        <v>6.5937549789999998</v>
      </c>
    </row>
    <row r="263" spans="2:49" x14ac:dyDescent="0.25">
      <c r="B263" t="s">
        <v>265</v>
      </c>
      <c r="C263">
        <v>1.1905732046364299</v>
      </c>
      <c r="D263">
        <v>1.2096882425386799</v>
      </c>
      <c r="E263">
        <v>1.229110199</v>
      </c>
      <c r="F263">
        <v>1.2315210889999999</v>
      </c>
      <c r="G263">
        <v>1.1449187329999999</v>
      </c>
      <c r="H263">
        <v>0.92601423009999995</v>
      </c>
      <c r="I263">
        <v>1.0179888459999999</v>
      </c>
      <c r="J263">
        <v>1.0425604260000001</v>
      </c>
      <c r="K263">
        <v>0.98423772379999996</v>
      </c>
      <c r="L263">
        <v>0.97519208479999997</v>
      </c>
      <c r="M263">
        <v>0.97964951410000001</v>
      </c>
      <c r="N263">
        <v>0.95446687779999995</v>
      </c>
      <c r="O263">
        <v>0.94806820520000001</v>
      </c>
      <c r="P263">
        <v>0.93623792750000001</v>
      </c>
      <c r="Q263">
        <v>0.92346104780000005</v>
      </c>
      <c r="R263">
        <v>0.9124547959</v>
      </c>
      <c r="S263">
        <v>0.90503557950000002</v>
      </c>
      <c r="T263">
        <v>0.89476977310000005</v>
      </c>
      <c r="U263">
        <v>0.89457958449999997</v>
      </c>
      <c r="V263">
        <v>0.89962734339999995</v>
      </c>
      <c r="W263">
        <v>0.89809505960000002</v>
      </c>
      <c r="X263">
        <v>0.89150585630000001</v>
      </c>
      <c r="Y263">
        <v>0.88800559680000002</v>
      </c>
      <c r="Z263">
        <v>0.88570730369999995</v>
      </c>
      <c r="AA263">
        <v>0.8849280249</v>
      </c>
      <c r="AB263">
        <v>0.88545210839999999</v>
      </c>
      <c r="AC263">
        <v>0.88747990659999998</v>
      </c>
      <c r="AD263">
        <v>0.8946039831</v>
      </c>
      <c r="AE263">
        <v>0.90380718530000004</v>
      </c>
      <c r="AF263">
        <v>0.91473904260000005</v>
      </c>
      <c r="AG263">
        <v>0.92674767410000003</v>
      </c>
      <c r="AH263">
        <v>0.93977203050000002</v>
      </c>
      <c r="AI263">
        <v>0.95345554860000004</v>
      </c>
      <c r="AJ263">
        <v>0.96770364929999997</v>
      </c>
      <c r="AK263">
        <v>0.98260997380000004</v>
      </c>
      <c r="AL263">
        <v>0.99791648389999998</v>
      </c>
      <c r="AM263">
        <v>1.0139757229999999</v>
      </c>
      <c r="AN263">
        <v>1.029576882</v>
      </c>
      <c r="AO263">
        <v>1.0456711670000001</v>
      </c>
      <c r="AP263">
        <v>1.0618065619999999</v>
      </c>
      <c r="AQ263">
        <v>1.078606309</v>
      </c>
      <c r="AR263">
        <v>1.0952550270000001</v>
      </c>
      <c r="AS263">
        <v>1.1120923519999999</v>
      </c>
      <c r="AT263">
        <v>1.1290265429999999</v>
      </c>
      <c r="AU263">
        <v>1.1460950780000001</v>
      </c>
      <c r="AV263">
        <v>1.1631692010000001</v>
      </c>
      <c r="AW263">
        <v>1.1806933129999999</v>
      </c>
    </row>
    <row r="264" spans="2:49" x14ac:dyDescent="0.25">
      <c r="B264" t="s">
        <v>266</v>
      </c>
      <c r="C264">
        <v>1.7112081308179601</v>
      </c>
      <c r="D264">
        <v>1.7386821308642</v>
      </c>
      <c r="E264">
        <v>1.766597204</v>
      </c>
      <c r="F264">
        <v>1.7874173019999999</v>
      </c>
      <c r="G264">
        <v>1.810204771</v>
      </c>
      <c r="H264">
        <v>1.7022867580000001</v>
      </c>
      <c r="I264">
        <v>1.7767751169999999</v>
      </c>
      <c r="J264">
        <v>1.8105798239999999</v>
      </c>
      <c r="K264">
        <v>1.791703268</v>
      </c>
      <c r="L264">
        <v>1.7992142</v>
      </c>
      <c r="M264">
        <v>1.8081049119999999</v>
      </c>
      <c r="N264">
        <v>1.8460067529999999</v>
      </c>
      <c r="O264">
        <v>1.8929711490000001</v>
      </c>
      <c r="P264">
        <v>1.91517286</v>
      </c>
      <c r="Q264">
        <v>1.92588648</v>
      </c>
      <c r="R264">
        <v>1.941051987</v>
      </c>
      <c r="S264">
        <v>1.9615180569999999</v>
      </c>
      <c r="T264">
        <v>1.9625009250000001</v>
      </c>
      <c r="U264">
        <v>1.9659001629999999</v>
      </c>
      <c r="V264">
        <v>1.9724249220000001</v>
      </c>
      <c r="W264">
        <v>1.971519698</v>
      </c>
      <c r="X264">
        <v>1.956091501</v>
      </c>
      <c r="Y264">
        <v>1.9491698500000001</v>
      </c>
      <c r="Z264">
        <v>1.952632731</v>
      </c>
      <c r="AA264">
        <v>1.9613065700000001</v>
      </c>
      <c r="AB264">
        <v>1.972527339</v>
      </c>
      <c r="AC264">
        <v>1.9853306159999999</v>
      </c>
      <c r="AD264">
        <v>2.0042428509999999</v>
      </c>
      <c r="AE264">
        <v>2.0293774500000001</v>
      </c>
      <c r="AF264">
        <v>2.0569253409999999</v>
      </c>
      <c r="AG264">
        <v>2.0896388240000001</v>
      </c>
      <c r="AH264">
        <v>2.121639885</v>
      </c>
      <c r="AI264">
        <v>2.1604897489999999</v>
      </c>
      <c r="AJ264">
        <v>2.1926809600000001</v>
      </c>
      <c r="AK264">
        <v>2.2381985790000001</v>
      </c>
      <c r="AL264">
        <v>2.267453433</v>
      </c>
      <c r="AM264">
        <v>2.3236415720000001</v>
      </c>
      <c r="AN264">
        <v>2.34045288</v>
      </c>
      <c r="AO264">
        <v>2.4159979049999998</v>
      </c>
      <c r="AP264">
        <v>2.4067136549999999</v>
      </c>
      <c r="AQ264">
        <v>2.5268110410000002</v>
      </c>
      <c r="AR264">
        <v>2.522531796</v>
      </c>
      <c r="AS264">
        <v>2.5689221099999999</v>
      </c>
      <c r="AT264">
        <v>2.5971679769999998</v>
      </c>
      <c r="AU264">
        <v>2.6590995949999998</v>
      </c>
      <c r="AV264">
        <v>2.6725197189999998</v>
      </c>
      <c r="AW264">
        <v>2.7603994850000002</v>
      </c>
    </row>
    <row r="265" spans="2:49" x14ac:dyDescent="0.25">
      <c r="B265" t="s">
        <v>267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268</v>
      </c>
      <c r="C266">
        <v>1.5692072404564801</v>
      </c>
      <c r="D266">
        <v>1.5944013702764701</v>
      </c>
      <c r="E266">
        <v>1.6200002060000001</v>
      </c>
      <c r="F266">
        <v>1.6389765730000001</v>
      </c>
      <c r="G266">
        <v>1.663232187</v>
      </c>
      <c r="H266">
        <v>1.551759764</v>
      </c>
      <c r="I266">
        <v>1.6288634749999999</v>
      </c>
      <c r="J266">
        <v>1.6761074439999999</v>
      </c>
      <c r="K266">
        <v>1.6664686259999999</v>
      </c>
      <c r="L266">
        <v>1.6732747960000001</v>
      </c>
      <c r="M266">
        <v>1.6801261110000001</v>
      </c>
      <c r="N266">
        <v>1.696718564</v>
      </c>
      <c r="O266">
        <v>1.7709885249999999</v>
      </c>
      <c r="P266">
        <v>1.8488448470000001</v>
      </c>
      <c r="Q266">
        <v>1.9178909159999999</v>
      </c>
      <c r="R266">
        <v>1.976127921</v>
      </c>
      <c r="S266">
        <v>2.0205621900000001</v>
      </c>
      <c r="T266">
        <v>2.0144879219999998</v>
      </c>
      <c r="U266">
        <v>2.0045550649999999</v>
      </c>
      <c r="V266">
        <v>1.997564962</v>
      </c>
      <c r="W266">
        <v>1.9066782369999999</v>
      </c>
      <c r="X266">
        <v>1.8213295730000001</v>
      </c>
      <c r="Y266">
        <v>1.7638485909999999</v>
      </c>
      <c r="Z266">
        <v>1.7306819170000001</v>
      </c>
      <c r="AA266">
        <v>1.710821207</v>
      </c>
      <c r="AB266">
        <v>1.699584003</v>
      </c>
      <c r="AC266">
        <v>1.693306915</v>
      </c>
      <c r="AD266">
        <v>1.701619717</v>
      </c>
      <c r="AE266">
        <v>1.7189534200000001</v>
      </c>
      <c r="AF266">
        <v>1.739817505</v>
      </c>
      <c r="AG266">
        <v>1.765582268</v>
      </c>
      <c r="AH266">
        <v>1.7909897020000001</v>
      </c>
      <c r="AI266">
        <v>1.8225586920000001</v>
      </c>
      <c r="AJ266">
        <v>1.8485912149999999</v>
      </c>
      <c r="AK266">
        <v>1.885950249</v>
      </c>
      <c r="AL266">
        <v>1.9097495419999999</v>
      </c>
      <c r="AM266">
        <v>1.95604997</v>
      </c>
      <c r="AN266">
        <v>1.96940396</v>
      </c>
      <c r="AO266">
        <v>2.0324566860000002</v>
      </c>
      <c r="AP266">
        <v>2.0242709250000002</v>
      </c>
      <c r="AQ266">
        <v>2.125082141</v>
      </c>
      <c r="AR266">
        <v>2.1212924659999999</v>
      </c>
      <c r="AS266">
        <v>2.1598653379999999</v>
      </c>
      <c r="AT266">
        <v>2.1830411750000001</v>
      </c>
      <c r="AU266">
        <v>2.2344358469999999</v>
      </c>
      <c r="AV266">
        <v>2.2449233579999999</v>
      </c>
      <c r="AW266">
        <v>2.3178843819999999</v>
      </c>
    </row>
    <row r="267" spans="2:49" x14ac:dyDescent="0.25">
      <c r="B267" t="s">
        <v>269</v>
      </c>
      <c r="C267">
        <v>0.99189533402801899</v>
      </c>
      <c r="D267">
        <v>0.99189533402801799</v>
      </c>
      <c r="E267">
        <v>0.99189532579999995</v>
      </c>
      <c r="F267">
        <v>0.98719299760000001</v>
      </c>
      <c r="G267">
        <v>0.98253090730000003</v>
      </c>
      <c r="H267">
        <v>0.97786703210000003</v>
      </c>
      <c r="I267">
        <v>0.97325870889999999</v>
      </c>
      <c r="J267">
        <v>0.96867469780000004</v>
      </c>
      <c r="K267">
        <v>0.96412075190000002</v>
      </c>
      <c r="L267">
        <v>0.95959345910000005</v>
      </c>
      <c r="M267">
        <v>0.95507468500000003</v>
      </c>
      <c r="N267">
        <v>0.95058946609999995</v>
      </c>
      <c r="O267">
        <v>0.94786269499999998</v>
      </c>
      <c r="P267">
        <v>0.94500637750000005</v>
      </c>
      <c r="Q267">
        <v>0.94201177439999995</v>
      </c>
      <c r="R267">
        <v>0.9388456114</v>
      </c>
      <c r="S267">
        <v>0.95295276790000005</v>
      </c>
      <c r="T267">
        <v>0.95006016660000003</v>
      </c>
      <c r="U267">
        <v>0.94720674319999998</v>
      </c>
      <c r="V267">
        <v>0.94438895560000002</v>
      </c>
      <c r="W267">
        <v>0.92727339870000003</v>
      </c>
      <c r="X267">
        <v>0.92234178730000005</v>
      </c>
      <c r="Y267">
        <v>0.91729524330000001</v>
      </c>
      <c r="Z267">
        <v>0.91180006609999997</v>
      </c>
      <c r="AA267">
        <v>0.90578240379999997</v>
      </c>
      <c r="AB267">
        <v>0.89950872240000002</v>
      </c>
      <c r="AC267">
        <v>0.89257376919999998</v>
      </c>
      <c r="AD267">
        <v>0.87770636619999998</v>
      </c>
      <c r="AE267">
        <v>0.86124789700000004</v>
      </c>
      <c r="AF267">
        <v>0.84291260710000004</v>
      </c>
      <c r="AG267">
        <v>0.82278503479999998</v>
      </c>
      <c r="AH267">
        <v>0.80004288010000002</v>
      </c>
      <c r="AI267">
        <v>0.76843563439999996</v>
      </c>
      <c r="AJ267">
        <v>0.73217582469999998</v>
      </c>
      <c r="AK267">
        <v>0.69027061680000001</v>
      </c>
      <c r="AL267">
        <v>0.64287953710000001</v>
      </c>
      <c r="AM267">
        <v>0.58678200899999999</v>
      </c>
      <c r="AN267">
        <v>0.56269853690000005</v>
      </c>
      <c r="AO267">
        <v>0.53512709250000001</v>
      </c>
      <c r="AP267">
        <v>0.50136023249999995</v>
      </c>
      <c r="AQ267">
        <v>0.46227588520000001</v>
      </c>
      <c r="AR267">
        <v>0.41237777489999999</v>
      </c>
      <c r="AS267">
        <v>0.41751588509999998</v>
      </c>
      <c r="AT267">
        <v>0.42306191450000002</v>
      </c>
      <c r="AU267">
        <v>0.42990741389999998</v>
      </c>
      <c r="AV267">
        <v>0.43712650590000002</v>
      </c>
      <c r="AW267">
        <v>0.4467579149</v>
      </c>
    </row>
    <row r="268" spans="2:49" x14ac:dyDescent="0.25">
      <c r="B268" t="s">
        <v>270</v>
      </c>
      <c r="C268">
        <v>8.10466597198101E-3</v>
      </c>
      <c r="D268">
        <v>8.10466597198101E-3</v>
      </c>
      <c r="E268">
        <v>8.1046741600000003E-3</v>
      </c>
      <c r="F268">
        <v>1.28070024E-2</v>
      </c>
      <c r="G268">
        <v>1.7469092700000001E-2</v>
      </c>
      <c r="H268">
        <v>2.2132967900000002E-2</v>
      </c>
      <c r="I268">
        <v>2.6741291100000002E-2</v>
      </c>
      <c r="J268">
        <v>3.1325302200000002E-2</v>
      </c>
      <c r="K268">
        <v>3.5879248099999997E-2</v>
      </c>
      <c r="L268">
        <v>4.0406540900000003E-2</v>
      </c>
      <c r="M268">
        <v>4.4925315E-2</v>
      </c>
      <c r="N268">
        <v>4.9410533899999998E-2</v>
      </c>
      <c r="O268">
        <v>5.2137305000000002E-2</v>
      </c>
      <c r="P268">
        <v>5.4993622499999999E-2</v>
      </c>
      <c r="Q268">
        <v>5.7988225599999998E-2</v>
      </c>
      <c r="R268">
        <v>6.1154388599999998E-2</v>
      </c>
      <c r="S268">
        <v>4.7047232100000003E-2</v>
      </c>
      <c r="T268">
        <v>4.9939833400000001E-2</v>
      </c>
      <c r="U268">
        <v>5.27932568E-2</v>
      </c>
      <c r="V268">
        <v>5.5611044399999997E-2</v>
      </c>
      <c r="W268">
        <v>7.2726601299999999E-2</v>
      </c>
      <c r="X268">
        <v>7.7658212700000007E-2</v>
      </c>
      <c r="Y268">
        <v>8.2704756700000007E-2</v>
      </c>
      <c r="Z268">
        <v>8.8199933899999999E-2</v>
      </c>
      <c r="AA268">
        <v>9.4217596200000003E-2</v>
      </c>
      <c r="AB268">
        <v>0.1004912776</v>
      </c>
      <c r="AC268">
        <v>0.10742623079999999</v>
      </c>
      <c r="AD268">
        <v>0.1222936338</v>
      </c>
      <c r="AE268">
        <v>0.13875210299999999</v>
      </c>
      <c r="AF268">
        <v>0.15708739290000001</v>
      </c>
      <c r="AG268">
        <v>0.17721496519999999</v>
      </c>
      <c r="AH268">
        <v>0.19995711990000001</v>
      </c>
      <c r="AI268">
        <v>0.23156436559999999</v>
      </c>
      <c r="AJ268">
        <v>0.26782417530000002</v>
      </c>
      <c r="AK268">
        <v>0.30972938319999999</v>
      </c>
      <c r="AL268">
        <v>0.35712046289999999</v>
      </c>
      <c r="AM268">
        <v>0.41321799100000001</v>
      </c>
      <c r="AN268">
        <v>0.43730146310000001</v>
      </c>
      <c r="AO268">
        <v>0.46487290749999999</v>
      </c>
      <c r="AP268">
        <v>0.4986397675</v>
      </c>
      <c r="AQ268">
        <v>0.53772411480000004</v>
      </c>
      <c r="AR268">
        <v>0.58762222509999995</v>
      </c>
      <c r="AS268">
        <v>0.58248411489999996</v>
      </c>
      <c r="AT268">
        <v>0.57693808550000003</v>
      </c>
      <c r="AU268">
        <v>0.57009258610000002</v>
      </c>
      <c r="AV268">
        <v>0.56287349409999998</v>
      </c>
      <c r="AW268">
        <v>0.55324208509999995</v>
      </c>
    </row>
    <row r="269" spans="2:49" x14ac:dyDescent="0.25">
      <c r="B269" t="s">
        <v>271</v>
      </c>
      <c r="C269">
        <v>0.79896379760487002</v>
      </c>
      <c r="D269">
        <v>0.79896379760486902</v>
      </c>
      <c r="E269">
        <v>0.79896379760000003</v>
      </c>
      <c r="F269">
        <v>0.79854263209999998</v>
      </c>
      <c r="G269">
        <v>0.79812168849999998</v>
      </c>
      <c r="H269">
        <v>0.79770096690000003</v>
      </c>
      <c r="I269">
        <v>0.79728046699999999</v>
      </c>
      <c r="J269">
        <v>0.79686018879999998</v>
      </c>
      <c r="K269">
        <v>0.79644013209999998</v>
      </c>
      <c r="L269">
        <v>0.79602029689999998</v>
      </c>
      <c r="M269">
        <v>0.79560068299999998</v>
      </c>
      <c r="N269">
        <v>0.79518129029999995</v>
      </c>
      <c r="O269">
        <v>0.78222990709999995</v>
      </c>
      <c r="P269">
        <v>0.76778352620000001</v>
      </c>
      <c r="Q269">
        <v>0.75177697219999995</v>
      </c>
      <c r="R269">
        <v>0.73415414150000002</v>
      </c>
      <c r="S269">
        <v>0.69408091299999997</v>
      </c>
      <c r="T269">
        <v>0.69306060079999998</v>
      </c>
      <c r="U269">
        <v>0.69208266200000002</v>
      </c>
      <c r="V269">
        <v>0.69114451089999995</v>
      </c>
      <c r="W269">
        <v>0.64517757610000004</v>
      </c>
      <c r="X269">
        <v>0.64070667839999995</v>
      </c>
      <c r="Y269">
        <v>0.62987609739999995</v>
      </c>
      <c r="Z269">
        <v>0.61910397880000001</v>
      </c>
      <c r="AA269">
        <v>0.60838985069999996</v>
      </c>
      <c r="AB269">
        <v>0.59785288950000004</v>
      </c>
      <c r="AC269">
        <v>0.58736422160000001</v>
      </c>
      <c r="AD269">
        <v>0.57356573590000004</v>
      </c>
      <c r="AE269">
        <v>0.56000431569999998</v>
      </c>
      <c r="AF269">
        <v>0.5466739035</v>
      </c>
      <c r="AG269">
        <v>0.53408555280000003</v>
      </c>
      <c r="AH269">
        <v>0.52170143479999997</v>
      </c>
      <c r="AI269">
        <v>0.50927276690000001</v>
      </c>
      <c r="AJ269">
        <v>0.49704798369999997</v>
      </c>
      <c r="AK269">
        <v>0.4850221093</v>
      </c>
      <c r="AL269">
        <v>0.47391979890000002</v>
      </c>
      <c r="AM269">
        <v>0.4629888137</v>
      </c>
      <c r="AN269">
        <v>0.44452110880000001</v>
      </c>
      <c r="AO269">
        <v>0.42616317999999997</v>
      </c>
      <c r="AP269">
        <v>0.40791405139999998</v>
      </c>
      <c r="AQ269">
        <v>0.38977275849999998</v>
      </c>
      <c r="AR269">
        <v>0.37173834849999998</v>
      </c>
      <c r="AS269">
        <v>0.3522068344</v>
      </c>
      <c r="AT269">
        <v>0.33251009939999998</v>
      </c>
      <c r="AU269">
        <v>0.31264603819999998</v>
      </c>
      <c r="AV269">
        <v>0.29261250929999999</v>
      </c>
      <c r="AW269">
        <v>0.27240733480000001</v>
      </c>
    </row>
    <row r="270" spans="2:49" x14ac:dyDescent="0.25">
      <c r="B270" t="s">
        <v>272</v>
      </c>
      <c r="C270">
        <v>1.02537481030392E-2</v>
      </c>
      <c r="D270">
        <v>1.02537481030392E-2</v>
      </c>
      <c r="E270">
        <v>1.02537481E-2</v>
      </c>
      <c r="F270">
        <v>9.28913229E-3</v>
      </c>
      <c r="G270">
        <v>8.4152621800000008E-3</v>
      </c>
      <c r="H270">
        <v>7.6236009400000001E-3</v>
      </c>
      <c r="I270">
        <v>6.9064147999999999E-3</v>
      </c>
      <c r="J270">
        <v>6.2566975599999998E-3</v>
      </c>
      <c r="K270">
        <v>5.6681021099999999E-3</v>
      </c>
      <c r="L270">
        <v>5.1348784699999997E-3</v>
      </c>
      <c r="M270">
        <v>4.6518175500000003E-3</v>
      </c>
      <c r="N270">
        <v>4.21420033E-3</v>
      </c>
      <c r="O270">
        <v>3.8372227699999999E-3</v>
      </c>
      <c r="P270">
        <v>3.4862213600000001E-3</v>
      </c>
      <c r="Q270">
        <v>3.1596484300000002E-3</v>
      </c>
      <c r="R270">
        <v>2.8560813299999999E-3</v>
      </c>
      <c r="S270">
        <v>2.9085724800000001E-3</v>
      </c>
      <c r="T270">
        <v>4.7403159399999999E-3</v>
      </c>
      <c r="U270">
        <v>6.4959871600000002E-3</v>
      </c>
      <c r="V270">
        <v>8.1802286499999995E-3</v>
      </c>
      <c r="W270">
        <v>5.6701401799999999E-3</v>
      </c>
      <c r="X270">
        <v>3.9772643599999997E-3</v>
      </c>
      <c r="Y270">
        <v>3.2909602399999998E-3</v>
      </c>
      <c r="Z270">
        <v>2.6083607199999998E-3</v>
      </c>
      <c r="AA270">
        <v>1.9294359000000001E-3</v>
      </c>
      <c r="AB270">
        <v>1.26894414E-3</v>
      </c>
      <c r="AC270">
        <v>6.1147957700000003E-4</v>
      </c>
      <c r="AD270">
        <v>6.04408643E-4</v>
      </c>
      <c r="AE270">
        <v>5.9745919200000005E-4</v>
      </c>
      <c r="AF270">
        <v>5.9062811900000001E-4</v>
      </c>
      <c r="AG270">
        <v>5.8415934700000002E-4</v>
      </c>
      <c r="AH270">
        <v>5.7779552399999995E-4</v>
      </c>
      <c r="AI270">
        <v>4.64249738E-4</v>
      </c>
      <c r="AJ270">
        <v>3.5256660199999999E-4</v>
      </c>
      <c r="AK270">
        <v>2.42700655E-4</v>
      </c>
      <c r="AL270">
        <v>2.4913063199999999E-4</v>
      </c>
      <c r="AM270">
        <v>2.55461384E-4</v>
      </c>
      <c r="AN270">
        <v>2.4619436699999998E-4</v>
      </c>
      <c r="AO270">
        <v>2.36982435E-4</v>
      </c>
      <c r="AP270">
        <v>2.2782509900000001E-4</v>
      </c>
      <c r="AQ270">
        <v>2.1872187400000001E-4</v>
      </c>
      <c r="AR270">
        <v>2.0967228200000001E-4</v>
      </c>
      <c r="AS270">
        <v>2.10555377E-4</v>
      </c>
      <c r="AT270">
        <v>2.11445942E-4</v>
      </c>
      <c r="AU270">
        <v>2.1234407200000001E-4</v>
      </c>
      <c r="AV270">
        <v>2.1324986400000001E-4</v>
      </c>
      <c r="AW270">
        <v>2.14163418E-4</v>
      </c>
    </row>
    <row r="271" spans="2:49" x14ac:dyDescent="0.25">
      <c r="B271" t="s">
        <v>273</v>
      </c>
      <c r="C271">
        <v>4.0949078402655603E-2</v>
      </c>
      <c r="D271">
        <v>4.0949078402655603E-2</v>
      </c>
      <c r="E271">
        <v>4.0949078399999998E-2</v>
      </c>
      <c r="F271">
        <v>3.93031244E-2</v>
      </c>
      <c r="G271">
        <v>3.7723329700000002E-2</v>
      </c>
      <c r="H271">
        <v>3.62070351E-2</v>
      </c>
      <c r="I271">
        <v>3.4751688099999997E-2</v>
      </c>
      <c r="J271">
        <v>3.3354839099999999E-2</v>
      </c>
      <c r="K271">
        <v>3.20141366E-2</v>
      </c>
      <c r="L271">
        <v>3.0727323800000001E-2</v>
      </c>
      <c r="M271">
        <v>2.94922346E-2</v>
      </c>
      <c r="N271">
        <v>2.83067901E-2</v>
      </c>
      <c r="O271">
        <v>3.1063401899999999E-2</v>
      </c>
      <c r="P271">
        <v>3.40128887E-2</v>
      </c>
      <c r="Q271">
        <v>3.71521436E-2</v>
      </c>
      <c r="R271">
        <v>4.0473637700000002E-2</v>
      </c>
      <c r="S271">
        <v>6.1546973300000002E-2</v>
      </c>
      <c r="T271">
        <v>4.6782661500000003E-2</v>
      </c>
      <c r="U271">
        <v>3.2631510900000001E-2</v>
      </c>
      <c r="V271">
        <v>1.9056101999999998E-2</v>
      </c>
      <c r="W271">
        <v>4.6399030100000002E-2</v>
      </c>
      <c r="X271">
        <v>4.1259733E-2</v>
      </c>
      <c r="Y271">
        <v>4.0980023099999999E-2</v>
      </c>
      <c r="Z271">
        <v>4.0701822999999998E-2</v>
      </c>
      <c r="AA271">
        <v>4.0425120500000002E-2</v>
      </c>
      <c r="AB271">
        <v>4.0146598499999998E-2</v>
      </c>
      <c r="AC271">
        <v>3.9869353099999998E-2</v>
      </c>
      <c r="AD271">
        <v>3.4138287400000002E-2</v>
      </c>
      <c r="AE271">
        <v>2.8505684600000001E-2</v>
      </c>
      <c r="AF271">
        <v>2.2969028700000001E-2</v>
      </c>
      <c r="AG271">
        <v>1.7758554400000001E-2</v>
      </c>
      <c r="AH271">
        <v>1.26326146E-2</v>
      </c>
      <c r="AI271">
        <v>1.1753575699999999E-2</v>
      </c>
      <c r="AJ271">
        <v>1.0888956999999999E-2</v>
      </c>
      <c r="AK271">
        <v>1.0038406499999999E-2</v>
      </c>
      <c r="AL271">
        <v>9.2689726799999907E-3</v>
      </c>
      <c r="AM271">
        <v>8.5114124199999995E-3</v>
      </c>
      <c r="AN271">
        <v>8.6968810500000007E-3</v>
      </c>
      <c r="AO271">
        <v>8.8812472199999905E-3</v>
      </c>
      <c r="AP271">
        <v>9.0645207200000001E-3</v>
      </c>
      <c r="AQ271">
        <v>9.2467112499999907E-3</v>
      </c>
      <c r="AR271">
        <v>9.4278283599999995E-3</v>
      </c>
      <c r="AS271">
        <v>1.1405538600000001E-2</v>
      </c>
      <c r="AT271">
        <v>1.3399978599999999E-2</v>
      </c>
      <c r="AU271">
        <v>1.5411361700000001E-2</v>
      </c>
      <c r="AV271">
        <v>1.74399046E-2</v>
      </c>
      <c r="AW271">
        <v>1.9485827899999999E-2</v>
      </c>
    </row>
    <row r="272" spans="2:49" x14ac:dyDescent="0.25">
      <c r="B272" t="s">
        <v>274</v>
      </c>
      <c r="C272">
        <v>4.0858446639591303E-2</v>
      </c>
      <c r="D272">
        <v>4.0858446639591303E-2</v>
      </c>
      <c r="E272">
        <v>4.0858446600000001E-2</v>
      </c>
      <c r="F272">
        <v>3.8169239799999997E-2</v>
      </c>
      <c r="G272">
        <v>3.5657030200000002E-2</v>
      </c>
      <c r="H272">
        <v>3.33101684E-2</v>
      </c>
      <c r="I272">
        <v>3.1117771499999999E-2</v>
      </c>
      <c r="J272">
        <v>2.9069672899999999E-2</v>
      </c>
      <c r="K272">
        <v>2.7156375399999998E-2</v>
      </c>
      <c r="L272">
        <v>2.5369006699999998E-2</v>
      </c>
      <c r="M272">
        <v>2.3699278399999999E-2</v>
      </c>
      <c r="N272">
        <v>2.2139447600000001E-2</v>
      </c>
      <c r="O272">
        <v>2.0123113299999999E-2</v>
      </c>
      <c r="P272">
        <v>1.8249865800000001E-2</v>
      </c>
      <c r="Q272">
        <v>1.6510872900000001E-2</v>
      </c>
      <c r="R272">
        <v>1.48980146E-2</v>
      </c>
      <c r="S272">
        <v>5.7328033000000004E-3</v>
      </c>
      <c r="T272">
        <v>4.6851091799999999E-3</v>
      </c>
      <c r="U272">
        <v>3.6809257700000002E-3</v>
      </c>
      <c r="V272">
        <v>2.7175976999999998E-3</v>
      </c>
      <c r="W272">
        <v>3.5234689500000002E-3</v>
      </c>
      <c r="X272">
        <v>2.9612773799999998E-3</v>
      </c>
      <c r="Y272">
        <v>2.3574040600000002E-3</v>
      </c>
      <c r="Z272">
        <v>1.75679039E-3</v>
      </c>
      <c r="AA272">
        <v>1.1594100500000001E-3</v>
      </c>
      <c r="AB272">
        <v>8.1001251800000003E-4</v>
      </c>
      <c r="AC272">
        <v>4.6221635399999999E-4</v>
      </c>
      <c r="AD272">
        <v>3.8184282199999999E-4</v>
      </c>
      <c r="AE272">
        <v>3.02850152E-4</v>
      </c>
      <c r="AF272">
        <v>2.25203059E-4</v>
      </c>
      <c r="AG272">
        <v>2.2336127799999999E-4</v>
      </c>
      <c r="AH272">
        <v>2.2154937699999999E-4</v>
      </c>
      <c r="AI272">
        <v>2.1971715799999999E-4</v>
      </c>
      <c r="AJ272">
        <v>2.17914994E-4</v>
      </c>
      <c r="AK272">
        <v>2.1614215400000001E-4</v>
      </c>
      <c r="AL272">
        <v>2.1446148799999999E-4</v>
      </c>
      <c r="AM272">
        <v>2.1280675799999999E-4</v>
      </c>
      <c r="AN272">
        <v>2.12172388E-4</v>
      </c>
      <c r="AO272">
        <v>2.11541789E-4</v>
      </c>
      <c r="AP272">
        <v>2.1091492699999999E-4</v>
      </c>
      <c r="AQ272">
        <v>2.10291769E-4</v>
      </c>
      <c r="AR272">
        <v>2.0967228200000001E-4</v>
      </c>
      <c r="AS272">
        <v>2.10555377E-4</v>
      </c>
      <c r="AT272">
        <v>2.11445942E-4</v>
      </c>
      <c r="AU272">
        <v>2.1234407200000001E-4</v>
      </c>
      <c r="AV272">
        <v>2.1324986400000001E-4</v>
      </c>
      <c r="AW272">
        <v>2.14163418E-4</v>
      </c>
    </row>
    <row r="273" spans="2:49" x14ac:dyDescent="0.25">
      <c r="B273" t="s">
        <v>275</v>
      </c>
      <c r="C273">
        <v>8.2546962733871607E-3</v>
      </c>
      <c r="D273">
        <v>8.2546962733871607E-3</v>
      </c>
      <c r="E273">
        <v>8.2546962700000004E-3</v>
      </c>
      <c r="F273">
        <v>1.3385109900000001E-2</v>
      </c>
      <c r="G273">
        <v>1.8063529700000001E-2</v>
      </c>
      <c r="H273">
        <v>2.2286687400000001E-2</v>
      </c>
      <c r="I273">
        <v>2.6043462699999999E-2</v>
      </c>
      <c r="J273">
        <v>2.93135359E-2</v>
      </c>
      <c r="K273">
        <v>3.2065675000000002E-2</v>
      </c>
      <c r="L273">
        <v>3.4255574300000001E-2</v>
      </c>
      <c r="M273">
        <v>3.58231387E-2</v>
      </c>
      <c r="N273">
        <v>3.6689084400000002E-2</v>
      </c>
      <c r="O273">
        <v>4.1917166399999997E-2</v>
      </c>
      <c r="P273">
        <v>4.7784062400000001E-2</v>
      </c>
      <c r="Q273">
        <v>5.4340055399999997E-2</v>
      </c>
      <c r="R273">
        <v>6.1631833800000001E-2</v>
      </c>
      <c r="S273">
        <v>8.39523571E-2</v>
      </c>
      <c r="T273">
        <v>8.8159484400000002E-2</v>
      </c>
      <c r="U273">
        <v>9.2191889900000004E-2</v>
      </c>
      <c r="V273">
        <v>9.6060236399999999E-2</v>
      </c>
      <c r="W273">
        <v>0.1057388997</v>
      </c>
      <c r="X273">
        <v>0.1116736986</v>
      </c>
      <c r="Y273">
        <v>0.1174777957</v>
      </c>
      <c r="Z273">
        <v>0.1232505627</v>
      </c>
      <c r="AA273">
        <v>0.12899225280000001</v>
      </c>
      <c r="AB273">
        <v>0.13450869800000001</v>
      </c>
      <c r="AC273">
        <v>0.1399998599</v>
      </c>
      <c r="AD273">
        <v>0.15319456840000001</v>
      </c>
      <c r="AE273">
        <v>0.1661625846</v>
      </c>
      <c r="AF273">
        <v>0.178909701</v>
      </c>
      <c r="AG273">
        <v>0.1908366373</v>
      </c>
      <c r="AH273">
        <v>0.20257007169999999</v>
      </c>
      <c r="AI273">
        <v>0.2139233284</v>
      </c>
      <c r="AJ273">
        <v>0.2250903417</v>
      </c>
      <c r="AK273">
        <v>0.23607565729999999</v>
      </c>
      <c r="AL273">
        <v>0.24598568030000001</v>
      </c>
      <c r="AM273">
        <v>0.25574277680000002</v>
      </c>
      <c r="AN273">
        <v>0.26931416530000002</v>
      </c>
      <c r="AO273">
        <v>0.28280488240000001</v>
      </c>
      <c r="AP273">
        <v>0.2962156454</v>
      </c>
      <c r="AQ273">
        <v>0.30954716300000001</v>
      </c>
      <c r="AR273">
        <v>0.32280013549999997</v>
      </c>
      <c r="AS273">
        <v>0.33653524109999999</v>
      </c>
      <c r="AT273">
        <v>0.35038653479999998</v>
      </c>
      <c r="AU273">
        <v>0.36435549690000002</v>
      </c>
      <c r="AV273">
        <v>0.37844363339999998</v>
      </c>
      <c r="AW273">
        <v>0.39265247590000002</v>
      </c>
    </row>
    <row r="274" spans="2:49" x14ac:dyDescent="0.25">
      <c r="B274" t="s">
        <v>276</v>
      </c>
      <c r="C274">
        <v>1.85730666151211E-3</v>
      </c>
      <c r="D274">
        <v>1.85730666151211E-3</v>
      </c>
      <c r="E274">
        <v>1.8573066599999999E-3</v>
      </c>
      <c r="F274">
        <v>2.3029467500000002E-3</v>
      </c>
      <c r="G274">
        <v>2.85551323E-3</v>
      </c>
      <c r="H274">
        <v>3.5406618999999999E-3</v>
      </c>
      <c r="I274">
        <v>4.3902043700000002E-3</v>
      </c>
      <c r="J274">
        <v>5.4435851100000003E-3</v>
      </c>
      <c r="K274">
        <v>6.7497128599999998E-3</v>
      </c>
      <c r="L274">
        <v>8.3692314399999995E-3</v>
      </c>
      <c r="M274">
        <v>1.0377335499999999E-2</v>
      </c>
      <c r="N274">
        <v>1.28672618E-2</v>
      </c>
      <c r="O274">
        <v>1.5169190399999999E-2</v>
      </c>
      <c r="P274">
        <v>1.7843283599999999E-2</v>
      </c>
      <c r="Q274">
        <v>2.0937894499999998E-2</v>
      </c>
      <c r="R274">
        <v>2.45041275E-2</v>
      </c>
      <c r="S274">
        <v>3.6998234300000002E-2</v>
      </c>
      <c r="T274">
        <v>3.8852336899999999E-2</v>
      </c>
      <c r="U274">
        <v>4.0629438699999999E-2</v>
      </c>
      <c r="V274">
        <v>4.23342388E-2</v>
      </c>
      <c r="W274">
        <v>4.8363738900000001E-2</v>
      </c>
      <c r="X274">
        <v>5.4378422599999997E-2</v>
      </c>
      <c r="Y274">
        <v>6.31716747E-2</v>
      </c>
      <c r="Z274">
        <v>7.1917461700000004E-2</v>
      </c>
      <c r="AA274">
        <v>8.0616166700000005E-2</v>
      </c>
      <c r="AB274">
        <v>8.8746043799999896E-2</v>
      </c>
      <c r="AC274">
        <v>9.6838659600000002E-2</v>
      </c>
      <c r="AD274">
        <v>0.1039757067</v>
      </c>
      <c r="AE274">
        <v>0.1109901355</v>
      </c>
      <c r="AF274">
        <v>0.1178850791</v>
      </c>
      <c r="AG274">
        <v>0.1243455854</v>
      </c>
      <c r="AH274">
        <v>0.13070127679999999</v>
      </c>
      <c r="AI274">
        <v>0.13489016249999999</v>
      </c>
      <c r="AJ274">
        <v>0.13901033209999999</v>
      </c>
      <c r="AK274">
        <v>0.1430634627</v>
      </c>
      <c r="AL274">
        <v>0.1467582459</v>
      </c>
      <c r="AM274">
        <v>0.1503960131</v>
      </c>
      <c r="AN274">
        <v>0.1564281142</v>
      </c>
      <c r="AO274">
        <v>0.1624243591</v>
      </c>
      <c r="AP274">
        <v>0.1683850667</v>
      </c>
      <c r="AQ274">
        <v>0.1743105519</v>
      </c>
      <c r="AR274">
        <v>0.18020112599999999</v>
      </c>
      <c r="AS274">
        <v>0.18491657719999999</v>
      </c>
      <c r="AT274">
        <v>0.1896719174</v>
      </c>
      <c r="AU274">
        <v>0.1944676548</v>
      </c>
      <c r="AV274">
        <v>0.19930430639999999</v>
      </c>
      <c r="AW274">
        <v>0.2041823981</v>
      </c>
    </row>
    <row r="275" spans="2:49" x14ac:dyDescent="0.25">
      <c r="B275" t="s">
        <v>277</v>
      </c>
      <c r="C275">
        <v>9.2848272947954696E-2</v>
      </c>
      <c r="D275">
        <v>9.2848272947954599E-2</v>
      </c>
      <c r="E275">
        <v>9.2848272900000001E-2</v>
      </c>
      <c r="F275">
        <v>9.2738145600000002E-2</v>
      </c>
      <c r="G275">
        <v>9.2628149000000007E-2</v>
      </c>
      <c r="H275">
        <v>9.2518282699999996E-2</v>
      </c>
      <c r="I275">
        <v>9.2408546800000005E-2</v>
      </c>
      <c r="J275">
        <v>9.2298941100000004E-2</v>
      </c>
      <c r="K275">
        <v>9.2189465400000004E-2</v>
      </c>
      <c r="L275">
        <v>9.2080119500000002E-2</v>
      </c>
      <c r="M275">
        <v>9.1970903300000004E-2</v>
      </c>
      <c r="N275">
        <v>9.1861816600000007E-2</v>
      </c>
      <c r="O275">
        <v>9.5526416500000003E-2</v>
      </c>
      <c r="P275">
        <v>9.9116978100000003E-2</v>
      </c>
      <c r="Q275">
        <v>0.1025931762</v>
      </c>
      <c r="R275">
        <v>0.1059099842</v>
      </c>
      <c r="S275">
        <v>0.10258601320000001</v>
      </c>
      <c r="T275">
        <v>0.1077269341</v>
      </c>
      <c r="U275">
        <v>0.11265435259999999</v>
      </c>
      <c r="V275">
        <v>0.11738129849999999</v>
      </c>
      <c r="W275">
        <v>0.1196975339</v>
      </c>
      <c r="X275">
        <v>0.11909036739999999</v>
      </c>
      <c r="Y275">
        <v>0.1174431589</v>
      </c>
      <c r="Z275">
        <v>0.1158048419</v>
      </c>
      <c r="AA275">
        <v>0.11417534460000001</v>
      </c>
      <c r="AB275">
        <v>0.1129086651</v>
      </c>
      <c r="AC275">
        <v>0.1116477912</v>
      </c>
      <c r="AD275">
        <v>0.1101397358</v>
      </c>
      <c r="AE275">
        <v>0.1086575897</v>
      </c>
      <c r="AF275">
        <v>0.1072006907</v>
      </c>
      <c r="AG275">
        <v>0.105893156</v>
      </c>
      <c r="AH275">
        <v>0.1046068346</v>
      </c>
      <c r="AI275">
        <v>0.10213729439999999</v>
      </c>
      <c r="AJ275">
        <v>9.9708265399999996E-2</v>
      </c>
      <c r="AK275">
        <v>9.7318759099999999E-2</v>
      </c>
      <c r="AL275">
        <v>9.5265141100000006E-2</v>
      </c>
      <c r="AM275">
        <v>9.3243213599999999E-2</v>
      </c>
      <c r="AN275">
        <v>9.3110189699999998E-2</v>
      </c>
      <c r="AO275">
        <v>9.29779565E-2</v>
      </c>
      <c r="AP275">
        <v>9.2846507100000003E-2</v>
      </c>
      <c r="AQ275">
        <v>9.2715834299999994E-2</v>
      </c>
      <c r="AR275">
        <v>9.2585931499999996E-2</v>
      </c>
      <c r="AS275">
        <v>9.2156244100000007E-2</v>
      </c>
      <c r="AT275">
        <v>9.1722921900000004E-2</v>
      </c>
      <c r="AU275">
        <v>9.1285918600000002E-2</v>
      </c>
      <c r="AV275">
        <v>9.0845186999999994E-2</v>
      </c>
      <c r="AW275">
        <v>9.0400679299999995E-2</v>
      </c>
    </row>
    <row r="276" spans="2:49" x14ac:dyDescent="0.25">
      <c r="B276" t="s">
        <v>278</v>
      </c>
      <c r="C276">
        <v>6.0146533669896496E-3</v>
      </c>
      <c r="D276">
        <v>6.0146533669896496E-3</v>
      </c>
      <c r="E276">
        <v>6.0146533700000003E-3</v>
      </c>
      <c r="F276">
        <v>6.2696692400000002E-3</v>
      </c>
      <c r="G276">
        <v>6.5354975499999999E-3</v>
      </c>
      <c r="H276">
        <v>6.8125967500000002E-3</v>
      </c>
      <c r="I276">
        <v>7.1014447E-3</v>
      </c>
      <c r="J276">
        <v>7.4025395400000001E-3</v>
      </c>
      <c r="K276">
        <v>7.7164005299999996E-3</v>
      </c>
      <c r="L276">
        <v>8.0435689499999997E-3</v>
      </c>
      <c r="M276">
        <v>8.3846090100000003E-3</v>
      </c>
      <c r="N276">
        <v>8.7401088599999999E-3</v>
      </c>
      <c r="O276">
        <v>1.01335816E-2</v>
      </c>
      <c r="P276">
        <v>1.17231739E-2</v>
      </c>
      <c r="Q276">
        <v>1.35292368E-2</v>
      </c>
      <c r="R276">
        <v>1.55721794E-2</v>
      </c>
      <c r="S276">
        <v>1.21941333E-2</v>
      </c>
      <c r="T276">
        <v>1.5992557300000002E-2</v>
      </c>
      <c r="U276">
        <v>1.9633232899999999E-2</v>
      </c>
      <c r="V276">
        <v>2.3125786999999998E-2</v>
      </c>
      <c r="W276">
        <v>2.5429612300000001E-2</v>
      </c>
      <c r="X276">
        <v>2.59525582E-2</v>
      </c>
      <c r="Y276">
        <v>2.5402885900000002E-2</v>
      </c>
      <c r="Z276">
        <v>2.4856180799999999E-2</v>
      </c>
      <c r="AA276">
        <v>2.4312418700000001E-2</v>
      </c>
      <c r="AB276">
        <v>2.37581485E-2</v>
      </c>
      <c r="AC276">
        <v>2.3206418699999998E-2</v>
      </c>
      <c r="AD276">
        <v>2.3999714200000001E-2</v>
      </c>
      <c r="AE276">
        <v>2.47793805E-2</v>
      </c>
      <c r="AF276">
        <v>2.5545765799999998E-2</v>
      </c>
      <c r="AG276">
        <v>2.6272993500000001E-2</v>
      </c>
      <c r="AH276">
        <v>2.6988422599999999E-2</v>
      </c>
      <c r="AI276">
        <v>2.7338905199999999E-2</v>
      </c>
      <c r="AJ276">
        <v>2.7683638399999998E-2</v>
      </c>
      <c r="AK276">
        <v>2.8022762400000002E-2</v>
      </c>
      <c r="AL276">
        <v>2.8338569000000001E-2</v>
      </c>
      <c r="AM276">
        <v>2.86495022E-2</v>
      </c>
      <c r="AN276">
        <v>2.74711742E-2</v>
      </c>
      <c r="AO276">
        <v>2.6299850499999999E-2</v>
      </c>
      <c r="AP276">
        <v>2.51354687E-2</v>
      </c>
      <c r="AQ276">
        <v>2.3977967400000001E-2</v>
      </c>
      <c r="AR276">
        <v>2.2827285700000002E-2</v>
      </c>
      <c r="AS276">
        <v>2.2358453800000001E-2</v>
      </c>
      <c r="AT276">
        <v>2.1885656E-2</v>
      </c>
      <c r="AU276">
        <v>2.14088417E-2</v>
      </c>
      <c r="AV276">
        <v>2.0927959499999999E-2</v>
      </c>
      <c r="AW276">
        <v>2.04429572E-2</v>
      </c>
    </row>
    <row r="277" spans="2:49" x14ac:dyDescent="0.25">
      <c r="B277" t="s">
        <v>279</v>
      </c>
      <c r="C277">
        <v>0.92287069498865704</v>
      </c>
      <c r="D277">
        <v>0.92287069498865704</v>
      </c>
      <c r="E277">
        <v>0.92285345399999996</v>
      </c>
      <c r="F277">
        <v>0.91580034519999998</v>
      </c>
      <c r="G277">
        <v>0.90892104730000001</v>
      </c>
      <c r="H277">
        <v>0.90182068319999997</v>
      </c>
      <c r="I277">
        <v>0.89502733079999997</v>
      </c>
      <c r="J277">
        <v>0.8883145992</v>
      </c>
      <c r="K277">
        <v>0.88167376330000002</v>
      </c>
      <c r="L277">
        <v>0.87507744799999998</v>
      </c>
      <c r="M277">
        <v>0.86844038999999995</v>
      </c>
      <c r="N277">
        <v>0.86180637689999995</v>
      </c>
      <c r="O277">
        <v>0.83691448589999995</v>
      </c>
      <c r="P277">
        <v>0.80739007060000001</v>
      </c>
      <c r="Q277">
        <v>0.7728920896</v>
      </c>
      <c r="R277">
        <v>0.73287661260000003</v>
      </c>
      <c r="S277">
        <v>0.70219252340000005</v>
      </c>
      <c r="T277">
        <v>0.69978838109999997</v>
      </c>
      <c r="U277">
        <v>0.69723132160000001</v>
      </c>
      <c r="V277">
        <v>0.69468584229999997</v>
      </c>
      <c r="W277">
        <v>0.62319001230000004</v>
      </c>
      <c r="X277">
        <v>0.60372006869999995</v>
      </c>
      <c r="Y277">
        <v>0.57968867609999997</v>
      </c>
      <c r="Z277">
        <v>0.55495493240000004</v>
      </c>
      <c r="AA277">
        <v>0.52944154170000002</v>
      </c>
      <c r="AB277">
        <v>0.50513863349999999</v>
      </c>
      <c r="AC277">
        <v>0.48005240580000003</v>
      </c>
      <c r="AD277">
        <v>0.4560713367</v>
      </c>
      <c r="AE277">
        <v>0.43218862180000001</v>
      </c>
      <c r="AF277">
        <v>0.40825922640000001</v>
      </c>
      <c r="AG277">
        <v>0.38683043389999999</v>
      </c>
      <c r="AH277">
        <v>0.36525775290000001</v>
      </c>
      <c r="AI277">
        <v>0.34520776530000002</v>
      </c>
      <c r="AJ277">
        <v>0.32499813350000001</v>
      </c>
      <c r="AK277">
        <v>0.3051544417</v>
      </c>
      <c r="AL277">
        <v>0.28731568260000001</v>
      </c>
      <c r="AM277">
        <v>0.27032451740000002</v>
      </c>
      <c r="AN277">
        <v>0.2570237031</v>
      </c>
      <c r="AO277">
        <v>0.24553066160000001</v>
      </c>
      <c r="AP277">
        <v>0.231332487</v>
      </c>
      <c r="AQ277">
        <v>0.2213312791</v>
      </c>
      <c r="AR277">
        <v>0.20725432769999999</v>
      </c>
      <c r="AS277">
        <v>0.19138467640000001</v>
      </c>
      <c r="AT277">
        <v>0.17476414160000001</v>
      </c>
      <c r="AU277">
        <v>0.15923835310000001</v>
      </c>
      <c r="AV277">
        <v>0.14185047570000001</v>
      </c>
      <c r="AW277">
        <v>0.1270803523</v>
      </c>
    </row>
    <row r="278" spans="2:49" x14ac:dyDescent="0.25">
      <c r="B278" t="s">
        <v>280</v>
      </c>
      <c r="C278">
        <v>4.1245617653124303E-2</v>
      </c>
      <c r="D278">
        <v>4.1245617653124303E-2</v>
      </c>
      <c r="E278">
        <v>4.1254837400000001E-2</v>
      </c>
      <c r="F278">
        <v>4.7474178200000001E-2</v>
      </c>
      <c r="G278">
        <v>5.3373724300000001E-2</v>
      </c>
      <c r="H278">
        <v>5.9167075E-2</v>
      </c>
      <c r="I278">
        <v>6.4520142799999999E-2</v>
      </c>
      <c r="J278">
        <v>6.9541849399999994E-2</v>
      </c>
      <c r="K278">
        <v>7.4211054299999996E-2</v>
      </c>
      <c r="L278">
        <v>7.8515116600000004E-2</v>
      </c>
      <c r="M278">
        <v>8.2473652999999994E-2</v>
      </c>
      <c r="N278">
        <v>8.6019665300000006E-2</v>
      </c>
      <c r="O278">
        <v>0.109237846</v>
      </c>
      <c r="P278">
        <v>0.13749655329999999</v>
      </c>
      <c r="Q278">
        <v>0.17125877170000001</v>
      </c>
      <c r="R278">
        <v>0.21108966479999999</v>
      </c>
      <c r="S278">
        <v>0.1830585861</v>
      </c>
      <c r="T278">
        <v>0.188650348</v>
      </c>
      <c r="U278">
        <v>0.1942437541</v>
      </c>
      <c r="V278">
        <v>0.1997425514</v>
      </c>
      <c r="W278">
        <v>0.1955951437</v>
      </c>
      <c r="X278">
        <v>0.19259061960000001</v>
      </c>
      <c r="Y278">
        <v>0.19385789549999999</v>
      </c>
      <c r="Z278">
        <v>0.1951557988</v>
      </c>
      <c r="AA278">
        <v>0.19650569940000001</v>
      </c>
      <c r="AB278">
        <v>0.19780292329999999</v>
      </c>
      <c r="AC278">
        <v>0.19915582060000001</v>
      </c>
      <c r="AD278">
        <v>0.19790330040000001</v>
      </c>
      <c r="AE278">
        <v>0.19655818629999999</v>
      </c>
      <c r="AF278">
        <v>0.19517981540000001</v>
      </c>
      <c r="AG278">
        <v>0.19366996219999999</v>
      </c>
      <c r="AH278">
        <v>0.19216891320000001</v>
      </c>
      <c r="AI278">
        <v>0.1902693805</v>
      </c>
      <c r="AJ278">
        <v>0.18843005430000001</v>
      </c>
      <c r="AK278">
        <v>0.18650332040000001</v>
      </c>
      <c r="AL278">
        <v>0.18465884430000001</v>
      </c>
      <c r="AM278">
        <v>0.1826069421</v>
      </c>
      <c r="AN278">
        <v>0.18132444070000001</v>
      </c>
      <c r="AO278">
        <v>0.17961232590000001</v>
      </c>
      <c r="AP278">
        <v>0.17855018210000001</v>
      </c>
      <c r="AQ278">
        <v>0.17652687419999999</v>
      </c>
      <c r="AR278">
        <v>0.17544163700000001</v>
      </c>
      <c r="AS278">
        <v>0.17459782569999999</v>
      </c>
      <c r="AT278">
        <v>0.1738953479</v>
      </c>
      <c r="AU278">
        <v>0.17294410869999999</v>
      </c>
      <c r="AV278">
        <v>0.17235510200000001</v>
      </c>
      <c r="AW278">
        <v>0.1712239613</v>
      </c>
    </row>
    <row r="279" spans="2:49" x14ac:dyDescent="0.25">
      <c r="B279" t="s">
        <v>281</v>
      </c>
      <c r="C279">
        <v>5.1557022066405396E-3</v>
      </c>
      <c r="D279">
        <v>5.1557022066405396E-3</v>
      </c>
      <c r="E279">
        <v>5.1568546799999997E-3</v>
      </c>
      <c r="F279">
        <v>4.8228147299999996E-3</v>
      </c>
      <c r="G279">
        <v>4.5046035099999999E-3</v>
      </c>
      <c r="H279">
        <v>4.22005464E-3</v>
      </c>
      <c r="I279">
        <v>3.9431288899999997E-3</v>
      </c>
      <c r="J279">
        <v>3.68393612E-3</v>
      </c>
      <c r="K279">
        <v>3.4416757899999998E-3</v>
      </c>
      <c r="L279">
        <v>3.2159528599999998E-3</v>
      </c>
      <c r="M279">
        <v>3.00745089E-3</v>
      </c>
      <c r="N279">
        <v>2.8135024199999999E-3</v>
      </c>
      <c r="O279">
        <v>2.7293854399999999E-3</v>
      </c>
      <c r="P279">
        <v>2.6243741699999998E-3</v>
      </c>
      <c r="Q279">
        <v>2.49705993E-3</v>
      </c>
      <c r="R279">
        <v>2.3511769300000001E-3</v>
      </c>
      <c r="S279">
        <v>1.0237739500000001E-2</v>
      </c>
      <c r="T279">
        <v>9.5592488500000003E-3</v>
      </c>
      <c r="U279">
        <v>8.90310144E-3</v>
      </c>
      <c r="V279">
        <v>8.2627428499999905E-3</v>
      </c>
      <c r="W279">
        <v>3.3541511500000003E-2</v>
      </c>
      <c r="X279">
        <v>4.148686E-2</v>
      </c>
      <c r="Y279">
        <v>5.0071534000000001E-2</v>
      </c>
      <c r="Z279">
        <v>5.8910843499999997E-2</v>
      </c>
      <c r="AA279">
        <v>6.8022320900000002E-2</v>
      </c>
      <c r="AB279">
        <v>7.5292271600000002E-2</v>
      </c>
      <c r="AC279">
        <v>8.2790660599999996E-2</v>
      </c>
      <c r="AD279">
        <v>9.6728493499999998E-2</v>
      </c>
      <c r="AE279">
        <v>0.1107039101</v>
      </c>
      <c r="AF279">
        <v>0.1247363354</v>
      </c>
      <c r="AG279">
        <v>0.1362450945</v>
      </c>
      <c r="AH279">
        <v>0.14781569219999999</v>
      </c>
      <c r="AI279">
        <v>0.16018882749999999</v>
      </c>
      <c r="AJ279">
        <v>0.17258766179999999</v>
      </c>
      <c r="AK279">
        <v>0.18487867629999999</v>
      </c>
      <c r="AL279">
        <v>0.1947383993</v>
      </c>
      <c r="AM279">
        <v>0.20435712389999999</v>
      </c>
      <c r="AN279">
        <v>0.21101361790000001</v>
      </c>
      <c r="AO279">
        <v>0.21714932510000001</v>
      </c>
      <c r="AP279">
        <v>0.22405981780000001</v>
      </c>
      <c r="AQ279">
        <v>0.22973820340000001</v>
      </c>
      <c r="AR279">
        <v>0.2366101407</v>
      </c>
      <c r="AS279">
        <v>0.24759827279999999</v>
      </c>
      <c r="AT279">
        <v>0.25884617560000001</v>
      </c>
      <c r="AU279">
        <v>0.26977663660000001</v>
      </c>
      <c r="AV279">
        <v>0.28133443819999998</v>
      </c>
      <c r="AW279">
        <v>0.29205753470000001</v>
      </c>
    </row>
    <row r="280" spans="2:49" x14ac:dyDescent="0.25">
      <c r="B280" t="s">
        <v>282</v>
      </c>
      <c r="C280">
        <v>1.5260878531656001E-2</v>
      </c>
      <c r="D280">
        <v>1.5260878531656001E-2</v>
      </c>
      <c r="E280">
        <v>1.52642899E-2</v>
      </c>
      <c r="F280">
        <v>1.4960673799999999E-2</v>
      </c>
      <c r="G280">
        <v>1.4644212E-2</v>
      </c>
      <c r="H280">
        <v>1.4377599200000001E-2</v>
      </c>
      <c r="I280">
        <v>1.40788809E-2</v>
      </c>
      <c r="J280">
        <v>1.37847253E-2</v>
      </c>
      <c r="K280">
        <v>1.34963037E-2</v>
      </c>
      <c r="L280">
        <v>1.3216407600000001E-2</v>
      </c>
      <c r="M280">
        <v>1.29527254E-2</v>
      </c>
      <c r="N280">
        <v>1.26989779E-2</v>
      </c>
      <c r="O280">
        <v>1.27406124E-2</v>
      </c>
      <c r="P280">
        <v>1.26693736E-2</v>
      </c>
      <c r="Q280">
        <v>1.24670101E-2</v>
      </c>
      <c r="R280">
        <v>1.21401097E-2</v>
      </c>
      <c r="S280">
        <v>3.4474586299999999E-2</v>
      </c>
      <c r="T280">
        <v>3.0100979E-2</v>
      </c>
      <c r="U280">
        <v>2.5849501699999999E-2</v>
      </c>
      <c r="V280">
        <v>2.1695615000000001E-2</v>
      </c>
      <c r="W280">
        <v>2.75537735E-2</v>
      </c>
      <c r="X280">
        <v>2.86919954E-2</v>
      </c>
      <c r="Y280">
        <v>2.9259509600000001E-2</v>
      </c>
      <c r="Z280">
        <v>2.9842888500000001E-2</v>
      </c>
      <c r="AA280">
        <v>3.04459046E-2</v>
      </c>
      <c r="AB280">
        <v>3.0902201099999999E-2</v>
      </c>
      <c r="AC280">
        <v>3.1374952599999999E-2</v>
      </c>
      <c r="AD280">
        <v>3.1056731600000002E-2</v>
      </c>
      <c r="AE280">
        <v>3.0723287200000001E-2</v>
      </c>
      <c r="AF280">
        <v>3.03840113E-2</v>
      </c>
      <c r="AG280">
        <v>3.00247415E-2</v>
      </c>
      <c r="AH280">
        <v>2.9666282400000001E-2</v>
      </c>
      <c r="AI280">
        <v>2.9680971E-2</v>
      </c>
      <c r="AJ280">
        <v>2.97044952E-2</v>
      </c>
      <c r="AK280">
        <v>2.9713622299999999E-2</v>
      </c>
      <c r="AL280">
        <v>2.9737962600000001E-2</v>
      </c>
      <c r="AM280">
        <v>2.9728292600000001E-2</v>
      </c>
      <c r="AN280">
        <v>2.97785315E-2</v>
      </c>
      <c r="AO280">
        <v>2.9757549000000001E-2</v>
      </c>
      <c r="AP280">
        <v>2.9843898600000002E-2</v>
      </c>
      <c r="AQ280">
        <v>2.9768762800000001E-2</v>
      </c>
      <c r="AR280">
        <v>2.9850946E-2</v>
      </c>
      <c r="AS280">
        <v>2.9888957899999999E-2</v>
      </c>
      <c r="AT280">
        <v>2.9952052999999999E-2</v>
      </c>
      <c r="AU280">
        <v>2.99730923E-2</v>
      </c>
      <c r="AV280">
        <v>3.00578432E-2</v>
      </c>
      <c r="AW280">
        <v>3.0048800800000001E-2</v>
      </c>
    </row>
    <row r="281" spans="2:49" x14ac:dyDescent="0.25">
      <c r="B281" t="s">
        <v>283</v>
      </c>
      <c r="C281">
        <v>5.1557022066405396E-3</v>
      </c>
      <c r="D281">
        <v>5.1557022066405396E-3</v>
      </c>
      <c r="E281">
        <v>5.1568546799999997E-3</v>
      </c>
      <c r="F281">
        <v>5.3427632800000001E-3</v>
      </c>
      <c r="G281">
        <v>5.5282449399999996E-3</v>
      </c>
      <c r="H281">
        <v>5.7373868599999997E-3</v>
      </c>
      <c r="I281">
        <v>5.9388504199999999E-3</v>
      </c>
      <c r="J281">
        <v>6.1466552899999997E-3</v>
      </c>
      <c r="K281">
        <v>6.3615372800000002E-3</v>
      </c>
      <c r="L281">
        <v>6.5851723900000004E-3</v>
      </c>
      <c r="M281">
        <v>6.8221516900000001E-3</v>
      </c>
      <c r="N281">
        <v>7.0702614500000004E-3</v>
      </c>
      <c r="O281">
        <v>7.3420021199999998E-3</v>
      </c>
      <c r="P281">
        <v>7.5567810899999999E-3</v>
      </c>
      <c r="Q281">
        <v>7.69664592E-3</v>
      </c>
      <c r="R281">
        <v>7.7574557199999996E-3</v>
      </c>
      <c r="S281">
        <v>8.9533592000000002E-3</v>
      </c>
      <c r="T281">
        <v>8.6540378500000008E-3</v>
      </c>
      <c r="U281">
        <v>8.3676556800000006E-3</v>
      </c>
      <c r="V281">
        <v>8.0888280800000007E-3</v>
      </c>
      <c r="W281">
        <v>1.2534192499999999E-2</v>
      </c>
      <c r="X281">
        <v>1.3990969000000001E-2</v>
      </c>
      <c r="Y281">
        <v>1.50530986E-2</v>
      </c>
      <c r="Z281">
        <v>1.6146402000000001E-2</v>
      </c>
      <c r="AA281">
        <v>1.7273940500000001E-2</v>
      </c>
      <c r="AB281">
        <v>1.84737115E-2</v>
      </c>
      <c r="AC281">
        <v>1.9711671199999999E-2</v>
      </c>
      <c r="AD281">
        <v>2.1329809599999999E-2</v>
      </c>
      <c r="AE281">
        <v>2.2947949799999999E-2</v>
      </c>
      <c r="AF281">
        <v>2.45713332E-2</v>
      </c>
      <c r="AG281">
        <v>2.61998378E-2</v>
      </c>
      <c r="AH281">
        <v>2.7837646099999998E-2</v>
      </c>
      <c r="AI281">
        <v>2.82568682E-2</v>
      </c>
      <c r="AJ281">
        <v>2.86837772E-2</v>
      </c>
      <c r="AK281">
        <v>2.9095987199999999E-2</v>
      </c>
      <c r="AL281">
        <v>2.9527153600000001E-2</v>
      </c>
      <c r="AM281">
        <v>2.9923783799999999E-2</v>
      </c>
      <c r="AN281">
        <v>3.0344181599999999E-2</v>
      </c>
      <c r="AO281">
        <v>3.0691061400000001E-2</v>
      </c>
      <c r="AP281">
        <v>3.11481454E-2</v>
      </c>
      <c r="AQ281">
        <v>3.1435531099999997E-2</v>
      </c>
      <c r="AR281">
        <v>3.1887840200000003E-2</v>
      </c>
      <c r="AS281">
        <v>3.22499022E-2</v>
      </c>
      <c r="AT281">
        <v>3.2640592400000001E-2</v>
      </c>
      <c r="AU281">
        <v>3.2986835499999999E-2</v>
      </c>
      <c r="AV281">
        <v>3.3404817599999997E-2</v>
      </c>
      <c r="AW281">
        <v>3.3719861099999998E-2</v>
      </c>
    </row>
    <row r="282" spans="2:49" x14ac:dyDescent="0.25">
      <c r="B282" t="s">
        <v>284</v>
      </c>
      <c r="C282">
        <v>1.0311404413280999E-2</v>
      </c>
      <c r="D282">
        <v>1.0311404413280999E-2</v>
      </c>
      <c r="E282">
        <v>1.0313709399999999E-2</v>
      </c>
      <c r="F282">
        <v>1.15992248E-2</v>
      </c>
      <c r="G282">
        <v>1.3028168E-2</v>
      </c>
      <c r="H282">
        <v>1.46772011E-2</v>
      </c>
      <c r="I282">
        <v>1.6491666200000001E-2</v>
      </c>
      <c r="J282">
        <v>1.85282347E-2</v>
      </c>
      <c r="K282">
        <v>2.08156655E-2</v>
      </c>
      <c r="L282">
        <v>2.33899025E-2</v>
      </c>
      <c r="M282">
        <v>2.63036291E-2</v>
      </c>
      <c r="N282">
        <v>2.9591216E-2</v>
      </c>
      <c r="O282">
        <v>3.1035668200000002E-2</v>
      </c>
      <c r="P282">
        <v>3.2262847300000001E-2</v>
      </c>
      <c r="Q282">
        <v>3.3188422799999999E-2</v>
      </c>
      <c r="R282">
        <v>3.3784980200000002E-2</v>
      </c>
      <c r="S282">
        <v>6.1083205500000001E-2</v>
      </c>
      <c r="T282">
        <v>6.3247005199999998E-2</v>
      </c>
      <c r="U282">
        <v>6.54046655E-2</v>
      </c>
      <c r="V282">
        <v>6.7524420399999896E-2</v>
      </c>
      <c r="W282">
        <v>0.1075853665</v>
      </c>
      <c r="X282">
        <v>0.1195194874</v>
      </c>
      <c r="Y282">
        <v>0.1320692862</v>
      </c>
      <c r="Z282">
        <v>0.1449891348</v>
      </c>
      <c r="AA282">
        <v>0.15831059289999999</v>
      </c>
      <c r="AB282">
        <v>0.17239025899999999</v>
      </c>
      <c r="AC282">
        <v>0.18691448920000001</v>
      </c>
      <c r="AD282">
        <v>0.19691032829999999</v>
      </c>
      <c r="AE282">
        <v>0.20687804470000001</v>
      </c>
      <c r="AF282">
        <v>0.2168692783</v>
      </c>
      <c r="AG282">
        <v>0.2270299301</v>
      </c>
      <c r="AH282">
        <v>0.23725371310000001</v>
      </c>
      <c r="AI282">
        <v>0.2463961875</v>
      </c>
      <c r="AJ282">
        <v>0.255595878</v>
      </c>
      <c r="AK282">
        <v>0.26465395219999999</v>
      </c>
      <c r="AL282">
        <v>0.27402195759999998</v>
      </c>
      <c r="AM282">
        <v>0.2830593401</v>
      </c>
      <c r="AN282">
        <v>0.2905155251</v>
      </c>
      <c r="AO282">
        <v>0.29725907709999999</v>
      </c>
      <c r="AP282">
        <v>0.30506546919999999</v>
      </c>
      <c r="AQ282">
        <v>0.31119934929999998</v>
      </c>
      <c r="AR282">
        <v>0.31895510840000002</v>
      </c>
      <c r="AS282">
        <v>0.32428036500000001</v>
      </c>
      <c r="AT282">
        <v>0.32990168959999999</v>
      </c>
      <c r="AU282">
        <v>0.33508097370000001</v>
      </c>
      <c r="AV282">
        <v>0.34099732329999999</v>
      </c>
      <c r="AW282">
        <v>0.34586948979999999</v>
      </c>
    </row>
    <row r="283" spans="2:49" x14ac:dyDescent="0.25">
      <c r="B283" t="s">
        <v>285</v>
      </c>
      <c r="C283">
        <v>0.99172610111270199</v>
      </c>
      <c r="D283">
        <v>0.99172610111270199</v>
      </c>
      <c r="E283">
        <v>0.99172610110000003</v>
      </c>
      <c r="F283">
        <v>0.98692243619999998</v>
      </c>
      <c r="G283">
        <v>0.98214203899999997</v>
      </c>
      <c r="H283">
        <v>0.97738479680000001</v>
      </c>
      <c r="I283">
        <v>0.97265059740000004</v>
      </c>
      <c r="J283">
        <v>0.96793932930000004</v>
      </c>
      <c r="K283">
        <v>0.96325088140000004</v>
      </c>
      <c r="L283">
        <v>0.95858514299999997</v>
      </c>
      <c r="M283">
        <v>0.95394200429999998</v>
      </c>
      <c r="N283">
        <v>0.94932135579999999</v>
      </c>
      <c r="O283">
        <v>0.94649834600000005</v>
      </c>
      <c r="P283">
        <v>0.94352743750000001</v>
      </c>
      <c r="Q283">
        <v>0.94040194440000002</v>
      </c>
      <c r="R283">
        <v>0.93711499880000004</v>
      </c>
      <c r="S283">
        <v>0.95161573820000001</v>
      </c>
      <c r="T283">
        <v>0.94863721099999998</v>
      </c>
      <c r="U283">
        <v>0.94569023600000002</v>
      </c>
      <c r="V283">
        <v>0.94277431450000004</v>
      </c>
      <c r="W283">
        <v>0.92508293470000003</v>
      </c>
      <c r="X283">
        <v>0.91990019570000003</v>
      </c>
      <c r="Y283">
        <v>0.91458085170000003</v>
      </c>
      <c r="Z283">
        <v>0.90876938439999999</v>
      </c>
      <c r="AA283">
        <v>0.90239418770000002</v>
      </c>
      <c r="AB283">
        <v>0.89572874390000001</v>
      </c>
      <c r="AC283">
        <v>0.88835184919999999</v>
      </c>
      <c r="AD283">
        <v>0.87271637950000003</v>
      </c>
      <c r="AE283">
        <v>0.85535379339999995</v>
      </c>
      <c r="AF283">
        <v>0.83596119219999998</v>
      </c>
      <c r="AG283">
        <v>0.81460574409999997</v>
      </c>
      <c r="AH283">
        <v>0.79043580189999996</v>
      </c>
      <c r="AI283">
        <v>0.75683640210000003</v>
      </c>
      <c r="AJ283">
        <v>0.71826303300000005</v>
      </c>
      <c r="AK283">
        <v>0.67352290510000001</v>
      </c>
      <c r="AL283">
        <v>0.62296323119999997</v>
      </c>
      <c r="AM283">
        <v>0.5628175876</v>
      </c>
      <c r="AN283">
        <v>0.53680529440000002</v>
      </c>
      <c r="AO283">
        <v>0.50636456480000003</v>
      </c>
      <c r="AP283">
        <v>0.47025930859999998</v>
      </c>
      <c r="AQ283">
        <v>0.4267462091</v>
      </c>
      <c r="AR283">
        <v>0.373284809</v>
      </c>
      <c r="AS283">
        <v>0.37769387129999998</v>
      </c>
      <c r="AT283">
        <v>0.3828154446</v>
      </c>
      <c r="AU283">
        <v>0.38883742539999999</v>
      </c>
      <c r="AV283">
        <v>0.39602014429999999</v>
      </c>
      <c r="AW283">
        <v>0.40473499280000003</v>
      </c>
    </row>
    <row r="284" spans="2:49" x14ac:dyDescent="0.25">
      <c r="B284" t="s">
        <v>286</v>
      </c>
      <c r="C284">
        <v>0.91950930808135101</v>
      </c>
      <c r="D284">
        <v>0.91950930808135101</v>
      </c>
      <c r="E284">
        <v>0.91950930809999998</v>
      </c>
      <c r="F284">
        <v>0.91215096689999997</v>
      </c>
      <c r="G284">
        <v>0.90485151050000001</v>
      </c>
      <c r="H284">
        <v>0.89761046779999998</v>
      </c>
      <c r="I284">
        <v>0.89042737130000005</v>
      </c>
      <c r="J284">
        <v>0.88330175730000005</v>
      </c>
      <c r="K284">
        <v>0.87623316569999998</v>
      </c>
      <c r="L284">
        <v>0.86922114029999997</v>
      </c>
      <c r="M284">
        <v>0.86226522839999997</v>
      </c>
      <c r="N284">
        <v>0.85536498090000002</v>
      </c>
      <c r="O284">
        <v>0.82919865599999998</v>
      </c>
      <c r="P284">
        <v>0.79785612839999998</v>
      </c>
      <c r="Q284">
        <v>0.76080142579999999</v>
      </c>
      <c r="R284">
        <v>0.71772633799999996</v>
      </c>
      <c r="S284">
        <v>0.68442251590000003</v>
      </c>
      <c r="T284">
        <v>0.68128557830000003</v>
      </c>
      <c r="U284">
        <v>0.67821213570000005</v>
      </c>
      <c r="V284">
        <v>0.67520027940000005</v>
      </c>
      <c r="W284">
        <v>0.59819520029999995</v>
      </c>
      <c r="X284">
        <v>0.57643558719999999</v>
      </c>
      <c r="Y284">
        <v>0.54958941120000004</v>
      </c>
      <c r="Z284">
        <v>0.52179472319999998</v>
      </c>
      <c r="AA284">
        <v>0.4930003509</v>
      </c>
      <c r="AB284">
        <v>0.46541008690000002</v>
      </c>
      <c r="AC284">
        <v>0.43682571349999999</v>
      </c>
      <c r="AD284">
        <v>0.40987338810000001</v>
      </c>
      <c r="AE284">
        <v>0.38266548299999997</v>
      </c>
      <c r="AF284">
        <v>0.35519834550000001</v>
      </c>
      <c r="AG284">
        <v>0.33021461600000002</v>
      </c>
      <c r="AH284">
        <v>0.30499904690000001</v>
      </c>
      <c r="AI284">
        <v>0.28119961659999998</v>
      </c>
      <c r="AJ284">
        <v>0.25732735270000001</v>
      </c>
      <c r="AK284">
        <v>0.2333819204</v>
      </c>
      <c r="AL284">
        <v>0.21212098939999999</v>
      </c>
      <c r="AM284">
        <v>0.1907903708</v>
      </c>
      <c r="AN284">
        <v>0.1746595212</v>
      </c>
      <c r="AO284">
        <v>0.15847728150000001</v>
      </c>
      <c r="AP284">
        <v>0.1422434058</v>
      </c>
      <c r="AQ284">
        <v>0.12595764640000001</v>
      </c>
      <c r="AR284">
        <v>0.1096197543</v>
      </c>
      <c r="AS284">
        <v>8.9338193900000001E-2</v>
      </c>
      <c r="AT284">
        <v>6.8864096299999997E-2</v>
      </c>
      <c r="AU284">
        <v>4.8194706800000001E-2</v>
      </c>
      <c r="AV284">
        <v>2.7327217800000001E-2</v>
      </c>
      <c r="AW284">
        <v>6.2587675799999996E-3</v>
      </c>
    </row>
    <row r="285" spans="2:49" x14ac:dyDescent="0.25">
      <c r="B285" t="s">
        <v>287</v>
      </c>
      <c r="C285">
        <v>383714635.27038902</v>
      </c>
      <c r="D285">
        <v>389875297.85567099</v>
      </c>
      <c r="E285">
        <v>396134871.89999998</v>
      </c>
      <c r="F285">
        <v>412015962.39999998</v>
      </c>
      <c r="G285">
        <v>421142046.19999999</v>
      </c>
      <c r="H285">
        <v>439537742.5</v>
      </c>
      <c r="I285">
        <v>454175219.19999999</v>
      </c>
      <c r="J285">
        <v>471399717.39999998</v>
      </c>
      <c r="K285">
        <v>493298723.89999998</v>
      </c>
      <c r="L285">
        <v>519361374.69999999</v>
      </c>
      <c r="M285">
        <v>549574613.60000002</v>
      </c>
      <c r="N285">
        <v>565404891.79999995</v>
      </c>
      <c r="O285">
        <v>564692559.5</v>
      </c>
      <c r="P285">
        <v>564413232</v>
      </c>
      <c r="Q285">
        <v>563182343.39999998</v>
      </c>
      <c r="R285">
        <v>562978063.29999995</v>
      </c>
      <c r="S285">
        <v>568377327.89999998</v>
      </c>
      <c r="T285">
        <v>573702959.79999995</v>
      </c>
      <c r="U285">
        <v>576506816.20000005</v>
      </c>
      <c r="V285">
        <v>578374129.29999995</v>
      </c>
      <c r="W285">
        <v>572078281</v>
      </c>
      <c r="X285">
        <v>562930567.60000002</v>
      </c>
      <c r="Y285">
        <v>553929114.70000005</v>
      </c>
      <c r="Z285">
        <v>545571722.60000002</v>
      </c>
      <c r="AA285">
        <v>537762186.39999998</v>
      </c>
      <c r="AB285">
        <v>530293607.69999999</v>
      </c>
      <c r="AC285">
        <v>522993639.5</v>
      </c>
      <c r="AD285">
        <v>517753798.30000001</v>
      </c>
      <c r="AE285">
        <v>513461271.39999998</v>
      </c>
      <c r="AF285">
        <v>509533133.80000001</v>
      </c>
      <c r="AG285">
        <v>505718503</v>
      </c>
      <c r="AH285">
        <v>501907326.30000001</v>
      </c>
      <c r="AI285">
        <v>498041293</v>
      </c>
      <c r="AJ285">
        <v>494116060.10000002</v>
      </c>
      <c r="AK285">
        <v>490180020.89999998</v>
      </c>
      <c r="AL285">
        <v>486243137</v>
      </c>
      <c r="AM285">
        <v>482386187.60000002</v>
      </c>
      <c r="AN285">
        <v>478703834</v>
      </c>
      <c r="AO285">
        <v>475255398.10000002</v>
      </c>
      <c r="AP285">
        <v>471871093.89999998</v>
      </c>
      <c r="AQ285">
        <v>468687556.69999999</v>
      </c>
      <c r="AR285">
        <v>465483940.5</v>
      </c>
      <c r="AS285">
        <v>462327413.5</v>
      </c>
      <c r="AT285">
        <v>459173528.69999999</v>
      </c>
      <c r="AU285">
        <v>456059499.60000002</v>
      </c>
      <c r="AV285">
        <v>452926631.89999998</v>
      </c>
      <c r="AW285">
        <v>449873469.60000002</v>
      </c>
    </row>
    <row r="286" spans="2:49" x14ac:dyDescent="0.25">
      <c r="B286" t="s">
        <v>288</v>
      </c>
      <c r="C286">
        <v>261485.90393552999</v>
      </c>
      <c r="D286">
        <v>265684.14470322698</v>
      </c>
      <c r="E286">
        <v>269949.78960000002</v>
      </c>
      <c r="F286">
        <v>277098.17170000001</v>
      </c>
      <c r="G286">
        <v>283659.86829999997</v>
      </c>
      <c r="H286">
        <v>284994.99819999997</v>
      </c>
      <c r="I286">
        <v>276969.24219999998</v>
      </c>
      <c r="J286">
        <v>276311.07939999999</v>
      </c>
      <c r="K286">
        <v>278560.18609999999</v>
      </c>
      <c r="L286">
        <v>278778.19709999999</v>
      </c>
      <c r="M286">
        <v>284116.59600000002</v>
      </c>
      <c r="N286">
        <v>292990.47159999999</v>
      </c>
      <c r="O286">
        <v>300379.13520000002</v>
      </c>
      <c r="P286">
        <v>308878.95010000002</v>
      </c>
      <c r="Q286">
        <v>317365.6201</v>
      </c>
      <c r="R286">
        <v>328595.4534</v>
      </c>
      <c r="S286">
        <v>344344.00790000003</v>
      </c>
      <c r="T286">
        <v>360897.24969999999</v>
      </c>
      <c r="U286">
        <v>372023.09620000003</v>
      </c>
      <c r="V286">
        <v>382660.10930000001</v>
      </c>
      <c r="W286">
        <v>391677.37699999998</v>
      </c>
      <c r="X286">
        <v>398807.1874</v>
      </c>
      <c r="Y286">
        <v>406517.08110000001</v>
      </c>
      <c r="Z286">
        <v>415440.6005</v>
      </c>
      <c r="AA286">
        <v>424930.61709999997</v>
      </c>
      <c r="AB286">
        <v>434492.08590000001</v>
      </c>
      <c r="AC286">
        <v>443840.29310000001</v>
      </c>
      <c r="AD286">
        <v>448874.48210000002</v>
      </c>
      <c r="AE286">
        <v>455479.34899999999</v>
      </c>
      <c r="AF286">
        <v>461970.52549999999</v>
      </c>
      <c r="AG286">
        <v>467764.18709999998</v>
      </c>
      <c r="AH286">
        <v>472705.9558</v>
      </c>
      <c r="AI286">
        <v>477036.5208</v>
      </c>
      <c r="AJ286">
        <v>480960.01059999998</v>
      </c>
      <c r="AK286">
        <v>484840.69870000001</v>
      </c>
      <c r="AL286">
        <v>488590.08380000002</v>
      </c>
      <c r="AM286">
        <v>493155.67070000002</v>
      </c>
      <c r="AN286">
        <v>497626.65740000003</v>
      </c>
      <c r="AO286">
        <v>502897.17599999998</v>
      </c>
      <c r="AP286">
        <v>507354.76329999999</v>
      </c>
      <c r="AQ286">
        <v>513396.69449999998</v>
      </c>
      <c r="AR286">
        <v>518272.47139999998</v>
      </c>
      <c r="AS286">
        <v>524007.07140000002</v>
      </c>
      <c r="AT286">
        <v>529611.32140000002</v>
      </c>
      <c r="AU286">
        <v>535688.62320000003</v>
      </c>
      <c r="AV286">
        <v>541326.49800000002</v>
      </c>
      <c r="AW286">
        <v>547924.83360000001</v>
      </c>
    </row>
    <row r="287" spans="2:49" x14ac:dyDescent="0.25">
      <c r="B287" t="s">
        <v>289</v>
      </c>
      <c r="C287">
        <v>158336.21117690401</v>
      </c>
      <c r="D287">
        <v>160878.35026264799</v>
      </c>
      <c r="E287">
        <v>163461.30420000001</v>
      </c>
      <c r="F287">
        <v>168432.22510000001</v>
      </c>
      <c r="G287">
        <v>175099.23300000001</v>
      </c>
      <c r="H287">
        <v>184375.0638</v>
      </c>
      <c r="I287">
        <v>192030.4235</v>
      </c>
      <c r="J287">
        <v>200640.8302</v>
      </c>
      <c r="K287">
        <v>215030.5569</v>
      </c>
      <c r="L287">
        <v>230856.481</v>
      </c>
      <c r="M287">
        <v>247457.1078</v>
      </c>
      <c r="N287">
        <v>260450.02830000001</v>
      </c>
      <c r="O287">
        <v>261242.96429999999</v>
      </c>
      <c r="P287">
        <v>258856.2923</v>
      </c>
      <c r="Q287">
        <v>254988.948</v>
      </c>
      <c r="R287">
        <v>253654.0907</v>
      </c>
      <c r="S287">
        <v>254237.47889999999</v>
      </c>
      <c r="T287">
        <v>256757.45250000001</v>
      </c>
      <c r="U287">
        <v>258383.55420000001</v>
      </c>
      <c r="V287">
        <v>259201.42600000001</v>
      </c>
      <c r="W287">
        <v>262516.83159999998</v>
      </c>
      <c r="X287">
        <v>261941.42819999999</v>
      </c>
      <c r="Y287">
        <v>260623.9572</v>
      </c>
      <c r="Z287">
        <v>259158.58</v>
      </c>
      <c r="AA287">
        <v>257686.8786</v>
      </c>
      <c r="AB287">
        <v>256174.02220000001</v>
      </c>
      <c r="AC287">
        <v>254522.5601</v>
      </c>
      <c r="AD287">
        <v>253778.30230000001</v>
      </c>
      <c r="AE287">
        <v>254100.88810000001</v>
      </c>
      <c r="AF287">
        <v>255116.56589999999</v>
      </c>
      <c r="AG287">
        <v>256574.7243</v>
      </c>
      <c r="AH287">
        <v>258293.75049999999</v>
      </c>
      <c r="AI287">
        <v>260087.78330000001</v>
      </c>
      <c r="AJ287">
        <v>261878.25450000001</v>
      </c>
      <c r="AK287">
        <v>263645.09580000001</v>
      </c>
      <c r="AL287">
        <v>265403.50300000003</v>
      </c>
      <c r="AM287">
        <v>267145.56829999998</v>
      </c>
      <c r="AN287">
        <v>268711.39039999997</v>
      </c>
      <c r="AO287">
        <v>270279.61330000003</v>
      </c>
      <c r="AP287">
        <v>271988.48590000003</v>
      </c>
      <c r="AQ287">
        <v>273671.71269999997</v>
      </c>
      <c r="AR287">
        <v>275525.1899</v>
      </c>
      <c r="AS287">
        <v>277348.92320000002</v>
      </c>
      <c r="AT287">
        <v>279224.11900000001</v>
      </c>
      <c r="AU287">
        <v>281100.0625</v>
      </c>
      <c r="AV287">
        <v>283033.13740000001</v>
      </c>
      <c r="AW287">
        <v>284938.16450000001</v>
      </c>
    </row>
    <row r="288" spans="2:49" x14ac:dyDescent="0.25">
      <c r="B288" t="s">
        <v>290</v>
      </c>
      <c r="C288">
        <v>516755.579312385</v>
      </c>
      <c r="D288">
        <v>525052.257287574</v>
      </c>
      <c r="E288">
        <v>533482.14110000001</v>
      </c>
      <c r="F288">
        <v>549193.42949999997</v>
      </c>
      <c r="G288">
        <v>552125.20750000002</v>
      </c>
      <c r="H288">
        <v>567689.07709999999</v>
      </c>
      <c r="I288">
        <v>577881.47109999997</v>
      </c>
      <c r="J288">
        <v>590938.95559999999</v>
      </c>
      <c r="K288">
        <v>606348.71059999999</v>
      </c>
      <c r="L288">
        <v>626362.15890000004</v>
      </c>
      <c r="M288">
        <v>651249.59259999997</v>
      </c>
      <c r="N288">
        <v>668543.24080000003</v>
      </c>
      <c r="O288">
        <v>664369.31969999999</v>
      </c>
      <c r="P288">
        <v>663263.02879999997</v>
      </c>
      <c r="Q288">
        <v>661839.09210000001</v>
      </c>
      <c r="R288">
        <v>660077.05740000005</v>
      </c>
      <c r="S288">
        <v>665326.45510000002</v>
      </c>
      <c r="T288">
        <v>668966.18889999995</v>
      </c>
      <c r="U288">
        <v>669460.45779999997</v>
      </c>
      <c r="V288">
        <v>669146.8774</v>
      </c>
      <c r="W288">
        <v>661165.83059999999</v>
      </c>
      <c r="X288">
        <v>651728.35900000005</v>
      </c>
      <c r="Y288">
        <v>642946.04260000004</v>
      </c>
      <c r="Z288">
        <v>635131.9</v>
      </c>
      <c r="AA288">
        <v>628045.42520000006</v>
      </c>
      <c r="AB288">
        <v>621406.38919999998</v>
      </c>
      <c r="AC288">
        <v>615029.36560000002</v>
      </c>
      <c r="AD288">
        <v>611060.80220000003</v>
      </c>
      <c r="AE288">
        <v>607690.86510000005</v>
      </c>
      <c r="AF288">
        <v>604309.40969999996</v>
      </c>
      <c r="AG288">
        <v>600718.85160000005</v>
      </c>
      <c r="AH288">
        <v>596884.81590000005</v>
      </c>
      <c r="AI288">
        <v>592855.05889999995</v>
      </c>
      <c r="AJ288">
        <v>588680.74109999998</v>
      </c>
      <c r="AK288">
        <v>584453.07640000002</v>
      </c>
      <c r="AL288">
        <v>580176.37540000002</v>
      </c>
      <c r="AM288">
        <v>575986.73910000001</v>
      </c>
      <c r="AN288">
        <v>572159.47250000003</v>
      </c>
      <c r="AO288">
        <v>568659.96849999996</v>
      </c>
      <c r="AP288">
        <v>565111.80440000002</v>
      </c>
      <c r="AQ288">
        <v>561865.51190000004</v>
      </c>
      <c r="AR288">
        <v>558414.19369999995</v>
      </c>
      <c r="AS288">
        <v>555019.1202</v>
      </c>
      <c r="AT288">
        <v>551546.32149999996</v>
      </c>
      <c r="AU288">
        <v>548096.0699</v>
      </c>
      <c r="AV288">
        <v>544528.50219999999</v>
      </c>
      <c r="AW288">
        <v>541072.95929999999</v>
      </c>
    </row>
    <row r="289" spans="2:49" x14ac:dyDescent="0.25">
      <c r="B289" t="s">
        <v>291</v>
      </c>
      <c r="C289">
        <v>82711.5521017555</v>
      </c>
      <c r="D289">
        <v>84039.512824558697</v>
      </c>
      <c r="E289">
        <v>85388.794389999995</v>
      </c>
      <c r="F289">
        <v>94624.030620000005</v>
      </c>
      <c r="G289">
        <v>97309.61477</v>
      </c>
      <c r="H289">
        <v>103596.51669999999</v>
      </c>
      <c r="I289">
        <v>107572.88219999999</v>
      </c>
      <c r="J289">
        <v>114868.29549999999</v>
      </c>
      <c r="K289">
        <v>120273.13920000001</v>
      </c>
      <c r="L289">
        <v>126785.8879</v>
      </c>
      <c r="M289">
        <v>135784.2187</v>
      </c>
      <c r="N289">
        <v>145687.5558</v>
      </c>
      <c r="O289">
        <v>136449.88690000001</v>
      </c>
      <c r="P289">
        <v>131145.65659999999</v>
      </c>
      <c r="Q289">
        <v>126036.6703</v>
      </c>
      <c r="R289">
        <v>114478.12579999999</v>
      </c>
      <c r="S289">
        <v>113957.9507</v>
      </c>
      <c r="T289">
        <v>113598.7643</v>
      </c>
      <c r="U289">
        <v>113194.19349999999</v>
      </c>
      <c r="V289">
        <v>113144.0331</v>
      </c>
      <c r="W289">
        <v>113610.8524</v>
      </c>
      <c r="X289">
        <v>115374.567</v>
      </c>
      <c r="Y289">
        <v>117412.7893</v>
      </c>
      <c r="Z289">
        <v>119777.2933</v>
      </c>
      <c r="AA289">
        <v>122415.98179999999</v>
      </c>
      <c r="AB289">
        <v>125313.5485</v>
      </c>
      <c r="AC289">
        <v>128502.516</v>
      </c>
      <c r="AD289">
        <v>129768.0858</v>
      </c>
      <c r="AE289">
        <v>130753.20909999999</v>
      </c>
      <c r="AF289">
        <v>131456.7493</v>
      </c>
      <c r="AG289">
        <v>131930.3462</v>
      </c>
      <c r="AH289">
        <v>132236.4075</v>
      </c>
      <c r="AI289">
        <v>132468.3965</v>
      </c>
      <c r="AJ289">
        <v>132676.9958</v>
      </c>
      <c r="AK289">
        <v>132902.1974</v>
      </c>
      <c r="AL289">
        <v>133138.72760000001</v>
      </c>
      <c r="AM289">
        <v>133460.25690000001</v>
      </c>
      <c r="AN289">
        <v>133829.37609999999</v>
      </c>
      <c r="AO289">
        <v>134262.55220000001</v>
      </c>
      <c r="AP289">
        <v>134602.65479999999</v>
      </c>
      <c r="AQ289">
        <v>135069.4529</v>
      </c>
      <c r="AR289">
        <v>135397.86129999999</v>
      </c>
      <c r="AS289">
        <v>135762.88630000001</v>
      </c>
      <c r="AT289">
        <v>136077.6066</v>
      </c>
      <c r="AU289">
        <v>136402.46739999999</v>
      </c>
      <c r="AV289">
        <v>136656.0723</v>
      </c>
      <c r="AW289">
        <v>136795.85870000001</v>
      </c>
    </row>
    <row r="290" spans="2:49" x14ac:dyDescent="0.25">
      <c r="B290" t="s">
        <v>292</v>
      </c>
      <c r="C290">
        <v>45689.201708803201</v>
      </c>
      <c r="D290">
        <v>46422.756620829103</v>
      </c>
      <c r="E290">
        <v>47168.089010000003</v>
      </c>
      <c r="F290">
        <v>49526.52895</v>
      </c>
      <c r="G290">
        <v>49189.323729999996</v>
      </c>
      <c r="H290">
        <v>50577.665509999999</v>
      </c>
      <c r="I290">
        <v>51404.659030000003</v>
      </c>
      <c r="J290">
        <v>52652.29189</v>
      </c>
      <c r="K290">
        <v>53240.421770000001</v>
      </c>
      <c r="L290">
        <v>54441.881390000002</v>
      </c>
      <c r="M290">
        <v>56442.274799999999</v>
      </c>
      <c r="N290">
        <v>57916.760419999999</v>
      </c>
      <c r="O290">
        <v>56790.046549999999</v>
      </c>
      <c r="P290">
        <v>56687.282290000003</v>
      </c>
      <c r="Q290">
        <v>56747.768029999999</v>
      </c>
      <c r="R290">
        <v>55974.758280000002</v>
      </c>
      <c r="S290">
        <v>56548.240140000002</v>
      </c>
      <c r="T290">
        <v>56685.369749999998</v>
      </c>
      <c r="U290">
        <v>56519.798439999999</v>
      </c>
      <c r="V290">
        <v>56391.776680000003</v>
      </c>
      <c r="W290">
        <v>55744.621769999998</v>
      </c>
      <c r="X290">
        <v>55552.850290000002</v>
      </c>
      <c r="Y290">
        <v>55576.297380000004</v>
      </c>
      <c r="Z290">
        <v>55791.073709999997</v>
      </c>
      <c r="AA290">
        <v>56158.094729999997</v>
      </c>
      <c r="AB290">
        <v>56661.121379999997</v>
      </c>
      <c r="AC290">
        <v>57314.31755</v>
      </c>
      <c r="AD290">
        <v>55359.259729999998</v>
      </c>
      <c r="AE290">
        <v>53732.754889999997</v>
      </c>
      <c r="AF290">
        <v>52268.4859</v>
      </c>
      <c r="AG290">
        <v>50910.485430000001</v>
      </c>
      <c r="AH290">
        <v>49640.712229999997</v>
      </c>
      <c r="AI290">
        <v>48463.55573</v>
      </c>
      <c r="AJ290">
        <v>47374.003909999999</v>
      </c>
      <c r="AK290">
        <v>46369.439400000003</v>
      </c>
      <c r="AL290">
        <v>45433.455479999997</v>
      </c>
      <c r="AM290">
        <v>44576.174279999999</v>
      </c>
      <c r="AN290">
        <v>43837.238640000003</v>
      </c>
      <c r="AO290">
        <v>43181.736550000001</v>
      </c>
      <c r="AP290">
        <v>42538.575669999998</v>
      </c>
      <c r="AQ290">
        <v>41970.961159999999</v>
      </c>
      <c r="AR290">
        <v>41387.354939999997</v>
      </c>
      <c r="AS290">
        <v>40843.959060000001</v>
      </c>
      <c r="AT290">
        <v>40311.989540000002</v>
      </c>
      <c r="AU290">
        <v>39807.745260000003</v>
      </c>
      <c r="AV290">
        <v>39305.719210000003</v>
      </c>
      <c r="AW290">
        <v>38842.850870000002</v>
      </c>
    </row>
    <row r="291" spans="2:49" x14ac:dyDescent="0.25">
      <c r="B291" t="s">
        <v>293</v>
      </c>
      <c r="C291">
        <v>562444.78102118894</v>
      </c>
      <c r="D291">
        <v>571475.01390840299</v>
      </c>
      <c r="E291">
        <v>580650.23010000004</v>
      </c>
      <c r="F291">
        <v>598711.18119999999</v>
      </c>
      <c r="G291">
        <v>601302.35640000005</v>
      </c>
      <c r="H291">
        <v>618254.22450000001</v>
      </c>
      <c r="I291">
        <v>629273.33019999997</v>
      </c>
      <c r="J291">
        <v>643578.0919</v>
      </c>
      <c r="K291">
        <v>659570.36589999998</v>
      </c>
      <c r="L291">
        <v>680782.07160000002</v>
      </c>
      <c r="M291">
        <v>707668.81539999996</v>
      </c>
      <c r="N291">
        <v>726436.33310000005</v>
      </c>
      <c r="O291">
        <v>721131.15060000005</v>
      </c>
      <c r="P291">
        <v>719922.1422</v>
      </c>
      <c r="Q291">
        <v>718558.47479999997</v>
      </c>
      <c r="R291">
        <v>716020.36100000003</v>
      </c>
      <c r="S291">
        <v>721842.85049999994</v>
      </c>
      <c r="T291">
        <v>726288.39240000001</v>
      </c>
      <c r="U291">
        <v>727287.19279999996</v>
      </c>
      <c r="V291">
        <v>727515.27800000005</v>
      </c>
      <c r="W291">
        <v>726758.22629999998</v>
      </c>
      <c r="X291">
        <v>724867.73289999994</v>
      </c>
      <c r="Y291">
        <v>723747.35270000005</v>
      </c>
      <c r="Z291">
        <v>723727.16509999998</v>
      </c>
      <c r="AA291">
        <v>724548.7243</v>
      </c>
      <c r="AB291">
        <v>725922.96770000004</v>
      </c>
      <c r="AC291">
        <v>727682.52350000001</v>
      </c>
      <c r="AD291">
        <v>729164.47860000003</v>
      </c>
      <c r="AE291">
        <v>731625.12250000006</v>
      </c>
      <c r="AF291">
        <v>734225.21389999997</v>
      </c>
      <c r="AG291">
        <v>736681.51100000006</v>
      </c>
      <c r="AH291">
        <v>738928.80680000002</v>
      </c>
      <c r="AI291">
        <v>741020.31559999997</v>
      </c>
      <c r="AJ291">
        <v>743004.55539999995</v>
      </c>
      <c r="AK291">
        <v>744982.44900000002</v>
      </c>
      <c r="AL291">
        <v>746939.15769999998</v>
      </c>
      <c r="AM291">
        <v>749050.58900000004</v>
      </c>
      <c r="AN291">
        <v>751706.5098</v>
      </c>
      <c r="AO291">
        <v>754838.74750000006</v>
      </c>
      <c r="AP291">
        <v>757904.32220000005</v>
      </c>
      <c r="AQ291">
        <v>761422.94149999996</v>
      </c>
      <c r="AR291">
        <v>764645.94539999997</v>
      </c>
      <c r="AS291">
        <v>767972.82169999997</v>
      </c>
      <c r="AT291">
        <v>771194.54469999997</v>
      </c>
      <c r="AU291">
        <v>774461.06270000001</v>
      </c>
      <c r="AV291">
        <v>777553.30200000003</v>
      </c>
      <c r="AW291">
        <v>780824.01809999999</v>
      </c>
    </row>
    <row r="292" spans="2:49" x14ac:dyDescent="0.25">
      <c r="B292" t="s">
        <v>294</v>
      </c>
      <c r="C292">
        <v>241047.76327865999</v>
      </c>
      <c r="D292">
        <v>244917.86308720699</v>
      </c>
      <c r="E292">
        <v>248850.0986</v>
      </c>
      <c r="F292">
        <v>262898.27980000002</v>
      </c>
      <c r="G292">
        <v>272241.5797</v>
      </c>
      <c r="H292">
        <v>287790.76390000002</v>
      </c>
      <c r="I292">
        <v>299414.87190000003</v>
      </c>
      <c r="J292">
        <v>315293.48210000002</v>
      </c>
      <c r="K292">
        <v>335053.53840000002</v>
      </c>
      <c r="L292">
        <v>357361.83149999997</v>
      </c>
      <c r="M292">
        <v>382940.67560000002</v>
      </c>
      <c r="N292">
        <v>405801.78539999999</v>
      </c>
      <c r="O292">
        <v>397150.76010000001</v>
      </c>
      <c r="P292">
        <v>389429.723</v>
      </c>
      <c r="Q292">
        <v>380440.76630000002</v>
      </c>
      <c r="R292">
        <v>367234.37349999999</v>
      </c>
      <c r="S292">
        <v>367295.58689999999</v>
      </c>
      <c r="T292">
        <v>369444.41210000002</v>
      </c>
      <c r="U292">
        <v>370659.09279999998</v>
      </c>
      <c r="V292">
        <v>371424.39559999999</v>
      </c>
      <c r="W292">
        <v>375194.33809999999</v>
      </c>
      <c r="X292">
        <v>376367.38410000002</v>
      </c>
      <c r="Y292">
        <v>377065.90500000003</v>
      </c>
      <c r="Z292">
        <v>377936.16759999999</v>
      </c>
      <c r="AA292">
        <v>379069.0172</v>
      </c>
      <c r="AB292">
        <v>380414.22730000003</v>
      </c>
      <c r="AC292">
        <v>381905.20140000002</v>
      </c>
      <c r="AD292">
        <v>382418.07290000003</v>
      </c>
      <c r="AE292">
        <v>383720.23320000002</v>
      </c>
      <c r="AF292">
        <v>385434.304</v>
      </c>
      <c r="AG292">
        <v>387360.1753</v>
      </c>
      <c r="AH292">
        <v>389378.46519999998</v>
      </c>
      <c r="AI292">
        <v>391397.34179999999</v>
      </c>
      <c r="AJ292">
        <v>393389.28249999997</v>
      </c>
      <c r="AK292">
        <v>395374.32370000001</v>
      </c>
      <c r="AL292">
        <v>397362.31099999999</v>
      </c>
      <c r="AM292">
        <v>399419.03860000003</v>
      </c>
      <c r="AN292">
        <v>401347.82439999998</v>
      </c>
      <c r="AO292">
        <v>403342.99249999999</v>
      </c>
      <c r="AP292">
        <v>405385.25449999998</v>
      </c>
      <c r="AQ292">
        <v>407528.57199999999</v>
      </c>
      <c r="AR292">
        <v>409703.13880000002</v>
      </c>
      <c r="AS292">
        <v>411884.7059</v>
      </c>
      <c r="AT292">
        <v>414067.22389999998</v>
      </c>
      <c r="AU292">
        <v>416260.63429999998</v>
      </c>
      <c r="AV292">
        <v>418439.6617</v>
      </c>
      <c r="AW292">
        <v>420476.89569999999</v>
      </c>
    </row>
    <row r="293" spans="2:49" x14ac:dyDescent="0.25">
      <c r="B293" t="s">
        <v>295</v>
      </c>
      <c r="C293">
        <v>383714635.27038902</v>
      </c>
      <c r="D293">
        <v>389875297.85567099</v>
      </c>
      <c r="E293">
        <v>396134871.89999998</v>
      </c>
      <c r="F293">
        <v>412015962.39999998</v>
      </c>
      <c r="G293">
        <v>421142046.19999999</v>
      </c>
      <c r="H293">
        <v>439537742.5</v>
      </c>
      <c r="I293">
        <v>454175219.19999999</v>
      </c>
      <c r="J293">
        <v>471399717.39999998</v>
      </c>
      <c r="K293">
        <v>493298723.89999998</v>
      </c>
      <c r="L293">
        <v>519361374.69999999</v>
      </c>
      <c r="M293">
        <v>549574613.60000002</v>
      </c>
      <c r="N293">
        <v>565404891.79999995</v>
      </c>
      <c r="O293">
        <v>564692559.5</v>
      </c>
      <c r="P293">
        <v>564413232</v>
      </c>
      <c r="Q293">
        <v>563182343.39999998</v>
      </c>
      <c r="R293">
        <v>562978063.29999995</v>
      </c>
      <c r="S293">
        <v>568376145.29999995</v>
      </c>
      <c r="T293">
        <v>573130308.20000005</v>
      </c>
      <c r="U293">
        <v>575742986.79999995</v>
      </c>
      <c r="V293">
        <v>577610805.79999995</v>
      </c>
      <c r="W293">
        <v>578416411.20000005</v>
      </c>
      <c r="X293">
        <v>578452667.39999998</v>
      </c>
      <c r="Y293">
        <v>579305115.5</v>
      </c>
      <c r="Z293">
        <v>580988517.20000005</v>
      </c>
      <c r="AA293">
        <v>583336682.20000005</v>
      </c>
      <c r="AB293">
        <v>586136116.60000002</v>
      </c>
      <c r="AC293">
        <v>589237677.89999998</v>
      </c>
      <c r="AD293">
        <v>592455015.39999998</v>
      </c>
      <c r="AE293">
        <v>595710259.39999998</v>
      </c>
      <c r="AF293">
        <v>598957768.20000005</v>
      </c>
      <c r="AG293">
        <v>602183028.10000002</v>
      </c>
      <c r="AH293">
        <v>605401851.10000002</v>
      </c>
      <c r="AI293">
        <v>608582403.10000002</v>
      </c>
      <c r="AJ293">
        <v>611762384.20000005</v>
      </c>
      <c r="AK293">
        <v>614968929.10000002</v>
      </c>
      <c r="AL293">
        <v>618230789.5</v>
      </c>
      <c r="AM293">
        <v>621561052.5</v>
      </c>
      <c r="AN293">
        <v>625064560.60000002</v>
      </c>
      <c r="AO293">
        <v>628723486.20000005</v>
      </c>
      <c r="AP293">
        <v>632497190.20000005</v>
      </c>
      <c r="AQ293">
        <v>636361446.60000002</v>
      </c>
      <c r="AR293">
        <v>640284618.60000002</v>
      </c>
      <c r="AS293">
        <v>644233261.60000002</v>
      </c>
      <c r="AT293">
        <v>648202990.29999995</v>
      </c>
      <c r="AU293">
        <v>652187986.10000002</v>
      </c>
      <c r="AV293">
        <v>656182660.20000005</v>
      </c>
      <c r="AW293">
        <v>660218561.10000002</v>
      </c>
    </row>
    <row r="294" spans="2:49" x14ac:dyDescent="0.25">
      <c r="B294" t="s">
        <v>296</v>
      </c>
      <c r="C294">
        <v>261485.90393552999</v>
      </c>
      <c r="D294">
        <v>265684.14470322698</v>
      </c>
      <c r="E294">
        <v>269949.78960000002</v>
      </c>
      <c r="F294">
        <v>277098.17170000001</v>
      </c>
      <c r="G294">
        <v>283659.86829999997</v>
      </c>
      <c r="H294">
        <v>284994.99819999997</v>
      </c>
      <c r="I294">
        <v>276969.24219999998</v>
      </c>
      <c r="J294">
        <v>276311.07939999999</v>
      </c>
      <c r="K294">
        <v>278560.18609999999</v>
      </c>
      <c r="L294">
        <v>278778.19709999999</v>
      </c>
      <c r="M294">
        <v>284116.59600000002</v>
      </c>
      <c r="N294">
        <v>292990.47159999999</v>
      </c>
      <c r="O294">
        <v>300379.13520000002</v>
      </c>
      <c r="P294">
        <v>308878.95010000002</v>
      </c>
      <c r="Q294">
        <v>317365.6201</v>
      </c>
      <c r="R294">
        <v>328595.4534</v>
      </c>
      <c r="S294">
        <v>327873.1421</v>
      </c>
      <c r="T294">
        <v>327196.73859999998</v>
      </c>
      <c r="U294">
        <v>327409.57990000001</v>
      </c>
      <c r="V294">
        <v>326764.87479999999</v>
      </c>
      <c r="W294">
        <v>333217.77730000002</v>
      </c>
      <c r="X294">
        <v>338119.90350000001</v>
      </c>
      <c r="Y294">
        <v>343709.4852</v>
      </c>
      <c r="Z294">
        <v>349759.48340000003</v>
      </c>
      <c r="AA294">
        <v>356370.87469999999</v>
      </c>
      <c r="AB294">
        <v>363340.02039999998</v>
      </c>
      <c r="AC294">
        <v>370552.8284</v>
      </c>
      <c r="AD294">
        <v>377970.97330000001</v>
      </c>
      <c r="AE294">
        <v>385430.85960000003</v>
      </c>
      <c r="AF294">
        <v>392795.27899999998</v>
      </c>
      <c r="AG294">
        <v>400035.85989999998</v>
      </c>
      <c r="AH294">
        <v>407221.97249999997</v>
      </c>
      <c r="AI294">
        <v>414341.52409999998</v>
      </c>
      <c r="AJ294">
        <v>421455.72859999997</v>
      </c>
      <c r="AK294">
        <v>428582.18430000002</v>
      </c>
      <c r="AL294">
        <v>435914.51770000003</v>
      </c>
      <c r="AM294">
        <v>443504.58110000001</v>
      </c>
      <c r="AN294">
        <v>451457.88699999999</v>
      </c>
      <c r="AO294">
        <v>459809.89630000002</v>
      </c>
      <c r="AP294">
        <v>468508.27549999999</v>
      </c>
      <c r="AQ294">
        <v>477624.98100000003</v>
      </c>
      <c r="AR294">
        <v>487160.99959999998</v>
      </c>
      <c r="AS294">
        <v>497061.38179999997</v>
      </c>
      <c r="AT294">
        <v>507397.16580000002</v>
      </c>
      <c r="AU294">
        <v>518157.02309999999</v>
      </c>
      <c r="AV294">
        <v>529301.63500000001</v>
      </c>
      <c r="AW294">
        <v>541036.3517</v>
      </c>
    </row>
    <row r="295" spans="2:49" x14ac:dyDescent="0.25">
      <c r="B295" t="s">
        <v>297</v>
      </c>
      <c r="C295">
        <v>158336.21117690401</v>
      </c>
      <c r="D295">
        <v>160878.35026264799</v>
      </c>
      <c r="E295">
        <v>163461.30420000001</v>
      </c>
      <c r="F295">
        <v>168432.22510000001</v>
      </c>
      <c r="G295">
        <v>175099.23300000001</v>
      </c>
      <c r="H295">
        <v>184375.0638</v>
      </c>
      <c r="I295">
        <v>192030.4235</v>
      </c>
      <c r="J295">
        <v>200640.8302</v>
      </c>
      <c r="K295">
        <v>215030.5569</v>
      </c>
      <c r="L295">
        <v>230856.481</v>
      </c>
      <c r="M295">
        <v>247457.1078</v>
      </c>
      <c r="N295">
        <v>260450.02830000001</v>
      </c>
      <c r="O295">
        <v>261242.96429999999</v>
      </c>
      <c r="P295">
        <v>258856.2923</v>
      </c>
      <c r="Q295">
        <v>254988.948</v>
      </c>
      <c r="R295">
        <v>253654.0907</v>
      </c>
      <c r="S295">
        <v>254237.35339999999</v>
      </c>
      <c r="T295">
        <v>257189.93580000001</v>
      </c>
      <c r="U295">
        <v>258543.78959999999</v>
      </c>
      <c r="V295">
        <v>259386.63159999999</v>
      </c>
      <c r="W295">
        <v>259903.5073</v>
      </c>
      <c r="X295">
        <v>259956.198</v>
      </c>
      <c r="Y295">
        <v>260437.76130000001</v>
      </c>
      <c r="Z295">
        <v>261237.78630000001</v>
      </c>
      <c r="AA295">
        <v>262227.15639999998</v>
      </c>
      <c r="AB295">
        <v>263286.02970000001</v>
      </c>
      <c r="AC295">
        <v>264344.2329</v>
      </c>
      <c r="AD295">
        <v>265424.76549999998</v>
      </c>
      <c r="AE295">
        <v>266439.77189999999</v>
      </c>
      <c r="AF295">
        <v>267368.20740000001</v>
      </c>
      <c r="AG295">
        <v>268203.45500000002</v>
      </c>
      <c r="AH295">
        <v>268956.33779999998</v>
      </c>
      <c r="AI295">
        <v>269612.45480000001</v>
      </c>
      <c r="AJ295">
        <v>270206.88860000001</v>
      </c>
      <c r="AK295">
        <v>270786.21990000003</v>
      </c>
      <c r="AL295">
        <v>271368.24249999999</v>
      </c>
      <c r="AM295">
        <v>271978.18670000002</v>
      </c>
      <c r="AN295">
        <v>272532.17509999999</v>
      </c>
      <c r="AO295">
        <v>273149.50439999998</v>
      </c>
      <c r="AP295">
        <v>273853.734</v>
      </c>
      <c r="AQ295">
        <v>274637.43</v>
      </c>
      <c r="AR295">
        <v>275494.42930000002</v>
      </c>
      <c r="AS295">
        <v>276407.62</v>
      </c>
      <c r="AT295">
        <v>277370.5686</v>
      </c>
      <c r="AU295">
        <v>278382.20299999998</v>
      </c>
      <c r="AV295">
        <v>279442.02380000002</v>
      </c>
      <c r="AW295">
        <v>280541.99550000002</v>
      </c>
    </row>
    <row r="296" spans="2:49" x14ac:dyDescent="0.25">
      <c r="B296" t="s">
        <v>298</v>
      </c>
      <c r="C296">
        <v>516755.579312385</v>
      </c>
      <c r="D296">
        <v>525052.257287574</v>
      </c>
      <c r="E296">
        <v>533482.14110000001</v>
      </c>
      <c r="F296">
        <v>549193.42949999997</v>
      </c>
      <c r="G296">
        <v>552125.20750000002</v>
      </c>
      <c r="H296">
        <v>567689.07709999999</v>
      </c>
      <c r="I296">
        <v>577881.47109999997</v>
      </c>
      <c r="J296">
        <v>590938.95559999999</v>
      </c>
      <c r="K296">
        <v>606348.71059999999</v>
      </c>
      <c r="L296">
        <v>626362.15890000004</v>
      </c>
      <c r="M296">
        <v>651249.59259999997</v>
      </c>
      <c r="N296">
        <v>668543.24080000003</v>
      </c>
      <c r="O296">
        <v>664369.31969999999</v>
      </c>
      <c r="P296">
        <v>663263.02879999997</v>
      </c>
      <c r="Q296">
        <v>661839.09210000001</v>
      </c>
      <c r="R296">
        <v>660077.05740000005</v>
      </c>
      <c r="S296">
        <v>665324.76679999998</v>
      </c>
      <c r="T296">
        <v>667779.48219999997</v>
      </c>
      <c r="U296">
        <v>668194.7977</v>
      </c>
      <c r="V296">
        <v>667866.45589999994</v>
      </c>
      <c r="W296">
        <v>666191.7683</v>
      </c>
      <c r="X296">
        <v>663723.80429999996</v>
      </c>
      <c r="Y296">
        <v>662148.92079999996</v>
      </c>
      <c r="Z296">
        <v>661561.65280000004</v>
      </c>
      <c r="AA296">
        <v>661803.85589999997</v>
      </c>
      <c r="AB296">
        <v>662643.79059999995</v>
      </c>
      <c r="AC296">
        <v>663910.21329999994</v>
      </c>
      <c r="AD296">
        <v>665309.8824</v>
      </c>
      <c r="AE296">
        <v>666794.22259999998</v>
      </c>
      <c r="AF296">
        <v>668312.43180000002</v>
      </c>
      <c r="AG296">
        <v>669848.67509999999</v>
      </c>
      <c r="AH296">
        <v>671418.0013</v>
      </c>
      <c r="AI296">
        <v>672985.6078</v>
      </c>
      <c r="AJ296">
        <v>674579.74950000003</v>
      </c>
      <c r="AK296">
        <v>676204.26850000001</v>
      </c>
      <c r="AL296">
        <v>677886.55689999997</v>
      </c>
      <c r="AM296">
        <v>679625.64029999997</v>
      </c>
      <c r="AN296">
        <v>681632.74459999998</v>
      </c>
      <c r="AO296">
        <v>683790.73210000002</v>
      </c>
      <c r="AP296">
        <v>686022.71840000001</v>
      </c>
      <c r="AQ296">
        <v>688298.93240000005</v>
      </c>
      <c r="AR296">
        <v>690578.65049999999</v>
      </c>
      <c r="AS296">
        <v>692827.38690000004</v>
      </c>
      <c r="AT296">
        <v>695043.68039999995</v>
      </c>
      <c r="AU296">
        <v>697220.10919999995</v>
      </c>
      <c r="AV296">
        <v>699349.23259999999</v>
      </c>
      <c r="AW296">
        <v>701480.72640000004</v>
      </c>
    </row>
    <row r="297" spans="2:49" x14ac:dyDescent="0.25">
      <c r="B297" t="s">
        <v>299</v>
      </c>
      <c r="C297">
        <v>82711.5521017555</v>
      </c>
      <c r="D297">
        <v>84039.512824558697</v>
      </c>
      <c r="E297">
        <v>85388.794389999995</v>
      </c>
      <c r="F297">
        <v>94624.030620000005</v>
      </c>
      <c r="G297">
        <v>97309.61477</v>
      </c>
      <c r="H297">
        <v>103596.51669999999</v>
      </c>
      <c r="I297">
        <v>107572.88219999999</v>
      </c>
      <c r="J297">
        <v>114868.29549999999</v>
      </c>
      <c r="K297">
        <v>120273.13920000001</v>
      </c>
      <c r="L297">
        <v>126785.8879</v>
      </c>
      <c r="M297">
        <v>135784.2187</v>
      </c>
      <c r="N297">
        <v>145687.5558</v>
      </c>
      <c r="O297">
        <v>136449.88690000001</v>
      </c>
      <c r="P297">
        <v>131145.65659999999</v>
      </c>
      <c r="Q297">
        <v>126036.6703</v>
      </c>
      <c r="R297">
        <v>114478.12579999999</v>
      </c>
      <c r="S297">
        <v>113957.5534</v>
      </c>
      <c r="T297">
        <v>113452.2179</v>
      </c>
      <c r="U297">
        <v>113141.73759999999</v>
      </c>
      <c r="V297">
        <v>113072.56299999999</v>
      </c>
      <c r="W297">
        <v>112874.747</v>
      </c>
      <c r="X297">
        <v>112776.14320000001</v>
      </c>
      <c r="Y297">
        <v>112539.6443</v>
      </c>
      <c r="Z297">
        <v>112400.64720000001</v>
      </c>
      <c r="AA297">
        <v>112466.8627</v>
      </c>
      <c r="AB297">
        <v>112592.7674</v>
      </c>
      <c r="AC297">
        <v>112818.2389</v>
      </c>
      <c r="AD297">
        <v>113136.394</v>
      </c>
      <c r="AE297">
        <v>113540.7948</v>
      </c>
      <c r="AF297">
        <v>114008.87699999999</v>
      </c>
      <c r="AG297">
        <v>114528.3138</v>
      </c>
      <c r="AH297">
        <v>115094.8662</v>
      </c>
      <c r="AI297">
        <v>115706.08990000001</v>
      </c>
      <c r="AJ297">
        <v>116349.0866</v>
      </c>
      <c r="AK297">
        <v>117008.68580000001</v>
      </c>
      <c r="AL297">
        <v>117689.6056</v>
      </c>
      <c r="AM297">
        <v>118382.5619</v>
      </c>
      <c r="AN297">
        <v>119126.9765</v>
      </c>
      <c r="AO297">
        <v>119874.96219999999</v>
      </c>
      <c r="AP297">
        <v>120609.4492</v>
      </c>
      <c r="AQ297">
        <v>121335.57369999999</v>
      </c>
      <c r="AR297">
        <v>122046.9359</v>
      </c>
      <c r="AS297">
        <v>122744.4856</v>
      </c>
      <c r="AT297">
        <v>123431.1514</v>
      </c>
      <c r="AU297">
        <v>124102.45110000001</v>
      </c>
      <c r="AV297">
        <v>124754.2381</v>
      </c>
      <c r="AW297">
        <v>125408.1202</v>
      </c>
    </row>
    <row r="298" spans="2:49" x14ac:dyDescent="0.25">
      <c r="B298" t="s">
        <v>300</v>
      </c>
      <c r="C298">
        <v>45689.201708803201</v>
      </c>
      <c r="D298">
        <v>46422.756620829103</v>
      </c>
      <c r="E298">
        <v>47168.089010000003</v>
      </c>
      <c r="F298">
        <v>49526.52895</v>
      </c>
      <c r="G298">
        <v>49189.323729999996</v>
      </c>
      <c r="H298">
        <v>50577.665509999999</v>
      </c>
      <c r="I298">
        <v>51404.659030000003</v>
      </c>
      <c r="J298">
        <v>52652.29189</v>
      </c>
      <c r="K298">
        <v>53240.421770000001</v>
      </c>
      <c r="L298">
        <v>54441.881390000002</v>
      </c>
      <c r="M298">
        <v>56442.274799999999</v>
      </c>
      <c r="N298">
        <v>57916.760419999999</v>
      </c>
      <c r="O298">
        <v>56790.046549999999</v>
      </c>
      <c r="P298">
        <v>56687.282290000003</v>
      </c>
      <c r="Q298">
        <v>56747.768029999999</v>
      </c>
      <c r="R298">
        <v>55974.758280000002</v>
      </c>
      <c r="S298">
        <v>56547.996440000003</v>
      </c>
      <c r="T298">
        <v>56516.294699999999</v>
      </c>
      <c r="U298">
        <v>56388.970679999999</v>
      </c>
      <c r="V298">
        <v>56254.180350000002</v>
      </c>
      <c r="W298">
        <v>55974.155650000001</v>
      </c>
      <c r="X298">
        <v>55664.8626</v>
      </c>
      <c r="Y298">
        <v>55409.21</v>
      </c>
      <c r="Z298">
        <v>55258.398009999997</v>
      </c>
      <c r="AA298">
        <v>55214.919900000001</v>
      </c>
      <c r="AB298">
        <v>55252.533790000001</v>
      </c>
      <c r="AC298">
        <v>55359.742689999999</v>
      </c>
      <c r="AD298">
        <v>55489.44889</v>
      </c>
      <c r="AE298">
        <v>55648.073859999997</v>
      </c>
      <c r="AF298">
        <v>55830.375970000001</v>
      </c>
      <c r="AG298">
        <v>56034.3338</v>
      </c>
      <c r="AH298">
        <v>56260.084049999998</v>
      </c>
      <c r="AI298">
        <v>56504.36969</v>
      </c>
      <c r="AJ298">
        <v>56764.978439999999</v>
      </c>
      <c r="AK298">
        <v>57034.523529999999</v>
      </c>
      <c r="AL298">
        <v>57313.917820000002</v>
      </c>
      <c r="AM298">
        <v>57598.368470000001</v>
      </c>
      <c r="AN298">
        <v>57934.873590000003</v>
      </c>
      <c r="AO298">
        <v>58284.309229999999</v>
      </c>
      <c r="AP298">
        <v>58630.705020000001</v>
      </c>
      <c r="AQ298">
        <v>58970.924299999999</v>
      </c>
      <c r="AR298">
        <v>59299.249909999999</v>
      </c>
      <c r="AS298">
        <v>59613.372049999998</v>
      </c>
      <c r="AT298">
        <v>59914.023410000002</v>
      </c>
      <c r="AU298">
        <v>60199.967960000002</v>
      </c>
      <c r="AV298">
        <v>60470.056900000003</v>
      </c>
      <c r="AW298">
        <v>60734.0939</v>
      </c>
    </row>
    <row r="299" spans="2:49" x14ac:dyDescent="0.25">
      <c r="B299" t="s">
        <v>301</v>
      </c>
      <c r="C299">
        <v>562444.78102118894</v>
      </c>
      <c r="D299">
        <v>571475.01390840299</v>
      </c>
      <c r="E299">
        <v>580650.23010000004</v>
      </c>
      <c r="F299">
        <v>598711.18119999999</v>
      </c>
      <c r="G299">
        <v>601302.35640000005</v>
      </c>
      <c r="H299">
        <v>618254.22450000001</v>
      </c>
      <c r="I299">
        <v>629273.33019999997</v>
      </c>
      <c r="J299">
        <v>643578.0919</v>
      </c>
      <c r="K299">
        <v>659570.36589999998</v>
      </c>
      <c r="L299">
        <v>680782.07160000002</v>
      </c>
      <c r="M299">
        <v>707668.81539999996</v>
      </c>
      <c r="N299">
        <v>726436.33310000005</v>
      </c>
      <c r="O299">
        <v>721131.15060000005</v>
      </c>
      <c r="P299">
        <v>719922.1422</v>
      </c>
      <c r="Q299">
        <v>718558.47479999997</v>
      </c>
      <c r="R299">
        <v>716020.36100000003</v>
      </c>
      <c r="S299">
        <v>721840.91879999998</v>
      </c>
      <c r="T299">
        <v>726382.50430000003</v>
      </c>
      <c r="U299">
        <v>727341.38769999996</v>
      </c>
      <c r="V299">
        <v>727547.01690000005</v>
      </c>
      <c r="W299">
        <v>726252.41949999996</v>
      </c>
      <c r="X299">
        <v>724127.05319999997</v>
      </c>
      <c r="Y299">
        <v>722951.03500000003</v>
      </c>
      <c r="Z299">
        <v>722874.06770000001</v>
      </c>
      <c r="AA299">
        <v>723742.07869999995</v>
      </c>
      <c r="AB299">
        <v>725296.98270000005</v>
      </c>
      <c r="AC299">
        <v>727355.84039999999</v>
      </c>
      <c r="AD299">
        <v>729575.51899999997</v>
      </c>
      <c r="AE299">
        <v>731913.73510000005</v>
      </c>
      <c r="AF299">
        <v>734313.95349999995</v>
      </c>
      <c r="AG299">
        <v>736758.19090000005</v>
      </c>
      <c r="AH299">
        <v>739261.96699999995</v>
      </c>
      <c r="AI299">
        <v>741786.7169</v>
      </c>
      <c r="AJ299">
        <v>744358.98549999995</v>
      </c>
      <c r="AK299">
        <v>746975.28850000002</v>
      </c>
      <c r="AL299">
        <v>749664.6</v>
      </c>
      <c r="AM299">
        <v>752421.23529999994</v>
      </c>
      <c r="AN299">
        <v>755509.09230000002</v>
      </c>
      <c r="AO299">
        <v>758769.34849999996</v>
      </c>
      <c r="AP299">
        <v>762107.46620000002</v>
      </c>
      <c r="AQ299">
        <v>765489.95059999998</v>
      </c>
      <c r="AR299">
        <v>768869.31110000005</v>
      </c>
      <c r="AS299">
        <v>772207.77579999994</v>
      </c>
      <c r="AT299">
        <v>775504.48199999996</v>
      </c>
      <c r="AU299">
        <v>778750.41310000001</v>
      </c>
      <c r="AV299">
        <v>781936.59019999998</v>
      </c>
      <c r="AW299">
        <v>785124.10979999998</v>
      </c>
    </row>
    <row r="300" spans="2:49" x14ac:dyDescent="0.25">
      <c r="B300" t="s">
        <v>302</v>
      </c>
      <c r="C300">
        <v>241047.76327865999</v>
      </c>
      <c r="D300">
        <v>244917.86308720699</v>
      </c>
      <c r="E300">
        <v>248850.0986</v>
      </c>
      <c r="F300">
        <v>262898.27980000002</v>
      </c>
      <c r="G300">
        <v>272241.5797</v>
      </c>
      <c r="H300">
        <v>287790.76390000002</v>
      </c>
      <c r="I300">
        <v>299414.87190000003</v>
      </c>
      <c r="J300">
        <v>315293.48210000002</v>
      </c>
      <c r="K300">
        <v>335053.53840000002</v>
      </c>
      <c r="L300">
        <v>357361.83149999997</v>
      </c>
      <c r="M300">
        <v>382940.67560000002</v>
      </c>
      <c r="N300">
        <v>405801.78539999999</v>
      </c>
      <c r="O300">
        <v>397150.76010000001</v>
      </c>
      <c r="P300">
        <v>389429.723</v>
      </c>
      <c r="Q300">
        <v>380440.76630000002</v>
      </c>
      <c r="R300">
        <v>367234.37349999999</v>
      </c>
      <c r="S300">
        <v>367295.0638</v>
      </c>
      <c r="T300">
        <v>369726.24790000002</v>
      </c>
      <c r="U300">
        <v>370764.53159999999</v>
      </c>
      <c r="V300">
        <v>371535.69420000003</v>
      </c>
      <c r="W300">
        <v>371853.41269999999</v>
      </c>
      <c r="X300">
        <v>371807.56809999997</v>
      </c>
      <c r="Y300">
        <v>372051.41220000002</v>
      </c>
      <c r="Z300">
        <v>372710.0724</v>
      </c>
      <c r="AA300">
        <v>373762.63520000002</v>
      </c>
      <c r="AB300">
        <v>374944.13459999999</v>
      </c>
      <c r="AC300">
        <v>376224.45779999997</v>
      </c>
      <c r="AD300">
        <v>377619.60369999998</v>
      </c>
      <c r="AE300">
        <v>379035.47820000001</v>
      </c>
      <c r="AF300">
        <v>380428.50640000001</v>
      </c>
      <c r="AG300">
        <v>381779.73979999998</v>
      </c>
      <c r="AH300">
        <v>383095.71049999999</v>
      </c>
      <c r="AI300">
        <v>384359.56800000003</v>
      </c>
      <c r="AJ300">
        <v>385593.467</v>
      </c>
      <c r="AK300">
        <v>386828.81060000003</v>
      </c>
      <c r="AL300">
        <v>388088.0601</v>
      </c>
      <c r="AM300">
        <v>389387.17259999999</v>
      </c>
      <c r="AN300">
        <v>390681.59720000002</v>
      </c>
      <c r="AO300">
        <v>392042.84139999998</v>
      </c>
      <c r="AP300">
        <v>393477.4437</v>
      </c>
      <c r="AQ300">
        <v>394983.07640000002</v>
      </c>
      <c r="AR300">
        <v>396547.20289999997</v>
      </c>
      <c r="AS300">
        <v>398153.67320000002</v>
      </c>
      <c r="AT300">
        <v>399798.97330000001</v>
      </c>
      <c r="AU300">
        <v>401477.56089999998</v>
      </c>
      <c r="AV300">
        <v>403184.79690000002</v>
      </c>
      <c r="AW300">
        <v>404934.18900000001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AM56"/>
  <sheetViews>
    <sheetView zoomScale="90" zoomScaleNormal="90" workbookViewId="0">
      <selection activeCell="U5" sqref="U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6" width="5.5703125" customWidth="1"/>
    <col min="7" max="8" width="7.140625" customWidth="1"/>
    <col min="9" max="23" width="7.42578125" customWidth="1"/>
  </cols>
  <sheetData>
    <row r="1" spans="1:29" ht="28.5" x14ac:dyDescent="0.45">
      <c r="A1" s="224" t="s">
        <v>215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70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225" t="s">
        <v>199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93" t="str">
        <f>Résultats!B1</f>
        <v>TEND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ht="23.25" x14ac:dyDescent="0.35">
      <c r="A5" s="70"/>
      <c r="B5" s="3"/>
      <c r="C5" s="3"/>
      <c r="D5" s="7"/>
      <c r="E5" s="237">
        <v>4</v>
      </c>
      <c r="F5" s="237">
        <f>E5+9</f>
        <v>13</v>
      </c>
      <c r="G5" s="237">
        <f>F5+3</f>
        <v>16</v>
      </c>
      <c r="H5" s="237">
        <f t="shared" ref="H5:S5" si="0">G5+1</f>
        <v>17</v>
      </c>
      <c r="I5" s="237">
        <f t="shared" si="0"/>
        <v>18</v>
      </c>
      <c r="J5" s="237">
        <f t="shared" si="0"/>
        <v>19</v>
      </c>
      <c r="K5" s="237">
        <f t="shared" si="0"/>
        <v>20</v>
      </c>
      <c r="L5" s="237">
        <f t="shared" si="0"/>
        <v>21</v>
      </c>
      <c r="M5" s="237">
        <f t="shared" si="0"/>
        <v>22</v>
      </c>
      <c r="N5" s="237">
        <f t="shared" si="0"/>
        <v>23</v>
      </c>
      <c r="O5" s="237">
        <f t="shared" si="0"/>
        <v>24</v>
      </c>
      <c r="P5" s="237">
        <f t="shared" si="0"/>
        <v>25</v>
      </c>
      <c r="Q5" s="237">
        <f t="shared" si="0"/>
        <v>26</v>
      </c>
      <c r="R5" s="237">
        <f t="shared" si="0"/>
        <v>27</v>
      </c>
      <c r="S5" s="237">
        <f t="shared" si="0"/>
        <v>28</v>
      </c>
      <c r="T5" s="237">
        <f>S5+5</f>
        <v>33</v>
      </c>
      <c r="U5" s="237">
        <f>T5+5</f>
        <v>38</v>
      </c>
      <c r="V5" s="237">
        <f>U5+5</f>
        <v>43</v>
      </c>
      <c r="W5" s="237">
        <f>V5+5</f>
        <v>48</v>
      </c>
      <c r="X5" s="3"/>
    </row>
    <row r="6" spans="1:29" x14ac:dyDescent="0.25">
      <c r="A6" s="3"/>
      <c r="B6" s="204"/>
      <c r="C6" s="2"/>
      <c r="D6" s="18"/>
      <c r="E6" s="4">
        <v>2006</v>
      </c>
      <c r="F6" s="4">
        <v>2015</v>
      </c>
      <c r="G6" s="26">
        <v>2018</v>
      </c>
      <c r="H6" s="33">
        <v>2019</v>
      </c>
      <c r="I6" s="108">
        <v>2020</v>
      </c>
      <c r="J6" s="116">
        <v>2021</v>
      </c>
      <c r="K6" s="33">
        <v>2022</v>
      </c>
      <c r="L6" s="33">
        <v>2023</v>
      </c>
      <c r="M6" s="33">
        <v>2024</v>
      </c>
      <c r="N6" s="108">
        <v>2025</v>
      </c>
      <c r="O6" s="116">
        <v>2026</v>
      </c>
      <c r="P6" s="33">
        <v>2027</v>
      </c>
      <c r="Q6" s="33">
        <v>2028</v>
      </c>
      <c r="R6" s="33">
        <v>2029</v>
      </c>
      <c r="S6" s="117">
        <v>2030</v>
      </c>
      <c r="T6" s="118">
        <v>2035</v>
      </c>
      <c r="U6" s="118">
        <v>2040</v>
      </c>
      <c r="V6" s="118">
        <v>2045</v>
      </c>
      <c r="W6" s="118">
        <v>2050</v>
      </c>
      <c r="X6" s="3"/>
      <c r="Y6" s="44"/>
      <c r="Z6" s="51" t="s">
        <v>208</v>
      </c>
      <c r="AA6" s="51"/>
      <c r="AB6" s="51"/>
      <c r="AC6" s="53"/>
    </row>
    <row r="7" spans="1:29" ht="15" customHeight="1" x14ac:dyDescent="0.25">
      <c r="A7" s="3"/>
      <c r="B7" s="273" t="s">
        <v>0</v>
      </c>
      <c r="C7" s="5" t="s">
        <v>1</v>
      </c>
      <c r="D7" s="2"/>
      <c r="E7" s="6" t="e">
        <f>SUM(E8:E9)</f>
        <v>#N/A</v>
      </c>
      <c r="F7" s="6" t="e">
        <f>SUM(F8:F9)</f>
        <v>#N/A</v>
      </c>
      <c r="G7" s="109" t="e">
        <f t="shared" ref="G7:R7" si="1">SUM(G8:G9)</f>
        <v>#N/A</v>
      </c>
      <c r="H7" s="6" t="e">
        <f t="shared" si="1"/>
        <v>#N/A</v>
      </c>
      <c r="I7" s="110" t="e">
        <f t="shared" si="1"/>
        <v>#N/A</v>
      </c>
      <c r="J7" s="109" t="e">
        <f t="shared" si="1"/>
        <v>#N/A</v>
      </c>
      <c r="K7" s="6" t="e">
        <f t="shared" si="1"/>
        <v>#N/A</v>
      </c>
      <c r="L7" s="6" t="e">
        <f t="shared" si="1"/>
        <v>#N/A</v>
      </c>
      <c r="M7" s="6" t="e">
        <f t="shared" si="1"/>
        <v>#N/A</v>
      </c>
      <c r="N7" s="110" t="e">
        <f t="shared" si="1"/>
        <v>#N/A</v>
      </c>
      <c r="O7" s="109" t="e">
        <f t="shared" si="1"/>
        <v>#N/A</v>
      </c>
      <c r="P7" s="6" t="e">
        <f t="shared" si="1"/>
        <v>#N/A</v>
      </c>
      <c r="Q7" s="6" t="e">
        <f t="shared" si="1"/>
        <v>#N/A</v>
      </c>
      <c r="R7" s="6" t="e">
        <f t="shared" si="1"/>
        <v>#N/A</v>
      </c>
      <c r="S7" s="110" t="e">
        <f>SUM(S8:S9)</f>
        <v>#N/A</v>
      </c>
      <c r="T7" s="119" t="e">
        <f>SUM(T8:T9)</f>
        <v>#N/A</v>
      </c>
      <c r="U7" s="119" t="e">
        <f>SUM(U8:U9)</f>
        <v>#N/A</v>
      </c>
      <c r="V7" s="119" t="e">
        <f>SUM(V8:V9)</f>
        <v>#N/A</v>
      </c>
      <c r="W7" s="119" t="e">
        <f>SUM(W8:W9)</f>
        <v>#N/A</v>
      </c>
      <c r="X7" s="3"/>
      <c r="Y7" s="34"/>
      <c r="Z7" s="207"/>
      <c r="AA7" s="208">
        <v>2020</v>
      </c>
      <c r="AB7" s="208">
        <v>2030</v>
      </c>
      <c r="AC7" s="209">
        <v>2050</v>
      </c>
    </row>
    <row r="8" spans="1:29" x14ac:dyDescent="0.25">
      <c r="A8" s="3"/>
      <c r="B8" s="274"/>
      <c r="C8" s="3" t="s">
        <v>2</v>
      </c>
      <c r="D8" s="18" t="s">
        <v>112</v>
      </c>
      <c r="E8" s="19" t="e">
        <f>VLOOKUP($D8,Résultats!$B$2:$AX$476,E$5,FALSE)</f>
        <v>#N/A</v>
      </c>
      <c r="F8" s="19" t="e">
        <f>VLOOKUP($D8,Résultats!$B$2:$AX$476,F$5,FALSE)</f>
        <v>#N/A</v>
      </c>
      <c r="G8" s="28" t="e">
        <f>VLOOKUP($D8,Résultats!$B$2:$AX$476,G$5,FALSE)</f>
        <v>#N/A</v>
      </c>
      <c r="H8" s="19" t="e">
        <f>VLOOKUP($D8,Résultats!$B$2:$AX$476,H$5,FALSE)</f>
        <v>#N/A</v>
      </c>
      <c r="I8" s="111" t="e">
        <f>VLOOKUP($D8,Résultats!$B$2:$AX$476,I$5,FALSE)</f>
        <v>#N/A</v>
      </c>
      <c r="J8" s="28" t="e">
        <f>VLOOKUP($D8,Résultats!$B$2:$AX$476,J$5,FALSE)</f>
        <v>#N/A</v>
      </c>
      <c r="K8" s="19" t="e">
        <f>VLOOKUP($D8,Résultats!$B$2:$AX$476,K$5,FALSE)</f>
        <v>#N/A</v>
      </c>
      <c r="L8" s="19" t="e">
        <f>VLOOKUP($D8,Résultats!$B$2:$AX$476,L$5,FALSE)</f>
        <v>#N/A</v>
      </c>
      <c r="M8" s="19" t="e">
        <f>VLOOKUP($D8,Résultats!$B$2:$AX$476,M$5,FALSE)</f>
        <v>#N/A</v>
      </c>
      <c r="N8" s="111" t="e">
        <f>VLOOKUP($D8,Résultats!$B$2:$AX$476,N$5,FALSE)</f>
        <v>#N/A</v>
      </c>
      <c r="O8" s="28" t="e">
        <f>VLOOKUP($D8,Résultats!$B$2:$AX$476,O$5,FALSE)</f>
        <v>#N/A</v>
      </c>
      <c r="P8" s="19" t="e">
        <f>VLOOKUP($D8,Résultats!$B$2:$AX$476,P$5,FALSE)</f>
        <v>#N/A</v>
      </c>
      <c r="Q8" s="19" t="e">
        <f>VLOOKUP($D8,Résultats!$B$2:$AX$476,Q$5,FALSE)</f>
        <v>#N/A</v>
      </c>
      <c r="R8" s="19" t="e">
        <f>VLOOKUP($D8,Résultats!$B$2:$AX$476,R$5,FALSE)</f>
        <v>#N/A</v>
      </c>
      <c r="S8" s="111" t="e">
        <f>VLOOKUP($D8,Résultats!$B$2:$AX$476,S$5,FALSE)</f>
        <v>#N/A</v>
      </c>
      <c r="T8" s="120" t="e">
        <f>VLOOKUP($D8,Résultats!$B$2:$AX$476,T$5,FALSE)</f>
        <v>#N/A</v>
      </c>
      <c r="U8" s="120" t="e">
        <f>VLOOKUP($D8,Résultats!$B$2:$AX$476,U$5,FALSE)</f>
        <v>#N/A</v>
      </c>
      <c r="V8" s="120" t="e">
        <f>VLOOKUP($D8,Résultats!$B$2:$AX$476,V$5,FALSE)</f>
        <v>#N/A</v>
      </c>
      <c r="W8" s="120" t="e">
        <f>VLOOKUP($D8,Résultats!$B$2:$AX$476,W$5,FALSE)</f>
        <v>#N/A</v>
      </c>
      <c r="X8" s="3"/>
      <c r="Y8" s="34"/>
      <c r="Z8" s="212" t="s">
        <v>150</v>
      </c>
      <c r="AA8" s="214" t="e">
        <f>I27</f>
        <v>#N/A</v>
      </c>
      <c r="AB8" s="214" t="e">
        <f>S27</f>
        <v>#N/A</v>
      </c>
      <c r="AC8" s="215" t="e">
        <f>W27</f>
        <v>#N/A</v>
      </c>
    </row>
    <row r="9" spans="1:29" x14ac:dyDescent="0.25">
      <c r="A9" s="3"/>
      <c r="B9" s="275"/>
      <c r="C9" s="7" t="s">
        <v>3</v>
      </c>
      <c r="D9" s="18" t="s">
        <v>113</v>
      </c>
      <c r="E9" s="19" t="e">
        <f>VLOOKUP($D9,Résultats!$B$2:$AX$476,E$5,FALSE)</f>
        <v>#N/A</v>
      </c>
      <c r="F9" s="19" t="e">
        <f>VLOOKUP($D9,Résultats!$B$2:$AX$476,F$5,FALSE)</f>
        <v>#N/A</v>
      </c>
      <c r="G9" s="28" t="e">
        <f>VLOOKUP($D9,Résultats!$B$2:$AX$476,G$5,FALSE)</f>
        <v>#N/A</v>
      </c>
      <c r="H9" s="19" t="e">
        <f>VLOOKUP($D9,Résultats!$B$2:$AX$476,H$5,FALSE)</f>
        <v>#N/A</v>
      </c>
      <c r="I9" s="111" t="e">
        <f>VLOOKUP($D9,Résultats!$B$2:$AX$476,I$5,FALSE)</f>
        <v>#N/A</v>
      </c>
      <c r="J9" s="28" t="e">
        <f>VLOOKUP($D9,Résultats!$B$2:$AX$476,J$5,FALSE)</f>
        <v>#N/A</v>
      </c>
      <c r="K9" s="19" t="e">
        <f>VLOOKUP($D9,Résultats!$B$2:$AX$476,K$5,FALSE)</f>
        <v>#N/A</v>
      </c>
      <c r="L9" s="19" t="e">
        <f>VLOOKUP($D9,Résultats!$B$2:$AX$476,L$5,FALSE)</f>
        <v>#N/A</v>
      </c>
      <c r="M9" s="19" t="e">
        <f>VLOOKUP($D9,Résultats!$B$2:$AX$476,M$5,FALSE)</f>
        <v>#N/A</v>
      </c>
      <c r="N9" s="111" t="e">
        <f>VLOOKUP($D9,Résultats!$B$2:$AX$476,N$5,FALSE)</f>
        <v>#N/A</v>
      </c>
      <c r="O9" s="28" t="e">
        <f>VLOOKUP($D9,Résultats!$B$2:$AX$476,O$5,FALSE)</f>
        <v>#N/A</v>
      </c>
      <c r="P9" s="19" t="e">
        <f>VLOOKUP($D9,Résultats!$B$2:$AX$476,P$5,FALSE)</f>
        <v>#N/A</v>
      </c>
      <c r="Q9" s="19" t="e">
        <f>VLOOKUP($D9,Résultats!$B$2:$AX$476,Q$5,FALSE)</f>
        <v>#N/A</v>
      </c>
      <c r="R9" s="19" t="e">
        <f>VLOOKUP($D9,Résultats!$B$2:$AX$476,R$5,FALSE)</f>
        <v>#N/A</v>
      </c>
      <c r="S9" s="111" t="e">
        <f>VLOOKUP($D9,Résultats!$B$2:$AX$476,S$5,FALSE)</f>
        <v>#N/A</v>
      </c>
      <c r="T9" s="120" t="e">
        <f>VLOOKUP($D9,Résultats!$B$2:$AX$476,T$5,FALSE)</f>
        <v>#N/A</v>
      </c>
      <c r="U9" s="120" t="e">
        <f>VLOOKUP($D9,Résultats!$B$2:$AX$476,U$5,FALSE)</f>
        <v>#N/A</v>
      </c>
      <c r="V9" s="120" t="e">
        <f>VLOOKUP($D9,Résultats!$B$2:$AX$476,V$5,FALSE)</f>
        <v>#N/A</v>
      </c>
      <c r="W9" s="120" t="e">
        <f>VLOOKUP($D9,Résultats!$B$2:$AX$476,W$5,FALSE)</f>
        <v>#N/A</v>
      </c>
      <c r="X9" s="3"/>
      <c r="Y9" s="34"/>
      <c r="Z9" s="34"/>
      <c r="AA9" s="34"/>
      <c r="AB9" s="34"/>
      <c r="AC9" s="34"/>
    </row>
    <row r="10" spans="1:29" ht="15" customHeight="1" x14ac:dyDescent="0.25">
      <c r="A10" s="3"/>
      <c r="B10" s="273" t="s">
        <v>4</v>
      </c>
      <c r="C10" s="5" t="s">
        <v>1</v>
      </c>
      <c r="D10" s="2"/>
      <c r="E10" s="8" t="e">
        <f>SUM(E11:E18)</f>
        <v>#N/A</v>
      </c>
      <c r="F10" s="8" t="e">
        <f>SUM(F11:F18)</f>
        <v>#N/A</v>
      </c>
      <c r="G10" s="27" t="e">
        <f t="shared" ref="G10:R10" si="2">SUM(G11:G18)</f>
        <v>#N/A</v>
      </c>
      <c r="H10" s="8" t="e">
        <f t="shared" si="2"/>
        <v>#N/A</v>
      </c>
      <c r="I10" s="112" t="e">
        <f t="shared" si="2"/>
        <v>#N/A</v>
      </c>
      <c r="J10" s="27" t="e">
        <f t="shared" si="2"/>
        <v>#N/A</v>
      </c>
      <c r="K10" s="8" t="e">
        <f t="shared" si="2"/>
        <v>#N/A</v>
      </c>
      <c r="L10" s="8" t="e">
        <f t="shared" si="2"/>
        <v>#N/A</v>
      </c>
      <c r="M10" s="8" t="e">
        <f t="shared" si="2"/>
        <v>#N/A</v>
      </c>
      <c r="N10" s="112" t="e">
        <f t="shared" si="2"/>
        <v>#N/A</v>
      </c>
      <c r="O10" s="27" t="e">
        <f t="shared" si="2"/>
        <v>#N/A</v>
      </c>
      <c r="P10" s="8" t="e">
        <f t="shared" si="2"/>
        <v>#N/A</v>
      </c>
      <c r="Q10" s="8" t="e">
        <f t="shared" si="2"/>
        <v>#N/A</v>
      </c>
      <c r="R10" s="8" t="e">
        <f t="shared" si="2"/>
        <v>#N/A</v>
      </c>
      <c r="S10" s="112" t="e">
        <f>SUM(S11:S18)</f>
        <v>#N/A</v>
      </c>
      <c r="T10" s="121" t="e">
        <f>SUM(T11:T18)</f>
        <v>#N/A</v>
      </c>
      <c r="U10" s="121" t="e">
        <f>SUM(U11:U18)</f>
        <v>#N/A</v>
      </c>
      <c r="V10" s="121" t="e">
        <f>SUM(V11:V18)</f>
        <v>#N/A</v>
      </c>
      <c r="W10" s="121" t="e">
        <f>SUM(W11:W18)</f>
        <v>#N/A</v>
      </c>
      <c r="X10" s="3"/>
      <c r="Y10" s="34"/>
      <c r="Z10" s="34"/>
      <c r="AA10" s="34"/>
      <c r="AB10" s="34"/>
      <c r="AC10" s="34"/>
    </row>
    <row r="11" spans="1:29" x14ac:dyDescent="0.25">
      <c r="A11" s="3"/>
      <c r="B11" s="274"/>
      <c r="C11" s="3" t="s">
        <v>5</v>
      </c>
      <c r="D11" s="3" t="s">
        <v>114</v>
      </c>
      <c r="E11" s="19" t="e">
        <f>VLOOKUP($D11,Résultats!$B$2:$AX$476,E$5,FALSE)</f>
        <v>#N/A</v>
      </c>
      <c r="F11" s="19" t="e">
        <f>VLOOKUP($D11,Résultats!$B$2:$AX$476,F$5,FALSE)</f>
        <v>#N/A</v>
      </c>
      <c r="G11" s="28" t="e">
        <f>VLOOKUP($D11,Résultats!$B$2:$AX$476,G$5,FALSE)</f>
        <v>#N/A</v>
      </c>
      <c r="H11" s="19" t="e">
        <f>VLOOKUP($D11,Résultats!$B$2:$AX$476,H$5,FALSE)</f>
        <v>#N/A</v>
      </c>
      <c r="I11" s="111" t="e">
        <f>VLOOKUP($D11,Résultats!$B$2:$AX$476,I$5,FALSE)</f>
        <v>#N/A</v>
      </c>
      <c r="J11" s="28" t="e">
        <f>VLOOKUP($D11,Résultats!$B$2:$AX$476,J$5,FALSE)</f>
        <v>#N/A</v>
      </c>
      <c r="K11" s="19" t="e">
        <f>VLOOKUP($D11,Résultats!$B$2:$AX$476,K$5,FALSE)</f>
        <v>#N/A</v>
      </c>
      <c r="L11" s="19" t="e">
        <f>VLOOKUP($D11,Résultats!$B$2:$AX$476,L$5,FALSE)</f>
        <v>#N/A</v>
      </c>
      <c r="M11" s="19" t="e">
        <f>VLOOKUP($D11,Résultats!$B$2:$AX$476,M$5,FALSE)</f>
        <v>#N/A</v>
      </c>
      <c r="N11" s="111" t="e">
        <f>VLOOKUP($D11,Résultats!$B$2:$AX$476,N$5,FALSE)</f>
        <v>#N/A</v>
      </c>
      <c r="O11" s="28" t="e">
        <f>VLOOKUP($D11,Résultats!$B$2:$AX$476,O$5,FALSE)</f>
        <v>#N/A</v>
      </c>
      <c r="P11" s="19" t="e">
        <f>VLOOKUP($D11,Résultats!$B$2:$AX$476,P$5,FALSE)</f>
        <v>#N/A</v>
      </c>
      <c r="Q11" s="19" t="e">
        <f>VLOOKUP($D11,Résultats!$B$2:$AX$476,Q$5,FALSE)</f>
        <v>#N/A</v>
      </c>
      <c r="R11" s="19" t="e">
        <f>VLOOKUP($D11,Résultats!$B$2:$AX$476,R$5,FALSE)</f>
        <v>#N/A</v>
      </c>
      <c r="S11" s="111" t="e">
        <f>VLOOKUP($D11,Résultats!$B$2:$AX$476,S$5,FALSE)</f>
        <v>#N/A</v>
      </c>
      <c r="T11" s="120" t="e">
        <f>VLOOKUP($D11,Résultats!$B$2:$AX$476,T$5,FALSE)</f>
        <v>#N/A</v>
      </c>
      <c r="U11" s="120" t="e">
        <f>VLOOKUP($D11,Résultats!$B$2:$AX$476,U$5,FALSE)</f>
        <v>#N/A</v>
      </c>
      <c r="V11" s="120" t="e">
        <f>VLOOKUP($D11,Résultats!$B$2:$AX$476,V$5,FALSE)</f>
        <v>#N/A</v>
      </c>
      <c r="W11" s="120" t="e">
        <f>VLOOKUP($D11,Résultats!$B$2:$AX$476,W$5,FALSE)</f>
        <v>#N/A</v>
      </c>
      <c r="X11" s="3"/>
      <c r="Y11" s="34"/>
      <c r="Z11" s="34"/>
      <c r="AA11" s="34"/>
      <c r="AB11" s="34"/>
      <c r="AC11" s="34"/>
    </row>
    <row r="12" spans="1:29" x14ac:dyDescent="0.25">
      <c r="A12" s="3"/>
      <c r="B12" s="274"/>
      <c r="C12" s="3" t="s">
        <v>6</v>
      </c>
      <c r="D12" s="3" t="s">
        <v>115</v>
      </c>
      <c r="E12" s="19" t="e">
        <f>VLOOKUP($D12,Résultats!$B$2:$AX$476,E$5,FALSE)</f>
        <v>#N/A</v>
      </c>
      <c r="F12" s="19" t="e">
        <f>VLOOKUP($D12,Résultats!$B$2:$AX$476,F$5,FALSE)</f>
        <v>#N/A</v>
      </c>
      <c r="G12" s="28" t="e">
        <f>VLOOKUP($D12,Résultats!$B$2:$AX$476,G$5,FALSE)</f>
        <v>#N/A</v>
      </c>
      <c r="H12" s="19" t="e">
        <f>VLOOKUP($D12,Résultats!$B$2:$AX$476,H$5,FALSE)</f>
        <v>#N/A</v>
      </c>
      <c r="I12" s="111" t="e">
        <f>VLOOKUP($D12,Résultats!$B$2:$AX$476,I$5,FALSE)</f>
        <v>#N/A</v>
      </c>
      <c r="J12" s="28" t="e">
        <f>VLOOKUP($D12,Résultats!$B$2:$AX$476,J$5,FALSE)</f>
        <v>#N/A</v>
      </c>
      <c r="K12" s="19" t="e">
        <f>VLOOKUP($D12,Résultats!$B$2:$AX$476,K$5,FALSE)</f>
        <v>#N/A</v>
      </c>
      <c r="L12" s="19" t="e">
        <f>VLOOKUP($D12,Résultats!$B$2:$AX$476,L$5,FALSE)</f>
        <v>#N/A</v>
      </c>
      <c r="M12" s="19" t="e">
        <f>VLOOKUP($D12,Résultats!$B$2:$AX$476,M$5,FALSE)</f>
        <v>#N/A</v>
      </c>
      <c r="N12" s="111" t="e">
        <f>VLOOKUP($D12,Résultats!$B$2:$AX$476,N$5,FALSE)</f>
        <v>#N/A</v>
      </c>
      <c r="O12" s="28" t="e">
        <f>VLOOKUP($D12,Résultats!$B$2:$AX$476,O$5,FALSE)</f>
        <v>#N/A</v>
      </c>
      <c r="P12" s="19" t="e">
        <f>VLOOKUP($D12,Résultats!$B$2:$AX$476,P$5,FALSE)</f>
        <v>#N/A</v>
      </c>
      <c r="Q12" s="19" t="e">
        <f>VLOOKUP($D12,Résultats!$B$2:$AX$476,Q$5,FALSE)</f>
        <v>#N/A</v>
      </c>
      <c r="R12" s="19" t="e">
        <f>VLOOKUP($D12,Résultats!$B$2:$AX$476,R$5,FALSE)</f>
        <v>#N/A</v>
      </c>
      <c r="S12" s="111" t="e">
        <f>VLOOKUP($D12,Résultats!$B$2:$AX$476,S$5,FALSE)</f>
        <v>#N/A</v>
      </c>
      <c r="T12" s="120" t="e">
        <f>VLOOKUP($D12,Résultats!$B$2:$AX$476,T$5,FALSE)</f>
        <v>#N/A</v>
      </c>
      <c r="U12" s="120" t="e">
        <f>VLOOKUP($D12,Résultats!$B$2:$AX$476,U$5,FALSE)</f>
        <v>#N/A</v>
      </c>
      <c r="V12" s="120" t="e">
        <f>VLOOKUP($D12,Résultats!$B$2:$AX$476,V$5,FALSE)</f>
        <v>#N/A</v>
      </c>
      <c r="W12" s="120" t="e">
        <f>VLOOKUP($D12,Résultats!$B$2:$AX$476,W$5,FALSE)</f>
        <v>#N/A</v>
      </c>
      <c r="X12" s="3"/>
      <c r="Y12" s="34"/>
      <c r="Z12" s="216"/>
      <c r="AA12" s="217"/>
      <c r="AB12" s="217"/>
      <c r="AC12" s="217"/>
    </row>
    <row r="13" spans="1:29" x14ac:dyDescent="0.25">
      <c r="A13" s="3"/>
      <c r="B13" s="274"/>
      <c r="C13" s="3" t="s">
        <v>7</v>
      </c>
      <c r="D13" s="3" t="s">
        <v>116</v>
      </c>
      <c r="E13" s="19" t="e">
        <f>VLOOKUP($D13,Résultats!$B$2:$AX$476,E$5,FALSE)</f>
        <v>#N/A</v>
      </c>
      <c r="F13" s="19" t="e">
        <f>VLOOKUP($D13,Résultats!$B$2:$AX$476,F$5,FALSE)</f>
        <v>#N/A</v>
      </c>
      <c r="G13" s="28" t="e">
        <f>VLOOKUP($D13,Résultats!$B$2:$AX$476,G$5,FALSE)</f>
        <v>#N/A</v>
      </c>
      <c r="H13" s="19" t="e">
        <f>VLOOKUP($D13,Résultats!$B$2:$AX$476,H$5,FALSE)</f>
        <v>#N/A</v>
      </c>
      <c r="I13" s="111" t="e">
        <f>VLOOKUP($D13,Résultats!$B$2:$AX$476,I$5,FALSE)</f>
        <v>#N/A</v>
      </c>
      <c r="J13" s="28" t="e">
        <f>VLOOKUP($D13,Résultats!$B$2:$AX$476,J$5,FALSE)</f>
        <v>#N/A</v>
      </c>
      <c r="K13" s="19" t="e">
        <f>VLOOKUP($D13,Résultats!$B$2:$AX$476,K$5,FALSE)</f>
        <v>#N/A</v>
      </c>
      <c r="L13" s="19" t="e">
        <f>VLOOKUP($D13,Résultats!$B$2:$AX$476,L$5,FALSE)</f>
        <v>#N/A</v>
      </c>
      <c r="M13" s="19" t="e">
        <f>VLOOKUP($D13,Résultats!$B$2:$AX$476,M$5,FALSE)</f>
        <v>#N/A</v>
      </c>
      <c r="N13" s="111" t="e">
        <f>VLOOKUP($D13,Résultats!$B$2:$AX$476,N$5,FALSE)</f>
        <v>#N/A</v>
      </c>
      <c r="O13" s="28" t="e">
        <f>VLOOKUP($D13,Résultats!$B$2:$AX$476,O$5,FALSE)</f>
        <v>#N/A</v>
      </c>
      <c r="P13" s="19" t="e">
        <f>VLOOKUP($D13,Résultats!$B$2:$AX$476,P$5,FALSE)</f>
        <v>#N/A</v>
      </c>
      <c r="Q13" s="19" t="e">
        <f>VLOOKUP($D13,Résultats!$B$2:$AX$476,Q$5,FALSE)</f>
        <v>#N/A</v>
      </c>
      <c r="R13" s="19" t="e">
        <f>VLOOKUP($D13,Résultats!$B$2:$AX$476,R$5,FALSE)</f>
        <v>#N/A</v>
      </c>
      <c r="S13" s="111" t="e">
        <f>VLOOKUP($D13,Résultats!$B$2:$AX$476,S$5,FALSE)</f>
        <v>#N/A</v>
      </c>
      <c r="T13" s="120" t="e">
        <f>VLOOKUP($D13,Résultats!$B$2:$AX$476,T$5,FALSE)</f>
        <v>#N/A</v>
      </c>
      <c r="U13" s="120" t="e">
        <f>VLOOKUP($D13,Résultats!$B$2:$AX$476,U$5,FALSE)</f>
        <v>#N/A</v>
      </c>
      <c r="V13" s="120" t="e">
        <f>VLOOKUP($D13,Résultats!$B$2:$AX$476,V$5,FALSE)</f>
        <v>#N/A</v>
      </c>
      <c r="W13" s="120" t="e">
        <f>VLOOKUP($D13,Résultats!$B$2:$AX$476,W$5,FALSE)</f>
        <v>#N/A</v>
      </c>
      <c r="X13" s="3"/>
      <c r="Y13" s="34"/>
    </row>
    <row r="14" spans="1:29" x14ac:dyDescent="0.25">
      <c r="A14" s="3"/>
      <c r="B14" s="274"/>
      <c r="C14" s="3" t="s">
        <v>8</v>
      </c>
      <c r="D14" s="3" t="s">
        <v>117</v>
      </c>
      <c r="E14" s="19" t="e">
        <f>VLOOKUP($D14,Résultats!$B$2:$AX$476,E$5,FALSE)</f>
        <v>#N/A</v>
      </c>
      <c r="F14" s="19" t="e">
        <f>VLOOKUP($D14,Résultats!$B$2:$AX$476,F$5,FALSE)</f>
        <v>#N/A</v>
      </c>
      <c r="G14" s="28" t="e">
        <f>VLOOKUP($D14,Résultats!$B$2:$AX$476,G$5,FALSE)</f>
        <v>#N/A</v>
      </c>
      <c r="H14" s="19" t="e">
        <f>VLOOKUP($D14,Résultats!$B$2:$AX$476,H$5,FALSE)</f>
        <v>#N/A</v>
      </c>
      <c r="I14" s="111" t="e">
        <f>VLOOKUP($D14,Résultats!$B$2:$AX$476,I$5,FALSE)</f>
        <v>#N/A</v>
      </c>
      <c r="J14" s="28" t="e">
        <f>VLOOKUP($D14,Résultats!$B$2:$AX$476,J$5,FALSE)</f>
        <v>#N/A</v>
      </c>
      <c r="K14" s="19" t="e">
        <f>VLOOKUP($D14,Résultats!$B$2:$AX$476,K$5,FALSE)</f>
        <v>#N/A</v>
      </c>
      <c r="L14" s="19" t="e">
        <f>VLOOKUP($D14,Résultats!$B$2:$AX$476,L$5,FALSE)</f>
        <v>#N/A</v>
      </c>
      <c r="M14" s="19" t="e">
        <f>VLOOKUP($D14,Résultats!$B$2:$AX$476,M$5,FALSE)</f>
        <v>#N/A</v>
      </c>
      <c r="N14" s="111" t="e">
        <f>VLOOKUP($D14,Résultats!$B$2:$AX$476,N$5,FALSE)</f>
        <v>#N/A</v>
      </c>
      <c r="O14" s="28" t="e">
        <f>VLOOKUP($D14,Résultats!$B$2:$AX$476,O$5,FALSE)</f>
        <v>#N/A</v>
      </c>
      <c r="P14" s="19" t="e">
        <f>VLOOKUP($D14,Résultats!$B$2:$AX$476,P$5,FALSE)</f>
        <v>#N/A</v>
      </c>
      <c r="Q14" s="19" t="e">
        <f>VLOOKUP($D14,Résultats!$B$2:$AX$476,Q$5,FALSE)</f>
        <v>#N/A</v>
      </c>
      <c r="R14" s="19" t="e">
        <f>VLOOKUP($D14,Résultats!$B$2:$AX$476,R$5,FALSE)</f>
        <v>#N/A</v>
      </c>
      <c r="S14" s="111" t="e">
        <f>VLOOKUP($D14,Résultats!$B$2:$AX$476,S$5,FALSE)</f>
        <v>#N/A</v>
      </c>
      <c r="T14" s="120" t="e">
        <f>VLOOKUP($D14,Résultats!$B$2:$AX$476,T$5,FALSE)</f>
        <v>#N/A</v>
      </c>
      <c r="U14" s="120" t="e">
        <f>VLOOKUP($D14,Résultats!$B$2:$AX$476,U$5,FALSE)</f>
        <v>#N/A</v>
      </c>
      <c r="V14" s="120" t="e">
        <f>VLOOKUP($D14,Résultats!$B$2:$AX$476,V$5,FALSE)</f>
        <v>#N/A</v>
      </c>
      <c r="W14" s="120" t="e">
        <f>VLOOKUP($D14,Résultats!$B$2:$AX$476,W$5,FALSE)</f>
        <v>#N/A</v>
      </c>
      <c r="X14" s="3"/>
      <c r="Y14" s="34"/>
    </row>
    <row r="15" spans="1:29" x14ac:dyDescent="0.25">
      <c r="A15" s="3"/>
      <c r="B15" s="274"/>
      <c r="C15" s="3" t="s">
        <v>9</v>
      </c>
      <c r="D15" s="3" t="s">
        <v>118</v>
      </c>
      <c r="E15" s="19" t="e">
        <f>VLOOKUP($D15,Résultats!$B$2:$AX$476,E$5,FALSE)</f>
        <v>#N/A</v>
      </c>
      <c r="F15" s="19" t="e">
        <f>VLOOKUP($D15,Résultats!$B$2:$AX$476,F$5,FALSE)</f>
        <v>#N/A</v>
      </c>
      <c r="G15" s="28" t="e">
        <f>VLOOKUP($D15,Résultats!$B$2:$AX$476,G$5,FALSE)</f>
        <v>#N/A</v>
      </c>
      <c r="H15" s="19" t="e">
        <f>VLOOKUP($D15,Résultats!$B$2:$AX$476,H$5,FALSE)</f>
        <v>#N/A</v>
      </c>
      <c r="I15" s="111" t="e">
        <f>VLOOKUP($D15,Résultats!$B$2:$AX$476,I$5,FALSE)</f>
        <v>#N/A</v>
      </c>
      <c r="J15" s="28" t="e">
        <f>VLOOKUP($D15,Résultats!$B$2:$AX$476,J$5,FALSE)</f>
        <v>#N/A</v>
      </c>
      <c r="K15" s="19" t="e">
        <f>VLOOKUP($D15,Résultats!$B$2:$AX$476,K$5,FALSE)</f>
        <v>#N/A</v>
      </c>
      <c r="L15" s="19" t="e">
        <f>VLOOKUP($D15,Résultats!$B$2:$AX$476,L$5,FALSE)</f>
        <v>#N/A</v>
      </c>
      <c r="M15" s="19" t="e">
        <f>VLOOKUP($D15,Résultats!$B$2:$AX$476,M$5,FALSE)</f>
        <v>#N/A</v>
      </c>
      <c r="N15" s="111" t="e">
        <f>VLOOKUP($D15,Résultats!$B$2:$AX$476,N$5,FALSE)</f>
        <v>#N/A</v>
      </c>
      <c r="O15" s="28" t="e">
        <f>VLOOKUP($D15,Résultats!$B$2:$AX$476,O$5,FALSE)</f>
        <v>#N/A</v>
      </c>
      <c r="P15" s="19" t="e">
        <f>VLOOKUP($D15,Résultats!$B$2:$AX$476,P$5,FALSE)</f>
        <v>#N/A</v>
      </c>
      <c r="Q15" s="19" t="e">
        <f>VLOOKUP($D15,Résultats!$B$2:$AX$476,Q$5,FALSE)</f>
        <v>#N/A</v>
      </c>
      <c r="R15" s="19" t="e">
        <f>VLOOKUP($D15,Résultats!$B$2:$AX$476,R$5,FALSE)</f>
        <v>#N/A</v>
      </c>
      <c r="S15" s="111" t="e">
        <f>VLOOKUP($D15,Résultats!$B$2:$AX$476,S$5,FALSE)</f>
        <v>#N/A</v>
      </c>
      <c r="T15" s="120" t="e">
        <f>VLOOKUP($D15,Résultats!$B$2:$AX$476,T$5,FALSE)</f>
        <v>#N/A</v>
      </c>
      <c r="U15" s="120" t="e">
        <f>VLOOKUP($D15,Résultats!$B$2:$AX$476,U$5,FALSE)</f>
        <v>#N/A</v>
      </c>
      <c r="V15" s="120" t="e">
        <f>VLOOKUP($D15,Résultats!$B$2:$AX$476,V$5,FALSE)</f>
        <v>#N/A</v>
      </c>
      <c r="W15" s="120" t="e">
        <f>VLOOKUP($D15,Résultats!$B$2:$AX$476,W$5,FALSE)</f>
        <v>#N/A</v>
      </c>
      <c r="X15" s="3"/>
      <c r="Y15" s="34"/>
    </row>
    <row r="16" spans="1:29" x14ac:dyDescent="0.25">
      <c r="A16" s="3"/>
      <c r="B16" s="274"/>
      <c r="C16" s="3" t="s">
        <v>10</v>
      </c>
      <c r="D16" s="3" t="s">
        <v>119</v>
      </c>
      <c r="E16" s="19" t="e">
        <f>VLOOKUP($D16,Résultats!$B$2:$AX$476,E$5,FALSE)</f>
        <v>#N/A</v>
      </c>
      <c r="F16" s="19" t="e">
        <f>VLOOKUP($D16,Résultats!$B$2:$AX$476,F$5,FALSE)</f>
        <v>#N/A</v>
      </c>
      <c r="G16" s="28" t="e">
        <f>VLOOKUP($D16,Résultats!$B$2:$AX$476,G$5,FALSE)</f>
        <v>#N/A</v>
      </c>
      <c r="H16" s="19" t="e">
        <f>VLOOKUP($D16,Résultats!$B$2:$AX$476,H$5,FALSE)</f>
        <v>#N/A</v>
      </c>
      <c r="I16" s="111" t="e">
        <f>VLOOKUP($D16,Résultats!$B$2:$AX$476,I$5,FALSE)</f>
        <v>#N/A</v>
      </c>
      <c r="J16" s="28" t="e">
        <f>VLOOKUP($D16,Résultats!$B$2:$AX$476,J$5,FALSE)</f>
        <v>#N/A</v>
      </c>
      <c r="K16" s="19" t="e">
        <f>VLOOKUP($D16,Résultats!$B$2:$AX$476,K$5,FALSE)</f>
        <v>#N/A</v>
      </c>
      <c r="L16" s="19" t="e">
        <f>VLOOKUP($D16,Résultats!$B$2:$AX$476,L$5,FALSE)</f>
        <v>#N/A</v>
      </c>
      <c r="M16" s="19" t="e">
        <f>VLOOKUP($D16,Résultats!$B$2:$AX$476,M$5,FALSE)</f>
        <v>#N/A</v>
      </c>
      <c r="N16" s="111" t="e">
        <f>VLOOKUP($D16,Résultats!$B$2:$AX$476,N$5,FALSE)</f>
        <v>#N/A</v>
      </c>
      <c r="O16" s="28" t="e">
        <f>VLOOKUP($D16,Résultats!$B$2:$AX$476,O$5,FALSE)</f>
        <v>#N/A</v>
      </c>
      <c r="P16" s="19" t="e">
        <f>VLOOKUP($D16,Résultats!$B$2:$AX$476,P$5,FALSE)</f>
        <v>#N/A</v>
      </c>
      <c r="Q16" s="19" t="e">
        <f>VLOOKUP($D16,Résultats!$B$2:$AX$476,Q$5,FALSE)</f>
        <v>#N/A</v>
      </c>
      <c r="R16" s="19" t="e">
        <f>VLOOKUP($D16,Résultats!$B$2:$AX$476,R$5,FALSE)</f>
        <v>#N/A</v>
      </c>
      <c r="S16" s="111" t="e">
        <f>VLOOKUP($D16,Résultats!$B$2:$AX$476,S$5,FALSE)</f>
        <v>#N/A</v>
      </c>
      <c r="T16" s="120" t="e">
        <f>VLOOKUP($D16,Résultats!$B$2:$AX$476,T$5,FALSE)</f>
        <v>#N/A</v>
      </c>
      <c r="U16" s="120" t="e">
        <f>VLOOKUP($D16,Résultats!$B$2:$AX$476,U$5,FALSE)</f>
        <v>#N/A</v>
      </c>
      <c r="V16" s="120" t="e">
        <f>VLOOKUP($D16,Résultats!$B$2:$AX$476,V$5,FALSE)</f>
        <v>#N/A</v>
      </c>
      <c r="W16" s="120" t="e">
        <f>VLOOKUP($D16,Résultats!$B$2:$AX$476,W$5,FALSE)</f>
        <v>#N/A</v>
      </c>
      <c r="X16" s="3"/>
      <c r="Y16" s="34"/>
    </row>
    <row r="17" spans="1:39" x14ac:dyDescent="0.25">
      <c r="A17" s="3"/>
      <c r="B17" s="274"/>
      <c r="C17" s="3" t="s">
        <v>11</v>
      </c>
      <c r="D17" s="3" t="s">
        <v>120</v>
      </c>
      <c r="E17" s="19" t="e">
        <f>VLOOKUP($D17,Résultats!$B$2:$AX$476,E$5,FALSE)</f>
        <v>#N/A</v>
      </c>
      <c r="F17" s="19" t="e">
        <f>VLOOKUP($D17,Résultats!$B$2:$AX$476,F$5,FALSE)</f>
        <v>#N/A</v>
      </c>
      <c r="G17" s="28" t="e">
        <f>VLOOKUP($D17,Résultats!$B$2:$AX$476,G$5,FALSE)</f>
        <v>#N/A</v>
      </c>
      <c r="H17" s="19" t="e">
        <f>VLOOKUP($D17,Résultats!$B$2:$AX$476,H$5,FALSE)</f>
        <v>#N/A</v>
      </c>
      <c r="I17" s="111" t="e">
        <f>VLOOKUP($D17,Résultats!$B$2:$AX$476,I$5,FALSE)</f>
        <v>#N/A</v>
      </c>
      <c r="J17" s="28" t="e">
        <f>VLOOKUP($D17,Résultats!$B$2:$AX$476,J$5,FALSE)</f>
        <v>#N/A</v>
      </c>
      <c r="K17" s="19" t="e">
        <f>VLOOKUP($D17,Résultats!$B$2:$AX$476,K$5,FALSE)</f>
        <v>#N/A</v>
      </c>
      <c r="L17" s="19" t="e">
        <f>VLOOKUP($D17,Résultats!$B$2:$AX$476,L$5,FALSE)</f>
        <v>#N/A</v>
      </c>
      <c r="M17" s="19" t="e">
        <f>VLOOKUP($D17,Résultats!$B$2:$AX$476,M$5,FALSE)</f>
        <v>#N/A</v>
      </c>
      <c r="N17" s="111" t="e">
        <f>VLOOKUP($D17,Résultats!$B$2:$AX$476,N$5,FALSE)</f>
        <v>#N/A</v>
      </c>
      <c r="O17" s="28" t="e">
        <f>VLOOKUP($D17,Résultats!$B$2:$AX$476,O$5,FALSE)</f>
        <v>#N/A</v>
      </c>
      <c r="P17" s="19" t="e">
        <f>VLOOKUP($D17,Résultats!$B$2:$AX$476,P$5,FALSE)</f>
        <v>#N/A</v>
      </c>
      <c r="Q17" s="19" t="e">
        <f>VLOOKUP($D17,Résultats!$B$2:$AX$476,Q$5,FALSE)</f>
        <v>#N/A</v>
      </c>
      <c r="R17" s="19" t="e">
        <f>VLOOKUP($D17,Résultats!$B$2:$AX$476,R$5,FALSE)</f>
        <v>#N/A</v>
      </c>
      <c r="S17" s="111" t="e">
        <f>VLOOKUP($D17,Résultats!$B$2:$AX$476,S$5,FALSE)</f>
        <v>#N/A</v>
      </c>
      <c r="T17" s="120" t="e">
        <f>VLOOKUP($D17,Résultats!$B$2:$AX$476,T$5,FALSE)</f>
        <v>#N/A</v>
      </c>
      <c r="U17" s="120" t="e">
        <f>VLOOKUP($D17,Résultats!$B$2:$AX$476,U$5,FALSE)</f>
        <v>#N/A</v>
      </c>
      <c r="V17" s="120" t="e">
        <f>VLOOKUP($D17,Résultats!$B$2:$AX$476,V$5,FALSE)</f>
        <v>#N/A</v>
      </c>
      <c r="W17" s="120" t="e">
        <f>VLOOKUP($D17,Résultats!$B$2:$AX$476,W$5,FALSE)</f>
        <v>#N/A</v>
      </c>
      <c r="X17" s="3"/>
      <c r="Y17" s="34"/>
    </row>
    <row r="18" spans="1:39" x14ac:dyDescent="0.25">
      <c r="A18" s="3"/>
      <c r="B18" s="275"/>
      <c r="C18" s="7" t="s">
        <v>12</v>
      </c>
      <c r="D18" s="3" t="s">
        <v>121</v>
      </c>
      <c r="E18" s="20" t="e">
        <f>VLOOKUP($D18,Résultats!$B$2:$AX$476,E$5,FALSE)</f>
        <v>#N/A</v>
      </c>
      <c r="F18" s="20" t="e">
        <f>VLOOKUP($D18,Résultats!$B$2:$AX$476,F$5,FALSE)</f>
        <v>#N/A</v>
      </c>
      <c r="G18" s="113" t="e">
        <f>VLOOKUP($D18,Résultats!$B$2:$AX$476,G$5,FALSE)</f>
        <v>#N/A</v>
      </c>
      <c r="H18" s="20" t="e">
        <f>VLOOKUP($D18,Résultats!$B$2:$AX$476,H$5,FALSE)</f>
        <v>#N/A</v>
      </c>
      <c r="I18" s="114" t="e">
        <f>VLOOKUP($D18,Résultats!$B$2:$AX$476,I$5,FALSE)</f>
        <v>#N/A</v>
      </c>
      <c r="J18" s="113" t="e">
        <f>VLOOKUP($D18,Résultats!$B$2:$AX$476,J$5,FALSE)</f>
        <v>#N/A</v>
      </c>
      <c r="K18" s="20" t="e">
        <f>VLOOKUP($D18,Résultats!$B$2:$AX$476,K$5,FALSE)</f>
        <v>#N/A</v>
      </c>
      <c r="L18" s="20" t="e">
        <f>VLOOKUP($D18,Résultats!$B$2:$AX$476,L$5,FALSE)</f>
        <v>#N/A</v>
      </c>
      <c r="M18" s="20" t="e">
        <f>VLOOKUP($D18,Résultats!$B$2:$AX$476,M$5,FALSE)</f>
        <v>#N/A</v>
      </c>
      <c r="N18" s="114" t="e">
        <f>VLOOKUP($D18,Résultats!$B$2:$AX$476,N$5,FALSE)</f>
        <v>#N/A</v>
      </c>
      <c r="O18" s="113" t="e">
        <f>VLOOKUP($D18,Résultats!$B$2:$AX$476,O$5,FALSE)</f>
        <v>#N/A</v>
      </c>
      <c r="P18" s="20" t="e">
        <f>VLOOKUP($D18,Résultats!$B$2:$AX$476,P$5,FALSE)</f>
        <v>#N/A</v>
      </c>
      <c r="Q18" s="20" t="e">
        <f>VLOOKUP($D18,Résultats!$B$2:$AX$476,Q$5,FALSE)</f>
        <v>#N/A</v>
      </c>
      <c r="R18" s="20" t="e">
        <f>VLOOKUP($D18,Résultats!$B$2:$AX$476,R$5,FALSE)</f>
        <v>#N/A</v>
      </c>
      <c r="S18" s="114" t="e">
        <f>VLOOKUP($D18,Résultats!$B$2:$AX$476,S$5,FALSE)</f>
        <v>#N/A</v>
      </c>
      <c r="T18" s="122" t="e">
        <f>VLOOKUP($D18,Résultats!$B$2:$AX$476,T$5,FALSE)</f>
        <v>#N/A</v>
      </c>
      <c r="U18" s="122" t="e">
        <f>VLOOKUP($D18,Résultats!$B$2:$AX$476,U$5,FALSE)</f>
        <v>#N/A</v>
      </c>
      <c r="V18" s="122" t="e">
        <f>VLOOKUP($D18,Résultats!$B$2:$AX$476,V$5,FALSE)</f>
        <v>#N/A</v>
      </c>
      <c r="W18" s="122" t="e">
        <f>VLOOKUP($D18,Résultats!$B$2:$AX$476,W$5,FALSE)</f>
        <v>#N/A</v>
      </c>
      <c r="X18" s="3"/>
      <c r="Y18" s="34"/>
    </row>
    <row r="19" spans="1:39" ht="15" customHeight="1" x14ac:dyDescent="0.25">
      <c r="A19" s="3"/>
      <c r="B19" s="273" t="s">
        <v>135</v>
      </c>
      <c r="C19" s="5" t="s">
        <v>1</v>
      </c>
      <c r="D19" s="2"/>
      <c r="E19" s="6" t="e">
        <f>SUM(E20:E25)</f>
        <v>#N/A</v>
      </c>
      <c r="F19" s="6" t="e">
        <f>SUM(F20:F25)</f>
        <v>#N/A</v>
      </c>
      <c r="G19" s="109" t="e">
        <f t="shared" ref="G19:R19" si="3">SUM(G20:G25)</f>
        <v>#N/A</v>
      </c>
      <c r="H19" s="6" t="e">
        <f t="shared" si="3"/>
        <v>#N/A</v>
      </c>
      <c r="I19" s="110" t="e">
        <f t="shared" si="3"/>
        <v>#N/A</v>
      </c>
      <c r="J19" s="109" t="e">
        <f t="shared" si="3"/>
        <v>#N/A</v>
      </c>
      <c r="K19" s="6" t="e">
        <f t="shared" si="3"/>
        <v>#N/A</v>
      </c>
      <c r="L19" s="6" t="e">
        <f t="shared" si="3"/>
        <v>#N/A</v>
      </c>
      <c r="M19" s="6" t="e">
        <f t="shared" si="3"/>
        <v>#N/A</v>
      </c>
      <c r="N19" s="110" t="e">
        <f t="shared" si="3"/>
        <v>#N/A</v>
      </c>
      <c r="O19" s="109" t="e">
        <f t="shared" si="3"/>
        <v>#N/A</v>
      </c>
      <c r="P19" s="6" t="e">
        <f t="shared" si="3"/>
        <v>#N/A</v>
      </c>
      <c r="Q19" s="6" t="e">
        <f t="shared" si="3"/>
        <v>#N/A</v>
      </c>
      <c r="R19" s="6" t="e">
        <f t="shared" si="3"/>
        <v>#N/A</v>
      </c>
      <c r="S19" s="110" t="e">
        <f>SUM(S20:S25)</f>
        <v>#N/A</v>
      </c>
      <c r="T19" s="119" t="e">
        <f>SUM(T20:T25)</f>
        <v>#N/A</v>
      </c>
      <c r="U19" s="119" t="e">
        <f>SUM(U20:U25)</f>
        <v>#N/A</v>
      </c>
      <c r="V19" s="119" t="e">
        <f>SUM(V20:V25)</f>
        <v>#N/A</v>
      </c>
      <c r="W19" s="119" t="e">
        <f>SUM(W20:W25)</f>
        <v>#N/A</v>
      </c>
      <c r="X19" s="3"/>
      <c r="Y19" s="34"/>
    </row>
    <row r="20" spans="1:39" x14ac:dyDescent="0.25">
      <c r="A20" s="3"/>
      <c r="B20" s="274"/>
      <c r="C20" s="3" t="s">
        <v>13</v>
      </c>
      <c r="D20" s="3" t="s">
        <v>122</v>
      </c>
      <c r="E20" s="19" t="e">
        <f>VLOOKUP($D20,Résultats!$B$2:$AX$476,E$5,FALSE)</f>
        <v>#N/A</v>
      </c>
      <c r="F20" s="19" t="e">
        <f>VLOOKUP($D20,Résultats!$B$2:$AX$476,F$5,FALSE)</f>
        <v>#N/A</v>
      </c>
      <c r="G20" s="28" t="e">
        <f>VLOOKUP($D20,Résultats!$B$2:$AX$476,G$5,FALSE)</f>
        <v>#N/A</v>
      </c>
      <c r="H20" s="19" t="e">
        <f>VLOOKUP($D20,Résultats!$B$2:$AX$476,H$5,FALSE)</f>
        <v>#N/A</v>
      </c>
      <c r="I20" s="111" t="e">
        <f>VLOOKUP($D20,Résultats!$B$2:$AX$476,I$5,FALSE)</f>
        <v>#N/A</v>
      </c>
      <c r="J20" s="28" t="e">
        <f>VLOOKUP($D20,Résultats!$B$2:$AX$476,J$5,FALSE)</f>
        <v>#N/A</v>
      </c>
      <c r="K20" s="19" t="e">
        <f>VLOOKUP($D20,Résultats!$B$2:$AX$476,K$5,FALSE)</f>
        <v>#N/A</v>
      </c>
      <c r="L20" s="19" t="e">
        <f>VLOOKUP($D20,Résultats!$B$2:$AX$476,L$5,FALSE)</f>
        <v>#N/A</v>
      </c>
      <c r="M20" s="19" t="e">
        <f>VLOOKUP($D20,Résultats!$B$2:$AX$476,M$5,FALSE)</f>
        <v>#N/A</v>
      </c>
      <c r="N20" s="111" t="e">
        <f>VLOOKUP($D20,Résultats!$B$2:$AX$476,N$5,FALSE)</f>
        <v>#N/A</v>
      </c>
      <c r="O20" s="28" t="e">
        <f>VLOOKUP($D20,Résultats!$B$2:$AX$476,O$5,FALSE)</f>
        <v>#N/A</v>
      </c>
      <c r="P20" s="19" t="e">
        <f>VLOOKUP($D20,Résultats!$B$2:$AX$476,P$5,FALSE)</f>
        <v>#N/A</v>
      </c>
      <c r="Q20" s="19" t="e">
        <f>VLOOKUP($D20,Résultats!$B$2:$AX$476,Q$5,FALSE)</f>
        <v>#N/A</v>
      </c>
      <c r="R20" s="19" t="e">
        <f>VLOOKUP($D20,Résultats!$B$2:$AX$476,R$5,FALSE)</f>
        <v>#N/A</v>
      </c>
      <c r="S20" s="111" t="e">
        <f>VLOOKUP($D20,Résultats!$B$2:$AX$476,S$5,FALSE)</f>
        <v>#N/A</v>
      </c>
      <c r="T20" s="120" t="e">
        <f>VLOOKUP($D20,Résultats!$B$2:$AX$476,T$5,FALSE)</f>
        <v>#N/A</v>
      </c>
      <c r="U20" s="120" t="e">
        <f>VLOOKUP($D20,Résultats!$B$2:$AX$476,U$5,FALSE)</f>
        <v>#N/A</v>
      </c>
      <c r="V20" s="120" t="e">
        <f>VLOOKUP($D20,Résultats!$B$2:$AX$476,V$5,FALSE)</f>
        <v>#N/A</v>
      </c>
      <c r="W20" s="120" t="e">
        <f>VLOOKUP($D20,Résultats!$B$2:$AX$476,W$5,FALSE)</f>
        <v>#N/A</v>
      </c>
      <c r="X20" s="3"/>
      <c r="Y20" s="34"/>
    </row>
    <row r="21" spans="1:39" x14ac:dyDescent="0.25">
      <c r="A21" s="3"/>
      <c r="B21" s="274"/>
      <c r="C21" s="3" t="s">
        <v>14</v>
      </c>
      <c r="D21" s="3" t="s">
        <v>123</v>
      </c>
      <c r="E21" s="19" t="e">
        <f>VLOOKUP($D21,Résultats!$B$2:$AX$476,E$5,FALSE)</f>
        <v>#N/A</v>
      </c>
      <c r="F21" s="19" t="e">
        <f>VLOOKUP($D21,Résultats!$B$2:$AX$476,F$5,FALSE)</f>
        <v>#N/A</v>
      </c>
      <c r="G21" s="28" t="e">
        <f>VLOOKUP($D21,Résultats!$B$2:$AX$476,G$5,FALSE)</f>
        <v>#N/A</v>
      </c>
      <c r="H21" s="19" t="e">
        <f>VLOOKUP($D21,Résultats!$B$2:$AX$476,H$5,FALSE)</f>
        <v>#N/A</v>
      </c>
      <c r="I21" s="111" t="e">
        <f>VLOOKUP($D21,Résultats!$B$2:$AX$476,I$5,FALSE)</f>
        <v>#N/A</v>
      </c>
      <c r="J21" s="28" t="e">
        <f>VLOOKUP($D21,Résultats!$B$2:$AX$476,J$5,FALSE)</f>
        <v>#N/A</v>
      </c>
      <c r="K21" s="19" t="e">
        <f>VLOOKUP($D21,Résultats!$B$2:$AX$476,K$5,FALSE)</f>
        <v>#N/A</v>
      </c>
      <c r="L21" s="19" t="e">
        <f>VLOOKUP($D21,Résultats!$B$2:$AX$476,L$5,FALSE)</f>
        <v>#N/A</v>
      </c>
      <c r="M21" s="19" t="e">
        <f>VLOOKUP($D21,Résultats!$B$2:$AX$476,M$5,FALSE)</f>
        <v>#N/A</v>
      </c>
      <c r="N21" s="111" t="e">
        <f>VLOOKUP($D21,Résultats!$B$2:$AX$476,N$5,FALSE)</f>
        <v>#N/A</v>
      </c>
      <c r="O21" s="28" t="e">
        <f>VLOOKUP($D21,Résultats!$B$2:$AX$476,O$5,FALSE)</f>
        <v>#N/A</v>
      </c>
      <c r="P21" s="19" t="e">
        <f>VLOOKUP($D21,Résultats!$B$2:$AX$476,P$5,FALSE)</f>
        <v>#N/A</v>
      </c>
      <c r="Q21" s="19" t="e">
        <f>VLOOKUP($D21,Résultats!$B$2:$AX$476,Q$5,FALSE)</f>
        <v>#N/A</v>
      </c>
      <c r="R21" s="19" t="e">
        <f>VLOOKUP($D21,Résultats!$B$2:$AX$476,R$5,FALSE)</f>
        <v>#N/A</v>
      </c>
      <c r="S21" s="111" t="e">
        <f>VLOOKUP($D21,Résultats!$B$2:$AX$476,S$5,FALSE)</f>
        <v>#N/A</v>
      </c>
      <c r="T21" s="120" t="e">
        <f>VLOOKUP($D21,Résultats!$B$2:$AX$476,T$5,FALSE)</f>
        <v>#N/A</v>
      </c>
      <c r="U21" s="120" t="e">
        <f>VLOOKUP($D21,Résultats!$B$2:$AX$476,U$5,FALSE)</f>
        <v>#N/A</v>
      </c>
      <c r="V21" s="120" t="e">
        <f>VLOOKUP($D21,Résultats!$B$2:$AX$476,V$5,FALSE)</f>
        <v>#N/A</v>
      </c>
      <c r="W21" s="120" t="e">
        <f>VLOOKUP($D21,Résultats!$B$2:$AX$476,W$5,FALSE)</f>
        <v>#N/A</v>
      </c>
      <c r="X21" s="3"/>
      <c r="Y21" s="34"/>
    </row>
    <row r="22" spans="1:39" x14ac:dyDescent="0.25">
      <c r="A22" s="3"/>
      <c r="B22" s="274"/>
      <c r="C22" s="3" t="s">
        <v>15</v>
      </c>
      <c r="D22" s="3" t="s">
        <v>124</v>
      </c>
      <c r="E22" s="19" t="e">
        <f>VLOOKUP($D22,Résultats!$B$2:$AX$476,E$5,FALSE)</f>
        <v>#N/A</v>
      </c>
      <c r="F22" s="19" t="e">
        <f>VLOOKUP($D22,Résultats!$B$2:$AX$476,F$5,FALSE)</f>
        <v>#N/A</v>
      </c>
      <c r="G22" s="28" t="e">
        <f>VLOOKUP($D22,Résultats!$B$2:$AX$476,G$5,FALSE)</f>
        <v>#N/A</v>
      </c>
      <c r="H22" s="19" t="e">
        <f>VLOOKUP($D22,Résultats!$B$2:$AX$476,H$5,FALSE)</f>
        <v>#N/A</v>
      </c>
      <c r="I22" s="111" t="e">
        <f>VLOOKUP($D22,Résultats!$B$2:$AX$476,I$5,FALSE)</f>
        <v>#N/A</v>
      </c>
      <c r="J22" s="28" t="e">
        <f>VLOOKUP($D22,Résultats!$B$2:$AX$476,J$5,FALSE)</f>
        <v>#N/A</v>
      </c>
      <c r="K22" s="19" t="e">
        <f>VLOOKUP($D22,Résultats!$B$2:$AX$476,K$5,FALSE)</f>
        <v>#N/A</v>
      </c>
      <c r="L22" s="19" t="e">
        <f>VLOOKUP($D22,Résultats!$B$2:$AX$476,L$5,FALSE)</f>
        <v>#N/A</v>
      </c>
      <c r="M22" s="19" t="e">
        <f>VLOOKUP($D22,Résultats!$B$2:$AX$476,M$5,FALSE)</f>
        <v>#N/A</v>
      </c>
      <c r="N22" s="111" t="e">
        <f>VLOOKUP($D22,Résultats!$B$2:$AX$476,N$5,FALSE)</f>
        <v>#N/A</v>
      </c>
      <c r="O22" s="28" t="e">
        <f>VLOOKUP($D22,Résultats!$B$2:$AX$476,O$5,FALSE)</f>
        <v>#N/A</v>
      </c>
      <c r="P22" s="19" t="e">
        <f>VLOOKUP($D22,Résultats!$B$2:$AX$476,P$5,FALSE)</f>
        <v>#N/A</v>
      </c>
      <c r="Q22" s="19" t="e">
        <f>VLOOKUP($D22,Résultats!$B$2:$AX$476,Q$5,FALSE)</f>
        <v>#N/A</v>
      </c>
      <c r="R22" s="19" t="e">
        <f>VLOOKUP($D22,Résultats!$B$2:$AX$476,R$5,FALSE)</f>
        <v>#N/A</v>
      </c>
      <c r="S22" s="111" t="e">
        <f>VLOOKUP($D22,Résultats!$B$2:$AX$476,S$5,FALSE)</f>
        <v>#N/A</v>
      </c>
      <c r="T22" s="120" t="e">
        <f>VLOOKUP($D22,Résultats!$B$2:$AX$476,T$5,FALSE)</f>
        <v>#N/A</v>
      </c>
      <c r="U22" s="120" t="e">
        <f>VLOOKUP($D22,Résultats!$B$2:$AX$476,U$5,FALSE)</f>
        <v>#N/A</v>
      </c>
      <c r="V22" s="120" t="e">
        <f>VLOOKUP($D22,Résultats!$B$2:$AX$476,V$5,FALSE)</f>
        <v>#N/A</v>
      </c>
      <c r="W22" s="120" t="e">
        <f>VLOOKUP($D22,Résultats!$B$2:$AX$476,W$5,FALSE)</f>
        <v>#N/A</v>
      </c>
      <c r="X22" s="3"/>
      <c r="Y22" s="34"/>
      <c r="Z22" s="34"/>
      <c r="AA22" s="34"/>
    </row>
    <row r="23" spans="1:39" x14ac:dyDescent="0.25">
      <c r="A23" s="3"/>
      <c r="B23" s="274"/>
      <c r="C23" s="3" t="s">
        <v>16</v>
      </c>
      <c r="D23" s="3" t="s">
        <v>125</v>
      </c>
      <c r="E23" s="19" t="e">
        <f>VLOOKUP($D23,Résultats!$B$2:$AX$476,E$5,FALSE)</f>
        <v>#N/A</v>
      </c>
      <c r="F23" s="19" t="e">
        <f>VLOOKUP($D23,Résultats!$B$2:$AX$476,F$5,FALSE)</f>
        <v>#N/A</v>
      </c>
      <c r="G23" s="28" t="e">
        <f>VLOOKUP($D23,Résultats!$B$2:$AX$476,G$5,FALSE)</f>
        <v>#N/A</v>
      </c>
      <c r="H23" s="19" t="e">
        <f>VLOOKUP($D23,Résultats!$B$2:$AX$476,H$5,FALSE)</f>
        <v>#N/A</v>
      </c>
      <c r="I23" s="111" t="e">
        <f>VLOOKUP($D23,Résultats!$B$2:$AX$476,I$5,FALSE)</f>
        <v>#N/A</v>
      </c>
      <c r="J23" s="28" t="e">
        <f>VLOOKUP($D23,Résultats!$B$2:$AX$476,J$5,FALSE)</f>
        <v>#N/A</v>
      </c>
      <c r="K23" s="19" t="e">
        <f>VLOOKUP($D23,Résultats!$B$2:$AX$476,K$5,FALSE)</f>
        <v>#N/A</v>
      </c>
      <c r="L23" s="19" t="e">
        <f>VLOOKUP($D23,Résultats!$B$2:$AX$476,L$5,FALSE)</f>
        <v>#N/A</v>
      </c>
      <c r="M23" s="19" t="e">
        <f>VLOOKUP($D23,Résultats!$B$2:$AX$476,M$5,FALSE)</f>
        <v>#N/A</v>
      </c>
      <c r="N23" s="111" t="e">
        <f>VLOOKUP($D23,Résultats!$B$2:$AX$476,N$5,FALSE)</f>
        <v>#N/A</v>
      </c>
      <c r="O23" s="28" t="e">
        <f>VLOOKUP($D23,Résultats!$B$2:$AX$476,O$5,FALSE)</f>
        <v>#N/A</v>
      </c>
      <c r="P23" s="19" t="e">
        <f>VLOOKUP($D23,Résultats!$B$2:$AX$476,P$5,FALSE)</f>
        <v>#N/A</v>
      </c>
      <c r="Q23" s="19" t="e">
        <f>VLOOKUP($D23,Résultats!$B$2:$AX$476,Q$5,FALSE)</f>
        <v>#N/A</v>
      </c>
      <c r="R23" s="19" t="e">
        <f>VLOOKUP($D23,Résultats!$B$2:$AX$476,R$5,FALSE)</f>
        <v>#N/A</v>
      </c>
      <c r="S23" s="111" t="e">
        <f>VLOOKUP($D23,Résultats!$B$2:$AX$476,S$5,FALSE)</f>
        <v>#N/A</v>
      </c>
      <c r="T23" s="120" t="e">
        <f>VLOOKUP($D23,Résultats!$B$2:$AX$476,T$5,FALSE)</f>
        <v>#N/A</v>
      </c>
      <c r="U23" s="120" t="e">
        <f>VLOOKUP($D23,Résultats!$B$2:$AX$476,U$5,FALSE)</f>
        <v>#N/A</v>
      </c>
      <c r="V23" s="120" t="e">
        <f>VLOOKUP($D23,Résultats!$B$2:$AX$476,V$5,FALSE)</f>
        <v>#N/A</v>
      </c>
      <c r="W23" s="120" t="e">
        <f>VLOOKUP($D23,Résultats!$B$2:$AX$476,W$5,FALSE)</f>
        <v>#N/A</v>
      </c>
      <c r="X23" s="3"/>
      <c r="Y23" s="34"/>
      <c r="Z23" s="34"/>
      <c r="AA23" s="34"/>
    </row>
    <row r="24" spans="1:39" x14ac:dyDescent="0.25">
      <c r="A24" s="3"/>
      <c r="B24" s="274"/>
      <c r="C24" s="3" t="s">
        <v>17</v>
      </c>
      <c r="D24" s="3" t="s">
        <v>126</v>
      </c>
      <c r="E24" s="19" t="e">
        <f>VLOOKUP($D24,Résultats!$B$2:$AX$476,E$5,FALSE)</f>
        <v>#N/A</v>
      </c>
      <c r="F24" s="19" t="e">
        <f>VLOOKUP($D24,Résultats!$B$2:$AX$476,F$5,FALSE)</f>
        <v>#N/A</v>
      </c>
      <c r="G24" s="28" t="e">
        <f>VLOOKUP($D24,Résultats!$B$2:$AX$476,G$5,FALSE)</f>
        <v>#N/A</v>
      </c>
      <c r="H24" s="19" t="e">
        <f>VLOOKUP($D24,Résultats!$B$2:$AX$476,H$5,FALSE)</f>
        <v>#N/A</v>
      </c>
      <c r="I24" s="111" t="e">
        <f>VLOOKUP($D24,Résultats!$B$2:$AX$476,I$5,FALSE)</f>
        <v>#N/A</v>
      </c>
      <c r="J24" s="28" t="e">
        <f>VLOOKUP($D24,Résultats!$B$2:$AX$476,J$5,FALSE)</f>
        <v>#N/A</v>
      </c>
      <c r="K24" s="19" t="e">
        <f>VLOOKUP($D24,Résultats!$B$2:$AX$476,K$5,FALSE)</f>
        <v>#N/A</v>
      </c>
      <c r="L24" s="19" t="e">
        <f>VLOOKUP($D24,Résultats!$B$2:$AX$476,L$5,FALSE)</f>
        <v>#N/A</v>
      </c>
      <c r="M24" s="19" t="e">
        <f>VLOOKUP($D24,Résultats!$B$2:$AX$476,M$5,FALSE)</f>
        <v>#N/A</v>
      </c>
      <c r="N24" s="111" t="e">
        <f>VLOOKUP($D24,Résultats!$B$2:$AX$476,N$5,FALSE)</f>
        <v>#N/A</v>
      </c>
      <c r="O24" s="28" t="e">
        <f>VLOOKUP($D24,Résultats!$B$2:$AX$476,O$5,FALSE)</f>
        <v>#N/A</v>
      </c>
      <c r="P24" s="19" t="e">
        <f>VLOOKUP($D24,Résultats!$B$2:$AX$476,P$5,FALSE)</f>
        <v>#N/A</v>
      </c>
      <c r="Q24" s="19" t="e">
        <f>VLOOKUP($D24,Résultats!$B$2:$AX$476,Q$5,FALSE)</f>
        <v>#N/A</v>
      </c>
      <c r="R24" s="19" t="e">
        <f>VLOOKUP($D24,Résultats!$B$2:$AX$476,R$5,FALSE)</f>
        <v>#N/A</v>
      </c>
      <c r="S24" s="111" t="e">
        <f>VLOOKUP($D24,Résultats!$B$2:$AX$476,S$5,FALSE)</f>
        <v>#N/A</v>
      </c>
      <c r="T24" s="120" t="e">
        <f>VLOOKUP($D24,Résultats!$B$2:$AX$476,T$5,FALSE)</f>
        <v>#N/A</v>
      </c>
      <c r="U24" s="120" t="e">
        <f>VLOOKUP($D24,Résultats!$B$2:$AX$476,U$5,FALSE)</f>
        <v>#N/A</v>
      </c>
      <c r="V24" s="120" t="e">
        <f>VLOOKUP($D24,Résultats!$B$2:$AX$476,V$5,FALSE)</f>
        <v>#N/A</v>
      </c>
      <c r="W24" s="120" t="e">
        <f>VLOOKUP($D24,Résultats!$B$2:$AX$476,W$5,FALSE)</f>
        <v>#N/A</v>
      </c>
      <c r="X24" s="3"/>
      <c r="Y24" s="34"/>
      <c r="Z24" s="34"/>
      <c r="AA24" s="34"/>
    </row>
    <row r="25" spans="1:39" x14ac:dyDescent="0.25">
      <c r="A25" s="3"/>
      <c r="B25" s="275"/>
      <c r="C25" s="7" t="s">
        <v>12</v>
      </c>
      <c r="D25" s="3" t="s">
        <v>127</v>
      </c>
      <c r="E25" s="20" t="e">
        <f>VLOOKUP($D25,Résultats!$B$2:$AX$476,E$5,FALSE)</f>
        <v>#N/A</v>
      </c>
      <c r="F25" s="20" t="e">
        <f>VLOOKUP($D25,Résultats!$B$2:$AX$476,F$5,FALSE)</f>
        <v>#N/A</v>
      </c>
      <c r="G25" s="113" t="e">
        <f>VLOOKUP($D25,Résultats!$B$2:$AX$476,G$5,FALSE)</f>
        <v>#N/A</v>
      </c>
      <c r="H25" s="20" t="e">
        <f>VLOOKUP($D25,Résultats!$B$2:$AX$476,H$5,FALSE)</f>
        <v>#N/A</v>
      </c>
      <c r="I25" s="114" t="e">
        <f>VLOOKUP($D25,Résultats!$B$2:$AX$476,I$5,FALSE)</f>
        <v>#N/A</v>
      </c>
      <c r="J25" s="113" t="e">
        <f>VLOOKUP($D25,Résultats!$B$2:$AX$476,J$5,FALSE)</f>
        <v>#N/A</v>
      </c>
      <c r="K25" s="20" t="e">
        <f>VLOOKUP($D25,Résultats!$B$2:$AX$476,K$5,FALSE)</f>
        <v>#N/A</v>
      </c>
      <c r="L25" s="20" t="e">
        <f>VLOOKUP($D25,Résultats!$B$2:$AX$476,L$5,FALSE)</f>
        <v>#N/A</v>
      </c>
      <c r="M25" s="20" t="e">
        <f>VLOOKUP($D25,Résultats!$B$2:$AX$476,M$5,FALSE)</f>
        <v>#N/A</v>
      </c>
      <c r="N25" s="114" t="e">
        <f>VLOOKUP($D25,Résultats!$B$2:$AX$476,N$5,FALSE)</f>
        <v>#N/A</v>
      </c>
      <c r="O25" s="113" t="e">
        <f>VLOOKUP($D25,Résultats!$B$2:$AX$476,O$5,FALSE)</f>
        <v>#N/A</v>
      </c>
      <c r="P25" s="20" t="e">
        <f>VLOOKUP($D25,Résultats!$B$2:$AX$476,P$5,FALSE)</f>
        <v>#N/A</v>
      </c>
      <c r="Q25" s="20" t="e">
        <f>VLOOKUP($D25,Résultats!$B$2:$AX$476,Q$5,FALSE)</f>
        <v>#N/A</v>
      </c>
      <c r="R25" s="20" t="e">
        <f>VLOOKUP($D25,Résultats!$B$2:$AX$476,R$5,FALSE)</f>
        <v>#N/A</v>
      </c>
      <c r="S25" s="114" t="e">
        <f>VLOOKUP($D25,Résultats!$B$2:$AX$476,S$5,FALSE)</f>
        <v>#N/A</v>
      </c>
      <c r="T25" s="122" t="e">
        <f>VLOOKUP($D25,Résultats!$B$2:$AX$476,T$5,FALSE)</f>
        <v>#N/A</v>
      </c>
      <c r="U25" s="122" t="e">
        <f>VLOOKUP($D25,Résultats!$B$2:$AX$476,U$5,FALSE)</f>
        <v>#N/A</v>
      </c>
      <c r="V25" s="122" t="e">
        <f>VLOOKUP($D25,Résultats!$B$2:$AX$476,V$5,FALSE)</f>
        <v>#N/A</v>
      </c>
      <c r="W25" s="122" t="e">
        <f>VLOOKUP($D25,Résultats!$B$2:$AX$476,W$5,FALSE)</f>
        <v>#N/A</v>
      </c>
      <c r="X25" s="3"/>
      <c r="Y25" s="34"/>
      <c r="Z25" s="34"/>
      <c r="AA25" s="34"/>
    </row>
    <row r="26" spans="1:39" x14ac:dyDescent="0.25">
      <c r="A26" s="3"/>
      <c r="B26" s="206" t="s">
        <v>8</v>
      </c>
      <c r="C26" s="2"/>
      <c r="D26" s="17" t="s">
        <v>128</v>
      </c>
      <c r="E26" s="6" t="e">
        <f>VLOOKUP($D26,Résultats!$B$2:$AX$476,E$5,FALSE)</f>
        <v>#N/A</v>
      </c>
      <c r="F26" s="6" t="e">
        <f>VLOOKUP($D26,Résultats!$B$2:$AX$476,F$5,FALSE)</f>
        <v>#N/A</v>
      </c>
      <c r="G26" s="109" t="e">
        <f>VLOOKUP($D26,Résultats!$B$2:$AX$476,G$5,FALSE)</f>
        <v>#N/A</v>
      </c>
      <c r="H26" s="6" t="e">
        <f>VLOOKUP($D26,Résultats!$B$2:$AX$476,H$5,FALSE)</f>
        <v>#N/A</v>
      </c>
      <c r="I26" s="110" t="e">
        <f>VLOOKUP($D26,Résultats!$B$2:$AX$476,I$5,FALSE)</f>
        <v>#N/A</v>
      </c>
      <c r="J26" s="109" t="e">
        <f>VLOOKUP($D26,Résultats!$B$2:$AX$476,J$5,FALSE)</f>
        <v>#N/A</v>
      </c>
      <c r="K26" s="6" t="e">
        <f>VLOOKUP($D26,Résultats!$B$2:$AX$476,K$5,FALSE)</f>
        <v>#N/A</v>
      </c>
      <c r="L26" s="6" t="e">
        <f>VLOOKUP($D26,Résultats!$B$2:$AX$476,L$5,FALSE)</f>
        <v>#N/A</v>
      </c>
      <c r="M26" s="6" t="e">
        <f>VLOOKUP($D26,Résultats!$B$2:$AX$476,M$5,FALSE)</f>
        <v>#N/A</v>
      </c>
      <c r="N26" s="110" t="e">
        <f>VLOOKUP($D26,Résultats!$B$2:$AX$476,N$5,FALSE)</f>
        <v>#N/A</v>
      </c>
      <c r="O26" s="109" t="e">
        <f>VLOOKUP($D26,Résultats!$B$2:$AX$476,O$5,FALSE)</f>
        <v>#N/A</v>
      </c>
      <c r="P26" s="6" t="e">
        <f>VLOOKUP($D26,Résultats!$B$2:$AX$476,P$5,FALSE)</f>
        <v>#N/A</v>
      </c>
      <c r="Q26" s="6" t="e">
        <f>VLOOKUP($D26,Résultats!$B$2:$AX$476,Q$5,FALSE)</f>
        <v>#N/A</v>
      </c>
      <c r="R26" s="6" t="e">
        <f>VLOOKUP($D26,Résultats!$B$2:$AX$476,R$5,FALSE)</f>
        <v>#N/A</v>
      </c>
      <c r="S26" s="110" t="e">
        <f>VLOOKUP($D26,Résultats!$B$2:$AX$476,S$5,FALSE)</f>
        <v>#N/A</v>
      </c>
      <c r="T26" s="119" t="e">
        <f>VLOOKUP($D26,Résultats!$B$2:$AX$476,T$5,FALSE)</f>
        <v>#N/A</v>
      </c>
      <c r="U26" s="119" t="e">
        <f>VLOOKUP($D26,Résultats!$B$2:$AX$476,U$5,FALSE)</f>
        <v>#N/A</v>
      </c>
      <c r="V26" s="119" t="e">
        <f>VLOOKUP($D26,Résultats!$B$2:$AX$476,V$5,FALSE)</f>
        <v>#N/A</v>
      </c>
      <c r="W26" s="119" t="e">
        <f>VLOOKUP($D26,Résultats!$B$2:$AX$476,W$5,FALSE)</f>
        <v>#N/A</v>
      </c>
      <c r="X26" s="3"/>
      <c r="Y26" s="34"/>
      <c r="Z26" s="34"/>
      <c r="AA26" s="34"/>
    </row>
    <row r="27" spans="1:39" x14ac:dyDescent="0.25">
      <c r="A27" s="3"/>
      <c r="B27" s="205" t="s">
        <v>1</v>
      </c>
      <c r="C27" s="2"/>
      <c r="D27" s="2"/>
      <c r="E27" s="9" t="e">
        <f>E26+E19+E10+E7</f>
        <v>#N/A</v>
      </c>
      <c r="F27" s="9" t="e">
        <f>F26+F19+F10+F7</f>
        <v>#N/A</v>
      </c>
      <c r="G27" s="29" t="e">
        <f t="shared" ref="G27:R27" si="4">G26+G19+G10+G7</f>
        <v>#N/A</v>
      </c>
      <c r="H27" s="9" t="e">
        <f t="shared" si="4"/>
        <v>#N/A</v>
      </c>
      <c r="I27" s="115" t="e">
        <f t="shared" si="4"/>
        <v>#N/A</v>
      </c>
      <c r="J27" s="29" t="e">
        <f t="shared" si="4"/>
        <v>#N/A</v>
      </c>
      <c r="K27" s="9" t="e">
        <f t="shared" si="4"/>
        <v>#N/A</v>
      </c>
      <c r="L27" s="9" t="e">
        <f t="shared" si="4"/>
        <v>#N/A</v>
      </c>
      <c r="M27" s="9" t="e">
        <f t="shared" si="4"/>
        <v>#N/A</v>
      </c>
      <c r="N27" s="115" t="e">
        <f t="shared" si="4"/>
        <v>#N/A</v>
      </c>
      <c r="O27" s="29" t="e">
        <f t="shared" si="4"/>
        <v>#N/A</v>
      </c>
      <c r="P27" s="9" t="e">
        <f t="shared" si="4"/>
        <v>#N/A</v>
      </c>
      <c r="Q27" s="9" t="e">
        <f t="shared" si="4"/>
        <v>#N/A</v>
      </c>
      <c r="R27" s="9" t="e">
        <f t="shared" si="4"/>
        <v>#N/A</v>
      </c>
      <c r="S27" s="115" t="e">
        <f>S26+S19+S10+S7</f>
        <v>#N/A</v>
      </c>
      <c r="T27" s="123" t="e">
        <f>T26+T19+T10+T7</f>
        <v>#N/A</v>
      </c>
      <c r="U27" s="123" t="e">
        <f>U26+U19+U10+U7</f>
        <v>#N/A</v>
      </c>
      <c r="V27" s="123" t="e">
        <f>V26+V19+V10+V7</f>
        <v>#N/A</v>
      </c>
      <c r="W27" s="123" t="e">
        <f>W26+W19+W10+W7</f>
        <v>#N/A</v>
      </c>
      <c r="X27" s="3"/>
      <c r="Y27" s="34"/>
      <c r="Z27" s="34"/>
      <c r="AA27" s="34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225" t="s">
        <v>200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93" t="str">
        <f>Résultats!B1</f>
        <v>TEND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51" t="s">
        <v>209</v>
      </c>
      <c r="AA31" s="51"/>
      <c r="AB31" s="51"/>
      <c r="AC31" s="53"/>
      <c r="AE31" s="51" t="s">
        <v>212</v>
      </c>
      <c r="AF31" s="51"/>
      <c r="AG31" s="51"/>
      <c r="AH31" s="53"/>
      <c r="AJ31" s="51" t="s">
        <v>213</v>
      </c>
      <c r="AK31" s="51"/>
      <c r="AL31" s="51"/>
      <c r="AM31" s="53"/>
    </row>
    <row r="32" spans="1:39" x14ac:dyDescent="0.25">
      <c r="A32" s="3"/>
      <c r="B32" s="204"/>
      <c r="C32" s="2"/>
      <c r="D32" s="18"/>
      <c r="E32" s="4">
        <v>2006</v>
      </c>
      <c r="F32" s="4">
        <v>2015</v>
      </c>
      <c r="G32" s="26">
        <v>2018</v>
      </c>
      <c r="H32" s="33">
        <v>2019</v>
      </c>
      <c r="I32" s="108">
        <v>2020</v>
      </c>
      <c r="J32" s="116">
        <v>2021</v>
      </c>
      <c r="K32" s="33">
        <v>2022</v>
      </c>
      <c r="L32" s="33">
        <v>2023</v>
      </c>
      <c r="M32" s="33">
        <v>2024</v>
      </c>
      <c r="N32" s="108">
        <v>2025</v>
      </c>
      <c r="O32" s="116">
        <v>2026</v>
      </c>
      <c r="P32" s="33">
        <v>2027</v>
      </c>
      <c r="Q32" s="33">
        <v>2028</v>
      </c>
      <c r="R32" s="33">
        <v>2029</v>
      </c>
      <c r="S32" s="117">
        <v>2030</v>
      </c>
      <c r="T32" s="118">
        <v>2035</v>
      </c>
      <c r="U32" s="118">
        <v>2040</v>
      </c>
      <c r="V32" s="118">
        <v>2045</v>
      </c>
      <c r="W32" s="118">
        <v>2050</v>
      </c>
      <c r="X32" s="3"/>
      <c r="Z32" s="207"/>
      <c r="AA32" s="208">
        <v>2020</v>
      </c>
      <c r="AB32" s="208">
        <v>2030</v>
      </c>
      <c r="AC32" s="209">
        <v>2050</v>
      </c>
      <c r="AE32" s="207"/>
      <c r="AF32" s="208">
        <v>2020</v>
      </c>
      <c r="AG32" s="208">
        <v>2030</v>
      </c>
      <c r="AH32" s="209">
        <v>2050</v>
      </c>
      <c r="AJ32" s="207"/>
      <c r="AK32" s="208">
        <v>2020</v>
      </c>
      <c r="AL32" s="208">
        <v>2030</v>
      </c>
      <c r="AM32" s="209">
        <v>2050</v>
      </c>
    </row>
    <row r="33" spans="1:39" x14ac:dyDescent="0.25">
      <c r="A33" s="3"/>
      <c r="B33" s="273" t="s">
        <v>0</v>
      </c>
      <c r="C33" s="5" t="s">
        <v>1</v>
      </c>
      <c r="D33" s="2" t="s">
        <v>89</v>
      </c>
      <c r="E33" s="6" t="e">
        <f>SUM(E34:E35)</f>
        <v>#N/A</v>
      </c>
      <c r="F33" s="6" t="e">
        <f>SUM(F34:F35)</f>
        <v>#N/A</v>
      </c>
      <c r="G33" s="109" t="e">
        <f t="shared" ref="G33:R33" si="5">SUM(G34:G35)</f>
        <v>#N/A</v>
      </c>
      <c r="H33" s="6" t="e">
        <f t="shared" si="5"/>
        <v>#N/A</v>
      </c>
      <c r="I33" s="110" t="e">
        <f t="shared" si="5"/>
        <v>#N/A</v>
      </c>
      <c r="J33" s="109" t="e">
        <f t="shared" si="5"/>
        <v>#N/A</v>
      </c>
      <c r="K33" s="6" t="e">
        <f t="shared" si="5"/>
        <v>#N/A</v>
      </c>
      <c r="L33" s="6" t="e">
        <f t="shared" si="5"/>
        <v>#N/A</v>
      </c>
      <c r="M33" s="6" t="e">
        <f t="shared" si="5"/>
        <v>#N/A</v>
      </c>
      <c r="N33" s="110" t="e">
        <f t="shared" si="5"/>
        <v>#N/A</v>
      </c>
      <c r="O33" s="109" t="e">
        <f t="shared" si="5"/>
        <v>#N/A</v>
      </c>
      <c r="P33" s="6" t="e">
        <f t="shared" si="5"/>
        <v>#N/A</v>
      </c>
      <c r="Q33" s="6" t="e">
        <f t="shared" si="5"/>
        <v>#N/A</v>
      </c>
      <c r="R33" s="6" t="e">
        <f t="shared" si="5"/>
        <v>#N/A</v>
      </c>
      <c r="S33" s="110" t="e">
        <f>SUM(S34:S35)</f>
        <v>#N/A</v>
      </c>
      <c r="T33" s="119" t="e">
        <f>SUM(T34:T35)</f>
        <v>#N/A</v>
      </c>
      <c r="U33" s="119" t="e">
        <f>SUM(U34:U35)</f>
        <v>#N/A</v>
      </c>
      <c r="V33" s="119" t="e">
        <f>SUM(V34:V35)</f>
        <v>#N/A</v>
      </c>
      <c r="W33" s="119" t="e">
        <f>SUM(W34:W35)</f>
        <v>#N/A</v>
      </c>
      <c r="X33" s="3"/>
      <c r="Z33" s="210" t="s">
        <v>42</v>
      </c>
      <c r="AA33" s="219" t="e">
        <f>(I38+I40)/I36</f>
        <v>#N/A</v>
      </c>
      <c r="AB33" s="219" t="e">
        <f>(S38+S40)/S36</f>
        <v>#N/A</v>
      </c>
      <c r="AC33" s="220" t="e">
        <f>(W38+W40)/W36</f>
        <v>#N/A</v>
      </c>
      <c r="AE33" s="210" t="s">
        <v>214</v>
      </c>
      <c r="AF33" s="219" t="e">
        <f>I34/I33</f>
        <v>#N/A</v>
      </c>
      <c r="AG33" s="219" t="e">
        <f>S34/S33</f>
        <v>#N/A</v>
      </c>
      <c r="AH33" s="220" t="e">
        <f>W34/W33</f>
        <v>#N/A</v>
      </c>
      <c r="AJ33" s="210" t="s">
        <v>148</v>
      </c>
      <c r="AK33" s="219" t="e">
        <f>I46/(I46+I48)</f>
        <v>#N/A</v>
      </c>
      <c r="AL33" s="219" t="e">
        <f>S46/(S46+S48)</f>
        <v>#N/A</v>
      </c>
      <c r="AM33" s="220" t="e">
        <f>W46/(W46+W48)</f>
        <v>#N/A</v>
      </c>
    </row>
    <row r="34" spans="1:39" x14ac:dyDescent="0.25">
      <c r="A34" s="3"/>
      <c r="B34" s="274"/>
      <c r="C34" s="3" t="s">
        <v>2</v>
      </c>
      <c r="D34" s="18" t="s">
        <v>104</v>
      </c>
      <c r="E34" s="19" t="e">
        <f>VLOOKUP($D34,Résultats!$B$2:$AX$476,E$5,FALSE)</f>
        <v>#N/A</v>
      </c>
      <c r="F34" s="19" t="e">
        <f>VLOOKUP($D34,Résultats!$B$2:$AX$476,F$5,FALSE)</f>
        <v>#N/A</v>
      </c>
      <c r="G34" s="28" t="e">
        <f>VLOOKUP($D34,Résultats!$B$2:$AX$476,G$5,FALSE)</f>
        <v>#N/A</v>
      </c>
      <c r="H34" s="19" t="e">
        <f>VLOOKUP($D34,Résultats!$B$2:$AX$476,H$5,FALSE)</f>
        <v>#N/A</v>
      </c>
      <c r="I34" s="111" t="e">
        <f>VLOOKUP($D34,Résultats!$B$2:$AX$476,I$5,FALSE)</f>
        <v>#N/A</v>
      </c>
      <c r="J34" s="28" t="e">
        <f>VLOOKUP($D34,Résultats!$B$2:$AX$476,J$5,FALSE)</f>
        <v>#N/A</v>
      </c>
      <c r="K34" s="19" t="e">
        <f>VLOOKUP($D34,Résultats!$B$2:$AX$476,K$5,FALSE)</f>
        <v>#N/A</v>
      </c>
      <c r="L34" s="19" t="e">
        <f>VLOOKUP($D34,Résultats!$B$2:$AX$476,L$5,FALSE)</f>
        <v>#N/A</v>
      </c>
      <c r="M34" s="19" t="e">
        <f>VLOOKUP($D34,Résultats!$B$2:$AX$476,M$5,FALSE)</f>
        <v>#N/A</v>
      </c>
      <c r="N34" s="111" t="e">
        <f>VLOOKUP($D34,Résultats!$B$2:$AX$476,N$5,FALSE)</f>
        <v>#N/A</v>
      </c>
      <c r="O34" s="28" t="e">
        <f>VLOOKUP($D34,Résultats!$B$2:$AX$476,O$5,FALSE)</f>
        <v>#N/A</v>
      </c>
      <c r="P34" s="19" t="e">
        <f>VLOOKUP($D34,Résultats!$B$2:$AX$476,P$5,FALSE)</f>
        <v>#N/A</v>
      </c>
      <c r="Q34" s="19" t="e">
        <f>VLOOKUP($D34,Résultats!$B$2:$AX$476,Q$5,FALSE)</f>
        <v>#N/A</v>
      </c>
      <c r="R34" s="19" t="e">
        <f>VLOOKUP($D34,Résultats!$B$2:$AX$476,R$5,FALSE)</f>
        <v>#N/A</v>
      </c>
      <c r="S34" s="111" t="e">
        <f>VLOOKUP($D34,Résultats!$B$2:$AX$476,S$5,FALSE)</f>
        <v>#N/A</v>
      </c>
      <c r="T34" s="120" t="e">
        <f>VLOOKUP($D34,Résultats!$B$2:$AX$476,T$5,FALSE)</f>
        <v>#N/A</v>
      </c>
      <c r="U34" s="120" t="e">
        <f>VLOOKUP($D34,Résultats!$B$2:$AX$476,U$5,FALSE)</f>
        <v>#N/A</v>
      </c>
      <c r="V34" s="120" t="e">
        <f>VLOOKUP($D34,Résultats!$B$2:$AX$476,V$5,FALSE)</f>
        <v>#N/A</v>
      </c>
      <c r="W34" s="120" t="e">
        <f>VLOOKUP($D34,Résultats!$B$2:$AX$476,W$5,FALSE)</f>
        <v>#N/A</v>
      </c>
      <c r="X34" s="3"/>
      <c r="Z34" s="210" t="s">
        <v>143</v>
      </c>
      <c r="AA34" s="219" t="e">
        <f>I37/I36</f>
        <v>#N/A</v>
      </c>
      <c r="AB34" s="219" t="e">
        <f>S37/S36</f>
        <v>#N/A</v>
      </c>
      <c r="AC34" s="220" t="e">
        <f>W37/W36</f>
        <v>#N/A</v>
      </c>
      <c r="AE34" s="212" t="s">
        <v>147</v>
      </c>
      <c r="AF34" s="221" t="e">
        <f>I35/I33</f>
        <v>#N/A</v>
      </c>
      <c r="AG34" s="221" t="e">
        <f>S35/S33</f>
        <v>#N/A</v>
      </c>
      <c r="AH34" s="222" t="e">
        <f>W35/W33</f>
        <v>#N/A</v>
      </c>
      <c r="AJ34" s="212" t="s">
        <v>149</v>
      </c>
      <c r="AK34" s="221" t="e">
        <f>I48/(I46+I48)</f>
        <v>#N/A</v>
      </c>
      <c r="AL34" s="221" t="e">
        <f>S48/(S46+S48)</f>
        <v>#N/A</v>
      </c>
      <c r="AM34" s="222" t="e">
        <f>W48/(W46+W48)</f>
        <v>#N/A</v>
      </c>
    </row>
    <row r="35" spans="1:39" x14ac:dyDescent="0.25">
      <c r="A35" s="3"/>
      <c r="B35" s="275"/>
      <c r="C35" s="7" t="s">
        <v>3</v>
      </c>
      <c r="D35" s="3" t="s">
        <v>105</v>
      </c>
      <c r="E35" s="19" t="e">
        <f>VLOOKUP($D35,Résultats!$B$2:$AX$476,E$5,FALSE)</f>
        <v>#N/A</v>
      </c>
      <c r="F35" s="19" t="e">
        <f>VLOOKUP($D35,Résultats!$B$2:$AX$476,F$5,FALSE)</f>
        <v>#N/A</v>
      </c>
      <c r="G35" s="28" t="e">
        <f>VLOOKUP($D35,Résultats!$B$2:$AX$476,G$5,FALSE)</f>
        <v>#N/A</v>
      </c>
      <c r="H35" s="19" t="e">
        <f>VLOOKUP($D35,Résultats!$B$2:$AX$476,H$5,FALSE)</f>
        <v>#N/A</v>
      </c>
      <c r="I35" s="111" t="e">
        <f>VLOOKUP($D35,Résultats!$B$2:$AX$476,I$5,FALSE)</f>
        <v>#N/A</v>
      </c>
      <c r="J35" s="28" t="e">
        <f>VLOOKUP($D35,Résultats!$B$2:$AX$476,J$5,FALSE)</f>
        <v>#N/A</v>
      </c>
      <c r="K35" s="19" t="e">
        <f>VLOOKUP($D35,Résultats!$B$2:$AX$476,K$5,FALSE)</f>
        <v>#N/A</v>
      </c>
      <c r="L35" s="19" t="e">
        <f>VLOOKUP($D35,Résultats!$B$2:$AX$476,L$5,FALSE)</f>
        <v>#N/A</v>
      </c>
      <c r="M35" s="19" t="e">
        <f>VLOOKUP($D35,Résultats!$B$2:$AX$476,M$5,FALSE)</f>
        <v>#N/A</v>
      </c>
      <c r="N35" s="111" t="e">
        <f>VLOOKUP($D35,Résultats!$B$2:$AX$476,N$5,FALSE)</f>
        <v>#N/A</v>
      </c>
      <c r="O35" s="28" t="e">
        <f>VLOOKUP($D35,Résultats!$B$2:$AX$476,O$5,FALSE)</f>
        <v>#N/A</v>
      </c>
      <c r="P35" s="19" t="e">
        <f>VLOOKUP($D35,Résultats!$B$2:$AX$476,P$5,FALSE)</f>
        <v>#N/A</v>
      </c>
      <c r="Q35" s="19" t="e">
        <f>VLOOKUP($D35,Résultats!$B$2:$AX$476,Q$5,FALSE)</f>
        <v>#N/A</v>
      </c>
      <c r="R35" s="19" t="e">
        <f>VLOOKUP($D35,Résultats!$B$2:$AX$476,R$5,FALSE)</f>
        <v>#N/A</v>
      </c>
      <c r="S35" s="111" t="e">
        <f>VLOOKUP($D35,Résultats!$B$2:$AX$476,S$5,FALSE)</f>
        <v>#N/A</v>
      </c>
      <c r="T35" s="120" t="e">
        <f>VLOOKUP($D35,Résultats!$B$2:$AX$476,T$5,FALSE)</f>
        <v>#N/A</v>
      </c>
      <c r="U35" s="120" t="e">
        <f>VLOOKUP($D35,Résultats!$B$2:$AX$476,U$5,FALSE)</f>
        <v>#N/A</v>
      </c>
      <c r="V35" s="120" t="e">
        <f>VLOOKUP($D35,Résultats!$B$2:$AX$476,V$5,FALSE)</f>
        <v>#N/A</v>
      </c>
      <c r="W35" s="120" t="e">
        <f>VLOOKUP($D35,Résultats!$B$2:$AX$476,W$5,FALSE)</f>
        <v>#N/A</v>
      </c>
      <c r="X35" s="3"/>
      <c r="Z35" s="210" t="s">
        <v>211</v>
      </c>
      <c r="AA35" s="219" t="e">
        <f>I43/I36</f>
        <v>#N/A</v>
      </c>
      <c r="AB35" s="219" t="e">
        <f>S43/S36</f>
        <v>#N/A</v>
      </c>
      <c r="AC35" s="220" t="e">
        <f>W43/W36</f>
        <v>#N/A</v>
      </c>
      <c r="AE35" s="218" t="s">
        <v>210</v>
      </c>
      <c r="AF35" s="223" t="e">
        <f>SUM(AF33:AF34)</f>
        <v>#N/A</v>
      </c>
      <c r="AG35" s="223" t="e">
        <f t="shared" ref="AG35:AH35" si="6">SUM(AG33:AG34)</f>
        <v>#N/A</v>
      </c>
      <c r="AH35" s="223" t="e">
        <f t="shared" si="6"/>
        <v>#N/A</v>
      </c>
      <c r="AJ35" s="218" t="s">
        <v>210</v>
      </c>
      <c r="AK35" s="223" t="e">
        <f>SUM(AK33:AK34)</f>
        <v>#N/A</v>
      </c>
      <c r="AL35" s="223" t="e">
        <f t="shared" ref="AL35" si="7">SUM(AL33:AL34)</f>
        <v>#N/A</v>
      </c>
      <c r="AM35" s="223" t="e">
        <f t="shared" ref="AM35" si="8">SUM(AM33:AM34)</f>
        <v>#N/A</v>
      </c>
    </row>
    <row r="36" spans="1:39" x14ac:dyDescent="0.25">
      <c r="A36" s="3"/>
      <c r="B36" s="273" t="s">
        <v>4</v>
      </c>
      <c r="C36" s="5" t="s">
        <v>1</v>
      </c>
      <c r="D36" s="2" t="s">
        <v>90</v>
      </c>
      <c r="E36" s="8" t="e">
        <f>SUM(E37:E44)</f>
        <v>#N/A</v>
      </c>
      <c r="F36" s="8" t="e">
        <f>SUM(F37:F44)</f>
        <v>#N/A</v>
      </c>
      <c r="G36" s="27" t="e">
        <f t="shared" ref="G36:R36" si="9">SUM(G37:G44)</f>
        <v>#N/A</v>
      </c>
      <c r="H36" s="8" t="e">
        <f t="shared" si="9"/>
        <v>#N/A</v>
      </c>
      <c r="I36" s="112" t="e">
        <f t="shared" si="9"/>
        <v>#N/A</v>
      </c>
      <c r="J36" s="27" t="e">
        <f t="shared" si="9"/>
        <v>#N/A</v>
      </c>
      <c r="K36" s="8" t="e">
        <f t="shared" si="9"/>
        <v>#N/A</v>
      </c>
      <c r="L36" s="8" t="e">
        <f t="shared" si="9"/>
        <v>#N/A</v>
      </c>
      <c r="M36" s="8" t="e">
        <f t="shared" si="9"/>
        <v>#N/A</v>
      </c>
      <c r="N36" s="112" t="e">
        <f t="shared" si="9"/>
        <v>#N/A</v>
      </c>
      <c r="O36" s="27" t="e">
        <f t="shared" si="9"/>
        <v>#N/A</v>
      </c>
      <c r="P36" s="8" t="e">
        <f t="shared" si="9"/>
        <v>#N/A</v>
      </c>
      <c r="Q36" s="8" t="e">
        <f t="shared" si="9"/>
        <v>#N/A</v>
      </c>
      <c r="R36" s="8" t="e">
        <f t="shared" si="9"/>
        <v>#N/A</v>
      </c>
      <c r="S36" s="112" t="e">
        <f>SUM(S37:S44)</f>
        <v>#N/A</v>
      </c>
      <c r="T36" s="121" t="e">
        <f>SUM(T37:T44)</f>
        <v>#N/A</v>
      </c>
      <c r="U36" s="121" t="e">
        <f>SUM(U37:U44)</f>
        <v>#N/A</v>
      </c>
      <c r="V36" s="121" t="e">
        <f>SUM(V37:V44)</f>
        <v>#N/A</v>
      </c>
      <c r="W36" s="121" t="e">
        <f>SUM(W37:W44)</f>
        <v>#N/A</v>
      </c>
      <c r="X36" s="3"/>
      <c r="Z36" s="210" t="s">
        <v>144</v>
      </c>
      <c r="AA36" s="219" t="e">
        <f>I42/I36</f>
        <v>#N/A</v>
      </c>
      <c r="AB36" s="219" t="e">
        <f>S42/S36</f>
        <v>#N/A</v>
      </c>
      <c r="AC36" s="220" t="e">
        <f>W42/W36</f>
        <v>#N/A</v>
      </c>
    </row>
    <row r="37" spans="1:39" x14ac:dyDescent="0.25">
      <c r="A37" s="3"/>
      <c r="B37" s="274"/>
      <c r="C37" s="3" t="s">
        <v>5</v>
      </c>
      <c r="D37" s="3" t="s">
        <v>96</v>
      </c>
      <c r="E37" s="19" t="e">
        <f>VLOOKUP($D37,Résultats!$B$2:$AX$476,E$5,FALSE)</f>
        <v>#N/A</v>
      </c>
      <c r="F37" s="19" t="e">
        <f>VLOOKUP($D37,Résultats!$B$2:$AX$476,F$5,FALSE)</f>
        <v>#N/A</v>
      </c>
      <c r="G37" s="28" t="e">
        <f>VLOOKUP($D37,Résultats!$B$2:$AX$476,G$5,FALSE)</f>
        <v>#N/A</v>
      </c>
      <c r="H37" s="19" t="e">
        <f>VLOOKUP($D37,Résultats!$B$2:$AX$476,H$5,FALSE)</f>
        <v>#N/A</v>
      </c>
      <c r="I37" s="111" t="e">
        <f>VLOOKUP($D37,Résultats!$B$2:$AX$476,I$5,FALSE)</f>
        <v>#N/A</v>
      </c>
      <c r="J37" s="28" t="e">
        <f>VLOOKUP($D37,Résultats!$B$2:$AX$476,J$5,FALSE)</f>
        <v>#N/A</v>
      </c>
      <c r="K37" s="19" t="e">
        <f>VLOOKUP($D37,Résultats!$B$2:$AX$476,K$5,FALSE)</f>
        <v>#N/A</v>
      </c>
      <c r="L37" s="19" t="e">
        <f>VLOOKUP($D37,Résultats!$B$2:$AX$476,L$5,FALSE)</f>
        <v>#N/A</v>
      </c>
      <c r="M37" s="19" t="e">
        <f>VLOOKUP($D37,Résultats!$B$2:$AX$476,M$5,FALSE)</f>
        <v>#N/A</v>
      </c>
      <c r="N37" s="111" t="e">
        <f>VLOOKUP($D37,Résultats!$B$2:$AX$476,N$5,FALSE)</f>
        <v>#N/A</v>
      </c>
      <c r="O37" s="28" t="e">
        <f>VLOOKUP($D37,Résultats!$B$2:$AX$476,O$5,FALSE)</f>
        <v>#N/A</v>
      </c>
      <c r="P37" s="19" t="e">
        <f>VLOOKUP($D37,Résultats!$B$2:$AX$476,P$5,FALSE)</f>
        <v>#N/A</v>
      </c>
      <c r="Q37" s="19" t="e">
        <f>VLOOKUP($D37,Résultats!$B$2:$AX$476,Q$5,FALSE)</f>
        <v>#N/A</v>
      </c>
      <c r="R37" s="19" t="e">
        <f>VLOOKUP($D37,Résultats!$B$2:$AX$476,R$5,FALSE)</f>
        <v>#N/A</v>
      </c>
      <c r="S37" s="111" t="e">
        <f>VLOOKUP($D37,Résultats!$B$2:$AX$476,S$5,FALSE)</f>
        <v>#N/A</v>
      </c>
      <c r="T37" s="120" t="e">
        <f>VLOOKUP($D37,Résultats!$B$2:$AX$476,T$5,FALSE)</f>
        <v>#N/A</v>
      </c>
      <c r="U37" s="120" t="e">
        <f>VLOOKUP($D37,Résultats!$B$2:$AX$476,U$5,FALSE)</f>
        <v>#N/A</v>
      </c>
      <c r="V37" s="120" t="e">
        <f>VLOOKUP($D37,Résultats!$B$2:$AX$476,V$5,FALSE)</f>
        <v>#N/A</v>
      </c>
      <c r="W37" s="120" t="e">
        <f>VLOOKUP($D37,Résultats!$B$2:$AX$476,W$5,FALSE)</f>
        <v>#N/A</v>
      </c>
      <c r="X37" s="3"/>
      <c r="Z37" s="210" t="s">
        <v>145</v>
      </c>
      <c r="AA37" s="219" t="e">
        <f>I41/I36</f>
        <v>#N/A</v>
      </c>
      <c r="AB37" s="219" t="e">
        <f>S41/S36</f>
        <v>#N/A</v>
      </c>
      <c r="AC37" s="220" t="e">
        <f>W41/W36</f>
        <v>#N/A</v>
      </c>
    </row>
    <row r="38" spans="1:39" x14ac:dyDescent="0.25">
      <c r="A38" s="3"/>
      <c r="B38" s="274"/>
      <c r="C38" s="3" t="s">
        <v>6</v>
      </c>
      <c r="D38" s="3" t="s">
        <v>97</v>
      </c>
      <c r="E38" s="19" t="e">
        <f>VLOOKUP($D38,Résultats!$B$2:$AX$476,E$5,FALSE)</f>
        <v>#N/A</v>
      </c>
      <c r="F38" s="19" t="e">
        <f>VLOOKUP($D38,Résultats!$B$2:$AX$476,F$5,FALSE)</f>
        <v>#N/A</v>
      </c>
      <c r="G38" s="28" t="e">
        <f>VLOOKUP($D38,Résultats!$B$2:$AX$476,G$5,FALSE)</f>
        <v>#N/A</v>
      </c>
      <c r="H38" s="19" t="e">
        <f>VLOOKUP($D38,Résultats!$B$2:$AX$476,H$5,FALSE)</f>
        <v>#N/A</v>
      </c>
      <c r="I38" s="111" t="e">
        <f>VLOOKUP($D38,Résultats!$B$2:$AX$476,I$5,FALSE)</f>
        <v>#N/A</v>
      </c>
      <c r="J38" s="28" t="e">
        <f>VLOOKUP($D38,Résultats!$B$2:$AX$476,J$5,FALSE)</f>
        <v>#N/A</v>
      </c>
      <c r="K38" s="19" t="e">
        <f>VLOOKUP($D38,Résultats!$B$2:$AX$476,K$5,FALSE)</f>
        <v>#N/A</v>
      </c>
      <c r="L38" s="19" t="e">
        <f>VLOOKUP($D38,Résultats!$B$2:$AX$476,L$5,FALSE)</f>
        <v>#N/A</v>
      </c>
      <c r="M38" s="19" t="e">
        <f>VLOOKUP($D38,Résultats!$B$2:$AX$476,M$5,FALSE)</f>
        <v>#N/A</v>
      </c>
      <c r="N38" s="111" t="e">
        <f>VLOOKUP($D38,Résultats!$B$2:$AX$476,N$5,FALSE)</f>
        <v>#N/A</v>
      </c>
      <c r="O38" s="28" t="e">
        <f>VLOOKUP($D38,Résultats!$B$2:$AX$476,O$5,FALSE)</f>
        <v>#N/A</v>
      </c>
      <c r="P38" s="19" t="e">
        <f>VLOOKUP($D38,Résultats!$B$2:$AX$476,P$5,FALSE)</f>
        <v>#N/A</v>
      </c>
      <c r="Q38" s="19" t="e">
        <f>VLOOKUP($D38,Résultats!$B$2:$AX$476,Q$5,FALSE)</f>
        <v>#N/A</v>
      </c>
      <c r="R38" s="19" t="e">
        <f>VLOOKUP($D38,Résultats!$B$2:$AX$476,R$5,FALSE)</f>
        <v>#N/A</v>
      </c>
      <c r="S38" s="111" t="e">
        <f>VLOOKUP($D38,Résultats!$B$2:$AX$476,S$5,FALSE)</f>
        <v>#N/A</v>
      </c>
      <c r="T38" s="120" t="e">
        <f>VLOOKUP($D38,Résultats!$B$2:$AX$476,T$5,FALSE)</f>
        <v>#N/A</v>
      </c>
      <c r="U38" s="120" t="e">
        <f>VLOOKUP($D38,Résultats!$B$2:$AX$476,U$5,FALSE)</f>
        <v>#N/A</v>
      </c>
      <c r="V38" s="120" t="e">
        <f>VLOOKUP($D38,Résultats!$B$2:$AX$476,V$5,FALSE)</f>
        <v>#N/A</v>
      </c>
      <c r="W38" s="120" t="e">
        <f>VLOOKUP($D38,Résultats!$B$2:$AX$476,W$5,FALSE)</f>
        <v>#N/A</v>
      </c>
      <c r="X38" s="3"/>
      <c r="Z38" s="212" t="s">
        <v>146</v>
      </c>
      <c r="AA38" s="221" t="e">
        <f>(I39+I44)/I36</f>
        <v>#N/A</v>
      </c>
      <c r="AB38" s="221" t="e">
        <f>(S39+S44)/S36</f>
        <v>#N/A</v>
      </c>
      <c r="AC38" s="222" t="e">
        <f>(W39+W44)/W36</f>
        <v>#N/A</v>
      </c>
    </row>
    <row r="39" spans="1:39" x14ac:dyDescent="0.25">
      <c r="A39" s="3"/>
      <c r="B39" s="274"/>
      <c r="C39" s="3" t="s">
        <v>7</v>
      </c>
      <c r="D39" s="3" t="s">
        <v>98</v>
      </c>
      <c r="E39" s="19" t="e">
        <f>VLOOKUP($D39,Résultats!$B$2:$AX$476,E$5,FALSE)</f>
        <v>#N/A</v>
      </c>
      <c r="F39" s="19" t="e">
        <f>VLOOKUP($D39,Résultats!$B$2:$AX$476,F$5,FALSE)</f>
        <v>#N/A</v>
      </c>
      <c r="G39" s="28" t="e">
        <f>VLOOKUP($D39,Résultats!$B$2:$AX$476,G$5,FALSE)</f>
        <v>#N/A</v>
      </c>
      <c r="H39" s="19" t="e">
        <f>VLOOKUP($D39,Résultats!$B$2:$AX$476,H$5,FALSE)</f>
        <v>#N/A</v>
      </c>
      <c r="I39" s="111" t="e">
        <f>VLOOKUP($D39,Résultats!$B$2:$AX$476,I$5,FALSE)</f>
        <v>#N/A</v>
      </c>
      <c r="J39" s="28" t="e">
        <f>VLOOKUP($D39,Résultats!$B$2:$AX$476,J$5,FALSE)</f>
        <v>#N/A</v>
      </c>
      <c r="K39" s="19" t="e">
        <f>VLOOKUP($D39,Résultats!$B$2:$AX$476,K$5,FALSE)</f>
        <v>#N/A</v>
      </c>
      <c r="L39" s="19" t="e">
        <f>VLOOKUP($D39,Résultats!$B$2:$AX$476,L$5,FALSE)</f>
        <v>#N/A</v>
      </c>
      <c r="M39" s="19" t="e">
        <f>VLOOKUP($D39,Résultats!$B$2:$AX$476,M$5,FALSE)</f>
        <v>#N/A</v>
      </c>
      <c r="N39" s="111" t="e">
        <f>VLOOKUP($D39,Résultats!$B$2:$AX$476,N$5,FALSE)</f>
        <v>#N/A</v>
      </c>
      <c r="O39" s="28" t="e">
        <f>VLOOKUP($D39,Résultats!$B$2:$AX$476,O$5,FALSE)</f>
        <v>#N/A</v>
      </c>
      <c r="P39" s="19" t="e">
        <f>VLOOKUP($D39,Résultats!$B$2:$AX$476,P$5,FALSE)</f>
        <v>#N/A</v>
      </c>
      <c r="Q39" s="19" t="e">
        <f>VLOOKUP($D39,Résultats!$B$2:$AX$476,Q$5,FALSE)</f>
        <v>#N/A</v>
      </c>
      <c r="R39" s="19" t="e">
        <f>VLOOKUP($D39,Résultats!$B$2:$AX$476,R$5,FALSE)</f>
        <v>#N/A</v>
      </c>
      <c r="S39" s="111" t="e">
        <f>VLOOKUP($D39,Résultats!$B$2:$AX$476,S$5,FALSE)</f>
        <v>#N/A</v>
      </c>
      <c r="T39" s="120" t="e">
        <f>VLOOKUP($D39,Résultats!$B$2:$AX$476,T$5,FALSE)</f>
        <v>#N/A</v>
      </c>
      <c r="U39" s="120" t="e">
        <f>VLOOKUP($D39,Résultats!$B$2:$AX$476,U$5,FALSE)</f>
        <v>#N/A</v>
      </c>
      <c r="V39" s="120" t="e">
        <f>VLOOKUP($D39,Résultats!$B$2:$AX$476,V$5,FALSE)</f>
        <v>#N/A</v>
      </c>
      <c r="W39" s="120" t="e">
        <f>VLOOKUP($D39,Résultats!$B$2:$AX$476,W$5,FALSE)</f>
        <v>#N/A</v>
      </c>
      <c r="X39" s="3"/>
      <c r="Z39" s="218" t="s">
        <v>210</v>
      </c>
      <c r="AA39" s="223" t="e">
        <f>SUM(AA33:AA38)</f>
        <v>#N/A</v>
      </c>
      <c r="AB39" s="223" t="e">
        <f t="shared" ref="AB39:AC39" si="10">SUM(AB33:AB38)</f>
        <v>#N/A</v>
      </c>
      <c r="AC39" s="223" t="e">
        <f t="shared" si="10"/>
        <v>#N/A</v>
      </c>
      <c r="AJ39" s="218"/>
      <c r="AK39" s="223"/>
      <c r="AL39" s="223"/>
      <c r="AM39" s="223"/>
    </row>
    <row r="40" spans="1:39" x14ac:dyDescent="0.25">
      <c r="A40" s="3"/>
      <c r="B40" s="274"/>
      <c r="C40" s="3" t="s">
        <v>8</v>
      </c>
      <c r="D40" s="3" t="s">
        <v>99</v>
      </c>
      <c r="E40" s="19" t="e">
        <f>VLOOKUP($D40,Résultats!$B$2:$AX$476,E$5,FALSE)</f>
        <v>#N/A</v>
      </c>
      <c r="F40" s="19" t="e">
        <f>VLOOKUP($D40,Résultats!$B$2:$AX$476,F$5,FALSE)</f>
        <v>#N/A</v>
      </c>
      <c r="G40" s="28" t="e">
        <f>VLOOKUP($D40,Résultats!$B$2:$AX$476,G$5,FALSE)</f>
        <v>#N/A</v>
      </c>
      <c r="H40" s="19" t="e">
        <f>VLOOKUP($D40,Résultats!$B$2:$AX$476,H$5,FALSE)</f>
        <v>#N/A</v>
      </c>
      <c r="I40" s="111" t="e">
        <f>VLOOKUP($D40,Résultats!$B$2:$AX$476,I$5,FALSE)</f>
        <v>#N/A</v>
      </c>
      <c r="J40" s="28" t="e">
        <f>VLOOKUP($D40,Résultats!$B$2:$AX$476,J$5,FALSE)</f>
        <v>#N/A</v>
      </c>
      <c r="K40" s="19" t="e">
        <f>VLOOKUP($D40,Résultats!$B$2:$AX$476,K$5,FALSE)</f>
        <v>#N/A</v>
      </c>
      <c r="L40" s="19" t="e">
        <f>VLOOKUP($D40,Résultats!$B$2:$AX$476,L$5,FALSE)</f>
        <v>#N/A</v>
      </c>
      <c r="M40" s="19" t="e">
        <f>VLOOKUP($D40,Résultats!$B$2:$AX$476,M$5,FALSE)</f>
        <v>#N/A</v>
      </c>
      <c r="N40" s="111" t="e">
        <f>VLOOKUP($D40,Résultats!$B$2:$AX$476,N$5,FALSE)</f>
        <v>#N/A</v>
      </c>
      <c r="O40" s="28" t="e">
        <f>VLOOKUP($D40,Résultats!$B$2:$AX$476,O$5,FALSE)</f>
        <v>#N/A</v>
      </c>
      <c r="P40" s="19" t="e">
        <f>VLOOKUP($D40,Résultats!$B$2:$AX$476,P$5,FALSE)</f>
        <v>#N/A</v>
      </c>
      <c r="Q40" s="19" t="e">
        <f>VLOOKUP($D40,Résultats!$B$2:$AX$476,Q$5,FALSE)</f>
        <v>#N/A</v>
      </c>
      <c r="R40" s="19" t="e">
        <f>VLOOKUP($D40,Résultats!$B$2:$AX$476,R$5,FALSE)</f>
        <v>#N/A</v>
      </c>
      <c r="S40" s="111" t="e">
        <f>VLOOKUP($D40,Résultats!$B$2:$AX$476,S$5,FALSE)</f>
        <v>#N/A</v>
      </c>
      <c r="T40" s="120" t="e">
        <f>VLOOKUP($D40,Résultats!$B$2:$AX$476,T$5,FALSE)</f>
        <v>#N/A</v>
      </c>
      <c r="U40" s="120" t="e">
        <f>VLOOKUP($D40,Résultats!$B$2:$AX$476,U$5,FALSE)</f>
        <v>#N/A</v>
      </c>
      <c r="V40" s="120" t="e">
        <f>VLOOKUP($D40,Résultats!$B$2:$AX$476,V$5,FALSE)</f>
        <v>#N/A</v>
      </c>
      <c r="W40" s="120" t="e">
        <f>VLOOKUP($D40,Résultats!$B$2:$AX$476,W$5,FALSE)</f>
        <v>#N/A</v>
      </c>
      <c r="X40" s="3"/>
    </row>
    <row r="41" spans="1:39" x14ac:dyDescent="0.25">
      <c r="A41" s="3"/>
      <c r="B41" s="274"/>
      <c r="C41" s="3" t="s">
        <v>9</v>
      </c>
      <c r="D41" s="3" t="s">
        <v>100</v>
      </c>
      <c r="E41" s="19" t="e">
        <f>VLOOKUP($D41,Résultats!$B$2:$AX$476,E$5,FALSE)</f>
        <v>#N/A</v>
      </c>
      <c r="F41" s="19" t="e">
        <f>VLOOKUP($D41,Résultats!$B$2:$AX$476,F$5,FALSE)</f>
        <v>#N/A</v>
      </c>
      <c r="G41" s="28" t="e">
        <f>VLOOKUP($D41,Résultats!$B$2:$AX$476,G$5,FALSE)</f>
        <v>#N/A</v>
      </c>
      <c r="H41" s="19" t="e">
        <f>VLOOKUP($D41,Résultats!$B$2:$AX$476,H$5,FALSE)</f>
        <v>#N/A</v>
      </c>
      <c r="I41" s="111" t="e">
        <f>VLOOKUP($D41,Résultats!$B$2:$AX$476,I$5,FALSE)</f>
        <v>#N/A</v>
      </c>
      <c r="J41" s="28" t="e">
        <f>VLOOKUP($D41,Résultats!$B$2:$AX$476,J$5,FALSE)</f>
        <v>#N/A</v>
      </c>
      <c r="K41" s="19" t="e">
        <f>VLOOKUP($D41,Résultats!$B$2:$AX$476,K$5,FALSE)</f>
        <v>#N/A</v>
      </c>
      <c r="L41" s="19" t="e">
        <f>VLOOKUP($D41,Résultats!$B$2:$AX$476,L$5,FALSE)</f>
        <v>#N/A</v>
      </c>
      <c r="M41" s="19" t="e">
        <f>VLOOKUP($D41,Résultats!$B$2:$AX$476,M$5,FALSE)</f>
        <v>#N/A</v>
      </c>
      <c r="N41" s="111" t="e">
        <f>VLOOKUP($D41,Résultats!$B$2:$AX$476,N$5,FALSE)</f>
        <v>#N/A</v>
      </c>
      <c r="O41" s="28" t="e">
        <f>VLOOKUP($D41,Résultats!$B$2:$AX$476,O$5,FALSE)</f>
        <v>#N/A</v>
      </c>
      <c r="P41" s="19" t="e">
        <f>VLOOKUP($D41,Résultats!$B$2:$AX$476,P$5,FALSE)</f>
        <v>#N/A</v>
      </c>
      <c r="Q41" s="19" t="e">
        <f>VLOOKUP($D41,Résultats!$B$2:$AX$476,Q$5,FALSE)</f>
        <v>#N/A</v>
      </c>
      <c r="R41" s="19" t="e">
        <f>VLOOKUP($D41,Résultats!$B$2:$AX$476,R$5,FALSE)</f>
        <v>#N/A</v>
      </c>
      <c r="S41" s="111" t="e">
        <f>VLOOKUP($D41,Résultats!$B$2:$AX$476,S$5,FALSE)</f>
        <v>#N/A</v>
      </c>
      <c r="T41" s="120" t="e">
        <f>VLOOKUP($D41,Résultats!$B$2:$AX$476,T$5,FALSE)</f>
        <v>#N/A</v>
      </c>
      <c r="U41" s="120" t="e">
        <f>VLOOKUP($D41,Résultats!$B$2:$AX$476,U$5,FALSE)</f>
        <v>#N/A</v>
      </c>
      <c r="V41" s="120" t="e">
        <f>VLOOKUP($D41,Résultats!$B$2:$AX$476,V$5,FALSE)</f>
        <v>#N/A</v>
      </c>
      <c r="W41" s="120" t="e">
        <f>VLOOKUP($D41,Résultats!$B$2:$AX$476,W$5,FALSE)</f>
        <v>#N/A</v>
      </c>
      <c r="X41" s="3"/>
    </row>
    <row r="42" spans="1:39" x14ac:dyDescent="0.25">
      <c r="A42" s="3"/>
      <c r="B42" s="274"/>
      <c r="C42" s="3" t="s">
        <v>10</v>
      </c>
      <c r="D42" s="3" t="s">
        <v>101</v>
      </c>
      <c r="E42" s="19" t="e">
        <f>VLOOKUP($D42,Résultats!$B$2:$AX$476,E$5,FALSE)</f>
        <v>#N/A</v>
      </c>
      <c r="F42" s="19" t="e">
        <f>VLOOKUP($D42,Résultats!$B$2:$AX$476,F$5,FALSE)</f>
        <v>#N/A</v>
      </c>
      <c r="G42" s="28" t="e">
        <f>VLOOKUP($D42,Résultats!$B$2:$AX$476,G$5,FALSE)</f>
        <v>#N/A</v>
      </c>
      <c r="H42" s="19" t="e">
        <f>VLOOKUP($D42,Résultats!$B$2:$AX$476,H$5,FALSE)</f>
        <v>#N/A</v>
      </c>
      <c r="I42" s="111" t="e">
        <f>VLOOKUP($D42,Résultats!$B$2:$AX$476,I$5,FALSE)</f>
        <v>#N/A</v>
      </c>
      <c r="J42" s="28" t="e">
        <f>VLOOKUP($D42,Résultats!$B$2:$AX$476,J$5,FALSE)</f>
        <v>#N/A</v>
      </c>
      <c r="K42" s="19" t="e">
        <f>VLOOKUP($D42,Résultats!$B$2:$AX$476,K$5,FALSE)</f>
        <v>#N/A</v>
      </c>
      <c r="L42" s="19" t="e">
        <f>VLOOKUP($D42,Résultats!$B$2:$AX$476,L$5,FALSE)</f>
        <v>#N/A</v>
      </c>
      <c r="M42" s="19" t="e">
        <f>VLOOKUP($D42,Résultats!$B$2:$AX$476,M$5,FALSE)</f>
        <v>#N/A</v>
      </c>
      <c r="N42" s="111" t="e">
        <f>VLOOKUP($D42,Résultats!$B$2:$AX$476,N$5,FALSE)</f>
        <v>#N/A</v>
      </c>
      <c r="O42" s="28" t="e">
        <f>VLOOKUP($D42,Résultats!$B$2:$AX$476,O$5,FALSE)</f>
        <v>#N/A</v>
      </c>
      <c r="P42" s="19" t="e">
        <f>VLOOKUP($D42,Résultats!$B$2:$AX$476,P$5,FALSE)</f>
        <v>#N/A</v>
      </c>
      <c r="Q42" s="19" t="e">
        <f>VLOOKUP($D42,Résultats!$B$2:$AX$476,Q$5,FALSE)</f>
        <v>#N/A</v>
      </c>
      <c r="R42" s="19" t="e">
        <f>VLOOKUP($D42,Résultats!$B$2:$AX$476,R$5,FALSE)</f>
        <v>#N/A</v>
      </c>
      <c r="S42" s="111" t="e">
        <f>VLOOKUP($D42,Résultats!$B$2:$AX$476,S$5,FALSE)</f>
        <v>#N/A</v>
      </c>
      <c r="T42" s="120" t="e">
        <f>VLOOKUP($D42,Résultats!$B$2:$AX$476,T$5,FALSE)</f>
        <v>#N/A</v>
      </c>
      <c r="U42" s="120" t="e">
        <f>VLOOKUP($D42,Résultats!$B$2:$AX$476,U$5,FALSE)</f>
        <v>#N/A</v>
      </c>
      <c r="V42" s="120" t="e">
        <f>VLOOKUP($D42,Résultats!$B$2:$AX$476,V$5,FALSE)</f>
        <v>#N/A</v>
      </c>
      <c r="W42" s="120" t="e">
        <f>VLOOKUP($D42,Résultats!$B$2:$AX$476,W$5,FALSE)</f>
        <v>#N/A</v>
      </c>
      <c r="X42" s="3"/>
    </row>
    <row r="43" spans="1:39" x14ac:dyDescent="0.25">
      <c r="A43" s="3"/>
      <c r="B43" s="274"/>
      <c r="C43" s="3" t="s">
        <v>11</v>
      </c>
      <c r="D43" s="3" t="s">
        <v>102</v>
      </c>
      <c r="E43" s="19" t="e">
        <f>VLOOKUP($D43,Résultats!$B$2:$AX$476,E$5,FALSE)</f>
        <v>#N/A</v>
      </c>
      <c r="F43" s="19" t="e">
        <f>VLOOKUP($D43,Résultats!$B$2:$AX$476,F$5,FALSE)</f>
        <v>#N/A</v>
      </c>
      <c r="G43" s="28" t="e">
        <f>VLOOKUP($D43,Résultats!$B$2:$AX$476,G$5,FALSE)</f>
        <v>#N/A</v>
      </c>
      <c r="H43" s="19" t="e">
        <f>VLOOKUP($D43,Résultats!$B$2:$AX$476,H$5,FALSE)</f>
        <v>#N/A</v>
      </c>
      <c r="I43" s="111" t="e">
        <f>VLOOKUP($D43,Résultats!$B$2:$AX$476,I$5,FALSE)</f>
        <v>#N/A</v>
      </c>
      <c r="J43" s="28" t="e">
        <f>VLOOKUP($D43,Résultats!$B$2:$AX$476,J$5,FALSE)</f>
        <v>#N/A</v>
      </c>
      <c r="K43" s="19" t="e">
        <f>VLOOKUP($D43,Résultats!$B$2:$AX$476,K$5,FALSE)</f>
        <v>#N/A</v>
      </c>
      <c r="L43" s="19" t="e">
        <f>VLOOKUP($D43,Résultats!$B$2:$AX$476,L$5,FALSE)</f>
        <v>#N/A</v>
      </c>
      <c r="M43" s="19" t="e">
        <f>VLOOKUP($D43,Résultats!$B$2:$AX$476,M$5,FALSE)</f>
        <v>#N/A</v>
      </c>
      <c r="N43" s="111" t="e">
        <f>VLOOKUP($D43,Résultats!$B$2:$AX$476,N$5,FALSE)</f>
        <v>#N/A</v>
      </c>
      <c r="O43" s="28" t="e">
        <f>VLOOKUP($D43,Résultats!$B$2:$AX$476,O$5,FALSE)</f>
        <v>#N/A</v>
      </c>
      <c r="P43" s="19" t="e">
        <f>VLOOKUP($D43,Résultats!$B$2:$AX$476,P$5,FALSE)</f>
        <v>#N/A</v>
      </c>
      <c r="Q43" s="19" t="e">
        <f>VLOOKUP($D43,Résultats!$B$2:$AX$476,Q$5,FALSE)</f>
        <v>#N/A</v>
      </c>
      <c r="R43" s="19" t="e">
        <f>VLOOKUP($D43,Résultats!$B$2:$AX$476,R$5,FALSE)</f>
        <v>#N/A</v>
      </c>
      <c r="S43" s="111" t="e">
        <f>VLOOKUP($D43,Résultats!$B$2:$AX$476,S$5,FALSE)</f>
        <v>#N/A</v>
      </c>
      <c r="T43" s="120" t="e">
        <f>VLOOKUP($D43,Résultats!$B$2:$AX$476,T$5,FALSE)</f>
        <v>#N/A</v>
      </c>
      <c r="U43" s="120" t="e">
        <f>VLOOKUP($D43,Résultats!$B$2:$AX$476,U$5,FALSE)</f>
        <v>#N/A</v>
      </c>
      <c r="V43" s="120" t="e">
        <f>VLOOKUP($D43,Résultats!$B$2:$AX$476,V$5,FALSE)</f>
        <v>#N/A</v>
      </c>
      <c r="W43" s="120" t="e">
        <f>VLOOKUP($D43,Résultats!$B$2:$AX$476,W$5,FALSE)</f>
        <v>#N/A</v>
      </c>
      <c r="X43" s="3"/>
    </row>
    <row r="44" spans="1:39" x14ac:dyDescent="0.25">
      <c r="A44" s="3"/>
      <c r="B44" s="275"/>
      <c r="C44" s="7" t="s">
        <v>12</v>
      </c>
      <c r="D44" s="3" t="s">
        <v>103</v>
      </c>
      <c r="E44" s="20" t="e">
        <f>VLOOKUP($D44,Résultats!$B$2:$AX$476,E$5,FALSE)</f>
        <v>#N/A</v>
      </c>
      <c r="F44" s="20" t="e">
        <f>VLOOKUP($D44,Résultats!$B$2:$AX$476,F$5,FALSE)</f>
        <v>#N/A</v>
      </c>
      <c r="G44" s="113" t="e">
        <f>VLOOKUP($D44,Résultats!$B$2:$AX$476,G$5,FALSE)</f>
        <v>#N/A</v>
      </c>
      <c r="H44" s="20" t="e">
        <f>VLOOKUP($D44,Résultats!$B$2:$AX$476,H$5,FALSE)</f>
        <v>#N/A</v>
      </c>
      <c r="I44" s="114" t="e">
        <f>VLOOKUP($D44,Résultats!$B$2:$AX$476,I$5,FALSE)</f>
        <v>#N/A</v>
      </c>
      <c r="J44" s="113" t="e">
        <f>VLOOKUP($D44,Résultats!$B$2:$AX$476,J$5,FALSE)</f>
        <v>#N/A</v>
      </c>
      <c r="K44" s="20" t="e">
        <f>VLOOKUP($D44,Résultats!$B$2:$AX$476,K$5,FALSE)</f>
        <v>#N/A</v>
      </c>
      <c r="L44" s="20" t="e">
        <f>VLOOKUP($D44,Résultats!$B$2:$AX$476,L$5,FALSE)</f>
        <v>#N/A</v>
      </c>
      <c r="M44" s="20" t="e">
        <f>VLOOKUP($D44,Résultats!$B$2:$AX$476,M$5,FALSE)</f>
        <v>#N/A</v>
      </c>
      <c r="N44" s="114" t="e">
        <f>VLOOKUP($D44,Résultats!$B$2:$AX$476,N$5,FALSE)</f>
        <v>#N/A</v>
      </c>
      <c r="O44" s="113" t="e">
        <f>VLOOKUP($D44,Résultats!$B$2:$AX$476,O$5,FALSE)</f>
        <v>#N/A</v>
      </c>
      <c r="P44" s="20" t="e">
        <f>VLOOKUP($D44,Résultats!$B$2:$AX$476,P$5,FALSE)</f>
        <v>#N/A</v>
      </c>
      <c r="Q44" s="20" t="e">
        <f>VLOOKUP($D44,Résultats!$B$2:$AX$476,Q$5,FALSE)</f>
        <v>#N/A</v>
      </c>
      <c r="R44" s="20" t="e">
        <f>VLOOKUP($D44,Résultats!$B$2:$AX$476,R$5,FALSE)</f>
        <v>#N/A</v>
      </c>
      <c r="S44" s="114" t="e">
        <f>VLOOKUP($D44,Résultats!$B$2:$AX$476,S$5,FALSE)</f>
        <v>#N/A</v>
      </c>
      <c r="T44" s="122" t="e">
        <f>VLOOKUP($D44,Résultats!$B$2:$AX$476,T$5,FALSE)</f>
        <v>#N/A</v>
      </c>
      <c r="U44" s="122" t="e">
        <f>VLOOKUP($D44,Résultats!$B$2:$AX$476,U$5,FALSE)</f>
        <v>#N/A</v>
      </c>
      <c r="V44" s="122" t="e">
        <f>VLOOKUP($D44,Résultats!$B$2:$AX$476,V$5,FALSE)</f>
        <v>#N/A</v>
      </c>
      <c r="W44" s="122" t="e">
        <f>VLOOKUP($D44,Résultats!$B$2:$AX$476,W$5,FALSE)</f>
        <v>#N/A</v>
      </c>
      <c r="X44" s="3"/>
    </row>
    <row r="45" spans="1:39" x14ac:dyDescent="0.25">
      <c r="A45" s="3"/>
      <c r="B45" s="273" t="s">
        <v>135</v>
      </c>
      <c r="C45" s="5" t="s">
        <v>1</v>
      </c>
      <c r="D45" s="2" t="s">
        <v>91</v>
      </c>
      <c r="E45" s="6" t="e">
        <f>SUM(E46:E51)</f>
        <v>#N/A</v>
      </c>
      <c r="F45" s="6" t="e">
        <f>SUM(F46:F51)</f>
        <v>#N/A</v>
      </c>
      <c r="G45" s="109" t="e">
        <f t="shared" ref="G45:R45" si="11">SUM(G46:G51)</f>
        <v>#N/A</v>
      </c>
      <c r="H45" s="6" t="e">
        <f t="shared" si="11"/>
        <v>#N/A</v>
      </c>
      <c r="I45" s="110" t="e">
        <f t="shared" si="11"/>
        <v>#N/A</v>
      </c>
      <c r="J45" s="109" t="e">
        <f t="shared" si="11"/>
        <v>#N/A</v>
      </c>
      <c r="K45" s="6" t="e">
        <f t="shared" si="11"/>
        <v>#N/A</v>
      </c>
      <c r="L45" s="6" t="e">
        <f t="shared" si="11"/>
        <v>#N/A</v>
      </c>
      <c r="M45" s="6" t="e">
        <f t="shared" si="11"/>
        <v>#N/A</v>
      </c>
      <c r="N45" s="110" t="e">
        <f t="shared" si="11"/>
        <v>#N/A</v>
      </c>
      <c r="O45" s="109" t="e">
        <f t="shared" si="11"/>
        <v>#N/A</v>
      </c>
      <c r="P45" s="6" t="e">
        <f t="shared" si="11"/>
        <v>#N/A</v>
      </c>
      <c r="Q45" s="6" t="e">
        <f t="shared" si="11"/>
        <v>#N/A</v>
      </c>
      <c r="R45" s="6" t="e">
        <f t="shared" si="11"/>
        <v>#N/A</v>
      </c>
      <c r="S45" s="110" t="e">
        <f>SUM(S46:S51)</f>
        <v>#N/A</v>
      </c>
      <c r="T45" s="119" t="e">
        <f>SUM(T46:T51)</f>
        <v>#N/A</v>
      </c>
      <c r="U45" s="119" t="e">
        <f>SUM(U46:U51)</f>
        <v>#N/A</v>
      </c>
      <c r="V45" s="119" t="e">
        <f>SUM(V46:V51)</f>
        <v>#N/A</v>
      </c>
      <c r="W45" s="119" t="e">
        <f>SUM(W46:W51)</f>
        <v>#N/A</v>
      </c>
      <c r="X45" s="3"/>
    </row>
    <row r="46" spans="1:39" x14ac:dyDescent="0.25">
      <c r="A46" s="3"/>
      <c r="B46" s="274"/>
      <c r="C46" s="3" t="s">
        <v>13</v>
      </c>
      <c r="D46" s="3" t="s">
        <v>106</v>
      </c>
      <c r="E46" s="19" t="e">
        <f>VLOOKUP($D46,Résultats!$B$2:$AX$476,E$5,FALSE)</f>
        <v>#N/A</v>
      </c>
      <c r="F46" s="19" t="e">
        <f>VLOOKUP($D46,Résultats!$B$2:$AX$476,F$5,FALSE)</f>
        <v>#N/A</v>
      </c>
      <c r="G46" s="28" t="e">
        <f>VLOOKUP($D46,Résultats!$B$2:$AX$476,G$5,FALSE)</f>
        <v>#N/A</v>
      </c>
      <c r="H46" s="19" t="e">
        <f>VLOOKUP($D46,Résultats!$B$2:$AX$476,H$5,FALSE)</f>
        <v>#N/A</v>
      </c>
      <c r="I46" s="111" t="e">
        <f>VLOOKUP($D46,Résultats!$B$2:$AX$476,I$5,FALSE)</f>
        <v>#N/A</v>
      </c>
      <c r="J46" s="28" t="e">
        <f>VLOOKUP($D46,Résultats!$B$2:$AX$476,J$5,FALSE)</f>
        <v>#N/A</v>
      </c>
      <c r="K46" s="19" t="e">
        <f>VLOOKUP($D46,Résultats!$B$2:$AX$476,K$5,FALSE)</f>
        <v>#N/A</v>
      </c>
      <c r="L46" s="19" t="e">
        <f>VLOOKUP($D46,Résultats!$B$2:$AX$476,L$5,FALSE)</f>
        <v>#N/A</v>
      </c>
      <c r="M46" s="19" t="e">
        <f>VLOOKUP($D46,Résultats!$B$2:$AX$476,M$5,FALSE)</f>
        <v>#N/A</v>
      </c>
      <c r="N46" s="111" t="e">
        <f>VLOOKUP($D46,Résultats!$B$2:$AX$476,N$5,FALSE)</f>
        <v>#N/A</v>
      </c>
      <c r="O46" s="28" t="e">
        <f>VLOOKUP($D46,Résultats!$B$2:$AX$476,O$5,FALSE)</f>
        <v>#N/A</v>
      </c>
      <c r="P46" s="19" t="e">
        <f>VLOOKUP($D46,Résultats!$B$2:$AX$476,P$5,FALSE)</f>
        <v>#N/A</v>
      </c>
      <c r="Q46" s="19" t="e">
        <f>VLOOKUP($D46,Résultats!$B$2:$AX$476,Q$5,FALSE)</f>
        <v>#N/A</v>
      </c>
      <c r="R46" s="19" t="e">
        <f>VLOOKUP($D46,Résultats!$B$2:$AX$476,R$5,FALSE)</f>
        <v>#N/A</v>
      </c>
      <c r="S46" s="111" t="e">
        <f>VLOOKUP($D46,Résultats!$B$2:$AX$476,S$5,FALSE)</f>
        <v>#N/A</v>
      </c>
      <c r="T46" s="120" t="e">
        <f>VLOOKUP($D46,Résultats!$B$2:$AX$476,T$5,FALSE)</f>
        <v>#N/A</v>
      </c>
      <c r="U46" s="120" t="e">
        <f>VLOOKUP($D46,Résultats!$B$2:$AX$476,U$5,FALSE)</f>
        <v>#N/A</v>
      </c>
      <c r="V46" s="120" t="e">
        <f>VLOOKUP($D46,Résultats!$B$2:$AX$476,V$5,FALSE)</f>
        <v>#N/A</v>
      </c>
      <c r="W46" s="120" t="e">
        <f>VLOOKUP($D46,Résultats!$B$2:$AX$476,W$5,FALSE)</f>
        <v>#N/A</v>
      </c>
      <c r="X46" s="3"/>
    </row>
    <row r="47" spans="1:39" x14ac:dyDescent="0.25">
      <c r="A47" s="3"/>
      <c r="B47" s="274"/>
      <c r="C47" s="3" t="s">
        <v>14</v>
      </c>
      <c r="D47" s="3" t="s">
        <v>107</v>
      </c>
      <c r="E47" s="19" t="e">
        <f>VLOOKUP($D47,Résultats!$B$2:$AX$476,E$5,FALSE)</f>
        <v>#N/A</v>
      </c>
      <c r="F47" s="19" t="e">
        <f>VLOOKUP($D47,Résultats!$B$2:$AX$476,F$5,FALSE)</f>
        <v>#N/A</v>
      </c>
      <c r="G47" s="28" t="e">
        <f>VLOOKUP($D47,Résultats!$B$2:$AX$476,G$5,FALSE)</f>
        <v>#N/A</v>
      </c>
      <c r="H47" s="19" t="e">
        <f>VLOOKUP($D47,Résultats!$B$2:$AX$476,H$5,FALSE)</f>
        <v>#N/A</v>
      </c>
      <c r="I47" s="111" t="e">
        <f>VLOOKUP($D47,Résultats!$B$2:$AX$476,I$5,FALSE)</f>
        <v>#N/A</v>
      </c>
      <c r="J47" s="28" t="e">
        <f>VLOOKUP($D47,Résultats!$B$2:$AX$476,J$5,FALSE)</f>
        <v>#N/A</v>
      </c>
      <c r="K47" s="19" t="e">
        <f>VLOOKUP($D47,Résultats!$B$2:$AX$476,K$5,FALSE)</f>
        <v>#N/A</v>
      </c>
      <c r="L47" s="19" t="e">
        <f>VLOOKUP($D47,Résultats!$B$2:$AX$476,L$5,FALSE)</f>
        <v>#N/A</v>
      </c>
      <c r="M47" s="19" t="e">
        <f>VLOOKUP($D47,Résultats!$B$2:$AX$476,M$5,FALSE)</f>
        <v>#N/A</v>
      </c>
      <c r="N47" s="111" t="e">
        <f>VLOOKUP($D47,Résultats!$B$2:$AX$476,N$5,FALSE)</f>
        <v>#N/A</v>
      </c>
      <c r="O47" s="28" t="e">
        <f>VLOOKUP($D47,Résultats!$B$2:$AX$476,O$5,FALSE)</f>
        <v>#N/A</v>
      </c>
      <c r="P47" s="19" t="e">
        <f>VLOOKUP($D47,Résultats!$B$2:$AX$476,P$5,FALSE)</f>
        <v>#N/A</v>
      </c>
      <c r="Q47" s="19" t="e">
        <f>VLOOKUP($D47,Résultats!$B$2:$AX$476,Q$5,FALSE)</f>
        <v>#N/A</v>
      </c>
      <c r="R47" s="19" t="e">
        <f>VLOOKUP($D47,Résultats!$B$2:$AX$476,R$5,FALSE)</f>
        <v>#N/A</v>
      </c>
      <c r="S47" s="111" t="e">
        <f>VLOOKUP($D47,Résultats!$B$2:$AX$476,S$5,FALSE)</f>
        <v>#N/A</v>
      </c>
      <c r="T47" s="120" t="e">
        <f>VLOOKUP($D47,Résultats!$B$2:$AX$476,T$5,FALSE)</f>
        <v>#N/A</v>
      </c>
      <c r="U47" s="120" t="e">
        <f>VLOOKUP($D47,Résultats!$B$2:$AX$476,U$5,FALSE)</f>
        <v>#N/A</v>
      </c>
      <c r="V47" s="120" t="e">
        <f>VLOOKUP($D47,Résultats!$B$2:$AX$476,V$5,FALSE)</f>
        <v>#N/A</v>
      </c>
      <c r="W47" s="120" t="e">
        <f>VLOOKUP($D47,Résultats!$B$2:$AX$476,W$5,FALSE)</f>
        <v>#N/A</v>
      </c>
      <c r="X47" s="3"/>
    </row>
    <row r="48" spans="1:39" x14ac:dyDescent="0.25">
      <c r="A48" s="3"/>
      <c r="B48" s="274"/>
      <c r="C48" s="3" t="s">
        <v>15</v>
      </c>
      <c r="D48" s="3" t="s">
        <v>108</v>
      </c>
      <c r="E48" s="19" t="e">
        <f>VLOOKUP($D48,Résultats!$B$2:$AX$476,E$5,FALSE)</f>
        <v>#N/A</v>
      </c>
      <c r="F48" s="19" t="e">
        <f>VLOOKUP($D48,Résultats!$B$2:$AX$476,F$5,FALSE)</f>
        <v>#N/A</v>
      </c>
      <c r="G48" s="28" t="e">
        <f>VLOOKUP($D48,Résultats!$B$2:$AX$476,G$5,FALSE)</f>
        <v>#N/A</v>
      </c>
      <c r="H48" s="19" t="e">
        <f>VLOOKUP($D48,Résultats!$B$2:$AX$476,H$5,FALSE)</f>
        <v>#N/A</v>
      </c>
      <c r="I48" s="111" t="e">
        <f>VLOOKUP($D48,Résultats!$B$2:$AX$476,I$5,FALSE)</f>
        <v>#N/A</v>
      </c>
      <c r="J48" s="28" t="e">
        <f>VLOOKUP($D48,Résultats!$B$2:$AX$476,J$5,FALSE)</f>
        <v>#N/A</v>
      </c>
      <c r="K48" s="19" t="e">
        <f>VLOOKUP($D48,Résultats!$B$2:$AX$476,K$5,FALSE)</f>
        <v>#N/A</v>
      </c>
      <c r="L48" s="19" t="e">
        <f>VLOOKUP($D48,Résultats!$B$2:$AX$476,L$5,FALSE)</f>
        <v>#N/A</v>
      </c>
      <c r="M48" s="19" t="e">
        <f>VLOOKUP($D48,Résultats!$B$2:$AX$476,M$5,FALSE)</f>
        <v>#N/A</v>
      </c>
      <c r="N48" s="111" t="e">
        <f>VLOOKUP($D48,Résultats!$B$2:$AX$476,N$5,FALSE)</f>
        <v>#N/A</v>
      </c>
      <c r="O48" s="28" t="e">
        <f>VLOOKUP($D48,Résultats!$B$2:$AX$476,O$5,FALSE)</f>
        <v>#N/A</v>
      </c>
      <c r="P48" s="19" t="e">
        <f>VLOOKUP($D48,Résultats!$B$2:$AX$476,P$5,FALSE)</f>
        <v>#N/A</v>
      </c>
      <c r="Q48" s="19" t="e">
        <f>VLOOKUP($D48,Résultats!$B$2:$AX$476,Q$5,FALSE)</f>
        <v>#N/A</v>
      </c>
      <c r="R48" s="19" t="e">
        <f>VLOOKUP($D48,Résultats!$B$2:$AX$476,R$5,FALSE)</f>
        <v>#N/A</v>
      </c>
      <c r="S48" s="111" t="e">
        <f>VLOOKUP($D48,Résultats!$B$2:$AX$476,S$5,FALSE)</f>
        <v>#N/A</v>
      </c>
      <c r="T48" s="120" t="e">
        <f>VLOOKUP($D48,Résultats!$B$2:$AX$476,T$5,FALSE)</f>
        <v>#N/A</v>
      </c>
      <c r="U48" s="120" t="e">
        <f>VLOOKUP($D48,Résultats!$B$2:$AX$476,U$5,FALSE)</f>
        <v>#N/A</v>
      </c>
      <c r="V48" s="120" t="e">
        <f>VLOOKUP($D48,Résultats!$B$2:$AX$476,V$5,FALSE)</f>
        <v>#N/A</v>
      </c>
      <c r="W48" s="120" t="e">
        <f>VLOOKUP($D48,Résultats!$B$2:$AX$476,W$5,FALSE)</f>
        <v>#N/A</v>
      </c>
      <c r="X48" s="3"/>
    </row>
    <row r="49" spans="1:24" x14ac:dyDescent="0.25">
      <c r="A49" s="3"/>
      <c r="B49" s="274"/>
      <c r="C49" s="3" t="s">
        <v>16</v>
      </c>
      <c r="D49" s="3" t="s">
        <v>109</v>
      </c>
      <c r="E49" s="19" t="e">
        <f>VLOOKUP($D49,Résultats!$B$2:$AX$476,E$5,FALSE)</f>
        <v>#N/A</v>
      </c>
      <c r="F49" s="19" t="e">
        <f>VLOOKUP($D49,Résultats!$B$2:$AX$476,F$5,FALSE)</f>
        <v>#N/A</v>
      </c>
      <c r="G49" s="28" t="e">
        <f>VLOOKUP($D49,Résultats!$B$2:$AX$476,G$5,FALSE)</f>
        <v>#N/A</v>
      </c>
      <c r="H49" s="19" t="e">
        <f>VLOOKUP($D49,Résultats!$B$2:$AX$476,H$5,FALSE)</f>
        <v>#N/A</v>
      </c>
      <c r="I49" s="111" t="e">
        <f>VLOOKUP($D49,Résultats!$B$2:$AX$476,I$5,FALSE)</f>
        <v>#N/A</v>
      </c>
      <c r="J49" s="28" t="e">
        <f>VLOOKUP($D49,Résultats!$B$2:$AX$476,J$5,FALSE)</f>
        <v>#N/A</v>
      </c>
      <c r="K49" s="19" t="e">
        <f>VLOOKUP($D49,Résultats!$B$2:$AX$476,K$5,FALSE)</f>
        <v>#N/A</v>
      </c>
      <c r="L49" s="19" t="e">
        <f>VLOOKUP($D49,Résultats!$B$2:$AX$476,L$5,FALSE)</f>
        <v>#N/A</v>
      </c>
      <c r="M49" s="19" t="e">
        <f>VLOOKUP($D49,Résultats!$B$2:$AX$476,M$5,FALSE)</f>
        <v>#N/A</v>
      </c>
      <c r="N49" s="111" t="e">
        <f>VLOOKUP($D49,Résultats!$B$2:$AX$476,N$5,FALSE)</f>
        <v>#N/A</v>
      </c>
      <c r="O49" s="28" t="e">
        <f>VLOOKUP($D49,Résultats!$B$2:$AX$476,O$5,FALSE)</f>
        <v>#N/A</v>
      </c>
      <c r="P49" s="19" t="e">
        <f>VLOOKUP($D49,Résultats!$B$2:$AX$476,P$5,FALSE)</f>
        <v>#N/A</v>
      </c>
      <c r="Q49" s="19" t="e">
        <f>VLOOKUP($D49,Résultats!$B$2:$AX$476,Q$5,FALSE)</f>
        <v>#N/A</v>
      </c>
      <c r="R49" s="19" t="e">
        <f>VLOOKUP($D49,Résultats!$B$2:$AX$476,R$5,FALSE)</f>
        <v>#N/A</v>
      </c>
      <c r="S49" s="111" t="e">
        <f>VLOOKUP($D49,Résultats!$B$2:$AX$476,S$5,FALSE)</f>
        <v>#N/A</v>
      </c>
      <c r="T49" s="120" t="e">
        <f>VLOOKUP($D49,Résultats!$B$2:$AX$476,T$5,FALSE)</f>
        <v>#N/A</v>
      </c>
      <c r="U49" s="120" t="e">
        <f>VLOOKUP($D49,Résultats!$B$2:$AX$476,U$5,FALSE)</f>
        <v>#N/A</v>
      </c>
      <c r="V49" s="120" t="e">
        <f>VLOOKUP($D49,Résultats!$B$2:$AX$476,V$5,FALSE)</f>
        <v>#N/A</v>
      </c>
      <c r="W49" s="120" t="e">
        <f>VLOOKUP($D49,Résultats!$B$2:$AX$476,W$5,FALSE)</f>
        <v>#N/A</v>
      </c>
      <c r="X49" s="3"/>
    </row>
    <row r="50" spans="1:24" x14ac:dyDescent="0.25">
      <c r="A50" s="3"/>
      <c r="B50" s="274"/>
      <c r="C50" s="3" t="s">
        <v>17</v>
      </c>
      <c r="D50" s="3" t="s">
        <v>110</v>
      </c>
      <c r="E50" s="19" t="e">
        <f>VLOOKUP($D50,Résultats!$B$2:$AX$476,E$5,FALSE)</f>
        <v>#N/A</v>
      </c>
      <c r="F50" s="19" t="e">
        <f>VLOOKUP($D50,Résultats!$B$2:$AX$476,F$5,FALSE)</f>
        <v>#N/A</v>
      </c>
      <c r="G50" s="28" t="e">
        <f>VLOOKUP($D50,Résultats!$B$2:$AX$476,G$5,FALSE)</f>
        <v>#N/A</v>
      </c>
      <c r="H50" s="19" t="e">
        <f>VLOOKUP($D50,Résultats!$B$2:$AX$476,H$5,FALSE)</f>
        <v>#N/A</v>
      </c>
      <c r="I50" s="111" t="e">
        <f>VLOOKUP($D50,Résultats!$B$2:$AX$476,I$5,FALSE)</f>
        <v>#N/A</v>
      </c>
      <c r="J50" s="28" t="e">
        <f>VLOOKUP($D50,Résultats!$B$2:$AX$476,J$5,FALSE)</f>
        <v>#N/A</v>
      </c>
      <c r="K50" s="19" t="e">
        <f>VLOOKUP($D50,Résultats!$B$2:$AX$476,K$5,FALSE)</f>
        <v>#N/A</v>
      </c>
      <c r="L50" s="19" t="e">
        <f>VLOOKUP($D50,Résultats!$B$2:$AX$476,L$5,FALSE)</f>
        <v>#N/A</v>
      </c>
      <c r="M50" s="19" t="e">
        <f>VLOOKUP($D50,Résultats!$B$2:$AX$476,M$5,FALSE)</f>
        <v>#N/A</v>
      </c>
      <c r="N50" s="111" t="e">
        <f>VLOOKUP($D50,Résultats!$B$2:$AX$476,N$5,FALSE)</f>
        <v>#N/A</v>
      </c>
      <c r="O50" s="28" t="e">
        <f>VLOOKUP($D50,Résultats!$B$2:$AX$476,O$5,FALSE)</f>
        <v>#N/A</v>
      </c>
      <c r="P50" s="19" t="e">
        <f>VLOOKUP($D50,Résultats!$B$2:$AX$476,P$5,FALSE)</f>
        <v>#N/A</v>
      </c>
      <c r="Q50" s="19" t="e">
        <f>VLOOKUP($D50,Résultats!$B$2:$AX$476,Q$5,FALSE)</f>
        <v>#N/A</v>
      </c>
      <c r="R50" s="19" t="e">
        <f>VLOOKUP($D50,Résultats!$B$2:$AX$476,R$5,FALSE)</f>
        <v>#N/A</v>
      </c>
      <c r="S50" s="111" t="e">
        <f>VLOOKUP($D50,Résultats!$B$2:$AX$476,S$5,FALSE)</f>
        <v>#N/A</v>
      </c>
      <c r="T50" s="120" t="e">
        <f>VLOOKUP($D50,Résultats!$B$2:$AX$476,T$5,FALSE)</f>
        <v>#N/A</v>
      </c>
      <c r="U50" s="120" t="e">
        <f>VLOOKUP($D50,Résultats!$B$2:$AX$476,U$5,FALSE)</f>
        <v>#N/A</v>
      </c>
      <c r="V50" s="120" t="e">
        <f>VLOOKUP($D50,Résultats!$B$2:$AX$476,V$5,FALSE)</f>
        <v>#N/A</v>
      </c>
      <c r="W50" s="120" t="e">
        <f>VLOOKUP($D50,Résultats!$B$2:$AX$476,W$5,FALSE)</f>
        <v>#N/A</v>
      </c>
      <c r="X50" s="3"/>
    </row>
    <row r="51" spans="1:24" x14ac:dyDescent="0.25">
      <c r="A51" s="3"/>
      <c r="B51" s="275"/>
      <c r="C51" s="7" t="s">
        <v>12</v>
      </c>
      <c r="D51" s="3" t="s">
        <v>111</v>
      </c>
      <c r="E51" s="20" t="e">
        <f>VLOOKUP($D51,Résultats!$B$2:$AX$476,E$5,FALSE)</f>
        <v>#N/A</v>
      </c>
      <c r="F51" s="20" t="e">
        <f>VLOOKUP($D51,Résultats!$B$2:$AX$476,F$5,FALSE)</f>
        <v>#N/A</v>
      </c>
      <c r="G51" s="113" t="e">
        <f>VLOOKUP($D51,Résultats!$B$2:$AX$476,G$5,FALSE)</f>
        <v>#N/A</v>
      </c>
      <c r="H51" s="20" t="e">
        <f>VLOOKUP($D51,Résultats!$B$2:$AX$476,H$5,FALSE)</f>
        <v>#N/A</v>
      </c>
      <c r="I51" s="114" t="e">
        <f>VLOOKUP($D51,Résultats!$B$2:$AX$476,I$5,FALSE)</f>
        <v>#N/A</v>
      </c>
      <c r="J51" s="113" t="e">
        <f>VLOOKUP($D51,Résultats!$B$2:$AX$476,J$5,FALSE)</f>
        <v>#N/A</v>
      </c>
      <c r="K51" s="20" t="e">
        <f>VLOOKUP($D51,Résultats!$B$2:$AX$476,K$5,FALSE)</f>
        <v>#N/A</v>
      </c>
      <c r="L51" s="20" t="e">
        <f>VLOOKUP($D51,Résultats!$B$2:$AX$476,L$5,FALSE)</f>
        <v>#N/A</v>
      </c>
      <c r="M51" s="20" t="e">
        <f>VLOOKUP($D51,Résultats!$B$2:$AX$476,M$5,FALSE)</f>
        <v>#N/A</v>
      </c>
      <c r="N51" s="114" t="e">
        <f>VLOOKUP($D51,Résultats!$B$2:$AX$476,N$5,FALSE)</f>
        <v>#N/A</v>
      </c>
      <c r="O51" s="113" t="e">
        <f>VLOOKUP($D51,Résultats!$B$2:$AX$476,O$5,FALSE)</f>
        <v>#N/A</v>
      </c>
      <c r="P51" s="20" t="e">
        <f>VLOOKUP($D51,Résultats!$B$2:$AX$476,P$5,FALSE)</f>
        <v>#N/A</v>
      </c>
      <c r="Q51" s="20" t="e">
        <f>VLOOKUP($D51,Résultats!$B$2:$AX$476,Q$5,FALSE)</f>
        <v>#N/A</v>
      </c>
      <c r="R51" s="20" t="e">
        <f>VLOOKUP($D51,Résultats!$B$2:$AX$476,R$5,FALSE)</f>
        <v>#N/A</v>
      </c>
      <c r="S51" s="114" t="e">
        <f>VLOOKUP($D51,Résultats!$B$2:$AX$476,S$5,FALSE)</f>
        <v>#N/A</v>
      </c>
      <c r="T51" s="122" t="e">
        <f>VLOOKUP($D51,Résultats!$B$2:$AX$476,T$5,FALSE)</f>
        <v>#N/A</v>
      </c>
      <c r="U51" s="122" t="e">
        <f>VLOOKUP($D51,Résultats!$B$2:$AX$476,U$5,FALSE)</f>
        <v>#N/A</v>
      </c>
      <c r="V51" s="122" t="e">
        <f>VLOOKUP($D51,Résultats!$B$2:$AX$476,V$5,FALSE)</f>
        <v>#N/A</v>
      </c>
      <c r="W51" s="122" t="e">
        <f>VLOOKUP($D51,Résultats!$B$2:$AX$476,W$5,FALSE)</f>
        <v>#N/A</v>
      </c>
      <c r="X51" s="3"/>
    </row>
    <row r="52" spans="1:24" x14ac:dyDescent="0.25">
      <c r="A52" s="3"/>
      <c r="B52" s="206" t="s">
        <v>8</v>
      </c>
      <c r="C52" s="2"/>
      <c r="D52" s="17" t="s">
        <v>92</v>
      </c>
      <c r="E52" s="6" t="e">
        <f>VLOOKUP($D52,Résultats!$B$2:$AX$476,E$5,FALSE)</f>
        <v>#N/A</v>
      </c>
      <c r="F52" s="6" t="e">
        <f>VLOOKUP($D52,Résultats!$B$2:$AX$476,F$5,FALSE)</f>
        <v>#N/A</v>
      </c>
      <c r="G52" s="109" t="e">
        <f>VLOOKUP($D52,Résultats!$B$2:$AX$476,G$5,FALSE)</f>
        <v>#N/A</v>
      </c>
      <c r="H52" s="6" t="e">
        <f>VLOOKUP($D52,Résultats!$B$2:$AX$476,H$5,FALSE)</f>
        <v>#N/A</v>
      </c>
      <c r="I52" s="110" t="e">
        <f>VLOOKUP($D52,Résultats!$B$2:$AX$476,I$5,FALSE)</f>
        <v>#N/A</v>
      </c>
      <c r="J52" s="109" t="e">
        <f>VLOOKUP($D52,Résultats!$B$2:$AX$476,J$5,FALSE)</f>
        <v>#N/A</v>
      </c>
      <c r="K52" s="6" t="e">
        <f>VLOOKUP($D52,Résultats!$B$2:$AX$476,K$5,FALSE)</f>
        <v>#N/A</v>
      </c>
      <c r="L52" s="6" t="e">
        <f>VLOOKUP($D52,Résultats!$B$2:$AX$476,L$5,FALSE)</f>
        <v>#N/A</v>
      </c>
      <c r="M52" s="6" t="e">
        <f>VLOOKUP($D52,Résultats!$B$2:$AX$476,M$5,FALSE)</f>
        <v>#N/A</v>
      </c>
      <c r="N52" s="110" t="e">
        <f>VLOOKUP($D52,Résultats!$B$2:$AX$476,N$5,FALSE)</f>
        <v>#N/A</v>
      </c>
      <c r="O52" s="109" t="e">
        <f>VLOOKUP($D52,Résultats!$B$2:$AX$476,O$5,FALSE)</f>
        <v>#N/A</v>
      </c>
      <c r="P52" s="6" t="e">
        <f>VLOOKUP($D52,Résultats!$B$2:$AX$476,P$5,FALSE)</f>
        <v>#N/A</v>
      </c>
      <c r="Q52" s="6" t="e">
        <f>VLOOKUP($D52,Résultats!$B$2:$AX$476,Q$5,FALSE)</f>
        <v>#N/A</v>
      </c>
      <c r="R52" s="6" t="e">
        <f>VLOOKUP($D52,Résultats!$B$2:$AX$476,R$5,FALSE)</f>
        <v>#N/A</v>
      </c>
      <c r="S52" s="110" t="e">
        <f>VLOOKUP($D52,Résultats!$B$2:$AX$476,S$5,FALSE)</f>
        <v>#N/A</v>
      </c>
      <c r="T52" s="119" t="e">
        <f>VLOOKUP($D52,Résultats!$B$2:$AX$476,T$5,FALSE)</f>
        <v>#N/A</v>
      </c>
      <c r="U52" s="119" t="e">
        <f>VLOOKUP($D52,Résultats!$B$2:$AX$476,U$5,FALSE)</f>
        <v>#N/A</v>
      </c>
      <c r="V52" s="119" t="e">
        <f>VLOOKUP($D52,Résultats!$B$2:$AX$476,V$5,FALSE)</f>
        <v>#N/A</v>
      </c>
      <c r="W52" s="119" t="e">
        <f>VLOOKUP($D52,Résultats!$B$2:$AX$476,W$5,FALSE)</f>
        <v>#N/A</v>
      </c>
      <c r="X52" s="3"/>
    </row>
    <row r="53" spans="1:24" x14ac:dyDescent="0.25">
      <c r="A53" s="3"/>
      <c r="B53" s="205" t="s">
        <v>1</v>
      </c>
      <c r="C53" s="2"/>
      <c r="D53" s="2" t="s">
        <v>93</v>
      </c>
      <c r="E53" s="9" t="e">
        <f>E52+E45+E36+E33</f>
        <v>#N/A</v>
      </c>
      <c r="F53" s="9" t="e">
        <f>F52+F45+F36+F33</f>
        <v>#N/A</v>
      </c>
      <c r="G53" s="29" t="e">
        <f t="shared" ref="G53:R53" si="12">G52+G45+G36+G33</f>
        <v>#N/A</v>
      </c>
      <c r="H53" s="9" t="e">
        <f t="shared" si="12"/>
        <v>#N/A</v>
      </c>
      <c r="I53" s="115" t="e">
        <f t="shared" si="12"/>
        <v>#N/A</v>
      </c>
      <c r="J53" s="29" t="e">
        <f t="shared" si="12"/>
        <v>#N/A</v>
      </c>
      <c r="K53" s="9" t="e">
        <f t="shared" si="12"/>
        <v>#N/A</v>
      </c>
      <c r="L53" s="9" t="e">
        <f t="shared" si="12"/>
        <v>#N/A</v>
      </c>
      <c r="M53" s="9" t="e">
        <f t="shared" si="12"/>
        <v>#N/A</v>
      </c>
      <c r="N53" s="115" t="e">
        <f t="shared" si="12"/>
        <v>#N/A</v>
      </c>
      <c r="O53" s="29" t="e">
        <f t="shared" si="12"/>
        <v>#N/A</v>
      </c>
      <c r="P53" s="9" t="e">
        <f t="shared" si="12"/>
        <v>#N/A</v>
      </c>
      <c r="Q53" s="9" t="e">
        <f t="shared" si="12"/>
        <v>#N/A</v>
      </c>
      <c r="R53" s="9" t="e">
        <f t="shared" si="12"/>
        <v>#N/A</v>
      </c>
      <c r="S53" s="115" t="e">
        <f>S52+S45+S36+S33</f>
        <v>#N/A</v>
      </c>
      <c r="T53" s="123" t="e">
        <f>T52+T45+T36+T33</f>
        <v>#N/A</v>
      </c>
      <c r="U53" s="123" t="e">
        <f>U52+U45+U36+U33</f>
        <v>#N/A</v>
      </c>
      <c r="V53" s="123" t="e">
        <f>V52+V45+V36+V33</f>
        <v>#N/A</v>
      </c>
      <c r="W53" s="123" t="e">
        <f>W52+W45+W36+W33</f>
        <v>#N/A</v>
      </c>
      <c r="X53" s="3"/>
    </row>
    <row r="54" spans="1:24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AG371"/>
  <sheetViews>
    <sheetView tabSelected="1" topLeftCell="A85" zoomScale="77" zoomScaleNormal="77" workbookViewId="0">
      <selection activeCell="K15" sqref="K15"/>
    </sheetView>
  </sheetViews>
  <sheetFormatPr baseColWidth="10" defaultRowHeight="15" x14ac:dyDescent="0.25"/>
  <cols>
    <col min="1" max="1" width="11.42578125" style="3"/>
    <col min="2" max="2" width="11.42578125" style="3" customWidth="1"/>
    <col min="3" max="3" width="24.85546875" customWidth="1"/>
    <col min="4" max="4" width="15.710937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1" width="11.42578125" customWidth="1"/>
    <col min="14" max="14" width="24.85546875" style="3" customWidth="1"/>
    <col min="20" max="20" width="11.42578125" style="3"/>
    <col min="21" max="21" width="15.7109375" customWidth="1"/>
    <col min="22" max="22" width="15.710937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29" max="29" width="11.42578125" customWidth="1"/>
    <col min="31" max="33" width="11.42578125" style="3"/>
  </cols>
  <sheetData>
    <row r="1" spans="1:30" ht="28.5" x14ac:dyDescent="0.45">
      <c r="A1" s="224" t="s">
        <v>216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200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65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93" t="str">
        <f>Résultats!B1</f>
        <v>TEND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65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65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66"/>
      <c r="C6" s="66"/>
      <c r="D6" s="66"/>
      <c r="E6" s="66"/>
      <c r="F6" s="66"/>
      <c r="G6" s="66"/>
      <c r="H6" s="66"/>
      <c r="I6" s="66"/>
      <c r="J6" s="3"/>
      <c r="K6" s="3"/>
      <c r="M6" s="3"/>
      <c r="O6" s="3"/>
      <c r="P6" s="3"/>
      <c r="Q6" s="3"/>
      <c r="R6" s="65"/>
      <c r="S6" s="65"/>
      <c r="T6" s="66"/>
      <c r="U6" s="66"/>
      <c r="V6" s="66"/>
      <c r="W6" s="66"/>
      <c r="X6" s="66"/>
      <c r="Y6" s="66"/>
      <c r="Z6" s="66"/>
      <c r="AA6" s="66"/>
      <c r="AB6" s="3"/>
      <c r="AC6" s="3"/>
    </row>
    <row r="7" spans="1:30" ht="18.75" x14ac:dyDescent="0.3">
      <c r="C7" s="65" t="s">
        <v>201</v>
      </c>
      <c r="I7" s="3"/>
      <c r="J7" s="3"/>
      <c r="K7" s="3"/>
      <c r="L7" s="3"/>
      <c r="M7" s="3"/>
      <c r="N7" s="65" t="s">
        <v>202</v>
      </c>
      <c r="O7" s="3"/>
      <c r="P7" s="3"/>
      <c r="Q7" s="3"/>
      <c r="R7" s="3"/>
      <c r="S7" s="3"/>
      <c r="U7" s="65" t="s">
        <v>201</v>
      </c>
      <c r="AA7" s="3"/>
      <c r="AB7" s="3"/>
      <c r="AC7" s="3"/>
      <c r="AD7" s="3"/>
    </row>
    <row r="8" spans="1:30" ht="23.25" x14ac:dyDescent="0.35">
      <c r="B8" s="70"/>
      <c r="C8" s="66" t="s">
        <v>132</v>
      </c>
      <c r="D8" s="3"/>
      <c r="E8" s="66"/>
      <c r="F8" s="66"/>
      <c r="G8" s="66"/>
      <c r="H8" s="66"/>
      <c r="I8" s="66"/>
      <c r="J8" s="66"/>
      <c r="K8" s="66"/>
      <c r="L8" s="3"/>
      <c r="M8" s="3"/>
      <c r="N8" t="s">
        <v>203</v>
      </c>
      <c r="U8" s="66" t="s">
        <v>132</v>
      </c>
      <c r="V8" s="3"/>
      <c r="W8" s="66"/>
      <c r="X8" s="66"/>
      <c r="Y8" s="66"/>
      <c r="Z8" s="66"/>
      <c r="AA8" s="66"/>
      <c r="AB8" s="66"/>
      <c r="AC8" s="66"/>
      <c r="AD8" s="3"/>
    </row>
    <row r="9" spans="1:30" x14ac:dyDescent="0.25">
      <c r="B9" s="66"/>
      <c r="C9" s="3"/>
      <c r="D9" s="3"/>
      <c r="E9" s="3"/>
      <c r="F9" s="3"/>
      <c r="G9" s="3"/>
      <c r="H9" s="66"/>
      <c r="I9" s="66"/>
      <c r="J9" s="66"/>
      <c r="K9" s="66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66"/>
      <c r="AA9" s="66"/>
      <c r="AB9" s="66"/>
      <c r="AC9" s="66"/>
      <c r="AD9" s="3"/>
    </row>
    <row r="10" spans="1:30" ht="31.5" x14ac:dyDescent="0.35">
      <c r="B10" s="66"/>
      <c r="C10" s="173">
        <v>2015</v>
      </c>
      <c r="D10" s="174"/>
      <c r="E10" s="174"/>
      <c r="F10" s="174"/>
      <c r="G10" s="174"/>
      <c r="H10" s="101" t="s">
        <v>36</v>
      </c>
      <c r="I10" s="101" t="s">
        <v>131</v>
      </c>
      <c r="J10" s="101" t="s">
        <v>38</v>
      </c>
      <c r="K10" s="101" t="s">
        <v>130</v>
      </c>
      <c r="L10" s="118" t="s">
        <v>1</v>
      </c>
      <c r="M10" s="25"/>
      <c r="N10" s="173">
        <v>2015</v>
      </c>
      <c r="O10" s="169" t="s">
        <v>36</v>
      </c>
      <c r="P10" s="101" t="s">
        <v>131</v>
      </c>
      <c r="Q10" s="101" t="s">
        <v>38</v>
      </c>
      <c r="R10" s="101" t="s">
        <v>130</v>
      </c>
      <c r="S10" s="118" t="s">
        <v>1</v>
      </c>
      <c r="T10" s="270" t="s">
        <v>580</v>
      </c>
      <c r="U10" s="173">
        <v>2015</v>
      </c>
      <c r="V10" s="174"/>
      <c r="W10" s="174"/>
      <c r="X10" s="174"/>
      <c r="Y10" s="174"/>
      <c r="Z10" s="101" t="s">
        <v>36</v>
      </c>
      <c r="AA10" s="101" t="s">
        <v>131</v>
      </c>
      <c r="AB10" s="101" t="s">
        <v>38</v>
      </c>
      <c r="AC10" s="101" t="s">
        <v>130</v>
      </c>
      <c r="AD10" s="118" t="s">
        <v>1</v>
      </c>
    </row>
    <row r="11" spans="1:30" x14ac:dyDescent="0.25">
      <c r="C11" s="175" t="s">
        <v>18</v>
      </c>
      <c r="H11" s="8">
        <f>SUM(H12:H13)</f>
        <v>0</v>
      </c>
      <c r="I11" s="8">
        <f>SUM(I12:I13)</f>
        <v>43.137573549999999</v>
      </c>
      <c r="J11" s="8">
        <f>SUM(J12:J13)</f>
        <v>1.2923352473</v>
      </c>
      <c r="K11" s="8">
        <f>SUM(K12:K13)</f>
        <v>0.2493317746332</v>
      </c>
      <c r="L11" s="121">
        <f>SUM(H11:K11)</f>
        <v>44.6792405719332</v>
      </c>
      <c r="M11" s="99"/>
      <c r="N11" s="178" t="s">
        <v>18</v>
      </c>
      <c r="O11" s="36">
        <f>'[1]Bilan 2015'!$X$46</f>
        <v>0</v>
      </c>
      <c r="P11" s="35">
        <f>SUM('[1]Bilan 2015'!$X$41:$X$43)</f>
        <v>42.748696780825377</v>
      </c>
      <c r="Q11" s="35">
        <f>'[1]Bilan 2015'!$X$13</f>
        <v>0.94471195184866696</v>
      </c>
      <c r="R11" s="35">
        <f>('[1]Bilan 2015'!$X$22+'[1]Bilan 2015'!$X$30+SUM('[1]Bilan 2015'!$X$36:$X$40)+SUM('[1]Bilan 2015'!$X$44:$X$45)+'[1]Bilan 2015'!$X$47)</f>
        <v>7.267406707154804E-2</v>
      </c>
      <c r="S11" s="170">
        <f>SUM(O11:R11)</f>
        <v>43.76608279974559</v>
      </c>
      <c r="T11" s="272">
        <f>S11</f>
        <v>43.76608279974559</v>
      </c>
      <c r="U11" s="175" t="s">
        <v>18</v>
      </c>
      <c r="Z11" s="8">
        <v>0</v>
      </c>
      <c r="AA11" s="8">
        <v>43.296715939999999</v>
      </c>
      <c r="AB11" s="8">
        <v>1.2190163543999999</v>
      </c>
      <c r="AC11" s="8">
        <v>0.24408603343621002</v>
      </c>
      <c r="AD11" s="121">
        <v>44.759818327836207</v>
      </c>
    </row>
    <row r="12" spans="1:30" x14ac:dyDescent="0.25">
      <c r="C12" s="176" t="s">
        <v>19</v>
      </c>
      <c r="D12" t="s">
        <v>552</v>
      </c>
      <c r="E12" t="s">
        <v>553</v>
      </c>
      <c r="F12" t="s">
        <v>554</v>
      </c>
      <c r="G12" t="s">
        <v>555</v>
      </c>
      <c r="H12" s="19">
        <f>VLOOKUP(D12,Résultats!$B$2:$AX$476,'T energie vecteurs'!F5,FALSE)</f>
        <v>0</v>
      </c>
      <c r="I12" s="19">
        <f>VLOOKUP(E12,Résultats!$B$2:$AX$476,'T energie vecteurs'!F5,FALSE)</f>
        <v>24.178210549999999</v>
      </c>
      <c r="J12" s="19">
        <f>VLOOKUP(F12,Résultats!$B$2:$AX$476,'T energie vecteurs'!F5,FALSE)</f>
        <v>2.3864354300000001E-2</v>
      </c>
      <c r="K12" s="19">
        <f>VLOOKUP(G12,Résultats!$B$2:$AX$476,'T energie vecteurs'!F5,FALSE)</f>
        <v>1.06854332E-5</v>
      </c>
      <c r="L12" s="120">
        <f t="shared" ref="L12:L20" si="0">SUM(H12:K12)</f>
        <v>24.202085589733198</v>
      </c>
      <c r="M12" s="19"/>
      <c r="N12" s="176" t="s">
        <v>19</v>
      </c>
      <c r="O12" s="171"/>
      <c r="P12" s="19"/>
      <c r="Q12" s="55"/>
      <c r="R12" s="19"/>
      <c r="S12" s="120"/>
      <c r="T12" s="120"/>
      <c r="U12" s="176" t="s">
        <v>19</v>
      </c>
      <c r="V12" t="s">
        <v>552</v>
      </c>
      <c r="W12" t="s">
        <v>553</v>
      </c>
      <c r="X12" t="s">
        <v>554</v>
      </c>
      <c r="Y12" t="s">
        <v>555</v>
      </c>
      <c r="Z12" s="19">
        <v>0</v>
      </c>
      <c r="AA12" s="19">
        <v>24.25561944</v>
      </c>
      <c r="AB12" s="19">
        <v>2.90133404E-2</v>
      </c>
      <c r="AC12" s="19">
        <v>9.1395362099999892E-6</v>
      </c>
      <c r="AD12" s="120">
        <v>24.28464191993621</v>
      </c>
    </row>
    <row r="13" spans="1:30" x14ac:dyDescent="0.25">
      <c r="C13" s="177" t="s">
        <v>20</v>
      </c>
      <c r="D13" t="s">
        <v>556</v>
      </c>
      <c r="E13" t="s">
        <v>557</v>
      </c>
      <c r="F13" t="s">
        <v>558</v>
      </c>
      <c r="G13" t="s">
        <v>559</v>
      </c>
      <c r="H13" s="19">
        <f>VLOOKUP(D13,Résultats!$B$2:$AX$476,'T energie vecteurs'!F5,FALSE)</f>
        <v>0</v>
      </c>
      <c r="I13" s="19">
        <f>VLOOKUP(E13,Résultats!$B$2:$AX$476,'T energie vecteurs'!F5,FALSE)</f>
        <v>18.959363</v>
      </c>
      <c r="J13" s="19">
        <f>VLOOKUP(F13,Résultats!$B$2:$AX$476,'T energie vecteurs'!F5,FALSE)</f>
        <v>1.2684708929999999</v>
      </c>
      <c r="K13" s="19">
        <f>VLOOKUP(G13,Résultats!$B$2:$AX$476,'T energie vecteurs'!F5,FALSE)</f>
        <v>0.24932108920000001</v>
      </c>
      <c r="L13" s="120">
        <f t="shared" si="0"/>
        <v>20.477154982199998</v>
      </c>
      <c r="M13" s="19"/>
      <c r="N13" s="177" t="s">
        <v>20</v>
      </c>
      <c r="O13" s="171"/>
      <c r="P13" s="19"/>
      <c r="Q13" s="55"/>
      <c r="R13" s="19"/>
      <c r="S13" s="120"/>
      <c r="T13" s="120"/>
      <c r="U13" s="177" t="s">
        <v>20</v>
      </c>
      <c r="V13" t="s">
        <v>556</v>
      </c>
      <c r="W13" t="s">
        <v>557</v>
      </c>
      <c r="X13" t="s">
        <v>558</v>
      </c>
      <c r="Y13" t="s">
        <v>559</v>
      </c>
      <c r="Z13" s="19">
        <v>0</v>
      </c>
      <c r="AA13" s="19">
        <v>19.041096499999998</v>
      </c>
      <c r="AB13" s="19">
        <v>1.190003014</v>
      </c>
      <c r="AC13" s="19">
        <v>0.24407689390000001</v>
      </c>
      <c r="AD13" s="120">
        <v>20.475176407899998</v>
      </c>
    </row>
    <row r="14" spans="1:30" x14ac:dyDescent="0.25">
      <c r="C14" s="175" t="s">
        <v>21</v>
      </c>
      <c r="D14" t="s">
        <v>560</v>
      </c>
      <c r="E14" t="s">
        <v>561</v>
      </c>
      <c r="F14" t="s">
        <v>562</v>
      </c>
      <c r="G14" t="s">
        <v>563</v>
      </c>
      <c r="H14" s="8">
        <f>VLOOKUP(D14,Résultats!$B$2:$AX$476,'T energie vecteurs'!F5,FALSE)</f>
        <v>0.33130144299999997</v>
      </c>
      <c r="I14" s="8">
        <f>VLOOKUP(E14,Résultats!$B$2:$AX$476,'T energie vecteurs'!F5,FALSE)</f>
        <v>7.2432191079999999</v>
      </c>
      <c r="J14" s="8">
        <f>VLOOKUP(F14,Résultats!$B$2:$AX$476,'T energie vecteurs'!F5,FALSE)</f>
        <v>13.749912500000001</v>
      </c>
      <c r="K14" s="8">
        <f>VLOOKUP(G14,Résultats!$B$2:$AX$476,'T energie vecteurs'!F5,FALSE)+2</f>
        <v>19.69456336</v>
      </c>
      <c r="L14" s="121">
        <f>SUM(H14:K14)</f>
        <v>41.018996411000003</v>
      </c>
      <c r="M14" s="99"/>
      <c r="N14" s="178" t="s">
        <v>21</v>
      </c>
      <c r="O14" s="36">
        <f>'[1]Bilan 2015'!$V$46</f>
        <v>3.6764196608413298E-2</v>
      </c>
      <c r="P14" s="35">
        <f>SUM('[1]Bilan 2015'!$V$41:$V$43)</f>
        <v>6.6752954110546101</v>
      </c>
      <c r="Q14" s="35">
        <f>'[1]Bilan 2015'!$V$13</f>
        <v>13.6203670581426</v>
      </c>
      <c r="R14" s="35">
        <f>('[1]Bilan 2015'!$V$22+'[1]Bilan 2015'!$V$30+SUM('[1]Bilan 2015'!$V$36:$V$40)+SUM('[1]Bilan 2015'!$V$44:$V$45)+'[1]Bilan 2015'!$V$47)</f>
        <v>21.832863706323721</v>
      </c>
      <c r="S14" s="170">
        <f t="shared" ref="S14:S19" si="1">SUM(O14:R14)</f>
        <v>42.165290372129348</v>
      </c>
      <c r="T14" s="272">
        <f>S14-'[1]Bilan 2015'!$V$40</f>
        <v>39.648468942279031</v>
      </c>
      <c r="U14" s="175" t="s">
        <v>21</v>
      </c>
      <c r="V14" t="s">
        <v>560</v>
      </c>
      <c r="W14" t="s">
        <v>561</v>
      </c>
      <c r="X14" t="s">
        <v>562</v>
      </c>
      <c r="Y14" t="s">
        <v>563</v>
      </c>
      <c r="Z14" s="8">
        <v>0.33699222420000002</v>
      </c>
      <c r="AA14" s="8">
        <v>7.1888095700000001</v>
      </c>
      <c r="AB14" s="8">
        <v>13.80657761</v>
      </c>
      <c r="AC14" s="8">
        <v>20.35437817</v>
      </c>
      <c r="AD14" s="121">
        <v>41.686757574200001</v>
      </c>
    </row>
    <row r="15" spans="1:30" x14ac:dyDescent="0.25">
      <c r="C15" s="175" t="s">
        <v>22</v>
      </c>
      <c r="D15" t="s">
        <v>564</v>
      </c>
      <c r="E15" t="s">
        <v>565</v>
      </c>
      <c r="F15" t="s">
        <v>566</v>
      </c>
      <c r="G15" t="s">
        <v>567</v>
      </c>
      <c r="H15" s="8">
        <f>VLOOKUP(D15,Résultats!$B$2:$AX$476,'T energie vecteurs'!F5,FALSE)</f>
        <v>0</v>
      </c>
      <c r="I15" s="8">
        <f>VLOOKUP(E15,Résultats!$B$2:$AX$476,'T energie vecteurs'!F5,FALSE)</f>
        <v>3.779866948</v>
      </c>
      <c r="J15" s="8">
        <f>VLOOKUP(F15,Résultats!$B$2:$AX$476,'T energie vecteurs'!F5,FALSE)</f>
        <v>11.57655602</v>
      </c>
      <c r="K15" s="8">
        <f>VLOOKUP(G15,Résultats!$B$2:$AX$476,'T energie vecteurs'!F5,FALSE)</f>
        <v>9.1318221269999995</v>
      </c>
      <c r="L15" s="121">
        <f t="shared" si="0"/>
        <v>24.488245095</v>
      </c>
      <c r="M15" s="99"/>
      <c r="N15" s="178" t="s">
        <v>22</v>
      </c>
      <c r="O15" s="36">
        <f>'[1]Bilan 2015'!$W$46</f>
        <v>4.3073392295861899E-2</v>
      </c>
      <c r="P15" s="35">
        <f>SUM('[1]Bilan 2015'!$W$41:$W$43)</f>
        <v>3.01546564464017</v>
      </c>
      <c r="Q15" s="35">
        <f>'[1]Bilan 2015'!$W$13</f>
        <v>12.701365476499801</v>
      </c>
      <c r="R15" s="35">
        <f>('[1]Bilan 2015'!$W$22+'[1]Bilan 2015'!$W$30+SUM('[1]Bilan 2015'!$W$36:$W$40)+SUM('[1]Bilan 2015'!$W$44:$W$45)+'[1]Bilan 2015'!$W$47)</f>
        <v>8.7461122445901367</v>
      </c>
      <c r="S15" s="170">
        <f t="shared" si="1"/>
        <v>24.506016758025968</v>
      </c>
      <c r="T15" s="272">
        <f>S15-'[1]Bilan 2015'!$W$40</f>
        <v>24.067510417302429</v>
      </c>
      <c r="U15" s="175" t="s">
        <v>22</v>
      </c>
      <c r="V15" t="s">
        <v>564</v>
      </c>
      <c r="W15" t="s">
        <v>565</v>
      </c>
      <c r="X15" t="s">
        <v>566</v>
      </c>
      <c r="Y15" t="s">
        <v>567</v>
      </c>
      <c r="Z15" s="8">
        <v>0</v>
      </c>
      <c r="AA15" s="269">
        <v>4.1772130589999996</v>
      </c>
      <c r="AB15" s="269">
        <v>13.072682670000001</v>
      </c>
      <c r="AC15" s="269"/>
      <c r="AD15" s="121">
        <v>17.249895729000002</v>
      </c>
    </row>
    <row r="16" spans="1:30" x14ac:dyDescent="0.25">
      <c r="C16" s="175" t="s">
        <v>23</v>
      </c>
      <c r="H16" s="8">
        <f>SUM(H17:H19)</f>
        <v>5.0023697938000007</v>
      </c>
      <c r="I16" s="8">
        <f>SUM(I17:I19)</f>
        <v>19.252959391999998</v>
      </c>
      <c r="J16" s="8">
        <f>SUM(J17:J19)</f>
        <v>11.282610260399998</v>
      </c>
      <c r="K16" s="8">
        <f>SUM(K17:K19)</f>
        <v>14.720139205800001</v>
      </c>
      <c r="L16" s="121">
        <f>SUM(H16:K16)</f>
        <v>50.258078652000002</v>
      </c>
      <c r="M16" s="99"/>
      <c r="N16" s="178" t="s">
        <v>252</v>
      </c>
      <c r="O16" s="36">
        <f>O17+O18</f>
        <v>4.2636280705371687</v>
      </c>
      <c r="P16" s="35">
        <f t="shared" ref="P16:R16" si="2">P17+P18</f>
        <v>14.865720748941945</v>
      </c>
      <c r="Q16" s="35">
        <f t="shared" si="2"/>
        <v>10.069552160228</v>
      </c>
      <c r="R16" s="35">
        <f t="shared" si="2"/>
        <v>13.756399814544654</v>
      </c>
      <c r="S16" s="170">
        <f t="shared" si="1"/>
        <v>42.95530079425177</v>
      </c>
      <c r="T16" s="272">
        <f t="shared" ref="T16" si="3">S16</f>
        <v>42.95530079425177</v>
      </c>
      <c r="U16" s="175" t="s">
        <v>23</v>
      </c>
      <c r="Z16" s="8">
        <v>4.8765354159999994</v>
      </c>
      <c r="AA16" s="8">
        <v>18.491929931999998</v>
      </c>
      <c r="AB16" s="8">
        <v>11.204931141700001</v>
      </c>
      <c r="AC16" s="8">
        <v>14.968213004800001</v>
      </c>
      <c r="AD16" s="121">
        <v>49.541609494500001</v>
      </c>
    </row>
    <row r="17" spans="2:30" x14ac:dyDescent="0.25">
      <c r="C17" s="177" t="s">
        <v>24</v>
      </c>
      <c r="D17" t="s">
        <v>568</v>
      </c>
      <c r="E17" t="s">
        <v>569</v>
      </c>
      <c r="F17" t="s">
        <v>570</v>
      </c>
      <c r="G17" t="s">
        <v>571</v>
      </c>
      <c r="H17" s="19">
        <f>VLOOKUP(D17,Résultats!$B$2:$AX$476,'T energie vecteurs'!F5,FALSE)</f>
        <v>4.0035977120000004</v>
      </c>
      <c r="I17" s="19">
        <f>VLOOKUP(E17,Résultats!$B$2:$AX$476,'T energie vecteurs'!F5,FALSE)</f>
        <v>14.885319259999999</v>
      </c>
      <c r="J17" s="19">
        <f>VLOOKUP(F17,Résultats!$B$2:$AX$476,'T energie vecteurs'!F5,FALSE)</f>
        <v>10.963094849999999</v>
      </c>
      <c r="K17" s="19">
        <f>VLOOKUP(G17,Résultats!$B$2:$AX$476,'T energie vecteurs'!F5,FALSE)</f>
        <v>12.55821523</v>
      </c>
      <c r="L17" s="120">
        <f t="shared" si="0"/>
        <v>42.410227052000003</v>
      </c>
      <c r="M17" s="19"/>
      <c r="N17" s="177" t="s">
        <v>253</v>
      </c>
      <c r="O17" s="171">
        <f>'[1]Bilan 2015'!$U$46</f>
        <v>1.0493092649428299</v>
      </c>
      <c r="P17" s="37">
        <f>SUM('[1]Bilan 2015'!$U$41:$U$43)</f>
        <v>2.4127207489419455</v>
      </c>
      <c r="Q17" s="37">
        <f>'[1]Bilan 2015'!$U$13</f>
        <v>10.069552160228</v>
      </c>
      <c r="R17" s="37">
        <f>('[1]Bilan 2015'!$U$22+'[1]Bilan 2015'!$U$30+SUM('[1]Bilan 2015'!$U$36:$U$40)+SUM('[1]Bilan 2015'!$U$44:$U$45)+'[1]Bilan 2015'!$U$47)</f>
        <v>12.654813573219924</v>
      </c>
      <c r="S17" s="120">
        <f t="shared" si="1"/>
        <v>26.186395747332696</v>
      </c>
      <c r="T17" s="120"/>
      <c r="U17" s="177" t="s">
        <v>24</v>
      </c>
      <c r="V17" t="s">
        <v>568</v>
      </c>
      <c r="W17" t="s">
        <v>569</v>
      </c>
      <c r="X17" t="s">
        <v>570</v>
      </c>
      <c r="Y17" t="s">
        <v>571</v>
      </c>
      <c r="Z17" s="19">
        <v>3.8823198269999999</v>
      </c>
      <c r="AA17" s="19">
        <v>14.15502992</v>
      </c>
      <c r="AB17" s="19">
        <v>10.887530870000001</v>
      </c>
      <c r="AC17" s="19">
        <v>12.78159413</v>
      </c>
      <c r="AD17" s="120">
        <v>41.706474747000001</v>
      </c>
    </row>
    <row r="18" spans="2:30" x14ac:dyDescent="0.25">
      <c r="C18" s="177" t="s">
        <v>129</v>
      </c>
      <c r="D18" t="s">
        <v>572</v>
      </c>
      <c r="E18" t="s">
        <v>573</v>
      </c>
      <c r="F18" t="s">
        <v>574</v>
      </c>
      <c r="G18" t="s">
        <v>575</v>
      </c>
      <c r="H18" s="19">
        <f>VLOOKUP(D18,Résultats!$B$2:$AX$476,'T energie vecteurs'!F5,FALSE)</f>
        <v>0.99877208179999999</v>
      </c>
      <c r="I18" s="19">
        <f>VLOOKUP(E18,Résultats!$B$2:$AX$476,'T energie vecteurs'!F5,FALSE)</f>
        <v>1.8921607920000001</v>
      </c>
      <c r="J18" s="19">
        <f>VLOOKUP(F18,Résultats!$B$2:$AX$476,'T energie vecteurs'!F5,FALSE)</f>
        <v>0</v>
      </c>
      <c r="K18" s="19">
        <f>VLOOKUP(G18,Résultats!$B$2:$AX$476,'T energie vecteurs'!F5,FALSE)</f>
        <v>1.767814287</v>
      </c>
      <c r="L18" s="120">
        <f t="shared" si="0"/>
        <v>4.6587471608</v>
      </c>
      <c r="M18" s="19"/>
      <c r="N18" s="177" t="s">
        <v>129</v>
      </c>
      <c r="O18" s="28">
        <f>'[1]Bilan 2015'!$E$52</f>
        <v>3.2143188055943388</v>
      </c>
      <c r="P18" s="19">
        <f>('[1]Bilan 2015'!$E$54+'[1]Bilan 2015'!$E$56)</f>
        <v>12.452999999999999</v>
      </c>
      <c r="Q18" s="19">
        <v>0</v>
      </c>
      <c r="R18" s="19">
        <f>('[1]Bilan 2015'!$E$53+'[1]Bilan 2015'!$E$55+'[1]Bilan 2015'!$E$57)</f>
        <v>1.1015862413247299</v>
      </c>
      <c r="S18" s="120">
        <f t="shared" si="1"/>
        <v>16.768905046919066</v>
      </c>
      <c r="T18" s="120"/>
      <c r="U18" s="177" t="s">
        <v>129</v>
      </c>
      <c r="V18" t="s">
        <v>572</v>
      </c>
      <c r="W18" t="s">
        <v>573</v>
      </c>
      <c r="X18" t="s">
        <v>574</v>
      </c>
      <c r="Y18" t="s">
        <v>575</v>
      </c>
      <c r="Z18" s="19">
        <v>0.99421558899999996</v>
      </c>
      <c r="AA18" s="19">
        <v>1.8954507620000001</v>
      </c>
      <c r="AB18" s="19">
        <v>0</v>
      </c>
      <c r="AC18" s="19">
        <v>1.7872898909999999</v>
      </c>
      <c r="AD18" s="120">
        <v>4.6769562419999993</v>
      </c>
    </row>
    <row r="19" spans="2:30" x14ac:dyDescent="0.25">
      <c r="C19" s="177" t="s">
        <v>25</v>
      </c>
      <c r="D19" t="s">
        <v>576</v>
      </c>
      <c r="E19" t="s">
        <v>577</v>
      </c>
      <c r="F19" t="s">
        <v>578</v>
      </c>
      <c r="G19" t="s">
        <v>579</v>
      </c>
      <c r="H19" s="19">
        <f>VLOOKUP(D19,Résultats!$B$2:$AX$476,'T energie vecteurs'!F5,FALSE)</f>
        <v>0</v>
      </c>
      <c r="I19" s="19">
        <f>VLOOKUP(E19,Résultats!$B$2:$AX$476,'T energie vecteurs'!F5,FALSE)</f>
        <v>2.4754793400000001</v>
      </c>
      <c r="J19" s="19">
        <f>VLOOKUP(F19,Résultats!$B$2:$AX$476,'T energie vecteurs'!F5,FALSE)</f>
        <v>0.31951541039999998</v>
      </c>
      <c r="K19" s="19">
        <f>VLOOKUP(G19,Résultats!$B$2:$AX$476,'T energie vecteurs'!F5,FALSE)</f>
        <v>0.39410968880000002</v>
      </c>
      <c r="L19" s="120">
        <f t="shared" si="0"/>
        <v>3.1891044391999999</v>
      </c>
      <c r="M19" s="19"/>
      <c r="N19" s="178" t="s">
        <v>25</v>
      </c>
      <c r="O19" s="36">
        <f>'[1]Bilan 2015'!$T$46</f>
        <v>2.2137192704974398E-3</v>
      </c>
      <c r="P19" s="35">
        <f>SUM('[1]Bilan 2015'!$T$41:$T$43)</f>
        <v>3.4936667755496749</v>
      </c>
      <c r="Q19" s="35">
        <f>'[1]Bilan 2015'!$T$13</f>
        <v>0.74651762682717104</v>
      </c>
      <c r="R19" s="35">
        <f>('[1]Bilan 2015'!$T$22+'[1]Bilan 2015'!$T$30+SUM('[1]Bilan 2015'!$T$36:$T$40)+SUM('[1]Bilan 2015'!$T$44:$T$45)+'[1]Bilan 2015'!$T$47)</f>
        <v>0.24365267378081518</v>
      </c>
      <c r="S19" s="170">
        <f t="shared" si="1"/>
        <v>4.4860507954281585</v>
      </c>
      <c r="T19" s="272">
        <f>S19</f>
        <v>4.4860507954281585</v>
      </c>
      <c r="U19" s="177" t="s">
        <v>25</v>
      </c>
      <c r="V19" t="s">
        <v>576</v>
      </c>
      <c r="W19" t="s">
        <v>577</v>
      </c>
      <c r="X19" t="s">
        <v>578</v>
      </c>
      <c r="Y19" t="s">
        <v>579</v>
      </c>
      <c r="Z19" s="19">
        <v>0</v>
      </c>
      <c r="AA19" s="19">
        <v>2.4414492499999998</v>
      </c>
      <c r="AB19" s="19">
        <v>0.31740027170000001</v>
      </c>
      <c r="AC19" s="19">
        <v>0.39932898379999998</v>
      </c>
      <c r="AD19" s="120">
        <v>3.1581785054999996</v>
      </c>
    </row>
    <row r="20" spans="2:30" x14ac:dyDescent="0.25">
      <c r="C20" s="29" t="s">
        <v>26</v>
      </c>
      <c r="D20" s="10"/>
      <c r="E20" s="10"/>
      <c r="F20" s="10"/>
      <c r="G20" s="10"/>
      <c r="H20" s="9">
        <f>SUM(H11,H14:H16)</f>
        <v>5.3336712368000008</v>
      </c>
      <c r="I20" s="9">
        <f>SUM(I11,I14:I16)</f>
        <v>73.41361899799999</v>
      </c>
      <c r="J20" s="9">
        <f>SUM(J11,J14:J16)</f>
        <v>37.9014140277</v>
      </c>
      <c r="K20" s="9">
        <f>SUM(K11,K14:K16)</f>
        <v>43.795856467433204</v>
      </c>
      <c r="L20" s="123">
        <f t="shared" si="0"/>
        <v>160.44456072993319</v>
      </c>
      <c r="M20" s="105"/>
      <c r="N20" s="179" t="s">
        <v>26</v>
      </c>
      <c r="O20" s="40">
        <f>O11+O14+O15+O16+O19</f>
        <v>4.3456793787119414</v>
      </c>
      <c r="P20" s="38">
        <f>P11+P14+P15+P16+P19</f>
        <v>70.798845361011772</v>
      </c>
      <c r="Q20" s="38">
        <f>Q11+Q14+Q15+Q16+Q19</f>
        <v>38.082514273546238</v>
      </c>
      <c r="R20" s="38">
        <f>R11+R14+R15+R16+R19</f>
        <v>44.651702506310876</v>
      </c>
      <c r="S20" s="172">
        <f>SUM(O20:R20)</f>
        <v>157.87874151958081</v>
      </c>
      <c r="T20" s="271">
        <f>SUM(T11:T19)</f>
        <v>154.92341374900698</v>
      </c>
      <c r="U20" s="29" t="s">
        <v>26</v>
      </c>
      <c r="V20" s="10"/>
      <c r="W20" s="10"/>
      <c r="X20" s="10"/>
      <c r="Y20" s="10"/>
      <c r="Z20" s="9">
        <v>5.2135276401999997</v>
      </c>
      <c r="AA20" s="9">
        <v>73.154668501000003</v>
      </c>
      <c r="AB20" s="9">
        <v>39.303207776100002</v>
      </c>
      <c r="AC20" s="9">
        <v>35.566677208236214</v>
      </c>
      <c r="AD20" s="123">
        <v>153.23808112553621</v>
      </c>
    </row>
    <row r="21" spans="2:30" s="3" customFormat="1" x14ac:dyDescent="0.25">
      <c r="B21" s="84"/>
      <c r="H21" s="69"/>
      <c r="I21" s="69"/>
      <c r="J21" s="69"/>
      <c r="K21" s="69"/>
      <c r="L21" s="69"/>
      <c r="M21" s="69"/>
      <c r="N21" s="69"/>
      <c r="O21" s="103"/>
      <c r="P21" s="103"/>
      <c r="Q21" s="103"/>
      <c r="R21" s="104"/>
      <c r="S21" s="69">
        <f>S11+S14+S15+S16+S19</f>
        <v>157.87874151958081</v>
      </c>
      <c r="Z21" s="69"/>
      <c r="AA21" s="69"/>
      <c r="AB21" s="69"/>
      <c r="AC21" s="69"/>
      <c r="AD21" s="69"/>
    </row>
    <row r="22" spans="2:30" s="3" customFormat="1" x14ac:dyDescent="0.25">
      <c r="I22" s="69"/>
      <c r="J22" s="69"/>
      <c r="K22" s="69"/>
      <c r="AA22" s="69"/>
      <c r="AB22" s="69"/>
      <c r="AC22" s="69"/>
    </row>
    <row r="23" spans="2:30" ht="31.5" x14ac:dyDescent="0.35">
      <c r="C23" s="173">
        <v>2020</v>
      </c>
      <c r="D23" s="174"/>
      <c r="E23" s="174"/>
      <c r="F23" s="174"/>
      <c r="G23" s="174"/>
      <c r="H23" s="101" t="s">
        <v>36</v>
      </c>
      <c r="I23" s="101" t="s">
        <v>131</v>
      </c>
      <c r="J23" s="101" t="s">
        <v>38</v>
      </c>
      <c r="K23" s="101" t="s">
        <v>130</v>
      </c>
      <c r="L23" s="118" t="s">
        <v>1</v>
      </c>
      <c r="M23" s="25"/>
      <c r="N23" s="173">
        <v>2020</v>
      </c>
      <c r="O23" s="169" t="s">
        <v>36</v>
      </c>
      <c r="P23" s="101" t="s">
        <v>131</v>
      </c>
      <c r="Q23" s="101" t="s">
        <v>38</v>
      </c>
      <c r="R23" s="101" t="s">
        <v>130</v>
      </c>
      <c r="S23" s="118" t="s">
        <v>1</v>
      </c>
      <c r="T23" s="270" t="s">
        <v>580</v>
      </c>
      <c r="U23" s="173">
        <v>2020</v>
      </c>
      <c r="V23" s="174"/>
      <c r="W23" s="174"/>
      <c r="X23" s="174"/>
      <c r="Y23" s="174"/>
      <c r="Z23" s="101" t="s">
        <v>36</v>
      </c>
      <c r="AA23" s="101" t="s">
        <v>131</v>
      </c>
      <c r="AB23" s="101" t="s">
        <v>38</v>
      </c>
      <c r="AC23" s="101" t="s">
        <v>130</v>
      </c>
      <c r="AD23" s="118" t="s">
        <v>1</v>
      </c>
    </row>
    <row r="24" spans="2:30" x14ac:dyDescent="0.25">
      <c r="C24" s="175" t="s">
        <v>18</v>
      </c>
      <c r="H24" s="8">
        <f>SUM(H25:H26)</f>
        <v>0</v>
      </c>
      <c r="I24" s="8">
        <f>SUM(I25:I26)</f>
        <v>41.514886480000001</v>
      </c>
      <c r="J24" s="8">
        <f>SUM(J25:J26)</f>
        <v>1.5284788453</v>
      </c>
      <c r="K24" s="8">
        <f>SUM(K25:K26)</f>
        <v>0.2784962542753</v>
      </c>
      <c r="L24" s="121">
        <f t="shared" ref="L24:L33" si="4">SUM(H24:K24)</f>
        <v>43.321861579575298</v>
      </c>
      <c r="M24" s="99"/>
      <c r="N24" s="178" t="s">
        <v>18</v>
      </c>
      <c r="O24" s="36">
        <f>'[1]Bilan 2020'!$X$46/11.63</f>
        <v>0</v>
      </c>
      <c r="P24" s="35">
        <f>SUM('[1]Bilan 2020'!$X$41:$X$43)/11.63</f>
        <v>35.668036461633939</v>
      </c>
      <c r="Q24" s="35">
        <f>'[1]Bilan 2020'!$X$13/11.63</f>
        <v>0.71687008340498715</v>
      </c>
      <c r="R24" s="35">
        <f>('[1]Bilan 2020'!$X$22+'[1]Bilan 2020'!$X$30+SUM('[1]Bilan 2020'!$X$36:$X$40)+SUM('[1]Bilan 2020'!$X$44:$X$45)+'[1]Bilan 2020'!$X$47)/11.63</f>
        <v>0.19326865864144452</v>
      </c>
      <c r="S24" s="170">
        <f>SUM(O24:R24)</f>
        <v>36.578175203680367</v>
      </c>
      <c r="T24" s="272">
        <f>S24</f>
        <v>36.578175203680367</v>
      </c>
      <c r="U24" s="175" t="s">
        <v>18</v>
      </c>
      <c r="Z24" s="8">
        <v>0</v>
      </c>
      <c r="AA24" s="8">
        <v>42.470170709999998</v>
      </c>
      <c r="AB24" s="8">
        <v>1.4398483075000001</v>
      </c>
      <c r="AC24" s="8">
        <v>0.26857153999110001</v>
      </c>
      <c r="AD24" s="121">
        <v>44.178590557491098</v>
      </c>
    </row>
    <row r="25" spans="2:30" x14ac:dyDescent="0.25">
      <c r="C25" s="176" t="s">
        <v>19</v>
      </c>
      <c r="D25" t="s">
        <v>552</v>
      </c>
      <c r="E25" t="s">
        <v>553</v>
      </c>
      <c r="F25" t="s">
        <v>554</v>
      </c>
      <c r="G25" t="s">
        <v>555</v>
      </c>
      <c r="H25" s="19">
        <f>VLOOKUP(D25,Résultats!$B$2:$AX$476,'T energie vecteurs'!I5,FALSE)</f>
        <v>0</v>
      </c>
      <c r="I25" s="19">
        <f>VLOOKUP(E25,Résultats!$B$2:$AX$476,'T energie vecteurs'!I5,FALSE)</f>
        <v>23.165783430000001</v>
      </c>
      <c r="J25" s="19">
        <f>VLOOKUP(F25,Résultats!$B$2:$AX$476,'T energie vecteurs'!I5,FALSE)</f>
        <v>9.5353809299999995E-2</v>
      </c>
      <c r="K25" s="19">
        <f>VLOOKUP(G77,Résultats!$B$2:$AX$476,'T energie vecteurs'!I5,FALSE)</f>
        <v>1.48808753E-5</v>
      </c>
      <c r="L25" s="120">
        <f t="shared" si="4"/>
        <v>23.261152120175304</v>
      </c>
      <c r="M25" s="19"/>
      <c r="N25" s="176" t="s">
        <v>19</v>
      </c>
      <c r="O25" s="171"/>
      <c r="P25" s="19"/>
      <c r="Q25" s="55"/>
      <c r="R25" s="19"/>
      <c r="S25" s="120"/>
      <c r="T25" s="120"/>
      <c r="U25" s="176" t="s">
        <v>19</v>
      </c>
      <c r="V25" t="s">
        <v>552</v>
      </c>
      <c r="W25" t="s">
        <v>553</v>
      </c>
      <c r="X25" t="s">
        <v>554</v>
      </c>
      <c r="Y25" t="s">
        <v>555</v>
      </c>
      <c r="Z25" s="19">
        <v>0</v>
      </c>
      <c r="AA25" s="19">
        <v>23.933606399999999</v>
      </c>
      <c r="AB25" s="19">
        <v>0.1115936015</v>
      </c>
      <c r="AC25" s="19">
        <v>1.3015391099999999E-5</v>
      </c>
      <c r="AD25" s="120">
        <v>24.0452130168911</v>
      </c>
    </row>
    <row r="26" spans="2:30" x14ac:dyDescent="0.25">
      <c r="C26" s="177" t="s">
        <v>20</v>
      </c>
      <c r="D26" t="s">
        <v>556</v>
      </c>
      <c r="E26" t="s">
        <v>557</v>
      </c>
      <c r="F26" t="s">
        <v>558</v>
      </c>
      <c r="G26" t="s">
        <v>559</v>
      </c>
      <c r="H26" s="19">
        <f>VLOOKUP(D26,Résultats!$B$2:$AX$476,'T energie vecteurs'!I5,FALSE)</f>
        <v>0</v>
      </c>
      <c r="I26" s="19">
        <f>VLOOKUP(E26,Résultats!$B$2:$AX$476,'T energie vecteurs'!I5,FALSE)</f>
        <v>18.34910305</v>
      </c>
      <c r="J26" s="19">
        <f>VLOOKUP(F26,Résultats!$B$2:$AX$476,'T energie vecteurs'!I5,FALSE)</f>
        <v>1.4331250360000001</v>
      </c>
      <c r="K26" s="19">
        <f>VLOOKUP(G26,Résultats!$B$2:$AX$476,'T energie vecteurs'!I5,FALSE)</f>
        <v>0.27848137340000001</v>
      </c>
      <c r="L26" s="120">
        <f t="shared" si="4"/>
        <v>20.060709459400002</v>
      </c>
      <c r="M26" s="19"/>
      <c r="N26" s="177" t="s">
        <v>20</v>
      </c>
      <c r="O26" s="171"/>
      <c r="P26" s="19"/>
      <c r="Q26" s="55"/>
      <c r="R26" s="19"/>
      <c r="S26" s="120"/>
      <c r="T26" s="120"/>
      <c r="U26" s="177" t="s">
        <v>20</v>
      </c>
      <c r="V26" t="s">
        <v>556</v>
      </c>
      <c r="W26" t="s">
        <v>557</v>
      </c>
      <c r="X26" t="s">
        <v>558</v>
      </c>
      <c r="Y26" t="s">
        <v>559</v>
      </c>
      <c r="Z26" s="19">
        <v>0</v>
      </c>
      <c r="AA26" s="19">
        <v>18.536564309999999</v>
      </c>
      <c r="AB26" s="19">
        <v>1.3282547060000001</v>
      </c>
      <c r="AC26" s="19">
        <v>0.26855852460000001</v>
      </c>
      <c r="AD26" s="120">
        <v>20.133377540599998</v>
      </c>
    </row>
    <row r="27" spans="2:30" x14ac:dyDescent="0.25">
      <c r="C27" s="175" t="s">
        <v>21</v>
      </c>
      <c r="D27" t="s">
        <v>560</v>
      </c>
      <c r="E27" t="s">
        <v>561</v>
      </c>
      <c r="F27" t="s">
        <v>562</v>
      </c>
      <c r="G27" t="s">
        <v>563</v>
      </c>
      <c r="H27" s="8">
        <f>VLOOKUP(D27,Résultats!$B$2:$AX$476,'T energie vecteurs'!I5,FALSE)</f>
        <v>0.31827946930000001</v>
      </c>
      <c r="I27" s="8">
        <f>VLOOKUP(E27,Résultats!$B$2:$AX$476,'T energie vecteurs'!I5,FALSE)</f>
        <v>6.4564873140000003</v>
      </c>
      <c r="J27" s="8">
        <f>VLOOKUP(F27,Résultats!$B$2:$AX$476,'T energie vecteurs'!I5,FALSE)</f>
        <v>14.4312141</v>
      </c>
      <c r="K27" s="8">
        <f>VLOOKUP(G27,Résultats!$B$2:$AX$476,'T energie vecteurs'!I5,FALSE)+2</f>
        <v>19.149222380000001</v>
      </c>
      <c r="L27" s="121">
        <f t="shared" si="4"/>
        <v>40.355203263299998</v>
      </c>
      <c r="M27" s="99"/>
      <c r="N27" s="178" t="s">
        <v>21</v>
      </c>
      <c r="O27" s="36">
        <f>'[1]Bilan 2020'!$V$46/11.63</f>
        <v>2.0700734999999998E-2</v>
      </c>
      <c r="P27" s="35">
        <f>SUM('[1]Bilan 2020'!$V$41:$V$43)/11.63</f>
        <v>4.2874727518867157</v>
      </c>
      <c r="Q27" s="35">
        <f>'[1]Bilan 2020'!$V$13/11.63</f>
        <v>13.618731599337918</v>
      </c>
      <c r="R27" s="35">
        <f>('[1]Bilan 2020'!$V$22+'[1]Bilan 2020'!$V$30+SUM('[1]Bilan 2020'!$V$36:$V$40)+SUM('[1]Bilan 2020'!$V$44:$V$45)+'[1]Bilan 2020'!$V$47)/11.63</f>
        <v>20.408410382607048</v>
      </c>
      <c r="S27" s="170">
        <f t="shared" ref="S27:S33" si="5">SUM(O27:R27)</f>
        <v>38.335315468831681</v>
      </c>
      <c r="T27" s="272">
        <f>S27-'[1]Bilan 2020'!$V$40/11.63</f>
        <v>35.977053263806368</v>
      </c>
      <c r="U27" s="175" t="s">
        <v>21</v>
      </c>
      <c r="V27" t="s">
        <v>560</v>
      </c>
      <c r="W27" t="s">
        <v>561</v>
      </c>
      <c r="X27" t="s">
        <v>562</v>
      </c>
      <c r="Y27" t="s">
        <v>563</v>
      </c>
      <c r="Z27" s="8">
        <v>0.32532885449999999</v>
      </c>
      <c r="AA27" s="8">
        <v>6.4298124789999997</v>
      </c>
      <c r="AB27" s="8">
        <v>14.548182280000001</v>
      </c>
      <c r="AC27" s="8">
        <v>19.699657599999998</v>
      </c>
      <c r="AD27" s="121">
        <v>41.0029812135</v>
      </c>
    </row>
    <row r="28" spans="2:30" x14ac:dyDescent="0.25">
      <c r="C28" s="175" t="s">
        <v>22</v>
      </c>
      <c r="D28" t="s">
        <v>564</v>
      </c>
      <c r="E28" t="s">
        <v>565</v>
      </c>
      <c r="F28" t="s">
        <v>566</v>
      </c>
      <c r="G28" t="s">
        <v>567</v>
      </c>
      <c r="H28" s="8">
        <f>VLOOKUP(D28,Résultats!$B$2:$AX$476,'T energie vecteurs'!I5,FALSE)</f>
        <v>0</v>
      </c>
      <c r="I28" s="8">
        <f>VLOOKUP(E28,Résultats!$B$2:$AX$476,'T energie vecteurs'!I5,FALSE)</f>
        <v>2.730972585</v>
      </c>
      <c r="J28" s="8">
        <f>VLOOKUP(F28,Résultats!$B$2:$AX$476,'T energie vecteurs'!I5,FALSE)</f>
        <v>11.124698349999999</v>
      </c>
      <c r="K28" s="8">
        <f>VLOOKUP(G28,Résultats!$B$2:$AX$476,'T energie vecteurs'!I5,FALSE)</f>
        <v>7.8622854489999998</v>
      </c>
      <c r="L28" s="121">
        <f t="shared" si="4"/>
        <v>21.717956383999997</v>
      </c>
      <c r="M28" s="99"/>
      <c r="N28" s="178" t="s">
        <v>22</v>
      </c>
      <c r="O28" s="36">
        <f>('[1]Bilan 2020'!$W$46)/11.63</f>
        <v>3.0546421000000001E-2</v>
      </c>
      <c r="P28" s="35">
        <f>SUM('[1]Bilan 2020'!$W$41:$W$43)/11.63</f>
        <v>2.7068355531694666</v>
      </c>
      <c r="Q28" s="35">
        <f>('[1]Bilan 2020'!$W$13)/11.63</f>
        <v>10.724850576412381</v>
      </c>
      <c r="R28" s="35">
        <f>('[1]Bilan 2020'!$W$22+'[1]Bilan 2020'!$W$30+SUM('[1]Bilan 2020'!$W$36:$W$40)+SUM('[1]Bilan 2020'!$W$44:$W$45)+'[1]Bilan 2020'!$W$47)/11.63</f>
        <v>7.1906336380053082</v>
      </c>
      <c r="S28" s="170">
        <f t="shared" si="5"/>
        <v>20.652866188587154</v>
      </c>
      <c r="T28" s="272">
        <f>S28-'[1]Bilan 2020'!$W$40/11.63</f>
        <v>20.267160637808516</v>
      </c>
      <c r="U28" s="175" t="s">
        <v>22</v>
      </c>
      <c r="V28" t="s">
        <v>564</v>
      </c>
      <c r="W28" t="s">
        <v>565</v>
      </c>
      <c r="X28" t="s">
        <v>566</v>
      </c>
      <c r="Y28" t="s">
        <v>567</v>
      </c>
      <c r="Z28" s="8">
        <v>0</v>
      </c>
      <c r="AA28" s="8">
        <v>3.0099111129999998</v>
      </c>
      <c r="AB28" s="8">
        <v>12.66223059</v>
      </c>
      <c r="AC28" s="8">
        <v>9.4093188350000005</v>
      </c>
      <c r="AD28" s="121">
        <v>25.081460538000002</v>
      </c>
    </row>
    <row r="29" spans="2:30" x14ac:dyDescent="0.25">
      <c r="C29" s="175" t="s">
        <v>23</v>
      </c>
      <c r="H29" s="8">
        <f>SUM(H30:H32)</f>
        <v>2.6467798417999999</v>
      </c>
      <c r="I29" s="8">
        <f>SUM(I30:I32)</f>
        <v>13.61755945699999</v>
      </c>
      <c r="J29" s="8">
        <f>SUM(J30:J32)</f>
        <v>9.2915020726000002</v>
      </c>
      <c r="K29" s="8">
        <f>SUM(K30:K32)</f>
        <v>15.1732697311</v>
      </c>
      <c r="L29" s="121">
        <f t="shared" si="4"/>
        <v>40.729111102499985</v>
      </c>
      <c r="M29" s="99"/>
      <c r="N29" s="178" t="s">
        <v>252</v>
      </c>
      <c r="O29" s="36">
        <f>O30+O31</f>
        <v>3.1626378182920636</v>
      </c>
      <c r="P29" s="35">
        <f t="shared" ref="P29:R29" si="6">P30+P31</f>
        <v>13.919973516612528</v>
      </c>
      <c r="Q29" s="35">
        <f t="shared" si="6"/>
        <v>9.0413234941421319</v>
      </c>
      <c r="R29" s="35">
        <f t="shared" si="6"/>
        <v>14.312071337572707</v>
      </c>
      <c r="S29" s="170">
        <f t="shared" si="5"/>
        <v>40.436006166619435</v>
      </c>
      <c r="T29" s="272">
        <f t="shared" ref="T29" si="7">S29</f>
        <v>40.436006166619435</v>
      </c>
      <c r="U29" s="175" t="s">
        <v>23</v>
      </c>
      <c r="Z29" s="8">
        <v>2.6041915935</v>
      </c>
      <c r="AA29" s="8">
        <v>13.11843627199999</v>
      </c>
      <c r="AB29" s="8">
        <v>9.2676307303000005</v>
      </c>
      <c r="AC29" s="8">
        <v>15.630882400800001</v>
      </c>
      <c r="AD29" s="121">
        <v>40.621140996599991</v>
      </c>
    </row>
    <row r="30" spans="2:30" x14ac:dyDescent="0.25">
      <c r="C30" s="177" t="s">
        <v>24</v>
      </c>
      <c r="D30" t="s">
        <v>568</v>
      </c>
      <c r="E30" t="s">
        <v>569</v>
      </c>
      <c r="F30" t="s">
        <v>570</v>
      </c>
      <c r="G30" t="s">
        <v>571</v>
      </c>
      <c r="H30" s="19">
        <f>VLOOKUP(D30,Résultats!$B$2:$AX$476,'T energie vecteurs'!I5,FALSE)</f>
        <v>1.7837268930000001</v>
      </c>
      <c r="I30" s="19">
        <f>VLOOKUP(E30,Résultats!$B$2:$AX$476,'T energie vecteurs'!I5,FALSE)</f>
        <v>9.3506075059999905</v>
      </c>
      <c r="J30" s="19">
        <f>VLOOKUP(F30,Résultats!$B$2:$AX$476,'T energie vecteurs'!I5,FALSE)</f>
        <v>8.9805503580000003</v>
      </c>
      <c r="K30" s="19">
        <f>VLOOKUP(G30,Résultats!$B$2:$AX$476,'T energie vecteurs'!I5,FALSE)</f>
        <v>12.703201959999999</v>
      </c>
      <c r="L30" s="120">
        <f t="shared" si="4"/>
        <v>32.818086716999993</v>
      </c>
      <c r="M30" s="19"/>
      <c r="N30" s="177" t="s">
        <v>253</v>
      </c>
      <c r="O30" s="171">
        <f>'[1]Bilan 2020'!$U$46/11.63</f>
        <v>0.77267988499999996</v>
      </c>
      <c r="P30" s="37">
        <f>SUM('[1]Bilan 2020'!$U$41:$U$43)/11.63</f>
        <v>2.7003587770125286</v>
      </c>
      <c r="Q30" s="37">
        <f>'[1]Bilan 2020'!$U$13/11.63</f>
        <v>9.0413234941421319</v>
      </c>
      <c r="R30" s="37">
        <f>('[1]Bilan 2020'!$U$22+'[1]Bilan 2020'!$U$30+SUM('[1]Bilan 2020'!$U$36:$U$40)+SUM('[1]Bilan 2020'!$U$44:$U$45)+'[1]Bilan 2020'!$U$47)/11.63</f>
        <v>13.277854957521116</v>
      </c>
      <c r="S30" s="120">
        <f t="shared" si="5"/>
        <v>25.792217113675775</v>
      </c>
      <c r="T30" s="120"/>
      <c r="U30" s="177" t="s">
        <v>24</v>
      </c>
      <c r="V30" t="s">
        <v>568</v>
      </c>
      <c r="W30" t="s">
        <v>569</v>
      </c>
      <c r="X30" t="s">
        <v>570</v>
      </c>
      <c r="Y30" t="s">
        <v>571</v>
      </c>
      <c r="Z30" s="19">
        <v>1.7388215869999999</v>
      </c>
      <c r="AA30" s="19">
        <v>8.8549437999999903</v>
      </c>
      <c r="AB30" s="19">
        <v>8.9540998980000008</v>
      </c>
      <c r="AC30" s="19">
        <v>13.12985211</v>
      </c>
      <c r="AD30" s="120">
        <v>32.677717394999995</v>
      </c>
    </row>
    <row r="31" spans="2:30" x14ac:dyDescent="0.25">
      <c r="C31" s="177" t="s">
        <v>129</v>
      </c>
      <c r="D31" t="s">
        <v>572</v>
      </c>
      <c r="E31" t="s">
        <v>573</v>
      </c>
      <c r="F31" t="s">
        <v>574</v>
      </c>
      <c r="G31" t="s">
        <v>575</v>
      </c>
      <c r="H31" s="19">
        <f>VLOOKUP(D31,Résultats!$B$2:$AX$476,'T energie vecteurs'!I5,FALSE)</f>
        <v>0.86305294880000005</v>
      </c>
      <c r="I31" s="19">
        <f>VLOOKUP(E31,Résultats!$B$2:$AX$476,'T energie vecteurs'!I5,FALSE)</f>
        <v>1.8759648739999999</v>
      </c>
      <c r="J31" s="19">
        <f>VLOOKUP(F31,Résultats!$B$2:$AX$476,'T energie vecteurs'!I5,FALSE)</f>
        <v>0</v>
      </c>
      <c r="K31" s="19">
        <f>VLOOKUP(G31,Résultats!$B$2:$AX$476,'T energie vecteurs'!I5,FALSE)</f>
        <v>2.1004027590000001</v>
      </c>
      <c r="L31" s="120">
        <f t="shared" si="4"/>
        <v>4.8394205818000007</v>
      </c>
      <c r="M31" s="19"/>
      <c r="N31" s="177" t="s">
        <v>129</v>
      </c>
      <c r="O31" s="28">
        <f>'[1]Bilan 2020'!$E$52/11.63</f>
        <v>2.3899579332920635</v>
      </c>
      <c r="P31" s="19">
        <f>('[1]Bilan 2020'!$E$54+'[1]Bilan 2020'!$E$56)/11.63</f>
        <v>11.219614739599999</v>
      </c>
      <c r="Q31" s="19">
        <v>0</v>
      </c>
      <c r="R31" s="19">
        <f>('[1]Bilan 2020'!$E$53+'[1]Bilan 2020'!$E$55+'[1]Bilan 2020'!$E$57)/11.63</f>
        <v>1.0342163800515907</v>
      </c>
      <c r="S31" s="120">
        <f t="shared" si="5"/>
        <v>14.643789052943653</v>
      </c>
      <c r="T31" s="120"/>
      <c r="U31" s="177" t="s">
        <v>129</v>
      </c>
      <c r="V31" t="s">
        <v>572</v>
      </c>
      <c r="W31" t="s">
        <v>573</v>
      </c>
      <c r="X31" t="s">
        <v>574</v>
      </c>
      <c r="Y31" t="s">
        <v>575</v>
      </c>
      <c r="Z31" s="19">
        <v>0.86537000649999996</v>
      </c>
      <c r="AA31" s="19">
        <v>1.8757407829999999</v>
      </c>
      <c r="AB31" s="19">
        <v>0</v>
      </c>
      <c r="AC31" s="19">
        <v>2.1265502610000002</v>
      </c>
      <c r="AD31" s="120">
        <v>4.8676610505000006</v>
      </c>
    </row>
    <row r="32" spans="2:30" x14ac:dyDescent="0.25">
      <c r="C32" s="177" t="s">
        <v>25</v>
      </c>
      <c r="D32" t="s">
        <v>576</v>
      </c>
      <c r="E32" t="s">
        <v>577</v>
      </c>
      <c r="F32" t="s">
        <v>578</v>
      </c>
      <c r="G32" t="s">
        <v>579</v>
      </c>
      <c r="H32" s="19">
        <f>VLOOKUP(D32,Résultats!$B$2:$AX$476,'T energie vecteurs'!I5,FALSE)</f>
        <v>0</v>
      </c>
      <c r="I32" s="19">
        <f>VLOOKUP(E32,Résultats!$B$2:$AX$476,'T energie vecteurs'!I5,FALSE)</f>
        <v>2.3909870770000001</v>
      </c>
      <c r="J32" s="19">
        <f>VLOOKUP(F32,Résultats!$B$2:$AX$476,'T energie vecteurs'!I5,FALSE)</f>
        <v>0.31095171459999998</v>
      </c>
      <c r="K32" s="19">
        <f>VLOOKUP(G32,Résultats!$B$2:$AX$476,'T energie vecteurs'!I5,FALSE)</f>
        <v>0.36966501210000002</v>
      </c>
      <c r="L32" s="120">
        <f t="shared" si="4"/>
        <v>3.0716038037</v>
      </c>
      <c r="M32" s="19"/>
      <c r="N32" s="178" t="s">
        <v>25</v>
      </c>
      <c r="O32" s="36">
        <f>'[1]Bilan 2020'!$T$46/11.63</f>
        <v>1.3217009999999998E-3</v>
      </c>
      <c r="P32" s="35">
        <f>SUM('[1]Bilan 2020'!$T$41:$T$43)/11.63</f>
        <v>3.3486884684627563</v>
      </c>
      <c r="Q32" s="35">
        <f>'[1]Bilan 2020'!$T$13/11.63</f>
        <v>0.69143728159498707</v>
      </c>
      <c r="R32" s="35">
        <f>('[1]Bilan 2020'!$T$22+'[1]Bilan 2020'!$T$30+SUM('[1]Bilan 2020'!$T$36:$T$40)+SUM('[1]Bilan 2020'!$T$44:$T$45)+'[1]Bilan 2020'!$T$47)/11.63</f>
        <v>0.41959097162510717</v>
      </c>
      <c r="S32" s="170">
        <f t="shared" si="5"/>
        <v>4.4610384226828508</v>
      </c>
      <c r="T32" s="272">
        <f>S32</f>
        <v>4.4610384226828508</v>
      </c>
      <c r="U32" s="177" t="s">
        <v>25</v>
      </c>
      <c r="V32" t="s">
        <v>576</v>
      </c>
      <c r="W32" t="s">
        <v>577</v>
      </c>
      <c r="X32" t="s">
        <v>578</v>
      </c>
      <c r="Y32" t="s">
        <v>579</v>
      </c>
      <c r="Z32" s="19">
        <v>0</v>
      </c>
      <c r="AA32" s="19">
        <v>2.3877516889999999</v>
      </c>
      <c r="AB32" s="19">
        <v>0.31353083230000001</v>
      </c>
      <c r="AC32" s="19">
        <v>0.3744800298</v>
      </c>
      <c r="AD32" s="120">
        <v>3.0757625511</v>
      </c>
    </row>
    <row r="33" spans="3:30" x14ac:dyDescent="0.25">
      <c r="C33" s="29" t="s">
        <v>26</v>
      </c>
      <c r="D33" s="10"/>
      <c r="E33" s="10"/>
      <c r="F33" s="10"/>
      <c r="G33" s="10"/>
      <c r="H33" s="9">
        <f>SUM(H24,H27:H29)</f>
        <v>2.9650593111000001</v>
      </c>
      <c r="I33" s="9">
        <f>SUM(I24,I27:I29)</f>
        <v>64.31990583599999</v>
      </c>
      <c r="J33" s="9">
        <f>SUM(J24,J27:J29)</f>
        <v>36.375893367900005</v>
      </c>
      <c r="K33" s="9">
        <f>SUM(K24,K27:K29)</f>
        <v>42.463273814375299</v>
      </c>
      <c r="L33" s="123">
        <f t="shared" si="4"/>
        <v>146.1241323293753</v>
      </c>
      <c r="M33" s="105"/>
      <c r="N33" s="179" t="s">
        <v>26</v>
      </c>
      <c r="O33" s="40">
        <f>O24+O27+O28+O29+O32</f>
        <v>3.2152066752920638</v>
      </c>
      <c r="P33" s="38">
        <f>P24+P27+P28+P29+P32</f>
        <v>59.931006751765409</v>
      </c>
      <c r="Q33" s="38">
        <f>Q24+Q27+Q28+Q29+Q32</f>
        <v>34.793213034892403</v>
      </c>
      <c r="R33" s="38">
        <f>R24+R27+R28+R29+R32</f>
        <v>42.523974988451613</v>
      </c>
      <c r="S33" s="172">
        <f t="shared" si="5"/>
        <v>140.46340145040148</v>
      </c>
      <c r="T33" s="271">
        <f>SUM(T24:T32)</f>
        <v>137.71943369459754</v>
      </c>
      <c r="U33" s="29" t="s">
        <v>26</v>
      </c>
      <c r="V33" s="10"/>
      <c r="W33" s="10"/>
      <c r="X33" s="10"/>
      <c r="Y33" s="10"/>
      <c r="Z33" s="9">
        <v>2.9295204479999999</v>
      </c>
      <c r="AA33" s="9">
        <v>65.028330573999995</v>
      </c>
      <c r="AB33" s="9">
        <v>37.917891907799998</v>
      </c>
      <c r="AC33" s="9">
        <v>45.0084303757911</v>
      </c>
      <c r="AD33" s="123">
        <v>150.8841733055911</v>
      </c>
    </row>
    <row r="34" spans="3:30" s="3" customFormat="1" x14ac:dyDescent="0.25">
      <c r="H34" s="69"/>
      <c r="I34" s="69"/>
      <c r="J34" s="69"/>
      <c r="K34" s="69"/>
      <c r="L34" s="69"/>
      <c r="M34" s="69"/>
      <c r="N34" s="69"/>
      <c r="O34" s="103"/>
      <c r="P34" s="103"/>
      <c r="Q34" s="103"/>
      <c r="R34" s="104"/>
      <c r="S34" s="69"/>
      <c r="T34" s="69"/>
      <c r="Z34" s="69"/>
      <c r="AA34" s="69"/>
      <c r="AB34" s="69"/>
      <c r="AC34" s="69"/>
      <c r="AD34" s="69"/>
    </row>
    <row r="35" spans="3:30" s="3" customFormat="1" x14ac:dyDescent="0.25"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Z35" s="69"/>
      <c r="AA35" s="69"/>
      <c r="AB35" s="69"/>
      <c r="AC35" s="69"/>
      <c r="AD35" s="69"/>
    </row>
    <row r="36" spans="3:30" ht="31.5" x14ac:dyDescent="0.35">
      <c r="C36" s="173">
        <v>2022</v>
      </c>
      <c r="D36" s="174"/>
      <c r="E36" s="174"/>
      <c r="F36" s="174"/>
      <c r="G36" s="174"/>
      <c r="H36" s="101" t="s">
        <v>36</v>
      </c>
      <c r="I36" s="101" t="s">
        <v>131</v>
      </c>
      <c r="J36" s="101" t="s">
        <v>38</v>
      </c>
      <c r="K36" s="101" t="s">
        <v>130</v>
      </c>
      <c r="L36" s="118" t="s">
        <v>1</v>
      </c>
      <c r="M36" s="25"/>
      <c r="N36" s="173">
        <v>2022</v>
      </c>
      <c r="O36" s="169" t="s">
        <v>36</v>
      </c>
      <c r="P36" s="101" t="s">
        <v>131</v>
      </c>
      <c r="Q36" s="101" t="s">
        <v>38</v>
      </c>
      <c r="R36" s="101" t="s">
        <v>130</v>
      </c>
      <c r="S36" s="118" t="s">
        <v>1</v>
      </c>
      <c r="T36" s="270" t="s">
        <v>580</v>
      </c>
      <c r="U36" s="173">
        <v>2022</v>
      </c>
      <c r="V36" s="174"/>
      <c r="W36" s="174"/>
      <c r="X36" s="174"/>
      <c r="Y36" s="174"/>
      <c r="Z36" s="101" t="s">
        <v>36</v>
      </c>
      <c r="AA36" s="101" t="s">
        <v>131</v>
      </c>
      <c r="AB36" s="101" t="s">
        <v>38</v>
      </c>
      <c r="AC36" s="101" t="s">
        <v>130</v>
      </c>
      <c r="AD36" s="118" t="s">
        <v>1</v>
      </c>
    </row>
    <row r="37" spans="3:30" x14ac:dyDescent="0.25">
      <c r="C37" s="175" t="s">
        <v>18</v>
      </c>
      <c r="H37" s="8">
        <f>SUM(H38:H39)</f>
        <v>0</v>
      </c>
      <c r="I37" s="8">
        <f>SUM(I38:I39)</f>
        <v>41.485026509999997</v>
      </c>
      <c r="J37" s="8">
        <f>SUM(J38:J39)</f>
        <v>1.861595114</v>
      </c>
      <c r="K37" s="8">
        <f>SUM(K38:K39)</f>
        <v>0.38902095648400004</v>
      </c>
      <c r="L37" s="121">
        <f t="shared" ref="L37:L46" si="8">SUM(H37:K37)</f>
        <v>43.735642580483997</v>
      </c>
      <c r="M37" s="99"/>
      <c r="N37" s="178" t="s">
        <v>18</v>
      </c>
      <c r="O37" s="36">
        <f>'[1]Bilan 2022 réel'!$X$46/11.63</f>
        <v>0</v>
      </c>
      <c r="P37" s="35">
        <f>SUM('[1]Bilan 2022 réel'!$X$41:$X$43)/11.63</f>
        <v>43.395882986244146</v>
      </c>
      <c r="Q37" s="35">
        <f>'[1]Bilan 2022 réel'!$X$13/11.63</f>
        <v>0.93062751504729158</v>
      </c>
      <c r="R37" s="35">
        <f>('[1]Bilan 2022 réel'!$X$22+'[1]Bilan 2022 réel'!$X$30+SUM('[1]Bilan 2022 réel'!$X$36:$X$40)+SUM('[1]Bilan 2022 réel'!$X$44:$X$45)+'[1]Bilan 2022 réel'!$X$47)/11.63</f>
        <v>0.31885683576956142</v>
      </c>
      <c r="S37" s="170">
        <f>SUM(O37:R37)</f>
        <v>44.645367337060996</v>
      </c>
      <c r="T37" s="272">
        <f>S37</f>
        <v>44.645367337060996</v>
      </c>
      <c r="U37" s="175" t="s">
        <v>18</v>
      </c>
      <c r="Z37" s="8">
        <v>0</v>
      </c>
      <c r="AA37" s="8">
        <v>42.196799800000001</v>
      </c>
      <c r="AB37" s="8">
        <v>1.5518960473000001</v>
      </c>
      <c r="AC37" s="8">
        <v>0.37730478291210001</v>
      </c>
      <c r="AD37" s="121">
        <v>44.126000630212097</v>
      </c>
    </row>
    <row r="38" spans="3:30" x14ac:dyDescent="0.25">
      <c r="C38" s="176" t="s">
        <v>19</v>
      </c>
      <c r="D38" t="s">
        <v>552</v>
      </c>
      <c r="E38" t="s">
        <v>553</v>
      </c>
      <c r="F38" t="s">
        <v>554</v>
      </c>
      <c r="G38" t="s">
        <v>555</v>
      </c>
      <c r="H38" s="19">
        <f>VLOOKUP(D38,Résultats!$B$2:$AX$476,'T energie vecteurs'!K5,FALSE)</f>
        <v>0</v>
      </c>
      <c r="I38" s="19">
        <f>VLOOKUP(E38,Résultats!$B$2:$AX$476,'T energie vecteurs'!K5,FALSE)</f>
        <v>22.801428949999998</v>
      </c>
      <c r="J38" s="19">
        <f>VLOOKUP(F38,Résultats!$B$2:$AX$476,'T energie vecteurs'!K5,FALSE)</f>
        <v>0.15430793700000001</v>
      </c>
      <c r="K38" s="19">
        <f>VLOOKUP(G51,Résultats!$B$2:$AX$476,'T energie vecteurs'!K5,FALSE)</f>
        <v>1.8427184000000002E-5</v>
      </c>
      <c r="L38" s="120">
        <f t="shared" si="8"/>
        <v>22.955755314183996</v>
      </c>
      <c r="M38" s="19"/>
      <c r="N38" s="176" t="s">
        <v>19</v>
      </c>
      <c r="O38" s="171"/>
      <c r="P38" s="19"/>
      <c r="Q38" s="55"/>
      <c r="R38" s="19"/>
      <c r="S38" s="120"/>
      <c r="T38" s="120"/>
      <c r="U38" s="176" t="s">
        <v>19</v>
      </c>
      <c r="V38" t="s">
        <v>552</v>
      </c>
      <c r="W38" t="s">
        <v>553</v>
      </c>
      <c r="X38" t="s">
        <v>554</v>
      </c>
      <c r="Y38" t="s">
        <v>555</v>
      </c>
      <c r="Z38" s="19">
        <v>0</v>
      </c>
      <c r="AA38" s="19">
        <v>23.39484934</v>
      </c>
      <c r="AB38" s="19">
        <v>0.1762139583</v>
      </c>
      <c r="AC38" s="19">
        <v>1.6439012100000001E-5</v>
      </c>
      <c r="AD38" s="120">
        <v>23.5710797373121</v>
      </c>
    </row>
    <row r="39" spans="3:30" x14ac:dyDescent="0.25">
      <c r="C39" s="177" t="s">
        <v>20</v>
      </c>
      <c r="D39" t="s">
        <v>556</v>
      </c>
      <c r="E39" t="s">
        <v>557</v>
      </c>
      <c r="F39" t="s">
        <v>558</v>
      </c>
      <c r="G39" t="s">
        <v>559</v>
      </c>
      <c r="H39" s="19">
        <f>VLOOKUP(D39,Résultats!$B$2:$AX$476,'T energie vecteurs'!K5,FALSE)</f>
        <v>0</v>
      </c>
      <c r="I39" s="19">
        <f>VLOOKUP(E39,Résultats!$B$2:$AX$476,'T energie vecteurs'!K5,FALSE)</f>
        <v>18.683597559999999</v>
      </c>
      <c r="J39" s="19">
        <f>VLOOKUP(F39,Résultats!$B$2:$AX$476,'T energie vecteurs'!K5,FALSE)</f>
        <v>1.707287177</v>
      </c>
      <c r="K39" s="19">
        <f>VLOOKUP(G39,Résultats!$B$2:$AX$476,'T energie vecteurs'!K5,FALSE)</f>
        <v>0.38900252930000001</v>
      </c>
      <c r="L39" s="120">
        <f t="shared" si="8"/>
        <v>20.779887266300001</v>
      </c>
      <c r="M39" s="19"/>
      <c r="N39" s="177" t="s">
        <v>20</v>
      </c>
      <c r="O39" s="171"/>
      <c r="P39" s="19"/>
      <c r="Q39" s="55"/>
      <c r="R39" s="19"/>
      <c r="S39" s="120"/>
      <c r="T39" s="120"/>
      <c r="U39" s="177" t="s">
        <v>20</v>
      </c>
      <c r="V39" t="s">
        <v>556</v>
      </c>
      <c r="W39" t="s">
        <v>557</v>
      </c>
      <c r="X39" t="s">
        <v>558</v>
      </c>
      <c r="Y39" t="s">
        <v>559</v>
      </c>
      <c r="Z39" s="19">
        <v>0</v>
      </c>
      <c r="AA39" s="19">
        <v>18.80195046</v>
      </c>
      <c r="AB39" s="19">
        <v>1.3756820890000001</v>
      </c>
      <c r="AC39" s="19">
        <v>0.37728834389999999</v>
      </c>
      <c r="AD39" s="120">
        <v>20.5549208929</v>
      </c>
    </row>
    <row r="40" spans="3:30" x14ac:dyDescent="0.25">
      <c r="C40" s="175" t="s">
        <v>21</v>
      </c>
      <c r="D40" t="s">
        <v>560</v>
      </c>
      <c r="E40" t="s">
        <v>561</v>
      </c>
      <c r="F40" t="s">
        <v>562</v>
      </c>
      <c r="G40" t="s">
        <v>563</v>
      </c>
      <c r="H40" s="8">
        <f>VLOOKUP(D40,Résultats!$B$2:$AX$476,'T energie vecteurs'!K5,FALSE)</f>
        <v>0.30460633580000002</v>
      </c>
      <c r="I40" s="8">
        <f>VLOOKUP(E40,Résultats!$B$2:$AX$476,'T energie vecteurs'!K5,FALSE)</f>
        <v>6.30593643</v>
      </c>
      <c r="J40" s="8">
        <f>VLOOKUP(F40,Résultats!$B$2:$AX$476,'T energie vecteurs'!K5,FALSE)</f>
        <v>14.50098667</v>
      </c>
      <c r="K40" s="8">
        <f>VLOOKUP(G40,Résultats!$B$2:$AX$476,'T energie vecteurs'!K5,FALSE)+2</f>
        <v>18.60969901</v>
      </c>
      <c r="L40" s="121">
        <f t="shared" si="8"/>
        <v>39.721228445800001</v>
      </c>
      <c r="M40" s="99"/>
      <c r="N40" s="178" t="s">
        <v>21</v>
      </c>
      <c r="O40" s="36">
        <f>'[1]Bilan 2022 réel'!$V$46/11.63</f>
        <v>2.6476317000000003E-2</v>
      </c>
      <c r="P40" s="35">
        <f>SUM('[1]Bilan 2022 réel'!$V$41:$V$43)/11.63</f>
        <v>3.5006052343</v>
      </c>
      <c r="Q40" s="35">
        <f>'[1]Bilan 2022 réel'!$V$13/11.63</f>
        <v>13.359407222699915</v>
      </c>
      <c r="R40" s="35">
        <f>('[1]Bilan 2022 réel'!$V$22+'[1]Bilan 2022 réel'!$V$30+SUM('[1]Bilan 2022 réel'!$V$36:$V$40)+SUM('[1]Bilan 2022 réel'!$V$44:$V$45)+'[1]Bilan 2022 réel'!$V$47)/11.63</f>
        <v>20.358936597126686</v>
      </c>
      <c r="S40" s="170">
        <f t="shared" ref="S40:S46" si="9">SUM(O40:R40)</f>
        <v>37.245425371126601</v>
      </c>
      <c r="T40" s="272">
        <f>S40-'[1]Bilan 2022 réel'!$V$40/11.63</f>
        <v>33.84496208174091</v>
      </c>
      <c r="U40" s="175" t="s">
        <v>21</v>
      </c>
      <c r="V40" t="s">
        <v>560</v>
      </c>
      <c r="W40" t="s">
        <v>561</v>
      </c>
      <c r="X40" t="s">
        <v>562</v>
      </c>
      <c r="Y40" t="s">
        <v>563</v>
      </c>
      <c r="Z40" s="261">
        <v>0.30935707070000001</v>
      </c>
      <c r="AA40" s="261">
        <v>6.1152615319999999</v>
      </c>
      <c r="AB40" s="261">
        <v>14.673588240000001</v>
      </c>
      <c r="AC40" s="261">
        <v>19.069665570000002</v>
      </c>
      <c r="AD40" s="262">
        <v>40.167872412700007</v>
      </c>
    </row>
    <row r="41" spans="3:30" x14ac:dyDescent="0.25">
      <c r="C41" s="175" t="s">
        <v>22</v>
      </c>
      <c r="D41" t="s">
        <v>564</v>
      </c>
      <c r="E41" t="s">
        <v>565</v>
      </c>
      <c r="F41" t="s">
        <v>566</v>
      </c>
      <c r="G41" t="s">
        <v>567</v>
      </c>
      <c r="H41" s="8">
        <f>VLOOKUP(D41,Résultats!$B$2:$AX$476,'T energie vecteurs'!K5,FALSE)</f>
        <v>0</v>
      </c>
      <c r="I41" s="8">
        <f>VLOOKUP(E41,Résultats!$B$2:$AX$476,'T energie vecteurs'!K5,FALSE)</f>
        <v>2.7560931339999999</v>
      </c>
      <c r="J41" s="8">
        <f>VLOOKUP(F41,Résultats!$B$2:$AX$476,'T energie vecteurs'!K5,FALSE)</f>
        <v>11.080035609999999</v>
      </c>
      <c r="K41" s="8">
        <f>VLOOKUP(G41,Résultats!$B$2:$AX$476,'T energie vecteurs'!K5,FALSE)</f>
        <v>7.7470254709999997</v>
      </c>
      <c r="L41" s="121">
        <f t="shared" si="8"/>
        <v>21.583154215</v>
      </c>
      <c r="M41" s="99"/>
      <c r="N41" s="178" t="s">
        <v>22</v>
      </c>
      <c r="O41" s="36">
        <f>('[1]Bilan 2022 réel'!$W$46)/11.63</f>
        <v>3.2835727999999995E-2</v>
      </c>
      <c r="P41" s="35">
        <f>SUM('[1]Bilan 2022 réel'!$W$41:$W$43)/11.63</f>
        <v>2.0815720291000002</v>
      </c>
      <c r="Q41" s="35">
        <f>('[1]Bilan 2022 réel'!$W$13)/11.63</f>
        <v>11.4388796216681</v>
      </c>
      <c r="R41" s="35">
        <f>('[1]Bilan 2022 réel'!$W$22+'[1]Bilan 2022 réel'!$W$30+SUM('[1]Bilan 2022 réel'!$W$36:$W$40)+SUM('[1]Bilan 2022 réel'!$W$44:$W$45)+'[1]Bilan 2022 réel'!$W$47)/11.63</f>
        <v>7.4016622456291197</v>
      </c>
      <c r="S41" s="170">
        <f t="shared" si="9"/>
        <v>20.954949624397219</v>
      </c>
      <c r="T41" s="272">
        <f>S41-'[1]Bilan 2022 réel'!$W$40/11.63</f>
        <v>20.534610033301394</v>
      </c>
      <c r="U41" s="175" t="s">
        <v>22</v>
      </c>
      <c r="V41" t="s">
        <v>564</v>
      </c>
      <c r="W41" t="s">
        <v>565</v>
      </c>
      <c r="X41" t="s">
        <v>566</v>
      </c>
      <c r="Y41" t="s">
        <v>567</v>
      </c>
      <c r="Z41" s="8">
        <v>0</v>
      </c>
      <c r="AA41" s="8">
        <v>3.0089517360000002</v>
      </c>
      <c r="AB41" s="8">
        <v>12.796412650000001</v>
      </c>
      <c r="AC41" s="8">
        <v>9.2626327990000004</v>
      </c>
      <c r="AD41" s="121">
        <v>25.067997185000003</v>
      </c>
    </row>
    <row r="42" spans="3:30" x14ac:dyDescent="0.25">
      <c r="C42" s="175" t="s">
        <v>23</v>
      </c>
      <c r="H42" s="8">
        <f>SUM(H43:H45)</f>
        <v>2.6125003144000001</v>
      </c>
      <c r="I42" s="8">
        <f>SUM(I43:I45)</f>
        <v>13.601692476000002</v>
      </c>
      <c r="J42" s="8">
        <f>SUM(J43:J45)</f>
        <v>9.5789106178000001</v>
      </c>
      <c r="K42" s="8">
        <f>SUM(K43:K45)</f>
        <v>15.4450479757</v>
      </c>
      <c r="L42" s="121">
        <f t="shared" si="8"/>
        <v>41.238151383900004</v>
      </c>
      <c r="M42" s="99"/>
      <c r="N42" s="178" t="s">
        <v>252</v>
      </c>
      <c r="O42" s="36">
        <f>O43+O44</f>
        <v>4.5030917883254036</v>
      </c>
      <c r="P42" s="35">
        <f t="shared" ref="P42:R42" si="10">P43+P44</f>
        <v>11.747675010745624</v>
      </c>
      <c r="Q42" s="35">
        <f t="shared" si="10"/>
        <v>9.2559822012037838</v>
      </c>
      <c r="R42" s="35">
        <f t="shared" si="10"/>
        <v>13.798624448265977</v>
      </c>
      <c r="S42" s="170">
        <f t="shared" si="9"/>
        <v>39.305373448540784</v>
      </c>
      <c r="T42" s="272">
        <f t="shared" ref="T42" si="11">S42</f>
        <v>39.305373448540784</v>
      </c>
      <c r="U42" s="175" t="s">
        <v>23</v>
      </c>
      <c r="Z42" s="8">
        <v>2.5894166891000001</v>
      </c>
      <c r="AA42" s="8">
        <v>12.838508321000001</v>
      </c>
      <c r="AB42" s="8">
        <v>9.6564707698000003</v>
      </c>
      <c r="AC42" s="8">
        <v>15.9895936569</v>
      </c>
      <c r="AD42" s="121">
        <v>41.073989436799998</v>
      </c>
    </row>
    <row r="43" spans="3:30" x14ac:dyDescent="0.25">
      <c r="C43" s="177" t="s">
        <v>24</v>
      </c>
      <c r="D43" t="s">
        <v>568</v>
      </c>
      <c r="E43" t="s">
        <v>569</v>
      </c>
      <c r="F43" t="s">
        <v>570</v>
      </c>
      <c r="G43" t="s">
        <v>571</v>
      </c>
      <c r="H43" s="19">
        <f>VLOOKUP(D43,Résultats!$B$2:$AX$476,'T energie vecteurs'!K5,FALSE)</f>
        <v>1.737524216</v>
      </c>
      <c r="I43" s="19">
        <f>VLOOKUP(E43,Résultats!$B$2:$AX$476,'T energie vecteurs'!K5,FALSE)</f>
        <v>9.1747076980000006</v>
      </c>
      <c r="J43" s="19">
        <f>VLOOKUP(F43,Résultats!$B$2:$AX$476,'T energie vecteurs'!K5,FALSE)</f>
        <v>9.2599609990000005</v>
      </c>
      <c r="K43" s="19">
        <f>VLOOKUP(G43,Résultats!$B$2:$AX$476,'T energie vecteurs'!K5,FALSE)</f>
        <v>12.9265747</v>
      </c>
      <c r="L43" s="120">
        <f t="shared" si="8"/>
        <v>33.098767613000007</v>
      </c>
      <c r="M43" s="19"/>
      <c r="N43" s="177" t="s">
        <v>253</v>
      </c>
      <c r="O43" s="171">
        <f>'[1]Bilan 2022 réel'!$U$46/11.63</f>
        <v>0.63402045200000001</v>
      </c>
      <c r="P43" s="37">
        <f>SUM('[1]Bilan 2022 réel'!$U$41:$U$43)/11.63</f>
        <v>2.4775829957456241</v>
      </c>
      <c r="Q43" s="37">
        <f>'[1]Bilan 2022 réel'!$U$13/11.63</f>
        <v>9.2559822012037838</v>
      </c>
      <c r="R43" s="37">
        <f>('[1]Bilan 2022 réel'!$U$22+'[1]Bilan 2022 réel'!$U$30+SUM('[1]Bilan 2022 réel'!$U$36:$U$40)+SUM('[1]Bilan 2022 réel'!$U$44:$U$45)+'[1]Bilan 2022 réel'!$U$47)/11.63</f>
        <v>12.926272664087129</v>
      </c>
      <c r="S43" s="120">
        <f t="shared" si="9"/>
        <v>25.293858313036537</v>
      </c>
      <c r="T43" s="120"/>
      <c r="U43" s="177" t="s">
        <v>24</v>
      </c>
      <c r="V43" t="s">
        <v>568</v>
      </c>
      <c r="W43" t="s">
        <v>569</v>
      </c>
      <c r="X43" t="s">
        <v>570</v>
      </c>
      <c r="Y43" t="s">
        <v>571</v>
      </c>
      <c r="Z43" s="19">
        <v>1.704645185</v>
      </c>
      <c r="AA43" s="19">
        <v>8.5110894259999998</v>
      </c>
      <c r="AB43" s="19">
        <v>9.3330364479999997</v>
      </c>
      <c r="AC43" s="19">
        <v>13.451678599999999</v>
      </c>
      <c r="AD43" s="120">
        <v>33.000449658999997</v>
      </c>
    </row>
    <row r="44" spans="3:30" x14ac:dyDescent="0.25">
      <c r="C44" s="177" t="s">
        <v>129</v>
      </c>
      <c r="D44" t="s">
        <v>572</v>
      </c>
      <c r="E44" t="s">
        <v>573</v>
      </c>
      <c r="F44" t="s">
        <v>574</v>
      </c>
      <c r="G44" t="s">
        <v>575</v>
      </c>
      <c r="H44" s="19">
        <f>VLOOKUP(D44,Résultats!$B$2:$AX$476,'T energie vecteurs'!K5,FALSE)</f>
        <v>0.87497609840000001</v>
      </c>
      <c r="I44" s="19">
        <f>VLOOKUP(E44,Résultats!$B$2:$AX$476,'T energie vecteurs'!K5,FALSE)</f>
        <v>1.916614815</v>
      </c>
      <c r="J44" s="19">
        <f>VLOOKUP(F44,Résultats!$B$2:$AX$476,'T energie vecteurs'!K5,FALSE)</f>
        <v>0</v>
      </c>
      <c r="K44" s="19">
        <f>VLOOKUP(G44,Résultats!$B$2:$AX$476,'T energie vecteurs'!K5,FALSE)</f>
        <v>2.1370867250000001</v>
      </c>
      <c r="L44" s="120">
        <f t="shared" si="8"/>
        <v>4.9286776383999999</v>
      </c>
      <c r="M44" s="19"/>
      <c r="N44" s="177" t="s">
        <v>129</v>
      </c>
      <c r="O44" s="28">
        <f>'[1]Bilan 2022 réel'!$E$52/11.63</f>
        <v>3.8690713363254039</v>
      </c>
      <c r="P44" s="19">
        <f>('[1]Bilan 2022 réel'!$E$54+'[1]Bilan 2022 réel'!$E$56)/11.63</f>
        <v>9.2700920149999995</v>
      </c>
      <c r="Q44" s="19">
        <v>0</v>
      </c>
      <c r="R44" s="19">
        <f>('[1]Bilan 2022 réel'!$E$53+'[1]Bilan 2022 réel'!$E$55+'[1]Bilan 2022 réel'!$E$57)/11.63</f>
        <v>0.87235178417884784</v>
      </c>
      <c r="S44" s="120">
        <f t="shared" si="9"/>
        <v>14.011515135504252</v>
      </c>
      <c r="T44" s="120"/>
      <c r="U44" s="177" t="s">
        <v>129</v>
      </c>
      <c r="V44" t="s">
        <v>572</v>
      </c>
      <c r="W44" t="s">
        <v>573</v>
      </c>
      <c r="X44" t="s">
        <v>574</v>
      </c>
      <c r="Y44" t="s">
        <v>575</v>
      </c>
      <c r="Z44" s="19">
        <v>0.88477150410000005</v>
      </c>
      <c r="AA44" s="19">
        <v>1.9045931359999999</v>
      </c>
      <c r="AB44" s="19">
        <v>0</v>
      </c>
      <c r="AC44" s="19">
        <v>2.1523416530000001</v>
      </c>
      <c r="AD44" s="120">
        <v>4.9417062931000002</v>
      </c>
    </row>
    <row r="45" spans="3:30" x14ac:dyDescent="0.25">
      <c r="C45" s="177" t="s">
        <v>25</v>
      </c>
      <c r="D45" t="s">
        <v>576</v>
      </c>
      <c r="E45" t="s">
        <v>577</v>
      </c>
      <c r="F45" t="s">
        <v>578</v>
      </c>
      <c r="G45" t="s">
        <v>579</v>
      </c>
      <c r="H45" s="19">
        <f>VLOOKUP(D45,Résultats!$B$2:$AX$476,'T energie vecteurs'!K5,FALSE)</f>
        <v>0</v>
      </c>
      <c r="I45" s="19">
        <f>VLOOKUP(E45,Résultats!$B$2:$AX$476,'T energie vecteurs'!K5,FALSE)</f>
        <v>2.510369963</v>
      </c>
      <c r="J45" s="19">
        <f>VLOOKUP(F45,Résultats!$B$2:$AX$476,'T energie vecteurs'!K5,FALSE)</f>
        <v>0.3189496188</v>
      </c>
      <c r="K45" s="19">
        <f>VLOOKUP(G45,Résultats!$B$2:$AX$476,'T energie vecteurs'!K5,FALSE)</f>
        <v>0.38138655069999999</v>
      </c>
      <c r="L45" s="120">
        <f t="shared" si="8"/>
        <v>3.2107061324999999</v>
      </c>
      <c r="M45" s="19"/>
      <c r="N45" s="178" t="s">
        <v>25</v>
      </c>
      <c r="O45" s="36">
        <f>'[1]Bilan 2022 réel'!$T$46/11.63</f>
        <v>1.651664E-3</v>
      </c>
      <c r="P45" s="35">
        <f>SUM('[1]Bilan 2022 réel'!$T$41:$T$43)/11.63</f>
        <v>3.5697769387513203</v>
      </c>
      <c r="Q45" s="35">
        <f>'[1]Bilan 2022 réel'!$T$13/11.63</f>
        <v>0.67291487532244199</v>
      </c>
      <c r="R45" s="35">
        <f>('[1]Bilan 2022 réel'!$T$22+'[1]Bilan 2022 réel'!$T$30+SUM('[1]Bilan 2022 réel'!$T$36:$T$40)+SUM('[1]Bilan 2022 réel'!$T$44:$T$45)+'[1]Bilan 2022 réel'!$T$47)/11.63</f>
        <v>0.43996563007547523</v>
      </c>
      <c r="S45" s="170">
        <f t="shared" si="9"/>
        <v>4.6843091081492378</v>
      </c>
      <c r="T45" s="272">
        <f>S45</f>
        <v>4.6843091081492378</v>
      </c>
      <c r="U45" s="177" t="s">
        <v>25</v>
      </c>
      <c r="V45" t="s">
        <v>576</v>
      </c>
      <c r="W45" t="s">
        <v>577</v>
      </c>
      <c r="X45" t="s">
        <v>578</v>
      </c>
      <c r="Y45" t="s">
        <v>579</v>
      </c>
      <c r="Z45" s="19">
        <v>0</v>
      </c>
      <c r="AA45" s="19">
        <v>2.4228257590000002</v>
      </c>
      <c r="AB45" s="19">
        <v>0.32343432179999998</v>
      </c>
      <c r="AC45" s="19">
        <v>0.3855734039</v>
      </c>
      <c r="AD45" s="120">
        <v>3.1318334847</v>
      </c>
    </row>
    <row r="46" spans="3:30" x14ac:dyDescent="0.25">
      <c r="C46" s="29" t="s">
        <v>26</v>
      </c>
      <c r="D46" s="10"/>
      <c r="E46" s="10"/>
      <c r="F46" s="10"/>
      <c r="G46" s="10"/>
      <c r="H46" s="9">
        <f>SUM(H37,H40:H42)</f>
        <v>2.9171066502</v>
      </c>
      <c r="I46" s="9">
        <f>SUM(I37,I40:I42)</f>
        <v>64.148748549999993</v>
      </c>
      <c r="J46" s="9">
        <f>SUM(J37,J40:J42)</f>
        <v>37.021528011800001</v>
      </c>
      <c r="K46" s="9">
        <f>SUM(K37,K40:K42)</f>
        <v>42.190793413183997</v>
      </c>
      <c r="L46" s="123">
        <f t="shared" si="8"/>
        <v>146.27817662518399</v>
      </c>
      <c r="M46" s="105"/>
      <c r="N46" s="179" t="s">
        <v>26</v>
      </c>
      <c r="O46" s="40">
        <f>O37+O40+O41+O42+O45</f>
        <v>4.5640554973254037</v>
      </c>
      <c r="P46" s="38">
        <f>P37+P40+P41+P42+P45</f>
        <v>64.295512199141086</v>
      </c>
      <c r="Q46" s="38">
        <f>Q37+Q40+Q41+Q42+Q45</f>
        <v>35.657811435941532</v>
      </c>
      <c r="R46" s="38">
        <f>R37+R40+R41+R42+R45</f>
        <v>42.318045756866823</v>
      </c>
      <c r="S46" s="172">
        <f t="shared" si="9"/>
        <v>146.83542488927486</v>
      </c>
      <c r="T46" s="271">
        <f>SUM(T37:T45)</f>
        <v>143.01462200879334</v>
      </c>
      <c r="U46" s="29" t="s">
        <v>26</v>
      </c>
      <c r="V46" s="10"/>
      <c r="W46" s="10"/>
      <c r="X46" s="10"/>
      <c r="Y46" s="10"/>
      <c r="Z46" s="9">
        <v>2.8987737598000001</v>
      </c>
      <c r="AA46" s="9">
        <v>64.159521389000005</v>
      </c>
      <c r="AB46" s="9">
        <v>38.678367707100001</v>
      </c>
      <c r="AC46" s="9">
        <v>44.699196808812097</v>
      </c>
      <c r="AD46" s="123">
        <v>150.4358596647121</v>
      </c>
    </row>
    <row r="47" spans="3:30" s="3" customFormat="1" x14ac:dyDescent="0.25">
      <c r="H47" s="69"/>
      <c r="I47" s="69"/>
      <c r="J47" s="69"/>
      <c r="K47" s="69"/>
      <c r="L47" s="69"/>
      <c r="M47" s="69"/>
      <c r="N47" s="69"/>
      <c r="O47" s="103"/>
      <c r="P47" s="103"/>
      <c r="Q47" s="103"/>
      <c r="R47" s="104"/>
      <c r="S47" s="69"/>
      <c r="T47" s="69"/>
      <c r="Z47" s="69"/>
      <c r="AA47" s="69"/>
      <c r="AB47" s="69"/>
      <c r="AC47" s="69"/>
      <c r="AD47" s="69"/>
    </row>
    <row r="48" spans="3:30" s="3" customFormat="1" x14ac:dyDescent="0.25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Z48" s="69"/>
      <c r="AA48" s="69"/>
      <c r="AB48" s="69"/>
      <c r="AC48" s="69"/>
      <c r="AD48" s="69"/>
    </row>
    <row r="49" spans="2:30" ht="31.5" x14ac:dyDescent="0.35">
      <c r="C49" s="173">
        <v>2023</v>
      </c>
      <c r="D49" s="174"/>
      <c r="E49" s="174"/>
      <c r="F49" s="174"/>
      <c r="G49" s="174"/>
      <c r="H49" s="101" t="s">
        <v>36</v>
      </c>
      <c r="I49" s="101" t="s">
        <v>131</v>
      </c>
      <c r="J49" s="101" t="s">
        <v>38</v>
      </c>
      <c r="K49" s="101" t="s">
        <v>130</v>
      </c>
      <c r="L49" s="118" t="s">
        <v>1</v>
      </c>
      <c r="M49" s="25"/>
      <c r="N49" s="173">
        <v>2023</v>
      </c>
      <c r="O49" s="169" t="s">
        <v>36</v>
      </c>
      <c r="P49" s="101" t="s">
        <v>131</v>
      </c>
      <c r="Q49" s="101" t="s">
        <v>38</v>
      </c>
      <c r="R49" s="101" t="s">
        <v>130</v>
      </c>
      <c r="S49" s="118" t="s">
        <v>1</v>
      </c>
      <c r="T49" s="270" t="s">
        <v>580</v>
      </c>
      <c r="U49" s="173">
        <v>2023</v>
      </c>
      <c r="V49" s="174"/>
      <c r="W49" s="174"/>
      <c r="X49" s="174"/>
      <c r="Y49" s="174"/>
      <c r="Z49" s="101" t="s">
        <v>36</v>
      </c>
      <c r="AA49" s="101" t="s">
        <v>131</v>
      </c>
      <c r="AB49" s="101" t="s">
        <v>38</v>
      </c>
      <c r="AC49" s="101" t="s">
        <v>130</v>
      </c>
      <c r="AD49" s="118" t="s">
        <v>1</v>
      </c>
    </row>
    <row r="50" spans="2:30" x14ac:dyDescent="0.25">
      <c r="C50" s="175" t="s">
        <v>18</v>
      </c>
      <c r="H50" s="8">
        <f>SUM(H51:H52)</f>
        <v>0</v>
      </c>
      <c r="I50" s="8">
        <f>SUM(I51:I52)</f>
        <v>41.416219069999997</v>
      </c>
      <c r="J50" s="8">
        <f>SUM(J51:J52)</f>
        <v>2.0407383739</v>
      </c>
      <c r="K50" s="8">
        <f>SUM(K51:K52)</f>
        <v>0.4327366716728</v>
      </c>
      <c r="L50" s="121">
        <f>SUM(H50:K50)</f>
        <v>43.889694115572794</v>
      </c>
      <c r="M50" s="99"/>
      <c r="N50" s="178" t="s">
        <v>18</v>
      </c>
      <c r="O50" s="36">
        <f>'[1]Bilan 2023 réel'!$X$46/11.63</f>
        <v>0</v>
      </c>
      <c r="P50" s="35">
        <f>SUM('[1]Bilan 2023 réel'!$X$41:$X$43)/11.63</f>
        <v>42.139633010859157</v>
      </c>
      <c r="Q50" s="35">
        <f>'[1]Bilan 2023 réel'!$X$13/11.63</f>
        <v>0.9065512467755803</v>
      </c>
      <c r="R50" s="35">
        <f>('[1]Bilan 2023 réel'!$X$22+'[1]Bilan 2023 réel'!$X$30+SUM('[1]Bilan 2023 réel'!$X$36:$X$40)+SUM('[1]Bilan 2023 réel'!$X$44:$X$45)+'[1]Bilan 2023 réel'!$X$47)/11.63</f>
        <v>0.31885683576956142</v>
      </c>
      <c r="S50" s="170">
        <f>SUM(O50:R50)</f>
        <v>43.365041093404294</v>
      </c>
      <c r="T50" s="272">
        <f>S50</f>
        <v>43.365041093404294</v>
      </c>
      <c r="U50" s="175" t="s">
        <v>18</v>
      </c>
      <c r="Z50" s="8">
        <v>0</v>
      </c>
      <c r="AA50" s="8">
        <v>42.04377126</v>
      </c>
      <c r="AB50" s="8">
        <v>1.6290970059000001</v>
      </c>
      <c r="AC50" s="8">
        <v>0.42044466549120002</v>
      </c>
      <c r="AD50" s="121">
        <v>44.093312931391203</v>
      </c>
    </row>
    <row r="51" spans="2:30" x14ac:dyDescent="0.25">
      <c r="C51" s="176" t="s">
        <v>19</v>
      </c>
      <c r="D51" t="s">
        <v>552</v>
      </c>
      <c r="E51" t="s">
        <v>553</v>
      </c>
      <c r="F51" t="s">
        <v>554</v>
      </c>
      <c r="G51" t="s">
        <v>555</v>
      </c>
      <c r="H51" s="19">
        <f>VLOOKUP(D51,Résultats!$B$2:$AX$476,'T energie vecteurs'!L5,FALSE)</f>
        <v>0</v>
      </c>
      <c r="I51" s="19">
        <f>VLOOKUP(E51,Résultats!$B$2:$AX$476,'T energie vecteurs'!L5,FALSE)</f>
        <v>22.453249110000002</v>
      </c>
      <c r="J51" s="19">
        <f>VLOOKUP(F51,Résultats!$B$2:$AX$476,'T energie vecteurs'!L5,FALSE)</f>
        <v>0.19361528089999999</v>
      </c>
      <c r="K51" s="19">
        <f>VLOOKUP(G51,Résultats!$B$2:$AX$476,'T energie vecteurs'!L5,FALSE)</f>
        <v>2.0821972800000001E-5</v>
      </c>
      <c r="L51" s="120">
        <f t="shared" ref="L51:L52" si="12">SUM(H51:K51)</f>
        <v>22.646885212872803</v>
      </c>
      <c r="M51" s="19"/>
      <c r="N51" s="176" t="s">
        <v>19</v>
      </c>
      <c r="O51" s="171"/>
      <c r="P51" s="19"/>
      <c r="Q51" s="55"/>
      <c r="R51" s="19"/>
      <c r="S51" s="120"/>
      <c r="T51" s="120"/>
      <c r="U51" s="176" t="s">
        <v>19</v>
      </c>
      <c r="V51" t="s">
        <v>552</v>
      </c>
      <c r="W51" t="s">
        <v>553</v>
      </c>
      <c r="X51" t="s">
        <v>554</v>
      </c>
      <c r="Y51" t="s">
        <v>555</v>
      </c>
      <c r="Z51" s="19">
        <v>0</v>
      </c>
      <c r="AA51" s="19">
        <v>23.003747260000001</v>
      </c>
      <c r="AB51" s="19">
        <v>0.22141492290000001</v>
      </c>
      <c r="AC51" s="19">
        <v>1.89428912E-5</v>
      </c>
      <c r="AD51" s="120">
        <v>23.225181125791199</v>
      </c>
    </row>
    <row r="52" spans="2:30" x14ac:dyDescent="0.25">
      <c r="C52" s="177" t="s">
        <v>20</v>
      </c>
      <c r="D52" t="s">
        <v>556</v>
      </c>
      <c r="E52" t="s">
        <v>557</v>
      </c>
      <c r="F52" t="s">
        <v>558</v>
      </c>
      <c r="G52" t="s">
        <v>559</v>
      </c>
      <c r="H52" s="19">
        <f>VLOOKUP(D52,Résultats!$B$2:$AX$476,'T energie vecteurs'!L5,FALSE)</f>
        <v>0</v>
      </c>
      <c r="I52" s="19">
        <f>VLOOKUP(E52,Résultats!$B$2:$AX$476,'T energie vecteurs'!L5,FALSE)</f>
        <v>18.962969959999999</v>
      </c>
      <c r="J52" s="19">
        <f>VLOOKUP(F52,Résultats!$B$2:$AX$476,'T energie vecteurs'!L5,FALSE)</f>
        <v>1.847123093</v>
      </c>
      <c r="K52" s="19">
        <f>VLOOKUP(G52,Résultats!$B$2:$AX$476,'T energie vecteurs'!L5,FALSE)</f>
        <v>0.43271584969999999</v>
      </c>
      <c r="L52" s="120">
        <f t="shared" si="12"/>
        <v>21.242808902699998</v>
      </c>
      <c r="M52" s="19"/>
      <c r="N52" s="177" t="s">
        <v>20</v>
      </c>
      <c r="O52" s="171"/>
      <c r="P52" s="19"/>
      <c r="Q52" s="55"/>
      <c r="R52" s="19"/>
      <c r="S52" s="120"/>
      <c r="T52" s="120"/>
      <c r="U52" s="177" t="s">
        <v>20</v>
      </c>
      <c r="V52" t="s">
        <v>556</v>
      </c>
      <c r="W52" t="s">
        <v>557</v>
      </c>
      <c r="X52" t="s">
        <v>558</v>
      </c>
      <c r="Y52" t="s">
        <v>559</v>
      </c>
      <c r="Z52" s="19">
        <v>0</v>
      </c>
      <c r="AA52" s="19">
        <v>19.040023999999999</v>
      </c>
      <c r="AB52" s="19">
        <v>1.4076820830000001</v>
      </c>
      <c r="AC52" s="19">
        <v>0.4204257226</v>
      </c>
      <c r="AD52" s="120">
        <v>20.868131805600001</v>
      </c>
    </row>
    <row r="53" spans="2:30" x14ac:dyDescent="0.25">
      <c r="C53" s="175" t="s">
        <v>21</v>
      </c>
      <c r="D53" t="s">
        <v>560</v>
      </c>
      <c r="E53" t="s">
        <v>561</v>
      </c>
      <c r="F53" t="s">
        <v>562</v>
      </c>
      <c r="G53" t="s">
        <v>563</v>
      </c>
      <c r="H53" s="8">
        <f>VLOOKUP(D53,Résultats!$B$2:$AX$476,'T energie vecteurs'!L5,FALSE)</f>
        <v>0.29832752829999998</v>
      </c>
      <c r="I53" s="8">
        <f>VLOOKUP(E53,Résultats!$B$2:$AX$476,'T energie vecteurs'!L5,FALSE)</f>
        <v>6.2307846810000003</v>
      </c>
      <c r="J53" s="8">
        <f>VLOOKUP(F53,Résultats!$B$2:$AX$476,'T energie vecteurs'!L5,FALSE)</f>
        <v>14.598389299999999</v>
      </c>
      <c r="K53" s="8">
        <f>VLOOKUP(G53,Résultats!$B$2:$AX$476,'T energie vecteurs'!L5,FALSE)+2</f>
        <v>18.486711060000001</v>
      </c>
      <c r="L53" s="121">
        <f>SUM(H53:K53)</f>
        <v>39.614212569300001</v>
      </c>
      <c r="M53" s="99"/>
      <c r="N53" s="178" t="s">
        <v>21</v>
      </c>
      <c r="O53" s="36">
        <f>'[1]Bilan 2023 réel'!$V$46/11.63</f>
        <v>1.9785054E-2</v>
      </c>
      <c r="P53" s="35">
        <f>SUM('[1]Bilan 2023 réel'!$V$41:$V$43)/11.63</f>
        <v>3.0423469738</v>
      </c>
      <c r="Q53" s="35">
        <f>'[1]Bilan 2023 réel'!$V$13/11.63</f>
        <v>13.020267239896821</v>
      </c>
      <c r="R53" s="35">
        <f>('[1]Bilan 2023 réel'!$V$22+'[1]Bilan 2023 réel'!$V$30+SUM('[1]Bilan 2023 réel'!$V$36:$V$40)+SUM('[1]Bilan 2023 réel'!$V$44:$V$45)+'[1]Bilan 2023 réel'!$V$47)/11.63</f>
        <v>20.330842243575045</v>
      </c>
      <c r="S53" s="170">
        <f t="shared" ref="S53:S59" si="13">SUM(O53:R53)</f>
        <v>36.413241511271863</v>
      </c>
      <c r="T53" s="272">
        <f>S53-'[1]Bilan 2023 réel'!$V$40/11.63</f>
        <v>32.592131092813851</v>
      </c>
      <c r="U53" s="175" t="s">
        <v>21</v>
      </c>
      <c r="V53" t="s">
        <v>560</v>
      </c>
      <c r="W53" t="s">
        <v>561</v>
      </c>
      <c r="X53" t="s">
        <v>562</v>
      </c>
      <c r="Y53" t="s">
        <v>563</v>
      </c>
      <c r="Z53" s="261">
        <v>0.3011587309</v>
      </c>
      <c r="AA53" s="261">
        <v>5.937017838</v>
      </c>
      <c r="AB53" s="261">
        <v>14.805342960000001</v>
      </c>
      <c r="AC53" s="261">
        <v>18.847947080000001</v>
      </c>
      <c r="AD53" s="262">
        <v>39.891466608900004</v>
      </c>
    </row>
    <row r="54" spans="2:30" x14ac:dyDescent="0.25">
      <c r="C54" s="175" t="s">
        <v>22</v>
      </c>
      <c r="D54" t="s">
        <v>564</v>
      </c>
      <c r="E54" t="s">
        <v>565</v>
      </c>
      <c r="F54" t="s">
        <v>566</v>
      </c>
      <c r="G54" t="s">
        <v>567</v>
      </c>
      <c r="H54" s="8">
        <f>VLOOKUP(D54,Résultats!$B$2:$AX$476,'T energie vecteurs'!L5,FALSE)</f>
        <v>0</v>
      </c>
      <c r="I54" s="8">
        <f>VLOOKUP(E54,Résultats!$B$2:$AX$476,'T energie vecteurs'!L5,FALSE)</f>
        <v>2.7736646770000002</v>
      </c>
      <c r="J54" s="8">
        <f>VLOOKUP(F54,Résultats!$B$2:$AX$476,'T energie vecteurs'!L5,FALSE)</f>
        <v>11.00789378</v>
      </c>
      <c r="K54" s="8">
        <f>VLOOKUP(G54,Résultats!$B$2:$AX$476,'T energie vecteurs'!L5,FALSE)</f>
        <v>7.7152301169999999</v>
      </c>
      <c r="L54" s="121">
        <f t="shared" ref="L54:L56" si="14">SUM(H54:K54)</f>
        <v>21.496788574</v>
      </c>
      <c r="M54" s="99"/>
      <c r="N54" s="178" t="s">
        <v>22</v>
      </c>
      <c r="O54" s="36">
        <f>('[1]Bilan 2023 réel'!$W$46)/11.63</f>
        <v>2.9470376E-2</v>
      </c>
      <c r="P54" s="35">
        <f>SUM('[1]Bilan 2023 réel'!$W$41:$W$43)/11.63</f>
        <v>2.063881609425366</v>
      </c>
      <c r="Q54" s="35">
        <f>('[1]Bilan 2023 réel'!$W$13)/11.63</f>
        <v>11.200373602751505</v>
      </c>
      <c r="R54" s="35">
        <f>('[1]Bilan 2023 réel'!$W$22+'[1]Bilan 2023 réel'!$W$30+SUM('[1]Bilan 2023 réel'!$W$36:$W$40)+SUM('[1]Bilan 2023 réel'!$W$44:$W$45)+'[1]Bilan 2023 réel'!$W$47)/11.63</f>
        <v>7.0633917765357781</v>
      </c>
      <c r="S54" s="170">
        <f t="shared" si="13"/>
        <v>20.35711736471265</v>
      </c>
      <c r="T54" s="272">
        <f>S54-'[1]Bilan 2023 réel'!$W$40/11.63</f>
        <v>19.922166758044071</v>
      </c>
      <c r="U54" s="175" t="s">
        <v>22</v>
      </c>
      <c r="V54" t="s">
        <v>564</v>
      </c>
      <c r="W54" t="s">
        <v>565</v>
      </c>
      <c r="X54" t="s">
        <v>566</v>
      </c>
      <c r="Y54" t="s">
        <v>567</v>
      </c>
      <c r="Z54" s="8">
        <v>0</v>
      </c>
      <c r="AA54" s="8">
        <v>3.0105893930000001</v>
      </c>
      <c r="AB54" s="8">
        <v>12.833197009999999</v>
      </c>
      <c r="AC54" s="8">
        <v>9.2118265479999994</v>
      </c>
      <c r="AD54" s="121">
        <v>25.055612951000001</v>
      </c>
    </row>
    <row r="55" spans="2:30" x14ac:dyDescent="0.25">
      <c r="C55" s="175" t="s">
        <v>23</v>
      </c>
      <c r="H55" s="8">
        <f>SUM(H56:H58)</f>
        <v>2.6360237221</v>
      </c>
      <c r="I55" s="8">
        <f>SUM(I56:I58)</f>
        <v>13.72304984</v>
      </c>
      <c r="J55" s="8">
        <f>SUM(J56:J58)</f>
        <v>9.8631434754999994</v>
      </c>
      <c r="K55" s="8">
        <f>SUM(K56:K58)</f>
        <v>15.7064548681</v>
      </c>
      <c r="L55" s="121">
        <f t="shared" si="14"/>
        <v>41.9286719057</v>
      </c>
      <c r="M55" s="99"/>
      <c r="N55" s="178" t="s">
        <v>252</v>
      </c>
      <c r="O55" s="36">
        <f>O56+O57</f>
        <v>3.8091541290558895</v>
      </c>
      <c r="P55" s="35">
        <f t="shared" ref="P55:R55" si="15">P56+P57</f>
        <v>12.120619615422576</v>
      </c>
      <c r="Q55" s="35">
        <f t="shared" si="15"/>
        <v>8.8688043852106624</v>
      </c>
      <c r="R55" s="35">
        <f t="shared" si="15"/>
        <v>13.009554326375659</v>
      </c>
      <c r="S55" s="170">
        <f t="shared" si="13"/>
        <v>37.808132456064783</v>
      </c>
      <c r="T55" s="272">
        <f t="shared" ref="T55" si="16">S55</f>
        <v>37.808132456064783</v>
      </c>
      <c r="U55" s="175" t="s">
        <v>23</v>
      </c>
      <c r="Z55" s="243">
        <v>2.6017189035000001</v>
      </c>
      <c r="AA55" s="243">
        <v>12.792955195000001</v>
      </c>
      <c r="AB55" s="8">
        <v>9.9821471652000007</v>
      </c>
      <c r="AC55" s="243">
        <v>16.2672360593</v>
      </c>
      <c r="AD55" s="121">
        <v>41.644057322999998</v>
      </c>
    </row>
    <row r="56" spans="2:30" x14ac:dyDescent="0.25">
      <c r="C56" s="177" t="s">
        <v>24</v>
      </c>
      <c r="D56" t="s">
        <v>568</v>
      </c>
      <c r="E56" t="s">
        <v>569</v>
      </c>
      <c r="F56" t="s">
        <v>570</v>
      </c>
      <c r="G56" t="s">
        <v>571</v>
      </c>
      <c r="H56" s="19">
        <f>VLOOKUP(D56,Résultats!$B$2:$AX$476,'T energie vecteurs'!L5,FALSE)</f>
        <v>1.742188165</v>
      </c>
      <c r="I56" s="19">
        <f>VLOOKUP(E56,Résultats!$B$2:$AX$476,'T energie vecteurs'!L5,FALSE)</f>
        <v>9.1752799679999999</v>
      </c>
      <c r="J56" s="19">
        <f>VLOOKUP(F56,Résultats!$B$2:$AX$476,'T energie vecteurs'!L5,FALSE)</f>
        <v>9.5381223439999996</v>
      </c>
      <c r="K56" s="19">
        <f>VLOOKUP(G56,Résultats!$B$2:$AX$476,'T energie vecteurs'!L5,FALSE)</f>
        <v>13.14274361</v>
      </c>
      <c r="L56" s="120">
        <f t="shared" si="14"/>
        <v>33.598334086999998</v>
      </c>
      <c r="M56" s="19"/>
      <c r="N56" s="177" t="s">
        <v>253</v>
      </c>
      <c r="O56" s="171">
        <f>'[1]Bilan 2023 réel'!$U$46/11.63</f>
        <v>0.58092196100000004</v>
      </c>
      <c r="P56" s="37">
        <f>SUM('[1]Bilan 2023 réel'!$U$41:$U$43)/11.63</f>
        <v>2.395717067522579</v>
      </c>
      <c r="Q56" s="37">
        <f>'[1]Bilan 2023 réel'!$U$13/11.63</f>
        <v>8.8688043852106624</v>
      </c>
      <c r="R56" s="37">
        <f>('[1]Bilan 2023 réel'!$U$22+'[1]Bilan 2023 réel'!$U$30+SUM('[1]Bilan 2023 réel'!$U$36:$U$40)+SUM('[1]Bilan 2023 réel'!$U$44:$U$45)+'[1]Bilan 2023 réel'!$U$47)/11.63</f>
        <v>12.148361914509794</v>
      </c>
      <c r="S56" s="120">
        <f t="shared" si="13"/>
        <v>23.993805328243035</v>
      </c>
      <c r="T56" s="120"/>
      <c r="U56" s="177" t="s">
        <v>24</v>
      </c>
      <c r="V56" t="s">
        <v>568</v>
      </c>
      <c r="W56" t="s">
        <v>569</v>
      </c>
      <c r="X56" t="s">
        <v>570</v>
      </c>
      <c r="Y56" t="s">
        <v>571</v>
      </c>
      <c r="Z56" s="19">
        <v>1.700369947</v>
      </c>
      <c r="AA56" s="19">
        <v>8.3935604060000006</v>
      </c>
      <c r="AB56" s="19">
        <v>9.6501702859999998</v>
      </c>
      <c r="AC56" s="19">
        <v>13.68784718</v>
      </c>
      <c r="AD56" s="120">
        <v>33.431947819000001</v>
      </c>
    </row>
    <row r="57" spans="2:30" x14ac:dyDescent="0.25">
      <c r="C57" s="177" t="s">
        <v>129</v>
      </c>
      <c r="D57" t="s">
        <v>572</v>
      </c>
      <c r="E57" t="s">
        <v>573</v>
      </c>
      <c r="F57" t="s">
        <v>574</v>
      </c>
      <c r="G57" t="s">
        <v>575</v>
      </c>
      <c r="H57" s="19">
        <f>VLOOKUP(D57,Résultats!$B$2:$AX$476,'T energie vecteurs'!L5,FALSE)</f>
        <v>0.89383555709999996</v>
      </c>
      <c r="I57" s="19">
        <f>VLOOKUP(E57,Résultats!$B$2:$AX$476,'T energie vecteurs'!L5,FALSE)</f>
        <v>1.958117039</v>
      </c>
      <c r="J57" s="19">
        <f>VLOOKUP(F57,Résultats!$B$2:$AX$476,'T energie vecteurs'!L5,FALSE)</f>
        <v>0</v>
      </c>
      <c r="K57" s="19">
        <f>VLOOKUP(G57,Résultats!$B$2:$AX$476,'T energie vecteurs'!L5,FALSE)</f>
        <v>2.1721722109999999</v>
      </c>
      <c r="L57" s="120">
        <f>SUM(H57:K57)</f>
        <v>5.0241248070999998</v>
      </c>
      <c r="M57" s="19"/>
      <c r="N57" s="177" t="s">
        <v>129</v>
      </c>
      <c r="O57" s="28">
        <f>'[1]Bilan 2023 réel'!$E$52/11.63</f>
        <v>3.2282321680558894</v>
      </c>
      <c r="P57" s="19">
        <f>('[1]Bilan 2023 réel'!$E$54+'[1]Bilan 2023 réel'!$E$56)/11.63</f>
        <v>9.7249025478999975</v>
      </c>
      <c r="Q57" s="19">
        <v>0</v>
      </c>
      <c r="R57" s="19">
        <f>('[1]Bilan 2023 réel'!$E$53+'[1]Bilan 2023 réel'!$E$55+'[1]Bilan 2023 réel'!$E$57)/11.63</f>
        <v>0.86119241186586415</v>
      </c>
      <c r="S57" s="120">
        <f t="shared" si="13"/>
        <v>13.814327127821752</v>
      </c>
      <c r="T57" s="120"/>
      <c r="U57" s="177" t="s">
        <v>129</v>
      </c>
      <c r="V57" t="s">
        <v>572</v>
      </c>
      <c r="W57" t="s">
        <v>573</v>
      </c>
      <c r="X57" t="s">
        <v>574</v>
      </c>
      <c r="Y57" t="s">
        <v>575</v>
      </c>
      <c r="Z57" s="19">
        <v>0.90134895650000002</v>
      </c>
      <c r="AA57" s="19">
        <v>1.9408582679999999</v>
      </c>
      <c r="AB57" s="19">
        <v>0</v>
      </c>
      <c r="AC57" s="19">
        <v>2.183374583</v>
      </c>
      <c r="AD57" s="120">
        <v>5.0255818075000001</v>
      </c>
    </row>
    <row r="58" spans="2:30" x14ac:dyDescent="0.25">
      <c r="C58" s="177" t="s">
        <v>25</v>
      </c>
      <c r="D58" t="s">
        <v>576</v>
      </c>
      <c r="E58" t="s">
        <v>577</v>
      </c>
      <c r="F58" t="s">
        <v>578</v>
      </c>
      <c r="G58" t="s">
        <v>579</v>
      </c>
      <c r="H58" s="19">
        <f>VLOOKUP(D58,Résultats!$B$2:$AX$476,'T energie vecteurs'!L5,FALSE)</f>
        <v>0</v>
      </c>
      <c r="I58" s="19">
        <f>VLOOKUP(E58,Résultats!$B$2:$AX$476,'T energie vecteurs'!L5,FALSE)</f>
        <v>2.5896528330000002</v>
      </c>
      <c r="J58" s="19">
        <f>VLOOKUP(F58,Résultats!$B$2:$AX$476,'T energie vecteurs'!L5,FALSE)</f>
        <v>0.3250211315</v>
      </c>
      <c r="K58" s="19">
        <f>VLOOKUP(G58,Résultats!$B$2:$AX$476,'T energie vecteurs'!L5,FALSE)</f>
        <v>0.39153904709999998</v>
      </c>
      <c r="L58" s="120">
        <f t="shared" ref="L58" si="17">SUM(H58:K58)</f>
        <v>3.3062130116000006</v>
      </c>
      <c r="M58" s="19"/>
      <c r="N58" s="178" t="s">
        <v>25</v>
      </c>
      <c r="O58" s="36">
        <f>'[1]Bilan 2023 réel'!$T$46/11.63</f>
        <v>1.221354E-3</v>
      </c>
      <c r="P58" s="35">
        <f>SUM('[1]Bilan 2023 réel'!$T$41:$T$43)/11.63</f>
        <v>3.4194391444513199</v>
      </c>
      <c r="Q58" s="35">
        <f>'[1]Bilan 2023 réel'!$T$13/11.63</f>
        <v>0.65647798796216683</v>
      </c>
      <c r="R58" s="35">
        <f>('[1]Bilan 2023 réel'!$T$22+'[1]Bilan 2023 réel'!$T$30+SUM('[1]Bilan 2023 réel'!$T$36:$T$40)+SUM('[1]Bilan 2023 réel'!$T$44:$T$45)+'[1]Bilan 2023 réel'!$T$47)/11.63</f>
        <v>0.44186481322250887</v>
      </c>
      <c r="S58" s="170">
        <f t="shared" si="13"/>
        <v>4.5190032996359957</v>
      </c>
      <c r="T58" s="272">
        <f>S58</f>
        <v>4.5190032996359957</v>
      </c>
      <c r="U58" s="177" t="s">
        <v>25</v>
      </c>
      <c r="V58" t="s">
        <v>576</v>
      </c>
      <c r="W58" t="s">
        <v>577</v>
      </c>
      <c r="X58" t="s">
        <v>578</v>
      </c>
      <c r="Y58" t="s">
        <v>579</v>
      </c>
      <c r="Z58" s="19">
        <v>0</v>
      </c>
      <c r="AA58" s="19">
        <v>2.4585365210000001</v>
      </c>
      <c r="AB58" s="19">
        <v>0.33197687920000002</v>
      </c>
      <c r="AC58" s="19">
        <v>0.39601429630000001</v>
      </c>
      <c r="AD58" s="120">
        <v>3.1865276965000002</v>
      </c>
    </row>
    <row r="59" spans="2:30" x14ac:dyDescent="0.25">
      <c r="C59" s="29" t="s">
        <v>26</v>
      </c>
      <c r="D59" s="10"/>
      <c r="E59" s="10"/>
      <c r="F59" s="10"/>
      <c r="G59" s="10"/>
      <c r="H59" s="9">
        <f>SUM(H50,H53:H55)</f>
        <v>2.9343512503999998</v>
      </c>
      <c r="I59" s="9">
        <f>SUM(I50,I53:I55)</f>
        <v>64.143718268000001</v>
      </c>
      <c r="J59" s="9">
        <f>SUM(J50,J53:J55)</f>
        <v>37.510164929399998</v>
      </c>
      <c r="K59" s="9">
        <f>SUM(K50,K53:K55)</f>
        <v>42.341132716772805</v>
      </c>
      <c r="L59" s="123">
        <f>SUM(H59:K59)</f>
        <v>146.9293671645728</v>
      </c>
      <c r="M59" s="105"/>
      <c r="N59" s="179" t="s">
        <v>26</v>
      </c>
      <c r="O59" s="40">
        <f>O50+O53+O54+O55+O58</f>
        <v>3.8596309130558897</v>
      </c>
      <c r="P59" s="38">
        <f>P50+P53+P54+P55+P58</f>
        <v>62.785920353958417</v>
      </c>
      <c r="Q59" s="38">
        <f>Q50+Q53+Q54+Q55+Q58</f>
        <v>34.652474462596736</v>
      </c>
      <c r="R59" s="38">
        <f>R50+R53+R54+R55+R58</f>
        <v>41.164509995478554</v>
      </c>
      <c r="S59" s="172">
        <f t="shared" si="13"/>
        <v>142.46253572508959</v>
      </c>
      <c r="T59" s="271">
        <f>SUM(T50:T58)</f>
        <v>138.206474699963</v>
      </c>
      <c r="U59" s="29" t="s">
        <v>26</v>
      </c>
      <c r="V59" s="10"/>
      <c r="W59" s="10"/>
      <c r="X59" s="10"/>
      <c r="Y59" s="10"/>
      <c r="Z59" s="9">
        <v>2.9028776344000002</v>
      </c>
      <c r="AA59" s="9">
        <v>63.784333686000011</v>
      </c>
      <c r="AB59" s="9">
        <v>39.249784141100001</v>
      </c>
      <c r="AC59" s="9">
        <v>44.747454352791195</v>
      </c>
      <c r="AD59" s="123">
        <v>150.68444981429121</v>
      </c>
    </row>
    <row r="60" spans="2:30" s="3" customFormat="1" x14ac:dyDescent="0.25">
      <c r="O60" s="103"/>
      <c r="P60" s="103"/>
      <c r="Q60" s="103"/>
      <c r="R60" s="104"/>
      <c r="S60" s="69"/>
    </row>
    <row r="61" spans="2:30" s="3" customFormat="1" x14ac:dyDescent="0.25">
      <c r="B61" s="84"/>
      <c r="K61" s="71"/>
      <c r="O61" s="105"/>
      <c r="P61" s="105"/>
      <c r="Q61" s="105"/>
      <c r="R61" s="106"/>
      <c r="S61" s="107"/>
      <c r="AC61" s="71"/>
    </row>
    <row r="62" spans="2:30" ht="31.5" x14ac:dyDescent="0.35">
      <c r="C62" s="173">
        <v>2025</v>
      </c>
      <c r="D62" s="174"/>
      <c r="E62" s="174"/>
      <c r="F62" s="174"/>
      <c r="G62" s="174"/>
      <c r="H62" s="101" t="s">
        <v>36</v>
      </c>
      <c r="I62" s="101" t="s">
        <v>131</v>
      </c>
      <c r="J62" s="101" t="s">
        <v>38</v>
      </c>
      <c r="K62" s="101" t="s">
        <v>130</v>
      </c>
      <c r="L62" s="118" t="s">
        <v>1</v>
      </c>
      <c r="M62" s="25"/>
      <c r="N62" s="173">
        <v>2025</v>
      </c>
      <c r="O62" s="169" t="s">
        <v>36</v>
      </c>
      <c r="P62" s="101" t="s">
        <v>131</v>
      </c>
      <c r="Q62" s="101" t="s">
        <v>38</v>
      </c>
      <c r="R62" s="101" t="s">
        <v>130</v>
      </c>
      <c r="S62" s="118" t="s">
        <v>1</v>
      </c>
      <c r="T62" s="270" t="s">
        <v>580</v>
      </c>
      <c r="U62" s="173">
        <v>2025</v>
      </c>
      <c r="V62" s="174"/>
      <c r="W62" s="174"/>
      <c r="X62" s="174"/>
      <c r="Y62" s="174"/>
      <c r="Z62" s="101" t="s">
        <v>36</v>
      </c>
      <c r="AA62" s="101" t="s">
        <v>131</v>
      </c>
      <c r="AB62" s="101" t="s">
        <v>38</v>
      </c>
      <c r="AC62" s="101" t="s">
        <v>130</v>
      </c>
      <c r="AD62" s="118" t="s">
        <v>1</v>
      </c>
    </row>
    <row r="63" spans="2:30" x14ac:dyDescent="0.25">
      <c r="C63" s="175" t="s">
        <v>18</v>
      </c>
      <c r="H63" s="8">
        <f>SUM(H64:H65)</f>
        <v>0</v>
      </c>
      <c r="I63" s="8">
        <f>SUM(I64:I65)</f>
        <v>40.590895330000002</v>
      </c>
      <c r="J63" s="8">
        <f>SUM(J64:J65)</f>
        <v>2.4902065266000002</v>
      </c>
      <c r="K63" s="8">
        <f>SUM(K64:K65)</f>
        <v>0.59246770917340008</v>
      </c>
      <c r="L63" s="121">
        <f t="shared" ref="L63:L72" si="18">SUM(H63:K63)</f>
        <v>43.673569565773398</v>
      </c>
      <c r="M63" s="99"/>
      <c r="N63" s="178" t="s">
        <v>18</v>
      </c>
      <c r="O63" s="36">
        <f>'[1]Bilan 2025'!$X$46/11.63</f>
        <v>0</v>
      </c>
      <c r="P63" s="35">
        <f>SUM('[1]Bilan 2025'!$X$41:$X$43)/11.63</f>
        <v>38.545929814739537</v>
      </c>
      <c r="Q63" s="35">
        <f>'[1]Bilan 2025'!$X$13/11.63</f>
        <v>1.5398477407339692</v>
      </c>
      <c r="R63" s="35">
        <f>('[1]Bilan 2025'!$X$22+'[1]Bilan 2025'!$X$30+SUM('[1]Bilan 2025'!$X$36:$X$40)+SUM('[1]Bilan 2025'!$X$44:$X$45)+'[1]Bilan 2025'!$X$47)/11.63</f>
        <v>0.58333134363889538</v>
      </c>
      <c r="S63" s="170">
        <f>SUM(O63:R63)</f>
        <v>40.669108899112402</v>
      </c>
      <c r="T63" s="272">
        <f>S63</f>
        <v>40.669108899112402</v>
      </c>
      <c r="U63" s="175" t="s">
        <v>18</v>
      </c>
      <c r="Z63" s="8">
        <v>0</v>
      </c>
      <c r="AA63" s="8">
        <v>41.375778089999997</v>
      </c>
      <c r="AB63" s="8">
        <v>1.8059260915999999</v>
      </c>
      <c r="AC63" s="8">
        <v>0.58233724264620002</v>
      </c>
      <c r="AD63" s="121">
        <v>43.764041424246194</v>
      </c>
    </row>
    <row r="64" spans="2:30" x14ac:dyDescent="0.25">
      <c r="C64" s="176" t="s">
        <v>19</v>
      </c>
      <c r="D64" t="s">
        <v>552</v>
      </c>
      <c r="E64" t="s">
        <v>553</v>
      </c>
      <c r="F64" t="s">
        <v>554</v>
      </c>
      <c r="G64" t="s">
        <v>555</v>
      </c>
      <c r="H64" s="19">
        <f>VLOOKUP(D64,Résultats!$B$2:$AX$476,'T energie vecteurs'!N5,FALSE)</f>
        <v>0</v>
      </c>
      <c r="I64" s="19">
        <f>VLOOKUP(E64,Résultats!$B$2:$AX$476,'T energie vecteurs'!N5,FALSE)</f>
        <v>21.506459100000001</v>
      </c>
      <c r="J64" s="19">
        <f>VLOOKUP(F64,Résultats!$B$2:$AX$476,'T energie vecteurs'!N5,FALSE)</f>
        <v>0.27892176359999998</v>
      </c>
      <c r="K64" s="19">
        <f>VLOOKUP(G77,Résultats!$B$2:$AX$476,'T energie vecteurs'!N5,FALSE)</f>
        <v>2.4630173399999999E-5</v>
      </c>
      <c r="L64" s="120">
        <f t="shared" si="18"/>
        <v>21.7854054937734</v>
      </c>
      <c r="M64" s="19"/>
      <c r="N64" s="176" t="s">
        <v>19</v>
      </c>
      <c r="O64" s="171"/>
      <c r="P64" s="19"/>
      <c r="Q64" s="55"/>
      <c r="R64" s="19"/>
      <c r="S64" s="120"/>
      <c r="T64" s="120"/>
      <c r="U64" s="176" t="s">
        <v>19</v>
      </c>
      <c r="V64" t="s">
        <v>552</v>
      </c>
      <c r="W64" t="s">
        <v>553</v>
      </c>
      <c r="X64" t="s">
        <v>554</v>
      </c>
      <c r="Y64" t="s">
        <v>555</v>
      </c>
      <c r="Z64" s="19">
        <v>0</v>
      </c>
      <c r="AA64" s="19">
        <v>22.185905399999999</v>
      </c>
      <c r="AB64" s="19">
        <v>0.3373448926</v>
      </c>
      <c r="AC64" s="19">
        <v>2.3801746199999999E-5</v>
      </c>
      <c r="AD64" s="120">
        <v>22.523274094346199</v>
      </c>
    </row>
    <row r="65" spans="3:30" x14ac:dyDescent="0.25">
      <c r="C65" s="177" t="s">
        <v>20</v>
      </c>
      <c r="D65" t="s">
        <v>556</v>
      </c>
      <c r="E65" t="s">
        <v>557</v>
      </c>
      <c r="F65" t="s">
        <v>558</v>
      </c>
      <c r="G65" t="s">
        <v>559</v>
      </c>
      <c r="H65" s="19">
        <f>VLOOKUP(D65,Résultats!$B$2:$AX$476,'T energie vecteurs'!N5,FALSE)</f>
        <v>0</v>
      </c>
      <c r="I65" s="19">
        <f>VLOOKUP(E65,Résultats!$B$2:$AX$476,'T energie vecteurs'!N5,FALSE)</f>
        <v>19.084436230000001</v>
      </c>
      <c r="J65" s="19">
        <f>VLOOKUP(F65,Résultats!$B$2:$AX$476,'T energie vecteurs'!N5,FALSE)</f>
        <v>2.2112847630000001</v>
      </c>
      <c r="K65" s="19">
        <f>VLOOKUP(G65,Résultats!$B$2:$AX$476,'T energie vecteurs'!N5,FALSE)</f>
        <v>0.59244307900000004</v>
      </c>
      <c r="L65" s="120">
        <f t="shared" si="18"/>
        <v>21.888164072000002</v>
      </c>
      <c r="M65" s="19"/>
      <c r="N65" s="177" t="s">
        <v>20</v>
      </c>
      <c r="O65" s="171"/>
      <c r="P65" s="19"/>
      <c r="Q65" s="55"/>
      <c r="R65" s="19"/>
      <c r="S65" s="120"/>
      <c r="T65" s="120"/>
      <c r="U65" s="177" t="s">
        <v>20</v>
      </c>
      <c r="V65" t="s">
        <v>556</v>
      </c>
      <c r="W65" t="s">
        <v>557</v>
      </c>
      <c r="X65" t="s">
        <v>558</v>
      </c>
      <c r="Y65" t="s">
        <v>559</v>
      </c>
      <c r="Z65" s="19">
        <v>0</v>
      </c>
      <c r="AA65" s="19">
        <v>19.189872690000001</v>
      </c>
      <c r="AB65" s="19">
        <v>1.4685811989999999</v>
      </c>
      <c r="AC65" s="19">
        <v>0.58231344090000003</v>
      </c>
      <c r="AD65" s="120">
        <v>21.240767329899999</v>
      </c>
    </row>
    <row r="66" spans="3:30" x14ac:dyDescent="0.25">
      <c r="C66" s="175" t="s">
        <v>21</v>
      </c>
      <c r="D66" t="s">
        <v>560</v>
      </c>
      <c r="E66" t="s">
        <v>561</v>
      </c>
      <c r="F66" t="s">
        <v>562</v>
      </c>
      <c r="G66" t="s">
        <v>563</v>
      </c>
      <c r="H66" s="8">
        <f>VLOOKUP(D66,Résultats!$B$2:$AX$476,'T energie vecteurs'!N5,FALSE)</f>
        <v>0.29040280629999998</v>
      </c>
      <c r="I66" s="8">
        <f>VLOOKUP(E66,Résultats!$B$2:$AX$476,'T energie vecteurs'!N5,FALSE)</f>
        <v>6.1646589819999997</v>
      </c>
      <c r="J66" s="8">
        <f>VLOOKUP(F66,Résultats!$B$2:$AX$476,'T energie vecteurs'!N5,FALSE)</f>
        <v>14.83373067</v>
      </c>
      <c r="K66" s="8">
        <f>VLOOKUP(G66,Résultats!$B$2:$AX$476,'T energie vecteurs'!N5,FALSE)+2</f>
        <v>18.54870163</v>
      </c>
      <c r="L66" s="121">
        <f t="shared" si="18"/>
        <v>39.837494088300005</v>
      </c>
      <c r="M66" s="99"/>
      <c r="N66" s="178" t="s">
        <v>21</v>
      </c>
      <c r="O66" s="36">
        <f>'[1]Bilan 2025'!$V$46/11.63</f>
        <v>0</v>
      </c>
      <c r="P66" s="35">
        <f>SUM('[1]Bilan 2025'!$V$41:$V$43)/11.63</f>
        <v>3.5326526805330594</v>
      </c>
      <c r="Q66" s="35">
        <f>'[1]Bilan 2025'!$V$13/11.63</f>
        <v>14.460312572692807</v>
      </c>
      <c r="R66" s="35">
        <f>('[1]Bilan 2025'!$V$22+'[1]Bilan 2025'!$V$30+SUM('[1]Bilan 2025'!$V$36:$V$40)+SUM('[1]Bilan 2025'!$V$44:$V$45)+'[1]Bilan 2025'!$V$47)/11.63</f>
        <v>21.112528803330196</v>
      </c>
      <c r="S66" s="170">
        <f t="shared" ref="S66:S72" si="19">SUM(O66:R66)</f>
        <v>39.105494056556061</v>
      </c>
      <c r="T66" s="272">
        <f>S66-'[1]Bilan 2025'!$V$40/11.63</f>
        <v>36.284238189921979</v>
      </c>
      <c r="U66" s="175" t="s">
        <v>21</v>
      </c>
      <c r="V66" t="s">
        <v>560</v>
      </c>
      <c r="W66" t="s">
        <v>561</v>
      </c>
      <c r="X66" t="s">
        <v>562</v>
      </c>
      <c r="Y66" t="s">
        <v>563</v>
      </c>
      <c r="Z66" s="261">
        <v>0.2871436798</v>
      </c>
      <c r="AA66" s="261">
        <v>5.6510821059999996</v>
      </c>
      <c r="AB66" s="261">
        <v>15.114046630000001</v>
      </c>
      <c r="AC66" s="261">
        <v>18.440587870000002</v>
      </c>
      <c r="AD66" s="262">
        <v>39.492860285800006</v>
      </c>
    </row>
    <row r="67" spans="3:30" x14ac:dyDescent="0.25">
      <c r="C67" s="175" t="s">
        <v>22</v>
      </c>
      <c r="D67" t="s">
        <v>564</v>
      </c>
      <c r="E67" t="s">
        <v>565</v>
      </c>
      <c r="F67" t="s">
        <v>566</v>
      </c>
      <c r="G67" t="s">
        <v>567</v>
      </c>
      <c r="H67" s="8">
        <f>VLOOKUP(D67,Résultats!$B$2:$AX$476,'T energie vecteurs'!N5,FALSE)</f>
        <v>0</v>
      </c>
      <c r="I67" s="8">
        <f>VLOOKUP(E67,Résultats!$B$2:$AX$476,'T energie vecteurs'!N5,FALSE)</f>
        <v>2.6084798990000002</v>
      </c>
      <c r="J67" s="8">
        <f>VLOOKUP(F67,Résultats!$B$2:$AX$476,'T energie vecteurs'!N5,FALSE)</f>
        <v>11.294232279999999</v>
      </c>
      <c r="K67" s="8">
        <f>VLOOKUP(G67,Résultats!$B$2:$AX$476,'T energie vecteurs'!N5,FALSE)</f>
        <v>7.9379117419999998</v>
      </c>
      <c r="L67" s="121">
        <f t="shared" si="18"/>
        <v>21.840623920999999</v>
      </c>
      <c r="M67" s="99"/>
      <c r="N67" s="178" t="s">
        <v>22</v>
      </c>
      <c r="O67" s="36">
        <f>('[1]Bilan 2025'!$W$46)/11.63</f>
        <v>0</v>
      </c>
      <c r="P67" s="35">
        <f>SUM('[1]Bilan 2025'!$W$41:$W$43)/11.63</f>
        <v>1.829600236722577</v>
      </c>
      <c r="Q67" s="35">
        <f>('[1]Bilan 2025'!$W$13)/11.63</f>
        <v>11.310258924417251</v>
      </c>
      <c r="R67" s="35">
        <f>('[1]Bilan 2025'!$W$22+'[1]Bilan 2025'!$W$30+SUM('[1]Bilan 2025'!$W$36:$W$40)+SUM('[1]Bilan 2025'!$W$44:$W$45)+'[1]Bilan 2025'!$W$47)/11.63</f>
        <v>7.3063892907205394</v>
      </c>
      <c r="S67" s="170">
        <f t="shared" si="19"/>
        <v>20.446248451860367</v>
      </c>
      <c r="T67" s="272">
        <f>S67-'[1]Bilan 2025'!$W$40/11.63</f>
        <v>19.886658071626901</v>
      </c>
      <c r="U67" s="175" t="s">
        <v>22</v>
      </c>
      <c r="V67" t="s">
        <v>564</v>
      </c>
      <c r="W67" t="s">
        <v>565</v>
      </c>
      <c r="X67" t="s">
        <v>566</v>
      </c>
      <c r="Y67" t="s">
        <v>567</v>
      </c>
      <c r="Z67" s="8">
        <v>0</v>
      </c>
      <c r="AA67" s="8">
        <v>2.8097945599999998</v>
      </c>
      <c r="AB67" s="8">
        <v>13.42823798</v>
      </c>
      <c r="AC67" s="8">
        <v>9.2338452610000008</v>
      </c>
      <c r="AD67" s="121">
        <v>25.471877800999998</v>
      </c>
    </row>
    <row r="68" spans="3:30" x14ac:dyDescent="0.25">
      <c r="C68" s="175" t="s">
        <v>23</v>
      </c>
      <c r="H68" s="8">
        <f>SUM(H69:H71)</f>
        <v>2.5250901836999997</v>
      </c>
      <c r="I68" s="8">
        <f>SUM(I69:I71)</f>
        <v>13.537285026999999</v>
      </c>
      <c r="J68" s="8">
        <f>SUM(J69:J71)</f>
        <v>10.178915129799991</v>
      </c>
      <c r="K68" s="8">
        <f>SUM(K69:K71)</f>
        <v>15.468526589</v>
      </c>
      <c r="L68" s="121">
        <f t="shared" si="18"/>
        <v>41.709816929499986</v>
      </c>
      <c r="M68" s="99"/>
      <c r="N68" s="178" t="s">
        <v>252</v>
      </c>
      <c r="O68" s="36">
        <f>O69+O70</f>
        <v>4.2119673749809596</v>
      </c>
      <c r="P68" s="35">
        <f t="shared" ref="P68:R68" si="20">P69+P70</f>
        <v>13.344099936220454</v>
      </c>
      <c r="Q68" s="35">
        <f t="shared" si="20"/>
        <v>9.4854890713287645</v>
      </c>
      <c r="R68" s="35">
        <f t="shared" si="20"/>
        <v>13.855608235952786</v>
      </c>
      <c r="S68" s="170">
        <f t="shared" si="19"/>
        <v>40.897164618482961</v>
      </c>
      <c r="T68" s="272">
        <f t="shared" ref="T68" si="21">S68</f>
        <v>40.897164618482961</v>
      </c>
      <c r="U68" s="175" t="s">
        <v>23</v>
      </c>
      <c r="Z68" s="8">
        <v>2.5441308317</v>
      </c>
      <c r="AA68" s="8">
        <v>12.599775060000001</v>
      </c>
      <c r="AB68" s="8">
        <v>10.7155223476</v>
      </c>
      <c r="AC68" s="8">
        <v>16.376152019500001</v>
      </c>
      <c r="AD68" s="121">
        <v>42.235580258799999</v>
      </c>
    </row>
    <row r="69" spans="3:30" x14ac:dyDescent="0.25">
      <c r="C69" s="177" t="s">
        <v>24</v>
      </c>
      <c r="D69" t="s">
        <v>568</v>
      </c>
      <c r="E69" t="s">
        <v>569</v>
      </c>
      <c r="F69" t="s">
        <v>570</v>
      </c>
      <c r="G69" t="s">
        <v>571</v>
      </c>
      <c r="H69" s="19">
        <f>VLOOKUP(D69,Résultats!$B$2:$AX$476,'T energie vecteurs'!N5,FALSE)</f>
        <v>1.64549035</v>
      </c>
      <c r="I69" s="19">
        <f>VLOOKUP(E69,Résultats!$B$2:$AX$476,'T energie vecteurs'!N5,FALSE)</f>
        <v>8.7871689970000002</v>
      </c>
      <c r="J69" s="19">
        <f>VLOOKUP(F69,Résultats!$B$2:$AX$476,'T energie vecteurs'!N5,FALSE)</f>
        <v>9.8471845019999904</v>
      </c>
      <c r="K69" s="19">
        <f>VLOOKUP(G69,Résultats!$B$2:$AX$476,'T energie vecteurs'!N5,FALSE)</f>
        <v>12.82953814</v>
      </c>
      <c r="L69" s="120">
        <f t="shared" si="18"/>
        <v>33.109381988999985</v>
      </c>
      <c r="M69" s="19"/>
      <c r="N69" s="177" t="s">
        <v>253</v>
      </c>
      <c r="O69" s="171">
        <f>'[1]Bilan 2025'!$U$46/11.63</f>
        <v>0.6091486948433853</v>
      </c>
      <c r="P69" s="37">
        <f>SUM('[1]Bilan 2025'!$U$41:$U$43)/11.63</f>
        <v>2.4024529807619608</v>
      </c>
      <c r="Q69" s="37">
        <f>'[1]Bilan 2025'!$U$13/11.63</f>
        <v>9.4854890713287645</v>
      </c>
      <c r="R69" s="37">
        <f>('[1]Bilan 2025'!$U$22+'[1]Bilan 2025'!$U$30+SUM('[1]Bilan 2025'!$U$36:$U$40)+SUM('[1]Bilan 2025'!$U$44:$U$45)+'[1]Bilan 2025'!$U$47)/11.63</f>
        <v>12.777479857495365</v>
      </c>
      <c r="S69" s="120">
        <f t="shared" si="19"/>
        <v>25.274570604429478</v>
      </c>
      <c r="T69" s="120"/>
      <c r="U69" s="177" t="s">
        <v>24</v>
      </c>
      <c r="V69" t="s">
        <v>568</v>
      </c>
      <c r="W69" t="s">
        <v>569</v>
      </c>
      <c r="X69" t="s">
        <v>570</v>
      </c>
      <c r="Y69" t="s">
        <v>571</v>
      </c>
      <c r="Z69" s="19">
        <v>1.6360452649999999</v>
      </c>
      <c r="AA69" s="19">
        <v>8.1276443910000005</v>
      </c>
      <c r="AB69" s="19">
        <v>10.37466731</v>
      </c>
      <c r="AC69" s="19">
        <v>13.754958029999999</v>
      </c>
      <c r="AD69" s="120">
        <v>33.893314996000001</v>
      </c>
    </row>
    <row r="70" spans="3:30" x14ac:dyDescent="0.25">
      <c r="C70" s="177" t="s">
        <v>129</v>
      </c>
      <c r="D70" t="s">
        <v>572</v>
      </c>
      <c r="E70" t="s">
        <v>573</v>
      </c>
      <c r="F70" t="s">
        <v>574</v>
      </c>
      <c r="G70" t="s">
        <v>575</v>
      </c>
      <c r="H70" s="19">
        <f>VLOOKUP(D70,Résultats!$B$2:$AX$476,'T energie vecteurs'!N5,FALSE)</f>
        <v>0.87959983369999994</v>
      </c>
      <c r="I70" s="19">
        <f>VLOOKUP(E70,Résultats!$B$2:$AX$476,'T energie vecteurs'!N5,FALSE)</f>
        <v>2.0258048299999998</v>
      </c>
      <c r="J70" s="19">
        <f>VLOOKUP(F70,Résultats!$B$2:$AX$476,'T energie vecteurs'!N5,FALSE)</f>
        <v>0</v>
      </c>
      <c r="K70" s="19">
        <f>VLOOKUP(G70,Résultats!$B$2:$AX$476,'T energie vecteurs'!N5,FALSE)</f>
        <v>2.2314952849999998</v>
      </c>
      <c r="L70" s="120">
        <f t="shared" si="18"/>
        <v>5.1368999487</v>
      </c>
      <c r="M70" s="19"/>
      <c r="N70" s="177" t="s">
        <v>129</v>
      </c>
      <c r="O70" s="28">
        <f>'[1]Bilan 2025'!$E$52/11.63</f>
        <v>3.6028186801375743</v>
      </c>
      <c r="P70" s="19">
        <f>('[1]Bilan 2025'!$E$54+'[1]Bilan 2025'!$E$56)/11.63</f>
        <v>10.941646955458493</v>
      </c>
      <c r="Q70" s="19">
        <v>0</v>
      </c>
      <c r="R70" s="19">
        <f>('[1]Bilan 2025'!$E$53+'[1]Bilan 2025'!$E$55+'[1]Bilan 2025'!$E$57)/11.63</f>
        <v>1.0781283784574212</v>
      </c>
      <c r="S70" s="120">
        <f t="shared" si="19"/>
        <v>15.622594014053488</v>
      </c>
      <c r="T70" s="120"/>
      <c r="U70" s="177" t="s">
        <v>129</v>
      </c>
      <c r="V70" t="s">
        <v>572</v>
      </c>
      <c r="W70" t="s">
        <v>573</v>
      </c>
      <c r="X70" t="s">
        <v>574</v>
      </c>
      <c r="Y70" t="s">
        <v>575</v>
      </c>
      <c r="Z70" s="19">
        <v>0.90808556669999996</v>
      </c>
      <c r="AA70" s="19">
        <v>1.995999332</v>
      </c>
      <c r="AB70" s="19">
        <v>0</v>
      </c>
      <c r="AC70" s="19">
        <v>2.2189311420000002</v>
      </c>
      <c r="AD70" s="120">
        <v>5.1230160406999996</v>
      </c>
    </row>
    <row r="71" spans="3:30" x14ac:dyDescent="0.25">
      <c r="C71" s="177" t="s">
        <v>25</v>
      </c>
      <c r="D71" t="s">
        <v>576</v>
      </c>
      <c r="E71" t="s">
        <v>577</v>
      </c>
      <c r="F71" t="s">
        <v>578</v>
      </c>
      <c r="G71" t="s">
        <v>579</v>
      </c>
      <c r="H71" s="19">
        <f>VLOOKUP(D71,Résultats!$B$2:$AX$476,'T energie vecteurs'!N5,FALSE)</f>
        <v>0</v>
      </c>
      <c r="I71" s="19">
        <f>VLOOKUP(E71,Résultats!$B$2:$AX$476,'T energie vecteurs'!N5,FALSE)</f>
        <v>2.7243111999999998</v>
      </c>
      <c r="J71" s="19">
        <f>VLOOKUP(F71,Résultats!$B$2:$AX$476,'T energie vecteurs'!N5,FALSE)</f>
        <v>0.33173062780000001</v>
      </c>
      <c r="K71" s="19">
        <f>VLOOKUP(G71,Résultats!$B$2:$AX$476,'T energie vecteurs'!N5,FALSE)</f>
        <v>0.40749316400000002</v>
      </c>
      <c r="L71" s="120">
        <f t="shared" si="18"/>
        <v>3.4635349917999996</v>
      </c>
      <c r="M71" s="19"/>
      <c r="N71" s="178" t="s">
        <v>25</v>
      </c>
      <c r="O71" s="36">
        <f>'[1]Bilan 2025'!$T$46/11.63</f>
        <v>0</v>
      </c>
      <c r="P71" s="35">
        <f>SUM('[1]Bilan 2025'!$T$41:$T$43)/11.63</f>
        <v>3.1602006312216266</v>
      </c>
      <c r="Q71" s="35">
        <f>'[1]Bilan 2025'!$T$13/11.63</f>
        <v>0.70898600777464971</v>
      </c>
      <c r="R71" s="35">
        <f>('[1]Bilan 2025'!$T$22+'[1]Bilan 2025'!$T$30+SUM('[1]Bilan 2025'!$T$36:$T$40)+SUM('[1]Bilan 2025'!$T$44:$T$45)+'[1]Bilan 2025'!$T$47)/11.63</f>
        <v>0.28264741564176488</v>
      </c>
      <c r="S71" s="170">
        <f t="shared" si="19"/>
        <v>4.1518340546380408</v>
      </c>
      <c r="T71" s="272">
        <f>S71</f>
        <v>4.1518340546380408</v>
      </c>
      <c r="U71" s="177" t="s">
        <v>25</v>
      </c>
      <c r="V71" t="s">
        <v>576</v>
      </c>
      <c r="W71" t="s">
        <v>577</v>
      </c>
      <c r="X71" t="s">
        <v>578</v>
      </c>
      <c r="Y71" t="s">
        <v>579</v>
      </c>
      <c r="Z71" s="19">
        <v>0</v>
      </c>
      <c r="AA71" s="19">
        <v>2.476131337</v>
      </c>
      <c r="AB71" s="19">
        <v>0.34085503760000002</v>
      </c>
      <c r="AC71" s="19">
        <v>0.40226284750000002</v>
      </c>
      <c r="AD71" s="120">
        <v>3.2192492220999998</v>
      </c>
    </row>
    <row r="72" spans="3:30" x14ac:dyDescent="0.25">
      <c r="C72" s="29" t="s">
        <v>26</v>
      </c>
      <c r="D72" s="10"/>
      <c r="E72" s="10"/>
      <c r="F72" s="10"/>
      <c r="G72" s="10"/>
      <c r="H72" s="9">
        <f>SUM(H63,H66:H68)</f>
        <v>2.8154929899999996</v>
      </c>
      <c r="I72" s="9">
        <f>SUM(I63,I66:I68)</f>
        <v>62.901319237999999</v>
      </c>
      <c r="J72" s="9">
        <f>SUM(J63,J66:J68)</f>
        <v>38.797084606399991</v>
      </c>
      <c r="K72" s="9">
        <f>SUM(K63,K66:K68)</f>
        <v>42.547607670173406</v>
      </c>
      <c r="L72" s="123">
        <f t="shared" si="18"/>
        <v>147.06150450457341</v>
      </c>
      <c r="M72" s="105"/>
      <c r="N72" s="179" t="s">
        <v>26</v>
      </c>
      <c r="O72" s="40">
        <f>O63+O66+O67+O68+O71</f>
        <v>4.2119673749809596</v>
      </c>
      <c r="P72" s="38">
        <f>P63+P66+P67+P68+P71</f>
        <v>60.412483299437255</v>
      </c>
      <c r="Q72" s="38">
        <f>Q63+Q66+Q67+Q68+Q71</f>
        <v>37.504894316947436</v>
      </c>
      <c r="R72" s="38">
        <f>R63+R66+R67+R68+R71</f>
        <v>43.140505089284176</v>
      </c>
      <c r="S72" s="172">
        <f t="shared" si="19"/>
        <v>145.26985008064983</v>
      </c>
      <c r="T72" s="271">
        <f>SUM(T63:T71)</f>
        <v>141.88900383378228</v>
      </c>
      <c r="U72" s="29" t="s">
        <v>26</v>
      </c>
      <c r="V72" s="10"/>
      <c r="W72" s="10"/>
      <c r="X72" s="10"/>
      <c r="Y72" s="10"/>
      <c r="Z72" s="9">
        <v>2.8312745115000002</v>
      </c>
      <c r="AA72" s="9">
        <v>62.436429815999993</v>
      </c>
      <c r="AB72" s="9">
        <v>41.063733049200003</v>
      </c>
      <c r="AC72" s="9">
        <v>44.632922393146202</v>
      </c>
      <c r="AD72" s="123">
        <v>150.9643597698462</v>
      </c>
    </row>
    <row r="73" spans="3:30" s="3" customFormat="1" x14ac:dyDescent="0.25">
      <c r="H73" s="69"/>
      <c r="I73" s="69"/>
      <c r="J73" s="69"/>
      <c r="K73" s="69"/>
      <c r="L73" s="69"/>
      <c r="M73" s="69"/>
      <c r="N73" s="69"/>
      <c r="O73" s="103"/>
      <c r="P73" s="103"/>
      <c r="Q73" s="103"/>
      <c r="R73" s="104"/>
      <c r="S73" s="69"/>
      <c r="T73" s="69"/>
      <c r="Z73" s="69"/>
      <c r="AA73" s="69"/>
      <c r="AB73" s="69"/>
      <c r="AC73" s="69"/>
      <c r="AD73" s="69"/>
    </row>
    <row r="74" spans="3:30" s="3" customFormat="1" x14ac:dyDescent="0.25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Z74" s="69"/>
      <c r="AA74" s="69"/>
      <c r="AB74" s="69"/>
      <c r="AC74" s="69"/>
      <c r="AD74" s="69"/>
    </row>
    <row r="75" spans="3:30" ht="31.5" x14ac:dyDescent="0.35">
      <c r="C75" s="173">
        <v>2030</v>
      </c>
      <c r="D75" s="174"/>
      <c r="E75" s="174"/>
      <c r="F75" s="174"/>
      <c r="G75" s="174"/>
      <c r="H75" s="101" t="s">
        <v>36</v>
      </c>
      <c r="I75" s="101" t="s">
        <v>131</v>
      </c>
      <c r="J75" s="101" t="s">
        <v>38</v>
      </c>
      <c r="K75" s="101" t="s">
        <v>130</v>
      </c>
      <c r="L75" s="118" t="s">
        <v>1</v>
      </c>
      <c r="M75" s="25"/>
      <c r="N75" s="173">
        <v>2030</v>
      </c>
      <c r="O75" s="169" t="s">
        <v>36</v>
      </c>
      <c r="P75" s="101" t="s">
        <v>131</v>
      </c>
      <c r="Q75" s="101" t="s">
        <v>38</v>
      </c>
      <c r="R75" s="101" t="s">
        <v>130</v>
      </c>
      <c r="S75" s="118" t="s">
        <v>1</v>
      </c>
      <c r="T75" s="270" t="s">
        <v>580</v>
      </c>
      <c r="U75" s="173">
        <v>2030</v>
      </c>
      <c r="V75" s="174"/>
      <c r="W75" s="174"/>
      <c r="X75" s="174"/>
      <c r="Y75" s="174"/>
      <c r="Z75" s="101" t="s">
        <v>36</v>
      </c>
      <c r="AA75" s="101" t="s">
        <v>131</v>
      </c>
      <c r="AB75" s="101" t="s">
        <v>38</v>
      </c>
      <c r="AC75" s="101" t="s">
        <v>130</v>
      </c>
      <c r="AD75" s="118" t="s">
        <v>1</v>
      </c>
    </row>
    <row r="76" spans="3:30" x14ac:dyDescent="0.25">
      <c r="C76" s="175" t="s">
        <v>18</v>
      </c>
      <c r="H76" s="8">
        <f>SUM(H77:H78)</f>
        <v>0</v>
      </c>
      <c r="I76" s="8">
        <f>SUM(I77:I78)</f>
        <v>38.069684449999997</v>
      </c>
      <c r="J76" s="8">
        <f>SUM(J77:J78)</f>
        <v>3.5922933206000001</v>
      </c>
      <c r="K76" s="8">
        <f>SUM(K77:K78)</f>
        <v>1.3263039736622999</v>
      </c>
      <c r="L76" s="121">
        <f>SUM(H76:K76)</f>
        <v>42.988281744262295</v>
      </c>
      <c r="M76" s="99"/>
      <c r="N76" s="178" t="s">
        <v>18</v>
      </c>
      <c r="O76" s="36">
        <f>'[1]Bilan 2030'!$X$46/11.63</f>
        <v>0</v>
      </c>
      <c r="P76" s="35">
        <f>SUM('[1]Bilan 2030'!$X$41:$X$43)/11.63</f>
        <v>32.470940737285289</v>
      </c>
      <c r="Q76" s="35">
        <f>'[1]Bilan 2030'!$X$13/11.63</f>
        <v>2.5998015829265277</v>
      </c>
      <c r="R76" s="35">
        <f>('[1]Bilan 2030'!$X$22+'[1]Bilan 2030'!$X$30+SUM('[1]Bilan 2030'!$X$36:$X$40)+SUM('[1]Bilan 2030'!$X$44:$X$45)+'[1]Bilan 2030'!$X$47)/11.63</f>
        <v>1.3190285045112766</v>
      </c>
      <c r="S76" s="170">
        <f>SUM(O76:R76)</f>
        <v>36.389770824723101</v>
      </c>
      <c r="T76" s="272">
        <f>S76</f>
        <v>36.389770824723101</v>
      </c>
      <c r="U76" s="175" t="s">
        <v>18</v>
      </c>
      <c r="Z76" s="8">
        <v>0</v>
      </c>
      <c r="AA76" s="8">
        <v>39.112774309999999</v>
      </c>
      <c r="AB76" s="8">
        <v>2.5240941948</v>
      </c>
      <c r="AC76" s="8">
        <v>1.3412343432161999</v>
      </c>
      <c r="AD76" s="121">
        <v>42.978102848016199</v>
      </c>
    </row>
    <row r="77" spans="3:30" x14ac:dyDescent="0.25">
      <c r="C77" s="176" t="s">
        <v>19</v>
      </c>
      <c r="D77" t="s">
        <v>552</v>
      </c>
      <c r="E77" t="s">
        <v>553</v>
      </c>
      <c r="F77" t="s">
        <v>554</v>
      </c>
      <c r="G77" t="s">
        <v>555</v>
      </c>
      <c r="H77" s="19">
        <f>VLOOKUP(D77,Résultats!$B$2:$AX$476,'T energie vecteurs'!S5,FALSE)</f>
        <v>0</v>
      </c>
      <c r="I77" s="19">
        <f>VLOOKUP(E77,Résultats!$B$2:$AX$476,'T energie vecteurs'!S5,FALSE)</f>
        <v>19.410760700000001</v>
      </c>
      <c r="J77" s="19">
        <f>VLOOKUP(F77,Résultats!$B$2:$AX$476,'T energie vecteurs'!S5,FALSE)</f>
        <v>0.68638084359999996</v>
      </c>
      <c r="K77" s="19">
        <f>VLOOKUP(G77,Résultats!$B$2:$AX$476,'T energie vecteurs'!S5,FALSE)</f>
        <v>3.4133662299999999E-5</v>
      </c>
      <c r="L77" s="120">
        <f t="shared" ref="L77:L84" si="22">SUM(H77:K77)</f>
        <v>20.0971756772623</v>
      </c>
      <c r="M77" s="19"/>
      <c r="N77" s="176" t="s">
        <v>19</v>
      </c>
      <c r="O77" s="171"/>
      <c r="P77" s="19"/>
      <c r="Q77" s="55"/>
      <c r="R77" s="19"/>
      <c r="S77" s="120"/>
      <c r="T77" s="120"/>
      <c r="U77" s="176" t="s">
        <v>19</v>
      </c>
      <c r="V77" t="s">
        <v>552</v>
      </c>
      <c r="W77" t="s">
        <v>553</v>
      </c>
      <c r="X77" t="s">
        <v>554</v>
      </c>
      <c r="Y77" t="s">
        <v>555</v>
      </c>
      <c r="Z77" s="19">
        <v>0</v>
      </c>
      <c r="AA77" s="19">
        <v>20.0216709</v>
      </c>
      <c r="AB77" s="19">
        <v>0.79003121980000002</v>
      </c>
      <c r="AC77" s="19">
        <v>3.3964216200000003E-5</v>
      </c>
      <c r="AD77" s="120">
        <v>20.8117360840162</v>
      </c>
    </row>
    <row r="78" spans="3:30" x14ac:dyDescent="0.25">
      <c r="C78" s="177" t="s">
        <v>20</v>
      </c>
      <c r="D78" t="s">
        <v>556</v>
      </c>
      <c r="E78" t="s">
        <v>557</v>
      </c>
      <c r="F78" t="s">
        <v>558</v>
      </c>
      <c r="G78" t="s">
        <v>559</v>
      </c>
      <c r="H78" s="19">
        <f>VLOOKUP(D78,Résultats!$B$2:$AX$476,'T energie vecteurs'!S5,FALSE)</f>
        <v>0</v>
      </c>
      <c r="I78" s="19">
        <f>VLOOKUP(E78,Résultats!$B$2:$AX$476,'T energie vecteurs'!S5,FALSE)</f>
        <v>18.65892375</v>
      </c>
      <c r="J78" s="19">
        <f>VLOOKUP(F78,Résultats!$B$2:$AX$476,'T energie vecteurs'!S5,FALSE)</f>
        <v>2.9059124770000002</v>
      </c>
      <c r="K78" s="19">
        <f>VLOOKUP(G78,Résultats!$B$2:$AX$476,'T energie vecteurs'!S5,FALSE)</f>
        <v>1.3262698399999999</v>
      </c>
      <c r="L78" s="120">
        <f t="shared" si="22"/>
        <v>22.891106066999999</v>
      </c>
      <c r="M78" s="19"/>
      <c r="N78" s="177" t="s">
        <v>20</v>
      </c>
      <c r="O78" s="171"/>
      <c r="P78" s="19"/>
      <c r="Q78" s="55"/>
      <c r="R78" s="19"/>
      <c r="S78" s="120"/>
      <c r="T78" s="120"/>
      <c r="U78" s="177" t="s">
        <v>20</v>
      </c>
      <c r="V78" t="s">
        <v>556</v>
      </c>
      <c r="W78" t="s">
        <v>557</v>
      </c>
      <c r="X78" t="s">
        <v>558</v>
      </c>
      <c r="Y78" t="s">
        <v>559</v>
      </c>
      <c r="Z78" s="19">
        <v>0</v>
      </c>
      <c r="AA78" s="19">
        <v>19.091103409999999</v>
      </c>
      <c r="AB78" s="19">
        <v>1.7340629750000001</v>
      </c>
      <c r="AC78" s="19">
        <v>1.341200379</v>
      </c>
      <c r="AD78" s="120">
        <v>22.166366763999999</v>
      </c>
    </row>
    <row r="79" spans="3:30" x14ac:dyDescent="0.25">
      <c r="C79" s="175" t="s">
        <v>21</v>
      </c>
      <c r="D79" t="s">
        <v>560</v>
      </c>
      <c r="E79" t="s">
        <v>561</v>
      </c>
      <c r="F79" t="s">
        <v>562</v>
      </c>
      <c r="G79" t="s">
        <v>563</v>
      </c>
      <c r="H79" s="8">
        <f>VLOOKUP(D79,Résultats!$B$2:$AX$476,'T energie vecteurs'!S5,FALSE)</f>
        <v>0.28477760460000001</v>
      </c>
      <c r="I79" s="8">
        <f>VLOOKUP(E79,Résultats!$B$2:$AX$476,'T energie vecteurs'!S5,FALSE)</f>
        <v>6.1401510190000002</v>
      </c>
      <c r="J79" s="8">
        <f>VLOOKUP(F79,Résultats!$B$2:$AX$476,'T energie vecteurs'!S5,FALSE)</f>
        <v>15.79566436</v>
      </c>
      <c r="K79" s="8">
        <f>VLOOKUP(G79,Résultats!$B$2:$AX$476,'T energie vecteurs'!S5,FALSE)+2</f>
        <v>19.147846470000001</v>
      </c>
      <c r="L79" s="121">
        <f>SUM(H79:K79)</f>
        <v>41.368439453600004</v>
      </c>
      <c r="M79" s="99"/>
      <c r="N79" s="178" t="s">
        <v>21</v>
      </c>
      <c r="O79" s="36">
        <f>'[1]Bilan 2030'!$V$46/11.63</f>
        <v>0</v>
      </c>
      <c r="P79" s="35">
        <f>SUM('[1]Bilan 2030'!$V$41:$V$43)/11.63</f>
        <v>2.7093021384311076</v>
      </c>
      <c r="Q79" s="35">
        <f>'[1]Bilan 2030'!$V$13/11.63</f>
        <v>15.128221930185923</v>
      </c>
      <c r="R79" s="35">
        <f>('[1]Bilan 2030'!$V$22+'[1]Bilan 2030'!$V$30+SUM('[1]Bilan 2030'!$V$36:$V$40)+SUM('[1]Bilan 2030'!$V$44:$V$45)+'[1]Bilan 2030'!$V$47)/11.63</f>
        <v>20.957031397748882</v>
      </c>
      <c r="S79" s="170">
        <f t="shared" ref="S79:S85" si="23">SUM(O79:R79)</f>
        <v>38.794555466365907</v>
      </c>
      <c r="T79" s="272">
        <f>S79-'[1]Bilan 2030'!$V$40/11.63</f>
        <v>35.231377291819591</v>
      </c>
      <c r="U79" s="175" t="s">
        <v>21</v>
      </c>
      <c r="V79" t="s">
        <v>560</v>
      </c>
      <c r="W79" t="s">
        <v>561</v>
      </c>
      <c r="X79" t="s">
        <v>562</v>
      </c>
      <c r="Y79" t="s">
        <v>563</v>
      </c>
      <c r="Z79" s="261">
        <v>0.2681498967</v>
      </c>
      <c r="AA79" s="261">
        <v>5.4593729160000004</v>
      </c>
      <c r="AB79" s="261">
        <v>15.86649334</v>
      </c>
      <c r="AC79" s="261">
        <v>18.385815560000001</v>
      </c>
      <c r="AD79" s="262">
        <v>39.979831712700005</v>
      </c>
    </row>
    <row r="80" spans="3:30" x14ac:dyDescent="0.25">
      <c r="C80" s="175" t="s">
        <v>22</v>
      </c>
      <c r="D80" t="s">
        <v>564</v>
      </c>
      <c r="E80" t="s">
        <v>565</v>
      </c>
      <c r="F80" t="s">
        <v>566</v>
      </c>
      <c r="G80" t="s">
        <v>567</v>
      </c>
      <c r="H80" s="8">
        <f>VLOOKUP(D80,Résultats!$B$2:$AX$476,'T energie vecteurs'!S5,FALSE)</f>
        <v>0</v>
      </c>
      <c r="I80" s="8">
        <f>VLOOKUP(E80,Résultats!$B$2:$AX$476,'T energie vecteurs'!S5,FALSE)</f>
        <v>2.2413697859999999</v>
      </c>
      <c r="J80" s="8">
        <f>VLOOKUP(F80,Résultats!$B$2:$AX$476,'T energie vecteurs'!S5,FALSE)</f>
        <v>12.07074931</v>
      </c>
      <c r="K80" s="8">
        <f>VLOOKUP(G80,Résultats!$B$2:$AX$476,'T energie vecteurs'!S5,FALSE)</f>
        <v>8.0773181300000001</v>
      </c>
      <c r="L80" s="121">
        <f t="shared" si="22"/>
        <v>22.389437225999998</v>
      </c>
      <c r="M80" s="99"/>
      <c r="N80" s="178" t="s">
        <v>22</v>
      </c>
      <c r="O80" s="36">
        <f>('[1]Bilan 2030'!$W$46)/11.63</f>
        <v>0</v>
      </c>
      <c r="P80" s="35">
        <f>SUM('[1]Bilan 2030'!$W$41:$W$43)/11.63</f>
        <v>1.1254931356288962</v>
      </c>
      <c r="Q80" s="35">
        <f>('[1]Bilan 2030'!$W$13)/11.63</f>
        <v>11.284622800503366</v>
      </c>
      <c r="R80" s="35">
        <f>('[1]Bilan 2030'!$W$22+'[1]Bilan 2030'!$W$30+SUM('[1]Bilan 2030'!$W$36:$W$40)+SUM('[1]Bilan 2030'!$W$44:$W$45)+'[1]Bilan 2030'!$W$47)/11.63</f>
        <v>6.9189644390334015</v>
      </c>
      <c r="S80" s="170">
        <f t="shared" si="23"/>
        <v>19.329080375165663</v>
      </c>
      <c r="T80" s="272">
        <f>S80-'[1]Bilan 2030'!$W$40/11.63</f>
        <v>18.63479068507554</v>
      </c>
      <c r="U80" s="175" t="s">
        <v>22</v>
      </c>
      <c r="V80" t="s">
        <v>564</v>
      </c>
      <c r="W80" t="s">
        <v>565</v>
      </c>
      <c r="X80" t="s">
        <v>566</v>
      </c>
      <c r="Y80" t="s">
        <v>567</v>
      </c>
      <c r="Z80" s="8">
        <v>0</v>
      </c>
      <c r="AA80" s="8">
        <v>2.4264424249999998</v>
      </c>
      <c r="AB80" s="8">
        <v>14.188732460000001</v>
      </c>
      <c r="AC80" s="8">
        <v>9.3048820570000004</v>
      </c>
      <c r="AD80" s="121">
        <v>25.920056942000002</v>
      </c>
    </row>
    <row r="81" spans="2:30" x14ac:dyDescent="0.25">
      <c r="C81" s="175" t="s">
        <v>23</v>
      </c>
      <c r="H81" s="8">
        <f>SUM(H82:H84)</f>
        <v>2.5271412334000001</v>
      </c>
      <c r="I81" s="8">
        <f>SUM(I82:I84)</f>
        <v>14.176166446</v>
      </c>
      <c r="J81" s="8">
        <f>SUM(J82:J84)</f>
        <v>10.525501025700001</v>
      </c>
      <c r="K81" s="8">
        <f>SUM(K82:K84)</f>
        <v>15.577312459500002</v>
      </c>
      <c r="L81" s="121">
        <f t="shared" si="22"/>
        <v>42.8061211646</v>
      </c>
      <c r="M81" s="99"/>
      <c r="N81" s="178" t="s">
        <v>252</v>
      </c>
      <c r="O81" s="36">
        <f>O82+O83</f>
        <v>3.9851054274374702</v>
      </c>
      <c r="P81" s="35">
        <f t="shared" ref="P81:R81" si="24">P82+P83</f>
        <v>12.588919196501005</v>
      </c>
      <c r="Q81" s="35">
        <f t="shared" si="24"/>
        <v>9.4169455866228393</v>
      </c>
      <c r="R81" s="35">
        <f t="shared" si="24"/>
        <v>13.466989601471941</v>
      </c>
      <c r="S81" s="170">
        <f t="shared" si="23"/>
        <v>39.457959812033252</v>
      </c>
      <c r="T81" s="272">
        <f t="shared" ref="T81" si="25">S81</f>
        <v>39.457959812033252</v>
      </c>
      <c r="U81" s="175" t="s">
        <v>23</v>
      </c>
      <c r="Z81" s="243">
        <v>2.7031635456999998</v>
      </c>
      <c r="AA81" s="243">
        <v>14.225509622000001</v>
      </c>
      <c r="AB81" s="8">
        <v>12.2691131415</v>
      </c>
      <c r="AC81" s="243">
        <v>18.2577798672</v>
      </c>
      <c r="AD81" s="121">
        <v>47.455566176399998</v>
      </c>
    </row>
    <row r="82" spans="2:30" x14ac:dyDescent="0.25">
      <c r="C82" s="177" t="s">
        <v>24</v>
      </c>
      <c r="D82" t="s">
        <v>568</v>
      </c>
      <c r="E82" t="s">
        <v>569</v>
      </c>
      <c r="F82" t="s">
        <v>570</v>
      </c>
      <c r="G82" t="s">
        <v>571</v>
      </c>
      <c r="H82" s="19">
        <f>VLOOKUP(D82,Résultats!$B$2:$AX$476,'T energie vecteurs'!S5,FALSE)</f>
        <v>1.6654495030000001</v>
      </c>
      <c r="I82" s="19">
        <f>VLOOKUP(E82,Résultats!$B$2:$AX$476,'T energie vecteurs'!S5,FALSE)</f>
        <v>9.1048244040000004</v>
      </c>
      <c r="J82" s="19">
        <f>VLOOKUP(F82,Résultats!$B$2:$AX$476,'T energie vecteurs'!S5,FALSE)</f>
        <v>10.171960670000001</v>
      </c>
      <c r="K82" s="19">
        <f>VLOOKUP(G82,Résultats!$B$2:$AX$476,'T energie vecteurs'!S5,FALSE)</f>
        <v>12.81736326</v>
      </c>
      <c r="L82" s="120">
        <f t="shared" si="22"/>
        <v>33.759597837000001</v>
      </c>
      <c r="M82" s="19"/>
      <c r="N82" s="177" t="s">
        <v>253</v>
      </c>
      <c r="O82" s="171">
        <f>'[1]Bilan 2030'!$U$46/11.63</f>
        <v>0.55918092587900114</v>
      </c>
      <c r="P82" s="37">
        <f>SUM('[1]Bilan 2030'!$U$41:$U$43)/11.63</f>
        <v>2.2272873473675703</v>
      </c>
      <c r="Q82" s="37">
        <f>'[1]Bilan 2030'!$U$13/11.63</f>
        <v>9.4169455866228393</v>
      </c>
      <c r="R82" s="37">
        <f>('[1]Bilan 2030'!$U$22+'[1]Bilan 2030'!$U$30+SUM('[1]Bilan 2030'!$U$36:$U$40)+SUM('[1]Bilan 2030'!$U$44:$U$45)+'[1]Bilan 2030'!$U$47)/11.63</f>
        <v>12.399810480766771</v>
      </c>
      <c r="S82" s="120">
        <f t="shared" si="23"/>
        <v>24.603224340636181</v>
      </c>
      <c r="T82" s="120"/>
      <c r="U82" s="177" t="s">
        <v>24</v>
      </c>
      <c r="V82" t="s">
        <v>568</v>
      </c>
      <c r="W82" t="s">
        <v>569</v>
      </c>
      <c r="X82" t="s">
        <v>570</v>
      </c>
      <c r="Y82" t="s">
        <v>571</v>
      </c>
      <c r="Z82" s="19">
        <v>1.7561564039999999</v>
      </c>
      <c r="AA82" s="19">
        <v>9.3824675850000006</v>
      </c>
      <c r="AB82" s="19">
        <v>11.91057363</v>
      </c>
      <c r="AC82" s="19">
        <v>15.441733109999999</v>
      </c>
      <c r="AD82" s="120">
        <v>38.490930728999999</v>
      </c>
    </row>
    <row r="83" spans="2:30" x14ac:dyDescent="0.25">
      <c r="C83" s="177" t="s">
        <v>129</v>
      </c>
      <c r="D83" t="s">
        <v>572</v>
      </c>
      <c r="E83" t="s">
        <v>573</v>
      </c>
      <c r="F83" t="s">
        <v>574</v>
      </c>
      <c r="G83" t="s">
        <v>575</v>
      </c>
      <c r="H83" s="19">
        <f>VLOOKUP(D83,Résultats!$B$2:$AX$476,'T energie vecteurs'!S5,FALSE)</f>
        <v>0.86169173040000002</v>
      </c>
      <c r="I83" s="19">
        <f>VLOOKUP(E83,Résultats!$B$2:$AX$476,'T energie vecteurs'!S5,FALSE)</f>
        <v>2.1501633330000001</v>
      </c>
      <c r="J83" s="19">
        <f>VLOOKUP(F83,Résultats!$B$2:$AX$476,'T energie vecteurs'!S5,FALSE)</f>
        <v>0</v>
      </c>
      <c r="K83" s="19">
        <f>VLOOKUP(G83,Résultats!$B$2:$AX$476,'T energie vecteurs'!S5,FALSE)</f>
        <v>2.323981565</v>
      </c>
      <c r="L83" s="120">
        <f>SUM(H83:K83)</f>
        <v>5.3358366284000001</v>
      </c>
      <c r="M83" s="19"/>
      <c r="N83" s="177" t="s">
        <v>129</v>
      </c>
      <c r="O83" s="28">
        <f>'[1]Bilan 2030'!$E$52/11.63</f>
        <v>3.4259245015584692</v>
      </c>
      <c r="P83" s="19">
        <f>('[1]Bilan 2030'!$E$54+'[1]Bilan 2030'!$E$56)/11.63</f>
        <v>10.361631849133435</v>
      </c>
      <c r="Q83" s="19">
        <v>0</v>
      </c>
      <c r="R83" s="19">
        <f>('[1]Bilan 2030'!$E$53+'[1]Bilan 2030'!$E$55+'[1]Bilan 2030'!$E$57)/11.63</f>
        <v>1.0671791207051695</v>
      </c>
      <c r="S83" s="120">
        <f t="shared" si="23"/>
        <v>14.854735471397074</v>
      </c>
      <c r="T83" s="120"/>
      <c r="U83" s="177" t="s">
        <v>129</v>
      </c>
      <c r="V83" t="s">
        <v>572</v>
      </c>
      <c r="W83" t="s">
        <v>573</v>
      </c>
      <c r="X83" t="s">
        <v>574</v>
      </c>
      <c r="Y83" t="s">
        <v>575</v>
      </c>
      <c r="Z83" s="19">
        <v>0.9470071417</v>
      </c>
      <c r="AA83" s="19">
        <v>2.181241838</v>
      </c>
      <c r="AB83" s="19">
        <v>0</v>
      </c>
      <c r="AC83" s="19">
        <v>2.389587745</v>
      </c>
      <c r="AD83" s="120">
        <v>5.5178367247000004</v>
      </c>
    </row>
    <row r="84" spans="2:30" x14ac:dyDescent="0.25">
      <c r="C84" s="177" t="s">
        <v>25</v>
      </c>
      <c r="D84" t="s">
        <v>576</v>
      </c>
      <c r="E84" t="s">
        <v>577</v>
      </c>
      <c r="F84" t="s">
        <v>578</v>
      </c>
      <c r="G84" t="s">
        <v>579</v>
      </c>
      <c r="H84" s="19">
        <f>VLOOKUP(D84,Résultats!$B$2:$AX$476,'T energie vecteurs'!S5,FALSE)</f>
        <v>0</v>
      </c>
      <c r="I84" s="19">
        <f>VLOOKUP(E84,Résultats!$B$2:$AX$476,'T energie vecteurs'!S5,FALSE)</f>
        <v>2.9211787089999999</v>
      </c>
      <c r="J84" s="19">
        <f>VLOOKUP(F84,Résultats!$B$2:$AX$476,'T energie vecteurs'!S5,FALSE)</f>
        <v>0.35354035569999998</v>
      </c>
      <c r="K84" s="19">
        <f>VLOOKUP(G84,Résultats!$B$2:$AX$476,'T energie vecteurs'!S5,FALSE)</f>
        <v>0.43596763449999998</v>
      </c>
      <c r="L84" s="120">
        <f t="shared" si="22"/>
        <v>3.7106866991999996</v>
      </c>
      <c r="M84" s="19"/>
      <c r="N84" s="178" t="s">
        <v>25</v>
      </c>
      <c r="O84" s="36">
        <f>'[1]Bilan 2030'!$T$46/11.63</f>
        <v>0</v>
      </c>
      <c r="P84" s="35">
        <f>SUM('[1]Bilan 2030'!$T$41:$T$43)/11.63</f>
        <v>3.0639411119175732</v>
      </c>
      <c r="Q84" s="35">
        <f>'[1]Bilan 2030'!$T$13/11.63</f>
        <v>0.66849749048065465</v>
      </c>
      <c r="R84" s="35">
        <f>('[1]Bilan 2030'!$T$22+'[1]Bilan 2030'!$T$30+SUM('[1]Bilan 2030'!$T$36:$T$40)+SUM('[1]Bilan 2030'!$T$44:$T$45)+'[1]Bilan 2030'!$T$47)/11.63</f>
        <v>0.321548699857926</v>
      </c>
      <c r="S84" s="170">
        <f t="shared" si="23"/>
        <v>4.0539873022561537</v>
      </c>
      <c r="T84" s="272">
        <f>S84</f>
        <v>4.0539873022561537</v>
      </c>
      <c r="U84" s="177" t="s">
        <v>25</v>
      </c>
      <c r="V84" t="s">
        <v>576</v>
      </c>
      <c r="W84" t="s">
        <v>577</v>
      </c>
      <c r="X84" t="s">
        <v>578</v>
      </c>
      <c r="Y84" t="s">
        <v>579</v>
      </c>
      <c r="Z84" s="19">
        <v>0</v>
      </c>
      <c r="AA84" s="19">
        <v>2.661800199</v>
      </c>
      <c r="AB84" s="19">
        <v>0.35853951150000002</v>
      </c>
      <c r="AC84" s="19">
        <v>0.42645901219999999</v>
      </c>
      <c r="AD84" s="120">
        <v>3.4467987227000001</v>
      </c>
    </row>
    <row r="85" spans="2:30" x14ac:dyDescent="0.25">
      <c r="C85" s="29" t="s">
        <v>26</v>
      </c>
      <c r="D85" s="10"/>
      <c r="E85" s="10"/>
      <c r="F85" s="10"/>
      <c r="G85" s="10"/>
      <c r="H85" s="9">
        <f>SUM(H76,H79:H81)</f>
        <v>2.811918838</v>
      </c>
      <c r="I85" s="9">
        <f>SUM(I76,I79:I81)</f>
        <v>60.627371701000001</v>
      </c>
      <c r="J85" s="9">
        <f>SUM(J76,J79:J81)</f>
        <v>41.984208016300002</v>
      </c>
      <c r="K85" s="9">
        <f>SUM(K76,K79:K81)</f>
        <v>44.128781033162298</v>
      </c>
      <c r="L85" s="123">
        <f>SUM(H85:K85)</f>
        <v>149.55227958846228</v>
      </c>
      <c r="M85" s="105"/>
      <c r="N85" s="179" t="s">
        <v>26</v>
      </c>
      <c r="O85" s="40">
        <f>O76+O79+O80+O81+O84</f>
        <v>3.9851054274374702</v>
      </c>
      <c r="P85" s="38">
        <f>P76+P79+P80+P81+P84</f>
        <v>51.958596319763863</v>
      </c>
      <c r="Q85" s="38">
        <f>Q76+Q79+Q80+Q81+Q84</f>
        <v>39.098089390719309</v>
      </c>
      <c r="R85" s="38">
        <f>R76+R79+R80+R81+R84</f>
        <v>42.983562642623426</v>
      </c>
      <c r="S85" s="172">
        <f t="shared" si="23"/>
        <v>138.02535378054407</v>
      </c>
      <c r="T85" s="271">
        <f>SUM(T76:T84)</f>
        <v>133.76788591590764</v>
      </c>
      <c r="U85" s="29" t="s">
        <v>26</v>
      </c>
      <c r="V85" s="10"/>
      <c r="W85" s="10"/>
      <c r="X85" s="10"/>
      <c r="Y85" s="10"/>
      <c r="Z85" s="9">
        <v>2.9713134423999996</v>
      </c>
      <c r="AA85" s="9">
        <v>61.224099272999993</v>
      </c>
      <c r="AB85" s="9">
        <v>44.848433136300002</v>
      </c>
      <c r="AC85" s="9">
        <v>47.289711827416198</v>
      </c>
      <c r="AD85" s="123">
        <v>156.33355767911621</v>
      </c>
    </row>
    <row r="86" spans="2:30" s="3" customFormat="1" x14ac:dyDescent="0.25">
      <c r="O86" s="103"/>
      <c r="P86" s="103"/>
      <c r="Q86" s="103"/>
      <c r="R86" s="104"/>
      <c r="S86" s="69"/>
    </row>
    <row r="87" spans="2:30" s="3" customFormat="1" x14ac:dyDescent="0.25">
      <c r="B87" s="84"/>
      <c r="K87" s="71"/>
      <c r="O87" s="105"/>
      <c r="P87" s="105"/>
      <c r="Q87" s="105"/>
      <c r="R87" s="106"/>
      <c r="S87" s="107"/>
      <c r="AC87" s="71"/>
    </row>
    <row r="88" spans="2:30" ht="31.5" x14ac:dyDescent="0.35">
      <c r="C88" s="173">
        <v>2035</v>
      </c>
      <c r="D88" s="174"/>
      <c r="E88" s="174"/>
      <c r="F88" s="174"/>
      <c r="G88" s="174"/>
      <c r="H88" s="101" t="s">
        <v>36</v>
      </c>
      <c r="I88" s="101" t="s">
        <v>131</v>
      </c>
      <c r="J88" s="101" t="s">
        <v>38</v>
      </c>
      <c r="K88" s="101" t="s">
        <v>130</v>
      </c>
      <c r="L88" s="118" t="s">
        <v>1</v>
      </c>
      <c r="M88" s="25"/>
      <c r="N88" s="173">
        <v>2035</v>
      </c>
      <c r="O88" s="169" t="s">
        <v>36</v>
      </c>
      <c r="P88" s="101" t="s">
        <v>131</v>
      </c>
      <c r="Q88" s="101" t="s">
        <v>38</v>
      </c>
      <c r="R88" s="101" t="s">
        <v>130</v>
      </c>
      <c r="S88" s="118" t="s">
        <v>1</v>
      </c>
      <c r="T88" s="270" t="s">
        <v>580</v>
      </c>
      <c r="U88" s="173">
        <v>2035</v>
      </c>
      <c r="V88" s="174"/>
      <c r="W88" s="174"/>
      <c r="X88" s="174"/>
      <c r="Y88" s="174"/>
      <c r="Z88" s="101" t="s">
        <v>36</v>
      </c>
      <c r="AA88" s="101" t="s">
        <v>131</v>
      </c>
      <c r="AB88" s="101" t="s">
        <v>38</v>
      </c>
      <c r="AC88" s="101" t="s">
        <v>130</v>
      </c>
      <c r="AD88" s="118" t="s">
        <v>1</v>
      </c>
    </row>
    <row r="89" spans="2:30" x14ac:dyDescent="0.25">
      <c r="C89" s="175" t="s">
        <v>18</v>
      </c>
      <c r="H89" s="8">
        <f>SUM(H90:H91)</f>
        <v>0</v>
      </c>
      <c r="I89" s="8">
        <f>SUM(I90:I91)</f>
        <v>35.425166750000002</v>
      </c>
      <c r="J89" s="8">
        <f>SUM(J90:J91)</f>
        <v>4.6884424970000005</v>
      </c>
      <c r="K89" s="8">
        <f>SUM(K90:K91)</f>
        <v>2.2408691027917</v>
      </c>
      <c r="L89" s="121">
        <f t="shared" ref="L89:L98" si="26">SUM(H89:K89)</f>
        <v>42.354478349791698</v>
      </c>
      <c r="M89" s="99"/>
      <c r="N89" s="178" t="s">
        <v>18</v>
      </c>
      <c r="O89" s="36">
        <f>'[1]Bilan 2035'!$X$46/11.63</f>
        <v>0</v>
      </c>
      <c r="P89" s="35">
        <f>SUM('[1]Bilan 2035'!$X$41:$X$43)/11.63</f>
        <v>27.486457521711181</v>
      </c>
      <c r="Q89" s="35">
        <f>'[1]Bilan 2035'!$X$13/11.63</f>
        <v>4.0115827656184662</v>
      </c>
      <c r="R89" s="35">
        <f>('[1]Bilan 2035'!$X$22+'[1]Bilan 2035'!$X$30+SUM('[1]Bilan 2035'!$X$36:$X$40)+SUM('[1]Bilan 2035'!$X$44:$X$45)+'[1]Bilan 2035'!$X$47)/11.63</f>
        <v>2.2033171859401204</v>
      </c>
      <c r="S89" s="170">
        <f>SUM(O89:R89)</f>
        <v>33.701357473269766</v>
      </c>
      <c r="T89" s="272">
        <f>S89</f>
        <v>33.701357473269766</v>
      </c>
      <c r="U89" s="175" t="s">
        <v>18</v>
      </c>
      <c r="Z89" s="8">
        <v>0</v>
      </c>
      <c r="AA89" s="8">
        <v>35.980119439999996</v>
      </c>
      <c r="AB89" s="8">
        <v>3.5022054750000002</v>
      </c>
      <c r="AC89" s="8">
        <v>2.3213832691259002</v>
      </c>
      <c r="AD89" s="121">
        <v>41.803708184125895</v>
      </c>
    </row>
    <row r="90" spans="2:30" x14ac:dyDescent="0.25">
      <c r="C90" s="176" t="s">
        <v>19</v>
      </c>
      <c r="D90" t="s">
        <v>552</v>
      </c>
      <c r="E90" t="s">
        <v>553</v>
      </c>
      <c r="F90" t="s">
        <v>554</v>
      </c>
      <c r="G90" t="s">
        <v>555</v>
      </c>
      <c r="H90" s="19">
        <f>VLOOKUP(D90,Résultats!$B$2:$AX$476,'T energie vecteurs'!T5,FALSE)</f>
        <v>0</v>
      </c>
      <c r="I90" s="19">
        <f>VLOOKUP(E90,Résultats!$B$2:$AX$476,'T energie vecteurs'!T5,FALSE)</f>
        <v>17.679346280000001</v>
      </c>
      <c r="J90" s="19">
        <f>VLOOKUP(F90,Résultats!$B$2:$AX$476,'T energie vecteurs'!T5,FALSE)</f>
        <v>1.3049377369999999</v>
      </c>
      <c r="K90" s="19">
        <f>VLOOKUP(G90,Résultats!$B$2:$AX$476,'T energie vecteurs'!T5,FALSE)</f>
        <v>4.2743791699999999E-5</v>
      </c>
      <c r="L90" s="120">
        <f t="shared" si="26"/>
        <v>18.984326760791699</v>
      </c>
      <c r="M90" s="19"/>
      <c r="N90" s="176" t="s">
        <v>19</v>
      </c>
      <c r="O90" s="171"/>
      <c r="P90" s="19"/>
      <c r="Q90" s="55"/>
      <c r="R90" s="19"/>
      <c r="S90" s="120"/>
      <c r="T90" s="120"/>
      <c r="U90" s="176" t="s">
        <v>19</v>
      </c>
      <c r="V90" t="s">
        <v>552</v>
      </c>
      <c r="W90" t="s">
        <v>553</v>
      </c>
      <c r="X90" t="s">
        <v>554</v>
      </c>
      <c r="Y90" t="s">
        <v>555</v>
      </c>
      <c r="Z90" s="19">
        <v>0</v>
      </c>
      <c r="AA90" s="19">
        <v>17.51785125</v>
      </c>
      <c r="AB90" s="59">
        <v>1.388944395</v>
      </c>
      <c r="AC90" s="19">
        <v>3.9863125900000001E-5</v>
      </c>
      <c r="AD90" s="120">
        <v>18.906835508125898</v>
      </c>
    </row>
    <row r="91" spans="2:30" x14ac:dyDescent="0.25">
      <c r="C91" s="177" t="s">
        <v>20</v>
      </c>
      <c r="D91" t="s">
        <v>556</v>
      </c>
      <c r="E91" t="s">
        <v>557</v>
      </c>
      <c r="F91" t="s">
        <v>558</v>
      </c>
      <c r="G91" t="s">
        <v>559</v>
      </c>
      <c r="H91" s="19">
        <f>VLOOKUP(D91,Résultats!$B$2:$AX$476,'T energie vecteurs'!T5,FALSE)</f>
        <v>0</v>
      </c>
      <c r="I91" s="19">
        <f>VLOOKUP(E91,Résultats!$B$2:$AX$476,'T energie vecteurs'!T5,FALSE)</f>
        <v>17.745820470000002</v>
      </c>
      <c r="J91" s="19">
        <f>VLOOKUP(F91,Résultats!$B$2:$AX$476,'T energie vecteurs'!T5,FALSE)</f>
        <v>3.3835047600000001</v>
      </c>
      <c r="K91" s="19">
        <f>VLOOKUP(G91,Résultats!$B$2:$AX$476,'T energie vecteurs'!T5,FALSE)</f>
        <v>2.2408263590000002</v>
      </c>
      <c r="L91" s="120">
        <f t="shared" si="26"/>
        <v>23.370151589000002</v>
      </c>
      <c r="M91" s="19"/>
      <c r="N91" s="177" t="s">
        <v>20</v>
      </c>
      <c r="O91" s="171"/>
      <c r="P91" s="19"/>
      <c r="Q91" s="55"/>
      <c r="R91" s="19"/>
      <c r="S91" s="120"/>
      <c r="T91" s="120"/>
      <c r="U91" s="177" t="s">
        <v>20</v>
      </c>
      <c r="V91" t="s">
        <v>556</v>
      </c>
      <c r="W91" t="s">
        <v>557</v>
      </c>
      <c r="X91" t="s">
        <v>558</v>
      </c>
      <c r="Y91" t="s">
        <v>559</v>
      </c>
      <c r="Z91" s="19">
        <v>0</v>
      </c>
      <c r="AA91" s="19">
        <v>18.46226819</v>
      </c>
      <c r="AB91" s="19">
        <v>2.11326108</v>
      </c>
      <c r="AC91" s="19">
        <v>2.321343406</v>
      </c>
      <c r="AD91" s="120">
        <v>22.896872676000001</v>
      </c>
    </row>
    <row r="92" spans="2:30" x14ac:dyDescent="0.25">
      <c r="C92" s="175" t="s">
        <v>21</v>
      </c>
      <c r="D92" t="s">
        <v>560</v>
      </c>
      <c r="E92" t="s">
        <v>561</v>
      </c>
      <c r="F92" t="s">
        <v>562</v>
      </c>
      <c r="G92" t="s">
        <v>563</v>
      </c>
      <c r="H92" s="8">
        <f>VLOOKUP(D92,Résultats!$B$2:$AX$476,'T energie vecteurs'!T5,FALSE)</f>
        <v>0.27618379180000002</v>
      </c>
      <c r="I92" s="8">
        <f>VLOOKUP(E92,Résultats!$B$2:$AX$476,'T energie vecteurs'!T5,FALSE)</f>
        <v>6.1176348340000004</v>
      </c>
      <c r="J92" s="8">
        <f>VLOOKUP(F92,Résultats!$B$2:$AX$476,'T energie vecteurs'!T5,FALSE)</f>
        <v>16.6259823</v>
      </c>
      <c r="K92" s="8">
        <f>VLOOKUP(G92,Résultats!$B$2:$AX$476,'T energie vecteurs'!T5,FALSE)+2</f>
        <v>19.463939440000001</v>
      </c>
      <c r="L92" s="121">
        <f t="shared" si="26"/>
        <v>42.483740365800003</v>
      </c>
      <c r="M92" s="99"/>
      <c r="N92" s="178" t="s">
        <v>21</v>
      </c>
      <c r="O92" s="36">
        <f>'[1]Bilan 2035'!$V$46/11.63</f>
        <v>0</v>
      </c>
      <c r="P92" s="35">
        <f>SUM('[1]Bilan 2035'!$V$41:$V$43)/11.63</f>
        <v>2.0951035895513908</v>
      </c>
      <c r="Q92" s="35">
        <f>'[1]Bilan 2035'!$V$13/11.63</f>
        <v>15.742193210619391</v>
      </c>
      <c r="R92" s="35">
        <f>('[1]Bilan 2035'!$V$22+'[1]Bilan 2035'!$V$30+SUM('[1]Bilan 2035'!$V$36:$V$40)+SUM('[1]Bilan 2035'!$V$44:$V$45)+'[1]Bilan 2035'!$V$47)/11.63</f>
        <v>20.967584673572926</v>
      </c>
      <c r="S92" s="170">
        <f t="shared" ref="S92:S98" si="27">SUM(O92:R92)</f>
        <v>38.804881473743706</v>
      </c>
      <c r="T92" s="272">
        <f>S92-'[1]Bilan 2035'!$V$40/11.63</f>
        <v>34.565335974830816</v>
      </c>
      <c r="U92" s="175" t="s">
        <v>21</v>
      </c>
      <c r="V92" t="s">
        <v>560</v>
      </c>
      <c r="W92" t="s">
        <v>561</v>
      </c>
      <c r="X92" t="s">
        <v>562</v>
      </c>
      <c r="Y92" t="s">
        <v>563</v>
      </c>
      <c r="Z92" s="261">
        <v>0.25792053129999998</v>
      </c>
      <c r="AA92" s="261">
        <v>5.4180996529999996</v>
      </c>
      <c r="AB92" s="261">
        <v>16.65422001</v>
      </c>
      <c r="AC92" s="261">
        <v>18.701198600000001</v>
      </c>
      <c r="AD92" s="262">
        <v>41.031438794300001</v>
      </c>
    </row>
    <row r="93" spans="2:30" x14ac:dyDescent="0.25">
      <c r="C93" s="175" t="s">
        <v>22</v>
      </c>
      <c r="D93" t="s">
        <v>564</v>
      </c>
      <c r="E93" t="s">
        <v>565</v>
      </c>
      <c r="F93" t="s">
        <v>566</v>
      </c>
      <c r="G93" t="s">
        <v>567</v>
      </c>
      <c r="H93" s="8">
        <f>VLOOKUP(D93,Résultats!$B$2:$AX$476,'T energie vecteurs'!T5,FALSE)</f>
        <v>0</v>
      </c>
      <c r="I93" s="8">
        <f>VLOOKUP(E93,Résultats!$B$2:$AX$476,'T energie vecteurs'!T5,FALSE)</f>
        <v>2.020756505</v>
      </c>
      <c r="J93" s="8">
        <f>VLOOKUP(F93,Résultats!$B$2:$AX$476,'T energie vecteurs'!T5,FALSE)</f>
        <v>12.34483376</v>
      </c>
      <c r="K93" s="8">
        <f>VLOOKUP(G93,Résultats!$B$2:$AX$476,'T energie vecteurs'!T5,FALSE)</f>
        <v>7.7764450280000004</v>
      </c>
      <c r="L93" s="121">
        <f t="shared" si="26"/>
        <v>22.142035292999999</v>
      </c>
      <c r="M93" s="99"/>
      <c r="N93" s="178" t="s">
        <v>22</v>
      </c>
      <c r="O93" s="36">
        <f>('[1]Bilan 2035'!$W$46)/11.63</f>
        <v>0</v>
      </c>
      <c r="P93" s="35">
        <f>SUM('[1]Bilan 2035'!$W$41:$W$43)/11.63</f>
        <v>0.78619437858671104</v>
      </c>
      <c r="Q93" s="35">
        <f>('[1]Bilan 2035'!$W$13)/11.63</f>
        <v>11.60340380118288</v>
      </c>
      <c r="R93" s="35">
        <f>('[1]Bilan 2035'!$W$22+'[1]Bilan 2035'!$W$30+SUM('[1]Bilan 2035'!$W$36:$W$40)+SUM('[1]Bilan 2035'!$W$44:$W$45)+'[1]Bilan 2035'!$W$47)/11.63</f>
        <v>6.9321344622243126</v>
      </c>
      <c r="S93" s="170">
        <f t="shared" si="27"/>
        <v>19.321732641993904</v>
      </c>
      <c r="T93" s="272">
        <f>S93-'[1]Bilan 2035'!$W$40/11.63</f>
        <v>18.589103188012192</v>
      </c>
      <c r="U93" s="175" t="s">
        <v>22</v>
      </c>
      <c r="V93" t="s">
        <v>564</v>
      </c>
      <c r="W93" t="s">
        <v>565</v>
      </c>
      <c r="X93" t="s">
        <v>566</v>
      </c>
      <c r="Y93" t="s">
        <v>567</v>
      </c>
      <c r="Z93" s="8">
        <v>0</v>
      </c>
      <c r="AA93" s="8">
        <v>2.1580490530000001</v>
      </c>
      <c r="AB93" s="8">
        <v>14.462548269999999</v>
      </c>
      <c r="AC93" s="8">
        <v>9.150532643</v>
      </c>
      <c r="AD93" s="121">
        <v>25.771129965999997</v>
      </c>
    </row>
    <row r="94" spans="2:30" x14ac:dyDescent="0.25">
      <c r="C94" s="175" t="s">
        <v>23</v>
      </c>
      <c r="H94" s="8">
        <f>SUM(H95:H97)</f>
        <v>2.6759356123</v>
      </c>
      <c r="I94" s="8">
        <f>SUM(I95:I97)</f>
        <v>14.965531919</v>
      </c>
      <c r="J94" s="8">
        <f>SUM(J95:J97)</f>
        <v>11.0911696322</v>
      </c>
      <c r="K94" s="8">
        <f>SUM(K95:K97)</f>
        <v>15.991705634199999</v>
      </c>
      <c r="L94" s="121">
        <f t="shared" si="26"/>
        <v>44.724342797700004</v>
      </c>
      <c r="M94" s="99"/>
      <c r="N94" s="178" t="s">
        <v>252</v>
      </c>
      <c r="O94" s="36">
        <f>O95+O96</f>
        <v>3.9553292854700368</v>
      </c>
      <c r="P94" s="35">
        <f t="shared" ref="P94:R94" si="28">P95+P96</f>
        <v>11.944511664213444</v>
      </c>
      <c r="Q94" s="35">
        <f t="shared" si="28"/>
        <v>9.4578136584636443</v>
      </c>
      <c r="R94" s="35">
        <f t="shared" si="28"/>
        <v>13.231890023314504</v>
      </c>
      <c r="S94" s="170">
        <f t="shared" si="27"/>
        <v>38.589544631461628</v>
      </c>
      <c r="T94" s="272">
        <f t="shared" ref="T94" si="29">S94</f>
        <v>38.589544631461628</v>
      </c>
      <c r="U94" s="175" t="s">
        <v>23</v>
      </c>
      <c r="Z94" s="8">
        <v>2.7574484517000002</v>
      </c>
      <c r="AA94" s="8">
        <v>15.123719317000001</v>
      </c>
      <c r="AB94" s="8">
        <v>12.9193646519</v>
      </c>
      <c r="AC94" s="8">
        <v>19.104192702000002</v>
      </c>
      <c r="AD94" s="121">
        <v>49.904725122600006</v>
      </c>
    </row>
    <row r="95" spans="2:30" x14ac:dyDescent="0.25">
      <c r="C95" s="177" t="s">
        <v>24</v>
      </c>
      <c r="D95" t="s">
        <v>568</v>
      </c>
      <c r="E95" t="s">
        <v>569</v>
      </c>
      <c r="F95" t="s">
        <v>570</v>
      </c>
      <c r="G95" t="s">
        <v>571</v>
      </c>
      <c r="H95" s="19">
        <f>VLOOKUP(D95,Résultats!$B$2:$AX$476,'T energie vecteurs'!T5,FALSE)</f>
        <v>1.783248905</v>
      </c>
      <c r="I95" s="19">
        <f>VLOOKUP(E95,Résultats!$B$2:$AX$476,'T energie vecteurs'!T5,FALSE)</f>
        <v>9.6399236479999999</v>
      </c>
      <c r="J95" s="19">
        <f>VLOOKUP(F95,Résultats!$B$2:$AX$476,'T energie vecteurs'!T5,FALSE)</f>
        <v>10.72124565</v>
      </c>
      <c r="K95" s="19">
        <f>VLOOKUP(G95,Résultats!$B$2:$AX$476,'T energie vecteurs'!T5,FALSE)</f>
        <v>13.140357979999999</v>
      </c>
      <c r="L95" s="120">
        <f t="shared" si="26"/>
        <v>35.284776182999998</v>
      </c>
      <c r="M95" s="19"/>
      <c r="N95" s="177" t="s">
        <v>253</v>
      </c>
      <c r="O95" s="171">
        <f>'[1]Bilan 2035'!$U$46/11.63</f>
        <v>0.53312193513684658</v>
      </c>
      <c r="P95" s="37">
        <f>SUM('[1]Bilan 2035'!$U$41:$U$43)/11.63</f>
        <v>2.0748420527036808</v>
      </c>
      <c r="Q95" s="37">
        <f>'[1]Bilan 2035'!$U$13/11.63</f>
        <v>9.4578136584636443</v>
      </c>
      <c r="R95" s="37">
        <f>('[1]Bilan 2035'!$U$22+'[1]Bilan 2035'!$U$30+SUM('[1]Bilan 2035'!$U$36:$U$40)+SUM('[1]Bilan 2035'!$U$44:$U$45)+'[1]Bilan 2035'!$U$47)/11.63</f>
        <v>12.122414160555191</v>
      </c>
      <c r="S95" s="120">
        <f t="shared" si="27"/>
        <v>24.188191806859365</v>
      </c>
      <c r="T95" s="120"/>
      <c r="U95" s="177" t="s">
        <v>24</v>
      </c>
      <c r="V95" t="s">
        <v>568</v>
      </c>
      <c r="W95" t="s">
        <v>569</v>
      </c>
      <c r="X95" t="s">
        <v>570</v>
      </c>
      <c r="Y95" t="s">
        <v>571</v>
      </c>
      <c r="Z95" s="19">
        <v>1.807217598</v>
      </c>
      <c r="AA95" s="19">
        <v>9.9457036760000008</v>
      </c>
      <c r="AB95" s="19">
        <v>12.538909370000001</v>
      </c>
      <c r="AC95" s="19">
        <v>16.159697040000001</v>
      </c>
      <c r="AD95" s="120">
        <v>40.451527683999998</v>
      </c>
    </row>
    <row r="96" spans="2:30" x14ac:dyDescent="0.25">
      <c r="C96" s="177" t="s">
        <v>129</v>
      </c>
      <c r="D96" t="s">
        <v>572</v>
      </c>
      <c r="E96" t="s">
        <v>573</v>
      </c>
      <c r="F96" t="s">
        <v>574</v>
      </c>
      <c r="G96" t="s">
        <v>575</v>
      </c>
      <c r="H96" s="19">
        <f>VLOOKUP(D96,Résultats!$B$2:$AX$476,'T energie vecteurs'!T5,FALSE)</f>
        <v>0.89268670729999999</v>
      </c>
      <c r="I96" s="19">
        <f>VLOOKUP(E96,Résultats!$B$2:$AX$476,'T energie vecteurs'!T5,FALSE)</f>
        <v>2.2581464929999999</v>
      </c>
      <c r="J96" s="19">
        <f>VLOOKUP(F96,Résultats!$B$2:$AX$476,'T energie vecteurs'!T5,FALSE)</f>
        <v>0</v>
      </c>
      <c r="K96" s="19">
        <f>VLOOKUP(G96,Résultats!$B$2:$AX$476,'T energie vecteurs'!T5,FALSE)</f>
        <v>2.397875607</v>
      </c>
      <c r="L96" s="120">
        <f t="shared" si="26"/>
        <v>5.5487088073000006</v>
      </c>
      <c r="M96" s="19"/>
      <c r="N96" s="177" t="s">
        <v>129</v>
      </c>
      <c r="O96" s="28">
        <f>'[1]Bilan 2035'!$E$52/11.63</f>
        <v>3.4222073503331902</v>
      </c>
      <c r="P96" s="19">
        <f>('[1]Bilan 2035'!$E$54+'[1]Bilan 2035'!$E$56)/11.63</f>
        <v>9.8696696115097637</v>
      </c>
      <c r="Q96" s="19">
        <v>0</v>
      </c>
      <c r="R96" s="19">
        <f>('[1]Bilan 2035'!$E$53+'[1]Bilan 2035'!$E$55+'[1]Bilan 2035'!$E$57)/11.63</f>
        <v>1.1094758627593131</v>
      </c>
      <c r="S96" s="120">
        <f t="shared" si="27"/>
        <v>14.401352824602267</v>
      </c>
      <c r="T96" s="120"/>
      <c r="U96" s="177" t="s">
        <v>129</v>
      </c>
      <c r="V96" t="s">
        <v>572</v>
      </c>
      <c r="W96" t="s">
        <v>573</v>
      </c>
      <c r="X96" t="s">
        <v>574</v>
      </c>
      <c r="Y96" t="s">
        <v>575</v>
      </c>
      <c r="Z96" s="19">
        <v>0.95023085370000004</v>
      </c>
      <c r="AA96" s="19">
        <v>2.2993578320000001</v>
      </c>
      <c r="AB96" s="19">
        <v>0</v>
      </c>
      <c r="AC96" s="19">
        <v>2.4889309929999999</v>
      </c>
      <c r="AD96" s="120">
        <v>5.7385196786999995</v>
      </c>
    </row>
    <row r="97" spans="3:30" x14ac:dyDescent="0.25">
      <c r="C97" s="177" t="s">
        <v>25</v>
      </c>
      <c r="D97" t="s">
        <v>576</v>
      </c>
      <c r="E97" t="s">
        <v>577</v>
      </c>
      <c r="F97" t="s">
        <v>578</v>
      </c>
      <c r="G97" t="s">
        <v>579</v>
      </c>
      <c r="H97" s="19">
        <f>VLOOKUP(D97,Résultats!$B$2:$AX$476,'T energie vecteurs'!T5,FALSE)</f>
        <v>0</v>
      </c>
      <c r="I97" s="19">
        <f>VLOOKUP(E97,Résultats!$B$2:$AX$476,'T energie vecteurs'!T5,FALSE)</f>
        <v>3.0674617780000002</v>
      </c>
      <c r="J97" s="19">
        <f>VLOOKUP(F97,Résultats!$B$2:$AX$476,'T energie vecteurs'!T5,FALSE)</f>
        <v>0.3699239822</v>
      </c>
      <c r="K97" s="19">
        <f>VLOOKUP(G97,Résultats!$B$2:$AX$476,'T energie vecteurs'!T5,FALSE)</f>
        <v>0.45347204720000001</v>
      </c>
      <c r="L97" s="120">
        <f t="shared" si="26"/>
        <v>3.8908578074000002</v>
      </c>
      <c r="M97" s="19"/>
      <c r="N97" s="178" t="s">
        <v>25</v>
      </c>
      <c r="O97" s="36">
        <f>'[1]Bilan 2035'!$T$46/11.63</f>
        <v>0</v>
      </c>
      <c r="P97" s="35">
        <f>SUM('[1]Bilan 2035'!$T$41:$T$43)/11.63</f>
        <v>2.9333630598729807</v>
      </c>
      <c r="Q97" s="35">
        <f>'[1]Bilan 2035'!$T$13/11.63</f>
        <v>0.61074147074884144</v>
      </c>
      <c r="R97" s="35">
        <f>('[1]Bilan 2035'!$T$22+'[1]Bilan 2035'!$T$30+SUM('[1]Bilan 2035'!$T$36:$T$40)+SUM('[1]Bilan 2035'!$T$44:$T$45)+'[1]Bilan 2035'!$T$47)/11.63</f>
        <v>0.3773602321326443</v>
      </c>
      <c r="S97" s="170">
        <f t="shared" si="27"/>
        <v>3.9214647627544661</v>
      </c>
      <c r="T97" s="272">
        <f>S97</f>
        <v>3.9214647627544661</v>
      </c>
      <c r="U97" s="177" t="s">
        <v>25</v>
      </c>
      <c r="V97" t="s">
        <v>576</v>
      </c>
      <c r="W97" t="s">
        <v>577</v>
      </c>
      <c r="X97" t="s">
        <v>578</v>
      </c>
      <c r="Y97" t="s">
        <v>579</v>
      </c>
      <c r="Z97" s="19">
        <v>0</v>
      </c>
      <c r="AA97" s="19">
        <v>2.8786578089999999</v>
      </c>
      <c r="AB97" s="19">
        <v>0.3804552819</v>
      </c>
      <c r="AC97" s="19">
        <v>0.45556466899999998</v>
      </c>
      <c r="AD97" s="120">
        <v>3.7146777598999998</v>
      </c>
    </row>
    <row r="98" spans="3:30" x14ac:dyDescent="0.25">
      <c r="C98" s="29" t="s">
        <v>26</v>
      </c>
      <c r="D98" s="10"/>
      <c r="E98" s="10"/>
      <c r="F98" s="10"/>
      <c r="G98" s="10"/>
      <c r="H98" s="9">
        <f>SUM(H89,H92:H94)</f>
        <v>2.9521194040999998</v>
      </c>
      <c r="I98" s="9">
        <f>SUM(I89,I92:I94)</f>
        <v>58.529090008000004</v>
      </c>
      <c r="J98" s="9">
        <f>SUM(J89,J92:J94)</f>
        <v>44.750428189200001</v>
      </c>
      <c r="K98" s="9">
        <f>SUM(K89,K92:K94)</f>
        <v>45.472959204991696</v>
      </c>
      <c r="L98" s="123">
        <f t="shared" si="26"/>
        <v>151.7045968062917</v>
      </c>
      <c r="M98" s="105"/>
      <c r="N98" s="179" t="s">
        <v>26</v>
      </c>
      <c r="O98" s="40">
        <f>O89+O92+O93+O94+O97</f>
        <v>3.9553292854700368</v>
      </c>
      <c r="P98" s="38">
        <f>P89+P92+P93+P94+P97</f>
        <v>45.245630213935705</v>
      </c>
      <c r="Q98" s="38">
        <f>Q89+Q92+Q93+Q94+Q97</f>
        <v>41.425734906633224</v>
      </c>
      <c r="R98" s="38">
        <f>R89+R92+R93+R94+R97</f>
        <v>43.712286577184507</v>
      </c>
      <c r="S98" s="172">
        <f t="shared" si="27"/>
        <v>134.33898098322348</v>
      </c>
      <c r="T98" s="271">
        <f>SUM(T89:T97)</f>
        <v>129.36680603032886</v>
      </c>
      <c r="U98" s="29" t="s">
        <v>26</v>
      </c>
      <c r="V98" s="10"/>
      <c r="W98" s="10"/>
      <c r="X98" s="10"/>
      <c r="Y98" s="10"/>
      <c r="Z98" s="9">
        <v>3.0153689830000001</v>
      </c>
      <c r="AA98" s="9">
        <v>58.679987462999996</v>
      </c>
      <c r="AB98" s="9">
        <v>47.538338406899996</v>
      </c>
      <c r="AC98" s="9">
        <v>49.277307214125898</v>
      </c>
      <c r="AD98" s="123">
        <v>158.51100206702588</v>
      </c>
    </row>
    <row r="99" spans="3:30" s="3" customFormat="1" x14ac:dyDescent="0.25"/>
    <row r="100" spans="3:30" s="3" customFormat="1" x14ac:dyDescent="0.25"/>
    <row r="101" spans="3:30" s="3" customFormat="1" ht="31.5" x14ac:dyDescent="0.35">
      <c r="C101" s="173">
        <v>2040</v>
      </c>
      <c r="D101" s="174"/>
      <c r="E101" s="174"/>
      <c r="F101" s="174"/>
      <c r="G101" s="174"/>
      <c r="H101" s="101" t="s">
        <v>36</v>
      </c>
      <c r="I101" s="101" t="s">
        <v>131</v>
      </c>
      <c r="J101" s="101" t="s">
        <v>38</v>
      </c>
      <c r="K101" s="101" t="s">
        <v>130</v>
      </c>
      <c r="L101" s="118" t="s">
        <v>1</v>
      </c>
      <c r="M101" s="25"/>
      <c r="N101" s="173">
        <v>2040</v>
      </c>
      <c r="O101" s="169" t="s">
        <v>36</v>
      </c>
      <c r="P101" s="101" t="s">
        <v>131</v>
      </c>
      <c r="Q101" s="101" t="s">
        <v>38</v>
      </c>
      <c r="R101" s="101" t="s">
        <v>130</v>
      </c>
      <c r="S101" s="118" t="s">
        <v>1</v>
      </c>
      <c r="T101" s="270" t="s">
        <v>580</v>
      </c>
      <c r="U101" s="173">
        <v>2040</v>
      </c>
      <c r="V101" s="174"/>
      <c r="W101" s="174"/>
      <c r="X101" s="174"/>
      <c r="Y101" s="174"/>
      <c r="Z101" s="101" t="s">
        <v>36</v>
      </c>
      <c r="AA101" s="101" t="s">
        <v>131</v>
      </c>
      <c r="AB101" s="101" t="s">
        <v>38</v>
      </c>
      <c r="AC101" s="101" t="s">
        <v>130</v>
      </c>
      <c r="AD101" s="118" t="s">
        <v>1</v>
      </c>
    </row>
    <row r="102" spans="3:30" s="3" customFormat="1" x14ac:dyDescent="0.25">
      <c r="C102" s="175" t="s">
        <v>18</v>
      </c>
      <c r="D102"/>
      <c r="E102"/>
      <c r="F102"/>
      <c r="G102"/>
      <c r="H102" s="8">
        <f>SUM(H103:H104)</f>
        <v>0</v>
      </c>
      <c r="I102" s="8">
        <f>SUM(I103:I104)</f>
        <v>33.199637539999998</v>
      </c>
      <c r="J102" s="8">
        <f>SUM(J103:J104)</f>
        <v>5.728393949</v>
      </c>
      <c r="K102" s="8">
        <f>SUM(K103:K104)</f>
        <v>2.9847096594943001</v>
      </c>
      <c r="L102" s="121">
        <f t="shared" ref="L102:L111" si="30">SUM(H102:K102)</f>
        <v>41.912741148494298</v>
      </c>
      <c r="M102" s="99"/>
      <c r="N102" s="178" t="s">
        <v>18</v>
      </c>
      <c r="O102" s="36">
        <f>'[1]Bilan 2040'!$X$46/11.63</f>
        <v>0</v>
      </c>
      <c r="P102" s="35">
        <f>SUM('[1]Bilan 2040'!$X$41:$X$43)/11.63</f>
        <v>23.504697168694122</v>
      </c>
      <c r="Q102" s="35">
        <f>'[1]Bilan 2040'!$X$13/11.63</f>
        <v>5.3384407017958537</v>
      </c>
      <c r="R102" s="35">
        <f>('[1]Bilan 2040'!$X$22+'[1]Bilan 2040'!$X$30+SUM('[1]Bilan 2040'!$X$36:$X$40)+SUM('[1]Bilan 2040'!$X$44:$X$45)+'[1]Bilan 2040'!$X$47)/11.63</f>
        <v>2.7897080492637398</v>
      </c>
      <c r="S102" s="170">
        <f>SUM(O102:R102)</f>
        <v>31.632845919753716</v>
      </c>
      <c r="T102" s="272">
        <f>S102</f>
        <v>31.632845919753716</v>
      </c>
      <c r="U102" s="175" t="s">
        <v>18</v>
      </c>
      <c r="V102"/>
      <c r="W102"/>
      <c r="X102"/>
      <c r="Y102"/>
      <c r="Z102" s="8">
        <v>0</v>
      </c>
      <c r="AA102" s="8">
        <v>33.535766000000002</v>
      </c>
      <c r="AB102" s="8">
        <v>4.5528429769999992</v>
      </c>
      <c r="AC102" s="8">
        <v>3.1775192580817002</v>
      </c>
      <c r="AD102" s="121">
        <v>41.266128235081702</v>
      </c>
    </row>
    <row r="103" spans="3:30" s="3" customFormat="1" x14ac:dyDescent="0.25">
      <c r="C103" s="176" t="s">
        <v>19</v>
      </c>
      <c r="D103" t="s">
        <v>552</v>
      </c>
      <c r="E103" t="s">
        <v>553</v>
      </c>
      <c r="F103" t="s">
        <v>554</v>
      </c>
      <c r="G103" t="s">
        <v>555</v>
      </c>
      <c r="H103" s="37">
        <f>VLOOKUP(D103,Résultats!$B$2:$AX$476,'T energie vecteurs'!U5,FALSE)</f>
        <v>0</v>
      </c>
      <c r="I103" s="37">
        <f>VLOOKUP(E103,Résultats!$B$2:$AX$476,'T energie vecteurs'!U5,FALSE)</f>
        <v>15.92519849</v>
      </c>
      <c r="J103" s="37">
        <f>VLOOKUP(F103,Résultats!$B$2:$AX$476,'T energie vecteurs'!U5,FALSE)</f>
        <v>2.0655066340000001</v>
      </c>
      <c r="K103" s="37">
        <f>VLOOKUP(G103,Résultats!$B$2:$AX$476,'T energie vecteurs'!U5,FALSE)</f>
        <v>5.0589494299999999E-5</v>
      </c>
      <c r="L103" s="264">
        <f t="shared" si="30"/>
        <v>17.990755713494302</v>
      </c>
      <c r="M103" s="19"/>
      <c r="N103" s="176" t="s">
        <v>19</v>
      </c>
      <c r="O103" s="171"/>
      <c r="P103" s="19"/>
      <c r="Q103" s="55"/>
      <c r="R103" s="19"/>
      <c r="S103" s="120"/>
      <c r="T103" s="120"/>
      <c r="U103" s="176" t="s">
        <v>19</v>
      </c>
      <c r="V103" t="s">
        <v>552</v>
      </c>
      <c r="W103" t="s">
        <v>553</v>
      </c>
      <c r="X103" t="s">
        <v>554</v>
      </c>
      <c r="Y103" t="s">
        <v>555</v>
      </c>
      <c r="Z103" s="37">
        <v>0</v>
      </c>
      <c r="AA103" s="37">
        <v>15.08441288</v>
      </c>
      <c r="AB103" s="263">
        <v>2.0442654139999998</v>
      </c>
      <c r="AC103" s="37">
        <v>4.3170081699999998E-5</v>
      </c>
      <c r="AD103" s="264">
        <v>17.1287214640817</v>
      </c>
    </row>
    <row r="104" spans="3:30" s="3" customFormat="1" x14ac:dyDescent="0.25">
      <c r="C104" s="177" t="s">
        <v>20</v>
      </c>
      <c r="D104" t="s">
        <v>556</v>
      </c>
      <c r="E104" t="s">
        <v>557</v>
      </c>
      <c r="F104" t="s">
        <v>558</v>
      </c>
      <c r="G104" t="s">
        <v>559</v>
      </c>
      <c r="H104" s="37">
        <f>VLOOKUP(D104,Résultats!$B$2:$AX$476,'T energie vecteurs'!U5,FALSE)</f>
        <v>0</v>
      </c>
      <c r="I104" s="37">
        <f>VLOOKUP(E104,Résultats!$B$2:$AX$476,'T energie vecteurs'!U5,FALSE)</f>
        <v>17.274439050000002</v>
      </c>
      <c r="J104" s="37">
        <f>VLOOKUP(F104,Résultats!$B$2:$AX$476,'T energie vecteurs'!U5,FALSE)</f>
        <v>3.6628873149999999</v>
      </c>
      <c r="K104" s="37">
        <f>VLOOKUP(G104,Résultats!$B$2:$AX$476,'T energie vecteurs'!U5,FALSE)</f>
        <v>2.9846590700000002</v>
      </c>
      <c r="L104" s="264">
        <f t="shared" si="30"/>
        <v>23.921985435</v>
      </c>
      <c r="M104" s="19"/>
      <c r="N104" s="177" t="s">
        <v>20</v>
      </c>
      <c r="O104" s="171"/>
      <c r="P104" s="19"/>
      <c r="Q104" s="55"/>
      <c r="R104" s="19"/>
      <c r="S104" s="120"/>
      <c r="T104" s="120"/>
      <c r="U104" s="177" t="s">
        <v>20</v>
      </c>
      <c r="V104" t="s">
        <v>556</v>
      </c>
      <c r="W104" t="s">
        <v>557</v>
      </c>
      <c r="X104" t="s">
        <v>558</v>
      </c>
      <c r="Y104" t="s">
        <v>559</v>
      </c>
      <c r="Z104" s="37">
        <v>0</v>
      </c>
      <c r="AA104" s="37">
        <v>18.45135312</v>
      </c>
      <c r="AB104" s="37">
        <v>2.5085775629999998</v>
      </c>
      <c r="AC104" s="37">
        <v>3.1774760880000001</v>
      </c>
      <c r="AD104" s="264">
        <v>24.137406770999998</v>
      </c>
    </row>
    <row r="105" spans="3:30" s="3" customFormat="1" x14ac:dyDescent="0.25">
      <c r="C105" s="175" t="s">
        <v>21</v>
      </c>
      <c r="D105" t="s">
        <v>560</v>
      </c>
      <c r="E105" t="s">
        <v>561</v>
      </c>
      <c r="F105" t="s">
        <v>562</v>
      </c>
      <c r="G105" t="s">
        <v>563</v>
      </c>
      <c r="H105" s="265">
        <f>VLOOKUP(D105,Résultats!$B$2:$AX$476,'T energie vecteurs'!U5,FALSE)</f>
        <v>0.26343501219999998</v>
      </c>
      <c r="I105" s="265">
        <f>VLOOKUP(E105,Résultats!$B$2:$AX$476,'T energie vecteurs'!U5,FALSE)</f>
        <v>6.0992746200000001</v>
      </c>
      <c r="J105" s="265">
        <f>VLOOKUP(F105,Résultats!$B$2:$AX$476,'T energie vecteurs'!U5,FALSE)</f>
        <v>17.23353814</v>
      </c>
      <c r="K105" s="265">
        <f>VLOOKUP(G105,Résultats!$B$2:$AX$476,'T energie vecteurs'!U5,FALSE)+2</f>
        <v>19.433955900000001</v>
      </c>
      <c r="L105" s="266">
        <f t="shared" si="30"/>
        <v>43.030203672200003</v>
      </c>
      <c r="M105" s="99"/>
      <c r="N105" s="178" t="s">
        <v>21</v>
      </c>
      <c r="O105" s="36">
        <f>'[1]Bilan 2040'!$V$46/11.63</f>
        <v>0</v>
      </c>
      <c r="P105" s="35">
        <f>SUM('[1]Bilan 2040'!$V$41:$V$43)/11.63</f>
        <v>1.5217705718446504</v>
      </c>
      <c r="Q105" s="35">
        <f>'[1]Bilan 2040'!$V$13/11.63</f>
        <v>16.100467182146332</v>
      </c>
      <c r="R105" s="35">
        <f>('[1]Bilan 2040'!$V$22+'[1]Bilan 2040'!$V$30+SUM('[1]Bilan 2040'!$V$36:$V$40)+SUM('[1]Bilan 2040'!$V$44:$V$45)+'[1]Bilan 2040'!$V$47)/11.63</f>
        <v>20.91841103225741</v>
      </c>
      <c r="S105" s="170">
        <f t="shared" ref="S105:S111" si="31">SUM(O105:R105)</f>
        <v>38.540648786248397</v>
      </c>
      <c r="T105" s="272">
        <f>S105-'[1]Bilan 2040'!$V$40/11.63</f>
        <v>33.878651738643981</v>
      </c>
      <c r="U105" s="175" t="s">
        <v>21</v>
      </c>
      <c r="V105" t="s">
        <v>560</v>
      </c>
      <c r="W105" t="s">
        <v>561</v>
      </c>
      <c r="X105" t="s">
        <v>562</v>
      </c>
      <c r="Y105" t="s">
        <v>563</v>
      </c>
      <c r="Z105" s="265">
        <v>0.24994238460000001</v>
      </c>
      <c r="AA105" s="265">
        <v>5.4415372360000003</v>
      </c>
      <c r="AB105" s="265">
        <v>17.39844999</v>
      </c>
      <c r="AC105" s="265">
        <v>18.984336079999999</v>
      </c>
      <c r="AD105" s="266">
        <v>42.074265690600001</v>
      </c>
    </row>
    <row r="106" spans="3:30" s="3" customFormat="1" x14ac:dyDescent="0.25">
      <c r="C106" s="175" t="s">
        <v>22</v>
      </c>
      <c r="D106" t="s">
        <v>564</v>
      </c>
      <c r="E106" t="s">
        <v>565</v>
      </c>
      <c r="F106" t="s">
        <v>566</v>
      </c>
      <c r="G106" t="s">
        <v>567</v>
      </c>
      <c r="H106" s="265">
        <f>VLOOKUP(D106,Résultats!$B$2:$AX$476,'T energie vecteurs'!U5,FALSE)</f>
        <v>0</v>
      </c>
      <c r="I106" s="265">
        <f>VLOOKUP(E106,Résultats!$B$2:$AX$476,'T energie vecteurs'!U5,FALSE)</f>
        <v>1.873281899</v>
      </c>
      <c r="J106" s="265">
        <f>VLOOKUP(F106,Résultats!$B$2:$AX$476,'T energie vecteurs'!U5,FALSE)</f>
        <v>12.28294884</v>
      </c>
      <c r="K106" s="265">
        <f>VLOOKUP(G106,Résultats!$B$2:$AX$476,'T energie vecteurs'!U5,FALSE)</f>
        <v>7.356762164</v>
      </c>
      <c r="L106" s="266">
        <f t="shared" si="30"/>
        <v>21.512992903000001</v>
      </c>
      <c r="M106" s="99"/>
      <c r="N106" s="178" t="s">
        <v>22</v>
      </c>
      <c r="O106" s="36">
        <f>('[1]Bilan 2040'!$W$46)/11.63</f>
        <v>0</v>
      </c>
      <c r="P106" s="35">
        <f>SUM('[1]Bilan 2040'!$W$41:$W$43)/11.63</f>
        <v>0.4952300504112862</v>
      </c>
      <c r="Q106" s="35">
        <f>('[1]Bilan 2040'!$W$13)/11.63</f>
        <v>11.924705484934304</v>
      </c>
      <c r="R106" s="35">
        <f>('[1]Bilan 2040'!$W$22+'[1]Bilan 2040'!$W$30+SUM('[1]Bilan 2040'!$W$36:$W$40)+SUM('[1]Bilan 2040'!$W$44:$W$45)+'[1]Bilan 2040'!$W$47)/11.63</f>
        <v>6.9475060506073669</v>
      </c>
      <c r="S106" s="170">
        <f t="shared" si="31"/>
        <v>19.367441585952957</v>
      </c>
      <c r="T106" s="272">
        <f>S106-'[1]Bilan 2040'!$W$40/11.63</f>
        <v>18.621198562703654</v>
      </c>
      <c r="U106" s="175" t="s">
        <v>22</v>
      </c>
      <c r="V106" t="s">
        <v>564</v>
      </c>
      <c r="W106" t="s">
        <v>565</v>
      </c>
      <c r="X106" t="s">
        <v>566</v>
      </c>
      <c r="Y106" t="s">
        <v>567</v>
      </c>
      <c r="Z106" s="265">
        <v>0</v>
      </c>
      <c r="AA106" s="265">
        <v>1.9587686950000001</v>
      </c>
      <c r="AB106" s="265">
        <v>14.480386899999999</v>
      </c>
      <c r="AC106" s="265">
        <v>8.8115027230000003</v>
      </c>
      <c r="AD106" s="266">
        <v>25.250658317999999</v>
      </c>
    </row>
    <row r="107" spans="3:30" s="3" customFormat="1" x14ac:dyDescent="0.25">
      <c r="C107" s="175" t="s">
        <v>23</v>
      </c>
      <c r="D107"/>
      <c r="E107"/>
      <c r="F107"/>
      <c r="G107"/>
      <c r="H107" s="265">
        <f>SUM(H108:H110)</f>
        <v>2.8589069903</v>
      </c>
      <c r="I107" s="265">
        <f>SUM(I108:I110)</f>
        <v>15.97897251</v>
      </c>
      <c r="J107" s="265">
        <f>SUM(J108:J110)</f>
        <v>11.764970769800001</v>
      </c>
      <c r="K107" s="265">
        <f>SUM(K108:K110)</f>
        <v>16.480440036000001</v>
      </c>
      <c r="L107" s="266">
        <f t="shared" si="30"/>
        <v>47.083290306100004</v>
      </c>
      <c r="M107" s="99"/>
      <c r="N107" s="178" t="s">
        <v>252</v>
      </c>
      <c r="O107" s="36">
        <f>O108+O109</f>
        <v>3.8874337769367404</v>
      </c>
      <c r="P107" s="35">
        <f t="shared" ref="P107:R107" si="32">P108+P109</f>
        <v>11.388314604220763</v>
      </c>
      <c r="Q107" s="35">
        <f t="shared" si="32"/>
        <v>9.6134424318279077</v>
      </c>
      <c r="R107" s="35">
        <f t="shared" si="32"/>
        <v>13.10400229713315</v>
      </c>
      <c r="S107" s="170">
        <f t="shared" si="31"/>
        <v>37.993193110118561</v>
      </c>
      <c r="T107" s="272">
        <f t="shared" ref="T107" si="33">S107</f>
        <v>37.993193110118561</v>
      </c>
      <c r="U107" s="175" t="s">
        <v>23</v>
      </c>
      <c r="V107"/>
      <c r="W107"/>
      <c r="X107"/>
      <c r="Y107"/>
      <c r="Z107" s="265">
        <v>2.8715387234</v>
      </c>
      <c r="AA107" s="265">
        <v>16.360434553000001</v>
      </c>
      <c r="AB107" s="265">
        <v>13.9542494377</v>
      </c>
      <c r="AC107" s="265">
        <v>20.299328719399998</v>
      </c>
      <c r="AD107" s="266">
        <v>53.485551433499992</v>
      </c>
    </row>
    <row r="108" spans="3:30" s="3" customFormat="1" x14ac:dyDescent="0.25">
      <c r="C108" s="177" t="s">
        <v>24</v>
      </c>
      <c r="D108" t="s">
        <v>568</v>
      </c>
      <c r="E108" t="s">
        <v>569</v>
      </c>
      <c r="F108" t="s">
        <v>570</v>
      </c>
      <c r="G108" t="s">
        <v>571</v>
      </c>
      <c r="H108" s="37">
        <f>VLOOKUP(D108,Résultats!$B$2:$AX$476,'T energie vecteurs'!U5,FALSE)</f>
        <v>1.924195882</v>
      </c>
      <c r="I108" s="37">
        <f>VLOOKUP(E108,Résultats!$B$2:$AX$476,'T energie vecteurs'!U5,FALSE)</f>
        <v>10.32300498</v>
      </c>
      <c r="J108" s="37">
        <f>VLOOKUP(F108,Résultats!$B$2:$AX$476,'T energie vecteurs'!U5,FALSE)</f>
        <v>11.378702710000001</v>
      </c>
      <c r="K108" s="37">
        <f>VLOOKUP(G108,Résultats!$B$2:$AX$476,'T energie vecteurs'!U5,FALSE)</f>
        <v>13.523702370000001</v>
      </c>
      <c r="L108" s="264">
        <f t="shared" si="30"/>
        <v>37.149605942000001</v>
      </c>
      <c r="M108" s="19"/>
      <c r="N108" s="177" t="s">
        <v>253</v>
      </c>
      <c r="O108" s="171">
        <f>'[1]Bilan 2040'!$U$46/11.63</f>
        <v>0.46996817074585479</v>
      </c>
      <c r="P108" s="37">
        <f>SUM('[1]Bilan 2040'!$U$41:$U$43)/11.63</f>
        <v>1.9564072098333778</v>
      </c>
      <c r="Q108" s="37">
        <f>'[1]Bilan 2040'!$U$13/11.63</f>
        <v>9.6134424318279077</v>
      </c>
      <c r="R108" s="37">
        <f>('[1]Bilan 2040'!$U$22+'[1]Bilan 2040'!$U$30+SUM('[1]Bilan 2040'!$U$36:$U$40)+SUM('[1]Bilan 2040'!$U$44:$U$45)+'[1]Bilan 2040'!$U$47)/11.63</f>
        <v>11.936351978766362</v>
      </c>
      <c r="S108" s="120">
        <f t="shared" si="31"/>
        <v>23.976169791173504</v>
      </c>
      <c r="T108" s="120"/>
      <c r="U108" s="177" t="s">
        <v>24</v>
      </c>
      <c r="V108" t="s">
        <v>568</v>
      </c>
      <c r="W108" t="s">
        <v>569</v>
      </c>
      <c r="X108" t="s">
        <v>570</v>
      </c>
      <c r="Y108" t="s">
        <v>571</v>
      </c>
      <c r="Z108" s="37">
        <v>1.8961780619999999</v>
      </c>
      <c r="AA108" s="37">
        <v>10.728680710000001</v>
      </c>
      <c r="AB108" s="37">
        <v>13.54320405</v>
      </c>
      <c r="AC108" s="37">
        <v>17.15850073</v>
      </c>
      <c r="AD108" s="264">
        <v>43.326563552000003</v>
      </c>
    </row>
    <row r="109" spans="3:30" s="3" customFormat="1" x14ac:dyDescent="0.25">
      <c r="C109" s="177" t="s">
        <v>129</v>
      </c>
      <c r="D109" t="s">
        <v>572</v>
      </c>
      <c r="E109" t="s">
        <v>573</v>
      </c>
      <c r="F109" t="s">
        <v>574</v>
      </c>
      <c r="G109" t="s">
        <v>575</v>
      </c>
      <c r="H109" s="37">
        <f>VLOOKUP(D109,Résultats!$B$2:$AX$476,'T energie vecteurs'!U5,FALSE)</f>
        <v>0.93471110830000004</v>
      </c>
      <c r="I109" s="37">
        <f>VLOOKUP(E109,Résultats!$B$2:$AX$476,'T energie vecteurs'!U5,FALSE)</f>
        <v>2.3976190580000001</v>
      </c>
      <c r="J109" s="37">
        <f>VLOOKUP(F109,Résultats!$B$2:$AX$476,'T energie vecteurs'!U5,FALSE)</f>
        <v>0</v>
      </c>
      <c r="K109" s="37">
        <f>VLOOKUP(G109,Résultats!$B$2:$AX$476,'T energie vecteurs'!U5,FALSE)</f>
        <v>2.485963607</v>
      </c>
      <c r="L109" s="264">
        <f t="shared" si="30"/>
        <v>5.8182937733000006</v>
      </c>
      <c r="M109" s="19"/>
      <c r="N109" s="177" t="s">
        <v>129</v>
      </c>
      <c r="O109" s="28">
        <f>'[1]Bilan 2040'!$E$52/11.63</f>
        <v>3.4174656061908855</v>
      </c>
      <c r="P109" s="19">
        <f>('[1]Bilan 2040'!$E$54+'[1]Bilan 2040'!$E$56)/11.63</f>
        <v>9.4319073943873857</v>
      </c>
      <c r="Q109" s="19">
        <v>0</v>
      </c>
      <c r="R109" s="19">
        <f>('[1]Bilan 2040'!$E$53+'[1]Bilan 2040'!$E$55+'[1]Bilan 2040'!$E$57)/11.63</f>
        <v>1.1676503183667879</v>
      </c>
      <c r="S109" s="120">
        <f t="shared" si="31"/>
        <v>14.017023318945059</v>
      </c>
      <c r="T109" s="120"/>
      <c r="U109" s="177" t="s">
        <v>129</v>
      </c>
      <c r="V109" t="s">
        <v>572</v>
      </c>
      <c r="W109" t="s">
        <v>573</v>
      </c>
      <c r="X109" t="s">
        <v>574</v>
      </c>
      <c r="Y109" t="s">
        <v>575</v>
      </c>
      <c r="Z109" s="37">
        <v>0.9753606614</v>
      </c>
      <c r="AA109" s="37">
        <v>2.4790604580000002</v>
      </c>
      <c r="AB109" s="37">
        <v>0</v>
      </c>
      <c r="AC109" s="37">
        <v>2.6495632800000002</v>
      </c>
      <c r="AD109" s="264">
        <v>6.1039843993999998</v>
      </c>
    </row>
    <row r="110" spans="3:30" s="3" customFormat="1" x14ac:dyDescent="0.25">
      <c r="C110" s="177" t="s">
        <v>25</v>
      </c>
      <c r="D110" t="s">
        <v>576</v>
      </c>
      <c r="E110" t="s">
        <v>577</v>
      </c>
      <c r="F110" t="s">
        <v>578</v>
      </c>
      <c r="G110" t="s">
        <v>579</v>
      </c>
      <c r="H110" s="37">
        <f>VLOOKUP(D110,Résultats!$B$2:$AX$476,'T energie vecteurs'!U5,FALSE)</f>
        <v>0</v>
      </c>
      <c r="I110" s="37">
        <f>VLOOKUP(E110,Résultats!$B$2:$AX$476,'T energie vecteurs'!U5,FALSE)</f>
        <v>3.2583484720000002</v>
      </c>
      <c r="J110" s="37">
        <f>VLOOKUP(F110,Résultats!$B$2:$AX$476,'T energie vecteurs'!U5,FALSE)</f>
        <v>0.38626805980000001</v>
      </c>
      <c r="K110" s="37">
        <f>VLOOKUP(G110,Résultats!$B$2:$AX$476,'T energie vecteurs'!U5,FALSE)</f>
        <v>0.47077405900000002</v>
      </c>
      <c r="L110" s="264">
        <f t="shared" si="30"/>
        <v>4.1153905908000006</v>
      </c>
      <c r="M110" s="19"/>
      <c r="N110" s="178" t="s">
        <v>25</v>
      </c>
      <c r="O110" s="36">
        <f>'[1]Bilan 2040'!$T$46/11.63</f>
        <v>0</v>
      </c>
      <c r="P110" s="35">
        <f>SUM('[1]Bilan 2040'!$T$41:$T$43)/11.63</f>
        <v>2.79232070662915</v>
      </c>
      <c r="Q110" s="35">
        <f>'[1]Bilan 2040'!$T$13/11.63</f>
        <v>0.54723304841648379</v>
      </c>
      <c r="R110" s="35">
        <f>('[1]Bilan 2040'!$T$22+'[1]Bilan 2040'!$T$30+SUM('[1]Bilan 2040'!$T$36:$T$40)+SUM('[1]Bilan 2040'!$T$44:$T$45)+'[1]Bilan 2040'!$T$47)/11.63</f>
        <v>0.43855300175211398</v>
      </c>
      <c r="S110" s="170">
        <f t="shared" si="31"/>
        <v>3.7781067567977473</v>
      </c>
      <c r="T110" s="272">
        <f>S110</f>
        <v>3.7781067567977473</v>
      </c>
      <c r="U110" s="177" t="s">
        <v>25</v>
      </c>
      <c r="V110" t="s">
        <v>576</v>
      </c>
      <c r="W110" t="s">
        <v>577</v>
      </c>
      <c r="X110" t="s">
        <v>578</v>
      </c>
      <c r="Y110" t="s">
        <v>579</v>
      </c>
      <c r="Z110" s="37">
        <v>0</v>
      </c>
      <c r="AA110" s="37">
        <v>3.1526933850000001</v>
      </c>
      <c r="AB110" s="37">
        <v>0.41104538769999999</v>
      </c>
      <c r="AC110" s="37">
        <v>0.4912647094</v>
      </c>
      <c r="AD110" s="264">
        <v>4.0550034821000001</v>
      </c>
    </row>
    <row r="111" spans="3:30" s="3" customFormat="1" x14ac:dyDescent="0.25">
      <c r="C111" s="29" t="s">
        <v>26</v>
      </c>
      <c r="D111" s="10"/>
      <c r="E111" s="10"/>
      <c r="F111" s="10"/>
      <c r="G111" s="10"/>
      <c r="H111" s="267">
        <f>SUM(H102,H105:H107)</f>
        <v>3.1223420024999999</v>
      </c>
      <c r="I111" s="267">
        <f>SUM(I102,I105:I107)</f>
        <v>57.151166568999997</v>
      </c>
      <c r="J111" s="267">
        <f>SUM(J102,J105:J107)</f>
        <v>47.009851698800006</v>
      </c>
      <c r="K111" s="267">
        <f>SUM(K102,K105:K107)</f>
        <v>46.255867759494301</v>
      </c>
      <c r="L111" s="268">
        <f t="shared" si="30"/>
        <v>153.53922802979429</v>
      </c>
      <c r="M111" s="105"/>
      <c r="N111" s="179" t="s">
        <v>26</v>
      </c>
      <c r="O111" s="40">
        <f>O102+O105+O106+O107+O110</f>
        <v>3.8874337769367404</v>
      </c>
      <c r="P111" s="38">
        <f>P102+P105+P106+P107+P110</f>
        <v>39.702333101799972</v>
      </c>
      <c r="Q111" s="38">
        <f>Q102+Q105+Q106+Q107+Q110</f>
        <v>43.524288849120879</v>
      </c>
      <c r="R111" s="38">
        <f>R102+R105+R106+R107+R110</f>
        <v>44.198180431013782</v>
      </c>
      <c r="S111" s="172">
        <f t="shared" si="31"/>
        <v>131.31223615887137</v>
      </c>
      <c r="T111" s="271">
        <f>SUM(T102:T110)</f>
        <v>125.90399608801766</v>
      </c>
      <c r="U111" s="29" t="s">
        <v>26</v>
      </c>
      <c r="V111" s="10"/>
      <c r="W111" s="10"/>
      <c r="X111" s="10"/>
      <c r="Y111" s="10"/>
      <c r="Z111" s="267">
        <v>3.1214811080000002</v>
      </c>
      <c r="AA111" s="267">
        <v>57.296506484000005</v>
      </c>
      <c r="AB111" s="267">
        <v>50.385929304699999</v>
      </c>
      <c r="AC111" s="267">
        <v>51.272686780481699</v>
      </c>
      <c r="AD111" s="268">
        <v>162.07660367718171</v>
      </c>
    </row>
    <row r="112" spans="3:30" s="3" customFormat="1" x14ac:dyDescent="0.25"/>
    <row r="113" spans="3:30" s="3" customFormat="1" x14ac:dyDescent="0.25"/>
    <row r="114" spans="3:30" ht="31.5" x14ac:dyDescent="0.35">
      <c r="C114" s="173">
        <v>2050</v>
      </c>
      <c r="D114" s="174"/>
      <c r="E114" s="174"/>
      <c r="F114" s="174"/>
      <c r="G114" s="174"/>
      <c r="H114" s="101" t="s">
        <v>36</v>
      </c>
      <c r="I114" s="101" t="s">
        <v>131</v>
      </c>
      <c r="J114" s="101" t="s">
        <v>38</v>
      </c>
      <c r="K114" s="101" t="s">
        <v>130</v>
      </c>
      <c r="L114" s="118" t="s">
        <v>1</v>
      </c>
      <c r="M114" s="25"/>
      <c r="N114" s="173">
        <v>2050</v>
      </c>
      <c r="O114" s="169" t="s">
        <v>36</v>
      </c>
      <c r="P114" s="101" t="s">
        <v>131</v>
      </c>
      <c r="Q114" s="101" t="s">
        <v>38</v>
      </c>
      <c r="R114" s="101" t="s">
        <v>130</v>
      </c>
      <c r="S114" s="118" t="s">
        <v>1</v>
      </c>
      <c r="T114" s="270" t="s">
        <v>580</v>
      </c>
      <c r="U114" s="173">
        <v>2050</v>
      </c>
      <c r="V114" s="174"/>
      <c r="W114" s="174"/>
      <c r="X114" s="174"/>
      <c r="Y114" s="174"/>
      <c r="Z114" s="101" t="s">
        <v>36</v>
      </c>
      <c r="AA114" s="101" t="s">
        <v>131</v>
      </c>
      <c r="AB114" s="101" t="s">
        <v>38</v>
      </c>
      <c r="AC114" s="101" t="s">
        <v>130</v>
      </c>
      <c r="AD114" s="118" t="s">
        <v>1</v>
      </c>
    </row>
    <row r="115" spans="3:30" x14ac:dyDescent="0.25">
      <c r="C115" s="175" t="s">
        <v>18</v>
      </c>
      <c r="H115" s="8">
        <f>SUM(H116:H117)</f>
        <v>0</v>
      </c>
      <c r="I115" s="8">
        <f>SUM(I116:I117)</f>
        <v>30.555454019999999</v>
      </c>
      <c r="J115" s="8">
        <f>SUM(J116:J117)</f>
        <v>7.3941855299999997</v>
      </c>
      <c r="K115" s="8">
        <f>SUM(K116:K117)</f>
        <v>3.5181728805647001</v>
      </c>
      <c r="L115" s="121">
        <f>SUM(H115:K115)</f>
        <v>41.467812430564699</v>
      </c>
      <c r="M115" s="99"/>
      <c r="N115" s="178" t="s">
        <v>18</v>
      </c>
      <c r="O115" s="36">
        <f>'[1]Bilan 2050'!$X$46/11.63</f>
        <v>0</v>
      </c>
      <c r="P115" s="35">
        <f>SUM('[1]Bilan 2050'!$X$41:$X$43)/11.63</f>
        <v>20.444690116616325</v>
      </c>
      <c r="Q115" s="35">
        <f>'[1]Bilan 2050'!$X$13/11.63</f>
        <v>6.9492063867804656</v>
      </c>
      <c r="R115" s="35">
        <f>('[1]Bilan 2050'!$X$22+'[1]Bilan 2050'!$X$30+SUM('[1]Bilan 2050'!$X$36:$X$40)+SUM('[1]Bilan 2050'!$X$44:$X$45)+'[1]Bilan 2050'!$X$47)/11.63</f>
        <v>3.1240940704702966</v>
      </c>
      <c r="S115" s="170">
        <f>SUM(O115:R115)</f>
        <v>30.517990573867085</v>
      </c>
      <c r="T115" s="272">
        <f>S115</f>
        <v>30.517990573867085</v>
      </c>
      <c r="U115" s="175" t="s">
        <v>18</v>
      </c>
      <c r="Z115" s="8">
        <v>0</v>
      </c>
      <c r="AA115" s="8">
        <v>31.27378272</v>
      </c>
      <c r="AB115" s="8">
        <v>6.2415628230000006</v>
      </c>
      <c r="AC115" s="8">
        <v>3.8941090397083</v>
      </c>
      <c r="AD115" s="121">
        <v>41.4094545827083</v>
      </c>
    </row>
    <row r="116" spans="3:30" x14ac:dyDescent="0.25">
      <c r="C116" s="176" t="s">
        <v>19</v>
      </c>
      <c r="D116" t="s">
        <v>552</v>
      </c>
      <c r="E116" t="s">
        <v>553</v>
      </c>
      <c r="F116" t="s">
        <v>554</v>
      </c>
      <c r="G116" t="s">
        <v>555</v>
      </c>
      <c r="H116" s="19">
        <f>VLOOKUP(D116,Résultats!$B$2:$AX$476,'T energie vecteurs'!W5,FALSE)</f>
        <v>0</v>
      </c>
      <c r="I116" s="19">
        <f>VLOOKUP(E116,Résultats!$B$2:$AX$476,'T energie vecteurs'!W5,FALSE)</f>
        <v>12.38371592</v>
      </c>
      <c r="J116" s="19">
        <f>VLOOKUP(F116,Résultats!$B$2:$AX$476,'T energie vecteurs'!W5,FALSE)</f>
        <v>3.4692809100000002</v>
      </c>
      <c r="K116" s="19">
        <f>VLOOKUP(G116,Résultats!$B$2:$AX$476,'T energie vecteurs'!W5,FALSE)</f>
        <v>6.3649564700000004E-5</v>
      </c>
      <c r="L116" s="120">
        <f t="shared" ref="L116:L124" si="34">SUM(H116:K116)</f>
        <v>15.8530604795647</v>
      </c>
      <c r="M116" s="19"/>
      <c r="N116" s="176" t="s">
        <v>19</v>
      </c>
      <c r="O116" s="171"/>
      <c r="P116" s="19"/>
      <c r="Q116" s="55"/>
      <c r="R116" s="19"/>
      <c r="S116" s="120"/>
      <c r="T116" s="120"/>
      <c r="U116" s="176" t="s">
        <v>19</v>
      </c>
      <c r="V116" t="s">
        <v>552</v>
      </c>
      <c r="W116" t="s">
        <v>553</v>
      </c>
      <c r="X116" t="s">
        <v>554</v>
      </c>
      <c r="Y116" t="s">
        <v>555</v>
      </c>
      <c r="Z116" s="19">
        <v>0</v>
      </c>
      <c r="AA116" s="19">
        <v>10.849947999999999</v>
      </c>
      <c r="AB116" s="19">
        <v>3.3265233510000001</v>
      </c>
      <c r="AC116" s="19">
        <v>4.7378708299999998E-5</v>
      </c>
      <c r="AD116" s="120">
        <v>14.176518729708301</v>
      </c>
    </row>
    <row r="117" spans="3:30" x14ac:dyDescent="0.25">
      <c r="C117" s="177" t="s">
        <v>20</v>
      </c>
      <c r="D117" t="s">
        <v>556</v>
      </c>
      <c r="E117" t="s">
        <v>557</v>
      </c>
      <c r="F117" t="s">
        <v>558</v>
      </c>
      <c r="G117" t="s">
        <v>559</v>
      </c>
      <c r="H117" s="19">
        <f>VLOOKUP(D117,Résultats!$B$2:$AX$476,'T energie vecteurs'!W5,FALSE)</f>
        <v>0</v>
      </c>
      <c r="I117" s="19">
        <f>VLOOKUP(E117,Résultats!$B$2:$AX$476,'T energie vecteurs'!W5,FALSE)</f>
        <v>18.171738099999999</v>
      </c>
      <c r="J117" s="19">
        <f>VLOOKUP(F117,Résultats!$B$2:$AX$476,'T energie vecteurs'!W5,FALSE)</f>
        <v>3.92490462</v>
      </c>
      <c r="K117" s="19">
        <f>VLOOKUP(G117,Résultats!$B$2:$AX$476,'T energie vecteurs'!W5,FALSE)</f>
        <v>3.5181092309999999</v>
      </c>
      <c r="L117" s="120">
        <f t="shared" si="34"/>
        <v>25.614751950999999</v>
      </c>
      <c r="M117" s="19"/>
      <c r="N117" s="177" t="s">
        <v>20</v>
      </c>
      <c r="O117" s="171"/>
      <c r="P117" s="19"/>
      <c r="Q117" s="55"/>
      <c r="R117" s="19"/>
      <c r="S117" s="120"/>
      <c r="T117" s="120"/>
      <c r="U117" s="177" t="s">
        <v>20</v>
      </c>
      <c r="V117" t="s">
        <v>556</v>
      </c>
      <c r="W117" t="s">
        <v>557</v>
      </c>
      <c r="X117" t="s">
        <v>558</v>
      </c>
      <c r="Y117" t="s">
        <v>559</v>
      </c>
      <c r="Z117" s="19">
        <v>0</v>
      </c>
      <c r="AA117" s="19">
        <v>20.423834719999999</v>
      </c>
      <c r="AB117" s="19">
        <v>2.9150394720000001</v>
      </c>
      <c r="AC117" s="19">
        <v>3.8940616609999998</v>
      </c>
      <c r="AD117" s="120">
        <v>27.232935852999997</v>
      </c>
    </row>
    <row r="118" spans="3:30" x14ac:dyDescent="0.25">
      <c r="C118" s="175" t="s">
        <v>21</v>
      </c>
      <c r="D118" t="s">
        <v>560</v>
      </c>
      <c r="E118" t="s">
        <v>561</v>
      </c>
      <c r="F118" t="s">
        <v>562</v>
      </c>
      <c r="G118" t="s">
        <v>563</v>
      </c>
      <c r="H118" s="8">
        <f>VLOOKUP(D118,Résultats!$B$2:$AX$476,'T energie vecteurs'!W5,FALSE)</f>
        <v>0.2300331813</v>
      </c>
      <c r="I118" s="8">
        <f>VLOOKUP(E118,Résultats!$B$2:$AX$476,'T energie vecteurs'!W5,FALSE)</f>
        <v>5.5967740170000004</v>
      </c>
      <c r="J118" s="8">
        <f>VLOOKUP(F118,Résultats!$B$2:$AX$476,'T energie vecteurs'!W5,FALSE)</f>
        <v>17.748119819999999</v>
      </c>
      <c r="K118" s="8">
        <f>VLOOKUP(G118,Résultats!$B$2:$AX$476,'T energie vecteurs'!W5,FALSE)+2</f>
        <v>18.89811525</v>
      </c>
      <c r="L118" s="121">
        <f t="shared" si="34"/>
        <v>42.473042268299999</v>
      </c>
      <c r="M118" s="99"/>
      <c r="N118" s="178" t="s">
        <v>21</v>
      </c>
      <c r="O118" s="36">
        <f>'[1]Bilan 2050'!$V$46/11.63</f>
        <v>0</v>
      </c>
      <c r="P118" s="35">
        <f>SUM('[1]Bilan 2050'!$V$41:$V$43)/11.63</f>
        <v>0.44793357100944881</v>
      </c>
      <c r="Q118" s="35">
        <f>'[1]Bilan 2050'!$V$13/11.63</f>
        <v>16.722069816294518</v>
      </c>
      <c r="R118" s="35">
        <f>('[1]Bilan 2050'!$V$22+'[1]Bilan 2050'!$V$30+SUM('[1]Bilan 2050'!$V$36:$V$40)+SUM('[1]Bilan 2050'!$V$44:$V$45)+'[1]Bilan 2050'!$V$47)/11.63</f>
        <v>20.626598768707204</v>
      </c>
      <c r="S118" s="170">
        <f t="shared" ref="S118:S124" si="35">SUM(O118:R118)</f>
        <v>37.796602156011176</v>
      </c>
      <c r="T118" s="272">
        <f>S118-'[1]Bilan 2050'!$V$40/11.63</f>
        <v>32.080503457869298</v>
      </c>
      <c r="U118" s="175" t="s">
        <v>21</v>
      </c>
      <c r="V118" t="s">
        <v>560</v>
      </c>
      <c r="W118" t="s">
        <v>561</v>
      </c>
      <c r="X118" t="s">
        <v>562</v>
      </c>
      <c r="Y118" t="s">
        <v>563</v>
      </c>
      <c r="Z118" s="261">
        <v>0.22744577060000001</v>
      </c>
      <c r="AA118" s="261">
        <v>5.1556695259999996</v>
      </c>
      <c r="AB118" s="261">
        <v>18.388367980000002</v>
      </c>
      <c r="AC118" s="261">
        <v>18.888820169999999</v>
      </c>
      <c r="AD118" s="262">
        <v>42.660303446599997</v>
      </c>
    </row>
    <row r="119" spans="3:30" x14ac:dyDescent="0.25">
      <c r="C119" s="175" t="s">
        <v>22</v>
      </c>
      <c r="D119" t="s">
        <v>564</v>
      </c>
      <c r="E119" t="s">
        <v>565</v>
      </c>
      <c r="F119" t="s">
        <v>566</v>
      </c>
      <c r="G119" t="s">
        <v>567</v>
      </c>
      <c r="H119" s="8">
        <f>VLOOKUP(D119,Résultats!$B$2:$AX$476,'T energie vecteurs'!W5,FALSE)</f>
        <v>0</v>
      </c>
      <c r="I119" s="8">
        <f>VLOOKUP(E119,Résultats!$B$2:$AX$476,'T energie vecteurs'!W5,FALSE)</f>
        <v>1.8750386000000001</v>
      </c>
      <c r="J119" s="8">
        <f>VLOOKUP(F119,Résultats!$B$2:$AX$476,'T energie vecteurs'!W5,FALSE)</f>
        <v>10.606688520000001</v>
      </c>
      <c r="K119" s="8">
        <f>VLOOKUP(G119,Résultats!$B$2:$AX$476,'T energie vecteurs'!W5,FALSE)</f>
        <v>6.2357761500000004</v>
      </c>
      <c r="L119" s="121">
        <f t="shared" si="34"/>
        <v>18.717503270000002</v>
      </c>
      <c r="M119" s="99"/>
      <c r="N119" s="178" t="s">
        <v>22</v>
      </c>
      <c r="O119" s="36">
        <f>('[1]Bilan 2050'!$W$46)/11.63</f>
        <v>0</v>
      </c>
      <c r="P119" s="35">
        <f>SUM('[1]Bilan 2050'!$W$41:$W$43)/11.63</f>
        <v>0.19932306002356692</v>
      </c>
      <c r="Q119" s="35">
        <f>('[1]Bilan 2050'!$W$13)/11.63</f>
        <v>12.561375724275205</v>
      </c>
      <c r="R119" s="35">
        <f>('[1]Bilan 2050'!$W$22+'[1]Bilan 2050'!$W$30+SUM('[1]Bilan 2050'!$W$36:$W$40)+SUM('[1]Bilan 2050'!$W$44:$W$45)+'[1]Bilan 2050'!$W$47)/11.63</f>
        <v>6.8359123459815141</v>
      </c>
      <c r="S119" s="170">
        <f t="shared" si="35"/>
        <v>19.596611130280287</v>
      </c>
      <c r="T119" s="272">
        <f>S119-'[1]Bilan 2050'!$W$40/11.63</f>
        <v>18.856668306540005</v>
      </c>
      <c r="U119" s="175" t="s">
        <v>22</v>
      </c>
      <c r="V119" t="s">
        <v>564</v>
      </c>
      <c r="W119" t="s">
        <v>565</v>
      </c>
      <c r="X119" t="s">
        <v>566</v>
      </c>
      <c r="Y119" t="s">
        <v>567</v>
      </c>
      <c r="Z119" s="8">
        <v>0</v>
      </c>
      <c r="AA119" s="8">
        <v>1.9192569020000001</v>
      </c>
      <c r="AB119" s="8">
        <v>12.84679049</v>
      </c>
      <c r="AC119" s="8">
        <v>7.5356139539999996</v>
      </c>
      <c r="AD119" s="121">
        <v>22.301661345999999</v>
      </c>
    </row>
    <row r="120" spans="3:30" x14ac:dyDescent="0.25">
      <c r="C120" s="175" t="s">
        <v>23</v>
      </c>
      <c r="H120" s="8">
        <f>SUM(H121:H123)</f>
        <v>2.966778744</v>
      </c>
      <c r="I120" s="8">
        <f>SUM(I121:I123)</f>
        <v>16.603876973999999</v>
      </c>
      <c r="J120" s="8">
        <f>SUM(J121:J123)</f>
        <v>13.4935128917</v>
      </c>
      <c r="K120" s="8">
        <f>SUM(K121:K123)</f>
        <v>17.191871000299997</v>
      </c>
      <c r="L120" s="8">
        <f>SUM(L121:L123)</f>
        <v>50.256039610000002</v>
      </c>
      <c r="M120" s="99"/>
      <c r="N120" s="178" t="s">
        <v>252</v>
      </c>
      <c r="O120" s="36">
        <f>O121+O122</f>
        <v>3.7208173415817956</v>
      </c>
      <c r="P120" s="35">
        <f t="shared" ref="P120:R120" si="36">P121+P122</f>
        <v>10.357640817267992</v>
      </c>
      <c r="Q120" s="35">
        <f t="shared" si="36"/>
        <v>9.8880397220191174</v>
      </c>
      <c r="R120" s="35">
        <f t="shared" si="36"/>
        <v>12.81691494221436</v>
      </c>
      <c r="S120" s="170">
        <f t="shared" si="35"/>
        <v>36.783412823083268</v>
      </c>
      <c r="T120" s="272">
        <f t="shared" ref="T120" si="37">S120</f>
        <v>36.783412823083268</v>
      </c>
      <c r="U120" s="175" t="s">
        <v>23</v>
      </c>
      <c r="Z120" s="8">
        <v>2.844695293</v>
      </c>
      <c r="AA120" s="8">
        <v>17.536048585</v>
      </c>
      <c r="AB120" s="8">
        <v>16.778899801399998</v>
      </c>
      <c r="AC120" s="8">
        <v>22.437208617699998</v>
      </c>
      <c r="AD120" s="8">
        <v>59.5968522971</v>
      </c>
    </row>
    <row r="121" spans="3:30" x14ac:dyDescent="0.25">
      <c r="C121" s="177" t="s">
        <v>24</v>
      </c>
      <c r="D121" t="s">
        <v>568</v>
      </c>
      <c r="E121" t="s">
        <v>569</v>
      </c>
      <c r="F121" t="s">
        <v>570</v>
      </c>
      <c r="G121" t="s">
        <v>571</v>
      </c>
      <c r="H121" s="19">
        <f>VLOOKUP(D121,Résultats!$B$2:$AX$476,'T energie vecteurs'!W5,FALSE)</f>
        <v>1.9632694129999999</v>
      </c>
      <c r="I121" s="19">
        <f>VLOOKUP(E121,Résultats!$B$2:$AX$476,'T energie vecteurs'!W5,FALSE)</f>
        <v>10.227391799999999</v>
      </c>
      <c r="J121" s="19">
        <f>VLOOKUP(F121,Résultats!$B$2:$AX$476,'T energie vecteurs'!W5,FALSE)</f>
        <v>13.06882178</v>
      </c>
      <c r="K121" s="19">
        <f>VLOOKUP(G121,Résultats!$B$2:$AX$476,'T energie vecteurs'!W5,FALSE)</f>
        <v>13.91248523</v>
      </c>
      <c r="L121" s="120">
        <f t="shared" si="34"/>
        <v>39.171968223</v>
      </c>
      <c r="M121" s="19"/>
      <c r="N121" s="177" t="s">
        <v>253</v>
      </c>
      <c r="O121" s="171">
        <f>'[1]Bilan 2050'!$U$46/11.63</f>
        <v>0.31585492622281036</v>
      </c>
      <c r="P121" s="37">
        <f>SUM('[1]Bilan 2050'!$U$41:$U$43)/11.63</f>
        <v>1.7544463445123659</v>
      </c>
      <c r="Q121" s="37">
        <f>'[1]Bilan 2050'!$U$13/11.63</f>
        <v>9.8880397220191174</v>
      </c>
      <c r="R121" s="37">
        <f>('[1]Bilan 2050'!$U$22+'[1]Bilan 2050'!$U$30+SUM('[1]Bilan 2050'!$U$36:$U$40)+SUM('[1]Bilan 2050'!$U$44:$U$45)+'[1]Bilan 2050'!$U$47)/11.63</f>
        <v>11.517483382516158</v>
      </c>
      <c r="S121" s="120">
        <f t="shared" si="35"/>
        <v>23.475824375270452</v>
      </c>
      <c r="T121" s="120"/>
      <c r="U121" s="177" t="s">
        <v>24</v>
      </c>
      <c r="V121" t="s">
        <v>568</v>
      </c>
      <c r="W121" t="s">
        <v>569</v>
      </c>
      <c r="X121" t="s">
        <v>570</v>
      </c>
      <c r="Y121" t="s">
        <v>571</v>
      </c>
      <c r="Z121" s="19">
        <v>1.833853677</v>
      </c>
      <c r="AA121" s="19">
        <v>10.949307729999999</v>
      </c>
      <c r="AB121" s="19">
        <v>16.300642289999999</v>
      </c>
      <c r="AC121" s="19">
        <v>18.809146729999998</v>
      </c>
      <c r="AD121" s="120">
        <v>47.892950427000002</v>
      </c>
    </row>
    <row r="122" spans="3:30" x14ac:dyDescent="0.25">
      <c r="C122" s="177" t="s">
        <v>129</v>
      </c>
      <c r="D122" t="s">
        <v>572</v>
      </c>
      <c r="E122" t="s">
        <v>573</v>
      </c>
      <c r="F122" t="s">
        <v>574</v>
      </c>
      <c r="G122" t="s">
        <v>575</v>
      </c>
      <c r="H122" s="19">
        <f>VLOOKUP(D122,Résultats!$B$2:$AX$476,'T energie vecteurs'!W5,FALSE)</f>
        <v>1.0035093310000001</v>
      </c>
      <c r="I122" s="19">
        <f>VLOOKUP(E122,Résultats!$B$2:$AX$476,'T energie vecteurs'!W5,FALSE)</f>
        <v>2.7117649949999998</v>
      </c>
      <c r="J122" s="19">
        <f>VLOOKUP(F122,Résultats!$B$2:$AX$476,'T energie vecteurs'!W5,FALSE)</f>
        <v>0</v>
      </c>
      <c r="K122" s="19">
        <f>VLOOKUP(G122,Résultats!$B$2:$AX$476,'T energie vecteurs'!W5,FALSE)</f>
        <v>2.7496917459999999</v>
      </c>
      <c r="L122" s="120">
        <f t="shared" si="34"/>
        <v>6.4649660719999993</v>
      </c>
      <c r="M122" s="19"/>
      <c r="N122" s="177" t="s">
        <v>129</v>
      </c>
      <c r="O122" s="28">
        <f>'[1]Bilan 2050'!$E$52/11.63</f>
        <v>3.4049624153589853</v>
      </c>
      <c r="P122" s="19">
        <f>('[1]Bilan 2050'!$E$54+'[1]Bilan 2050'!$E$56)/11.63</f>
        <v>8.6031944727556251</v>
      </c>
      <c r="Q122" s="19">
        <v>0</v>
      </c>
      <c r="R122" s="19">
        <f>('[1]Bilan 2050'!$E$53+'[1]Bilan 2050'!$E$55+'[1]Bilan 2050'!$E$57)/11.63</f>
        <v>1.2994315596982036</v>
      </c>
      <c r="S122" s="120">
        <f t="shared" si="35"/>
        <v>13.307588447812815</v>
      </c>
      <c r="T122" s="120"/>
      <c r="U122" s="177" t="s">
        <v>129</v>
      </c>
      <c r="V122" t="s">
        <v>572</v>
      </c>
      <c r="W122" t="s">
        <v>573</v>
      </c>
      <c r="X122" t="s">
        <v>574</v>
      </c>
      <c r="Y122" t="s">
        <v>575</v>
      </c>
      <c r="Z122" s="19">
        <v>1.010841616</v>
      </c>
      <c r="AA122" s="19">
        <v>2.908419275</v>
      </c>
      <c r="AB122" s="19">
        <v>0</v>
      </c>
      <c r="AC122" s="19">
        <v>3.0529446299999998</v>
      </c>
      <c r="AD122" s="120">
        <v>6.9722055209999994</v>
      </c>
    </row>
    <row r="123" spans="3:30" x14ac:dyDescent="0.25">
      <c r="C123" s="177" t="s">
        <v>25</v>
      </c>
      <c r="D123" t="s">
        <v>576</v>
      </c>
      <c r="E123" t="s">
        <v>577</v>
      </c>
      <c r="F123" t="s">
        <v>578</v>
      </c>
      <c r="G123" t="s">
        <v>579</v>
      </c>
      <c r="H123" s="19">
        <f>VLOOKUP(D123,Résultats!$B$2:$AX$476,'T energie vecteurs'!W5,FALSE)</f>
        <v>0</v>
      </c>
      <c r="I123" s="19">
        <f>VLOOKUP(E123,Résultats!$B$2:$AX$476,'T energie vecteurs'!W5,FALSE)</f>
        <v>3.6647201790000001</v>
      </c>
      <c r="J123" s="19">
        <f>VLOOKUP(F123,Résultats!$B$2:$AX$476,'T energie vecteurs'!W5,FALSE)</f>
        <v>0.42469111170000001</v>
      </c>
      <c r="K123" s="19">
        <f>VLOOKUP(G123,Résultats!$B$2:$AX$476,'T energie vecteurs'!W5,FALSE)</f>
        <v>0.52969402430000001</v>
      </c>
      <c r="L123" s="120">
        <f t="shared" si="34"/>
        <v>4.6191053150000005</v>
      </c>
      <c r="M123" s="19"/>
      <c r="N123" s="178" t="s">
        <v>25</v>
      </c>
      <c r="O123" s="36">
        <f>'[1]Bilan 2050'!$T$46/11.63</f>
        <v>0</v>
      </c>
      <c r="P123" s="35">
        <f>SUM('[1]Bilan 2050'!$T$41:$T$43)/11.63</f>
        <v>2.6210382547955651</v>
      </c>
      <c r="Q123" s="35">
        <f>'[1]Bilan 2050'!$T$13/11.63</f>
        <v>0.47494021651696666</v>
      </c>
      <c r="R123" s="35">
        <f>('[1]Bilan 2050'!$T$22+'[1]Bilan 2050'!$T$30+SUM('[1]Bilan 2050'!$T$36:$T$40)+SUM('[1]Bilan 2050'!$T$44:$T$45)+'[1]Bilan 2050'!$T$47)/11.63</f>
        <v>0.5067259755592558</v>
      </c>
      <c r="S123" s="170">
        <f t="shared" si="35"/>
        <v>3.6027044468717877</v>
      </c>
      <c r="T123" s="272">
        <f>S123</f>
        <v>3.6027044468717877</v>
      </c>
      <c r="U123" s="177" t="s">
        <v>25</v>
      </c>
      <c r="V123" t="s">
        <v>576</v>
      </c>
      <c r="W123" t="s">
        <v>577</v>
      </c>
      <c r="X123" t="s">
        <v>578</v>
      </c>
      <c r="Y123" t="s">
        <v>579</v>
      </c>
      <c r="Z123" s="19">
        <v>0</v>
      </c>
      <c r="AA123" s="19">
        <v>3.67832158</v>
      </c>
      <c r="AB123" s="19">
        <v>0.4782575114</v>
      </c>
      <c r="AC123" s="19">
        <v>0.5751172577</v>
      </c>
      <c r="AD123" s="120">
        <v>4.7316963490999999</v>
      </c>
    </row>
    <row r="124" spans="3:30" x14ac:dyDescent="0.25">
      <c r="C124" s="29" t="s">
        <v>26</v>
      </c>
      <c r="D124" s="10"/>
      <c r="E124" s="10"/>
      <c r="F124" s="10"/>
      <c r="G124" s="10"/>
      <c r="H124" s="9">
        <f>SUM(H115,H118:H120)</f>
        <v>3.1968119253</v>
      </c>
      <c r="I124" s="9">
        <f>SUM(I115,I118:I120)</f>
        <v>54.631143610999999</v>
      </c>
      <c r="J124" s="9">
        <f>SUM(J115,J118:J120)</f>
        <v>49.2425067617</v>
      </c>
      <c r="K124" s="9">
        <f>SUM(K115,K118:K120)</f>
        <v>45.843935280864699</v>
      </c>
      <c r="L124" s="123">
        <f t="shared" si="34"/>
        <v>152.91439757886468</v>
      </c>
      <c r="M124" s="105"/>
      <c r="N124" s="179" t="s">
        <v>26</v>
      </c>
      <c r="O124" s="40">
        <f>O115+O118+O119+O120+O123</f>
        <v>3.7208173415817956</v>
      </c>
      <c r="P124" s="38">
        <f>P115+P118+P119+P120+P123</f>
        <v>34.070625819712902</v>
      </c>
      <c r="Q124" s="38">
        <f>Q115+Q118+Q119+Q120+Q123</f>
        <v>46.595631865886276</v>
      </c>
      <c r="R124" s="38">
        <f>R115+R118+R119+R120+R123</f>
        <v>43.910246102932632</v>
      </c>
      <c r="S124" s="172">
        <f t="shared" si="35"/>
        <v>128.2973211301136</v>
      </c>
      <c r="T124" s="271">
        <f>SUM(T115:T123)</f>
        <v>121.84127960823143</v>
      </c>
      <c r="U124" s="29" t="s">
        <v>26</v>
      </c>
      <c r="V124" s="10"/>
      <c r="W124" s="10"/>
      <c r="X124" s="10"/>
      <c r="Y124" s="10"/>
      <c r="Z124" s="9">
        <v>3.0721410636000002</v>
      </c>
      <c r="AA124" s="9">
        <v>55.884757733000001</v>
      </c>
      <c r="AB124" s="9">
        <v>54.255621094399999</v>
      </c>
      <c r="AC124" s="9">
        <v>52.755751781408293</v>
      </c>
      <c r="AD124" s="123">
        <v>165.96827167240829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69"/>
      <c r="M125" s="3"/>
      <c r="O125" s="103"/>
      <c r="P125" s="103"/>
      <c r="Q125" s="103"/>
      <c r="R125" s="104"/>
      <c r="S125" s="69"/>
      <c r="U125" s="3"/>
      <c r="V125" s="3"/>
      <c r="W125" s="3"/>
      <c r="X125" s="3"/>
      <c r="Y125" s="3"/>
      <c r="Z125" s="3"/>
      <c r="AA125" s="3"/>
      <c r="AB125" s="3"/>
      <c r="AC125" s="3"/>
      <c r="AD125" s="69"/>
    </row>
    <row r="126" spans="3:30" x14ac:dyDescent="0.25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5">
      <c r="C128" s="84" t="s">
        <v>222</v>
      </c>
      <c r="D128" s="3"/>
      <c r="E128" s="3"/>
      <c r="F128" s="3">
        <f>0.1/0.028*51.84</f>
        <v>185.14285714285717</v>
      </c>
      <c r="G128" s="3"/>
      <c r="H128" s="3"/>
      <c r="I128" s="3"/>
      <c r="J128" s="3"/>
      <c r="K128" s="3"/>
      <c r="L128" s="3"/>
      <c r="M128" s="3"/>
      <c r="N128" s="84" t="s">
        <v>223</v>
      </c>
      <c r="O128" s="3"/>
      <c r="P128" s="3"/>
      <c r="Q128" s="3"/>
      <c r="R128" s="3"/>
      <c r="S128" s="3"/>
      <c r="U128" s="84" t="s">
        <v>222</v>
      </c>
      <c r="V128" s="3"/>
      <c r="W128" s="3"/>
      <c r="X128" s="3">
        <v>185.14285714285717</v>
      </c>
      <c r="Y128" s="3"/>
      <c r="Z128" s="3"/>
      <c r="AA128" s="3"/>
      <c r="AB128" s="3"/>
      <c r="AC128" s="3"/>
      <c r="AD128" s="3"/>
    </row>
    <row r="129" spans="3:30" s="3" customFormat="1" ht="31.5" x14ac:dyDescent="0.35">
      <c r="C129" s="173">
        <v>2050</v>
      </c>
      <c r="D129" s="174"/>
      <c r="E129" s="174"/>
      <c r="F129" s="174"/>
      <c r="G129" s="174"/>
      <c r="H129" s="101" t="s">
        <v>36</v>
      </c>
      <c r="I129" s="101" t="s">
        <v>131</v>
      </c>
      <c r="J129" s="101" t="s">
        <v>38</v>
      </c>
      <c r="K129" s="101" t="s">
        <v>130</v>
      </c>
      <c r="L129" s="118" t="s">
        <v>1</v>
      </c>
      <c r="N129" s="173">
        <v>2050</v>
      </c>
      <c r="O129" s="169" t="s">
        <v>36</v>
      </c>
      <c r="P129" s="101" t="s">
        <v>131</v>
      </c>
      <c r="Q129" s="101" t="s">
        <v>38</v>
      </c>
      <c r="R129" s="101" t="s">
        <v>130</v>
      </c>
      <c r="S129" s="118" t="s">
        <v>1</v>
      </c>
      <c r="U129" s="173">
        <v>2050</v>
      </c>
      <c r="V129" s="174"/>
      <c r="W129" s="174"/>
      <c r="X129" s="174"/>
      <c r="Y129" s="174"/>
      <c r="Z129" s="101" t="s">
        <v>36</v>
      </c>
      <c r="AA129" s="101" t="s">
        <v>131</v>
      </c>
      <c r="AB129" s="101" t="s">
        <v>38</v>
      </c>
      <c r="AC129" s="101" t="s">
        <v>130</v>
      </c>
      <c r="AD129" s="118" t="s">
        <v>1</v>
      </c>
    </row>
    <row r="130" spans="3:30" s="3" customFormat="1" x14ac:dyDescent="0.25">
      <c r="C130" s="246" t="s">
        <v>18</v>
      </c>
      <c r="D130" s="247"/>
      <c r="E130" s="247"/>
      <c r="F130" s="247"/>
      <c r="G130" s="247"/>
      <c r="H130" s="248" t="e">
        <f>H115-#REF!</f>
        <v>#REF!</v>
      </c>
      <c r="I130" s="249" t="e">
        <f>I115-#REF!</f>
        <v>#REF!</v>
      </c>
      <c r="J130" s="249" t="e">
        <f>J115-#REF!</f>
        <v>#REF!</v>
      </c>
      <c r="K130" s="249" t="e">
        <f>K115-#REF!</f>
        <v>#REF!</v>
      </c>
      <c r="L130" s="250" t="e">
        <f>L115-#REF!</f>
        <v>#REF!</v>
      </c>
      <c r="N130" s="246" t="s">
        <v>18</v>
      </c>
      <c r="O130" s="248">
        <f>H115-O115</f>
        <v>0</v>
      </c>
      <c r="P130" s="249">
        <f t="shared" ref="P130:S139" si="38">I115-P115</f>
        <v>10.110763903383674</v>
      </c>
      <c r="Q130" s="249">
        <f t="shared" si="38"/>
        <v>0.44497914321953402</v>
      </c>
      <c r="R130" s="249">
        <f t="shared" si="38"/>
        <v>0.39407881009440349</v>
      </c>
      <c r="S130" s="250">
        <f t="shared" si="38"/>
        <v>10.949821856697614</v>
      </c>
      <c r="U130" s="246" t="s">
        <v>18</v>
      </c>
      <c r="V130" s="247"/>
      <c r="W130" s="247"/>
      <c r="X130" s="247"/>
      <c r="Y130" s="247"/>
      <c r="Z130" s="248" t="e">
        <v>#REF!</v>
      </c>
      <c r="AA130" s="249" t="e">
        <v>#REF!</v>
      </c>
      <c r="AB130" s="249" t="e">
        <v>#REF!</v>
      </c>
      <c r="AC130" s="249" t="e">
        <v>#REF!</v>
      </c>
      <c r="AD130" s="250" t="e">
        <v>#REF!</v>
      </c>
    </row>
    <row r="131" spans="3:30" s="3" customFormat="1" x14ac:dyDescent="0.25">
      <c r="C131" s="176" t="s">
        <v>19</v>
      </c>
      <c r="D131" t="s">
        <v>224</v>
      </c>
      <c r="E131" t="s">
        <v>225</v>
      </c>
      <c r="F131" t="s">
        <v>226</v>
      </c>
      <c r="G131" t="s">
        <v>227</v>
      </c>
      <c r="H131" s="251" t="e">
        <f>H116-#REF!</f>
        <v>#REF!</v>
      </c>
      <c r="I131" s="55" t="e">
        <f>I116-#REF!</f>
        <v>#REF!</v>
      </c>
      <c r="J131" s="55" t="e">
        <f>J116-#REF!</f>
        <v>#REF!</v>
      </c>
      <c r="K131" s="55" t="e">
        <f>K116-#REF!</f>
        <v>#REF!</v>
      </c>
      <c r="L131" s="252" t="e">
        <f>L116-#REF!</f>
        <v>#REF!</v>
      </c>
      <c r="N131" s="176" t="s">
        <v>19</v>
      </c>
      <c r="O131" s="251">
        <f t="shared" ref="O131:O139" si="39">H116-O116</f>
        <v>0</v>
      </c>
      <c r="P131" s="55">
        <f t="shared" si="38"/>
        <v>12.38371592</v>
      </c>
      <c r="Q131" s="55">
        <f t="shared" si="38"/>
        <v>3.4692809100000002</v>
      </c>
      <c r="R131" s="55">
        <f t="shared" si="38"/>
        <v>6.3649564700000004E-5</v>
      </c>
      <c r="S131" s="252">
        <f t="shared" si="38"/>
        <v>15.8530604795647</v>
      </c>
      <c r="U131" s="176" t="s">
        <v>19</v>
      </c>
      <c r="V131" t="s">
        <v>224</v>
      </c>
      <c r="W131" t="s">
        <v>225</v>
      </c>
      <c r="X131" t="s">
        <v>226</v>
      </c>
      <c r="Y131" t="s">
        <v>227</v>
      </c>
      <c r="Z131" s="251" t="e">
        <v>#REF!</v>
      </c>
      <c r="AA131" s="55" t="e">
        <v>#REF!</v>
      </c>
      <c r="AB131" s="55" t="e">
        <v>#REF!</v>
      </c>
      <c r="AC131" s="55" t="e">
        <v>#REF!</v>
      </c>
      <c r="AD131" s="252" t="e">
        <v>#REF!</v>
      </c>
    </row>
    <row r="132" spans="3:30" s="3" customFormat="1" x14ac:dyDescent="0.25">
      <c r="C132" s="177" t="s">
        <v>20</v>
      </c>
      <c r="D132" t="s">
        <v>228</v>
      </c>
      <c r="E132" t="s">
        <v>229</v>
      </c>
      <c r="F132" t="s">
        <v>230</v>
      </c>
      <c r="G132" t="s">
        <v>231</v>
      </c>
      <c r="H132" s="251" t="e">
        <f>H117-#REF!</f>
        <v>#REF!</v>
      </c>
      <c r="I132" s="55" t="e">
        <f>I117-#REF!</f>
        <v>#REF!</v>
      </c>
      <c r="J132" s="55" t="e">
        <f>J117-#REF!</f>
        <v>#REF!</v>
      </c>
      <c r="K132" s="55" t="e">
        <f>K117-#REF!</f>
        <v>#REF!</v>
      </c>
      <c r="L132" s="252" t="e">
        <f>L117-#REF!</f>
        <v>#REF!</v>
      </c>
      <c r="N132" s="177" t="s">
        <v>20</v>
      </c>
      <c r="O132" s="251">
        <f t="shared" si="39"/>
        <v>0</v>
      </c>
      <c r="P132" s="55">
        <f t="shared" si="38"/>
        <v>18.171738099999999</v>
      </c>
      <c r="Q132" s="55">
        <f t="shared" si="38"/>
        <v>3.92490462</v>
      </c>
      <c r="R132" s="55">
        <f t="shared" si="38"/>
        <v>3.5181092309999999</v>
      </c>
      <c r="S132" s="252">
        <f t="shared" si="38"/>
        <v>25.614751950999999</v>
      </c>
      <c r="U132" s="177" t="s">
        <v>20</v>
      </c>
      <c r="V132" t="s">
        <v>228</v>
      </c>
      <c r="W132" t="s">
        <v>229</v>
      </c>
      <c r="X132" t="s">
        <v>230</v>
      </c>
      <c r="Y132" t="s">
        <v>231</v>
      </c>
      <c r="Z132" s="251" t="e">
        <v>#REF!</v>
      </c>
      <c r="AA132" s="55" t="e">
        <v>#REF!</v>
      </c>
      <c r="AB132" s="55" t="e">
        <v>#REF!</v>
      </c>
      <c r="AC132" s="55" t="e">
        <v>#REF!</v>
      </c>
      <c r="AD132" s="252" t="e">
        <v>#REF!</v>
      </c>
    </row>
    <row r="133" spans="3:30" s="3" customFormat="1" x14ac:dyDescent="0.25">
      <c r="C133" s="246" t="s">
        <v>21</v>
      </c>
      <c r="D133" s="247" t="s">
        <v>232</v>
      </c>
      <c r="E133" s="247" t="s">
        <v>233</v>
      </c>
      <c r="F133" s="247" t="s">
        <v>234</v>
      </c>
      <c r="G133" s="247" t="s">
        <v>235</v>
      </c>
      <c r="H133" s="253" t="e">
        <f>H118-#REF!</f>
        <v>#REF!</v>
      </c>
      <c r="I133" s="249" t="e">
        <f>I118-#REF!</f>
        <v>#REF!</v>
      </c>
      <c r="J133" s="249" t="e">
        <f>J118-#REF!</f>
        <v>#REF!</v>
      </c>
      <c r="K133" s="249" t="e">
        <f>K118-#REF!</f>
        <v>#REF!</v>
      </c>
      <c r="L133" s="250" t="e">
        <f>L118-#REF!</f>
        <v>#REF!</v>
      </c>
      <c r="N133" s="246" t="s">
        <v>21</v>
      </c>
      <c r="O133" s="253">
        <f t="shared" si="39"/>
        <v>0.2300331813</v>
      </c>
      <c r="P133" s="249">
        <f t="shared" si="38"/>
        <v>5.1488404459905519</v>
      </c>
      <c r="Q133" s="249">
        <f t="shared" si="38"/>
        <v>1.0260500037054818</v>
      </c>
      <c r="R133" s="249">
        <f t="shared" si="38"/>
        <v>-1.7284835187072041</v>
      </c>
      <c r="S133" s="250">
        <f t="shared" si="38"/>
        <v>4.6764401122888231</v>
      </c>
      <c r="U133" s="246" t="s">
        <v>21</v>
      </c>
      <c r="V133" s="247" t="s">
        <v>232</v>
      </c>
      <c r="W133" s="247" t="s">
        <v>233</v>
      </c>
      <c r="X133" s="247" t="s">
        <v>234</v>
      </c>
      <c r="Y133" s="247" t="s">
        <v>235</v>
      </c>
      <c r="Z133" s="253" t="e">
        <v>#REF!</v>
      </c>
      <c r="AA133" s="249" t="e">
        <v>#REF!</v>
      </c>
      <c r="AB133" s="249" t="e">
        <v>#REF!</v>
      </c>
      <c r="AC133" s="249" t="e">
        <v>#REF!</v>
      </c>
      <c r="AD133" s="250" t="e">
        <v>#REF!</v>
      </c>
    </row>
    <row r="134" spans="3:30" s="3" customFormat="1" x14ac:dyDescent="0.25">
      <c r="C134" s="246" t="s">
        <v>22</v>
      </c>
      <c r="D134" s="247" t="s">
        <v>236</v>
      </c>
      <c r="E134" s="247" t="s">
        <v>237</v>
      </c>
      <c r="F134" s="247" t="s">
        <v>238</v>
      </c>
      <c r="G134" s="247" t="s">
        <v>239</v>
      </c>
      <c r="H134" s="253" t="e">
        <f>H119-#REF!</f>
        <v>#REF!</v>
      </c>
      <c r="I134" s="249" t="e">
        <f>I119-#REF!</f>
        <v>#REF!</v>
      </c>
      <c r="J134" s="249" t="e">
        <f>J119-#REF!</f>
        <v>#REF!</v>
      </c>
      <c r="K134" s="249" t="e">
        <f>K119-#REF!</f>
        <v>#REF!</v>
      </c>
      <c r="L134" s="250" t="e">
        <f>L119-#REF!</f>
        <v>#REF!</v>
      </c>
      <c r="N134" s="246" t="s">
        <v>22</v>
      </c>
      <c r="O134" s="253">
        <f t="shared" si="39"/>
        <v>0</v>
      </c>
      <c r="P134" s="249">
        <f t="shared" si="38"/>
        <v>1.6757155399764332</v>
      </c>
      <c r="Q134" s="249">
        <f t="shared" si="38"/>
        <v>-1.9546872042752046</v>
      </c>
      <c r="R134" s="249">
        <f t="shared" si="38"/>
        <v>-0.60013619598151369</v>
      </c>
      <c r="S134" s="250">
        <f t="shared" si="38"/>
        <v>-0.87910786028028554</v>
      </c>
      <c r="U134" s="246" t="s">
        <v>22</v>
      </c>
      <c r="V134" s="247" t="s">
        <v>236</v>
      </c>
      <c r="W134" s="247" t="s">
        <v>237</v>
      </c>
      <c r="X134" s="247" t="s">
        <v>238</v>
      </c>
      <c r="Y134" s="247" t="s">
        <v>239</v>
      </c>
      <c r="Z134" s="253" t="e">
        <v>#REF!</v>
      </c>
      <c r="AA134" s="249" t="e">
        <v>#REF!</v>
      </c>
      <c r="AB134" s="249" t="e">
        <v>#REF!</v>
      </c>
      <c r="AC134" s="249" t="e">
        <v>#REF!</v>
      </c>
      <c r="AD134" s="250" t="e">
        <v>#REF!</v>
      </c>
    </row>
    <row r="135" spans="3:30" s="3" customFormat="1" x14ac:dyDescent="0.25">
      <c r="C135" s="246" t="s">
        <v>23</v>
      </c>
      <c r="D135" s="247"/>
      <c r="E135" s="247"/>
      <c r="F135" s="247"/>
      <c r="G135" s="247"/>
      <c r="H135" s="253" t="e">
        <f>H120-#REF!</f>
        <v>#REF!</v>
      </c>
      <c r="I135" s="249" t="e">
        <f>I120-#REF!</f>
        <v>#REF!</v>
      </c>
      <c r="J135" s="249" t="e">
        <f>J120-#REF!</f>
        <v>#REF!</v>
      </c>
      <c r="K135" s="249" t="e">
        <f>K120-#REF!</f>
        <v>#REF!</v>
      </c>
      <c r="L135" s="250" t="e">
        <f>L120-#REF!</f>
        <v>#REF!</v>
      </c>
      <c r="N135" s="246" t="s">
        <v>23</v>
      </c>
      <c r="O135" s="253">
        <f t="shared" si="39"/>
        <v>-0.75403859758179559</v>
      </c>
      <c r="P135" s="249">
        <f t="shared" si="38"/>
        <v>6.2462361567320066</v>
      </c>
      <c r="Q135" s="249">
        <f t="shared" si="38"/>
        <v>3.6054731696808826</v>
      </c>
      <c r="R135" s="249">
        <f t="shared" si="38"/>
        <v>4.3749560580856368</v>
      </c>
      <c r="S135" s="250">
        <f t="shared" si="38"/>
        <v>13.472626786916734</v>
      </c>
      <c r="U135" s="246" t="s">
        <v>23</v>
      </c>
      <c r="V135" s="247"/>
      <c r="W135" s="247"/>
      <c r="X135" s="247"/>
      <c r="Y135" s="247"/>
      <c r="Z135" s="253" t="e">
        <v>#REF!</v>
      </c>
      <c r="AA135" s="249" t="e">
        <v>#REF!</v>
      </c>
      <c r="AB135" s="249" t="e">
        <v>#REF!</v>
      </c>
      <c r="AC135" s="249" t="e">
        <v>#REF!</v>
      </c>
      <c r="AD135" s="250" t="e">
        <v>#REF!</v>
      </c>
    </row>
    <row r="136" spans="3:30" s="3" customFormat="1" x14ac:dyDescent="0.25">
      <c r="C136" s="177" t="s">
        <v>24</v>
      </c>
      <c r="D136" t="s">
        <v>240</v>
      </c>
      <c r="E136" t="s">
        <v>241</v>
      </c>
      <c r="F136" t="s">
        <v>242</v>
      </c>
      <c r="G136" t="s">
        <v>243</v>
      </c>
      <c r="H136" s="251" t="e">
        <f>H121-#REF!</f>
        <v>#REF!</v>
      </c>
      <c r="I136" s="254" t="e">
        <f>I121-#REF!</f>
        <v>#REF!</v>
      </c>
      <c r="J136" s="254" t="e">
        <f>J121-#REF!</f>
        <v>#REF!</v>
      </c>
      <c r="K136" s="254" t="e">
        <f>K121-#REF!</f>
        <v>#REF!</v>
      </c>
      <c r="L136" s="252" t="e">
        <f>L121-#REF!</f>
        <v>#REF!</v>
      </c>
      <c r="N136" s="177" t="s">
        <v>24</v>
      </c>
      <c r="O136" s="251">
        <f t="shared" si="39"/>
        <v>1.6474144867771896</v>
      </c>
      <c r="P136" s="254">
        <f t="shared" si="38"/>
        <v>8.4729454554876327</v>
      </c>
      <c r="Q136" s="254">
        <f t="shared" si="38"/>
        <v>3.180782057980883</v>
      </c>
      <c r="R136" s="254">
        <f t="shared" si="38"/>
        <v>2.3950018474838419</v>
      </c>
      <c r="S136" s="252">
        <f t="shared" si="38"/>
        <v>15.696143847729548</v>
      </c>
      <c r="U136" s="177" t="s">
        <v>24</v>
      </c>
      <c r="V136" t="s">
        <v>240</v>
      </c>
      <c r="W136" t="s">
        <v>241</v>
      </c>
      <c r="X136" t="s">
        <v>242</v>
      </c>
      <c r="Y136" t="s">
        <v>243</v>
      </c>
      <c r="Z136" s="251" t="e">
        <v>#REF!</v>
      </c>
      <c r="AA136" s="254" t="e">
        <v>#REF!</v>
      </c>
      <c r="AB136" s="254" t="e">
        <v>#REF!</v>
      </c>
      <c r="AC136" s="254" t="e">
        <v>#REF!</v>
      </c>
      <c r="AD136" s="252" t="e">
        <v>#REF!</v>
      </c>
    </row>
    <row r="137" spans="3:30" s="3" customFormat="1" x14ac:dyDescent="0.25">
      <c r="C137" s="177" t="s">
        <v>129</v>
      </c>
      <c r="D137" t="s">
        <v>244</v>
      </c>
      <c r="E137" t="s">
        <v>245</v>
      </c>
      <c r="F137" t="s">
        <v>246</v>
      </c>
      <c r="G137" t="s">
        <v>247</v>
      </c>
      <c r="H137" s="255" t="e">
        <f>H122-#REF!</f>
        <v>#REF!</v>
      </c>
      <c r="I137" s="55" t="e">
        <f>I122-#REF!</f>
        <v>#REF!</v>
      </c>
      <c r="J137" s="55" t="e">
        <f>J122-#REF!</f>
        <v>#REF!</v>
      </c>
      <c r="K137" s="55" t="e">
        <f>K122-#REF!</f>
        <v>#REF!</v>
      </c>
      <c r="L137" s="252" t="e">
        <f>L122-#REF!</f>
        <v>#REF!</v>
      </c>
      <c r="N137" s="177" t="s">
        <v>129</v>
      </c>
      <c r="O137" s="255">
        <f t="shared" si="39"/>
        <v>-2.4014530843589852</v>
      </c>
      <c r="P137" s="55">
        <f t="shared" si="38"/>
        <v>-5.8914294777556258</v>
      </c>
      <c r="Q137" s="55">
        <f t="shared" si="38"/>
        <v>0</v>
      </c>
      <c r="R137" s="55">
        <f t="shared" si="38"/>
        <v>1.4502601863017963</v>
      </c>
      <c r="S137" s="252">
        <f t="shared" si="38"/>
        <v>-6.842622375812816</v>
      </c>
      <c r="U137" s="177" t="s">
        <v>129</v>
      </c>
      <c r="V137" t="s">
        <v>244</v>
      </c>
      <c r="W137" t="s">
        <v>245</v>
      </c>
      <c r="X137" t="s">
        <v>246</v>
      </c>
      <c r="Y137" t="s">
        <v>247</v>
      </c>
      <c r="Z137" s="255" t="e">
        <v>#REF!</v>
      </c>
      <c r="AA137" s="55" t="e">
        <v>#REF!</v>
      </c>
      <c r="AB137" s="55" t="e">
        <v>#REF!</v>
      </c>
      <c r="AC137" s="55" t="e">
        <v>#REF!</v>
      </c>
      <c r="AD137" s="252" t="e">
        <v>#REF!</v>
      </c>
    </row>
    <row r="138" spans="3:30" s="3" customFormat="1" x14ac:dyDescent="0.25">
      <c r="C138" s="177" t="s">
        <v>25</v>
      </c>
      <c r="D138" t="s">
        <v>248</v>
      </c>
      <c r="E138" t="s">
        <v>249</v>
      </c>
      <c r="F138" t="s">
        <v>250</v>
      </c>
      <c r="G138" t="s">
        <v>251</v>
      </c>
      <c r="H138" s="251" t="e">
        <f>H123-#REF!</f>
        <v>#REF!</v>
      </c>
      <c r="I138" s="254" t="e">
        <f>I123-#REF!</f>
        <v>#REF!</v>
      </c>
      <c r="J138" s="254" t="e">
        <f>J123-#REF!</f>
        <v>#REF!</v>
      </c>
      <c r="K138" s="254" t="e">
        <f>K123-#REF!</f>
        <v>#REF!</v>
      </c>
      <c r="L138" s="252" t="e">
        <f>L123-#REF!</f>
        <v>#REF!</v>
      </c>
      <c r="N138" s="177" t="s">
        <v>25</v>
      </c>
      <c r="O138" s="251">
        <f t="shared" si="39"/>
        <v>0</v>
      </c>
      <c r="P138" s="254">
        <f t="shared" si="38"/>
        <v>1.0436819242044351</v>
      </c>
      <c r="Q138" s="254">
        <f t="shared" si="38"/>
        <v>-5.024910481696665E-2</v>
      </c>
      <c r="R138" s="254">
        <f t="shared" si="38"/>
        <v>2.2968048740744207E-2</v>
      </c>
      <c r="S138" s="252">
        <f t="shared" si="38"/>
        <v>1.0164008681282128</v>
      </c>
      <c r="U138" s="177" t="s">
        <v>25</v>
      </c>
      <c r="V138" t="s">
        <v>248</v>
      </c>
      <c r="W138" t="s">
        <v>249</v>
      </c>
      <c r="X138" t="s">
        <v>250</v>
      </c>
      <c r="Y138" t="s">
        <v>251</v>
      </c>
      <c r="Z138" s="251" t="e">
        <v>#REF!</v>
      </c>
      <c r="AA138" s="254" t="e">
        <v>#REF!</v>
      </c>
      <c r="AB138" s="254" t="e">
        <v>#REF!</v>
      </c>
      <c r="AC138" s="254" t="e">
        <v>#REF!</v>
      </c>
      <c r="AD138" s="252" t="e">
        <v>#REF!</v>
      </c>
    </row>
    <row r="139" spans="3:30" s="3" customFormat="1" x14ac:dyDescent="0.25">
      <c r="C139" s="256" t="s">
        <v>26</v>
      </c>
      <c r="D139" s="257"/>
      <c r="E139" s="257"/>
      <c r="F139" s="257"/>
      <c r="G139" s="257"/>
      <c r="H139" s="258" t="e">
        <f>H124-#REF!</f>
        <v>#REF!</v>
      </c>
      <c r="I139" s="259" t="e">
        <f>I124-#REF!</f>
        <v>#REF!</v>
      </c>
      <c r="J139" s="259" t="e">
        <f>J124-#REF!</f>
        <v>#REF!</v>
      </c>
      <c r="K139" s="259" t="e">
        <f>K124-#REF!</f>
        <v>#REF!</v>
      </c>
      <c r="L139" s="260" t="e">
        <f>L124-#REF!</f>
        <v>#REF!</v>
      </c>
      <c r="N139" s="256" t="s">
        <v>26</v>
      </c>
      <c r="O139" s="258">
        <f t="shared" si="39"/>
        <v>-0.52400541628179553</v>
      </c>
      <c r="P139" s="259">
        <f t="shared" si="38"/>
        <v>20.560517791287097</v>
      </c>
      <c r="Q139" s="259">
        <f t="shared" si="38"/>
        <v>2.646874895813724</v>
      </c>
      <c r="R139" s="259">
        <f t="shared" si="38"/>
        <v>1.9336891779320666</v>
      </c>
      <c r="S139" s="260">
        <f t="shared" si="38"/>
        <v>24.617076448751078</v>
      </c>
      <c r="U139" s="256" t="s">
        <v>26</v>
      </c>
      <c r="V139" s="257"/>
      <c r="W139" s="257"/>
      <c r="X139" s="257"/>
      <c r="Y139" s="257"/>
      <c r="Z139" s="258" t="e">
        <v>#REF!</v>
      </c>
      <c r="AA139" s="259" t="e">
        <v>#REF!</v>
      </c>
      <c r="AB139" s="259" t="e">
        <v>#REF!</v>
      </c>
      <c r="AC139" s="259" t="e">
        <v>#REF!</v>
      </c>
      <c r="AD139" s="260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AB121"/>
  <sheetViews>
    <sheetView topLeftCell="A40" workbookViewId="0">
      <selection activeCell="E22" sqref="E22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customWidth="1"/>
    <col min="13" max="13" width="11.42578125" customWidth="1"/>
    <col min="16" max="16" width="13.42578125" customWidth="1"/>
    <col min="20" max="20" width="11.42578125" customWidth="1"/>
  </cols>
  <sheetData>
    <row r="1" spans="1:28" ht="23.25" x14ac:dyDescent="0.35">
      <c r="A1" s="1" t="s">
        <v>204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8" ht="18.75" x14ac:dyDescent="0.3">
      <c r="A2" s="6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5"/>
      <c r="S2" s="3"/>
      <c r="T2" s="3"/>
      <c r="U2" s="3"/>
      <c r="V2" s="69"/>
      <c r="W2" s="69"/>
      <c r="X2" s="3"/>
      <c r="Y2" s="3"/>
    </row>
    <row r="3" spans="1:28" ht="23.25" x14ac:dyDescent="0.35">
      <c r="A3" s="193" t="str">
        <f>Résultats!B1</f>
        <v>TEND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5"/>
      <c r="S3" s="3"/>
      <c r="T3" s="3"/>
      <c r="U3" s="3"/>
      <c r="V3" s="69"/>
      <c r="W3" s="69"/>
      <c r="X3" s="3"/>
      <c r="Y3" s="3"/>
    </row>
    <row r="4" spans="1:28" x14ac:dyDescent="0.25">
      <c r="A4" s="3"/>
      <c r="B4" s="67"/>
      <c r="C4" s="67"/>
      <c r="D4" s="67"/>
      <c r="E4" s="67"/>
      <c r="F4" s="68"/>
      <c r="G4" s="3"/>
      <c r="H4" s="3"/>
      <c r="I4" s="3"/>
      <c r="J4" s="43"/>
      <c r="K4" s="43"/>
      <c r="L4" s="43"/>
      <c r="M4" s="43"/>
      <c r="O4" s="12"/>
      <c r="Q4" s="43"/>
      <c r="R4" s="43"/>
      <c r="S4" s="43"/>
      <c r="T4" s="43"/>
      <c r="X4" s="43"/>
      <c r="Y4" s="43"/>
      <c r="Z4" s="43"/>
      <c r="AA4" s="43"/>
    </row>
    <row r="5" spans="1:28" ht="21" x14ac:dyDescent="0.35">
      <c r="A5" s="173">
        <v>2015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18" t="s">
        <v>1</v>
      </c>
      <c r="H5" s="3"/>
      <c r="I5" s="25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r="6" spans="1:28" x14ac:dyDescent="0.25">
      <c r="A6" s="194" t="s">
        <v>18</v>
      </c>
      <c r="B6" s="57">
        <f>B7+B8</f>
        <v>0</v>
      </c>
      <c r="C6" s="57">
        <f>C7+C8</f>
        <v>108.19524580687118</v>
      </c>
      <c r="D6" s="57">
        <f>D7+D8</f>
        <v>0.70113798493570878</v>
      </c>
      <c r="E6" s="57">
        <f>E7+E8</f>
        <v>0.35937095771077915</v>
      </c>
      <c r="F6" s="57">
        <f>F7+F8</f>
        <v>0</v>
      </c>
      <c r="G6" s="195">
        <f t="shared" ref="G6:G15" si="0">SUM(B6:F6)</f>
        <v>109.25575474951768</v>
      </c>
      <c r="H6" s="3"/>
      <c r="I6" s="202"/>
      <c r="J6" s="51"/>
      <c r="K6" s="51" t="s">
        <v>207</v>
      </c>
      <c r="L6" s="51"/>
      <c r="M6" s="51"/>
      <c r="N6" s="53"/>
      <c r="O6" s="54"/>
      <c r="P6" s="54"/>
      <c r="Q6" s="54"/>
      <c r="R6" s="54"/>
      <c r="S6" s="54"/>
      <c r="T6" s="46"/>
      <c r="U6" s="53"/>
      <c r="V6" s="24"/>
      <c r="W6" s="45"/>
      <c r="X6" s="52"/>
      <c r="Y6" s="52"/>
      <c r="Z6" s="52"/>
      <c r="AA6" s="52"/>
      <c r="AB6" s="52"/>
    </row>
    <row r="7" spans="1:28" x14ac:dyDescent="0.25">
      <c r="A7" s="176" t="s">
        <v>19</v>
      </c>
      <c r="B7" s="19">
        <v>0</v>
      </c>
      <c r="C7" s="19">
        <f>'T energie usages'!I12*3.2*Résultats!L250</f>
        <v>62.135912317271192</v>
      </c>
      <c r="D7" s="19">
        <f>'T energie usages'!J12/'T energie usages'!J$20*(Résultats!N$159+Résultats!N$60+Résultats!N$161)/1000000</f>
        <v>8.975844412551429E-3</v>
      </c>
      <c r="E7" s="19">
        <f>'T energie usages'!K12*2.394*Résultats!L251</f>
        <v>2.0269140779137793E-5</v>
      </c>
      <c r="F7" s="19">
        <v>0</v>
      </c>
      <c r="G7" s="120">
        <f t="shared" si="0"/>
        <v>62.144908430824522</v>
      </c>
      <c r="H7" s="3"/>
      <c r="I7" s="202"/>
      <c r="J7" s="51"/>
      <c r="K7" s="207"/>
      <c r="L7" s="208">
        <v>2020</v>
      </c>
      <c r="M7" s="208">
        <v>2030</v>
      </c>
      <c r="N7" s="209">
        <v>2050</v>
      </c>
      <c r="O7" s="54"/>
      <c r="P7" s="54"/>
      <c r="Q7" s="54"/>
      <c r="R7" s="54"/>
      <c r="S7" s="54"/>
      <c r="T7" s="46"/>
      <c r="U7" s="53"/>
      <c r="V7" s="24"/>
      <c r="W7" s="41"/>
      <c r="X7" s="52"/>
      <c r="Y7" s="52"/>
      <c r="Z7" s="52"/>
      <c r="AA7" s="52"/>
      <c r="AB7" s="52"/>
    </row>
    <row r="8" spans="1:28" x14ac:dyDescent="0.25">
      <c r="A8" s="177" t="s">
        <v>20</v>
      </c>
      <c r="B8" s="19">
        <v>0</v>
      </c>
      <c r="C8" s="19">
        <f>(Résultats!N$150+Résultats!N$151+Résultats!N$152+Résultats!N$153+Résultats!N$154)/1000000</f>
        <v>46.0593334896</v>
      </c>
      <c r="D8" s="19">
        <f>'T energie usages'!J13/'T energie usages'!J$20*(Résultats!N$159+Résultats!N$160+Résultats!N$161)/1000000</f>
        <v>0.69216214052315739</v>
      </c>
      <c r="E8" s="19">
        <f>(Résultats!N$176+Résultats!N$177+Résultats!N$178+Résultats!N$179+Résultats!N$180)/1000000</f>
        <v>0.35935068857000002</v>
      </c>
      <c r="F8" s="19">
        <v>0</v>
      </c>
      <c r="G8" s="120">
        <f t="shared" si="0"/>
        <v>47.110846318693156</v>
      </c>
      <c r="H8" s="3"/>
      <c r="I8" s="202"/>
      <c r="J8" s="51"/>
      <c r="K8" s="210" t="s">
        <v>18</v>
      </c>
      <c r="L8" s="24">
        <f>G19</f>
        <v>104.39884414837725</v>
      </c>
      <c r="M8" s="24">
        <f>G45</f>
        <v>96.203757562392099</v>
      </c>
      <c r="N8" s="213">
        <f>G71</f>
        <v>81.603596890438155</v>
      </c>
      <c r="O8" s="54"/>
      <c r="P8" s="54"/>
      <c r="Q8" s="54"/>
      <c r="R8" s="54"/>
      <c r="S8" s="54"/>
      <c r="T8" s="46"/>
      <c r="U8" s="53"/>
      <c r="V8" s="24"/>
      <c r="W8" s="41"/>
      <c r="X8" s="52"/>
      <c r="Y8" s="52"/>
      <c r="Z8" s="52"/>
      <c r="AA8" s="52"/>
      <c r="AB8" s="52"/>
    </row>
    <row r="9" spans="1:28" x14ac:dyDescent="0.25">
      <c r="A9" s="194" t="s">
        <v>21</v>
      </c>
      <c r="B9" s="57">
        <f>Résultats!N$102/1000000</f>
        <v>1.0157702239999999</v>
      </c>
      <c r="C9" s="57">
        <f>'T energie usages'!I14*3.2*Résultats!L250</f>
        <v>18.614447353692654</v>
      </c>
      <c r="D9" s="57">
        <f>'T energie usages'!J14/'T energie usages'!J$20*(Résultats!N$159+Résultats!N$160+Résultats!N$161)/1000000</f>
        <v>7.5028673661541569</v>
      </c>
      <c r="E9" s="57">
        <f>('T energie usages'!K14-5)*2.394*Résultats!L251</f>
        <v>27.874038221660498</v>
      </c>
      <c r="F9" s="57">
        <v>0</v>
      </c>
      <c r="G9" s="195">
        <f t="shared" si="0"/>
        <v>55.007123165507309</v>
      </c>
      <c r="H9" s="3"/>
      <c r="I9" s="202"/>
      <c r="J9" s="51"/>
      <c r="K9" s="210" t="s">
        <v>205</v>
      </c>
      <c r="L9" s="24">
        <f>G22</f>
        <v>48.191172139726689</v>
      </c>
      <c r="M9" s="24">
        <f>G48</f>
        <v>43.240227509550408</v>
      </c>
      <c r="N9" s="213">
        <f>G74</f>
        <v>43.044749609647582</v>
      </c>
      <c r="O9" s="54"/>
      <c r="P9" s="54"/>
      <c r="Q9" s="54"/>
      <c r="R9" s="54"/>
      <c r="S9" s="54"/>
      <c r="T9" s="46"/>
      <c r="U9" s="53"/>
      <c r="V9" s="24"/>
      <c r="W9" s="45"/>
      <c r="X9" s="52"/>
      <c r="Y9" s="52"/>
      <c r="Z9" s="52"/>
      <c r="AA9" s="52"/>
      <c r="AB9" s="52"/>
    </row>
    <row r="10" spans="1:28" x14ac:dyDescent="0.25">
      <c r="A10" s="194" t="s">
        <v>22</v>
      </c>
      <c r="B10" s="57">
        <f>(Résultats!N$135+Résultats!N$136)/1000000</f>
        <v>0</v>
      </c>
      <c r="C10" s="57">
        <f>(Résultats!N$155+Résultats!N$156)/1000000</f>
        <v>9.1827005101000001</v>
      </c>
      <c r="D10" s="57">
        <f>'T energie usages'!J15/'T energie usages'!J$20*(Résultats!N$159+Résultats!N$160+Résultats!N$161)/1000000</f>
        <v>6.316939425971869</v>
      </c>
      <c r="E10" s="57">
        <f>(Résultats!N$181+Résultats!N$182)/1000000</f>
        <v>13.161849162000001</v>
      </c>
      <c r="F10" s="57">
        <v>0</v>
      </c>
      <c r="G10" s="195">
        <f t="shared" si="0"/>
        <v>28.661489098071868</v>
      </c>
      <c r="H10" s="3"/>
      <c r="I10" s="202"/>
      <c r="J10" s="51"/>
      <c r="K10" s="211" t="s">
        <v>22</v>
      </c>
      <c r="L10" s="24">
        <f>G23</f>
        <v>23.693183602009505</v>
      </c>
      <c r="M10" s="24">
        <f>G49</f>
        <v>20.250880483066325</v>
      </c>
      <c r="N10" s="213">
        <f>G75</f>
        <v>16.093638896830065</v>
      </c>
      <c r="O10" s="54"/>
      <c r="P10" s="54"/>
      <c r="Q10" s="54"/>
      <c r="R10" s="54"/>
      <c r="S10" s="54"/>
      <c r="T10" s="46"/>
      <c r="U10" s="53"/>
      <c r="V10" s="24"/>
      <c r="W10" s="45"/>
      <c r="X10" s="52"/>
      <c r="Y10" s="52"/>
      <c r="Z10" s="52"/>
      <c r="AA10" s="52"/>
      <c r="AB10" s="52"/>
    </row>
    <row r="11" spans="1:28" x14ac:dyDescent="0.25">
      <c r="A11" s="194" t="s">
        <v>23</v>
      </c>
      <c r="B11" s="57">
        <f>B12+B13</f>
        <v>20.009479173799999</v>
      </c>
      <c r="C11" s="57">
        <f>C12+C13</f>
        <v>55.013448860984596</v>
      </c>
      <c r="D11" s="57">
        <f>D12+D13</f>
        <v>6.1565430563860817</v>
      </c>
      <c r="E11" s="57">
        <f>E12+E13</f>
        <v>21.929157939321527</v>
      </c>
      <c r="F11" s="57">
        <f>F12+F13</f>
        <v>12.05881789</v>
      </c>
      <c r="G11" s="195">
        <f t="shared" si="0"/>
        <v>115.16744692049221</v>
      </c>
      <c r="H11" s="3"/>
      <c r="I11" s="202"/>
      <c r="J11" s="51"/>
      <c r="K11" s="212" t="s">
        <v>206</v>
      </c>
      <c r="L11" s="214">
        <f>G24</f>
        <v>88.216667153243421</v>
      </c>
      <c r="M11" s="214">
        <f>G50</f>
        <v>92.62737863529118</v>
      </c>
      <c r="N11" s="215">
        <f>G76</f>
        <v>104.93521628594898</v>
      </c>
      <c r="O11" s="54"/>
      <c r="P11" s="54"/>
      <c r="Q11" s="54"/>
      <c r="R11" s="54"/>
      <c r="S11" s="54"/>
      <c r="T11" s="46"/>
      <c r="U11" s="53"/>
      <c r="V11" s="24"/>
      <c r="W11" s="45"/>
      <c r="X11" s="52"/>
      <c r="Y11" s="52"/>
      <c r="Z11" s="52"/>
      <c r="AA11" s="52"/>
      <c r="AB11" s="52"/>
    </row>
    <row r="12" spans="1:28" x14ac:dyDescent="0.25">
      <c r="A12" s="177" t="s">
        <v>24</v>
      </c>
      <c r="B12" s="19">
        <f>(Résultats!N$129+Résultats!N$130+Résultats!N$131+Résultats!N$132+Résultats!N$133+Résultats!N$134)/1000000</f>
        <v>20.009479173799999</v>
      </c>
      <c r="C12" s="19">
        <f>(Résultats!N$138+Résultats!N$140+Résultats!N$141+Résultats!N$142+Résultats!N$143+Résultats!N$144+Résultats!N$145+Résultats!N$146+Résultats!N$147+Résultats!N$148+Résultats!N$149)/1000000</f>
        <v>48.999590249984593</v>
      </c>
      <c r="D12" s="19">
        <f>'T energie usages'!J17/'T energie usages'!J$20*(Résultats!N$159+Résultats!N$160+Résultats!N$161)/1000000</f>
        <v>5.9821941835715444</v>
      </c>
      <c r="E12" s="19">
        <f>(Résultats!N$164+Résultats!N$165+Résultats!N$166+Résultats!N$167+Résultats!N$168+Résultats!N$169+Résultats!N$170+Résultats!N$171+Résultats!N$172+Résultats!N$173+Résultats!N$174+Résultats!N$175+Résultats!N$183+Résultats!N$185)/1000000</f>
        <v>21.361121001521528</v>
      </c>
      <c r="F12" s="19">
        <f>Résultats!N$100/1000000</f>
        <v>12.05881789</v>
      </c>
      <c r="G12" s="120">
        <f t="shared" si="0"/>
        <v>108.41120249887767</v>
      </c>
      <c r="H12" s="3"/>
      <c r="I12" s="202"/>
      <c r="J12" s="51"/>
      <c r="K12" s="216" t="s">
        <v>1</v>
      </c>
      <c r="L12" s="217">
        <f>SUM(L8:L11)</f>
        <v>264.49986704335686</v>
      </c>
      <c r="M12" s="217">
        <f t="shared" ref="M12:N12" si="1">SUM(M8:M11)</f>
        <v>252.32224419030001</v>
      </c>
      <c r="N12" s="217">
        <f t="shared" si="1"/>
        <v>245.67720168286479</v>
      </c>
      <c r="O12" s="54"/>
      <c r="P12" s="54"/>
      <c r="Q12" s="54"/>
      <c r="R12" s="54"/>
      <c r="S12" s="54"/>
      <c r="T12" s="46"/>
      <c r="U12" s="53"/>
      <c r="V12" s="24"/>
      <c r="W12" s="41"/>
      <c r="X12" s="52"/>
      <c r="Y12" s="52"/>
      <c r="Z12" s="52"/>
      <c r="AA12" s="52"/>
      <c r="AB12" s="52"/>
    </row>
    <row r="13" spans="1:28" x14ac:dyDescent="0.25">
      <c r="A13" s="177" t="s">
        <v>25</v>
      </c>
      <c r="B13" s="19">
        <v>0</v>
      </c>
      <c r="C13" s="19">
        <f>(Résultats!N$139)/1000000</f>
        <v>6.0138586109999999</v>
      </c>
      <c r="D13" s="19">
        <f>'T energie usages'!J19/'T energie usages'!J$20*(Résultats!N$159+Résultats!N$160+Résultats!N$161)/1000000</f>
        <v>0.17434887281453698</v>
      </c>
      <c r="E13" s="19">
        <f>(Résultats!N$163)/1000000</f>
        <v>0.56803693779999997</v>
      </c>
      <c r="F13" s="19">
        <v>0</v>
      </c>
      <c r="G13" s="120">
        <f t="shared" si="0"/>
        <v>6.7562444216145368</v>
      </c>
      <c r="H13" s="3"/>
      <c r="I13" s="202"/>
      <c r="J13" s="51"/>
      <c r="K13" s="51"/>
      <c r="L13" s="51"/>
      <c r="M13" s="51"/>
      <c r="N13" s="53"/>
      <c r="O13" s="54"/>
      <c r="P13" s="54"/>
      <c r="Q13" s="54"/>
      <c r="R13" s="54"/>
      <c r="S13" s="54"/>
      <c r="T13" s="46"/>
      <c r="U13" s="53"/>
      <c r="V13" s="24"/>
      <c r="W13" s="41"/>
      <c r="X13" s="52"/>
      <c r="Y13" s="52"/>
      <c r="Z13" s="52"/>
      <c r="AA13" s="52"/>
      <c r="AB13" s="52"/>
    </row>
    <row r="14" spans="1:28" x14ac:dyDescent="0.25">
      <c r="A14" s="72" t="s">
        <v>41</v>
      </c>
      <c r="B14" s="58">
        <f>SUM(B9:B11)+B6</f>
        <v>21.0252493978</v>
      </c>
      <c r="C14" s="58">
        <f>SUM(C9:C11)+C6</f>
        <v>191.00584253164843</v>
      </c>
      <c r="D14" s="58">
        <f>SUM(D9:D11)+D6</f>
        <v>20.677487833447817</v>
      </c>
      <c r="E14" s="58">
        <f>SUM(E9:E11)+E6</f>
        <v>63.324416280692809</v>
      </c>
      <c r="F14" s="58">
        <f>SUM(F9:F11)+F6</f>
        <v>12.05881789</v>
      </c>
      <c r="G14" s="196">
        <f t="shared" si="0"/>
        <v>308.09181393358904</v>
      </c>
      <c r="H14" s="3"/>
      <c r="I14" s="202"/>
      <c r="J14" s="51"/>
      <c r="K14" s="51"/>
      <c r="L14" s="51"/>
      <c r="M14" s="51"/>
      <c r="N14" s="53"/>
      <c r="O14" s="54"/>
      <c r="P14" s="54"/>
      <c r="Q14" s="54"/>
      <c r="R14" s="54"/>
      <c r="S14" s="54"/>
      <c r="T14" s="46"/>
      <c r="U14" s="53"/>
      <c r="V14" s="24"/>
      <c r="W14" s="47"/>
      <c r="X14" s="52"/>
      <c r="Y14" s="52"/>
      <c r="Z14" s="52"/>
      <c r="AA14" s="52"/>
      <c r="AB14" s="52"/>
    </row>
    <row r="15" spans="1:28" x14ac:dyDescent="0.25">
      <c r="A15" s="197" t="s">
        <v>43</v>
      </c>
      <c r="B15" s="200">
        <f>(Résultats!N$102+Résultats!N$129+Résultats!N$130+Résultats!N$131+Résultats!N$132+Résultats!N$133+Résultats!N$134+Résultats!N$135+Résultats!N$136)/1000000</f>
        <v>21.0252493978</v>
      </c>
      <c r="C15" s="200">
        <f>(Résultats!N$104+Résultats!N$138+Résultats!N$139+Résultats!N$140+Résultats!N$141+Résultats!N$142+Résultats!N$143+Résultats!N$144+Résultats!N$145+Résultats!N$146+Résultats!N$147+Résultats!N$148+Résultats!N$149+Résultats!N$150+Résultats!N$151+Résultats!N$152+Résultats!N$153+Résultats!N$154+Résultats!N$155+Résultats!N$156)/1000000</f>
        <v>206.40452784068458</v>
      </c>
      <c r="D15" s="200">
        <f>(Résultats!N$159+Résultats!N$160+Résultats!N$161)/1000000</f>
        <v>20.681533968999997</v>
      </c>
      <c r="E15" s="200">
        <f>(Résultats!N$106+Résultats!N$163+Résultats!N$164+Résultats!N$165+Résultats!N$166+Résultats!N$167+Résultats!N$168+Résultats!N$169+Résultats!N$170+Résultats!N$171+Résultats!N$172+Résultats!N$173+Résultats!N$174+Résultats!N$175+Résultats!N$176+Résultats!N$177+Résultats!N$178+Résultats!N$179+Résultats!N$180+Résultats!N$181+Résultats!N$182+Résultats!N$183+Résultats!N$185)/1000000</f>
        <v>65.18102249989154</v>
      </c>
      <c r="F15" s="200">
        <f>Résultats!N$100/1000000</f>
        <v>12.05881789</v>
      </c>
      <c r="G15" s="201">
        <f t="shared" si="0"/>
        <v>325.35115159737609</v>
      </c>
      <c r="H15" s="3"/>
      <c r="I15" s="202"/>
      <c r="J15" s="51"/>
      <c r="K15" s="51"/>
      <c r="L15" s="51"/>
      <c r="M15" s="46"/>
      <c r="N15" s="24"/>
      <c r="O15" s="51"/>
      <c r="P15" s="51"/>
      <c r="Q15" s="51"/>
      <c r="R15" s="51"/>
      <c r="S15" s="46"/>
      <c r="T15" s="46"/>
      <c r="U15" s="24"/>
      <c r="V15" s="24"/>
      <c r="W15" s="48"/>
      <c r="X15" s="52"/>
      <c r="Y15" s="52"/>
      <c r="Z15" s="52"/>
      <c r="AA15" s="52"/>
      <c r="AB15" s="52"/>
    </row>
    <row r="16" spans="1:28" x14ac:dyDescent="0.25">
      <c r="A16" s="197"/>
      <c r="B16" s="198"/>
      <c r="C16" s="198"/>
      <c r="D16" s="198"/>
      <c r="E16" s="198"/>
      <c r="F16" s="198"/>
      <c r="G16" s="199">
        <f>Résultats!N$194/1000000</f>
        <v>325.35115089999999</v>
      </c>
      <c r="H16" s="3"/>
      <c r="I16" s="202"/>
      <c r="J16" s="51"/>
      <c r="K16" s="51"/>
      <c r="L16" s="51"/>
      <c r="M16" s="46"/>
      <c r="N16" s="50"/>
      <c r="O16" s="51"/>
      <c r="P16" s="51"/>
      <c r="Q16" s="51"/>
      <c r="R16" s="51"/>
      <c r="S16" s="46"/>
      <c r="T16" s="46"/>
      <c r="U16" s="50"/>
      <c r="V16" s="50"/>
      <c r="W16" s="49"/>
      <c r="X16" s="52"/>
      <c r="Y16" s="52"/>
      <c r="Z16" s="52"/>
      <c r="AA16" s="52"/>
      <c r="AB16" s="52"/>
    </row>
    <row r="17" spans="1:28" x14ac:dyDescent="0.25">
      <c r="A17" s="3"/>
      <c r="B17" s="64"/>
      <c r="C17" s="64"/>
      <c r="D17" s="64"/>
      <c r="E17" s="64"/>
      <c r="F17" s="64"/>
      <c r="G17" s="3"/>
      <c r="H17" s="3"/>
      <c r="I17" s="202"/>
      <c r="J17" s="51"/>
      <c r="K17" s="51"/>
      <c r="L17" s="51"/>
      <c r="M17" s="46"/>
      <c r="O17" s="51"/>
      <c r="P17" s="51"/>
      <c r="Q17" s="51"/>
      <c r="R17" s="51"/>
      <c r="S17" s="46"/>
      <c r="T17" s="46"/>
      <c r="X17" s="52"/>
      <c r="Y17" s="52"/>
      <c r="Z17" s="52"/>
      <c r="AA17" s="52"/>
      <c r="AB17" s="52"/>
    </row>
    <row r="18" spans="1:28" ht="21" x14ac:dyDescent="0.35">
      <c r="A18" s="173">
        <v>2020</v>
      </c>
      <c r="B18" s="4" t="s">
        <v>36</v>
      </c>
      <c r="C18" s="4" t="s">
        <v>37</v>
      </c>
      <c r="D18" s="4" t="s">
        <v>38</v>
      </c>
      <c r="E18" s="4" t="s">
        <v>39</v>
      </c>
      <c r="F18" s="4" t="s">
        <v>40</v>
      </c>
      <c r="G18" s="118" t="s">
        <v>1</v>
      </c>
      <c r="H18" s="3"/>
      <c r="I18" s="25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W18" s="44"/>
      <c r="X18" s="44"/>
      <c r="Y18" s="44"/>
      <c r="Z18" s="44"/>
      <c r="AA18" s="44"/>
      <c r="AB18" s="52"/>
    </row>
    <row r="19" spans="1:28" x14ac:dyDescent="0.25">
      <c r="A19" s="194" t="s">
        <v>18</v>
      </c>
      <c r="B19" s="57">
        <f>B20+B21</f>
        <v>0</v>
      </c>
      <c r="C19" s="57">
        <f>C20+C21</f>
        <v>103.18177796317327</v>
      </c>
      <c r="D19" s="57">
        <f>D20+D21</f>
        <v>0.82433189222163117</v>
      </c>
      <c r="E19" s="61">
        <f>E20+E21</f>
        <v>0.39273429298233881</v>
      </c>
      <c r="F19" s="57">
        <f>F20+F21</f>
        <v>0</v>
      </c>
      <c r="G19" s="195">
        <f>SUM(B19:F19)</f>
        <v>104.39884414837725</v>
      </c>
      <c r="H19" s="3"/>
      <c r="I19" s="202"/>
      <c r="J19" s="51"/>
      <c r="K19" s="51"/>
      <c r="L19" s="51"/>
      <c r="M19" s="51"/>
      <c r="N19" s="53"/>
      <c r="O19" s="54"/>
      <c r="P19" s="54"/>
      <c r="Q19" s="54"/>
      <c r="R19" s="54"/>
      <c r="S19" s="54"/>
      <c r="T19" s="46"/>
      <c r="U19" s="34"/>
      <c r="W19" s="45"/>
      <c r="X19" s="52"/>
      <c r="Y19" s="52"/>
      <c r="Z19" s="52"/>
      <c r="AA19" s="52"/>
      <c r="AB19" s="52"/>
    </row>
    <row r="20" spans="1:28" x14ac:dyDescent="0.25">
      <c r="A20" s="176" t="s">
        <v>19</v>
      </c>
      <c r="B20" s="19">
        <v>0</v>
      </c>
      <c r="C20" s="19">
        <f>'T energie usages'!I25*3.2*Résultats!S250</f>
        <v>58.794738937973278</v>
      </c>
      <c r="D20" s="19">
        <f>'T energie usages'!J25/'T energie usages'!J$33*(Résultats!S$159+Résultats!S$160+Résultats!S$161)/1000000</f>
        <v>5.1425759860864687E-2</v>
      </c>
      <c r="E20" s="55">
        <f>'T energie usages'!K25*2.394*Résultats!S251</f>
        <v>2.8227452338805914E-5</v>
      </c>
      <c r="F20" s="19">
        <v>0</v>
      </c>
      <c r="G20" s="120">
        <f>SUM(B20:F20)</f>
        <v>58.846192925286481</v>
      </c>
      <c r="H20" s="3"/>
      <c r="I20" s="202"/>
      <c r="J20" s="51"/>
      <c r="K20" s="51"/>
      <c r="L20" s="51"/>
      <c r="M20" s="51"/>
      <c r="N20" s="53"/>
      <c r="O20" s="54"/>
      <c r="P20" s="54"/>
      <c r="Q20" s="54"/>
      <c r="R20" s="54"/>
      <c r="S20" s="54"/>
      <c r="T20" s="46"/>
      <c r="U20" s="42"/>
      <c r="W20" s="41"/>
      <c r="X20" s="52"/>
      <c r="Y20" s="52"/>
      <c r="Z20" s="52"/>
      <c r="AA20" s="52"/>
      <c r="AB20" s="52"/>
    </row>
    <row r="21" spans="1:28" x14ac:dyDescent="0.25">
      <c r="A21" s="177" t="s">
        <v>20</v>
      </c>
      <c r="B21" s="19">
        <v>0</v>
      </c>
      <c r="C21" s="19">
        <f>(Résultats!S$150+Résultats!S$151+Résultats!S$152+Résultats!S$153+Résultats!S$154)/1000000</f>
        <v>44.387039025199996</v>
      </c>
      <c r="D21" s="19">
        <f>'T energie usages'!J26/'T energie usages'!J$33*(Résultats!S$159+Résultats!S$160+Résultats!S$161)/1000000</f>
        <v>0.77290613236076644</v>
      </c>
      <c r="E21" s="55">
        <f>(Résultats!S$176+Résultats!S$177+Résultats!S$178+Résultats!S$179+Résultats!S$180)/1000000</f>
        <v>0.39270606552999998</v>
      </c>
      <c r="F21" s="19">
        <v>0</v>
      </c>
      <c r="G21" s="120">
        <f>SUM(B21:F21)</f>
        <v>45.552651223090763</v>
      </c>
      <c r="H21" s="3"/>
      <c r="I21" s="202"/>
      <c r="J21" s="51"/>
      <c r="K21" s="51"/>
      <c r="L21" s="51"/>
      <c r="M21" s="51"/>
      <c r="N21" s="53"/>
      <c r="O21" s="54"/>
      <c r="P21" s="54"/>
      <c r="Q21" s="54"/>
      <c r="R21" s="54"/>
      <c r="S21" s="54"/>
      <c r="T21" s="46"/>
      <c r="U21" s="42"/>
      <c r="W21" s="41"/>
      <c r="X21" s="52"/>
      <c r="Y21" s="52"/>
      <c r="Z21" s="52"/>
      <c r="AA21" s="52"/>
      <c r="AB21" s="52"/>
    </row>
    <row r="22" spans="1:28" x14ac:dyDescent="0.25">
      <c r="A22" s="194" t="s">
        <v>21</v>
      </c>
      <c r="B22" s="57">
        <f>Résultats!S$102/1000000</f>
        <v>0.97584485300000001</v>
      </c>
      <c r="C22" s="57">
        <f>'T energie usages'!I27*3.2*Résultats!S250</f>
        <v>16.386559393945191</v>
      </c>
      <c r="D22" s="57">
        <f>'T energie usages'!J27/'T energie usages'!J$33*(Résultats!S$159+Résultats!S$160+Résultats!S$161)/1000000</f>
        <v>7.7829732892204921</v>
      </c>
      <c r="E22" s="57">
        <f>('T energie usages'!K27-7)*2.394*Résultats!S251</f>
        <v>23.045794603560999</v>
      </c>
      <c r="F22" s="57">
        <v>0</v>
      </c>
      <c r="G22" s="195">
        <f>SUM(B22:F22)</f>
        <v>48.191172139726689</v>
      </c>
      <c r="H22" s="3"/>
      <c r="I22" s="202"/>
      <c r="J22" s="51"/>
      <c r="K22" s="51"/>
      <c r="L22" s="51"/>
      <c r="M22" s="51"/>
      <c r="N22" s="53"/>
      <c r="O22" s="54"/>
      <c r="P22" s="54"/>
      <c r="Q22" s="54"/>
      <c r="R22" s="54"/>
      <c r="S22" s="54"/>
      <c r="T22" s="46"/>
      <c r="U22" s="34"/>
      <c r="W22" s="45"/>
      <c r="X22" s="52"/>
      <c r="Y22" s="52"/>
      <c r="Z22" s="52"/>
      <c r="AA22" s="52"/>
      <c r="AB22" s="52"/>
    </row>
    <row r="23" spans="1:28" x14ac:dyDescent="0.25">
      <c r="A23" s="194" t="s">
        <v>22</v>
      </c>
      <c r="B23" s="57">
        <f>(Résultats!S$135+Résultats!S$136)/1000000</f>
        <v>0</v>
      </c>
      <c r="C23" s="57">
        <f>(Résultats!S$155+Résultats!S$156)/1000000</f>
        <v>6.6063058458999997</v>
      </c>
      <c r="D23" s="57">
        <f>'T energie usages'!J28/'T energie usages'!J$33*(Résultats!S$159+Résultats!S$160+Résultats!S$161)/1000000</f>
        <v>5.9997190471095072</v>
      </c>
      <c r="E23" s="57">
        <f>(Résultats!S$181+Résultats!S$182)/1000000</f>
        <v>11.087158708999999</v>
      </c>
      <c r="F23" s="57">
        <v>0</v>
      </c>
      <c r="G23" s="195">
        <f t="shared" ref="G23:G28" si="2">SUM(B23:F23)</f>
        <v>23.693183602009505</v>
      </c>
      <c r="H23" s="3"/>
      <c r="I23" s="202"/>
      <c r="J23" s="51"/>
      <c r="K23" s="51"/>
      <c r="L23" s="51"/>
      <c r="M23" s="51"/>
      <c r="N23" s="53"/>
      <c r="O23" s="54"/>
      <c r="P23" s="54"/>
      <c r="Q23" s="54"/>
      <c r="R23" s="54"/>
      <c r="S23" s="54"/>
      <c r="T23" s="46"/>
      <c r="U23" s="34"/>
      <c r="W23" s="45"/>
      <c r="X23" s="52"/>
      <c r="Y23" s="52"/>
      <c r="Z23" s="52"/>
      <c r="AA23" s="52"/>
      <c r="AB23" s="52"/>
    </row>
    <row r="24" spans="1:28" x14ac:dyDescent="0.25">
      <c r="A24" s="194" t="s">
        <v>23</v>
      </c>
      <c r="B24" s="57">
        <f>B25+B26</f>
        <v>10.5871193665</v>
      </c>
      <c r="C24" s="57">
        <f>C25+C26</f>
        <v>37.593098187189973</v>
      </c>
      <c r="D24" s="57">
        <f>D25+D26</f>
        <v>5.0110484084483682</v>
      </c>
      <c r="E24" s="57">
        <f>E25+E26</f>
        <v>21.959913521105094</v>
      </c>
      <c r="F24" s="57">
        <f>F25+F26</f>
        <v>13.06548767</v>
      </c>
      <c r="G24" s="195">
        <f t="shared" si="2"/>
        <v>88.216667153243421</v>
      </c>
      <c r="H24" s="3"/>
      <c r="I24" s="202"/>
      <c r="J24" s="51"/>
      <c r="K24" s="51"/>
      <c r="L24" s="51"/>
      <c r="M24" s="51"/>
      <c r="N24" s="53"/>
      <c r="O24" s="54"/>
      <c r="P24" s="54"/>
      <c r="Q24" s="54"/>
      <c r="R24" s="54"/>
      <c r="S24" s="54"/>
      <c r="T24" s="46"/>
      <c r="U24" s="34"/>
      <c r="W24" s="45"/>
      <c r="X24" s="52"/>
      <c r="Y24" s="52"/>
      <c r="Z24" s="52"/>
      <c r="AA24" s="52"/>
      <c r="AB24" s="52"/>
    </row>
    <row r="25" spans="1:28" x14ac:dyDescent="0.25">
      <c r="A25" s="177" t="s">
        <v>24</v>
      </c>
      <c r="B25" s="19">
        <f>(Résultats!S$129+Résultats!S$130+Résultats!S$131+Résultats!S$132+Résultats!S$133+Résultats!S$134)/1000000</f>
        <v>10.5871193665</v>
      </c>
      <c r="C25" s="19">
        <f>(Résultats!S$138+Résultats!S$140+Résultats!S$141+Résultats!S$142+Résultats!S$143+Résultats!S$144+Résultats!S$145+Résultats!S$146+Résultats!S$147+Résultats!S$148+Résultats!V$149)/1000000</f>
        <v>31.80922763918997</v>
      </c>
      <c r="D25" s="19">
        <f>'T energie usages'!J30/'T energie usages'!J$33*(Résultats!S$159+Résultats!S$160+Résultats!S$161)/1000000</f>
        <v>4.8433474186218008</v>
      </c>
      <c r="E25" s="19">
        <f>(Résultats!S$164+Résultats!S$165+Résultats!S$166+Résultats!S$167+Résultats!S$168+Résultats!S$169+Résultats!S$170+Résultats!S$171+Résultats!S$172+Résultats!S$173+Résultats!S$174+Résultats!S$175+Résultats!S$183+Résultats!S$185)/1000000</f>
        <v>21.438623028005093</v>
      </c>
      <c r="F25" s="19">
        <f>Résultats!S$100/1000000</f>
        <v>13.06548767</v>
      </c>
      <c r="G25" s="120">
        <f t="shared" si="2"/>
        <v>81.743805122316857</v>
      </c>
      <c r="H25" s="3"/>
      <c r="I25" s="202"/>
      <c r="J25" s="51"/>
      <c r="K25" s="51"/>
      <c r="L25" s="51"/>
      <c r="M25" s="51"/>
      <c r="N25" s="53"/>
      <c r="O25" s="54"/>
      <c r="P25" s="54"/>
      <c r="Q25" s="54"/>
      <c r="R25" s="54"/>
      <c r="S25" s="54"/>
      <c r="T25" s="46"/>
      <c r="U25" s="42"/>
      <c r="W25" s="41"/>
      <c r="X25" s="52"/>
      <c r="Y25" s="52"/>
      <c r="Z25" s="52"/>
      <c r="AA25" s="52"/>
      <c r="AB25" s="52"/>
    </row>
    <row r="26" spans="1:28" x14ac:dyDescent="0.25">
      <c r="A26" s="177" t="s">
        <v>25</v>
      </c>
      <c r="B26" s="19">
        <v>0</v>
      </c>
      <c r="C26" s="19">
        <f>(Résultats!S$139)/1000000</f>
        <v>5.7838705480000003</v>
      </c>
      <c r="D26" s="19">
        <f>'T energie usages'!J32/'T energie usages'!J$33*(Résultats!S$159+Résultats!S$160+Résultats!S$161)/1000000</f>
        <v>0.16770098982656723</v>
      </c>
      <c r="E26" s="19">
        <f>(Résultats!S$163)/1000000</f>
        <v>0.52129049309999997</v>
      </c>
      <c r="F26" s="19">
        <v>0</v>
      </c>
      <c r="G26" s="120">
        <f t="shared" si="2"/>
        <v>6.4728620309265672</v>
      </c>
      <c r="H26" s="3"/>
      <c r="I26" s="202"/>
      <c r="J26" s="51"/>
      <c r="K26" s="51"/>
      <c r="L26" s="51"/>
      <c r="M26" s="51"/>
      <c r="N26" s="53"/>
      <c r="O26" s="54"/>
      <c r="P26" s="54"/>
      <c r="Q26" s="54"/>
      <c r="R26" s="54"/>
      <c r="S26" s="54"/>
      <c r="T26" s="46"/>
      <c r="U26" s="42"/>
      <c r="W26" s="41"/>
      <c r="X26" s="52"/>
      <c r="Y26" s="52"/>
      <c r="Z26" s="52"/>
      <c r="AA26" s="52"/>
      <c r="AB26" s="52"/>
    </row>
    <row r="27" spans="1:28" x14ac:dyDescent="0.25">
      <c r="A27" s="72" t="s">
        <v>41</v>
      </c>
      <c r="B27" s="58">
        <f>SUM(B22:B24)+B19</f>
        <v>11.5629642195</v>
      </c>
      <c r="C27" s="58">
        <f>SUM(C22:C24)+C19</f>
        <v>163.76774139020844</v>
      </c>
      <c r="D27" s="58">
        <f>SUM(D22:D24)+D19</f>
        <v>19.618072637000001</v>
      </c>
      <c r="E27" s="58">
        <f>SUM(E22:E24)+E19</f>
        <v>56.485601126648433</v>
      </c>
      <c r="F27" s="58">
        <f>SUM(F22:F24)+F19</f>
        <v>13.06548767</v>
      </c>
      <c r="G27" s="196">
        <f t="shared" si="2"/>
        <v>264.49986704335686</v>
      </c>
      <c r="H27" s="3"/>
      <c r="I27" s="202"/>
      <c r="J27" s="51"/>
      <c r="K27" s="51"/>
      <c r="L27" s="51"/>
      <c r="M27" s="51"/>
      <c r="N27" s="53"/>
      <c r="O27" s="54"/>
      <c r="P27" s="54"/>
      <c r="Q27" s="54"/>
      <c r="R27" s="54"/>
      <c r="S27" s="54"/>
      <c r="T27" s="46"/>
      <c r="U27" s="48"/>
      <c r="W27" s="47"/>
      <c r="X27" s="52"/>
      <c r="Y27" s="52"/>
      <c r="Z27" s="52"/>
      <c r="AA27" s="52"/>
      <c r="AB27" s="52"/>
    </row>
    <row r="28" spans="1:28" x14ac:dyDescent="0.25">
      <c r="A28" s="197" t="s">
        <v>43</v>
      </c>
      <c r="B28" s="200">
        <f>(Résultats!S$102+Résultats!S$129+Résultats!S$130+Résultats!S$131+Résultats!S$132+Résultats!S$133+Résultats!S$134+Résultats!S$135+Résultats!S$136)/1000000</f>
        <v>11.5629642195</v>
      </c>
      <c r="C28" s="200">
        <f>(Résultats!S$104+Résultats!S$138+Résultats!S$139+Résultats!S$140+Résultats!S$141+Résultats!S$142+Résultats!S$143+Résultats!S$144+Résultats!S$145+Résultats!S$146+Résultats!S$147+Résultats!S$148+Résultats!S$149+Résultats!S$150+Résultats!S$151+Résultats!S$152+Résultats!S$153+Résultats!S$154+Résultats!S$155+Résultats!S$156)/1000000</f>
        <v>178.84425639474017</v>
      </c>
      <c r="D28" s="200">
        <f>(Résultats!S$159+Résultats!S$160+Résultats!S$161)/1000000</f>
        <v>19.618072637000001</v>
      </c>
      <c r="E28" s="199">
        <f>(Résultats!S$106+Résultats!S$163+Résultats!S$164+Résultats!S$165+Résultats!S$166+Résultats!S$167+Résultats!S$168+Résultats!S$169+Résultats!S$170+Résultats!S$171+Résultats!S$172+Résultats!S$173+Résultats!S$174+Résultats!S$175+Résultats!S$176+Résultats!S$177+Résultats!S$178+Résultats!S$179+Résultats!S$180+Résultats!S$181+Résultats!S$182+Résultats!S$183)/1000000</f>
        <v>61.319680881235087</v>
      </c>
      <c r="F28" s="200">
        <f>Résultats!S$100/1000000</f>
        <v>13.06548767</v>
      </c>
      <c r="G28" s="201">
        <f t="shared" si="2"/>
        <v>284.41046180247525</v>
      </c>
      <c r="H28" s="3"/>
      <c r="I28" s="202"/>
      <c r="J28" s="51"/>
      <c r="K28" s="51"/>
      <c r="L28" s="51"/>
      <c r="M28" s="51"/>
      <c r="N28" s="24"/>
      <c r="O28" s="51"/>
      <c r="P28" s="51"/>
      <c r="Q28" s="51"/>
      <c r="R28" s="51"/>
      <c r="S28" s="51"/>
      <c r="T28" s="46"/>
      <c r="U28" s="24"/>
      <c r="V28" s="24"/>
      <c r="W28" s="24"/>
      <c r="X28" s="52"/>
      <c r="Y28" s="52"/>
      <c r="Z28" s="52"/>
      <c r="AA28" s="52"/>
      <c r="AB28" s="52"/>
    </row>
    <row r="29" spans="1:28" x14ac:dyDescent="0.25">
      <c r="A29" s="197"/>
      <c r="B29" s="198"/>
      <c r="C29" s="198"/>
      <c r="D29" s="198"/>
      <c r="E29" s="198"/>
      <c r="F29" s="198"/>
      <c r="G29" s="199">
        <f>Résultats!S$194/1000000</f>
        <v>284.72226130000001</v>
      </c>
      <c r="H29" s="3"/>
      <c r="I29" s="202"/>
      <c r="J29" s="51"/>
      <c r="K29" s="51"/>
      <c r="L29" s="51"/>
      <c r="M29" s="51"/>
      <c r="N29" s="24"/>
      <c r="O29" s="51"/>
      <c r="P29" s="51"/>
      <c r="Q29" s="51"/>
      <c r="R29" s="51"/>
      <c r="S29" s="51"/>
      <c r="T29" s="46"/>
      <c r="U29" s="24"/>
      <c r="V29" s="24"/>
      <c r="W29" s="24"/>
      <c r="X29" s="52"/>
      <c r="Y29" s="52"/>
      <c r="Z29" s="52"/>
      <c r="AA29" s="52"/>
      <c r="AB29" s="52"/>
    </row>
    <row r="30" spans="1:28" x14ac:dyDescent="0.25">
      <c r="A30" s="3"/>
      <c r="B30" s="63"/>
      <c r="C30" s="63"/>
      <c r="D30" s="63"/>
      <c r="E30" s="63"/>
      <c r="F30" s="64"/>
      <c r="G30" s="69"/>
      <c r="H30" s="3"/>
      <c r="I30" s="202"/>
      <c r="J30" s="51"/>
      <c r="K30" s="51"/>
      <c r="L30" s="51"/>
      <c r="N30" s="24"/>
      <c r="O30" s="51"/>
      <c r="P30" s="51"/>
      <c r="Q30" s="51"/>
      <c r="R30" s="51"/>
      <c r="S30" s="51"/>
      <c r="T30" s="46"/>
      <c r="U30" s="24"/>
      <c r="V30" s="24"/>
      <c r="W30" s="24"/>
      <c r="X30" s="52"/>
      <c r="Y30" s="52"/>
      <c r="Z30" s="52"/>
      <c r="AA30" s="52"/>
      <c r="AB30" s="52"/>
    </row>
    <row r="31" spans="1:28" ht="21" x14ac:dyDescent="0.35">
      <c r="A31" s="173">
        <v>2025</v>
      </c>
      <c r="B31" s="4" t="s">
        <v>36</v>
      </c>
      <c r="C31" s="4" t="s">
        <v>37</v>
      </c>
      <c r="D31" s="4" t="s">
        <v>38</v>
      </c>
      <c r="E31" s="4" t="s">
        <v>39</v>
      </c>
      <c r="F31" s="4" t="s">
        <v>40</v>
      </c>
      <c r="G31" s="118" t="s">
        <v>1</v>
      </c>
      <c r="H31" s="3"/>
      <c r="I31" s="2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24"/>
      <c r="W31" s="44"/>
      <c r="X31" s="44"/>
      <c r="Y31" s="44"/>
      <c r="Z31" s="44"/>
      <c r="AA31" s="44"/>
      <c r="AB31" s="52"/>
    </row>
    <row r="32" spans="1:28" x14ac:dyDescent="0.25">
      <c r="A32" s="194" t="s">
        <v>18</v>
      </c>
      <c r="B32" s="57">
        <f>B33+B34</f>
        <v>0</v>
      </c>
      <c r="C32" s="57">
        <f>C33+C34</f>
        <v>99.428689572747146</v>
      </c>
      <c r="D32" s="57">
        <f>D33+D34</f>
        <v>0.95794556477430559</v>
      </c>
      <c r="E32" s="61">
        <f>E33+E34</f>
        <v>0.80753837541348061</v>
      </c>
      <c r="F32" s="57">
        <f>F33+F34</f>
        <v>0</v>
      </c>
      <c r="G32" s="195">
        <f>SUM(B32:F32)</f>
        <v>101.19417351293494</v>
      </c>
      <c r="H32" s="3"/>
      <c r="I32" s="202"/>
      <c r="J32" s="51"/>
      <c r="K32" s="51"/>
      <c r="L32" s="51"/>
      <c r="M32" s="51"/>
      <c r="N32" s="53"/>
      <c r="O32" s="54"/>
      <c r="P32" s="54"/>
      <c r="Q32" s="54"/>
      <c r="R32" s="54"/>
      <c r="S32" s="54"/>
      <c r="T32" s="46"/>
      <c r="U32" s="34"/>
      <c r="V32" s="24"/>
      <c r="W32" s="45"/>
      <c r="X32" s="52"/>
      <c r="Y32" s="52"/>
      <c r="Z32" s="52"/>
      <c r="AA32" s="52"/>
      <c r="AB32" s="52"/>
    </row>
    <row r="33" spans="1:28" x14ac:dyDescent="0.25">
      <c r="A33" s="176" t="s">
        <v>19</v>
      </c>
      <c r="B33" s="19">
        <v>0</v>
      </c>
      <c r="C33" s="19">
        <f>'T energie usages'!I64*3.2*Résultats!X250</f>
        <v>53.867951894747137</v>
      </c>
      <c r="D33" s="19">
        <f>'T energie usages'!J64/'T energie usages'!J$72*(Résultats!X$159+Résultats!X$160+Résultats!X$161)/1000000</f>
        <v>0.1072970709479496</v>
      </c>
      <c r="E33" s="55">
        <f>'T energie usages'!K64*2.394*Résultats!X251</f>
        <v>4.6720843480559581E-5</v>
      </c>
      <c r="F33" s="19">
        <v>0</v>
      </c>
      <c r="G33" s="120">
        <f>SUM(B33:F33)</f>
        <v>53.975295686538566</v>
      </c>
      <c r="H33" s="3"/>
      <c r="I33" s="202"/>
      <c r="J33" s="51"/>
      <c r="K33" s="51"/>
      <c r="L33" s="51"/>
      <c r="M33" s="51"/>
      <c r="N33" s="53"/>
      <c r="O33" s="54"/>
      <c r="P33" s="54"/>
      <c r="Q33" s="54"/>
      <c r="R33" s="54"/>
      <c r="S33" s="54"/>
      <c r="T33" s="46"/>
      <c r="U33" s="42"/>
      <c r="V33" s="24"/>
      <c r="W33" s="41"/>
      <c r="X33" s="52"/>
      <c r="Y33" s="52"/>
      <c r="Z33" s="52"/>
      <c r="AA33" s="52"/>
      <c r="AB33" s="52"/>
    </row>
    <row r="34" spans="1:28" x14ac:dyDescent="0.25">
      <c r="A34" s="177" t="s">
        <v>20</v>
      </c>
      <c r="B34" s="19">
        <v>0</v>
      </c>
      <c r="C34" s="19">
        <f>(Résultats!X$150+Résultats!X$151+Résultats!X$152+Résultats!X$153+Résultats!X$154)/1000000</f>
        <v>45.560737678000002</v>
      </c>
      <c r="D34" s="19">
        <f>'T energie usages'!J65/'T energie usages'!J$72*(Résultats!X$159+Résultats!X$160+Résultats!X$161)/1000000</f>
        <v>0.85064849382635599</v>
      </c>
      <c r="E34" s="55">
        <f>(Résultats!X$176+Résultats!X$177+Résultats!X$178+Résultats!X$179+Résultats!X$180)/1000000</f>
        <v>0.80749165457000005</v>
      </c>
      <c r="F34" s="19">
        <v>0</v>
      </c>
      <c r="G34" s="120">
        <f>SUM(B34:F34)</f>
        <v>47.218877826396358</v>
      </c>
      <c r="H34" s="3"/>
      <c r="I34" s="202"/>
      <c r="J34" s="51"/>
      <c r="K34" s="51"/>
      <c r="L34" s="51"/>
      <c r="M34" s="51"/>
      <c r="N34" s="53"/>
      <c r="O34" s="54"/>
      <c r="P34" s="54"/>
      <c r="Q34" s="54"/>
      <c r="R34" s="54"/>
      <c r="S34" s="54"/>
      <c r="T34" s="46"/>
      <c r="U34" s="42"/>
      <c r="V34" s="24"/>
      <c r="W34" s="41"/>
      <c r="X34" s="52"/>
      <c r="Y34" s="52"/>
      <c r="Z34" s="52"/>
      <c r="AA34" s="52"/>
      <c r="AB34" s="52"/>
    </row>
    <row r="35" spans="1:28" x14ac:dyDescent="0.25">
      <c r="A35" s="194" t="s">
        <v>21</v>
      </c>
      <c r="B35" s="57">
        <f>Résultats!X$102/1000000</f>
        <v>0.89037500399999991</v>
      </c>
      <c r="C35" s="57">
        <f>'T energie usages'!I66*3.2*Résultats!X250</f>
        <v>15.440828820114643</v>
      </c>
      <c r="D35" s="57">
        <f>'T energie usages'!J66/'T energie usages'!J$72*(Résultats!X$159+Résultats!X$160+Résultats!X$161)/1000000</f>
        <v>5.7063164651586407</v>
      </c>
      <c r="E35" s="57">
        <f>('T energie usages'!K66-8)*2.394*Résultats!X251</f>
        <v>20.009775399240748</v>
      </c>
      <c r="F35" s="57">
        <v>0</v>
      </c>
      <c r="G35" s="195">
        <f>SUM(B35:F35)</f>
        <v>42.047295688514026</v>
      </c>
      <c r="H35" s="3"/>
      <c r="I35" s="202"/>
      <c r="J35" s="51"/>
      <c r="K35" s="51"/>
      <c r="L35" s="51"/>
      <c r="M35" s="51"/>
      <c r="N35" s="53"/>
      <c r="O35" s="54"/>
      <c r="P35" s="54"/>
      <c r="Q35" s="54"/>
      <c r="R35" s="54"/>
      <c r="S35" s="54"/>
      <c r="T35" s="46"/>
      <c r="U35" s="34"/>
      <c r="V35" s="24"/>
      <c r="W35" s="45"/>
      <c r="X35" s="52"/>
      <c r="Y35" s="52"/>
      <c r="Z35" s="52"/>
      <c r="AA35" s="52"/>
      <c r="AB35" s="52"/>
    </row>
    <row r="36" spans="1:28" x14ac:dyDescent="0.25">
      <c r="A36" s="194" t="s">
        <v>22</v>
      </c>
      <c r="B36" s="57">
        <f>(Résultats!X$135+Résultats!X$136)/1000000</f>
        <v>0</v>
      </c>
      <c r="C36" s="57">
        <f>(Résultats!X$155+Résultats!X$156)/1000000</f>
        <v>6.2272873559000006</v>
      </c>
      <c r="D36" s="57">
        <f>'T energie usages'!J67/'T energie usages'!J$72*(Résultats!X$159+Résultats!X$160+Résultats!X$161)/1000000</f>
        <v>4.3447238630961476</v>
      </c>
      <c r="E36" s="57">
        <f>(Résultats!X$181+Résultats!X$182)/1000000</f>
        <v>10.819263004000002</v>
      </c>
      <c r="F36" s="57">
        <v>0</v>
      </c>
      <c r="G36" s="195">
        <f t="shared" ref="G36:G41" si="3">SUM(B36:F36)</f>
        <v>21.391274222996152</v>
      </c>
      <c r="H36" s="3"/>
      <c r="I36" s="202"/>
      <c r="J36" s="51"/>
      <c r="K36" s="51"/>
      <c r="L36" s="51"/>
      <c r="M36" s="51"/>
      <c r="N36" s="53"/>
      <c r="O36" s="54"/>
      <c r="P36" s="54"/>
      <c r="Q36" s="54"/>
      <c r="R36" s="54"/>
      <c r="S36" s="54"/>
      <c r="T36" s="46"/>
      <c r="U36" s="34"/>
      <c r="V36" s="24"/>
      <c r="W36" s="45"/>
      <c r="X36" s="52"/>
      <c r="Y36" s="52"/>
      <c r="Z36" s="52"/>
      <c r="AA36" s="52"/>
      <c r="AB36" s="52"/>
    </row>
    <row r="37" spans="1:28" x14ac:dyDescent="0.25">
      <c r="A37" s="194" t="s">
        <v>23</v>
      </c>
      <c r="B37" s="57">
        <f>B38+B39</f>
        <v>10.100360735300001</v>
      </c>
      <c r="C37" s="57">
        <f>C38+C39</f>
        <v>42.195327279704948</v>
      </c>
      <c r="D37" s="57">
        <f>D38+D39</f>
        <v>3.9156778759709057</v>
      </c>
      <c r="E37" s="57">
        <f>E38+E39</f>
        <v>21.618061047623407</v>
      </c>
      <c r="F37" s="57">
        <f>F38+F39</f>
        <v>13.76713052</v>
      </c>
      <c r="G37" s="195">
        <f t="shared" si="3"/>
        <v>91.59655745859925</v>
      </c>
      <c r="H37" s="3"/>
      <c r="I37" s="202"/>
      <c r="J37" s="51"/>
      <c r="K37" s="51"/>
      <c r="L37" s="51"/>
      <c r="M37" s="51"/>
      <c r="N37" s="53"/>
      <c r="O37" s="54"/>
      <c r="P37" s="54"/>
      <c r="Q37" s="54"/>
      <c r="R37" s="54"/>
      <c r="S37" s="54"/>
      <c r="T37" s="46"/>
      <c r="U37" s="34"/>
      <c r="V37" s="24"/>
      <c r="W37" s="45"/>
      <c r="X37" s="52"/>
      <c r="Y37" s="52"/>
      <c r="Z37" s="52"/>
      <c r="AA37" s="52"/>
      <c r="AB37" s="52"/>
    </row>
    <row r="38" spans="1:28" x14ac:dyDescent="0.25">
      <c r="A38" s="177" t="s">
        <v>24</v>
      </c>
      <c r="B38" s="19">
        <f>(Résultats!X$129+Résultats!X$130+Résultats!X$131+Résultats!X$132+Résultats!X$133+Résultats!X$134)/1000000</f>
        <v>10.100360735300001</v>
      </c>
      <c r="C38" s="19">
        <f>(Résultats!X$138+Résultats!X$140+Résultats!X$141+Résultats!X$142+Résultats!X$143+Résultats!X$144+Résultats!X$145+Résultats!X$146+Résultats!X$147+Résultats!X$148+Résultats!X149)/1000000</f>
        <v>35.691513049704945</v>
      </c>
      <c r="D38" s="19">
        <f>'T energie usages'!J69/'T energie usages'!J$72*(Résultats!X$159+Résultats!X$160+Résultats!X$161)/1000000</f>
        <v>3.7880660171927962</v>
      </c>
      <c r="E38" s="19">
        <f>(Résultats!X$164+Résultats!X$165+Résultats!X$166+Résultats!X$167+Résultats!X$168+Résultats!X$169+Résultats!X$170+Résultats!X$171+Résultats!X$172+Résultats!X$173+Résultats!X$174+Résultats!X$175+Résultats!X$183+Résultats!X$185)/1000000</f>
        <v>21.062653547923407</v>
      </c>
      <c r="F38" s="19">
        <f>Résultats!X$100/1000000</f>
        <v>13.76713052</v>
      </c>
      <c r="G38" s="120">
        <f t="shared" si="3"/>
        <v>84.409723870121141</v>
      </c>
      <c r="H38" s="3"/>
      <c r="I38" s="202"/>
      <c r="J38" s="51"/>
      <c r="K38" s="51"/>
      <c r="L38" s="51"/>
      <c r="M38" s="51"/>
      <c r="N38" s="53"/>
      <c r="O38" s="54"/>
      <c r="P38" s="54"/>
      <c r="Q38" s="54"/>
      <c r="R38" s="54"/>
      <c r="S38" s="54"/>
      <c r="T38" s="46"/>
      <c r="U38" s="42"/>
      <c r="V38" s="24"/>
      <c r="W38" s="41"/>
      <c r="X38" s="52"/>
      <c r="Y38" s="52"/>
      <c r="Z38" s="52"/>
      <c r="AA38" s="52"/>
      <c r="AB38" s="52"/>
    </row>
    <row r="39" spans="1:28" x14ac:dyDescent="0.25">
      <c r="A39" s="177" t="s">
        <v>25</v>
      </c>
      <c r="B39" s="19">
        <v>0</v>
      </c>
      <c r="C39" s="19">
        <f>(Résultats!X$139)/1000000</f>
        <v>6.5038142300000006</v>
      </c>
      <c r="D39" s="19">
        <f>'T energie usages'!J71/'T energie usages'!J$72*(Résultats!X$159+Résultats!X$160+Résultats!X$161)/1000000</f>
        <v>0.12761185877810957</v>
      </c>
      <c r="E39" s="19">
        <f>(Résultats!X$163)/1000000</f>
        <v>0.55540749970000003</v>
      </c>
      <c r="F39" s="19">
        <v>0</v>
      </c>
      <c r="G39" s="120">
        <f t="shared" si="3"/>
        <v>7.1868335884781107</v>
      </c>
      <c r="H39" s="3"/>
      <c r="I39" s="202"/>
      <c r="J39" s="51"/>
      <c r="K39" s="51"/>
      <c r="L39" s="51"/>
      <c r="M39" s="51"/>
      <c r="N39" s="53"/>
      <c r="O39" s="54"/>
      <c r="P39" s="54"/>
      <c r="Q39" s="54"/>
      <c r="R39" s="54"/>
      <c r="S39" s="54"/>
      <c r="T39" s="46"/>
      <c r="U39" s="42"/>
      <c r="V39" s="24"/>
      <c r="W39" s="41"/>
      <c r="X39" s="52"/>
      <c r="Y39" s="52"/>
      <c r="Z39" s="52"/>
      <c r="AA39" s="52"/>
      <c r="AB39" s="52"/>
    </row>
    <row r="40" spans="1:28" x14ac:dyDescent="0.25">
      <c r="A40" s="72" t="s">
        <v>41</v>
      </c>
      <c r="B40" s="58">
        <f>SUM(B35:B37)+B32</f>
        <v>10.9907357393</v>
      </c>
      <c r="C40" s="58">
        <f>SUM(C35:C37)+C32</f>
        <v>163.29213302846674</v>
      </c>
      <c r="D40" s="58">
        <f>SUM(D35:D37)+D32</f>
        <v>14.924663769</v>
      </c>
      <c r="E40" s="58">
        <f>SUM(E35:E37)+E32</f>
        <v>53.254637826277637</v>
      </c>
      <c r="F40" s="58">
        <f>SUM(F35:F37)+F32</f>
        <v>13.76713052</v>
      </c>
      <c r="G40" s="196">
        <f t="shared" si="3"/>
        <v>256.2293008830444</v>
      </c>
      <c r="H40" s="3"/>
      <c r="I40" s="202"/>
      <c r="J40" s="51"/>
      <c r="K40" s="51"/>
      <c r="L40" s="51"/>
      <c r="M40" s="51"/>
      <c r="N40" s="53"/>
      <c r="O40" s="54"/>
      <c r="P40" s="54"/>
      <c r="Q40" s="54"/>
      <c r="R40" s="54"/>
      <c r="S40" s="54"/>
      <c r="T40" s="46"/>
      <c r="U40" s="48"/>
      <c r="V40" s="24"/>
      <c r="W40" s="47"/>
      <c r="X40" s="52"/>
      <c r="Y40" s="52"/>
      <c r="Z40" s="52"/>
      <c r="AA40" s="52"/>
      <c r="AB40" s="52"/>
    </row>
    <row r="41" spans="1:28" x14ac:dyDescent="0.25">
      <c r="A41" s="197" t="s">
        <v>43</v>
      </c>
      <c r="B41" s="200">
        <f>(Résultats!X$102+Résultats!X$129+Résultats!X$130+Résultats!X$131+Résultats!X$132+Résultats!X$133+Résultats!X$134+Résultats!X$135+Résultats!X$136)/1000000</f>
        <v>10.990735739300002</v>
      </c>
      <c r="C41" s="200">
        <f>(Résultats!X$104+Résultats!X$139+Résultats!X$140+Résultats!X$141+Résultats!X$142+Résultats!X$143+Résultats!X$144+Résultats!X$145+Résultats!X$146+Résultats!X$147+Résultats!X$148+Résultats!X$149+Résultats!X$150+Résultats!X$151+Résultats!X$152+Résultats!X$153+Résultats!X$154+Résultats!X$155+Résultats!X$156++Résultats!X$157)/1000000</f>
        <v>177.19099975060496</v>
      </c>
      <c r="D41" s="200">
        <f>(Résultats!X$159+Résultats!X$160+Résultats!X$161)/1000000</f>
        <v>14.924663769000002</v>
      </c>
      <c r="E41" s="199">
        <f>(Résultats!X$106+Résultats!X$163+Résultats!X$164+Résultats!X$165+Résultats!X$166+Résultats!X$167+Résultats!X$168+Résultats!X$169+Résultats!X$170+Résultats!X$171+Résultats!X$172+Résultats!X$173+Résultats!X$174+Résultats!X$175+Résultats!X$176+Résultats!X$177+Résultats!X$178+Résultats!X$179+Résultats!X$180+Résultats!X$181+Résultats!X$182+Résultats!X$183)/1000000</f>
        <v>59.262378463593407</v>
      </c>
      <c r="F41" s="200">
        <f>Résultats!X$100/1000000</f>
        <v>13.76713052</v>
      </c>
      <c r="G41" s="201">
        <f t="shared" si="3"/>
        <v>276.13590824249837</v>
      </c>
      <c r="H41" s="3"/>
      <c r="I41" s="202"/>
      <c r="J41" s="51"/>
      <c r="K41" s="51"/>
      <c r="L41" s="51"/>
      <c r="M41" s="46"/>
      <c r="N41" s="24"/>
      <c r="O41" s="51"/>
      <c r="P41" s="51"/>
      <c r="Q41" s="51"/>
      <c r="R41" s="51"/>
      <c r="S41" s="46"/>
      <c r="T41" s="46"/>
      <c r="U41" s="24"/>
      <c r="V41" s="24"/>
      <c r="W41" s="24"/>
      <c r="X41" s="52"/>
      <c r="Y41" s="52"/>
      <c r="Z41" s="52"/>
      <c r="AA41" s="52"/>
      <c r="AB41" s="52"/>
    </row>
    <row r="42" spans="1:28" x14ac:dyDescent="0.25">
      <c r="A42" s="197"/>
      <c r="B42" s="198"/>
      <c r="C42" s="198"/>
      <c r="D42" s="198"/>
      <c r="E42" s="198"/>
      <c r="F42" s="198"/>
      <c r="G42" s="199">
        <f>Résultats!X$194/1000000</f>
        <v>276.41260989999995</v>
      </c>
      <c r="H42" s="3"/>
      <c r="I42" s="202"/>
      <c r="J42" s="51"/>
      <c r="K42" s="51"/>
      <c r="L42" s="51"/>
      <c r="M42" s="46"/>
      <c r="N42" s="24"/>
      <c r="O42" s="51"/>
      <c r="P42" s="51"/>
      <c r="Q42" s="51"/>
      <c r="R42" s="51"/>
      <c r="S42" s="46"/>
      <c r="T42" s="46"/>
      <c r="U42" s="24"/>
      <c r="V42" s="24"/>
      <c r="W42" s="24"/>
      <c r="X42" s="52"/>
      <c r="Y42" s="52"/>
      <c r="Z42" s="52"/>
      <c r="AA42" s="52"/>
      <c r="AB42" s="52"/>
    </row>
    <row r="43" spans="1:28" x14ac:dyDescent="0.25">
      <c r="A43" s="3"/>
      <c r="B43" s="64"/>
      <c r="C43" s="64"/>
      <c r="D43" s="64"/>
      <c r="E43" s="64"/>
      <c r="F43" s="64"/>
      <c r="G43" s="69"/>
      <c r="H43" s="3"/>
      <c r="I43" s="202"/>
      <c r="J43" s="51"/>
      <c r="K43" s="51"/>
      <c r="L43" s="51"/>
      <c r="M43" s="46"/>
      <c r="N43" s="24"/>
      <c r="O43" s="51"/>
      <c r="P43" s="51"/>
      <c r="Q43" s="51"/>
      <c r="R43" s="51"/>
      <c r="S43" s="46"/>
      <c r="T43" s="46"/>
      <c r="U43" s="24"/>
      <c r="V43" s="24"/>
      <c r="W43" s="48"/>
      <c r="X43" s="52"/>
      <c r="Y43" s="52"/>
      <c r="Z43" s="52"/>
      <c r="AA43" s="52"/>
      <c r="AB43" s="52"/>
    </row>
    <row r="44" spans="1:28" ht="21" x14ac:dyDescent="0.35">
      <c r="A44" s="173">
        <v>2030</v>
      </c>
      <c r="B44" s="4" t="s">
        <v>36</v>
      </c>
      <c r="C44" s="4" t="s">
        <v>37</v>
      </c>
      <c r="D44" s="4" t="s">
        <v>38</v>
      </c>
      <c r="E44" s="4" t="s">
        <v>39</v>
      </c>
      <c r="F44" s="4" t="s">
        <v>40</v>
      </c>
      <c r="G44" s="118" t="s">
        <v>1</v>
      </c>
      <c r="H44" s="3"/>
      <c r="I44" s="25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W44" s="44"/>
      <c r="X44" s="44"/>
      <c r="Y44" s="44"/>
      <c r="Z44" s="44"/>
      <c r="AA44" s="44"/>
      <c r="AB44" s="52"/>
    </row>
    <row r="45" spans="1:28" x14ac:dyDescent="0.25">
      <c r="A45" s="194" t="s">
        <v>18</v>
      </c>
      <c r="B45" s="57">
        <f>B46+B47</f>
        <v>0</v>
      </c>
      <c r="C45" s="57">
        <f>C46+C47</f>
        <v>93.161597209192848</v>
      </c>
      <c r="D45" s="57">
        <f>D46+D47</f>
        <v>1.3285380390887864</v>
      </c>
      <c r="E45" s="61">
        <f>E46+E47</f>
        <v>1.7136223141104723</v>
      </c>
      <c r="F45" s="57">
        <f>F46+F47</f>
        <v>0</v>
      </c>
      <c r="G45" s="195">
        <f>SUM(B45:F45)</f>
        <v>96.203757562392099</v>
      </c>
      <c r="H45" s="3"/>
      <c r="I45" s="202"/>
      <c r="J45" s="51"/>
      <c r="K45" s="51"/>
      <c r="L45" s="51"/>
      <c r="M45" s="51"/>
      <c r="N45" s="53"/>
      <c r="O45" s="54"/>
      <c r="P45" s="54"/>
      <c r="Q45" s="54"/>
      <c r="R45" s="54"/>
      <c r="S45" s="54"/>
      <c r="T45" s="46"/>
      <c r="U45" s="34"/>
      <c r="W45" s="45"/>
      <c r="X45" s="52"/>
      <c r="Y45" s="52"/>
      <c r="Z45" s="52"/>
      <c r="AA45" s="52"/>
      <c r="AB45" s="52"/>
    </row>
    <row r="46" spans="1:28" x14ac:dyDescent="0.25">
      <c r="A46" s="176" t="s">
        <v>19</v>
      </c>
      <c r="B46" s="19">
        <v>0</v>
      </c>
      <c r="C46" s="19">
        <f>'T energie usages'!I77*3.2*Résultats!AC250</f>
        <v>48.617694996192853</v>
      </c>
      <c r="D46" s="19">
        <f>'T energie usages'!J77/'T energie usages'!J$85*(Résultats!AC$159+Résultats!AC$160+Résultats!AC$161)/1000000</f>
        <v>0.25384426566596302</v>
      </c>
      <c r="E46" s="55">
        <f>'T energie usages'!K77*2.394*Résultats!AC251</f>
        <v>6.4747960472603803E-5</v>
      </c>
      <c r="F46" s="19">
        <v>0</v>
      </c>
      <c r="G46" s="120">
        <f>SUM(B46:F46)</f>
        <v>48.871604009819286</v>
      </c>
      <c r="H46" s="3"/>
      <c r="I46" s="202"/>
      <c r="J46" s="51"/>
      <c r="K46" s="51"/>
      <c r="L46" s="51"/>
      <c r="M46" s="51"/>
      <c r="N46" s="53"/>
      <c r="O46" s="54"/>
      <c r="P46" s="54"/>
      <c r="Q46" s="54"/>
      <c r="R46" s="54"/>
      <c r="S46" s="54"/>
      <c r="T46" s="46"/>
      <c r="U46" s="42"/>
      <c r="W46" s="41"/>
      <c r="X46" s="52"/>
      <c r="Y46" s="52"/>
      <c r="Z46" s="52"/>
      <c r="AA46" s="52"/>
      <c r="AB46" s="52"/>
    </row>
    <row r="47" spans="1:28" x14ac:dyDescent="0.25">
      <c r="A47" s="177" t="s">
        <v>20</v>
      </c>
      <c r="B47" s="19">
        <v>0</v>
      </c>
      <c r="C47" s="19">
        <f>(Résultats!AC$150+Résultats!AC$151+Résultats!AC$152+Résultats!AC$153+Résultats!AC$154)/1000000</f>
        <v>44.543902213000003</v>
      </c>
      <c r="D47" s="19">
        <f>'T energie usages'!J78/'T energie usages'!J$85*(Résultats!AC$159+Résultats!AC$160+Résultats!AC$161)/1000000</f>
        <v>1.0746937734228235</v>
      </c>
      <c r="E47" s="55">
        <f>(Résultats!AC$176+Résultats!AC$177+Résultats!AC$178+Résultats!AC$179+Résultats!AC$180)/1000000</f>
        <v>1.7135575661499998</v>
      </c>
      <c r="F47" s="19">
        <v>0</v>
      </c>
      <c r="G47" s="120">
        <f>SUM(B47:F47)</f>
        <v>47.332153552572827</v>
      </c>
      <c r="H47" s="3"/>
      <c r="I47" s="202"/>
      <c r="J47" s="51"/>
      <c r="K47" s="51"/>
      <c r="L47" s="51"/>
      <c r="M47" s="51"/>
      <c r="N47" s="53"/>
      <c r="O47" s="54"/>
      <c r="P47" s="54"/>
      <c r="Q47" s="54"/>
      <c r="R47" s="54"/>
      <c r="S47" s="54"/>
      <c r="T47" s="46"/>
      <c r="U47" s="42"/>
      <c r="W47" s="41"/>
      <c r="X47" s="52"/>
      <c r="Y47" s="52"/>
      <c r="Z47" s="52"/>
      <c r="AA47" s="52"/>
      <c r="AB47" s="52"/>
    </row>
    <row r="48" spans="1:28" x14ac:dyDescent="0.25">
      <c r="A48" s="194" t="s">
        <v>21</v>
      </c>
      <c r="B48" s="57">
        <f>Résultats!AC$102/1000000</f>
        <v>0.87312813570000003</v>
      </c>
      <c r="C48" s="57">
        <f>'T energie usages'!I79*3.2*Résultats!AC250</f>
        <v>15.379097918213208</v>
      </c>
      <c r="D48" s="57">
        <f>'T energie usages'!J79/'T energie usages'!J$85*(Résultats!AC$159+Résultats!AC$160+Résultats!AC$161)/1000000</f>
        <v>5.8417114311350282</v>
      </c>
      <c r="E48" s="57">
        <f>('T energie usages'!K79-8)*2.394*Résultats!AC251</f>
        <v>21.146290024502175</v>
      </c>
      <c r="F48" s="57">
        <v>0</v>
      </c>
      <c r="G48" s="195">
        <f>SUM(B48:F48)</f>
        <v>43.240227509550408</v>
      </c>
      <c r="H48" s="3"/>
      <c r="I48" s="202"/>
      <c r="J48" s="51"/>
      <c r="K48" s="51"/>
      <c r="L48" s="51"/>
      <c r="M48" s="51"/>
      <c r="N48" s="53"/>
      <c r="O48" s="54"/>
      <c r="P48" s="54"/>
      <c r="Q48" s="54"/>
      <c r="R48" s="54"/>
      <c r="S48" s="54"/>
      <c r="T48" s="46"/>
      <c r="U48" s="34"/>
      <c r="W48" s="45"/>
      <c r="X48" s="52"/>
      <c r="Y48" s="52"/>
      <c r="Z48" s="52"/>
      <c r="AA48" s="52"/>
      <c r="AB48" s="52"/>
    </row>
    <row r="49" spans="1:28" x14ac:dyDescent="0.25">
      <c r="A49" s="194" t="s">
        <v>22</v>
      </c>
      <c r="B49" s="57">
        <f>(Résultats!AC$135+Résultats!AC$136)/1000000</f>
        <v>0</v>
      </c>
      <c r="C49" s="57">
        <f>(Résultats!AC$155+Résultats!AC$156)/1000000</f>
        <v>5.3507564485999994</v>
      </c>
      <c r="D49" s="57">
        <f>'T energie usages'!J80/'T energie usages'!J$85*(Résultats!AC$159+Résultats!AC$160+Résultats!AC$161)/1000000</f>
        <v>4.4641258904663284</v>
      </c>
      <c r="E49" s="57">
        <f>(Résultats!AC$181+Résultats!AC$182)/1000000</f>
        <v>10.435998143999999</v>
      </c>
      <c r="F49" s="57">
        <v>0</v>
      </c>
      <c r="G49" s="195">
        <f t="shared" ref="G49:G53" si="4">SUM(B49:F49)</f>
        <v>20.250880483066325</v>
      </c>
      <c r="H49" s="3"/>
      <c r="I49" s="202"/>
      <c r="J49" s="51"/>
      <c r="K49" s="51"/>
      <c r="L49" s="51"/>
      <c r="M49" s="51"/>
      <c r="N49" s="53"/>
      <c r="O49" s="54"/>
      <c r="P49" s="54"/>
      <c r="Q49" s="54"/>
      <c r="R49" s="54"/>
      <c r="S49" s="54"/>
      <c r="T49" s="46"/>
      <c r="U49" s="34"/>
      <c r="W49" s="45"/>
      <c r="X49" s="52"/>
      <c r="Y49" s="52"/>
      <c r="Z49" s="52"/>
      <c r="AA49" s="52"/>
      <c r="AB49" s="52"/>
    </row>
    <row r="50" spans="1:28" x14ac:dyDescent="0.25">
      <c r="A50" s="194" t="s">
        <v>23</v>
      </c>
      <c r="B50" s="57">
        <f>B51+B52</f>
        <v>10.1085649316</v>
      </c>
      <c r="C50" s="57">
        <f>C51+C52</f>
        <v>44.484070020814485</v>
      </c>
      <c r="D50" s="57">
        <f>D51+D52</f>
        <v>3.8926466313098569</v>
      </c>
      <c r="E50" s="57">
        <f>E51+E52</f>
        <v>20.649095731566838</v>
      </c>
      <c r="F50" s="57">
        <f>F51+F52</f>
        <v>13.493001320000001</v>
      </c>
      <c r="G50" s="195">
        <f t="shared" si="4"/>
        <v>92.62737863529118</v>
      </c>
      <c r="H50" s="3"/>
      <c r="I50" s="202"/>
      <c r="J50" s="51"/>
      <c r="K50" s="51"/>
      <c r="L50" s="51"/>
      <c r="M50" s="51"/>
      <c r="N50" s="53"/>
      <c r="O50" s="54"/>
      <c r="P50" s="54"/>
      <c r="Q50" s="54"/>
      <c r="R50" s="54"/>
      <c r="S50" s="54"/>
      <c r="T50" s="46"/>
      <c r="U50" s="34"/>
      <c r="W50" s="45"/>
      <c r="X50" s="52"/>
      <c r="Y50" s="52"/>
      <c r="Z50" s="52"/>
      <c r="AA50" s="52"/>
      <c r="AB50" s="52"/>
    </row>
    <row r="51" spans="1:28" x14ac:dyDescent="0.25">
      <c r="A51" s="177" t="s">
        <v>24</v>
      </c>
      <c r="B51" s="19">
        <f>(Résultats!AC$129+Résultats!AC$130+Résultats!AC$131+Résultats!AC$132+Résultats!AC$133+Résultats!AC$134)/1000000</f>
        <v>10.1085649316</v>
      </c>
      <c r="C51" s="19">
        <f>(Résultats!AC$138+Résultats!AC$140+Résultats!AC$141+Résultats!AC$142+Résultats!AC$143+Résultats!AC$144+Résultats!AC$145+Résultats!AC$146+Résultats!AC$147+Résultats!AC$148+Résultats!AC$149)/1000000</f>
        <v>37.510425639814486</v>
      </c>
      <c r="D51" s="19">
        <f>'T energie usages'!J82/'T energie usages'!J$85*(Résultats!AC$159+Résultats!AC$160+Résultats!AC$161)/1000000</f>
        <v>3.7618967818454538</v>
      </c>
      <c r="E51" s="19">
        <f>(Résultats!AC$164+Résultats!AC$165+Résultats!AC$166+Résultats!AC$167+Résultats!AC$168+Résultats!AC$169+Résultats!AC$170+Résultats!AC$171+Résultats!AC$172+Résultats!AC$173+Résultats!AC$174+Résultats!AC$175+Résultats!AC$183+Résultats!AC$185)/1000000</f>
        <v>20.085819981866837</v>
      </c>
      <c r="F51" s="19">
        <f>Résultats!AC$100/1000000</f>
        <v>13.493001320000001</v>
      </c>
      <c r="G51" s="120">
        <f t="shared" si="4"/>
        <v>84.959708655126775</v>
      </c>
      <c r="H51" s="3"/>
      <c r="I51" s="202"/>
      <c r="J51" s="51"/>
      <c r="K51" s="51"/>
      <c r="L51" s="51"/>
      <c r="M51" s="51"/>
      <c r="N51" s="53"/>
      <c r="O51" s="54"/>
      <c r="P51" s="54"/>
      <c r="Q51" s="54"/>
      <c r="R51" s="54"/>
      <c r="S51" s="54"/>
      <c r="T51" s="46"/>
      <c r="U51" s="42"/>
      <c r="W51" s="41"/>
      <c r="X51" s="52"/>
      <c r="Y51" s="52"/>
      <c r="Z51" s="52"/>
      <c r="AA51" s="52"/>
      <c r="AB51" s="52"/>
    </row>
    <row r="52" spans="1:28" x14ac:dyDescent="0.25">
      <c r="A52" s="177" t="s">
        <v>25</v>
      </c>
      <c r="B52" s="19">
        <v>0</v>
      </c>
      <c r="C52" s="19">
        <f>(Résultats!AC$139)/1000000</f>
        <v>6.9736443809999997</v>
      </c>
      <c r="D52" s="19">
        <f>'T energie usages'!J84/'T energie usages'!J$85*(Résultats!AC$159+Résultats!AC$160+Résultats!AC$161)/1000000</f>
        <v>0.13074984946440291</v>
      </c>
      <c r="E52" s="19">
        <f>(Résultats!AC$163)/1000000</f>
        <v>0.56327574970000005</v>
      </c>
      <c r="F52" s="19">
        <v>0</v>
      </c>
      <c r="G52" s="120">
        <f t="shared" si="4"/>
        <v>7.6676699801644022</v>
      </c>
      <c r="H52" s="3"/>
      <c r="I52" s="202"/>
      <c r="J52" s="51"/>
      <c r="K52" s="51"/>
      <c r="L52" s="51"/>
      <c r="M52" s="51"/>
      <c r="N52" s="53"/>
      <c r="O52" s="54"/>
      <c r="P52" s="54"/>
      <c r="Q52" s="54"/>
      <c r="R52" s="54"/>
      <c r="S52" s="54"/>
      <c r="T52" s="46"/>
      <c r="U52" s="42"/>
      <c r="W52" s="41"/>
      <c r="X52" s="52"/>
      <c r="Y52" s="52"/>
      <c r="Z52" s="52"/>
      <c r="AA52" s="52"/>
      <c r="AB52" s="52"/>
    </row>
    <row r="53" spans="1:28" x14ac:dyDescent="0.25">
      <c r="A53" s="72" t="s">
        <v>41</v>
      </c>
      <c r="B53" s="58">
        <f>SUM(B48:B50)+B45</f>
        <v>10.9816930673</v>
      </c>
      <c r="C53" s="58">
        <f>SUM(C48:C50)+C45</f>
        <v>158.37552159682053</v>
      </c>
      <c r="D53" s="58">
        <f>SUM(D48:D50)+D45</f>
        <v>15.527021991999998</v>
      </c>
      <c r="E53" s="58">
        <f>SUM(E48:E50)+E45</f>
        <v>53.945006214179486</v>
      </c>
      <c r="F53" s="58">
        <f>SUM(F48:F50)+F45</f>
        <v>13.493001320000001</v>
      </c>
      <c r="G53" s="196">
        <f t="shared" si="4"/>
        <v>252.32224419029998</v>
      </c>
      <c r="H53" s="3"/>
      <c r="I53" s="202"/>
      <c r="J53" s="51"/>
      <c r="K53" s="51"/>
      <c r="L53" s="51"/>
      <c r="M53" s="51"/>
      <c r="N53" s="53"/>
      <c r="O53" s="54"/>
      <c r="P53" s="54"/>
      <c r="Q53" s="54"/>
      <c r="R53" s="54"/>
      <c r="S53" s="54"/>
      <c r="T53" s="46"/>
      <c r="U53" s="48"/>
      <c r="W53" s="47"/>
      <c r="X53" s="52"/>
      <c r="Y53" s="52"/>
      <c r="Z53" s="52"/>
      <c r="AA53" s="52"/>
      <c r="AB53" s="52"/>
    </row>
    <row r="54" spans="1:28" x14ac:dyDescent="0.25">
      <c r="A54" s="197" t="s">
        <v>43</v>
      </c>
      <c r="B54" s="200">
        <f>(Résultats!AC$102+Résultats!AC$129+Résultats!AC$130+Résultats!AC$131+Résultats!AC$132+Résultats!AC$133+Résultats!AC$134+Résultats!AC$135+Résultats!AC$136)/1000000</f>
        <v>10.9816930673</v>
      </c>
      <c r="C54" s="200">
        <f>(Résultats!AC$104+Résultats!AC$138+Résultats!AC$139+Résultats!AC$140+Résultats!AC$141+Résultats!AC$142+Résultats!AC$143+Résultats!AC$144+Résultats!AC$145+Résultats!AC$146+Résultats!AC$147+Résultats!AC$148+Résultats!AC$149+Résultats!AC$150+Résultats!AC$151+Résultats!AC$152+Résultats!AC$153+Résultats!AC$154+Résultats!AC$155+Résultats!AC$156)/1000000</f>
        <v>171.20914703241448</v>
      </c>
      <c r="D54" s="200">
        <f>(Résultats!AC$159+Résultats!AC$160+Résultats!AC$161)/1000000</f>
        <v>15.527021992</v>
      </c>
      <c r="E54" s="199">
        <f>(Résultats!AC$106+Résultats!AC$163+Résultats!AC$164+Résultats!AC$165+Résultats!AC$166+Résultats!AC$167+Résultats!AC$168+Résultats!AC$169+Résultats!AC$170+Résultats!AC$171+Résultats!AC$172+Résultats!AC$173+Résultats!AC$174+Résultats!AC$175+Résultats!AC$176+Résultats!AC$177+Résultats!AC$178+Résultats!AC$179+Résultats!AC$180+Résultats!AC$181+Résultats!AC$182+Résultats!AC$183)/1000000</f>
        <v>58.35781330101684</v>
      </c>
      <c r="F54" s="200">
        <f>Résultats!AC$100/1000000</f>
        <v>13.493001320000001</v>
      </c>
      <c r="G54" s="201">
        <f>SUM(B54:F54)</f>
        <v>269.5686767127313</v>
      </c>
      <c r="H54" s="3"/>
      <c r="I54" s="202"/>
      <c r="J54" s="51"/>
      <c r="K54" s="51"/>
      <c r="L54" s="51"/>
      <c r="M54" s="46"/>
      <c r="O54" s="51"/>
      <c r="P54" s="51"/>
      <c r="Q54" s="51"/>
      <c r="R54" s="51"/>
      <c r="S54" s="46"/>
      <c r="T54" s="46"/>
      <c r="X54" s="52"/>
      <c r="Y54" s="52"/>
      <c r="Z54" s="52"/>
      <c r="AA54" s="52"/>
      <c r="AB54" s="52"/>
    </row>
    <row r="55" spans="1:28" x14ac:dyDescent="0.25">
      <c r="A55" s="197"/>
      <c r="B55" s="198"/>
      <c r="C55" s="198"/>
      <c r="D55" s="198"/>
      <c r="E55" s="198"/>
      <c r="F55" s="198"/>
      <c r="G55" s="199">
        <f>Résultats!AC$194/1000000</f>
        <v>269.83701000000002</v>
      </c>
      <c r="H55" s="3"/>
      <c r="I55" s="202"/>
      <c r="J55" s="51"/>
      <c r="K55" s="51"/>
      <c r="L55" s="51"/>
      <c r="M55" s="46"/>
      <c r="O55" s="51"/>
      <c r="P55" s="51"/>
      <c r="Q55" s="51"/>
      <c r="R55" s="51"/>
      <c r="S55" s="46"/>
      <c r="T55" s="46"/>
      <c r="W55" s="48"/>
      <c r="X55" s="52"/>
      <c r="Y55" s="52"/>
      <c r="Z55" s="52"/>
      <c r="AA55" s="52"/>
      <c r="AB55" s="52"/>
    </row>
    <row r="56" spans="1:28" x14ac:dyDescent="0.25">
      <c r="A56" s="3"/>
      <c r="B56" s="64"/>
      <c r="C56" s="64"/>
      <c r="D56" s="64"/>
      <c r="E56" s="64"/>
      <c r="F56" s="64"/>
      <c r="G56" s="3"/>
      <c r="H56" s="3"/>
      <c r="I56" s="202"/>
      <c r="J56" s="51"/>
      <c r="K56" s="51"/>
      <c r="L56" s="51"/>
      <c r="M56" s="46"/>
      <c r="O56" s="51"/>
      <c r="P56" s="51"/>
      <c r="Q56" s="51"/>
      <c r="R56" s="51"/>
      <c r="S56" s="46"/>
      <c r="T56" s="46"/>
      <c r="W56" s="49"/>
      <c r="X56" s="52"/>
      <c r="Y56" s="52"/>
      <c r="Z56" s="52"/>
      <c r="AA56" s="52"/>
      <c r="AB56" s="52"/>
    </row>
    <row r="57" spans="1:28" ht="21" x14ac:dyDescent="0.35">
      <c r="A57" s="173">
        <v>2035</v>
      </c>
      <c r="B57" s="4" t="s">
        <v>36</v>
      </c>
      <c r="C57" s="4" t="s">
        <v>37</v>
      </c>
      <c r="D57" s="4" t="s">
        <v>38</v>
      </c>
      <c r="E57" s="4" t="s">
        <v>39</v>
      </c>
      <c r="F57" s="4" t="s">
        <v>40</v>
      </c>
      <c r="G57" s="118" t="s">
        <v>1</v>
      </c>
      <c r="H57" s="3"/>
      <c r="I57" s="2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W57" s="44"/>
      <c r="X57" s="44"/>
      <c r="Y57" s="44"/>
      <c r="Z57" s="44"/>
      <c r="AA57" s="44"/>
      <c r="AB57" s="52"/>
    </row>
    <row r="58" spans="1:28" x14ac:dyDescent="0.25">
      <c r="A58" s="194" t="s">
        <v>18</v>
      </c>
      <c r="B58" s="57">
        <f>B59+B60</f>
        <v>0</v>
      </c>
      <c r="C58" s="57">
        <f>C59+C60</f>
        <v>86.669833934109704</v>
      </c>
      <c r="D58" s="57">
        <f>D59+D60</f>
        <v>1.6870513917364693</v>
      </c>
      <c r="E58" s="61">
        <f>E59+E60</f>
        <v>2.7554131356486327</v>
      </c>
      <c r="F58" s="57">
        <f>F59+F60</f>
        <v>0</v>
      </c>
      <c r="G58" s="195">
        <f t="shared" ref="G58:G67" si="5">SUM(B58:F58)</f>
        <v>91.112298461494817</v>
      </c>
      <c r="H58" s="3"/>
      <c r="I58" s="202"/>
      <c r="J58" s="51"/>
      <c r="K58" s="51"/>
      <c r="L58" s="51"/>
      <c r="M58" s="51"/>
      <c r="N58" s="53"/>
      <c r="O58" s="51"/>
      <c r="P58" s="51"/>
      <c r="Q58" s="51"/>
      <c r="R58" s="51"/>
      <c r="S58" s="51"/>
      <c r="T58" s="46"/>
      <c r="U58" s="34"/>
      <c r="W58" s="45"/>
      <c r="X58" s="52"/>
      <c r="Y58" s="52"/>
      <c r="Z58" s="52"/>
      <c r="AA58" s="52"/>
      <c r="AB58" s="52"/>
    </row>
    <row r="59" spans="1:28" x14ac:dyDescent="0.25">
      <c r="A59" s="176" t="s">
        <v>19</v>
      </c>
      <c r="B59" s="19">
        <v>0</v>
      </c>
      <c r="C59" s="19">
        <f>'T energie usages'!I90*3.2*Résultats!AH250</f>
        <v>44.293681573109701</v>
      </c>
      <c r="D59" s="19">
        <f>'T energie usages'!J90/'T energie usages'!J$98*(Résultats!AH$159+Résultats!AH$160+Résultats!AH$161)/1000000</f>
        <v>0.46955828651923609</v>
      </c>
      <c r="E59" s="55">
        <f>'T energie usages'!K90*2.394*Résultats!AH251</f>
        <v>8.1080468632890011E-5</v>
      </c>
      <c r="F59" s="19">
        <v>0</v>
      </c>
      <c r="G59" s="120">
        <f t="shared" si="5"/>
        <v>44.763320940097572</v>
      </c>
      <c r="H59" s="3"/>
      <c r="I59" s="202"/>
      <c r="J59" s="51"/>
      <c r="K59" s="51"/>
      <c r="L59" s="51"/>
      <c r="M59" s="51"/>
      <c r="N59" s="53"/>
      <c r="O59" s="51"/>
      <c r="P59" s="51"/>
      <c r="Q59" s="51"/>
      <c r="R59" s="51"/>
      <c r="S59" s="51"/>
      <c r="T59" s="46"/>
      <c r="U59" s="42"/>
      <c r="W59" s="41"/>
      <c r="X59" s="52"/>
      <c r="Y59" s="52"/>
      <c r="Z59" s="52"/>
      <c r="AA59" s="52"/>
      <c r="AB59" s="52"/>
    </row>
    <row r="60" spans="1:28" x14ac:dyDescent="0.25">
      <c r="A60" s="177" t="s">
        <v>20</v>
      </c>
      <c r="B60" s="19">
        <v>0</v>
      </c>
      <c r="C60" s="19">
        <f>(Résultats!AH$150+Résultats!AH$151+Résultats!AH$152+Résultats!AH$153+Résultats!AH$154)/1000000</f>
        <v>42.376152361000003</v>
      </c>
      <c r="D60" s="19">
        <f>'T energie usages'!J91/'T energie usages'!J$98*(Résultats!AH$159+Résultats!AH$160+Résultats!AH$161)/1000000</f>
        <v>1.2174931052172333</v>
      </c>
      <c r="E60" s="55">
        <f>(Résultats!AH$176+Résultats!AH$177+Résultats!AH$178+Résultats!AH$179+Résultats!AH$180)/1000000</f>
        <v>2.7553320551799998</v>
      </c>
      <c r="F60" s="19">
        <v>0</v>
      </c>
      <c r="G60" s="120">
        <f t="shared" si="5"/>
        <v>46.348977521397238</v>
      </c>
      <c r="H60" s="3"/>
      <c r="I60" s="202"/>
      <c r="J60" s="51"/>
      <c r="K60" s="51"/>
      <c r="L60" s="51"/>
      <c r="M60" s="51"/>
      <c r="N60" s="53"/>
      <c r="O60" s="51"/>
      <c r="P60" s="51"/>
      <c r="Q60" s="51"/>
      <c r="R60" s="51"/>
      <c r="S60" s="51"/>
      <c r="T60" s="46"/>
      <c r="U60" s="42"/>
      <c r="W60" s="41"/>
      <c r="X60" s="52"/>
      <c r="Y60" s="52"/>
      <c r="Z60" s="52"/>
      <c r="AA60" s="52"/>
      <c r="AB60" s="52"/>
    </row>
    <row r="61" spans="1:28" x14ac:dyDescent="0.25">
      <c r="A61" s="194" t="s">
        <v>21</v>
      </c>
      <c r="B61" s="57">
        <f>Résultats!AH$102/1000000</f>
        <v>0.84677950560000004</v>
      </c>
      <c r="C61" s="57">
        <f>'T energie usages'!I92*3.2*Résultats!AH250</f>
        <v>15.327069509595002</v>
      </c>
      <c r="D61" s="57">
        <f>'T energie usages'!J92/'T energie usages'!J$98*(Résultats!AH$159+Résultats!AH$160+Résultats!AH$161)/1000000</f>
        <v>5.9825595805320395</v>
      </c>
      <c r="E61" s="57">
        <f>('T energie usages'!K92-8)*2.394*Résultats!AH251</f>
        <v>21.745885079593226</v>
      </c>
      <c r="F61" s="57">
        <v>0</v>
      </c>
      <c r="G61" s="195">
        <f t="shared" si="5"/>
        <v>43.902293675320266</v>
      </c>
      <c r="H61" s="3"/>
      <c r="I61" s="202"/>
      <c r="J61" s="51"/>
      <c r="K61" s="51"/>
      <c r="L61" s="51"/>
      <c r="M61" s="51"/>
      <c r="N61" s="53"/>
      <c r="O61" s="51"/>
      <c r="P61" s="51"/>
      <c r="Q61" s="51"/>
      <c r="R61" s="51"/>
      <c r="S61" s="51"/>
      <c r="T61" s="46"/>
      <c r="U61" s="34"/>
      <c r="W61" s="45"/>
      <c r="X61" s="52"/>
      <c r="Y61" s="52"/>
      <c r="Z61" s="52"/>
      <c r="AA61" s="52"/>
      <c r="AB61" s="52"/>
    </row>
    <row r="62" spans="1:28" x14ac:dyDescent="0.25">
      <c r="A62" s="194" t="s">
        <v>22</v>
      </c>
      <c r="B62" s="57">
        <f>(Résultats!AH$135+Résultats!AH$136)/1000000</f>
        <v>0</v>
      </c>
      <c r="C62" s="57">
        <f>(Résultats!AH$155+Résultats!AH$156)/1000000</f>
        <v>4.8254678173999999</v>
      </c>
      <c r="D62" s="57">
        <f>'T energie usages'!J93/'T energie usages'!J$98*(Résultats!AH$159+Résultats!AH$160+Résultats!AH$161)/1000000</f>
        <v>4.4420655663132367</v>
      </c>
      <c r="E62" s="57">
        <f>(Résultats!AH$181+Résultats!AH$182)/1000000</f>
        <v>9.5619583240000008</v>
      </c>
      <c r="F62" s="57">
        <v>0</v>
      </c>
      <c r="G62" s="195">
        <f t="shared" si="5"/>
        <v>18.829491707713238</v>
      </c>
      <c r="H62" s="3"/>
      <c r="I62" s="202"/>
      <c r="J62" s="51"/>
      <c r="K62" s="51"/>
      <c r="L62" s="51"/>
      <c r="M62" s="51"/>
      <c r="N62" s="53"/>
      <c r="O62" s="51"/>
      <c r="P62" s="51"/>
      <c r="Q62" s="51"/>
      <c r="R62" s="51"/>
      <c r="S62" s="51"/>
      <c r="T62" s="46"/>
      <c r="U62" s="34"/>
      <c r="W62" s="45"/>
      <c r="X62" s="52"/>
      <c r="Y62" s="52"/>
      <c r="Z62" s="52"/>
      <c r="AA62" s="52"/>
      <c r="AB62" s="52"/>
    </row>
    <row r="63" spans="1:28" x14ac:dyDescent="0.25">
      <c r="A63" s="194" t="s">
        <v>23</v>
      </c>
      <c r="B63" s="57">
        <f>B64+B65</f>
        <v>10.7037424516</v>
      </c>
      <c r="C63" s="57">
        <f>C64+C65</f>
        <v>47.06608723213705</v>
      </c>
      <c r="D63" s="57">
        <f>D64+D65</f>
        <v>3.9909571624182547</v>
      </c>
      <c r="E63" s="57">
        <f>E64+E65</f>
        <v>20.174431243786778</v>
      </c>
      <c r="F63" s="57">
        <f>F64+F65</f>
        <v>13.81645</v>
      </c>
      <c r="G63" s="195">
        <f t="shared" si="5"/>
        <v>95.751668089942086</v>
      </c>
      <c r="H63" s="3"/>
      <c r="I63" s="202"/>
      <c r="J63" s="51"/>
      <c r="K63" s="51"/>
      <c r="L63" s="51"/>
      <c r="M63" s="51"/>
      <c r="N63" s="53"/>
      <c r="O63" s="51"/>
      <c r="P63" s="51"/>
      <c r="Q63" s="51"/>
      <c r="R63" s="51"/>
      <c r="S63" s="51"/>
      <c r="T63" s="46"/>
      <c r="U63" s="34"/>
      <c r="W63" s="45"/>
      <c r="X63" s="52"/>
      <c r="Y63" s="52"/>
      <c r="Z63" s="52"/>
      <c r="AA63" s="52"/>
      <c r="AB63" s="52"/>
    </row>
    <row r="64" spans="1:28" x14ac:dyDescent="0.25">
      <c r="A64" s="177" t="s">
        <v>24</v>
      </c>
      <c r="B64" s="99">
        <f>(Résultats!AH$129+Résultats!AH$130+Résultats!AH$131+Résultats!AH$132+Résultats!AH$133+Résultats!AH$134)/1000000</f>
        <v>10.7037424516</v>
      </c>
      <c r="C64" s="19">
        <f>(Résultats!AH$138+Résultats!AH$140+Résultats!AH$141+Résultats!AH$142+Résultats!AH$143+Résultats!AH$144+Résultats!AH$145+Résultats!AH$146+Résultats!AH$147+Résultats!AH$148+Résultats!AH$149)/1000000</f>
        <v>39.74113835613705</v>
      </c>
      <c r="D64" s="19">
        <f>'T energie usages'!J95/'T energie usages'!J$98*(Résultats!AH$159+Résultats!AH$160+Résultats!AH$161)/1000000</f>
        <v>3.85784669568937</v>
      </c>
      <c r="E64" s="19">
        <f>(Résultats!AH$164+Résultats!AH$165+Résultats!AH$166+Résultats!AH$167+Résultats!AH$168+Résultats!AH$169+Résultats!AH$170+Résultats!AH$171+Résultats!AH$172+Résultats!AH$173+Résultats!AH$174+Résultats!AH$175+Résultats!AH$183+Résultats!AH$185)/1000000</f>
        <v>19.616839593486777</v>
      </c>
      <c r="F64" s="19">
        <f>Résultats!AH$100/1000000</f>
        <v>13.81645</v>
      </c>
      <c r="G64" s="120">
        <f t="shared" si="5"/>
        <v>87.736017096913201</v>
      </c>
      <c r="H64" s="3"/>
      <c r="I64" s="202"/>
      <c r="K64" s="51"/>
      <c r="L64" s="51"/>
      <c r="M64" s="51"/>
      <c r="N64" s="53"/>
      <c r="O64" s="51"/>
      <c r="P64" s="51"/>
      <c r="Q64" s="51"/>
      <c r="R64" s="51"/>
      <c r="S64" s="51"/>
      <c r="T64" s="46"/>
      <c r="U64" s="42"/>
      <c r="W64" s="41"/>
      <c r="X64" s="52"/>
      <c r="Y64" s="52"/>
      <c r="Z64" s="52"/>
      <c r="AA64" s="52"/>
      <c r="AB64" s="52"/>
    </row>
    <row r="65" spans="1:28" x14ac:dyDescent="0.25">
      <c r="A65" s="177" t="s">
        <v>25</v>
      </c>
      <c r="B65" s="19">
        <v>0</v>
      </c>
      <c r="C65" s="19">
        <f>(Résultats!AH$139)/1000000</f>
        <v>7.3249488760000006</v>
      </c>
      <c r="D65" s="19">
        <f>'T energie usages'!J97/'T energie usages'!J$98*(Résultats!AH$159+Résultats!AH$160+Résultats!AH$161)/1000000</f>
        <v>0.13311046672888455</v>
      </c>
      <c r="E65" s="19">
        <f>(Résultats!AH$163)/1000000</f>
        <v>0.55759165030000002</v>
      </c>
      <c r="F65" s="19">
        <v>0</v>
      </c>
      <c r="G65" s="120">
        <f t="shared" si="5"/>
        <v>8.0156509930288848</v>
      </c>
      <c r="H65" s="3"/>
      <c r="I65" s="202"/>
      <c r="K65" s="51"/>
      <c r="L65" s="51"/>
      <c r="M65" s="51"/>
      <c r="N65" s="53"/>
      <c r="O65" s="51"/>
      <c r="P65" s="51"/>
      <c r="Q65" s="51"/>
      <c r="R65" s="51"/>
      <c r="S65" s="51"/>
      <c r="T65" s="46"/>
      <c r="U65" s="42"/>
      <c r="W65" s="41"/>
      <c r="X65" s="52"/>
      <c r="Y65" s="52"/>
      <c r="Z65" s="52"/>
      <c r="AA65" s="52"/>
      <c r="AB65" s="52"/>
    </row>
    <row r="66" spans="1:28" x14ac:dyDescent="0.25">
      <c r="A66" s="72" t="s">
        <v>41</v>
      </c>
      <c r="B66" s="58">
        <f>SUM(B61:B63)+B58</f>
        <v>11.550521957200001</v>
      </c>
      <c r="C66" s="58">
        <f>SUM(C61:C63)+C58</f>
        <v>153.88845849324176</v>
      </c>
      <c r="D66" s="58">
        <f>SUM(D61:D63)+D58</f>
        <v>16.102633701000002</v>
      </c>
      <c r="E66" s="58">
        <f>SUM(E61:E63)+E58</f>
        <v>54.237687783028633</v>
      </c>
      <c r="F66" s="58">
        <f>SUM(F61:F63)+F58</f>
        <v>13.81645</v>
      </c>
      <c r="G66" s="203">
        <f t="shared" si="5"/>
        <v>249.5957519344704</v>
      </c>
      <c r="H66" s="3"/>
      <c r="I66" s="105"/>
      <c r="J66" s="100"/>
      <c r="K66" s="51"/>
      <c r="L66" s="51"/>
      <c r="M66" s="51"/>
      <c r="N66" s="53"/>
      <c r="O66" s="51"/>
      <c r="P66" s="51"/>
      <c r="Q66" s="51"/>
      <c r="R66" s="51"/>
      <c r="S66" s="51"/>
      <c r="T66" s="46"/>
      <c r="U66" s="48"/>
      <c r="W66" s="47"/>
      <c r="X66" s="52"/>
      <c r="Y66" s="52"/>
      <c r="Z66" s="52"/>
      <c r="AA66" s="52"/>
      <c r="AB66" s="52"/>
    </row>
    <row r="67" spans="1:28" x14ac:dyDescent="0.25">
      <c r="A67" s="197" t="s">
        <v>43</v>
      </c>
      <c r="B67" s="200">
        <f>(Résultats!AH$102+Résultats!AH$129+Résultats!AH$130+Résultats!AH$131+Résultats!AH$132+Résultats!AH$133+Résultats!AH$134+Résultats!AH$135+Résultats!AH$136)/1000000</f>
        <v>11.550521957199999</v>
      </c>
      <c r="C67" s="200">
        <f>(Résultats!AH$104+Résultats!AH$138+Résultats!AH$139+Résultats!AH$140+Résultats!AH$141+Résultats!AH$142+Résultats!AH$143+Résultats!AH$144+Résultats!AH$145+Résultats!AH$146+Résultats!AH$147+Résultats!AH$148+Résultats!AH$149+Résultats!AH$150+Résultats!AH$151+Résultats!AH$152+Résultats!AH$153+Résultats!AH$154+Résultats!AH$155+Résultats!AH$156)/1000000</f>
        <v>165.84453242053704</v>
      </c>
      <c r="D67" s="200">
        <f>(Résultats!AH$159+Résultats!AH$160+Résultats!AH$161)/1000000</f>
        <v>16.102633701000002</v>
      </c>
      <c r="E67" s="199">
        <f>(Résultats!AH$106+Résultats!AH$163+Résultats!AH$164+Résultats!AH$165+Résultats!AH$166+Résultats!AH$167+Résultats!AH$168+Résultats!AH$169+Résultats!AH$170+Résultats!AH$171+Résultats!AH$172+Résultats!AH$173+Résultats!AH$174+Résultats!AH$175+Résultats!AH$176+Résultats!AH$177+Résultats!AH$178+Résultats!AH$179+Résultats!AH$180+Résultats!AH$181+Résultats!AH$182+Résultats!AH$183)/1000000</f>
        <v>57.263924416766784</v>
      </c>
      <c r="F67" s="200">
        <f>Résultats!AH$100/1000000</f>
        <v>13.81645</v>
      </c>
      <c r="G67" s="201">
        <f t="shared" si="5"/>
        <v>264.57806249550379</v>
      </c>
      <c r="H67" s="3"/>
      <c r="I67" s="69"/>
      <c r="K67" s="24"/>
      <c r="L67" s="51"/>
    </row>
    <row r="68" spans="1:28" x14ac:dyDescent="0.25">
      <c r="A68" s="197"/>
      <c r="B68" s="197"/>
      <c r="C68" s="197"/>
      <c r="D68" s="197"/>
      <c r="E68" s="197"/>
      <c r="F68" s="197"/>
      <c r="G68" s="199">
        <f>Résultats!AH$194/1000000</f>
        <v>264.8389262</v>
      </c>
      <c r="H68" s="3"/>
      <c r="I68" s="69"/>
      <c r="K68" s="24"/>
      <c r="L68" s="51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69"/>
      <c r="K69" s="24"/>
      <c r="L69" s="51"/>
    </row>
    <row r="70" spans="1:28" ht="21" x14ac:dyDescent="0.35">
      <c r="A70" s="173">
        <v>2050</v>
      </c>
      <c r="B70" s="4" t="s">
        <v>36</v>
      </c>
      <c r="C70" s="4" t="s">
        <v>37</v>
      </c>
      <c r="D70" s="4" t="s">
        <v>38</v>
      </c>
      <c r="E70" s="4" t="s">
        <v>39</v>
      </c>
      <c r="F70" s="4" t="s">
        <v>40</v>
      </c>
      <c r="G70" s="118" t="s">
        <v>1</v>
      </c>
      <c r="H70" s="3"/>
      <c r="I70" s="3"/>
    </row>
    <row r="71" spans="1:28" x14ac:dyDescent="0.25">
      <c r="A71" s="194" t="s">
        <v>18</v>
      </c>
      <c r="B71" s="57">
        <f>B72+B73</f>
        <v>0.2406115882</v>
      </c>
      <c r="C71" s="57">
        <f>C72+C73</f>
        <v>74.190695654883399</v>
      </c>
      <c r="D71" s="57">
        <f>D72+D73</f>
        <v>3.2028971960677426</v>
      </c>
      <c r="E71" s="57">
        <f>E72+E73</f>
        <v>3.969392451287022</v>
      </c>
      <c r="F71" s="57">
        <f>F72+F73</f>
        <v>0</v>
      </c>
      <c r="G71" s="195">
        <f t="shared" ref="G71:G80" si="6">SUM(B71:F71)</f>
        <v>81.603596890438155</v>
      </c>
      <c r="H71" s="3"/>
      <c r="I71" s="3"/>
    </row>
    <row r="72" spans="1:28" x14ac:dyDescent="0.25">
      <c r="A72" s="176" t="s">
        <v>19</v>
      </c>
      <c r="B72" s="19">
        <f>Résultats!AF$118/1000000</f>
        <v>0.2406115882</v>
      </c>
      <c r="C72" s="19">
        <f>'T energie usages'!I116*3.2*Résultats!AW250</f>
        <v>30.930757040883385</v>
      </c>
      <c r="D72" s="19">
        <f>'T energie usages'!J116/'T energie usages'!J$124*(Résultats!AW$159+Résultats!AW$160+Résultats!AW$161)/1000000</f>
        <v>1.5027686354267538</v>
      </c>
      <c r="E72" s="19">
        <f>'T energie usages'!K116*2.394*Résultats!AW251</f>
        <v>1.2073651702161587E-4</v>
      </c>
      <c r="F72" s="19">
        <v>0</v>
      </c>
      <c r="G72" s="120">
        <f t="shared" si="6"/>
        <v>32.674258001027155</v>
      </c>
      <c r="H72" s="3"/>
      <c r="I72" s="3"/>
    </row>
    <row r="73" spans="1:28" x14ac:dyDescent="0.25">
      <c r="A73" s="177" t="s">
        <v>20</v>
      </c>
      <c r="B73" s="19">
        <v>0</v>
      </c>
      <c r="C73" s="19">
        <f>(Résultats!AW$150+Résultats!AW$151+Résultats!AW$152+Résultats!AW$153+Résultats!AW$154)/1000000</f>
        <v>43.259938614000006</v>
      </c>
      <c r="D73" s="19">
        <f>'T energie usages'!J117/'T energie usages'!J$124*(Résultats!AW$159+Résultats!AW$160+Résultats!AW$161)/1000000</f>
        <v>1.7001285606409891</v>
      </c>
      <c r="E73" s="19">
        <f>(Résultats!AW$176+Résultats!AW$177+Résultats!AW$178+Résultats!AW$179+Résultats!AW$180)/1000000</f>
        <v>3.9692717147700005</v>
      </c>
      <c r="F73" s="19">
        <v>0</v>
      </c>
      <c r="G73" s="120">
        <f t="shared" si="6"/>
        <v>48.929338889411</v>
      </c>
      <c r="H73" s="3"/>
      <c r="I73" s="3"/>
    </row>
    <row r="74" spans="1:28" x14ac:dyDescent="0.25">
      <c r="A74" s="194" t="s">
        <v>21</v>
      </c>
      <c r="B74" s="57">
        <f>Résultats!AW$102/1000000</f>
        <v>0.70528173390000004</v>
      </c>
      <c r="C74" s="57">
        <f>'T energie usages'!I118*3.2*Résultats!AW250</f>
        <v>13.979039768909358</v>
      </c>
      <c r="D74" s="57">
        <f>'T energie usages'!J118/'T energie usages'!J$124*(Résultats!AW$159+Résultats!AW$160+Résultats!AW$161)/1000000</f>
        <v>7.6878518906939473</v>
      </c>
      <c r="E74" s="57">
        <f>('T energie usages'!K118-8)*2.394*Résultats!AW251</f>
        <v>20.672576216144282</v>
      </c>
      <c r="F74" s="57">
        <v>0</v>
      </c>
      <c r="G74" s="195">
        <f t="shared" si="6"/>
        <v>43.044749609647582</v>
      </c>
      <c r="H74" s="3"/>
      <c r="I74" s="3"/>
    </row>
    <row r="75" spans="1:28" x14ac:dyDescent="0.25">
      <c r="A75" s="194" t="s">
        <v>22</v>
      </c>
      <c r="B75" s="57">
        <f>(Résultats!AW$135+Résultats!AW$136)/1000000</f>
        <v>0</v>
      </c>
      <c r="C75" s="57">
        <f>(Résultats!AW$155+Résultats!AW$156)/1000000</f>
        <v>4.4637477332</v>
      </c>
      <c r="D75" s="57">
        <f>'T energie usages'!J119/'T energie usages'!J$124*(Résultats!AW$159+Résultats!AW$160+Résultats!AW$161)/1000000</f>
        <v>4.5944388036300623</v>
      </c>
      <c r="E75" s="57">
        <f>(Résultats!AW$181+Résultats!AW$182)/1000000</f>
        <v>7.0354523600000007</v>
      </c>
      <c r="F75" s="57">
        <v>0</v>
      </c>
      <c r="G75" s="195">
        <f t="shared" si="6"/>
        <v>16.093638896830065</v>
      </c>
      <c r="H75" s="3"/>
      <c r="I75" s="3"/>
    </row>
    <row r="76" spans="1:28" x14ac:dyDescent="0.25">
      <c r="A76" s="194" t="s">
        <v>23</v>
      </c>
      <c r="B76" s="57">
        <f>B77+B78</f>
        <v>11.8671149745</v>
      </c>
      <c r="C76" s="57">
        <f>C77+C78</f>
        <v>51.8782083543393</v>
      </c>
      <c r="D76" s="57">
        <f>D77+D78</f>
        <v>5.8449080606082475</v>
      </c>
      <c r="E76" s="57">
        <f>E77+E78</f>
        <v>19.888487506501438</v>
      </c>
      <c r="F76" s="57">
        <f>F77+F78</f>
        <v>15.456497390000001</v>
      </c>
      <c r="G76" s="195">
        <f t="shared" si="6"/>
        <v>104.93521628594898</v>
      </c>
      <c r="H76" s="3"/>
      <c r="I76" s="3"/>
    </row>
    <row r="77" spans="1:28" x14ac:dyDescent="0.25">
      <c r="A77" s="177" t="s">
        <v>24</v>
      </c>
      <c r="B77" s="19">
        <f>(Résultats!AW$129+Résultats!AW$130+Résultats!AW$131+Résultats!AW$132+Résultats!AW$133+Résultats!AW$134)/1000000</f>
        <v>11.8671149745</v>
      </c>
      <c r="C77" s="19">
        <f>(Résultats!AW$138+Résultats!AW$140+Résultats!AW$141+Résultats!AW$142+Résultats!AW$143+Résultats!AW$144+Résultats!AW$145+Résultats!AW$146+Résultats!AW$147+Résultats!AW$148+Résultats!AW$149)/1000000</f>
        <v>43.1539152203393</v>
      </c>
      <c r="D77" s="19">
        <f>'T energie usages'!J121/'T energie usages'!J$124*(Résultats!AW$159+Résultats!AW$160+Résultats!AW$161)/1000000</f>
        <v>5.6609470326708244</v>
      </c>
      <c r="E77" s="19">
        <f>(Résultats!AW162+Résultats!AW$164+Résultats!AW$165+Résultats!AW$166+Résultats!AW$167+Résultats!AW$168+Résultats!AW$169+Résultats!AW$170+Résultats!AW$171+Résultats!AW$172+Résultats!AW$173+Résultats!AW$174+Résultats!AW$175+Résultats!AW$183)/1000000</f>
        <v>19.290865497101439</v>
      </c>
      <c r="F77" s="19">
        <f>Résultats!AW$100/1000000</f>
        <v>15.456497390000001</v>
      </c>
      <c r="G77" s="120">
        <f t="shared" si="6"/>
        <v>95.429340114611563</v>
      </c>
      <c r="H77" s="3"/>
      <c r="I77" s="3"/>
    </row>
    <row r="78" spans="1:28" x14ac:dyDescent="0.25">
      <c r="A78" s="177" t="s">
        <v>25</v>
      </c>
      <c r="B78" s="19">
        <v>0</v>
      </c>
      <c r="C78" s="19">
        <f>(Résultats!AW$139)/1000000</f>
        <v>8.7242931339999998</v>
      </c>
      <c r="D78" s="19">
        <f>'T energie usages'!J123/'T energie usages'!J$124*(Résultats!AW$159+Résultats!AW$160+Résultats!AW$161)/1000000</f>
        <v>0.18396102793742353</v>
      </c>
      <c r="E78" s="19">
        <f>(Résultats!AW$163)/1000000</f>
        <v>0.59762200939999999</v>
      </c>
      <c r="F78" s="19">
        <v>0</v>
      </c>
      <c r="G78" s="120">
        <f t="shared" si="6"/>
        <v>9.5058761713374231</v>
      </c>
      <c r="H78" s="3"/>
      <c r="I78" s="3"/>
    </row>
    <row r="79" spans="1:28" x14ac:dyDescent="0.25">
      <c r="A79" s="72" t="s">
        <v>41</v>
      </c>
      <c r="B79" s="58">
        <f>SUM(B74:B76)+B71</f>
        <v>12.8130082966</v>
      </c>
      <c r="C79" s="58">
        <f>SUM(C74:C76)+C71</f>
        <v>144.51169151133206</v>
      </c>
      <c r="D79" s="58">
        <f>SUM(D74:D76)+D71</f>
        <v>21.330095951000001</v>
      </c>
      <c r="E79" s="60">
        <f>SUM(E74:E76)+E71</f>
        <v>51.565908533932742</v>
      </c>
      <c r="F79" s="58">
        <f>SUM(F74:F76)+F71</f>
        <v>15.456497390000001</v>
      </c>
      <c r="G79" s="196">
        <f t="shared" si="6"/>
        <v>245.67720168286482</v>
      </c>
      <c r="H79" s="3"/>
      <c r="I79" s="3"/>
    </row>
    <row r="80" spans="1:28" x14ac:dyDescent="0.25">
      <c r="A80" s="197" t="s">
        <v>43</v>
      </c>
      <c r="B80" s="200">
        <f>(Résultats!AW$102+Résultats!AW$129+Résultats!AW$130+Résultats!AW$131+Résultats!AW$132+Résultats!AW$133+Résultats!AW$134+Résultats!AW$135+Résultats!AW$136)/1000000</f>
        <v>12.572396708399999</v>
      </c>
      <c r="C80" s="200">
        <f>(Résultats!AW$104+Résultats!AW$138+Résultats!AW$139+Résultats!AW$140+Résultats!AW$141+Résultats!AW$142+Résultats!AW$143+Résultats!AW$144+Résultats!AW$145+Résultats!AW$146+Résultats!AW$147+Résultats!AW$148+Résultats!AW$149+Résultats!AW$150+Résultats!AW$151+Résultats!AW$152+Résultats!AW$153+Résultats!AW$154+Résultats!AW$155+Résultats!AW$156)/1000000</f>
        <v>153.51769765153924</v>
      </c>
      <c r="D80" s="200">
        <f>(Résultats!AW$159+Résultats!AW$160+Résultats!AW$161)/1000000</f>
        <v>21.330095951000001</v>
      </c>
      <c r="E80" s="199">
        <f>(Résultats!AW$106+Résultats!AW162+Résultats!AW$163+Résultats!AW$164+Résultats!AW$165+Résultats!AW$166+Résultats!AW$167+Résultats!AW$168+Résultats!AW$169+Résultats!AW$170+Résultats!AW$171+Résultats!AW$172+Résultats!AW$173+Résultats!AW$174+Résultats!AW$175+Résultats!AW$176+Résultats!AW$177+Résultats!AW$178+Résultats!AW$179+Résultats!AW$180+Résultats!AW181+Résultats!AW182+Résultats!AW183)/1000000</f>
        <v>53.118451331271423</v>
      </c>
      <c r="F80" s="200">
        <f>Résultats!AW100/1000000</f>
        <v>15.456497390000001</v>
      </c>
      <c r="G80" s="201">
        <f t="shared" si="6"/>
        <v>255.99513903221066</v>
      </c>
      <c r="H80" s="3"/>
      <c r="I80" s="71"/>
    </row>
    <row r="81" spans="1:9" x14ac:dyDescent="0.25">
      <c r="A81" s="197"/>
      <c r="B81" s="200"/>
      <c r="C81" s="200"/>
      <c r="D81" s="200"/>
      <c r="E81" s="197"/>
      <c r="F81" s="197"/>
      <c r="G81" s="199">
        <f>Résultats!AW194/1000000</f>
        <v>255.99513869999998</v>
      </c>
      <c r="H81" s="3"/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x14ac:dyDescent="0.25">
      <c r="A84" s="3"/>
      <c r="B84" s="3"/>
      <c r="C84" s="3"/>
      <c r="D84" s="3"/>
      <c r="E84" s="3"/>
      <c r="F84" s="3"/>
      <c r="G84" s="3"/>
      <c r="H84" s="3"/>
      <c r="I84" s="3"/>
    </row>
    <row r="85" spans="1:9" x14ac:dyDescent="0.25">
      <c r="F85" s="24"/>
    </row>
    <row r="86" spans="1:9" x14ac:dyDescent="0.25">
      <c r="G86" s="39"/>
    </row>
    <row r="87" spans="1:9" x14ac:dyDescent="0.25">
      <c r="B87" s="24"/>
      <c r="G87" s="39"/>
    </row>
    <row r="88" spans="1:9" x14ac:dyDescent="0.25">
      <c r="B88" s="24"/>
      <c r="G88" s="39"/>
    </row>
    <row r="89" spans="1:9" x14ac:dyDescent="0.25">
      <c r="B89" s="24"/>
      <c r="G89" s="39"/>
    </row>
    <row r="90" spans="1:9" x14ac:dyDescent="0.25">
      <c r="B90" s="24"/>
      <c r="G90" s="39"/>
    </row>
    <row r="91" spans="1:9" x14ac:dyDescent="0.25">
      <c r="B91" s="24"/>
      <c r="G91" s="39"/>
    </row>
    <row r="92" spans="1:9" x14ac:dyDescent="0.25">
      <c r="B92" s="24"/>
    </row>
    <row r="93" spans="1:9" x14ac:dyDescent="0.25">
      <c r="B93" s="24"/>
    </row>
    <row r="94" spans="1:9" x14ac:dyDescent="0.25">
      <c r="B94" s="24"/>
    </row>
    <row r="95" spans="1:9" x14ac:dyDescent="0.25">
      <c r="B95" s="24"/>
    </row>
    <row r="96" spans="1:9" x14ac:dyDescent="0.25">
      <c r="B96" s="24"/>
    </row>
    <row r="97" spans="2:4" x14ac:dyDescent="0.25">
      <c r="B97" s="24"/>
    </row>
    <row r="98" spans="2:4" x14ac:dyDescent="0.25">
      <c r="B98" s="24"/>
    </row>
    <row r="99" spans="2:4" x14ac:dyDescent="0.25">
      <c r="B99" s="24"/>
    </row>
    <row r="100" spans="2:4" x14ac:dyDescent="0.25">
      <c r="B100" s="24"/>
    </row>
    <row r="101" spans="2:4" x14ac:dyDescent="0.25">
      <c r="B101" s="24"/>
    </row>
    <row r="102" spans="2:4" x14ac:dyDescent="0.25">
      <c r="B102" s="24"/>
    </row>
    <row r="104" spans="2:4" x14ac:dyDescent="0.25">
      <c r="B104" s="24"/>
    </row>
    <row r="105" spans="2:4" x14ac:dyDescent="0.25">
      <c r="B105" s="24"/>
    </row>
    <row r="106" spans="2:4" x14ac:dyDescent="0.25">
      <c r="B106" s="24"/>
    </row>
    <row r="107" spans="2:4" x14ac:dyDescent="0.25">
      <c r="B107" s="24"/>
    </row>
    <row r="108" spans="2:4" x14ac:dyDescent="0.25">
      <c r="B108" s="24"/>
    </row>
    <row r="109" spans="2:4" x14ac:dyDescent="0.25">
      <c r="B109" s="24"/>
    </row>
    <row r="110" spans="2:4" x14ac:dyDescent="0.25">
      <c r="B110" s="24"/>
    </row>
    <row r="111" spans="2:4" x14ac:dyDescent="0.25">
      <c r="B111" s="24"/>
    </row>
    <row r="112" spans="2:4" x14ac:dyDescent="0.25">
      <c r="B112" s="24"/>
      <c r="C112" s="21"/>
      <c r="D112" s="21"/>
    </row>
    <row r="113" spans="2:2" x14ac:dyDescent="0.25">
      <c r="B113" s="24"/>
    </row>
    <row r="114" spans="2:2" x14ac:dyDescent="0.25">
      <c r="B114" s="24"/>
    </row>
    <row r="115" spans="2:2" x14ac:dyDescent="0.25">
      <c r="B115" s="24"/>
    </row>
    <row r="116" spans="2:2" x14ac:dyDescent="0.25">
      <c r="B116" s="24"/>
    </row>
    <row r="117" spans="2:2" x14ac:dyDescent="0.25">
      <c r="B117" s="24"/>
    </row>
    <row r="118" spans="2:2" x14ac:dyDescent="0.25">
      <c r="B118" s="24"/>
    </row>
    <row r="119" spans="2:2" x14ac:dyDescent="0.25">
      <c r="B119" s="24"/>
    </row>
    <row r="120" spans="2:2" x14ac:dyDescent="0.25">
      <c r="B120" s="24"/>
    </row>
    <row r="121" spans="2:2" x14ac:dyDescent="0.25">
      <c r="B121" s="2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N108"/>
  <sheetViews>
    <sheetView topLeftCell="AB23" zoomScale="80" zoomScaleNormal="80" workbookViewId="0">
      <selection activeCell="AM26" sqref="AM26"/>
    </sheetView>
  </sheetViews>
  <sheetFormatPr baseColWidth="10" defaultRowHeight="15" x14ac:dyDescent="0.25"/>
  <cols>
    <col min="2" max="2" width="17.140625" customWidth="1"/>
    <col min="3" max="3" width="28.140625" bestFit="1" customWidth="1"/>
    <col min="4" max="4" width="41" hidden="1" customWidth="1"/>
    <col min="5" max="8" width="20.140625" hidden="1" customWidth="1"/>
    <col min="9" max="39" width="20.140625" customWidth="1"/>
    <col min="40" max="40" width="13" customWidth="1"/>
  </cols>
  <sheetData>
    <row r="1" spans="1:39" ht="23.25" x14ac:dyDescent="0.35">
      <c r="A1" s="15" t="s">
        <v>151</v>
      </c>
      <c r="C1" s="15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pans="1:39" ht="23.25" x14ac:dyDescent="0.35">
      <c r="A2" s="1"/>
      <c r="C2" s="229"/>
      <c r="E2" s="237">
        <f>Résultats!E1</f>
        <v>4</v>
      </c>
      <c r="F2" s="237">
        <f>Résultats!N1</f>
        <v>13</v>
      </c>
      <c r="G2" s="237">
        <f>F2+3</f>
        <v>16</v>
      </c>
      <c r="H2" s="237">
        <f t="shared" ref="H2:AA2" si="0">G2+1</f>
        <v>17</v>
      </c>
      <c r="I2" s="237">
        <f t="shared" si="0"/>
        <v>18</v>
      </c>
      <c r="J2" s="237">
        <f t="shared" si="0"/>
        <v>19</v>
      </c>
      <c r="K2" s="237">
        <f t="shared" si="0"/>
        <v>20</v>
      </c>
      <c r="L2" s="237">
        <f t="shared" si="0"/>
        <v>21</v>
      </c>
      <c r="M2" s="237">
        <f t="shared" si="0"/>
        <v>22</v>
      </c>
      <c r="N2" s="237">
        <f t="shared" si="0"/>
        <v>23</v>
      </c>
      <c r="O2" s="237">
        <f t="shared" si="0"/>
        <v>24</v>
      </c>
      <c r="P2" s="237">
        <f t="shared" si="0"/>
        <v>25</v>
      </c>
      <c r="Q2" s="237">
        <f t="shared" si="0"/>
        <v>26</v>
      </c>
      <c r="R2" s="237">
        <f t="shared" si="0"/>
        <v>27</v>
      </c>
      <c r="S2" s="237">
        <f t="shared" si="0"/>
        <v>28</v>
      </c>
      <c r="T2" s="237">
        <f t="shared" si="0"/>
        <v>29</v>
      </c>
      <c r="U2" s="237">
        <f t="shared" si="0"/>
        <v>30</v>
      </c>
      <c r="V2" s="237">
        <f t="shared" si="0"/>
        <v>31</v>
      </c>
      <c r="W2" s="237">
        <f t="shared" si="0"/>
        <v>32</v>
      </c>
      <c r="X2" s="237">
        <f>S2+5</f>
        <v>33</v>
      </c>
      <c r="Y2" s="237">
        <f t="shared" si="0"/>
        <v>34</v>
      </c>
      <c r="Z2" s="237">
        <f t="shared" ref="Z2" si="1">U2+5</f>
        <v>35</v>
      </c>
      <c r="AA2" s="237">
        <f t="shared" si="0"/>
        <v>36</v>
      </c>
      <c r="AB2" s="237">
        <f t="shared" ref="AB2" si="2">W2+5</f>
        <v>37</v>
      </c>
      <c r="AC2" s="237">
        <f>X2+5</f>
        <v>38</v>
      </c>
      <c r="AD2" s="237">
        <f t="shared" ref="AD2:AG2" si="3">Y2+5</f>
        <v>39</v>
      </c>
      <c r="AE2" s="237">
        <f t="shared" si="3"/>
        <v>40</v>
      </c>
      <c r="AF2" s="237">
        <f t="shared" si="3"/>
        <v>41</v>
      </c>
      <c r="AG2" s="237">
        <f t="shared" si="3"/>
        <v>42</v>
      </c>
      <c r="AH2" s="237">
        <f>AC2+5</f>
        <v>43</v>
      </c>
      <c r="AI2" s="237">
        <f t="shared" ref="AI2:AL2" si="4">AD2+5</f>
        <v>44</v>
      </c>
      <c r="AJ2" s="237">
        <f t="shared" si="4"/>
        <v>45</v>
      </c>
      <c r="AK2" s="237">
        <f t="shared" si="4"/>
        <v>46</v>
      </c>
      <c r="AL2" s="237">
        <f t="shared" si="4"/>
        <v>47</v>
      </c>
      <c r="AM2" s="237">
        <f>AH2+5</f>
        <v>48</v>
      </c>
    </row>
    <row r="3" spans="1:39" ht="23.25" x14ac:dyDescent="0.35">
      <c r="B3" s="1"/>
      <c r="C3" s="228"/>
      <c r="D3" s="174"/>
      <c r="E3" s="117">
        <v>2006</v>
      </c>
      <c r="F3" s="117">
        <v>2015</v>
      </c>
      <c r="G3" s="117">
        <v>2018</v>
      </c>
      <c r="H3" s="117">
        <v>2019</v>
      </c>
      <c r="I3" s="117">
        <v>2020</v>
      </c>
      <c r="J3" s="26">
        <v>2021</v>
      </c>
      <c r="K3" s="4">
        <v>2022</v>
      </c>
      <c r="L3" s="4">
        <v>2023</v>
      </c>
      <c r="M3" s="4">
        <v>2024</v>
      </c>
      <c r="N3" s="117">
        <v>2025</v>
      </c>
      <c r="O3" s="26">
        <v>2026</v>
      </c>
      <c r="P3" s="4">
        <v>2027</v>
      </c>
      <c r="Q3" s="4">
        <v>2028</v>
      </c>
      <c r="R3" s="4">
        <v>2029</v>
      </c>
      <c r="S3" s="117">
        <v>2030</v>
      </c>
      <c r="T3" s="4">
        <v>2031</v>
      </c>
      <c r="U3" s="117">
        <v>2032</v>
      </c>
      <c r="V3" s="4">
        <v>2033</v>
      </c>
      <c r="W3" s="117">
        <v>2034</v>
      </c>
      <c r="X3" s="4">
        <v>2035</v>
      </c>
      <c r="Y3" s="117">
        <v>2036</v>
      </c>
      <c r="Z3" s="4">
        <v>2037</v>
      </c>
      <c r="AA3" s="117">
        <v>2038</v>
      </c>
      <c r="AB3" s="4">
        <v>2039</v>
      </c>
      <c r="AC3" s="118">
        <v>2040</v>
      </c>
      <c r="AD3" s="4">
        <v>2041</v>
      </c>
      <c r="AE3" s="118">
        <v>2042</v>
      </c>
      <c r="AF3" s="4">
        <v>2043</v>
      </c>
      <c r="AG3" s="118">
        <v>2044</v>
      </c>
      <c r="AH3" s="4">
        <v>2045</v>
      </c>
      <c r="AI3" s="118">
        <v>2046</v>
      </c>
      <c r="AJ3" s="4">
        <v>2047</v>
      </c>
      <c r="AK3" s="118">
        <v>2048</v>
      </c>
      <c r="AL3" s="4">
        <v>2049</v>
      </c>
      <c r="AM3" s="118">
        <v>2050</v>
      </c>
    </row>
    <row r="4" spans="1:39" x14ac:dyDescent="0.25">
      <c r="A4" s="180" t="str">
        <f>Résultats!B1</f>
        <v>TEND</v>
      </c>
      <c r="C4" s="230" t="s">
        <v>153</v>
      </c>
      <c r="D4" s="82" t="s">
        <v>45</v>
      </c>
      <c r="E4" s="83" t="e">
        <f t="shared" ref="E4:F4" si="5">E44</f>
        <v>#N/A</v>
      </c>
      <c r="F4" s="83" t="e">
        <f t="shared" si="5"/>
        <v>#N/A</v>
      </c>
      <c r="G4" s="83" t="e">
        <f>G44</f>
        <v>#N/A</v>
      </c>
      <c r="H4" s="83" t="e">
        <f t="shared" ref="H4:AM4" si="6">H44</f>
        <v>#N/A</v>
      </c>
      <c r="I4" s="83" t="e">
        <f t="shared" si="6"/>
        <v>#N/A</v>
      </c>
      <c r="J4" s="83" t="e">
        <f t="shared" si="6"/>
        <v>#N/A</v>
      </c>
      <c r="K4" s="83" t="e">
        <f t="shared" si="6"/>
        <v>#N/A</v>
      </c>
      <c r="L4" s="83" t="e">
        <f t="shared" si="6"/>
        <v>#N/A</v>
      </c>
      <c r="M4" s="83" t="e">
        <f t="shared" si="6"/>
        <v>#N/A</v>
      </c>
      <c r="N4" s="83" t="e">
        <f t="shared" si="6"/>
        <v>#N/A</v>
      </c>
      <c r="O4" s="83" t="e">
        <f t="shared" si="6"/>
        <v>#N/A</v>
      </c>
      <c r="P4" s="83" t="e">
        <f t="shared" si="6"/>
        <v>#N/A</v>
      </c>
      <c r="Q4" s="83" t="e">
        <f t="shared" si="6"/>
        <v>#N/A</v>
      </c>
      <c r="R4" s="83" t="e">
        <f t="shared" si="6"/>
        <v>#N/A</v>
      </c>
      <c r="S4" s="83" t="e">
        <f t="shared" si="6"/>
        <v>#N/A</v>
      </c>
      <c r="T4" s="83" t="e">
        <f t="shared" si="6"/>
        <v>#N/A</v>
      </c>
      <c r="U4" s="83" t="e">
        <f t="shared" si="6"/>
        <v>#N/A</v>
      </c>
      <c r="V4" s="83" t="e">
        <f t="shared" si="6"/>
        <v>#N/A</v>
      </c>
      <c r="W4" s="83" t="e">
        <f t="shared" si="6"/>
        <v>#N/A</v>
      </c>
      <c r="X4" s="83" t="e">
        <f t="shared" si="6"/>
        <v>#N/A</v>
      </c>
      <c r="Y4" s="83" t="e">
        <f t="shared" si="6"/>
        <v>#N/A</v>
      </c>
      <c r="Z4" s="83" t="e">
        <f t="shared" si="6"/>
        <v>#N/A</v>
      </c>
      <c r="AA4" s="83" t="e">
        <f t="shared" si="6"/>
        <v>#N/A</v>
      </c>
      <c r="AB4" s="83" t="e">
        <f t="shared" si="6"/>
        <v>#N/A</v>
      </c>
      <c r="AC4" s="83" t="e">
        <f t="shared" si="6"/>
        <v>#N/A</v>
      </c>
      <c r="AD4" s="83" t="e">
        <f t="shared" si="6"/>
        <v>#N/A</v>
      </c>
      <c r="AE4" s="83" t="e">
        <f t="shared" si="6"/>
        <v>#N/A</v>
      </c>
      <c r="AF4" s="83" t="e">
        <f t="shared" si="6"/>
        <v>#N/A</v>
      </c>
      <c r="AG4" s="83" t="e">
        <f t="shared" si="6"/>
        <v>#N/A</v>
      </c>
      <c r="AH4" s="83" t="e">
        <f t="shared" si="6"/>
        <v>#N/A</v>
      </c>
      <c r="AI4" s="83" t="e">
        <f t="shared" si="6"/>
        <v>#N/A</v>
      </c>
      <c r="AJ4" s="83" t="e">
        <f t="shared" si="6"/>
        <v>#N/A</v>
      </c>
      <c r="AK4" s="83" t="e">
        <f t="shared" si="6"/>
        <v>#N/A</v>
      </c>
      <c r="AL4" s="83" t="e">
        <f t="shared" si="6"/>
        <v>#N/A</v>
      </c>
      <c r="AM4" s="128" t="e">
        <f t="shared" si="6"/>
        <v>#N/A</v>
      </c>
    </row>
    <row r="5" spans="1:39" x14ac:dyDescent="0.25">
      <c r="C5" s="230" t="s">
        <v>154</v>
      </c>
      <c r="D5" s="82" t="s">
        <v>158</v>
      </c>
      <c r="E5" s="183"/>
      <c r="F5" s="183"/>
      <c r="G5" s="183" t="e">
        <f t="shared" ref="G5:AM5" si="7">G4/1000</f>
        <v>#N/A</v>
      </c>
      <c r="H5" s="183" t="e">
        <f t="shared" si="7"/>
        <v>#N/A</v>
      </c>
      <c r="I5" s="183" t="e">
        <f t="shared" si="7"/>
        <v>#N/A</v>
      </c>
      <c r="J5" s="183" t="e">
        <f t="shared" si="7"/>
        <v>#N/A</v>
      </c>
      <c r="K5" s="183" t="e">
        <f t="shared" si="7"/>
        <v>#N/A</v>
      </c>
      <c r="L5" s="183" t="e">
        <f t="shared" si="7"/>
        <v>#N/A</v>
      </c>
      <c r="M5" s="183" t="e">
        <f t="shared" si="7"/>
        <v>#N/A</v>
      </c>
      <c r="N5" s="183" t="e">
        <f t="shared" si="7"/>
        <v>#N/A</v>
      </c>
      <c r="O5" s="183" t="e">
        <f t="shared" si="7"/>
        <v>#N/A</v>
      </c>
      <c r="P5" s="183" t="e">
        <f t="shared" si="7"/>
        <v>#N/A</v>
      </c>
      <c r="Q5" s="183" t="e">
        <f t="shared" si="7"/>
        <v>#N/A</v>
      </c>
      <c r="R5" s="183" t="e">
        <f t="shared" si="7"/>
        <v>#N/A</v>
      </c>
      <c r="S5" s="183" t="e">
        <f t="shared" si="7"/>
        <v>#N/A</v>
      </c>
      <c r="T5" s="183" t="e">
        <f t="shared" si="7"/>
        <v>#N/A</v>
      </c>
      <c r="U5" s="183" t="e">
        <f t="shared" si="7"/>
        <v>#N/A</v>
      </c>
      <c r="V5" s="183" t="e">
        <f t="shared" si="7"/>
        <v>#N/A</v>
      </c>
      <c r="W5" s="183" t="e">
        <f t="shared" si="7"/>
        <v>#N/A</v>
      </c>
      <c r="X5" s="183" t="e">
        <f t="shared" si="7"/>
        <v>#N/A</v>
      </c>
      <c r="Y5" s="183" t="e">
        <f t="shared" si="7"/>
        <v>#N/A</v>
      </c>
      <c r="Z5" s="183" t="e">
        <f t="shared" si="7"/>
        <v>#N/A</v>
      </c>
      <c r="AA5" s="183" t="e">
        <f t="shared" si="7"/>
        <v>#N/A</v>
      </c>
      <c r="AB5" s="183" t="e">
        <f t="shared" si="7"/>
        <v>#N/A</v>
      </c>
      <c r="AC5" s="183" t="e">
        <f t="shared" si="7"/>
        <v>#N/A</v>
      </c>
      <c r="AD5" s="183" t="e">
        <f t="shared" si="7"/>
        <v>#N/A</v>
      </c>
      <c r="AE5" s="183" t="e">
        <f t="shared" si="7"/>
        <v>#N/A</v>
      </c>
      <c r="AF5" s="183" t="e">
        <f t="shared" si="7"/>
        <v>#N/A</v>
      </c>
      <c r="AG5" s="183" t="e">
        <f t="shared" si="7"/>
        <v>#N/A</v>
      </c>
      <c r="AH5" s="183" t="e">
        <f t="shared" si="7"/>
        <v>#N/A</v>
      </c>
      <c r="AI5" s="183" t="e">
        <f t="shared" si="7"/>
        <v>#N/A</v>
      </c>
      <c r="AJ5" s="183" t="e">
        <f t="shared" si="7"/>
        <v>#N/A</v>
      </c>
      <c r="AK5" s="183" t="e">
        <f t="shared" si="7"/>
        <v>#N/A</v>
      </c>
      <c r="AL5" s="183" t="e">
        <f t="shared" si="7"/>
        <v>#N/A</v>
      </c>
      <c r="AM5" s="231" t="e">
        <f t="shared" si="7"/>
        <v>#N/A</v>
      </c>
    </row>
    <row r="6" spans="1:39" x14ac:dyDescent="0.25">
      <c r="C6" s="186" t="s">
        <v>155</v>
      </c>
      <c r="D6" s="3" t="s">
        <v>159</v>
      </c>
      <c r="E6" s="184"/>
      <c r="F6" s="184"/>
      <c r="G6" s="184" t="e">
        <f>G93</f>
        <v>#N/A</v>
      </c>
      <c r="H6" s="184" t="e">
        <f t="shared" ref="H6:AM6" si="8">H93</f>
        <v>#N/A</v>
      </c>
      <c r="I6" s="184" t="e">
        <f t="shared" si="8"/>
        <v>#N/A</v>
      </c>
      <c r="J6" s="184" t="e">
        <f t="shared" si="8"/>
        <v>#N/A</v>
      </c>
      <c r="K6" s="184" t="e">
        <f t="shared" si="8"/>
        <v>#N/A</v>
      </c>
      <c r="L6" s="184" t="e">
        <f t="shared" si="8"/>
        <v>#N/A</v>
      </c>
      <c r="M6" s="184" t="e">
        <f t="shared" si="8"/>
        <v>#N/A</v>
      </c>
      <c r="N6" s="184" t="e">
        <f t="shared" si="8"/>
        <v>#N/A</v>
      </c>
      <c r="O6" s="184" t="e">
        <f t="shared" si="8"/>
        <v>#N/A</v>
      </c>
      <c r="P6" s="184" t="e">
        <f t="shared" si="8"/>
        <v>#N/A</v>
      </c>
      <c r="Q6" s="184" t="e">
        <f t="shared" si="8"/>
        <v>#N/A</v>
      </c>
      <c r="R6" s="184" t="e">
        <f t="shared" si="8"/>
        <v>#N/A</v>
      </c>
      <c r="S6" s="184" t="e">
        <f t="shared" si="8"/>
        <v>#N/A</v>
      </c>
      <c r="T6" s="184" t="e">
        <f t="shared" si="8"/>
        <v>#N/A</v>
      </c>
      <c r="U6" s="184" t="e">
        <f t="shared" si="8"/>
        <v>#N/A</v>
      </c>
      <c r="V6" s="184" t="e">
        <f t="shared" si="8"/>
        <v>#N/A</v>
      </c>
      <c r="W6" s="184" t="e">
        <f t="shared" si="8"/>
        <v>#N/A</v>
      </c>
      <c r="X6" s="184" t="e">
        <f t="shared" si="8"/>
        <v>#N/A</v>
      </c>
      <c r="Y6" s="184" t="e">
        <f t="shared" si="8"/>
        <v>#N/A</v>
      </c>
      <c r="Z6" s="184" t="e">
        <f t="shared" si="8"/>
        <v>#N/A</v>
      </c>
      <c r="AA6" s="184" t="e">
        <f t="shared" si="8"/>
        <v>#N/A</v>
      </c>
      <c r="AB6" s="184" t="e">
        <f t="shared" si="8"/>
        <v>#N/A</v>
      </c>
      <c r="AC6" s="184" t="e">
        <f t="shared" si="8"/>
        <v>#N/A</v>
      </c>
      <c r="AD6" s="184" t="e">
        <f t="shared" si="8"/>
        <v>#N/A</v>
      </c>
      <c r="AE6" s="184" t="e">
        <f t="shared" si="8"/>
        <v>#N/A</v>
      </c>
      <c r="AF6" s="184" t="e">
        <f t="shared" si="8"/>
        <v>#N/A</v>
      </c>
      <c r="AG6" s="184" t="e">
        <f t="shared" si="8"/>
        <v>#N/A</v>
      </c>
      <c r="AH6" s="184" t="e">
        <f t="shared" si="8"/>
        <v>#N/A</v>
      </c>
      <c r="AI6" s="184" t="e">
        <f t="shared" si="8"/>
        <v>#N/A</v>
      </c>
      <c r="AJ6" s="184" t="e">
        <f t="shared" si="8"/>
        <v>#N/A</v>
      </c>
      <c r="AK6" s="184" t="e">
        <f t="shared" si="8"/>
        <v>#N/A</v>
      </c>
      <c r="AL6" s="184" t="e">
        <f t="shared" si="8"/>
        <v>#N/A</v>
      </c>
      <c r="AM6" s="232" t="e">
        <f t="shared" si="8"/>
        <v>#N/A</v>
      </c>
    </row>
    <row r="7" spans="1:39" x14ac:dyDescent="0.25">
      <c r="C7" s="233" t="s">
        <v>160</v>
      </c>
      <c r="D7" s="7" t="s">
        <v>183</v>
      </c>
      <c r="E7" s="234"/>
      <c r="F7" s="234"/>
      <c r="G7" s="234" t="e">
        <f>G101</f>
        <v>#N/A</v>
      </c>
      <c r="H7" s="234" t="e">
        <f t="shared" ref="H7:AM7" si="9">H101</f>
        <v>#N/A</v>
      </c>
      <c r="I7" s="234" t="e">
        <f t="shared" si="9"/>
        <v>#N/A</v>
      </c>
      <c r="J7" s="234" t="e">
        <f t="shared" si="9"/>
        <v>#N/A</v>
      </c>
      <c r="K7" s="234" t="e">
        <f t="shared" si="9"/>
        <v>#N/A</v>
      </c>
      <c r="L7" s="234" t="e">
        <f t="shared" si="9"/>
        <v>#N/A</v>
      </c>
      <c r="M7" s="234" t="e">
        <f t="shared" si="9"/>
        <v>#N/A</v>
      </c>
      <c r="N7" s="234" t="e">
        <f t="shared" si="9"/>
        <v>#N/A</v>
      </c>
      <c r="O7" s="234" t="e">
        <f t="shared" si="9"/>
        <v>#N/A</v>
      </c>
      <c r="P7" s="234" t="e">
        <f t="shared" si="9"/>
        <v>#N/A</v>
      </c>
      <c r="Q7" s="234" t="e">
        <f t="shared" si="9"/>
        <v>#N/A</v>
      </c>
      <c r="R7" s="234" t="e">
        <f t="shared" si="9"/>
        <v>#N/A</v>
      </c>
      <c r="S7" s="234" t="e">
        <f t="shared" si="9"/>
        <v>#N/A</v>
      </c>
      <c r="T7" s="234" t="e">
        <f t="shared" si="9"/>
        <v>#N/A</v>
      </c>
      <c r="U7" s="234" t="e">
        <f t="shared" si="9"/>
        <v>#N/A</v>
      </c>
      <c r="V7" s="234" t="e">
        <f t="shared" si="9"/>
        <v>#N/A</v>
      </c>
      <c r="W7" s="234" t="e">
        <f t="shared" si="9"/>
        <v>#N/A</v>
      </c>
      <c r="X7" s="234" t="e">
        <f t="shared" si="9"/>
        <v>#N/A</v>
      </c>
      <c r="Y7" s="234" t="e">
        <f t="shared" si="9"/>
        <v>#N/A</v>
      </c>
      <c r="Z7" s="234" t="e">
        <f t="shared" si="9"/>
        <v>#N/A</v>
      </c>
      <c r="AA7" s="234" t="e">
        <f t="shared" si="9"/>
        <v>#N/A</v>
      </c>
      <c r="AB7" s="234" t="e">
        <f t="shared" si="9"/>
        <v>#N/A</v>
      </c>
      <c r="AC7" s="234" t="e">
        <f t="shared" si="9"/>
        <v>#N/A</v>
      </c>
      <c r="AD7" s="234" t="e">
        <f t="shared" si="9"/>
        <v>#N/A</v>
      </c>
      <c r="AE7" s="234" t="e">
        <f t="shared" si="9"/>
        <v>#N/A</v>
      </c>
      <c r="AF7" s="234" t="e">
        <f t="shared" si="9"/>
        <v>#N/A</v>
      </c>
      <c r="AG7" s="234" t="e">
        <f t="shared" si="9"/>
        <v>#N/A</v>
      </c>
      <c r="AH7" s="234" t="e">
        <f t="shared" si="9"/>
        <v>#N/A</v>
      </c>
      <c r="AI7" s="234" t="e">
        <f t="shared" si="9"/>
        <v>#N/A</v>
      </c>
      <c r="AJ7" s="234" t="e">
        <f t="shared" si="9"/>
        <v>#N/A</v>
      </c>
      <c r="AK7" s="234" t="e">
        <f t="shared" si="9"/>
        <v>#N/A</v>
      </c>
      <c r="AL7" s="234" t="e">
        <f t="shared" si="9"/>
        <v>#N/A</v>
      </c>
      <c r="AM7" s="235" t="e">
        <f t="shared" si="9"/>
        <v>#N/A</v>
      </c>
    </row>
    <row r="8" spans="1:39" x14ac:dyDescent="0.25">
      <c r="C8" s="181" t="s">
        <v>152</v>
      </c>
      <c r="E8" s="182"/>
      <c r="F8" s="182"/>
      <c r="G8" s="182" t="e">
        <f>SUM(G6:G7)</f>
        <v>#N/A</v>
      </c>
      <c r="H8" s="182" t="e">
        <f t="shared" ref="H8:AM8" si="10">SUM(H6:H7)</f>
        <v>#N/A</v>
      </c>
      <c r="I8" s="182" t="e">
        <f t="shared" si="10"/>
        <v>#N/A</v>
      </c>
      <c r="J8" s="182" t="e">
        <f t="shared" si="10"/>
        <v>#N/A</v>
      </c>
      <c r="K8" s="182" t="e">
        <f t="shared" si="10"/>
        <v>#N/A</v>
      </c>
      <c r="L8" s="182" t="e">
        <f t="shared" si="10"/>
        <v>#N/A</v>
      </c>
      <c r="M8" s="182" t="e">
        <f t="shared" si="10"/>
        <v>#N/A</v>
      </c>
      <c r="N8" s="182" t="e">
        <f t="shared" si="10"/>
        <v>#N/A</v>
      </c>
      <c r="O8" s="182" t="e">
        <f t="shared" si="10"/>
        <v>#N/A</v>
      </c>
      <c r="P8" s="182" t="e">
        <f t="shared" si="10"/>
        <v>#N/A</v>
      </c>
      <c r="Q8" s="182" t="e">
        <f t="shared" si="10"/>
        <v>#N/A</v>
      </c>
      <c r="R8" s="182" t="e">
        <f t="shared" si="10"/>
        <v>#N/A</v>
      </c>
      <c r="S8" s="182" t="e">
        <f t="shared" si="10"/>
        <v>#N/A</v>
      </c>
      <c r="T8" s="182" t="e">
        <f t="shared" si="10"/>
        <v>#N/A</v>
      </c>
      <c r="U8" s="182" t="e">
        <f t="shared" si="10"/>
        <v>#N/A</v>
      </c>
      <c r="V8" s="182" t="e">
        <f t="shared" si="10"/>
        <v>#N/A</v>
      </c>
      <c r="W8" s="182" t="e">
        <f t="shared" si="10"/>
        <v>#N/A</v>
      </c>
      <c r="X8" s="182" t="e">
        <f t="shared" si="10"/>
        <v>#N/A</v>
      </c>
      <c r="Y8" s="182" t="e">
        <f t="shared" si="10"/>
        <v>#N/A</v>
      </c>
      <c r="Z8" s="182" t="e">
        <f t="shared" si="10"/>
        <v>#N/A</v>
      </c>
      <c r="AA8" s="182" t="e">
        <f t="shared" si="10"/>
        <v>#N/A</v>
      </c>
      <c r="AB8" s="182" t="e">
        <f t="shared" si="10"/>
        <v>#N/A</v>
      </c>
      <c r="AC8" s="182" t="e">
        <f t="shared" si="10"/>
        <v>#N/A</v>
      </c>
      <c r="AD8" s="182" t="e">
        <f t="shared" si="10"/>
        <v>#N/A</v>
      </c>
      <c r="AE8" s="182" t="e">
        <f t="shared" si="10"/>
        <v>#N/A</v>
      </c>
      <c r="AF8" s="182" t="e">
        <f t="shared" si="10"/>
        <v>#N/A</v>
      </c>
      <c r="AG8" s="182" t="e">
        <f t="shared" si="10"/>
        <v>#N/A</v>
      </c>
      <c r="AH8" s="182" t="e">
        <f t="shared" si="10"/>
        <v>#N/A</v>
      </c>
      <c r="AI8" s="182" t="e">
        <f t="shared" si="10"/>
        <v>#N/A</v>
      </c>
      <c r="AJ8" s="182" t="e">
        <f t="shared" si="10"/>
        <v>#N/A</v>
      </c>
      <c r="AK8" s="182" t="e">
        <f t="shared" si="10"/>
        <v>#N/A</v>
      </c>
      <c r="AL8" s="182" t="e">
        <f t="shared" si="10"/>
        <v>#N/A</v>
      </c>
      <c r="AM8" s="182" t="e">
        <f t="shared" si="10"/>
        <v>#N/A</v>
      </c>
    </row>
    <row r="12" spans="1:39" x14ac:dyDescent="0.25">
      <c r="C12" s="185"/>
      <c r="E12" s="26"/>
      <c r="F12" s="26"/>
      <c r="G12" s="26"/>
      <c r="H12" s="26"/>
      <c r="I12" s="26">
        <v>2020</v>
      </c>
      <c r="J12" s="118">
        <v>2030</v>
      </c>
      <c r="K12" s="118">
        <v>2050</v>
      </c>
    </row>
    <row r="13" spans="1:39" x14ac:dyDescent="0.25">
      <c r="C13" s="186" t="s">
        <v>155</v>
      </c>
      <c r="E13" s="167"/>
      <c r="F13" s="167"/>
      <c r="G13" s="167"/>
      <c r="H13" s="167"/>
      <c r="I13" s="167" t="e">
        <f>I93</f>
        <v>#N/A</v>
      </c>
      <c r="J13" s="168" t="e">
        <f>S93</f>
        <v>#N/A</v>
      </c>
      <c r="K13" s="168" t="e">
        <f>AM93</f>
        <v>#N/A</v>
      </c>
    </row>
    <row r="14" spans="1:39" x14ac:dyDescent="0.25">
      <c r="C14" s="187" t="s">
        <v>141</v>
      </c>
      <c r="E14" s="188"/>
      <c r="F14" s="188"/>
      <c r="G14" s="188"/>
      <c r="H14" s="188"/>
      <c r="I14" s="188" t="e">
        <f>I93</f>
        <v>#N/A</v>
      </c>
      <c r="J14" s="188" t="e">
        <f>S93</f>
        <v>#N/A</v>
      </c>
      <c r="K14" s="188" t="e">
        <f>AM93</f>
        <v>#N/A</v>
      </c>
    </row>
    <row r="15" spans="1:39" x14ac:dyDescent="0.25">
      <c r="C15" s="186" t="s">
        <v>156</v>
      </c>
      <c r="E15" s="167"/>
      <c r="F15" s="167"/>
      <c r="G15" s="167"/>
      <c r="H15" s="167"/>
      <c r="I15" s="167" t="e">
        <f>I101</f>
        <v>#N/A</v>
      </c>
      <c r="J15" s="167" t="e">
        <f>S101</f>
        <v>#N/A</v>
      </c>
      <c r="K15" s="168" t="e">
        <f>AM101</f>
        <v>#N/A</v>
      </c>
    </row>
    <row r="16" spans="1:39" x14ac:dyDescent="0.25">
      <c r="C16" s="187" t="s">
        <v>138</v>
      </c>
      <c r="E16" s="189"/>
      <c r="F16" s="189"/>
      <c r="G16" s="189"/>
      <c r="H16" s="189"/>
      <c r="I16" s="189" t="e">
        <f>I102+I103</f>
        <v>#N/A</v>
      </c>
      <c r="J16" s="189" t="e">
        <f>S102+S103</f>
        <v>#N/A</v>
      </c>
      <c r="K16" s="189" t="e">
        <f>AM102+AM103</f>
        <v>#N/A</v>
      </c>
    </row>
    <row r="17" spans="1:39" x14ac:dyDescent="0.25">
      <c r="C17" s="190" t="s">
        <v>139</v>
      </c>
      <c r="E17" s="188"/>
      <c r="F17" s="188"/>
      <c r="G17" s="188"/>
      <c r="H17" s="188"/>
      <c r="I17" s="188" t="e">
        <f>I104+I105+I106</f>
        <v>#N/A</v>
      </c>
      <c r="J17" s="188" t="e">
        <f>S104+S105+S106</f>
        <v>#N/A</v>
      </c>
      <c r="K17" s="188" t="e">
        <f>AM104+AM105+AM106</f>
        <v>#N/A</v>
      </c>
    </row>
    <row r="18" spans="1:39" x14ac:dyDescent="0.25">
      <c r="C18" s="190" t="s">
        <v>140</v>
      </c>
      <c r="E18" s="188"/>
      <c r="F18" s="188"/>
      <c r="G18" s="188"/>
      <c r="H18" s="188"/>
      <c r="I18" s="188" t="e">
        <f>I107+I108</f>
        <v>#N/A</v>
      </c>
      <c r="J18" s="188" t="e">
        <f>S107+S108</f>
        <v>#N/A</v>
      </c>
      <c r="K18" s="188" t="e">
        <f>AM107+AM108</f>
        <v>#N/A</v>
      </c>
    </row>
    <row r="19" spans="1:39" x14ac:dyDescent="0.25">
      <c r="C19" s="191" t="s">
        <v>152</v>
      </c>
      <c r="E19" s="192"/>
      <c r="F19" s="192"/>
      <c r="G19" s="192"/>
      <c r="H19" s="192"/>
      <c r="I19" s="192" t="e">
        <f>SUM(I16:I18)</f>
        <v>#N/A</v>
      </c>
      <c r="J19" s="192" t="e">
        <f>SUM(J16:J18)</f>
        <v>#N/A</v>
      </c>
      <c r="K19" s="192" t="e">
        <f>SUM(K16:K18)</f>
        <v>#N/A</v>
      </c>
    </row>
    <row r="23" spans="1:39" ht="23.25" x14ac:dyDescent="0.35">
      <c r="B23" s="1"/>
      <c r="C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 ht="23.25" x14ac:dyDescent="0.35">
      <c r="A24" s="15" t="s">
        <v>161</v>
      </c>
      <c r="C24" s="15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 x14ac:dyDescent="0.25">
      <c r="C25" s="12"/>
      <c r="D25" s="12"/>
      <c r="E25" s="117">
        <v>2006</v>
      </c>
      <c r="F25" s="117">
        <v>2015</v>
      </c>
      <c r="G25" s="117">
        <v>2018</v>
      </c>
      <c r="H25" s="117">
        <v>2019</v>
      </c>
      <c r="I25" s="117">
        <v>2020</v>
      </c>
      <c r="J25" s="26">
        <v>2021</v>
      </c>
      <c r="K25" s="4">
        <v>2022</v>
      </c>
      <c r="L25" s="4">
        <v>2023</v>
      </c>
      <c r="M25" s="4">
        <v>2024</v>
      </c>
      <c r="N25" s="117">
        <v>2025</v>
      </c>
      <c r="O25" s="26">
        <v>2026</v>
      </c>
      <c r="P25" s="4">
        <v>2027</v>
      </c>
      <c r="Q25" s="4">
        <v>2028</v>
      </c>
      <c r="R25" s="4">
        <v>2029</v>
      </c>
      <c r="S25" s="117">
        <v>2030</v>
      </c>
      <c r="T25" s="4">
        <v>2031</v>
      </c>
      <c r="U25" s="117">
        <v>2032</v>
      </c>
      <c r="V25" s="4">
        <v>2033</v>
      </c>
      <c r="W25" s="117">
        <v>2034</v>
      </c>
      <c r="X25" s="4">
        <v>2035</v>
      </c>
      <c r="Y25" s="117">
        <v>2036</v>
      </c>
      <c r="Z25" s="4">
        <v>2037</v>
      </c>
      <c r="AA25" s="117">
        <v>2038</v>
      </c>
      <c r="AB25" s="4">
        <v>2039</v>
      </c>
      <c r="AC25" s="118">
        <v>2040</v>
      </c>
      <c r="AD25" s="4"/>
      <c r="AE25" s="4"/>
      <c r="AF25" s="4"/>
      <c r="AG25" s="4"/>
      <c r="AH25" s="4">
        <v>2045</v>
      </c>
      <c r="AI25" s="4"/>
      <c r="AJ25" s="4"/>
      <c r="AK25" s="4"/>
      <c r="AL25" s="4"/>
      <c r="AM25" s="118">
        <v>2050</v>
      </c>
    </row>
    <row r="26" spans="1:39" x14ac:dyDescent="0.25">
      <c r="A26" s="180" t="str">
        <f>Résultats!B1</f>
        <v>TEND</v>
      </c>
      <c r="B26" s="23" t="s">
        <v>162</v>
      </c>
      <c r="C26" s="74" t="s">
        <v>133</v>
      </c>
      <c r="D26" s="74" t="s">
        <v>64</v>
      </c>
      <c r="E26" s="75" t="e">
        <f>VLOOKUP($D26,Résultats!$B$2:$AZ$251,E$2,FALSE)</f>
        <v>#N/A</v>
      </c>
      <c r="F26" s="75" t="e">
        <f>VLOOKUP($D26,Résultats!$B$2:$AZ$251,F$2,FALSE)</f>
        <v>#N/A</v>
      </c>
      <c r="G26" s="75" t="e">
        <f>VLOOKUP($D26,Résultats!$B$2:$AZ$251,G$2,FALSE)</f>
        <v>#N/A</v>
      </c>
      <c r="H26" s="75" t="e">
        <f>VLOOKUP($D26,Résultats!$B$2:$AZ$251,H$2,FALSE)</f>
        <v>#N/A</v>
      </c>
      <c r="I26" s="75" t="e">
        <f>VLOOKUP($D26,Résultats!$B$2:$AZ$251,I$2,FALSE)</f>
        <v>#N/A</v>
      </c>
      <c r="J26" s="75" t="e">
        <f>VLOOKUP($D26,Résultats!$B$2:$AZ$251,J$2,FALSE)</f>
        <v>#N/A</v>
      </c>
      <c r="K26" s="75" t="e">
        <f>VLOOKUP($D26,Résultats!$B$2:$AZ$251,K$2,FALSE)</f>
        <v>#N/A</v>
      </c>
      <c r="L26" s="75" t="e">
        <f>VLOOKUP($D26,Résultats!$B$2:$AZ$251,L$2,FALSE)</f>
        <v>#N/A</v>
      </c>
      <c r="M26" s="75" t="e">
        <f>VLOOKUP($D26,Résultats!$B$2:$AZ$251,M$2,FALSE)</f>
        <v>#N/A</v>
      </c>
      <c r="N26" s="75" t="e">
        <f>VLOOKUP($D26,Résultats!$B$2:$AZ$251,N$2,FALSE)</f>
        <v>#N/A</v>
      </c>
      <c r="O26" s="75" t="e">
        <f>VLOOKUP($D26,Résultats!$B$2:$AZ$251,O$2,FALSE)</f>
        <v>#N/A</v>
      </c>
      <c r="P26" s="75" t="e">
        <f>VLOOKUP($D26,Résultats!$B$2:$AZ$251,P$2,FALSE)</f>
        <v>#N/A</v>
      </c>
      <c r="Q26" s="75" t="e">
        <f>VLOOKUP($D26,Résultats!$B$2:$AZ$251,Q$2,FALSE)</f>
        <v>#N/A</v>
      </c>
      <c r="R26" s="75" t="e">
        <f>VLOOKUP($D26,Résultats!$B$2:$AZ$251,R$2,FALSE)</f>
        <v>#N/A</v>
      </c>
      <c r="S26" s="75" t="e">
        <f>VLOOKUP($D26,Résultats!$B$2:$AZ$251,S$2,FALSE)</f>
        <v>#N/A</v>
      </c>
      <c r="T26" s="75" t="e">
        <f>VLOOKUP($D26,Résultats!$B$2:$AZ$251,T$2,FALSE)</f>
        <v>#N/A</v>
      </c>
      <c r="U26" s="75" t="e">
        <f>VLOOKUP($D26,Résultats!$B$2:$AZ$251,U$2,FALSE)</f>
        <v>#N/A</v>
      </c>
      <c r="V26" s="75" t="e">
        <f>VLOOKUP($D26,Résultats!$B$2:$AZ$251,V$2,FALSE)</f>
        <v>#N/A</v>
      </c>
      <c r="W26" s="75" t="e">
        <f>VLOOKUP($D26,Résultats!$B$2:$AZ$251,W$2,FALSE)</f>
        <v>#N/A</v>
      </c>
      <c r="X26" s="75" t="e">
        <f>VLOOKUP($D26,Résultats!$B$2:$AZ$251,X$2,FALSE)</f>
        <v>#N/A</v>
      </c>
      <c r="Y26" s="75" t="e">
        <f>VLOOKUP($D26,Résultats!$B$2:$AZ$251,Y$2,FALSE)</f>
        <v>#N/A</v>
      </c>
      <c r="Z26" s="75" t="e">
        <f>VLOOKUP($D26,Résultats!$B$2:$AZ$251,Z$2,FALSE)</f>
        <v>#N/A</v>
      </c>
      <c r="AA26" s="75" t="e">
        <f>VLOOKUP($D26,Résultats!$B$2:$AZ$251,AA$2,FALSE)</f>
        <v>#N/A</v>
      </c>
      <c r="AB26" s="75" t="e">
        <f>VLOOKUP($D26,Résultats!$B$2:$AZ$251,AB$2,FALSE)</f>
        <v>#N/A</v>
      </c>
      <c r="AC26" s="75" t="e">
        <f>VLOOKUP($D26,Résultats!$B$2:$AZ$251,AC$2,FALSE)</f>
        <v>#N/A</v>
      </c>
      <c r="AD26" s="75" t="e">
        <f>VLOOKUP($D26,Résultats!$B$2:$AZ$251,AD$2,FALSE)</f>
        <v>#N/A</v>
      </c>
      <c r="AE26" s="75" t="e">
        <f>VLOOKUP($D26,Résultats!$B$2:$AZ$251,AE$2,FALSE)</f>
        <v>#N/A</v>
      </c>
      <c r="AF26" s="75" t="e">
        <f>VLOOKUP($D26,Résultats!$B$2:$AZ$251,AF$2,FALSE)</f>
        <v>#N/A</v>
      </c>
      <c r="AG26" s="75" t="e">
        <f>VLOOKUP($D26,Résultats!$B$2:$AZ$251,AG$2,FALSE)</f>
        <v>#N/A</v>
      </c>
      <c r="AH26" s="75" t="e">
        <f>VLOOKUP($D26,Résultats!$B$2:$AZ$251,AH$2,FALSE)</f>
        <v>#N/A</v>
      </c>
      <c r="AI26" s="75" t="e">
        <f>VLOOKUP($D26,Résultats!$B$2:$AZ$251,AI$2,FALSE)</f>
        <v>#N/A</v>
      </c>
      <c r="AJ26" s="75" t="e">
        <f>VLOOKUP($D26,Résultats!$B$2:$AZ$251,AJ$2,FALSE)</f>
        <v>#N/A</v>
      </c>
      <c r="AK26" s="75" t="e">
        <f>VLOOKUP($D26,Résultats!$B$2:$AZ$251,AK$2,FALSE)</f>
        <v>#N/A</v>
      </c>
      <c r="AL26" s="75" t="e">
        <f>VLOOKUP($D26,Résultats!$B$2:$AZ$251,AL$2,FALSE)</f>
        <v>#N/A</v>
      </c>
      <c r="AM26" s="75" t="e">
        <f>VLOOKUP($D26,Résultats!$B$2:$AZ$251,AM$2,FALSE)</f>
        <v>#N/A</v>
      </c>
    </row>
    <row r="27" spans="1:39" x14ac:dyDescent="0.25">
      <c r="C27" s="76" t="s">
        <v>94</v>
      </c>
      <c r="D27" s="76" t="s">
        <v>73</v>
      </c>
      <c r="E27" s="77" t="e">
        <f>VLOOKUP($D27,Résultats!$B$2:$AZ$251,E$2,FALSE)</f>
        <v>#N/A</v>
      </c>
      <c r="F27" s="77" t="e">
        <f>VLOOKUP($D27,Résultats!$B$2:$AZ$251,F$2,FALSE)</f>
        <v>#N/A</v>
      </c>
      <c r="G27" s="77" t="e">
        <f>VLOOKUP($D27,Résultats!$B$2:$AZ$251,G$2,FALSE)</f>
        <v>#N/A</v>
      </c>
      <c r="H27" s="77" t="e">
        <f>VLOOKUP($D27,Résultats!$B$2:$AZ$251,H$2,FALSE)</f>
        <v>#N/A</v>
      </c>
      <c r="I27" s="77" t="e">
        <f>VLOOKUP($D27,Résultats!$B$2:$AZ$251,I$2,FALSE)</f>
        <v>#N/A</v>
      </c>
      <c r="J27" s="77" t="e">
        <f>VLOOKUP($D27,Résultats!$B$2:$AZ$251,J$2,FALSE)</f>
        <v>#N/A</v>
      </c>
      <c r="K27" s="77" t="e">
        <f>VLOOKUP($D27,Résultats!$B$2:$AZ$251,K$2,FALSE)</f>
        <v>#N/A</v>
      </c>
      <c r="L27" s="77" t="e">
        <f>VLOOKUP($D27,Résultats!$B$2:$AZ$251,L$2,FALSE)</f>
        <v>#N/A</v>
      </c>
      <c r="M27" s="77" t="e">
        <f>VLOOKUP($D27,Résultats!$B$2:$AZ$251,M$2,FALSE)</f>
        <v>#N/A</v>
      </c>
      <c r="N27" s="77" t="e">
        <f>VLOOKUP($D27,Résultats!$B$2:$AZ$251,N$2,FALSE)</f>
        <v>#N/A</v>
      </c>
      <c r="O27" s="77" t="e">
        <f>VLOOKUP($D27,Résultats!$B$2:$AZ$251,O$2,FALSE)</f>
        <v>#N/A</v>
      </c>
      <c r="P27" s="77" t="e">
        <f>VLOOKUP($D27,Résultats!$B$2:$AZ$251,P$2,FALSE)</f>
        <v>#N/A</v>
      </c>
      <c r="Q27" s="77" t="e">
        <f>VLOOKUP($D27,Résultats!$B$2:$AZ$251,Q$2,FALSE)</f>
        <v>#N/A</v>
      </c>
      <c r="R27" s="77" t="e">
        <f>VLOOKUP($D27,Résultats!$B$2:$AZ$251,R$2,FALSE)</f>
        <v>#N/A</v>
      </c>
      <c r="S27" s="77" t="e">
        <f>VLOOKUP($D27,Résultats!$B$2:$AZ$251,S$2,FALSE)</f>
        <v>#N/A</v>
      </c>
      <c r="T27" s="77" t="e">
        <f>VLOOKUP($D27,Résultats!$B$2:$AZ$251,T$2,FALSE)</f>
        <v>#N/A</v>
      </c>
      <c r="U27" s="77" t="e">
        <f>VLOOKUP($D27,Résultats!$B$2:$AZ$251,U$2,FALSE)</f>
        <v>#N/A</v>
      </c>
      <c r="V27" s="77" t="e">
        <f>VLOOKUP($D27,Résultats!$B$2:$AZ$251,V$2,FALSE)</f>
        <v>#N/A</v>
      </c>
      <c r="W27" s="77" t="e">
        <f>VLOOKUP($D27,Résultats!$B$2:$AZ$251,W$2,FALSE)</f>
        <v>#N/A</v>
      </c>
      <c r="X27" s="77" t="e">
        <f>VLOOKUP($D27,Résultats!$B$2:$AZ$251,X$2,FALSE)</f>
        <v>#N/A</v>
      </c>
      <c r="Y27" s="77" t="e">
        <f>VLOOKUP($D27,Résultats!$B$2:$AZ$251,Y$2,FALSE)</f>
        <v>#N/A</v>
      </c>
      <c r="Z27" s="77" t="e">
        <f>VLOOKUP($D27,Résultats!$B$2:$AZ$251,Z$2,FALSE)</f>
        <v>#N/A</v>
      </c>
      <c r="AA27" s="77" t="e">
        <f>VLOOKUP($D27,Résultats!$B$2:$AZ$251,AA$2,FALSE)</f>
        <v>#N/A</v>
      </c>
      <c r="AB27" s="77" t="e">
        <f>VLOOKUP($D27,Résultats!$B$2:$AZ$251,AB$2,FALSE)</f>
        <v>#N/A</v>
      </c>
      <c r="AC27" s="77" t="e">
        <f>VLOOKUP($D27,Résultats!$B$2:$AZ$251,AC$2,FALSE)</f>
        <v>#N/A</v>
      </c>
      <c r="AD27" s="77" t="e">
        <f>VLOOKUP($D27,Résultats!$B$2:$AZ$251,AD$2,FALSE)</f>
        <v>#N/A</v>
      </c>
      <c r="AE27" s="77" t="e">
        <f>VLOOKUP($D27,Résultats!$B$2:$AZ$251,AE$2,FALSE)</f>
        <v>#N/A</v>
      </c>
      <c r="AF27" s="77" t="e">
        <f>VLOOKUP($D27,Résultats!$B$2:$AZ$251,AF$2,FALSE)</f>
        <v>#N/A</v>
      </c>
      <c r="AG27" s="77" t="e">
        <f>VLOOKUP($D27,Résultats!$B$2:$AZ$251,AG$2,FALSE)</f>
        <v>#N/A</v>
      </c>
      <c r="AH27" s="77" t="e">
        <f>VLOOKUP($D27,Résultats!$B$2:$AZ$251,AH$2,FALSE)</f>
        <v>#N/A</v>
      </c>
      <c r="AI27" s="77" t="e">
        <f>VLOOKUP($D27,Résultats!$B$2:$AZ$251,AI$2,FALSE)</f>
        <v>#N/A</v>
      </c>
      <c r="AJ27" s="77" t="e">
        <f>VLOOKUP($D27,Résultats!$B$2:$AZ$251,AJ$2,FALSE)</f>
        <v>#N/A</v>
      </c>
      <c r="AK27" s="77" t="e">
        <f>VLOOKUP($D27,Résultats!$B$2:$AZ$251,AK$2,FALSE)</f>
        <v>#N/A</v>
      </c>
      <c r="AL27" s="77" t="e">
        <f>VLOOKUP($D27,Résultats!$B$2:$AZ$251,AL$2,FALSE)</f>
        <v>#N/A</v>
      </c>
      <c r="AM27" s="77" t="e">
        <f>VLOOKUP($D27,Résultats!$B$2:$AZ$251,AM$2,FALSE)</f>
        <v>#N/A</v>
      </c>
    </row>
    <row r="28" spans="1:39" x14ac:dyDescent="0.25">
      <c r="C28" s="56" t="s">
        <v>27</v>
      </c>
      <c r="D28" s="78" t="s">
        <v>74</v>
      </c>
      <c r="E28" s="31" t="e">
        <f>VLOOKUP($D28,Résultats!$B$2:$AZ$251,E$2,FALSE)</f>
        <v>#N/A</v>
      </c>
      <c r="F28" s="31" t="e">
        <f>VLOOKUP($D28,Résultats!$B$2:$AZ$251,F$2,FALSE)</f>
        <v>#N/A</v>
      </c>
      <c r="G28" s="31" t="e">
        <f>VLOOKUP($D28,Résultats!$B$2:$AZ$251,G$2,FALSE)</f>
        <v>#N/A</v>
      </c>
      <c r="H28" s="31" t="e">
        <f>VLOOKUP($D28,Résultats!$B$2:$AZ$251,H$2,FALSE)</f>
        <v>#N/A</v>
      </c>
      <c r="I28" s="31" t="e">
        <f>VLOOKUP($D28,Résultats!$B$2:$AZ$251,I$2,FALSE)</f>
        <v>#N/A</v>
      </c>
      <c r="J28" s="31" t="e">
        <f>VLOOKUP($D28,Résultats!$B$2:$AZ$251,J$2,FALSE)</f>
        <v>#N/A</v>
      </c>
      <c r="K28" s="31" t="e">
        <f>VLOOKUP($D28,Résultats!$B$2:$AZ$251,K$2,FALSE)</f>
        <v>#N/A</v>
      </c>
      <c r="L28" s="31" t="e">
        <f>VLOOKUP($D28,Résultats!$B$2:$AZ$251,L$2,FALSE)</f>
        <v>#N/A</v>
      </c>
      <c r="M28" s="31" t="e">
        <f>VLOOKUP($D28,Résultats!$B$2:$AZ$251,M$2,FALSE)</f>
        <v>#N/A</v>
      </c>
      <c r="N28" s="31" t="e">
        <f>VLOOKUP($D28,Résultats!$B$2:$AZ$251,N$2,FALSE)</f>
        <v>#N/A</v>
      </c>
      <c r="O28" s="31" t="e">
        <f>VLOOKUP($D28,Résultats!$B$2:$AZ$251,O$2,FALSE)</f>
        <v>#N/A</v>
      </c>
      <c r="P28" s="31" t="e">
        <f>VLOOKUP($D28,Résultats!$B$2:$AZ$251,P$2,FALSE)</f>
        <v>#N/A</v>
      </c>
      <c r="Q28" s="31" t="e">
        <f>VLOOKUP($D28,Résultats!$B$2:$AZ$251,Q$2,FALSE)</f>
        <v>#N/A</v>
      </c>
      <c r="R28" s="31" t="e">
        <f>VLOOKUP($D28,Résultats!$B$2:$AZ$251,R$2,FALSE)</f>
        <v>#N/A</v>
      </c>
      <c r="S28" s="31" t="e">
        <f>VLOOKUP($D28,Résultats!$B$2:$AZ$251,S$2,FALSE)</f>
        <v>#N/A</v>
      </c>
      <c r="T28" s="31" t="e">
        <f>VLOOKUP($D28,Résultats!$B$2:$AZ$251,T$2,FALSE)</f>
        <v>#N/A</v>
      </c>
      <c r="U28" s="31" t="e">
        <f>VLOOKUP($D28,Résultats!$B$2:$AZ$251,U$2,FALSE)</f>
        <v>#N/A</v>
      </c>
      <c r="V28" s="31" t="e">
        <f>VLOOKUP($D28,Résultats!$B$2:$AZ$251,V$2,FALSE)</f>
        <v>#N/A</v>
      </c>
      <c r="W28" s="31" t="e">
        <f>VLOOKUP($D28,Résultats!$B$2:$AZ$251,W$2,FALSE)</f>
        <v>#N/A</v>
      </c>
      <c r="X28" s="31" t="e">
        <f>VLOOKUP($D28,Résultats!$B$2:$AZ$251,X$2,FALSE)</f>
        <v>#N/A</v>
      </c>
      <c r="Y28" s="31" t="e">
        <f>VLOOKUP($D28,Résultats!$B$2:$AZ$251,Y$2,FALSE)</f>
        <v>#N/A</v>
      </c>
      <c r="Z28" s="31" t="e">
        <f>VLOOKUP($D28,Résultats!$B$2:$AZ$251,Z$2,FALSE)</f>
        <v>#N/A</v>
      </c>
      <c r="AA28" s="31" t="e">
        <f>VLOOKUP($D28,Résultats!$B$2:$AZ$251,AA$2,FALSE)</f>
        <v>#N/A</v>
      </c>
      <c r="AB28" s="31" t="e">
        <f>VLOOKUP($D28,Résultats!$B$2:$AZ$251,AB$2,FALSE)</f>
        <v>#N/A</v>
      </c>
      <c r="AC28" s="31" t="e">
        <f>VLOOKUP($D28,Résultats!$B$2:$AZ$251,AC$2,FALSE)</f>
        <v>#N/A</v>
      </c>
      <c r="AD28" s="31" t="e">
        <f>VLOOKUP($D28,Résultats!$B$2:$AZ$251,AD$2,FALSE)</f>
        <v>#N/A</v>
      </c>
      <c r="AE28" s="31" t="e">
        <f>VLOOKUP($D28,Résultats!$B$2:$AZ$251,AE$2,FALSE)</f>
        <v>#N/A</v>
      </c>
      <c r="AF28" s="31" t="e">
        <f>VLOOKUP($D28,Résultats!$B$2:$AZ$251,AF$2,FALSE)</f>
        <v>#N/A</v>
      </c>
      <c r="AG28" s="31" t="e">
        <f>VLOOKUP($D28,Résultats!$B$2:$AZ$251,AG$2,FALSE)</f>
        <v>#N/A</v>
      </c>
      <c r="AH28" s="31" t="e">
        <f>VLOOKUP($D28,Résultats!$B$2:$AZ$251,AH$2,FALSE)</f>
        <v>#N/A</v>
      </c>
      <c r="AI28" s="31" t="e">
        <f>VLOOKUP($D28,Résultats!$B$2:$AZ$251,AI$2,FALSE)</f>
        <v>#N/A</v>
      </c>
      <c r="AJ28" s="31" t="e">
        <f>VLOOKUP($D28,Résultats!$B$2:$AZ$251,AJ$2,FALSE)</f>
        <v>#N/A</v>
      </c>
      <c r="AK28" s="31" t="e">
        <f>VLOOKUP($D28,Résultats!$B$2:$AZ$251,AK$2,FALSE)</f>
        <v>#N/A</v>
      </c>
      <c r="AL28" s="31" t="e">
        <f>VLOOKUP($D28,Résultats!$B$2:$AZ$251,AL$2,FALSE)</f>
        <v>#N/A</v>
      </c>
      <c r="AM28" s="31" t="e">
        <f>VLOOKUP($D28,Résultats!$B$2:$AZ$251,AM$2,FALSE)</f>
        <v>#N/A</v>
      </c>
    </row>
    <row r="29" spans="1:39" x14ac:dyDescent="0.25">
      <c r="C29" s="56" t="s">
        <v>28</v>
      </c>
      <c r="D29" s="78" t="s">
        <v>75</v>
      </c>
      <c r="E29" s="31" t="e">
        <f>VLOOKUP($D29,Résultats!$B$2:$AZ$251,E$2,FALSE)</f>
        <v>#N/A</v>
      </c>
      <c r="F29" s="31" t="e">
        <f>VLOOKUP($D29,Résultats!$B$2:$AZ$251,F$2,FALSE)</f>
        <v>#N/A</v>
      </c>
      <c r="G29" s="31" t="e">
        <f>VLOOKUP($D29,Résultats!$B$2:$AZ$251,G$2,FALSE)</f>
        <v>#N/A</v>
      </c>
      <c r="H29" s="31" t="e">
        <f>VLOOKUP($D29,Résultats!$B$2:$AZ$251,H$2,FALSE)</f>
        <v>#N/A</v>
      </c>
      <c r="I29" s="31" t="e">
        <f>VLOOKUP($D29,Résultats!$B$2:$AZ$251,I$2,FALSE)</f>
        <v>#N/A</v>
      </c>
      <c r="J29" s="31" t="e">
        <f>VLOOKUP($D29,Résultats!$B$2:$AZ$251,J$2,FALSE)</f>
        <v>#N/A</v>
      </c>
      <c r="K29" s="31" t="e">
        <f>VLOOKUP($D29,Résultats!$B$2:$AZ$251,K$2,FALSE)</f>
        <v>#N/A</v>
      </c>
      <c r="L29" s="31" t="e">
        <f>VLOOKUP($D29,Résultats!$B$2:$AZ$251,L$2,FALSE)</f>
        <v>#N/A</v>
      </c>
      <c r="M29" s="31" t="e">
        <f>VLOOKUP($D29,Résultats!$B$2:$AZ$251,M$2,FALSE)</f>
        <v>#N/A</v>
      </c>
      <c r="N29" s="31" t="e">
        <f>VLOOKUP($D29,Résultats!$B$2:$AZ$251,N$2,FALSE)</f>
        <v>#N/A</v>
      </c>
      <c r="O29" s="31" t="e">
        <f>VLOOKUP($D29,Résultats!$B$2:$AZ$251,O$2,FALSE)</f>
        <v>#N/A</v>
      </c>
      <c r="P29" s="31" t="e">
        <f>VLOOKUP($D29,Résultats!$B$2:$AZ$251,P$2,FALSE)</f>
        <v>#N/A</v>
      </c>
      <c r="Q29" s="31" t="e">
        <f>VLOOKUP($D29,Résultats!$B$2:$AZ$251,Q$2,FALSE)</f>
        <v>#N/A</v>
      </c>
      <c r="R29" s="31" t="e">
        <f>VLOOKUP($D29,Résultats!$B$2:$AZ$251,R$2,FALSE)</f>
        <v>#N/A</v>
      </c>
      <c r="S29" s="31" t="e">
        <f>VLOOKUP($D29,Résultats!$B$2:$AZ$251,S$2,FALSE)</f>
        <v>#N/A</v>
      </c>
      <c r="T29" s="31" t="e">
        <f>VLOOKUP($D29,Résultats!$B$2:$AZ$251,T$2,FALSE)</f>
        <v>#N/A</v>
      </c>
      <c r="U29" s="31" t="e">
        <f>VLOOKUP($D29,Résultats!$B$2:$AZ$251,U$2,FALSE)</f>
        <v>#N/A</v>
      </c>
      <c r="V29" s="31" t="e">
        <f>VLOOKUP($D29,Résultats!$B$2:$AZ$251,V$2,FALSE)</f>
        <v>#N/A</v>
      </c>
      <c r="W29" s="31" t="e">
        <f>VLOOKUP($D29,Résultats!$B$2:$AZ$251,W$2,FALSE)</f>
        <v>#N/A</v>
      </c>
      <c r="X29" s="31" t="e">
        <f>VLOOKUP($D29,Résultats!$B$2:$AZ$251,X$2,FALSE)</f>
        <v>#N/A</v>
      </c>
      <c r="Y29" s="31" t="e">
        <f>VLOOKUP($D29,Résultats!$B$2:$AZ$251,Y$2,FALSE)</f>
        <v>#N/A</v>
      </c>
      <c r="Z29" s="31" t="e">
        <f>VLOOKUP($D29,Résultats!$B$2:$AZ$251,Z$2,FALSE)</f>
        <v>#N/A</v>
      </c>
      <c r="AA29" s="31" t="e">
        <f>VLOOKUP($D29,Résultats!$B$2:$AZ$251,AA$2,FALSE)</f>
        <v>#N/A</v>
      </c>
      <c r="AB29" s="31" t="e">
        <f>VLOOKUP($D29,Résultats!$B$2:$AZ$251,AB$2,FALSE)</f>
        <v>#N/A</v>
      </c>
      <c r="AC29" s="31" t="e">
        <f>VLOOKUP($D29,Résultats!$B$2:$AZ$251,AC$2,FALSE)</f>
        <v>#N/A</v>
      </c>
      <c r="AD29" s="31" t="e">
        <f>VLOOKUP($D29,Résultats!$B$2:$AZ$251,AD$2,FALSE)</f>
        <v>#N/A</v>
      </c>
      <c r="AE29" s="31" t="e">
        <f>VLOOKUP($D29,Résultats!$B$2:$AZ$251,AE$2,FALSE)</f>
        <v>#N/A</v>
      </c>
      <c r="AF29" s="31" t="e">
        <f>VLOOKUP($D29,Résultats!$B$2:$AZ$251,AF$2,FALSE)</f>
        <v>#N/A</v>
      </c>
      <c r="AG29" s="31" t="e">
        <f>VLOOKUP($D29,Résultats!$B$2:$AZ$251,AG$2,FALSE)</f>
        <v>#N/A</v>
      </c>
      <c r="AH29" s="31" t="e">
        <f>VLOOKUP($D29,Résultats!$B$2:$AZ$251,AH$2,FALSE)</f>
        <v>#N/A</v>
      </c>
      <c r="AI29" s="31" t="e">
        <f>VLOOKUP($D29,Résultats!$B$2:$AZ$251,AI$2,FALSE)</f>
        <v>#N/A</v>
      </c>
      <c r="AJ29" s="31" t="e">
        <f>VLOOKUP($D29,Résultats!$B$2:$AZ$251,AJ$2,FALSE)</f>
        <v>#N/A</v>
      </c>
      <c r="AK29" s="31" t="e">
        <f>VLOOKUP($D29,Résultats!$B$2:$AZ$251,AK$2,FALSE)</f>
        <v>#N/A</v>
      </c>
      <c r="AL29" s="31" t="e">
        <f>VLOOKUP($D29,Résultats!$B$2:$AZ$251,AL$2,FALSE)</f>
        <v>#N/A</v>
      </c>
      <c r="AM29" s="31" t="e">
        <f>VLOOKUP($D29,Résultats!$B$2:$AZ$251,AM$2,FALSE)</f>
        <v>#N/A</v>
      </c>
    </row>
    <row r="30" spans="1:39" x14ac:dyDescent="0.25">
      <c r="C30" s="56" t="s">
        <v>29</v>
      </c>
      <c r="D30" s="78" t="s">
        <v>76</v>
      </c>
      <c r="E30" s="31" t="e">
        <f>VLOOKUP($D30,Résultats!$B$2:$AZ$251,E$2,FALSE)</f>
        <v>#N/A</v>
      </c>
      <c r="F30" s="31" t="e">
        <f>VLOOKUP($D30,Résultats!$B$2:$AZ$251,F$2,FALSE)</f>
        <v>#N/A</v>
      </c>
      <c r="G30" s="31" t="e">
        <f>VLOOKUP($D30,Résultats!$B$2:$AZ$251,G$2,FALSE)</f>
        <v>#N/A</v>
      </c>
      <c r="H30" s="31" t="e">
        <f>VLOOKUP($D30,Résultats!$B$2:$AZ$251,H$2,FALSE)</f>
        <v>#N/A</v>
      </c>
      <c r="I30" s="31" t="e">
        <f>VLOOKUP($D30,Résultats!$B$2:$AZ$251,I$2,FALSE)</f>
        <v>#N/A</v>
      </c>
      <c r="J30" s="31" t="e">
        <f>VLOOKUP($D30,Résultats!$B$2:$AZ$251,J$2,FALSE)</f>
        <v>#N/A</v>
      </c>
      <c r="K30" s="31" t="e">
        <f>VLOOKUP($D30,Résultats!$B$2:$AZ$251,K$2,FALSE)</f>
        <v>#N/A</v>
      </c>
      <c r="L30" s="31" t="e">
        <f>VLOOKUP($D30,Résultats!$B$2:$AZ$251,L$2,FALSE)</f>
        <v>#N/A</v>
      </c>
      <c r="M30" s="31" t="e">
        <f>VLOOKUP($D30,Résultats!$B$2:$AZ$251,M$2,FALSE)</f>
        <v>#N/A</v>
      </c>
      <c r="N30" s="31" t="e">
        <f>VLOOKUP($D30,Résultats!$B$2:$AZ$251,N$2,FALSE)</f>
        <v>#N/A</v>
      </c>
      <c r="O30" s="31" t="e">
        <f>VLOOKUP($D30,Résultats!$B$2:$AZ$251,O$2,FALSE)</f>
        <v>#N/A</v>
      </c>
      <c r="P30" s="31" t="e">
        <f>VLOOKUP($D30,Résultats!$B$2:$AZ$251,P$2,FALSE)</f>
        <v>#N/A</v>
      </c>
      <c r="Q30" s="31" t="e">
        <f>VLOOKUP($D30,Résultats!$B$2:$AZ$251,Q$2,FALSE)</f>
        <v>#N/A</v>
      </c>
      <c r="R30" s="31" t="e">
        <f>VLOOKUP($D30,Résultats!$B$2:$AZ$251,R$2,FALSE)</f>
        <v>#N/A</v>
      </c>
      <c r="S30" s="31" t="e">
        <f>VLOOKUP($D30,Résultats!$B$2:$AZ$251,S$2,FALSE)</f>
        <v>#N/A</v>
      </c>
      <c r="T30" s="31" t="e">
        <f>VLOOKUP($D30,Résultats!$B$2:$AZ$251,T$2,FALSE)</f>
        <v>#N/A</v>
      </c>
      <c r="U30" s="31" t="e">
        <f>VLOOKUP($D30,Résultats!$B$2:$AZ$251,U$2,FALSE)</f>
        <v>#N/A</v>
      </c>
      <c r="V30" s="31" t="e">
        <f>VLOOKUP($D30,Résultats!$B$2:$AZ$251,V$2,FALSE)</f>
        <v>#N/A</v>
      </c>
      <c r="W30" s="31" t="e">
        <f>VLOOKUP($D30,Résultats!$B$2:$AZ$251,W$2,FALSE)</f>
        <v>#N/A</v>
      </c>
      <c r="X30" s="31" t="e">
        <f>VLOOKUP($D30,Résultats!$B$2:$AZ$251,X$2,FALSE)</f>
        <v>#N/A</v>
      </c>
      <c r="Y30" s="31" t="e">
        <f>VLOOKUP($D30,Résultats!$B$2:$AZ$251,Y$2,FALSE)</f>
        <v>#N/A</v>
      </c>
      <c r="Z30" s="31" t="e">
        <f>VLOOKUP($D30,Résultats!$B$2:$AZ$251,Z$2,FALSE)</f>
        <v>#N/A</v>
      </c>
      <c r="AA30" s="31" t="e">
        <f>VLOOKUP($D30,Résultats!$B$2:$AZ$251,AA$2,FALSE)</f>
        <v>#N/A</v>
      </c>
      <c r="AB30" s="31" t="e">
        <f>VLOOKUP($D30,Résultats!$B$2:$AZ$251,AB$2,FALSE)</f>
        <v>#N/A</v>
      </c>
      <c r="AC30" s="31" t="e">
        <f>VLOOKUP($D30,Résultats!$B$2:$AZ$251,AC$2,FALSE)</f>
        <v>#N/A</v>
      </c>
      <c r="AD30" s="31" t="e">
        <f>VLOOKUP($D30,Résultats!$B$2:$AZ$251,AD$2,FALSE)</f>
        <v>#N/A</v>
      </c>
      <c r="AE30" s="31" t="e">
        <f>VLOOKUP($D30,Résultats!$B$2:$AZ$251,AE$2,FALSE)</f>
        <v>#N/A</v>
      </c>
      <c r="AF30" s="31" t="e">
        <f>VLOOKUP($D30,Résultats!$B$2:$AZ$251,AF$2,FALSE)</f>
        <v>#N/A</v>
      </c>
      <c r="AG30" s="31" t="e">
        <f>VLOOKUP($D30,Résultats!$B$2:$AZ$251,AG$2,FALSE)</f>
        <v>#N/A</v>
      </c>
      <c r="AH30" s="31" t="e">
        <f>VLOOKUP($D30,Résultats!$B$2:$AZ$251,AH$2,FALSE)</f>
        <v>#N/A</v>
      </c>
      <c r="AI30" s="31" t="e">
        <f>VLOOKUP($D30,Résultats!$B$2:$AZ$251,AI$2,FALSE)</f>
        <v>#N/A</v>
      </c>
      <c r="AJ30" s="31" t="e">
        <f>VLOOKUP($D30,Résultats!$B$2:$AZ$251,AJ$2,FALSE)</f>
        <v>#N/A</v>
      </c>
      <c r="AK30" s="31" t="e">
        <f>VLOOKUP($D30,Résultats!$B$2:$AZ$251,AK$2,FALSE)</f>
        <v>#N/A</v>
      </c>
      <c r="AL30" s="31" t="e">
        <f>VLOOKUP($D30,Résultats!$B$2:$AZ$251,AL$2,FALSE)</f>
        <v>#N/A</v>
      </c>
      <c r="AM30" s="31" t="e">
        <f>VLOOKUP($D30,Résultats!$B$2:$AZ$251,AM$2,FALSE)</f>
        <v>#N/A</v>
      </c>
    </row>
    <row r="31" spans="1:39" x14ac:dyDescent="0.25">
      <c r="C31" s="56" t="s">
        <v>30</v>
      </c>
      <c r="D31" s="78" t="s">
        <v>77</v>
      </c>
      <c r="E31" s="31" t="e">
        <f>VLOOKUP($D31,Résultats!$B$2:$AZ$251,E$2,FALSE)</f>
        <v>#N/A</v>
      </c>
      <c r="F31" s="31" t="e">
        <f>VLOOKUP($D31,Résultats!$B$2:$AZ$251,F$2,FALSE)</f>
        <v>#N/A</v>
      </c>
      <c r="G31" s="31" t="e">
        <f>VLOOKUP($D31,Résultats!$B$2:$AZ$251,G$2,FALSE)</f>
        <v>#N/A</v>
      </c>
      <c r="H31" s="31" t="e">
        <f>VLOOKUP($D31,Résultats!$B$2:$AZ$251,H$2,FALSE)</f>
        <v>#N/A</v>
      </c>
      <c r="I31" s="31" t="e">
        <f>VLOOKUP($D31,Résultats!$B$2:$AZ$251,I$2,FALSE)</f>
        <v>#N/A</v>
      </c>
      <c r="J31" s="31" t="e">
        <f>VLOOKUP($D31,Résultats!$B$2:$AZ$251,J$2,FALSE)</f>
        <v>#N/A</v>
      </c>
      <c r="K31" s="31" t="e">
        <f>VLOOKUP($D31,Résultats!$B$2:$AZ$251,K$2,FALSE)</f>
        <v>#N/A</v>
      </c>
      <c r="L31" s="31" t="e">
        <f>VLOOKUP($D31,Résultats!$B$2:$AZ$251,L$2,FALSE)</f>
        <v>#N/A</v>
      </c>
      <c r="M31" s="31" t="e">
        <f>VLOOKUP($D31,Résultats!$B$2:$AZ$251,M$2,FALSE)</f>
        <v>#N/A</v>
      </c>
      <c r="N31" s="31" t="e">
        <f>VLOOKUP($D31,Résultats!$B$2:$AZ$251,N$2,FALSE)</f>
        <v>#N/A</v>
      </c>
      <c r="O31" s="31" t="e">
        <f>VLOOKUP($D31,Résultats!$B$2:$AZ$251,O$2,FALSE)</f>
        <v>#N/A</v>
      </c>
      <c r="P31" s="31" t="e">
        <f>VLOOKUP($D31,Résultats!$B$2:$AZ$251,P$2,FALSE)</f>
        <v>#N/A</v>
      </c>
      <c r="Q31" s="31" t="e">
        <f>VLOOKUP($D31,Résultats!$B$2:$AZ$251,Q$2,FALSE)</f>
        <v>#N/A</v>
      </c>
      <c r="R31" s="31" t="e">
        <f>VLOOKUP($D31,Résultats!$B$2:$AZ$251,R$2,FALSE)</f>
        <v>#N/A</v>
      </c>
      <c r="S31" s="31" t="e">
        <f>VLOOKUP($D31,Résultats!$B$2:$AZ$251,S$2,FALSE)</f>
        <v>#N/A</v>
      </c>
      <c r="T31" s="31" t="e">
        <f>VLOOKUP($D31,Résultats!$B$2:$AZ$251,T$2,FALSE)</f>
        <v>#N/A</v>
      </c>
      <c r="U31" s="31" t="e">
        <f>VLOOKUP($D31,Résultats!$B$2:$AZ$251,U$2,FALSE)</f>
        <v>#N/A</v>
      </c>
      <c r="V31" s="31" t="e">
        <f>VLOOKUP($D31,Résultats!$B$2:$AZ$251,V$2,FALSE)</f>
        <v>#N/A</v>
      </c>
      <c r="W31" s="31" t="e">
        <f>VLOOKUP($D31,Résultats!$B$2:$AZ$251,W$2,FALSE)</f>
        <v>#N/A</v>
      </c>
      <c r="X31" s="31" t="e">
        <f>VLOOKUP($D31,Résultats!$B$2:$AZ$251,X$2,FALSE)</f>
        <v>#N/A</v>
      </c>
      <c r="Y31" s="31" t="e">
        <f>VLOOKUP($D31,Résultats!$B$2:$AZ$251,Y$2,FALSE)</f>
        <v>#N/A</v>
      </c>
      <c r="Z31" s="31" t="e">
        <f>VLOOKUP($D31,Résultats!$B$2:$AZ$251,Z$2,FALSE)</f>
        <v>#N/A</v>
      </c>
      <c r="AA31" s="31" t="e">
        <f>VLOOKUP($D31,Résultats!$B$2:$AZ$251,AA$2,FALSE)</f>
        <v>#N/A</v>
      </c>
      <c r="AB31" s="31" t="e">
        <f>VLOOKUP($D31,Résultats!$B$2:$AZ$251,AB$2,FALSE)</f>
        <v>#N/A</v>
      </c>
      <c r="AC31" s="31" t="e">
        <f>VLOOKUP($D31,Résultats!$B$2:$AZ$251,AC$2,FALSE)</f>
        <v>#N/A</v>
      </c>
      <c r="AD31" s="31" t="e">
        <f>VLOOKUP($D31,Résultats!$B$2:$AZ$251,AD$2,FALSE)</f>
        <v>#N/A</v>
      </c>
      <c r="AE31" s="31" t="e">
        <f>VLOOKUP($D31,Résultats!$B$2:$AZ$251,AE$2,FALSE)</f>
        <v>#N/A</v>
      </c>
      <c r="AF31" s="31" t="e">
        <f>VLOOKUP($D31,Résultats!$B$2:$AZ$251,AF$2,FALSE)</f>
        <v>#N/A</v>
      </c>
      <c r="AG31" s="31" t="e">
        <f>VLOOKUP($D31,Résultats!$B$2:$AZ$251,AG$2,FALSE)</f>
        <v>#N/A</v>
      </c>
      <c r="AH31" s="31" t="e">
        <f>VLOOKUP($D31,Résultats!$B$2:$AZ$251,AH$2,FALSE)</f>
        <v>#N/A</v>
      </c>
      <c r="AI31" s="31" t="e">
        <f>VLOOKUP($D31,Résultats!$B$2:$AZ$251,AI$2,FALSE)</f>
        <v>#N/A</v>
      </c>
      <c r="AJ31" s="31" t="e">
        <f>VLOOKUP($D31,Résultats!$B$2:$AZ$251,AJ$2,FALSE)</f>
        <v>#N/A</v>
      </c>
      <c r="AK31" s="31" t="e">
        <f>VLOOKUP($D31,Résultats!$B$2:$AZ$251,AK$2,FALSE)</f>
        <v>#N/A</v>
      </c>
      <c r="AL31" s="31" t="e">
        <f>VLOOKUP($D31,Résultats!$B$2:$AZ$251,AL$2,FALSE)</f>
        <v>#N/A</v>
      </c>
      <c r="AM31" s="31" t="e">
        <f>VLOOKUP($D31,Résultats!$B$2:$AZ$251,AM$2,FALSE)</f>
        <v>#N/A</v>
      </c>
    </row>
    <row r="32" spans="1:39" x14ac:dyDescent="0.25">
      <c r="C32" s="56" t="s">
        <v>31</v>
      </c>
      <c r="D32" s="78" t="s">
        <v>78</v>
      </c>
      <c r="E32" s="31" t="e">
        <f>VLOOKUP($D32,Résultats!$B$2:$AZ$251,E$2,FALSE)</f>
        <v>#N/A</v>
      </c>
      <c r="F32" s="31" t="e">
        <f>VLOOKUP($D32,Résultats!$B$2:$AZ$251,F$2,FALSE)</f>
        <v>#N/A</v>
      </c>
      <c r="G32" s="31" t="e">
        <f>VLOOKUP($D32,Résultats!$B$2:$AZ$251,G$2,FALSE)</f>
        <v>#N/A</v>
      </c>
      <c r="H32" s="31" t="e">
        <f>VLOOKUP($D32,Résultats!$B$2:$AZ$251,H$2,FALSE)</f>
        <v>#N/A</v>
      </c>
      <c r="I32" s="31" t="e">
        <f>VLOOKUP($D32,Résultats!$B$2:$AZ$251,I$2,FALSE)</f>
        <v>#N/A</v>
      </c>
      <c r="J32" s="31" t="e">
        <f>VLOOKUP($D32,Résultats!$B$2:$AZ$251,J$2,FALSE)</f>
        <v>#N/A</v>
      </c>
      <c r="K32" s="31" t="e">
        <f>VLOOKUP($D32,Résultats!$B$2:$AZ$251,K$2,FALSE)</f>
        <v>#N/A</v>
      </c>
      <c r="L32" s="31" t="e">
        <f>VLOOKUP($D32,Résultats!$B$2:$AZ$251,L$2,FALSE)</f>
        <v>#N/A</v>
      </c>
      <c r="M32" s="31" t="e">
        <f>VLOOKUP($D32,Résultats!$B$2:$AZ$251,M$2,FALSE)</f>
        <v>#N/A</v>
      </c>
      <c r="N32" s="31" t="e">
        <f>VLOOKUP($D32,Résultats!$B$2:$AZ$251,N$2,FALSE)</f>
        <v>#N/A</v>
      </c>
      <c r="O32" s="31" t="e">
        <f>VLOOKUP($D32,Résultats!$B$2:$AZ$251,O$2,FALSE)</f>
        <v>#N/A</v>
      </c>
      <c r="P32" s="31" t="e">
        <f>VLOOKUP($D32,Résultats!$B$2:$AZ$251,P$2,FALSE)</f>
        <v>#N/A</v>
      </c>
      <c r="Q32" s="31" t="e">
        <f>VLOOKUP($D32,Résultats!$B$2:$AZ$251,Q$2,FALSE)</f>
        <v>#N/A</v>
      </c>
      <c r="R32" s="31" t="e">
        <f>VLOOKUP($D32,Résultats!$B$2:$AZ$251,R$2,FALSE)</f>
        <v>#N/A</v>
      </c>
      <c r="S32" s="31" t="e">
        <f>VLOOKUP($D32,Résultats!$B$2:$AZ$251,S$2,FALSE)</f>
        <v>#N/A</v>
      </c>
      <c r="T32" s="31" t="e">
        <f>VLOOKUP($D32,Résultats!$B$2:$AZ$251,T$2,FALSE)</f>
        <v>#N/A</v>
      </c>
      <c r="U32" s="31" t="e">
        <f>VLOOKUP($D32,Résultats!$B$2:$AZ$251,U$2,FALSE)</f>
        <v>#N/A</v>
      </c>
      <c r="V32" s="31" t="e">
        <f>VLOOKUP($D32,Résultats!$B$2:$AZ$251,V$2,FALSE)</f>
        <v>#N/A</v>
      </c>
      <c r="W32" s="31" t="e">
        <f>VLOOKUP($D32,Résultats!$B$2:$AZ$251,W$2,FALSE)</f>
        <v>#N/A</v>
      </c>
      <c r="X32" s="31" t="e">
        <f>VLOOKUP($D32,Résultats!$B$2:$AZ$251,X$2,FALSE)</f>
        <v>#N/A</v>
      </c>
      <c r="Y32" s="31" t="e">
        <f>VLOOKUP($D32,Résultats!$B$2:$AZ$251,Y$2,FALSE)</f>
        <v>#N/A</v>
      </c>
      <c r="Z32" s="31" t="e">
        <f>VLOOKUP($D32,Résultats!$B$2:$AZ$251,Z$2,FALSE)</f>
        <v>#N/A</v>
      </c>
      <c r="AA32" s="31" t="e">
        <f>VLOOKUP($D32,Résultats!$B$2:$AZ$251,AA$2,FALSE)</f>
        <v>#N/A</v>
      </c>
      <c r="AB32" s="31" t="e">
        <f>VLOOKUP($D32,Résultats!$B$2:$AZ$251,AB$2,FALSE)</f>
        <v>#N/A</v>
      </c>
      <c r="AC32" s="31" t="e">
        <f>VLOOKUP($D32,Résultats!$B$2:$AZ$251,AC$2,FALSE)</f>
        <v>#N/A</v>
      </c>
      <c r="AD32" s="31" t="e">
        <f>VLOOKUP($D32,Résultats!$B$2:$AZ$251,AD$2,FALSE)</f>
        <v>#N/A</v>
      </c>
      <c r="AE32" s="31" t="e">
        <f>VLOOKUP($D32,Résultats!$B$2:$AZ$251,AE$2,FALSE)</f>
        <v>#N/A</v>
      </c>
      <c r="AF32" s="31" t="e">
        <f>VLOOKUP($D32,Résultats!$B$2:$AZ$251,AF$2,FALSE)</f>
        <v>#N/A</v>
      </c>
      <c r="AG32" s="31" t="e">
        <f>VLOOKUP($D32,Résultats!$B$2:$AZ$251,AG$2,FALSE)</f>
        <v>#N/A</v>
      </c>
      <c r="AH32" s="31" t="e">
        <f>VLOOKUP($D32,Résultats!$B$2:$AZ$251,AH$2,FALSE)</f>
        <v>#N/A</v>
      </c>
      <c r="AI32" s="31" t="e">
        <f>VLOOKUP($D32,Résultats!$B$2:$AZ$251,AI$2,FALSE)</f>
        <v>#N/A</v>
      </c>
      <c r="AJ32" s="31" t="e">
        <f>VLOOKUP($D32,Résultats!$B$2:$AZ$251,AJ$2,FALSE)</f>
        <v>#N/A</v>
      </c>
      <c r="AK32" s="31" t="e">
        <f>VLOOKUP($D32,Résultats!$B$2:$AZ$251,AK$2,FALSE)</f>
        <v>#N/A</v>
      </c>
      <c r="AL32" s="31" t="e">
        <f>VLOOKUP($D32,Résultats!$B$2:$AZ$251,AL$2,FALSE)</f>
        <v>#N/A</v>
      </c>
      <c r="AM32" s="31" t="e">
        <f>VLOOKUP($D32,Résultats!$B$2:$AZ$251,AM$2,FALSE)</f>
        <v>#N/A</v>
      </c>
    </row>
    <row r="33" spans="2:39" x14ac:dyDescent="0.25">
      <c r="C33" s="56" t="s">
        <v>32</v>
      </c>
      <c r="D33" s="78" t="s">
        <v>79</v>
      </c>
      <c r="E33" s="31" t="e">
        <f>VLOOKUP($D33,Résultats!$B$2:$AZ$251,E$2,FALSE)</f>
        <v>#N/A</v>
      </c>
      <c r="F33" s="31" t="e">
        <f>VLOOKUP($D33,Résultats!$B$2:$AZ$251,F$2,FALSE)</f>
        <v>#N/A</v>
      </c>
      <c r="G33" s="31" t="e">
        <f>VLOOKUP($D33,Résultats!$B$2:$AZ$251,G$2,FALSE)</f>
        <v>#N/A</v>
      </c>
      <c r="H33" s="31" t="e">
        <f>VLOOKUP($D33,Résultats!$B$2:$AZ$251,H$2,FALSE)</f>
        <v>#N/A</v>
      </c>
      <c r="I33" s="31" t="e">
        <f>VLOOKUP($D33,Résultats!$B$2:$AZ$251,I$2,FALSE)</f>
        <v>#N/A</v>
      </c>
      <c r="J33" s="31" t="e">
        <f>VLOOKUP($D33,Résultats!$B$2:$AZ$251,J$2,FALSE)</f>
        <v>#N/A</v>
      </c>
      <c r="K33" s="31" t="e">
        <f>VLOOKUP($D33,Résultats!$B$2:$AZ$251,K$2,FALSE)</f>
        <v>#N/A</v>
      </c>
      <c r="L33" s="31" t="e">
        <f>VLOOKUP($D33,Résultats!$B$2:$AZ$251,L$2,FALSE)</f>
        <v>#N/A</v>
      </c>
      <c r="M33" s="31" t="e">
        <f>VLOOKUP($D33,Résultats!$B$2:$AZ$251,M$2,FALSE)</f>
        <v>#N/A</v>
      </c>
      <c r="N33" s="31" t="e">
        <f>VLOOKUP($D33,Résultats!$B$2:$AZ$251,N$2,FALSE)</f>
        <v>#N/A</v>
      </c>
      <c r="O33" s="31" t="e">
        <f>VLOOKUP($D33,Résultats!$B$2:$AZ$251,O$2,FALSE)</f>
        <v>#N/A</v>
      </c>
      <c r="P33" s="31" t="e">
        <f>VLOOKUP($D33,Résultats!$B$2:$AZ$251,P$2,FALSE)</f>
        <v>#N/A</v>
      </c>
      <c r="Q33" s="31" t="e">
        <f>VLOOKUP($D33,Résultats!$B$2:$AZ$251,Q$2,FALSE)</f>
        <v>#N/A</v>
      </c>
      <c r="R33" s="31" t="e">
        <f>VLOOKUP($D33,Résultats!$B$2:$AZ$251,R$2,FALSE)</f>
        <v>#N/A</v>
      </c>
      <c r="S33" s="31" t="e">
        <f>VLOOKUP($D33,Résultats!$B$2:$AZ$251,S$2,FALSE)</f>
        <v>#N/A</v>
      </c>
      <c r="T33" s="31" t="e">
        <f>VLOOKUP($D33,Résultats!$B$2:$AZ$251,T$2,FALSE)</f>
        <v>#N/A</v>
      </c>
      <c r="U33" s="31" t="e">
        <f>VLOOKUP($D33,Résultats!$B$2:$AZ$251,U$2,FALSE)</f>
        <v>#N/A</v>
      </c>
      <c r="V33" s="31" t="e">
        <f>VLOOKUP($D33,Résultats!$B$2:$AZ$251,V$2,FALSE)</f>
        <v>#N/A</v>
      </c>
      <c r="W33" s="31" t="e">
        <f>VLOOKUP($D33,Résultats!$B$2:$AZ$251,W$2,FALSE)</f>
        <v>#N/A</v>
      </c>
      <c r="X33" s="31" t="e">
        <f>VLOOKUP($D33,Résultats!$B$2:$AZ$251,X$2,FALSE)</f>
        <v>#N/A</v>
      </c>
      <c r="Y33" s="31" t="e">
        <f>VLOOKUP($D33,Résultats!$B$2:$AZ$251,Y$2,FALSE)</f>
        <v>#N/A</v>
      </c>
      <c r="Z33" s="31" t="e">
        <f>VLOOKUP($D33,Résultats!$B$2:$AZ$251,Z$2,FALSE)</f>
        <v>#N/A</v>
      </c>
      <c r="AA33" s="31" t="e">
        <f>VLOOKUP($D33,Résultats!$B$2:$AZ$251,AA$2,FALSE)</f>
        <v>#N/A</v>
      </c>
      <c r="AB33" s="31" t="e">
        <f>VLOOKUP($D33,Résultats!$B$2:$AZ$251,AB$2,FALSE)</f>
        <v>#N/A</v>
      </c>
      <c r="AC33" s="31" t="e">
        <f>VLOOKUP($D33,Résultats!$B$2:$AZ$251,AC$2,FALSE)</f>
        <v>#N/A</v>
      </c>
      <c r="AD33" s="31" t="e">
        <f>VLOOKUP($D33,Résultats!$B$2:$AZ$251,AD$2,FALSE)</f>
        <v>#N/A</v>
      </c>
      <c r="AE33" s="31" t="e">
        <f>VLOOKUP($D33,Résultats!$B$2:$AZ$251,AE$2,FALSE)</f>
        <v>#N/A</v>
      </c>
      <c r="AF33" s="31" t="e">
        <f>VLOOKUP($D33,Résultats!$B$2:$AZ$251,AF$2,FALSE)</f>
        <v>#N/A</v>
      </c>
      <c r="AG33" s="31" t="e">
        <f>VLOOKUP($D33,Résultats!$B$2:$AZ$251,AG$2,FALSE)</f>
        <v>#N/A</v>
      </c>
      <c r="AH33" s="31" t="e">
        <f>VLOOKUP($D33,Résultats!$B$2:$AZ$251,AH$2,FALSE)</f>
        <v>#N/A</v>
      </c>
      <c r="AI33" s="31" t="e">
        <f>VLOOKUP($D33,Résultats!$B$2:$AZ$251,AI$2,FALSE)</f>
        <v>#N/A</v>
      </c>
      <c r="AJ33" s="31" t="e">
        <f>VLOOKUP($D33,Résultats!$B$2:$AZ$251,AJ$2,FALSE)</f>
        <v>#N/A</v>
      </c>
      <c r="AK33" s="31" t="e">
        <f>VLOOKUP($D33,Résultats!$B$2:$AZ$251,AK$2,FALSE)</f>
        <v>#N/A</v>
      </c>
      <c r="AL33" s="31" t="e">
        <f>VLOOKUP($D33,Résultats!$B$2:$AZ$251,AL$2,FALSE)</f>
        <v>#N/A</v>
      </c>
      <c r="AM33" s="31" t="e">
        <f>VLOOKUP($D33,Résultats!$B$2:$AZ$251,AM$2,FALSE)</f>
        <v>#N/A</v>
      </c>
    </row>
    <row r="34" spans="2:39" x14ac:dyDescent="0.25">
      <c r="C34" s="56" t="s">
        <v>33</v>
      </c>
      <c r="D34" s="78" t="s">
        <v>80</v>
      </c>
      <c r="E34" s="79" t="e">
        <f>VLOOKUP($D34,Résultats!$B$2:$AZ$251,E$2,FALSE)</f>
        <v>#N/A</v>
      </c>
      <c r="F34" s="79" t="e">
        <f>VLOOKUP($D34,Résultats!$B$2:$AZ$251,F$2,FALSE)</f>
        <v>#N/A</v>
      </c>
      <c r="G34" s="79" t="e">
        <f>VLOOKUP($D34,Résultats!$B$2:$AZ$251,G$2,FALSE)</f>
        <v>#N/A</v>
      </c>
      <c r="H34" s="79" t="e">
        <f>VLOOKUP($D34,Résultats!$B$2:$AZ$251,H$2,FALSE)</f>
        <v>#N/A</v>
      </c>
      <c r="I34" s="79" t="e">
        <f>VLOOKUP($D34,Résultats!$B$2:$AZ$251,I$2,FALSE)</f>
        <v>#N/A</v>
      </c>
      <c r="J34" s="79" t="e">
        <f>VLOOKUP($D34,Résultats!$B$2:$AZ$251,J$2,FALSE)</f>
        <v>#N/A</v>
      </c>
      <c r="K34" s="79" t="e">
        <f>VLOOKUP($D34,Résultats!$B$2:$AZ$251,K$2,FALSE)</f>
        <v>#N/A</v>
      </c>
      <c r="L34" s="79" t="e">
        <f>VLOOKUP($D34,Résultats!$B$2:$AZ$251,L$2,FALSE)</f>
        <v>#N/A</v>
      </c>
      <c r="M34" s="79" t="e">
        <f>VLOOKUP($D34,Résultats!$B$2:$AZ$251,M$2,FALSE)</f>
        <v>#N/A</v>
      </c>
      <c r="N34" s="79" t="e">
        <f>VLOOKUP($D34,Résultats!$B$2:$AZ$251,N$2,FALSE)</f>
        <v>#N/A</v>
      </c>
      <c r="O34" s="79" t="e">
        <f>VLOOKUP($D34,Résultats!$B$2:$AZ$251,O$2,FALSE)</f>
        <v>#N/A</v>
      </c>
      <c r="P34" s="79" t="e">
        <f>VLOOKUP($D34,Résultats!$B$2:$AZ$251,P$2,FALSE)</f>
        <v>#N/A</v>
      </c>
      <c r="Q34" s="79" t="e">
        <f>VLOOKUP($D34,Résultats!$B$2:$AZ$251,Q$2,FALSE)</f>
        <v>#N/A</v>
      </c>
      <c r="R34" s="79" t="e">
        <f>VLOOKUP($D34,Résultats!$B$2:$AZ$251,R$2,FALSE)</f>
        <v>#N/A</v>
      </c>
      <c r="S34" s="79" t="e">
        <f>VLOOKUP($D34,Résultats!$B$2:$AZ$251,S$2,FALSE)</f>
        <v>#N/A</v>
      </c>
      <c r="T34" s="79" t="e">
        <f>VLOOKUP($D34,Résultats!$B$2:$AZ$251,T$2,FALSE)</f>
        <v>#N/A</v>
      </c>
      <c r="U34" s="79" t="e">
        <f>VLOOKUP($D34,Résultats!$B$2:$AZ$251,U$2,FALSE)</f>
        <v>#N/A</v>
      </c>
      <c r="V34" s="79" t="e">
        <f>VLOOKUP($D34,Résultats!$B$2:$AZ$251,V$2,FALSE)</f>
        <v>#N/A</v>
      </c>
      <c r="W34" s="79" t="e">
        <f>VLOOKUP($D34,Résultats!$B$2:$AZ$251,W$2,FALSE)</f>
        <v>#N/A</v>
      </c>
      <c r="X34" s="79" t="e">
        <f>VLOOKUP($D34,Résultats!$B$2:$AZ$251,X$2,FALSE)</f>
        <v>#N/A</v>
      </c>
      <c r="Y34" s="79" t="e">
        <f>VLOOKUP($D34,Résultats!$B$2:$AZ$251,Y$2,FALSE)</f>
        <v>#N/A</v>
      </c>
      <c r="Z34" s="79" t="e">
        <f>VLOOKUP($D34,Résultats!$B$2:$AZ$251,Z$2,FALSE)</f>
        <v>#N/A</v>
      </c>
      <c r="AA34" s="79" t="e">
        <f>VLOOKUP($D34,Résultats!$B$2:$AZ$251,AA$2,FALSE)</f>
        <v>#N/A</v>
      </c>
      <c r="AB34" s="79" t="e">
        <f>VLOOKUP($D34,Résultats!$B$2:$AZ$251,AB$2,FALSE)</f>
        <v>#N/A</v>
      </c>
      <c r="AC34" s="79" t="e">
        <f>VLOOKUP($D34,Résultats!$B$2:$AZ$251,AC$2,FALSE)</f>
        <v>#N/A</v>
      </c>
      <c r="AD34" s="79" t="e">
        <f>VLOOKUP($D34,Résultats!$B$2:$AZ$251,AD$2,FALSE)</f>
        <v>#N/A</v>
      </c>
      <c r="AE34" s="79" t="e">
        <f>VLOOKUP($D34,Résultats!$B$2:$AZ$251,AE$2,FALSE)</f>
        <v>#N/A</v>
      </c>
      <c r="AF34" s="79" t="e">
        <f>VLOOKUP($D34,Résultats!$B$2:$AZ$251,AF$2,FALSE)</f>
        <v>#N/A</v>
      </c>
      <c r="AG34" s="79" t="e">
        <f>VLOOKUP($D34,Résultats!$B$2:$AZ$251,AG$2,FALSE)</f>
        <v>#N/A</v>
      </c>
      <c r="AH34" s="79" t="e">
        <f>VLOOKUP($D34,Résultats!$B$2:$AZ$251,AH$2,FALSE)</f>
        <v>#N/A</v>
      </c>
      <c r="AI34" s="79" t="e">
        <f>VLOOKUP($D34,Résultats!$B$2:$AZ$251,AI$2,FALSE)</f>
        <v>#N/A</v>
      </c>
      <c r="AJ34" s="79" t="e">
        <f>VLOOKUP($D34,Résultats!$B$2:$AZ$251,AJ$2,FALSE)</f>
        <v>#N/A</v>
      </c>
      <c r="AK34" s="79" t="e">
        <f>VLOOKUP($D34,Résultats!$B$2:$AZ$251,AK$2,FALSE)</f>
        <v>#N/A</v>
      </c>
      <c r="AL34" s="79" t="e">
        <f>VLOOKUP($D34,Résultats!$B$2:$AZ$251,AL$2,FALSE)</f>
        <v>#N/A</v>
      </c>
      <c r="AM34" s="79" t="e">
        <f>VLOOKUP($D34,Résultats!$B$2:$AZ$251,AM$2,FALSE)</f>
        <v>#N/A</v>
      </c>
    </row>
    <row r="35" spans="2:39" x14ac:dyDescent="0.25">
      <c r="C35" s="76" t="s">
        <v>95</v>
      </c>
      <c r="D35" s="76" t="s">
        <v>65</v>
      </c>
      <c r="E35" s="77" t="e">
        <f>VLOOKUP($D35,Résultats!$B$2:$AZ$251,E$2,FALSE)</f>
        <v>#N/A</v>
      </c>
      <c r="F35" s="77" t="e">
        <f>VLOOKUP($D35,Résultats!$B$2:$AZ$251,F$2,FALSE)</f>
        <v>#N/A</v>
      </c>
      <c r="G35" s="77" t="e">
        <f>VLOOKUP($D35,Résultats!$B$2:$AZ$251,G$2,FALSE)</f>
        <v>#N/A</v>
      </c>
      <c r="H35" s="77" t="e">
        <f>VLOOKUP($D35,Résultats!$B$2:$AZ$251,H$2,FALSE)</f>
        <v>#N/A</v>
      </c>
      <c r="I35" s="77" t="e">
        <f>VLOOKUP($D35,Résultats!$B$2:$AZ$251,I$2,FALSE)</f>
        <v>#N/A</v>
      </c>
      <c r="J35" s="77" t="e">
        <f>VLOOKUP($D35,Résultats!$B$2:$AZ$251,J$2,FALSE)</f>
        <v>#N/A</v>
      </c>
      <c r="K35" s="77" t="e">
        <f>VLOOKUP($D35,Résultats!$B$2:$AZ$251,K$2,FALSE)</f>
        <v>#N/A</v>
      </c>
      <c r="L35" s="77" t="e">
        <f>VLOOKUP($D35,Résultats!$B$2:$AZ$251,L$2,FALSE)</f>
        <v>#N/A</v>
      </c>
      <c r="M35" s="77" t="e">
        <f>VLOOKUP($D35,Résultats!$B$2:$AZ$251,M$2,FALSE)</f>
        <v>#N/A</v>
      </c>
      <c r="N35" s="77" t="e">
        <f>VLOOKUP($D35,Résultats!$B$2:$AZ$251,N$2,FALSE)</f>
        <v>#N/A</v>
      </c>
      <c r="O35" s="77" t="e">
        <f>VLOOKUP($D35,Résultats!$B$2:$AZ$251,O$2,FALSE)</f>
        <v>#N/A</v>
      </c>
      <c r="P35" s="77" t="e">
        <f>VLOOKUP($D35,Résultats!$B$2:$AZ$251,P$2,FALSE)</f>
        <v>#N/A</v>
      </c>
      <c r="Q35" s="77" t="e">
        <f>VLOOKUP($D35,Résultats!$B$2:$AZ$251,Q$2,FALSE)</f>
        <v>#N/A</v>
      </c>
      <c r="R35" s="77" t="e">
        <f>VLOOKUP($D35,Résultats!$B$2:$AZ$251,R$2,FALSE)</f>
        <v>#N/A</v>
      </c>
      <c r="S35" s="77" t="e">
        <f>VLOOKUP($D35,Résultats!$B$2:$AZ$251,S$2,FALSE)</f>
        <v>#N/A</v>
      </c>
      <c r="T35" s="77" t="e">
        <f>VLOOKUP($D35,Résultats!$B$2:$AZ$251,T$2,FALSE)</f>
        <v>#N/A</v>
      </c>
      <c r="U35" s="77" t="e">
        <f>VLOOKUP($D35,Résultats!$B$2:$AZ$251,U$2,FALSE)</f>
        <v>#N/A</v>
      </c>
      <c r="V35" s="77" t="e">
        <f>VLOOKUP($D35,Résultats!$B$2:$AZ$251,V$2,FALSE)</f>
        <v>#N/A</v>
      </c>
      <c r="W35" s="77" t="e">
        <f>VLOOKUP($D35,Résultats!$B$2:$AZ$251,W$2,FALSE)</f>
        <v>#N/A</v>
      </c>
      <c r="X35" s="77" t="e">
        <f>VLOOKUP($D35,Résultats!$B$2:$AZ$251,X$2,FALSE)</f>
        <v>#N/A</v>
      </c>
      <c r="Y35" s="77" t="e">
        <f>VLOOKUP($D35,Résultats!$B$2:$AZ$251,Y$2,FALSE)</f>
        <v>#N/A</v>
      </c>
      <c r="Z35" s="77" t="e">
        <f>VLOOKUP($D35,Résultats!$B$2:$AZ$251,Z$2,FALSE)</f>
        <v>#N/A</v>
      </c>
      <c r="AA35" s="77" t="e">
        <f>VLOOKUP($D35,Résultats!$B$2:$AZ$251,AA$2,FALSE)</f>
        <v>#N/A</v>
      </c>
      <c r="AB35" s="77" t="e">
        <f>VLOOKUP($D35,Résultats!$B$2:$AZ$251,AB$2,FALSE)</f>
        <v>#N/A</v>
      </c>
      <c r="AC35" s="77" t="e">
        <f>VLOOKUP($D35,Résultats!$B$2:$AZ$251,AC$2,FALSE)</f>
        <v>#N/A</v>
      </c>
      <c r="AD35" s="77" t="e">
        <f>VLOOKUP($D35,Résultats!$B$2:$AZ$251,AD$2,FALSE)</f>
        <v>#N/A</v>
      </c>
      <c r="AE35" s="77" t="e">
        <f>VLOOKUP($D35,Résultats!$B$2:$AZ$251,AE$2,FALSE)</f>
        <v>#N/A</v>
      </c>
      <c r="AF35" s="77" t="e">
        <f>VLOOKUP($D35,Résultats!$B$2:$AZ$251,AF$2,FALSE)</f>
        <v>#N/A</v>
      </c>
      <c r="AG35" s="77" t="e">
        <f>VLOOKUP($D35,Résultats!$B$2:$AZ$251,AG$2,FALSE)</f>
        <v>#N/A</v>
      </c>
      <c r="AH35" s="77" t="e">
        <f>VLOOKUP($D35,Résultats!$B$2:$AZ$251,AH$2,FALSE)</f>
        <v>#N/A</v>
      </c>
      <c r="AI35" s="77" t="e">
        <f>VLOOKUP($D35,Résultats!$B$2:$AZ$251,AI$2,FALSE)</f>
        <v>#N/A</v>
      </c>
      <c r="AJ35" s="77" t="e">
        <f>VLOOKUP($D35,Résultats!$B$2:$AZ$251,AJ$2,FALSE)</f>
        <v>#N/A</v>
      </c>
      <c r="AK35" s="77" t="e">
        <f>VLOOKUP($D35,Résultats!$B$2:$AZ$251,AK$2,FALSE)</f>
        <v>#N/A</v>
      </c>
      <c r="AL35" s="77" t="e">
        <f>VLOOKUP($D35,Résultats!$B$2:$AZ$251,AL$2,FALSE)</f>
        <v>#N/A</v>
      </c>
      <c r="AM35" s="77" t="e">
        <f>VLOOKUP($D35,Résultats!$B$2:$AZ$251,AM$2,FALSE)</f>
        <v>#N/A</v>
      </c>
    </row>
    <row r="36" spans="2:39" x14ac:dyDescent="0.25">
      <c r="C36" s="56" t="s">
        <v>27</v>
      </c>
      <c r="D36" s="3" t="s">
        <v>66</v>
      </c>
      <c r="E36" s="31" t="e">
        <f>VLOOKUP($D36,Résultats!$B$2:$AZ$251,E$2,FALSE)</f>
        <v>#N/A</v>
      </c>
      <c r="F36" s="31" t="e">
        <f>VLOOKUP($D36,Résultats!$B$2:$AZ$251,F$2,FALSE)</f>
        <v>#N/A</v>
      </c>
      <c r="G36" s="31" t="e">
        <f>VLOOKUP($D36,Résultats!$B$2:$AZ$251,G$2,FALSE)</f>
        <v>#N/A</v>
      </c>
      <c r="H36" s="31" t="e">
        <f>VLOOKUP($D36,Résultats!$B$2:$AZ$251,H$2,FALSE)</f>
        <v>#N/A</v>
      </c>
      <c r="I36" s="31" t="e">
        <f>VLOOKUP($D36,Résultats!$B$2:$AZ$251,I$2,FALSE)</f>
        <v>#N/A</v>
      </c>
      <c r="J36" s="31" t="e">
        <f>VLOOKUP($D36,Résultats!$B$2:$AZ$251,J$2,FALSE)</f>
        <v>#N/A</v>
      </c>
      <c r="K36" s="31" t="e">
        <f>VLOOKUP($D36,Résultats!$B$2:$AZ$251,K$2,FALSE)</f>
        <v>#N/A</v>
      </c>
      <c r="L36" s="31" t="e">
        <f>VLOOKUP($D36,Résultats!$B$2:$AZ$251,L$2,FALSE)</f>
        <v>#N/A</v>
      </c>
      <c r="M36" s="31" t="e">
        <f>VLOOKUP($D36,Résultats!$B$2:$AZ$251,M$2,FALSE)</f>
        <v>#N/A</v>
      </c>
      <c r="N36" s="31" t="e">
        <f>VLOOKUP($D36,Résultats!$B$2:$AZ$251,N$2,FALSE)</f>
        <v>#N/A</v>
      </c>
      <c r="O36" s="31" t="e">
        <f>VLOOKUP($D36,Résultats!$B$2:$AZ$251,O$2,FALSE)</f>
        <v>#N/A</v>
      </c>
      <c r="P36" s="31" t="e">
        <f>VLOOKUP($D36,Résultats!$B$2:$AZ$251,P$2,FALSE)</f>
        <v>#N/A</v>
      </c>
      <c r="Q36" s="31" t="e">
        <f>VLOOKUP($D36,Résultats!$B$2:$AZ$251,Q$2,FALSE)</f>
        <v>#N/A</v>
      </c>
      <c r="R36" s="31" t="e">
        <f>VLOOKUP($D36,Résultats!$B$2:$AZ$251,R$2,FALSE)</f>
        <v>#N/A</v>
      </c>
      <c r="S36" s="31" t="e">
        <f>VLOOKUP($D36,Résultats!$B$2:$AZ$251,S$2,FALSE)</f>
        <v>#N/A</v>
      </c>
      <c r="T36" s="31" t="e">
        <f>VLOOKUP($D36,Résultats!$B$2:$AZ$251,T$2,FALSE)</f>
        <v>#N/A</v>
      </c>
      <c r="U36" s="31" t="e">
        <f>VLOOKUP($D36,Résultats!$B$2:$AZ$251,U$2,FALSE)</f>
        <v>#N/A</v>
      </c>
      <c r="V36" s="31" t="e">
        <f>VLOOKUP($D36,Résultats!$B$2:$AZ$251,V$2,FALSE)</f>
        <v>#N/A</v>
      </c>
      <c r="W36" s="31" t="e">
        <f>VLOOKUP($D36,Résultats!$B$2:$AZ$251,W$2,FALSE)</f>
        <v>#N/A</v>
      </c>
      <c r="X36" s="31" t="e">
        <f>VLOOKUP($D36,Résultats!$B$2:$AZ$251,X$2,FALSE)</f>
        <v>#N/A</v>
      </c>
      <c r="Y36" s="31" t="e">
        <f>VLOOKUP($D36,Résultats!$B$2:$AZ$251,Y$2,FALSE)</f>
        <v>#N/A</v>
      </c>
      <c r="Z36" s="31" t="e">
        <f>VLOOKUP($D36,Résultats!$B$2:$AZ$251,Z$2,FALSE)</f>
        <v>#N/A</v>
      </c>
      <c r="AA36" s="31" t="e">
        <f>VLOOKUP($D36,Résultats!$B$2:$AZ$251,AA$2,FALSE)</f>
        <v>#N/A</v>
      </c>
      <c r="AB36" s="31" t="e">
        <f>VLOOKUP($D36,Résultats!$B$2:$AZ$251,AB$2,FALSE)</f>
        <v>#N/A</v>
      </c>
      <c r="AC36" s="31" t="e">
        <f>VLOOKUP($D36,Résultats!$B$2:$AZ$251,AC$2,FALSE)</f>
        <v>#N/A</v>
      </c>
      <c r="AD36" s="31" t="e">
        <f>VLOOKUP($D36,Résultats!$B$2:$AZ$251,AD$2,FALSE)</f>
        <v>#N/A</v>
      </c>
      <c r="AE36" s="31" t="e">
        <f>VLOOKUP($D36,Résultats!$B$2:$AZ$251,AE$2,FALSE)</f>
        <v>#N/A</v>
      </c>
      <c r="AF36" s="31" t="e">
        <f>VLOOKUP($D36,Résultats!$B$2:$AZ$251,AF$2,FALSE)</f>
        <v>#N/A</v>
      </c>
      <c r="AG36" s="31" t="e">
        <f>VLOOKUP($D36,Résultats!$B$2:$AZ$251,AG$2,FALSE)</f>
        <v>#N/A</v>
      </c>
      <c r="AH36" s="31" t="e">
        <f>VLOOKUP($D36,Résultats!$B$2:$AZ$251,AH$2,FALSE)</f>
        <v>#N/A</v>
      </c>
      <c r="AI36" s="31" t="e">
        <f>VLOOKUP($D36,Résultats!$B$2:$AZ$251,AI$2,FALSE)</f>
        <v>#N/A</v>
      </c>
      <c r="AJ36" s="31" t="e">
        <f>VLOOKUP($D36,Résultats!$B$2:$AZ$251,AJ$2,FALSE)</f>
        <v>#N/A</v>
      </c>
      <c r="AK36" s="31" t="e">
        <f>VLOOKUP($D36,Résultats!$B$2:$AZ$251,AK$2,FALSE)</f>
        <v>#N/A</v>
      </c>
      <c r="AL36" s="31" t="e">
        <f>VLOOKUP($D36,Résultats!$B$2:$AZ$251,AL$2,FALSE)</f>
        <v>#N/A</v>
      </c>
      <c r="AM36" s="31" t="e">
        <f>VLOOKUP($D36,Résultats!$B$2:$AZ$251,AM$2,FALSE)</f>
        <v>#N/A</v>
      </c>
    </row>
    <row r="37" spans="2:39" x14ac:dyDescent="0.25">
      <c r="C37" s="56" t="s">
        <v>28</v>
      </c>
      <c r="D37" s="3" t="s">
        <v>67</v>
      </c>
      <c r="E37" s="31" t="e">
        <f>VLOOKUP($D37,Résultats!$B$2:$AZ$251,E$2,FALSE)</f>
        <v>#N/A</v>
      </c>
      <c r="F37" s="31" t="e">
        <f>VLOOKUP($D37,Résultats!$B$2:$AZ$251,F$2,FALSE)</f>
        <v>#N/A</v>
      </c>
      <c r="G37" s="31" t="e">
        <f>VLOOKUP($D37,Résultats!$B$2:$AZ$251,G$2,FALSE)</f>
        <v>#N/A</v>
      </c>
      <c r="H37" s="31" t="e">
        <f>VLOOKUP($D37,Résultats!$B$2:$AZ$251,H$2,FALSE)</f>
        <v>#N/A</v>
      </c>
      <c r="I37" s="31" t="e">
        <f>VLOOKUP($D37,Résultats!$B$2:$AZ$251,I$2,FALSE)</f>
        <v>#N/A</v>
      </c>
      <c r="J37" s="31" t="e">
        <f>VLOOKUP($D37,Résultats!$B$2:$AZ$251,J$2,FALSE)</f>
        <v>#N/A</v>
      </c>
      <c r="K37" s="31" t="e">
        <f>VLOOKUP($D37,Résultats!$B$2:$AZ$251,K$2,FALSE)</f>
        <v>#N/A</v>
      </c>
      <c r="L37" s="31" t="e">
        <f>VLOOKUP($D37,Résultats!$B$2:$AZ$251,L$2,FALSE)</f>
        <v>#N/A</v>
      </c>
      <c r="M37" s="31" t="e">
        <f>VLOOKUP($D37,Résultats!$B$2:$AZ$251,M$2,FALSE)</f>
        <v>#N/A</v>
      </c>
      <c r="N37" s="31" t="e">
        <f>VLOOKUP($D37,Résultats!$B$2:$AZ$251,N$2,FALSE)</f>
        <v>#N/A</v>
      </c>
      <c r="O37" s="31" t="e">
        <f>VLOOKUP($D37,Résultats!$B$2:$AZ$251,O$2,FALSE)</f>
        <v>#N/A</v>
      </c>
      <c r="P37" s="31" t="e">
        <f>VLOOKUP($D37,Résultats!$B$2:$AZ$251,P$2,FALSE)</f>
        <v>#N/A</v>
      </c>
      <c r="Q37" s="31" t="e">
        <f>VLOOKUP($D37,Résultats!$B$2:$AZ$251,Q$2,FALSE)</f>
        <v>#N/A</v>
      </c>
      <c r="R37" s="31" t="e">
        <f>VLOOKUP($D37,Résultats!$B$2:$AZ$251,R$2,FALSE)</f>
        <v>#N/A</v>
      </c>
      <c r="S37" s="31" t="e">
        <f>VLOOKUP($D37,Résultats!$B$2:$AZ$251,S$2,FALSE)</f>
        <v>#N/A</v>
      </c>
      <c r="T37" s="31" t="e">
        <f>VLOOKUP($D37,Résultats!$B$2:$AZ$251,T$2,FALSE)</f>
        <v>#N/A</v>
      </c>
      <c r="U37" s="31" t="e">
        <f>VLOOKUP($D37,Résultats!$B$2:$AZ$251,U$2,FALSE)</f>
        <v>#N/A</v>
      </c>
      <c r="V37" s="31" t="e">
        <f>VLOOKUP($D37,Résultats!$B$2:$AZ$251,V$2,FALSE)</f>
        <v>#N/A</v>
      </c>
      <c r="W37" s="31" t="e">
        <f>VLOOKUP($D37,Résultats!$B$2:$AZ$251,W$2,FALSE)</f>
        <v>#N/A</v>
      </c>
      <c r="X37" s="31" t="e">
        <f>VLOOKUP($D37,Résultats!$B$2:$AZ$251,X$2,FALSE)</f>
        <v>#N/A</v>
      </c>
      <c r="Y37" s="31" t="e">
        <f>VLOOKUP($D37,Résultats!$B$2:$AZ$251,Y$2,FALSE)</f>
        <v>#N/A</v>
      </c>
      <c r="Z37" s="31" t="e">
        <f>VLOOKUP($D37,Résultats!$B$2:$AZ$251,Z$2,FALSE)</f>
        <v>#N/A</v>
      </c>
      <c r="AA37" s="31" t="e">
        <f>VLOOKUP($D37,Résultats!$B$2:$AZ$251,AA$2,FALSE)</f>
        <v>#N/A</v>
      </c>
      <c r="AB37" s="31" t="e">
        <f>VLOOKUP($D37,Résultats!$B$2:$AZ$251,AB$2,FALSE)</f>
        <v>#N/A</v>
      </c>
      <c r="AC37" s="31" t="e">
        <f>VLOOKUP($D37,Résultats!$B$2:$AZ$251,AC$2,FALSE)</f>
        <v>#N/A</v>
      </c>
      <c r="AD37" s="31" t="e">
        <f>VLOOKUP($D37,Résultats!$B$2:$AZ$251,AD$2,FALSE)</f>
        <v>#N/A</v>
      </c>
      <c r="AE37" s="31" t="e">
        <f>VLOOKUP($D37,Résultats!$B$2:$AZ$251,AE$2,FALSE)</f>
        <v>#N/A</v>
      </c>
      <c r="AF37" s="31" t="e">
        <f>VLOOKUP($D37,Résultats!$B$2:$AZ$251,AF$2,FALSE)</f>
        <v>#N/A</v>
      </c>
      <c r="AG37" s="31" t="e">
        <f>VLOOKUP($D37,Résultats!$B$2:$AZ$251,AG$2,FALSE)</f>
        <v>#N/A</v>
      </c>
      <c r="AH37" s="31" t="e">
        <f>VLOOKUP($D37,Résultats!$B$2:$AZ$251,AH$2,FALSE)</f>
        <v>#N/A</v>
      </c>
      <c r="AI37" s="31" t="e">
        <f>VLOOKUP($D37,Résultats!$B$2:$AZ$251,AI$2,FALSE)</f>
        <v>#N/A</v>
      </c>
      <c r="AJ37" s="31" t="e">
        <f>VLOOKUP($D37,Résultats!$B$2:$AZ$251,AJ$2,FALSE)</f>
        <v>#N/A</v>
      </c>
      <c r="AK37" s="31" t="e">
        <f>VLOOKUP($D37,Résultats!$B$2:$AZ$251,AK$2,FALSE)</f>
        <v>#N/A</v>
      </c>
      <c r="AL37" s="31" t="e">
        <f>VLOOKUP($D37,Résultats!$B$2:$AZ$251,AL$2,FALSE)</f>
        <v>#N/A</v>
      </c>
      <c r="AM37" s="31" t="e">
        <f>VLOOKUP($D37,Résultats!$B$2:$AZ$251,AM$2,FALSE)</f>
        <v>#N/A</v>
      </c>
    </row>
    <row r="38" spans="2:39" x14ac:dyDescent="0.25">
      <c r="C38" s="56" t="s">
        <v>29</v>
      </c>
      <c r="D38" s="3" t="s">
        <v>68</v>
      </c>
      <c r="E38" s="31" t="e">
        <f>VLOOKUP($D38,Résultats!$B$2:$AZ$251,E$2,FALSE)</f>
        <v>#N/A</v>
      </c>
      <c r="F38" s="31" t="e">
        <f>VLOOKUP($D38,Résultats!$B$2:$AZ$251,F$2,FALSE)</f>
        <v>#N/A</v>
      </c>
      <c r="G38" s="31" t="e">
        <f>VLOOKUP($D38,Résultats!$B$2:$AZ$251,G$2,FALSE)</f>
        <v>#N/A</v>
      </c>
      <c r="H38" s="31" t="e">
        <f>VLOOKUP($D38,Résultats!$B$2:$AZ$251,H$2,FALSE)</f>
        <v>#N/A</v>
      </c>
      <c r="I38" s="31" t="e">
        <f>VLOOKUP($D38,Résultats!$B$2:$AZ$251,I$2,FALSE)</f>
        <v>#N/A</v>
      </c>
      <c r="J38" s="31" t="e">
        <f>VLOOKUP($D38,Résultats!$B$2:$AZ$251,J$2,FALSE)</f>
        <v>#N/A</v>
      </c>
      <c r="K38" s="31" t="e">
        <f>VLOOKUP($D38,Résultats!$B$2:$AZ$251,K$2,FALSE)</f>
        <v>#N/A</v>
      </c>
      <c r="L38" s="31" t="e">
        <f>VLOOKUP($D38,Résultats!$B$2:$AZ$251,L$2,FALSE)</f>
        <v>#N/A</v>
      </c>
      <c r="M38" s="31" t="e">
        <f>VLOOKUP($D38,Résultats!$B$2:$AZ$251,M$2,FALSE)</f>
        <v>#N/A</v>
      </c>
      <c r="N38" s="31" t="e">
        <f>VLOOKUP($D38,Résultats!$B$2:$AZ$251,N$2,FALSE)</f>
        <v>#N/A</v>
      </c>
      <c r="O38" s="31" t="e">
        <f>VLOOKUP($D38,Résultats!$B$2:$AZ$251,O$2,FALSE)</f>
        <v>#N/A</v>
      </c>
      <c r="P38" s="31" t="e">
        <f>VLOOKUP($D38,Résultats!$B$2:$AZ$251,P$2,FALSE)</f>
        <v>#N/A</v>
      </c>
      <c r="Q38" s="31" t="e">
        <f>VLOOKUP($D38,Résultats!$B$2:$AZ$251,Q$2,FALSE)</f>
        <v>#N/A</v>
      </c>
      <c r="R38" s="31" t="e">
        <f>VLOOKUP($D38,Résultats!$B$2:$AZ$251,R$2,FALSE)</f>
        <v>#N/A</v>
      </c>
      <c r="S38" s="31" t="e">
        <f>VLOOKUP($D38,Résultats!$B$2:$AZ$251,S$2,FALSE)</f>
        <v>#N/A</v>
      </c>
      <c r="T38" s="31" t="e">
        <f>VLOOKUP($D38,Résultats!$B$2:$AZ$251,T$2,FALSE)</f>
        <v>#N/A</v>
      </c>
      <c r="U38" s="31" t="e">
        <f>VLOOKUP($D38,Résultats!$B$2:$AZ$251,U$2,FALSE)</f>
        <v>#N/A</v>
      </c>
      <c r="V38" s="31" t="e">
        <f>VLOOKUP($D38,Résultats!$B$2:$AZ$251,V$2,FALSE)</f>
        <v>#N/A</v>
      </c>
      <c r="W38" s="31" t="e">
        <f>VLOOKUP($D38,Résultats!$B$2:$AZ$251,W$2,FALSE)</f>
        <v>#N/A</v>
      </c>
      <c r="X38" s="31" t="e">
        <f>VLOOKUP($D38,Résultats!$B$2:$AZ$251,X$2,FALSE)</f>
        <v>#N/A</v>
      </c>
      <c r="Y38" s="31" t="e">
        <f>VLOOKUP($D38,Résultats!$B$2:$AZ$251,Y$2,FALSE)</f>
        <v>#N/A</v>
      </c>
      <c r="Z38" s="31" t="e">
        <f>VLOOKUP($D38,Résultats!$B$2:$AZ$251,Z$2,FALSE)</f>
        <v>#N/A</v>
      </c>
      <c r="AA38" s="31" t="e">
        <f>VLOOKUP($D38,Résultats!$B$2:$AZ$251,AA$2,FALSE)</f>
        <v>#N/A</v>
      </c>
      <c r="AB38" s="31" t="e">
        <f>VLOOKUP($D38,Résultats!$B$2:$AZ$251,AB$2,FALSE)</f>
        <v>#N/A</v>
      </c>
      <c r="AC38" s="31" t="e">
        <f>VLOOKUP($D38,Résultats!$B$2:$AZ$251,AC$2,FALSE)</f>
        <v>#N/A</v>
      </c>
      <c r="AD38" s="31" t="e">
        <f>VLOOKUP($D38,Résultats!$B$2:$AZ$251,AD$2,FALSE)</f>
        <v>#N/A</v>
      </c>
      <c r="AE38" s="31" t="e">
        <f>VLOOKUP($D38,Résultats!$B$2:$AZ$251,AE$2,FALSE)</f>
        <v>#N/A</v>
      </c>
      <c r="AF38" s="31" t="e">
        <f>VLOOKUP($D38,Résultats!$B$2:$AZ$251,AF$2,FALSE)</f>
        <v>#N/A</v>
      </c>
      <c r="AG38" s="31" t="e">
        <f>VLOOKUP($D38,Résultats!$B$2:$AZ$251,AG$2,FALSE)</f>
        <v>#N/A</v>
      </c>
      <c r="AH38" s="31" t="e">
        <f>VLOOKUP($D38,Résultats!$B$2:$AZ$251,AH$2,FALSE)</f>
        <v>#N/A</v>
      </c>
      <c r="AI38" s="31" t="e">
        <f>VLOOKUP($D38,Résultats!$B$2:$AZ$251,AI$2,FALSE)</f>
        <v>#N/A</v>
      </c>
      <c r="AJ38" s="31" t="e">
        <f>VLOOKUP($D38,Résultats!$B$2:$AZ$251,AJ$2,FALSE)</f>
        <v>#N/A</v>
      </c>
      <c r="AK38" s="31" t="e">
        <f>VLOOKUP($D38,Résultats!$B$2:$AZ$251,AK$2,FALSE)</f>
        <v>#N/A</v>
      </c>
      <c r="AL38" s="31" t="e">
        <f>VLOOKUP($D38,Résultats!$B$2:$AZ$251,AL$2,FALSE)</f>
        <v>#N/A</v>
      </c>
      <c r="AM38" s="31" t="e">
        <f>VLOOKUP($D38,Résultats!$B$2:$AZ$251,AM$2,FALSE)</f>
        <v>#N/A</v>
      </c>
    </row>
    <row r="39" spans="2:39" x14ac:dyDescent="0.25">
      <c r="C39" s="56" t="s">
        <v>30</v>
      </c>
      <c r="D39" s="3" t="s">
        <v>69</v>
      </c>
      <c r="E39" s="31" t="e">
        <f>VLOOKUP($D39,Résultats!$B$2:$AZ$251,E$2,FALSE)</f>
        <v>#N/A</v>
      </c>
      <c r="F39" s="31" t="e">
        <f>VLOOKUP($D39,Résultats!$B$2:$AZ$251,F$2,FALSE)</f>
        <v>#N/A</v>
      </c>
      <c r="G39" s="31" t="e">
        <f>VLOOKUP($D39,Résultats!$B$2:$AZ$251,G$2,FALSE)</f>
        <v>#N/A</v>
      </c>
      <c r="H39" s="31" t="e">
        <f>VLOOKUP($D39,Résultats!$B$2:$AZ$251,H$2,FALSE)</f>
        <v>#N/A</v>
      </c>
      <c r="I39" s="31" t="e">
        <f>VLOOKUP($D39,Résultats!$B$2:$AZ$251,I$2,FALSE)</f>
        <v>#N/A</v>
      </c>
      <c r="J39" s="31" t="e">
        <f>VLOOKUP($D39,Résultats!$B$2:$AZ$251,J$2,FALSE)</f>
        <v>#N/A</v>
      </c>
      <c r="K39" s="31" t="e">
        <f>VLOOKUP($D39,Résultats!$B$2:$AZ$251,K$2,FALSE)</f>
        <v>#N/A</v>
      </c>
      <c r="L39" s="31" t="e">
        <f>VLOOKUP($D39,Résultats!$B$2:$AZ$251,L$2,FALSE)</f>
        <v>#N/A</v>
      </c>
      <c r="M39" s="31" t="e">
        <f>VLOOKUP($D39,Résultats!$B$2:$AZ$251,M$2,FALSE)</f>
        <v>#N/A</v>
      </c>
      <c r="N39" s="31" t="e">
        <f>VLOOKUP($D39,Résultats!$B$2:$AZ$251,N$2,FALSE)</f>
        <v>#N/A</v>
      </c>
      <c r="O39" s="31" t="e">
        <f>VLOOKUP($D39,Résultats!$B$2:$AZ$251,O$2,FALSE)</f>
        <v>#N/A</v>
      </c>
      <c r="P39" s="31" t="e">
        <f>VLOOKUP($D39,Résultats!$B$2:$AZ$251,P$2,FALSE)</f>
        <v>#N/A</v>
      </c>
      <c r="Q39" s="31" t="e">
        <f>VLOOKUP($D39,Résultats!$B$2:$AZ$251,Q$2,FALSE)</f>
        <v>#N/A</v>
      </c>
      <c r="R39" s="31" t="e">
        <f>VLOOKUP($D39,Résultats!$B$2:$AZ$251,R$2,FALSE)</f>
        <v>#N/A</v>
      </c>
      <c r="S39" s="31" t="e">
        <f>VLOOKUP($D39,Résultats!$B$2:$AZ$251,S$2,FALSE)</f>
        <v>#N/A</v>
      </c>
      <c r="T39" s="31" t="e">
        <f>VLOOKUP($D39,Résultats!$B$2:$AZ$251,T$2,FALSE)</f>
        <v>#N/A</v>
      </c>
      <c r="U39" s="31" t="e">
        <f>VLOOKUP($D39,Résultats!$B$2:$AZ$251,U$2,FALSE)</f>
        <v>#N/A</v>
      </c>
      <c r="V39" s="31" t="e">
        <f>VLOOKUP($D39,Résultats!$B$2:$AZ$251,V$2,FALSE)</f>
        <v>#N/A</v>
      </c>
      <c r="W39" s="31" t="e">
        <f>VLOOKUP($D39,Résultats!$B$2:$AZ$251,W$2,FALSE)</f>
        <v>#N/A</v>
      </c>
      <c r="X39" s="31" t="e">
        <f>VLOOKUP($D39,Résultats!$B$2:$AZ$251,X$2,FALSE)</f>
        <v>#N/A</v>
      </c>
      <c r="Y39" s="31" t="e">
        <f>VLOOKUP($D39,Résultats!$B$2:$AZ$251,Y$2,FALSE)</f>
        <v>#N/A</v>
      </c>
      <c r="Z39" s="31" t="e">
        <f>VLOOKUP($D39,Résultats!$B$2:$AZ$251,Z$2,FALSE)</f>
        <v>#N/A</v>
      </c>
      <c r="AA39" s="31" t="e">
        <f>VLOOKUP($D39,Résultats!$B$2:$AZ$251,AA$2,FALSE)</f>
        <v>#N/A</v>
      </c>
      <c r="AB39" s="31" t="e">
        <f>VLOOKUP($D39,Résultats!$B$2:$AZ$251,AB$2,FALSE)</f>
        <v>#N/A</v>
      </c>
      <c r="AC39" s="31" t="e">
        <f>VLOOKUP($D39,Résultats!$B$2:$AZ$251,AC$2,FALSE)</f>
        <v>#N/A</v>
      </c>
      <c r="AD39" s="31" t="e">
        <f>VLOOKUP($D39,Résultats!$B$2:$AZ$251,AD$2,FALSE)</f>
        <v>#N/A</v>
      </c>
      <c r="AE39" s="31" t="e">
        <f>VLOOKUP($D39,Résultats!$B$2:$AZ$251,AE$2,FALSE)</f>
        <v>#N/A</v>
      </c>
      <c r="AF39" s="31" t="e">
        <f>VLOOKUP($D39,Résultats!$B$2:$AZ$251,AF$2,FALSE)</f>
        <v>#N/A</v>
      </c>
      <c r="AG39" s="31" t="e">
        <f>VLOOKUP($D39,Résultats!$B$2:$AZ$251,AG$2,FALSE)</f>
        <v>#N/A</v>
      </c>
      <c r="AH39" s="31" t="e">
        <f>VLOOKUP($D39,Résultats!$B$2:$AZ$251,AH$2,FALSE)</f>
        <v>#N/A</v>
      </c>
      <c r="AI39" s="31" t="e">
        <f>VLOOKUP($D39,Résultats!$B$2:$AZ$251,AI$2,FALSE)</f>
        <v>#N/A</v>
      </c>
      <c r="AJ39" s="31" t="e">
        <f>VLOOKUP($D39,Résultats!$B$2:$AZ$251,AJ$2,FALSE)</f>
        <v>#N/A</v>
      </c>
      <c r="AK39" s="31" t="e">
        <f>VLOOKUP($D39,Résultats!$B$2:$AZ$251,AK$2,FALSE)</f>
        <v>#N/A</v>
      </c>
      <c r="AL39" s="31" t="e">
        <f>VLOOKUP($D39,Résultats!$B$2:$AZ$251,AL$2,FALSE)</f>
        <v>#N/A</v>
      </c>
      <c r="AM39" s="31" t="e">
        <f>VLOOKUP($D39,Résultats!$B$2:$AZ$251,AM$2,FALSE)</f>
        <v>#N/A</v>
      </c>
    </row>
    <row r="40" spans="2:39" x14ac:dyDescent="0.25">
      <c r="C40" s="56" t="s">
        <v>31</v>
      </c>
      <c r="D40" s="3" t="s">
        <v>70</v>
      </c>
      <c r="E40" s="31" t="e">
        <f>VLOOKUP($D40,Résultats!$B$2:$AZ$251,E$2,FALSE)</f>
        <v>#N/A</v>
      </c>
      <c r="F40" s="31" t="e">
        <f>VLOOKUP($D40,Résultats!$B$2:$AZ$251,F$2,FALSE)</f>
        <v>#N/A</v>
      </c>
      <c r="G40" s="31" t="e">
        <f>VLOOKUP($D40,Résultats!$B$2:$AZ$251,G$2,FALSE)</f>
        <v>#N/A</v>
      </c>
      <c r="H40" s="31" t="e">
        <f>VLOOKUP($D40,Résultats!$B$2:$AZ$251,H$2,FALSE)</f>
        <v>#N/A</v>
      </c>
      <c r="I40" s="31" t="e">
        <f>VLOOKUP($D40,Résultats!$B$2:$AZ$251,I$2,FALSE)</f>
        <v>#N/A</v>
      </c>
      <c r="J40" s="31" t="e">
        <f>VLOOKUP($D40,Résultats!$B$2:$AZ$251,J$2,FALSE)</f>
        <v>#N/A</v>
      </c>
      <c r="K40" s="31" t="e">
        <f>VLOOKUP($D40,Résultats!$B$2:$AZ$251,K$2,FALSE)</f>
        <v>#N/A</v>
      </c>
      <c r="L40" s="31" t="e">
        <f>VLOOKUP($D40,Résultats!$B$2:$AZ$251,L$2,FALSE)</f>
        <v>#N/A</v>
      </c>
      <c r="M40" s="31" t="e">
        <f>VLOOKUP($D40,Résultats!$B$2:$AZ$251,M$2,FALSE)</f>
        <v>#N/A</v>
      </c>
      <c r="N40" s="31" t="e">
        <f>VLOOKUP($D40,Résultats!$B$2:$AZ$251,N$2,FALSE)</f>
        <v>#N/A</v>
      </c>
      <c r="O40" s="31" t="e">
        <f>VLOOKUP($D40,Résultats!$B$2:$AZ$251,O$2,FALSE)</f>
        <v>#N/A</v>
      </c>
      <c r="P40" s="31" t="e">
        <f>VLOOKUP($D40,Résultats!$B$2:$AZ$251,P$2,FALSE)</f>
        <v>#N/A</v>
      </c>
      <c r="Q40" s="31" t="e">
        <f>VLOOKUP($D40,Résultats!$B$2:$AZ$251,Q$2,FALSE)</f>
        <v>#N/A</v>
      </c>
      <c r="R40" s="31" t="e">
        <f>VLOOKUP($D40,Résultats!$B$2:$AZ$251,R$2,FALSE)</f>
        <v>#N/A</v>
      </c>
      <c r="S40" s="31" t="e">
        <f>VLOOKUP($D40,Résultats!$B$2:$AZ$251,S$2,FALSE)</f>
        <v>#N/A</v>
      </c>
      <c r="T40" s="31" t="e">
        <f>VLOOKUP($D40,Résultats!$B$2:$AZ$251,T$2,FALSE)</f>
        <v>#N/A</v>
      </c>
      <c r="U40" s="31" t="e">
        <f>VLOOKUP($D40,Résultats!$B$2:$AZ$251,U$2,FALSE)</f>
        <v>#N/A</v>
      </c>
      <c r="V40" s="31" t="e">
        <f>VLOOKUP($D40,Résultats!$B$2:$AZ$251,V$2,FALSE)</f>
        <v>#N/A</v>
      </c>
      <c r="W40" s="31" t="e">
        <f>VLOOKUP($D40,Résultats!$B$2:$AZ$251,W$2,FALSE)</f>
        <v>#N/A</v>
      </c>
      <c r="X40" s="31" t="e">
        <f>VLOOKUP($D40,Résultats!$B$2:$AZ$251,X$2,FALSE)</f>
        <v>#N/A</v>
      </c>
      <c r="Y40" s="31" t="e">
        <f>VLOOKUP($D40,Résultats!$B$2:$AZ$251,Y$2,FALSE)</f>
        <v>#N/A</v>
      </c>
      <c r="Z40" s="31" t="e">
        <f>VLOOKUP($D40,Résultats!$B$2:$AZ$251,Z$2,FALSE)</f>
        <v>#N/A</v>
      </c>
      <c r="AA40" s="31" t="e">
        <f>VLOOKUP($D40,Résultats!$B$2:$AZ$251,AA$2,FALSE)</f>
        <v>#N/A</v>
      </c>
      <c r="AB40" s="31" t="e">
        <f>VLOOKUP($D40,Résultats!$B$2:$AZ$251,AB$2,FALSE)</f>
        <v>#N/A</v>
      </c>
      <c r="AC40" s="31" t="e">
        <f>VLOOKUP($D40,Résultats!$B$2:$AZ$251,AC$2,FALSE)</f>
        <v>#N/A</v>
      </c>
      <c r="AD40" s="31" t="e">
        <f>VLOOKUP($D40,Résultats!$B$2:$AZ$251,AD$2,FALSE)</f>
        <v>#N/A</v>
      </c>
      <c r="AE40" s="31" t="e">
        <f>VLOOKUP($D40,Résultats!$B$2:$AZ$251,AE$2,FALSE)</f>
        <v>#N/A</v>
      </c>
      <c r="AF40" s="31" t="e">
        <f>VLOOKUP($D40,Résultats!$B$2:$AZ$251,AF$2,FALSE)</f>
        <v>#N/A</v>
      </c>
      <c r="AG40" s="31" t="e">
        <f>VLOOKUP($D40,Résultats!$B$2:$AZ$251,AG$2,FALSE)</f>
        <v>#N/A</v>
      </c>
      <c r="AH40" s="31" t="e">
        <f>VLOOKUP($D40,Résultats!$B$2:$AZ$251,AH$2,FALSE)</f>
        <v>#N/A</v>
      </c>
      <c r="AI40" s="31" t="e">
        <f>VLOOKUP($D40,Résultats!$B$2:$AZ$251,AI$2,FALSE)</f>
        <v>#N/A</v>
      </c>
      <c r="AJ40" s="31" t="e">
        <f>VLOOKUP($D40,Résultats!$B$2:$AZ$251,AJ$2,FALSE)</f>
        <v>#N/A</v>
      </c>
      <c r="AK40" s="31" t="e">
        <f>VLOOKUP($D40,Résultats!$B$2:$AZ$251,AK$2,FALSE)</f>
        <v>#N/A</v>
      </c>
      <c r="AL40" s="31" t="e">
        <f>VLOOKUP($D40,Résultats!$B$2:$AZ$251,AL$2,FALSE)</f>
        <v>#N/A</v>
      </c>
      <c r="AM40" s="31" t="e">
        <f>VLOOKUP($D40,Résultats!$B$2:$AZ$251,AM$2,FALSE)</f>
        <v>#N/A</v>
      </c>
    </row>
    <row r="41" spans="2:39" x14ac:dyDescent="0.25">
      <c r="C41" s="56" t="s">
        <v>32</v>
      </c>
      <c r="D41" s="3" t="s">
        <v>71</v>
      </c>
      <c r="E41" s="31" t="e">
        <f>VLOOKUP($D41,Résultats!$B$2:$AZ$251,E$2,FALSE)</f>
        <v>#N/A</v>
      </c>
      <c r="F41" s="31" t="e">
        <f>VLOOKUP($D41,Résultats!$B$2:$AZ$251,F$2,FALSE)</f>
        <v>#N/A</v>
      </c>
      <c r="G41" s="31" t="e">
        <f>VLOOKUP($D41,Résultats!$B$2:$AZ$251,G$2,FALSE)</f>
        <v>#N/A</v>
      </c>
      <c r="H41" s="31" t="e">
        <f>VLOOKUP($D41,Résultats!$B$2:$AZ$251,H$2,FALSE)</f>
        <v>#N/A</v>
      </c>
      <c r="I41" s="31" t="e">
        <f>VLOOKUP($D41,Résultats!$B$2:$AZ$251,I$2,FALSE)</f>
        <v>#N/A</v>
      </c>
      <c r="J41" s="31" t="e">
        <f>VLOOKUP($D41,Résultats!$B$2:$AZ$251,J$2,FALSE)</f>
        <v>#N/A</v>
      </c>
      <c r="K41" s="31" t="e">
        <f>VLOOKUP($D41,Résultats!$B$2:$AZ$251,K$2,FALSE)</f>
        <v>#N/A</v>
      </c>
      <c r="L41" s="31" t="e">
        <f>VLOOKUP($D41,Résultats!$B$2:$AZ$251,L$2,FALSE)</f>
        <v>#N/A</v>
      </c>
      <c r="M41" s="31" t="e">
        <f>VLOOKUP($D41,Résultats!$B$2:$AZ$251,M$2,FALSE)</f>
        <v>#N/A</v>
      </c>
      <c r="N41" s="31" t="e">
        <f>VLOOKUP($D41,Résultats!$B$2:$AZ$251,N$2,FALSE)</f>
        <v>#N/A</v>
      </c>
      <c r="O41" s="31" t="e">
        <f>VLOOKUP($D41,Résultats!$B$2:$AZ$251,O$2,FALSE)</f>
        <v>#N/A</v>
      </c>
      <c r="P41" s="31" t="e">
        <f>VLOOKUP($D41,Résultats!$B$2:$AZ$251,P$2,FALSE)</f>
        <v>#N/A</v>
      </c>
      <c r="Q41" s="31" t="e">
        <f>VLOOKUP($D41,Résultats!$B$2:$AZ$251,Q$2,FALSE)</f>
        <v>#N/A</v>
      </c>
      <c r="R41" s="31" t="e">
        <f>VLOOKUP($D41,Résultats!$B$2:$AZ$251,R$2,FALSE)</f>
        <v>#N/A</v>
      </c>
      <c r="S41" s="31" t="e">
        <f>VLOOKUP($D41,Résultats!$B$2:$AZ$251,S$2,FALSE)</f>
        <v>#N/A</v>
      </c>
      <c r="T41" s="31" t="e">
        <f>VLOOKUP($D41,Résultats!$B$2:$AZ$251,T$2,FALSE)</f>
        <v>#N/A</v>
      </c>
      <c r="U41" s="31" t="e">
        <f>VLOOKUP($D41,Résultats!$B$2:$AZ$251,U$2,FALSE)</f>
        <v>#N/A</v>
      </c>
      <c r="V41" s="31" t="e">
        <f>VLOOKUP($D41,Résultats!$B$2:$AZ$251,V$2,FALSE)</f>
        <v>#N/A</v>
      </c>
      <c r="W41" s="31" t="e">
        <f>VLOOKUP($D41,Résultats!$B$2:$AZ$251,W$2,FALSE)</f>
        <v>#N/A</v>
      </c>
      <c r="X41" s="31" t="e">
        <f>VLOOKUP($D41,Résultats!$B$2:$AZ$251,X$2,FALSE)</f>
        <v>#N/A</v>
      </c>
      <c r="Y41" s="31" t="e">
        <f>VLOOKUP($D41,Résultats!$B$2:$AZ$251,Y$2,FALSE)</f>
        <v>#N/A</v>
      </c>
      <c r="Z41" s="31" t="e">
        <f>VLOOKUP($D41,Résultats!$B$2:$AZ$251,Z$2,FALSE)</f>
        <v>#N/A</v>
      </c>
      <c r="AA41" s="31" t="e">
        <f>VLOOKUP($D41,Résultats!$B$2:$AZ$251,AA$2,FALSE)</f>
        <v>#N/A</v>
      </c>
      <c r="AB41" s="31" t="e">
        <f>VLOOKUP($D41,Résultats!$B$2:$AZ$251,AB$2,FALSE)</f>
        <v>#N/A</v>
      </c>
      <c r="AC41" s="31" t="e">
        <f>VLOOKUP($D41,Résultats!$B$2:$AZ$251,AC$2,FALSE)</f>
        <v>#N/A</v>
      </c>
      <c r="AD41" s="31" t="e">
        <f>VLOOKUP($D41,Résultats!$B$2:$AZ$251,AD$2,FALSE)</f>
        <v>#N/A</v>
      </c>
      <c r="AE41" s="31" t="e">
        <f>VLOOKUP($D41,Résultats!$B$2:$AZ$251,AE$2,FALSE)</f>
        <v>#N/A</v>
      </c>
      <c r="AF41" s="31" t="e">
        <f>VLOOKUP($D41,Résultats!$B$2:$AZ$251,AF$2,FALSE)</f>
        <v>#N/A</v>
      </c>
      <c r="AG41" s="31" t="e">
        <f>VLOOKUP($D41,Résultats!$B$2:$AZ$251,AG$2,FALSE)</f>
        <v>#N/A</v>
      </c>
      <c r="AH41" s="31" t="e">
        <f>VLOOKUP($D41,Résultats!$B$2:$AZ$251,AH$2,FALSE)</f>
        <v>#N/A</v>
      </c>
      <c r="AI41" s="31" t="e">
        <f>VLOOKUP($D41,Résultats!$B$2:$AZ$251,AI$2,FALSE)</f>
        <v>#N/A</v>
      </c>
      <c r="AJ41" s="31" t="e">
        <f>VLOOKUP($D41,Résultats!$B$2:$AZ$251,AJ$2,FALSE)</f>
        <v>#N/A</v>
      </c>
      <c r="AK41" s="31" t="e">
        <f>VLOOKUP($D41,Résultats!$B$2:$AZ$251,AK$2,FALSE)</f>
        <v>#N/A</v>
      </c>
      <c r="AL41" s="31" t="e">
        <f>VLOOKUP($D41,Résultats!$B$2:$AZ$251,AL$2,FALSE)</f>
        <v>#N/A</v>
      </c>
      <c r="AM41" s="31" t="e">
        <f>VLOOKUP($D41,Résultats!$B$2:$AZ$251,AM$2,FALSE)</f>
        <v>#N/A</v>
      </c>
    </row>
    <row r="42" spans="2:39" x14ac:dyDescent="0.25">
      <c r="C42" s="80" t="s">
        <v>33</v>
      </c>
      <c r="D42" s="7" t="s">
        <v>72</v>
      </c>
      <c r="E42" s="81" t="e">
        <f>VLOOKUP($D42,Résultats!$B$2:$AZ$251,E$2,FALSE)</f>
        <v>#N/A</v>
      </c>
      <c r="F42" s="81" t="e">
        <f>VLOOKUP($D42,Résultats!$B$2:$AZ$251,F$2,FALSE)</f>
        <v>#N/A</v>
      </c>
      <c r="G42" s="81" t="e">
        <f>VLOOKUP($D42,Résultats!$B$2:$AZ$251,G$2,FALSE)</f>
        <v>#N/A</v>
      </c>
      <c r="H42" s="81" t="e">
        <f>VLOOKUP($D42,Résultats!$B$2:$AZ$251,H$2,FALSE)</f>
        <v>#N/A</v>
      </c>
      <c r="I42" s="81" t="e">
        <f>VLOOKUP($D42,Résultats!$B$2:$AZ$251,I$2,FALSE)</f>
        <v>#N/A</v>
      </c>
      <c r="J42" s="81" t="e">
        <f>VLOOKUP($D42,Résultats!$B$2:$AZ$251,J$2,FALSE)</f>
        <v>#N/A</v>
      </c>
      <c r="K42" s="81" t="e">
        <f>VLOOKUP($D42,Résultats!$B$2:$AZ$251,K$2,FALSE)</f>
        <v>#N/A</v>
      </c>
      <c r="L42" s="81" t="e">
        <f>VLOOKUP($D42,Résultats!$B$2:$AZ$251,L$2,FALSE)</f>
        <v>#N/A</v>
      </c>
      <c r="M42" s="81" t="e">
        <f>VLOOKUP($D42,Résultats!$B$2:$AZ$251,M$2,FALSE)</f>
        <v>#N/A</v>
      </c>
      <c r="N42" s="81" t="e">
        <f>VLOOKUP($D42,Résultats!$B$2:$AZ$251,N$2,FALSE)</f>
        <v>#N/A</v>
      </c>
      <c r="O42" s="81" t="e">
        <f>VLOOKUP($D42,Résultats!$B$2:$AZ$251,O$2,FALSE)</f>
        <v>#N/A</v>
      </c>
      <c r="P42" s="81" t="e">
        <f>VLOOKUP($D42,Résultats!$B$2:$AZ$251,P$2,FALSE)</f>
        <v>#N/A</v>
      </c>
      <c r="Q42" s="81" t="e">
        <f>VLOOKUP($D42,Résultats!$B$2:$AZ$251,Q$2,FALSE)</f>
        <v>#N/A</v>
      </c>
      <c r="R42" s="81" t="e">
        <f>VLOOKUP($D42,Résultats!$B$2:$AZ$251,R$2,FALSE)</f>
        <v>#N/A</v>
      </c>
      <c r="S42" s="81" t="e">
        <f>VLOOKUP($D42,Résultats!$B$2:$AZ$251,S$2,FALSE)</f>
        <v>#N/A</v>
      </c>
      <c r="T42" s="81" t="e">
        <f>VLOOKUP($D42,Résultats!$B$2:$AZ$251,T$2,FALSE)</f>
        <v>#N/A</v>
      </c>
      <c r="U42" s="81" t="e">
        <f>VLOOKUP($D42,Résultats!$B$2:$AZ$251,U$2,FALSE)</f>
        <v>#N/A</v>
      </c>
      <c r="V42" s="81" t="e">
        <f>VLOOKUP($D42,Résultats!$B$2:$AZ$251,V$2,FALSE)</f>
        <v>#N/A</v>
      </c>
      <c r="W42" s="81" t="e">
        <f>VLOOKUP($D42,Résultats!$B$2:$AZ$251,W$2,FALSE)</f>
        <v>#N/A</v>
      </c>
      <c r="X42" s="81" t="e">
        <f>VLOOKUP($D42,Résultats!$B$2:$AZ$251,X$2,FALSE)</f>
        <v>#N/A</v>
      </c>
      <c r="Y42" s="81" t="e">
        <f>VLOOKUP($D42,Résultats!$B$2:$AZ$251,Y$2,FALSE)</f>
        <v>#N/A</v>
      </c>
      <c r="Z42" s="81" t="e">
        <f>VLOOKUP($D42,Résultats!$B$2:$AZ$251,Z$2,FALSE)</f>
        <v>#N/A</v>
      </c>
      <c r="AA42" s="81" t="e">
        <f>VLOOKUP($D42,Résultats!$B$2:$AZ$251,AA$2,FALSE)</f>
        <v>#N/A</v>
      </c>
      <c r="AB42" s="81" t="e">
        <f>VLOOKUP($D42,Résultats!$B$2:$AZ$251,AB$2,FALSE)</f>
        <v>#N/A</v>
      </c>
      <c r="AC42" s="81" t="e">
        <f>VLOOKUP($D42,Résultats!$B$2:$AZ$251,AC$2,FALSE)</f>
        <v>#N/A</v>
      </c>
      <c r="AD42" s="81" t="e">
        <f>VLOOKUP($D42,Résultats!$B$2:$AZ$251,AD$2,FALSE)</f>
        <v>#N/A</v>
      </c>
      <c r="AE42" s="81" t="e">
        <f>VLOOKUP($D42,Résultats!$B$2:$AZ$251,AE$2,FALSE)</f>
        <v>#N/A</v>
      </c>
      <c r="AF42" s="81" t="e">
        <f>VLOOKUP($D42,Résultats!$B$2:$AZ$251,AF$2,FALSE)</f>
        <v>#N/A</v>
      </c>
      <c r="AG42" s="81" t="e">
        <f>VLOOKUP($D42,Résultats!$B$2:$AZ$251,AG$2,FALSE)</f>
        <v>#N/A</v>
      </c>
      <c r="AH42" s="81" t="e">
        <f>VLOOKUP($D42,Résultats!$B$2:$AZ$251,AH$2,FALSE)</f>
        <v>#N/A</v>
      </c>
      <c r="AI42" s="81" t="e">
        <f>VLOOKUP($D42,Résultats!$B$2:$AZ$251,AI$2,FALSE)</f>
        <v>#N/A</v>
      </c>
      <c r="AJ42" s="81" t="e">
        <f>VLOOKUP($D42,Résultats!$B$2:$AZ$251,AJ$2,FALSE)</f>
        <v>#N/A</v>
      </c>
      <c r="AK42" s="81" t="e">
        <f>VLOOKUP($D42,Résultats!$B$2:$AZ$251,AK$2,FALSE)</f>
        <v>#N/A</v>
      </c>
      <c r="AL42" s="81" t="e">
        <f>VLOOKUP($D42,Résultats!$B$2:$AZ$251,AL$2,FALSE)</f>
        <v>#N/A</v>
      </c>
      <c r="AM42" s="81" t="e">
        <f>VLOOKUP($D42,Résultats!$B$2:$AZ$251,AM$2,FALSE)</f>
        <v>#N/A</v>
      </c>
    </row>
    <row r="43" spans="2:39" x14ac:dyDescent="0.25">
      <c r="C43" s="56"/>
      <c r="D43" s="3"/>
      <c r="E43" s="127"/>
      <c r="F43" s="127"/>
      <c r="G43" s="127"/>
      <c r="H43" s="127"/>
      <c r="I43" s="127"/>
      <c r="J43" s="126"/>
      <c r="K43" s="31"/>
      <c r="L43" s="31"/>
      <c r="M43" s="31"/>
      <c r="N43" s="127"/>
      <c r="O43" s="126"/>
      <c r="P43" s="31"/>
      <c r="Q43" s="31"/>
      <c r="R43" s="31"/>
      <c r="S43" s="127"/>
      <c r="T43" s="127"/>
      <c r="U43" s="127"/>
      <c r="V43" s="127"/>
      <c r="W43" s="127"/>
      <c r="X43" s="31"/>
      <c r="Y43" s="31"/>
      <c r="Z43" s="31"/>
      <c r="AA43" s="31"/>
      <c r="AB43" s="31"/>
      <c r="AC43" s="130"/>
      <c r="AD43" s="130"/>
      <c r="AE43" s="130"/>
      <c r="AF43" s="130"/>
      <c r="AG43" s="130"/>
      <c r="AH43" s="31"/>
      <c r="AI43" s="31"/>
      <c r="AJ43" s="31"/>
      <c r="AK43" s="31"/>
      <c r="AL43" s="31"/>
      <c r="AM43" s="130"/>
    </row>
    <row r="44" spans="2:39" x14ac:dyDescent="0.25">
      <c r="B44" s="23" t="s">
        <v>163</v>
      </c>
      <c r="C44" s="82" t="s">
        <v>134</v>
      </c>
      <c r="D44" s="82" t="s">
        <v>45</v>
      </c>
      <c r="E44" s="124" t="e">
        <f>VLOOKUP($D49,Résultats!$B$2:$AZ$212,E$2,FALSE)</f>
        <v>#N/A</v>
      </c>
      <c r="F44" s="124" t="e">
        <f>VLOOKUP($D49,Résultats!$B$2:$AZ$212,F$2,FALSE)</f>
        <v>#N/A</v>
      </c>
      <c r="G44" s="124" t="e">
        <f>VLOOKUP($D49,Résultats!$B$2:$AZ$212,G$2,FALSE)</f>
        <v>#N/A</v>
      </c>
      <c r="H44" s="124" t="e">
        <f>VLOOKUP($D49,Résultats!$B$2:$AZ$212,H$2,FALSE)</f>
        <v>#N/A</v>
      </c>
      <c r="I44" s="124" t="e">
        <f>VLOOKUP($D49,Résultats!$B$2:$AZ$212,I$2,FALSE)</f>
        <v>#N/A</v>
      </c>
      <c r="J44" s="124" t="e">
        <f>VLOOKUP($D49,Résultats!$B$2:$AZ$212,J$2,FALSE)</f>
        <v>#N/A</v>
      </c>
      <c r="K44" s="124" t="e">
        <f>VLOOKUP($D49,Résultats!$B$2:$AZ$212,K$2,FALSE)</f>
        <v>#N/A</v>
      </c>
      <c r="L44" s="124" t="e">
        <f>VLOOKUP($D49,Résultats!$B$2:$AZ$212,L$2,FALSE)</f>
        <v>#N/A</v>
      </c>
      <c r="M44" s="124" t="e">
        <f>VLOOKUP($D49,Résultats!$B$2:$AZ$212,M$2,FALSE)</f>
        <v>#N/A</v>
      </c>
      <c r="N44" s="124" t="e">
        <f>VLOOKUP($D49,Résultats!$B$2:$AZ$212,N$2,FALSE)</f>
        <v>#N/A</v>
      </c>
      <c r="O44" s="124" t="e">
        <f>VLOOKUP($D49,Résultats!$B$2:$AZ$212,O$2,FALSE)</f>
        <v>#N/A</v>
      </c>
      <c r="P44" s="124" t="e">
        <f>VLOOKUP($D49,Résultats!$B$2:$AZ$212,P$2,FALSE)</f>
        <v>#N/A</v>
      </c>
      <c r="Q44" s="124" t="e">
        <f>VLOOKUP($D49,Résultats!$B$2:$AZ$212,Q$2,FALSE)</f>
        <v>#N/A</v>
      </c>
      <c r="R44" s="124" t="e">
        <f>VLOOKUP($D49,Résultats!$B$2:$AZ$212,R$2,FALSE)</f>
        <v>#N/A</v>
      </c>
      <c r="S44" s="124" t="e">
        <f>VLOOKUP($D49,Résultats!$B$2:$AZ$212,S$2,FALSE)</f>
        <v>#N/A</v>
      </c>
      <c r="T44" s="124" t="e">
        <f>VLOOKUP($D49,Résultats!$B$2:$AZ$212,T$2,FALSE)</f>
        <v>#N/A</v>
      </c>
      <c r="U44" s="124" t="e">
        <f>VLOOKUP($D49,Résultats!$B$2:$AZ$212,U$2,FALSE)</f>
        <v>#N/A</v>
      </c>
      <c r="V44" s="124" t="e">
        <f>VLOOKUP($D49,Résultats!$B$2:$AZ$212,V$2,FALSE)</f>
        <v>#N/A</v>
      </c>
      <c r="W44" s="124" t="e">
        <f>VLOOKUP($D49,Résultats!$B$2:$AZ$212,W$2,FALSE)</f>
        <v>#N/A</v>
      </c>
      <c r="X44" s="124" t="e">
        <f>VLOOKUP($D49,Résultats!$B$2:$AZ$212,X$2,FALSE)</f>
        <v>#N/A</v>
      </c>
      <c r="Y44" s="124" t="e">
        <f>VLOOKUP($D49,Résultats!$B$2:$AZ$212,Y$2,FALSE)</f>
        <v>#N/A</v>
      </c>
      <c r="Z44" s="124" t="e">
        <f>VLOOKUP($D49,Résultats!$B$2:$AZ$212,Z$2,FALSE)</f>
        <v>#N/A</v>
      </c>
      <c r="AA44" s="124" t="e">
        <f>VLOOKUP($D49,Résultats!$B$2:$AZ$212,AA$2,FALSE)</f>
        <v>#N/A</v>
      </c>
      <c r="AB44" s="124" t="e">
        <f>VLOOKUP($D49,Résultats!$B$2:$AZ$212,AB$2,FALSE)</f>
        <v>#N/A</v>
      </c>
      <c r="AC44" s="124" t="e">
        <f>VLOOKUP($D49,Résultats!$B$2:$AZ$212,AC$2,FALSE)</f>
        <v>#N/A</v>
      </c>
      <c r="AD44" s="124" t="e">
        <f>VLOOKUP($D49,Résultats!$B$2:$AZ$212,AD$2,FALSE)</f>
        <v>#N/A</v>
      </c>
      <c r="AE44" s="124" t="e">
        <f>VLOOKUP($D49,Résultats!$B$2:$AZ$212,AE$2,FALSE)</f>
        <v>#N/A</v>
      </c>
      <c r="AF44" s="124" t="e">
        <f>VLOOKUP($D49,Résultats!$B$2:$AZ$212,AF$2,FALSE)</f>
        <v>#N/A</v>
      </c>
      <c r="AG44" s="124" t="e">
        <f>VLOOKUP($D49,Résultats!$B$2:$AZ$212,AG$2,FALSE)</f>
        <v>#N/A</v>
      </c>
      <c r="AH44" s="124" t="e">
        <f>VLOOKUP($D49,Résultats!$B$2:$AZ$212,AH$2,FALSE)</f>
        <v>#N/A</v>
      </c>
      <c r="AI44" s="124" t="e">
        <f>VLOOKUP($D49,Résultats!$B$2:$AZ$212,AI$2,FALSE)</f>
        <v>#N/A</v>
      </c>
      <c r="AJ44" s="124" t="e">
        <f>VLOOKUP($D49,Résultats!$B$2:$AZ$212,AJ$2,FALSE)</f>
        <v>#N/A</v>
      </c>
      <c r="AK44" s="124" t="e">
        <f>VLOOKUP($D49,Résultats!$B$2:$AZ$212,AK$2,FALSE)</f>
        <v>#N/A</v>
      </c>
      <c r="AL44" s="124" t="e">
        <f>VLOOKUP($D49,Résultats!$B$2:$AZ$212,AL$2,FALSE)</f>
        <v>#N/A</v>
      </c>
      <c r="AM44" s="124" t="e">
        <f>VLOOKUP($D49,Résultats!$B$2:$AZ$212,AM$2,FALSE)</f>
        <v>#N/A</v>
      </c>
    </row>
    <row r="45" spans="2:39" x14ac:dyDescent="0.25">
      <c r="C45" s="56" t="s">
        <v>8</v>
      </c>
      <c r="D45" s="78" t="s">
        <v>60</v>
      </c>
      <c r="E45" s="31" t="e">
        <f>VLOOKUP($D45,Résultats!$B$2:$AZ$212,E$2,FALSE)</f>
        <v>#N/A</v>
      </c>
      <c r="F45" s="31" t="e">
        <f>VLOOKUP($D45,Résultats!$B$2:$AZ$212,F$2,FALSE)</f>
        <v>#N/A</v>
      </c>
      <c r="G45" s="31" t="e">
        <f>VLOOKUP($D45,Résultats!$B$2:$AZ$212,G$2,FALSE)</f>
        <v>#N/A</v>
      </c>
      <c r="H45" s="31" t="e">
        <f>VLOOKUP($D45,Résultats!$B$2:$AZ$212,H$2,FALSE)</f>
        <v>#N/A</v>
      </c>
      <c r="I45" s="31" t="e">
        <f>VLOOKUP($D45,Résultats!$B$2:$AZ$212,I$2,FALSE)</f>
        <v>#N/A</v>
      </c>
      <c r="J45" s="31" t="e">
        <f>VLOOKUP($D45,Résultats!$B$2:$AZ$212,J$2,FALSE)</f>
        <v>#N/A</v>
      </c>
      <c r="K45" s="31" t="e">
        <f>VLOOKUP($D45,Résultats!$B$2:$AZ$212,K$2,FALSE)</f>
        <v>#N/A</v>
      </c>
      <c r="L45" s="31" t="e">
        <f>VLOOKUP($D45,Résultats!$B$2:$AZ$212,L$2,FALSE)</f>
        <v>#N/A</v>
      </c>
      <c r="M45" s="31" t="e">
        <f>VLOOKUP($D45,Résultats!$B$2:$AZ$212,M$2,FALSE)</f>
        <v>#N/A</v>
      </c>
      <c r="N45" s="31" t="e">
        <f>VLOOKUP($D45,Résultats!$B$2:$AZ$212,N$2,FALSE)</f>
        <v>#N/A</v>
      </c>
      <c r="O45" s="31" t="e">
        <f>VLOOKUP($D45,Résultats!$B$2:$AZ$212,O$2,FALSE)</f>
        <v>#N/A</v>
      </c>
      <c r="P45" s="31" t="e">
        <f>VLOOKUP($D45,Résultats!$B$2:$AZ$212,P$2,FALSE)</f>
        <v>#N/A</v>
      </c>
      <c r="Q45" s="31" t="e">
        <f>VLOOKUP($D45,Résultats!$B$2:$AZ$212,Q$2,FALSE)</f>
        <v>#N/A</v>
      </c>
      <c r="R45" s="31" t="e">
        <f>VLOOKUP($D45,Résultats!$B$2:$AZ$212,R$2,FALSE)</f>
        <v>#N/A</v>
      </c>
      <c r="S45" s="31" t="e">
        <f>VLOOKUP($D45,Résultats!$B$2:$AZ$212,S$2,FALSE)</f>
        <v>#N/A</v>
      </c>
      <c r="T45" s="31" t="e">
        <f>VLOOKUP($D45,Résultats!$B$2:$AZ$212,T$2,FALSE)</f>
        <v>#N/A</v>
      </c>
      <c r="U45" s="31" t="e">
        <f>VLOOKUP($D45,Résultats!$B$2:$AZ$212,U$2,FALSE)</f>
        <v>#N/A</v>
      </c>
      <c r="V45" s="31" t="e">
        <f>VLOOKUP($D45,Résultats!$B$2:$AZ$212,V$2,FALSE)</f>
        <v>#N/A</v>
      </c>
      <c r="W45" s="31" t="e">
        <f>VLOOKUP($D45,Résultats!$B$2:$AZ$212,W$2,FALSE)</f>
        <v>#N/A</v>
      </c>
      <c r="X45" s="31" t="e">
        <f>VLOOKUP($D45,Résultats!$B$2:$AZ$212,X$2,FALSE)</f>
        <v>#N/A</v>
      </c>
      <c r="Y45" s="31" t="e">
        <f>VLOOKUP($D45,Résultats!$B$2:$AZ$212,Y$2,FALSE)</f>
        <v>#N/A</v>
      </c>
      <c r="Z45" s="31" t="e">
        <f>VLOOKUP($D45,Résultats!$B$2:$AZ$212,Z$2,FALSE)</f>
        <v>#N/A</v>
      </c>
      <c r="AA45" s="31" t="e">
        <f>VLOOKUP($D45,Résultats!$B$2:$AZ$212,AA$2,FALSE)</f>
        <v>#N/A</v>
      </c>
      <c r="AB45" s="31" t="e">
        <f>VLOOKUP($D45,Résultats!$B$2:$AZ$212,AB$2,FALSE)</f>
        <v>#N/A</v>
      </c>
      <c r="AC45" s="31" t="e">
        <f>VLOOKUP($D45,Résultats!$B$2:$AZ$212,AC$2,FALSE)</f>
        <v>#N/A</v>
      </c>
      <c r="AD45" s="31" t="e">
        <f>VLOOKUP($D45,Résultats!$B$2:$AZ$212,AD$2,FALSE)</f>
        <v>#N/A</v>
      </c>
      <c r="AE45" s="31" t="e">
        <f>VLOOKUP($D45,Résultats!$B$2:$AZ$212,AE$2,FALSE)</f>
        <v>#N/A</v>
      </c>
      <c r="AF45" s="31" t="e">
        <f>VLOOKUP($D45,Résultats!$B$2:$AZ$212,AF$2,FALSE)</f>
        <v>#N/A</v>
      </c>
      <c r="AG45" s="31" t="e">
        <f>VLOOKUP($D45,Résultats!$B$2:$AZ$212,AG$2,FALSE)</f>
        <v>#N/A</v>
      </c>
      <c r="AH45" s="31" t="e">
        <f>VLOOKUP($D45,Résultats!$B$2:$AZ$212,AH$2,FALSE)</f>
        <v>#N/A</v>
      </c>
      <c r="AI45" s="31" t="e">
        <f>VLOOKUP($D45,Résultats!$B$2:$AZ$212,AI$2,FALSE)</f>
        <v>#N/A</v>
      </c>
      <c r="AJ45" s="31" t="e">
        <f>VLOOKUP($D45,Résultats!$B$2:$AZ$212,AJ$2,FALSE)</f>
        <v>#N/A</v>
      </c>
      <c r="AK45" s="31" t="e">
        <f>VLOOKUP($D45,Résultats!$B$2:$AZ$212,AK$2,FALSE)</f>
        <v>#N/A</v>
      </c>
      <c r="AL45" s="31" t="e">
        <f>VLOOKUP($D45,Résultats!$B$2:$AZ$212,AL$2,FALSE)</f>
        <v>#N/A</v>
      </c>
      <c r="AM45" s="31" t="e">
        <f>VLOOKUP($D45,Résultats!$B$2:$AZ$212,AM$2,FALSE)</f>
        <v>#N/A</v>
      </c>
    </row>
    <row r="46" spans="2:39" x14ac:dyDescent="0.25">
      <c r="C46" s="56" t="s">
        <v>6</v>
      </c>
      <c r="D46" s="3" t="s">
        <v>61</v>
      </c>
      <c r="E46" s="31" t="e">
        <f>VLOOKUP($D46,Résultats!$B$2:$AZ$212,E$2,FALSE)</f>
        <v>#N/A</v>
      </c>
      <c r="F46" s="31" t="e">
        <f>VLOOKUP($D46,Résultats!$B$2:$AZ$212,F$2,FALSE)</f>
        <v>#N/A</v>
      </c>
      <c r="G46" s="31" t="e">
        <f>VLOOKUP($D46,Résultats!$B$2:$AZ$212,G$2,FALSE)</f>
        <v>#N/A</v>
      </c>
      <c r="H46" s="31" t="e">
        <f>VLOOKUP($D46,Résultats!$B$2:$AZ$212,H$2,FALSE)</f>
        <v>#N/A</v>
      </c>
      <c r="I46" s="31" t="e">
        <f>VLOOKUP($D46,Résultats!$B$2:$AZ$212,I$2,FALSE)</f>
        <v>#N/A</v>
      </c>
      <c r="J46" s="31" t="e">
        <f>VLOOKUP($D46,Résultats!$B$2:$AZ$212,J$2,FALSE)</f>
        <v>#N/A</v>
      </c>
      <c r="K46" s="31" t="e">
        <f>VLOOKUP($D46,Résultats!$B$2:$AZ$212,K$2,FALSE)</f>
        <v>#N/A</v>
      </c>
      <c r="L46" s="31" t="e">
        <f>VLOOKUP($D46,Résultats!$B$2:$AZ$212,L$2,FALSE)</f>
        <v>#N/A</v>
      </c>
      <c r="M46" s="31" t="e">
        <f>VLOOKUP($D46,Résultats!$B$2:$AZ$212,M$2,FALSE)</f>
        <v>#N/A</v>
      </c>
      <c r="N46" s="31" t="e">
        <f>VLOOKUP($D46,Résultats!$B$2:$AZ$212,N$2,FALSE)</f>
        <v>#N/A</v>
      </c>
      <c r="O46" s="31" t="e">
        <f>VLOOKUP($D46,Résultats!$B$2:$AZ$212,O$2,FALSE)</f>
        <v>#N/A</v>
      </c>
      <c r="P46" s="31" t="e">
        <f>VLOOKUP($D46,Résultats!$B$2:$AZ$212,P$2,FALSE)</f>
        <v>#N/A</v>
      </c>
      <c r="Q46" s="31" t="e">
        <f>VLOOKUP($D46,Résultats!$B$2:$AZ$212,Q$2,FALSE)</f>
        <v>#N/A</v>
      </c>
      <c r="R46" s="31" t="e">
        <f>VLOOKUP($D46,Résultats!$B$2:$AZ$212,R$2,FALSE)</f>
        <v>#N/A</v>
      </c>
      <c r="S46" s="31" t="e">
        <f>VLOOKUP($D46,Résultats!$B$2:$AZ$212,S$2,FALSE)</f>
        <v>#N/A</v>
      </c>
      <c r="T46" s="31" t="e">
        <f>VLOOKUP($D46,Résultats!$B$2:$AZ$212,T$2,FALSE)</f>
        <v>#N/A</v>
      </c>
      <c r="U46" s="31" t="e">
        <f>VLOOKUP($D46,Résultats!$B$2:$AZ$212,U$2,FALSE)</f>
        <v>#N/A</v>
      </c>
      <c r="V46" s="31" t="e">
        <f>VLOOKUP($D46,Résultats!$B$2:$AZ$212,V$2,FALSE)</f>
        <v>#N/A</v>
      </c>
      <c r="W46" s="31" t="e">
        <f>VLOOKUP($D46,Résultats!$B$2:$AZ$212,W$2,FALSE)</f>
        <v>#N/A</v>
      </c>
      <c r="X46" s="31" t="e">
        <f>VLOOKUP($D46,Résultats!$B$2:$AZ$212,X$2,FALSE)</f>
        <v>#N/A</v>
      </c>
      <c r="Y46" s="31" t="e">
        <f>VLOOKUP($D46,Résultats!$B$2:$AZ$212,Y$2,FALSE)</f>
        <v>#N/A</v>
      </c>
      <c r="Z46" s="31" t="e">
        <f>VLOOKUP($D46,Résultats!$B$2:$AZ$212,Z$2,FALSE)</f>
        <v>#N/A</v>
      </c>
      <c r="AA46" s="31" t="e">
        <f>VLOOKUP($D46,Résultats!$B$2:$AZ$212,AA$2,FALSE)</f>
        <v>#N/A</v>
      </c>
      <c r="AB46" s="31" t="e">
        <f>VLOOKUP($D46,Résultats!$B$2:$AZ$212,AB$2,FALSE)</f>
        <v>#N/A</v>
      </c>
      <c r="AC46" s="31" t="e">
        <f>VLOOKUP($D46,Résultats!$B$2:$AZ$212,AC$2,FALSE)</f>
        <v>#N/A</v>
      </c>
      <c r="AD46" s="31" t="e">
        <f>VLOOKUP($D46,Résultats!$B$2:$AZ$212,AD$2,FALSE)</f>
        <v>#N/A</v>
      </c>
      <c r="AE46" s="31" t="e">
        <f>VLOOKUP($D46,Résultats!$B$2:$AZ$212,AE$2,FALSE)</f>
        <v>#N/A</v>
      </c>
      <c r="AF46" s="31" t="e">
        <f>VLOOKUP($D46,Résultats!$B$2:$AZ$212,AF$2,FALSE)</f>
        <v>#N/A</v>
      </c>
      <c r="AG46" s="31" t="e">
        <f>VLOOKUP($D46,Résultats!$B$2:$AZ$212,AG$2,FALSE)</f>
        <v>#N/A</v>
      </c>
      <c r="AH46" s="31" t="e">
        <f>VLOOKUP($D46,Résultats!$B$2:$AZ$212,AH$2,FALSE)</f>
        <v>#N/A</v>
      </c>
      <c r="AI46" s="31" t="e">
        <f>VLOOKUP($D46,Résultats!$B$2:$AZ$212,AI$2,FALSE)</f>
        <v>#N/A</v>
      </c>
      <c r="AJ46" s="31" t="e">
        <f>VLOOKUP($D46,Résultats!$B$2:$AZ$212,AJ$2,FALSE)</f>
        <v>#N/A</v>
      </c>
      <c r="AK46" s="31" t="e">
        <f>VLOOKUP($D46,Résultats!$B$2:$AZ$212,AK$2,FALSE)</f>
        <v>#N/A</v>
      </c>
      <c r="AL46" s="31" t="e">
        <f>VLOOKUP($D46,Résultats!$B$2:$AZ$212,AL$2,FALSE)</f>
        <v>#N/A</v>
      </c>
      <c r="AM46" s="31" t="e">
        <f>VLOOKUP($D46,Résultats!$B$2:$AZ$212,AM$2,FALSE)</f>
        <v>#N/A</v>
      </c>
    </row>
    <row r="47" spans="2:39" x14ac:dyDescent="0.25">
      <c r="C47" s="56" t="s">
        <v>34</v>
      </c>
      <c r="D47" s="3" t="s">
        <v>62</v>
      </c>
      <c r="E47" s="31" t="e">
        <f>VLOOKUP($D47,Résultats!$B$2:$AZ$212,E$2,FALSE)</f>
        <v>#N/A</v>
      </c>
      <c r="F47" s="31" t="e">
        <f>VLOOKUP($D47,Résultats!$B$2:$AZ$212,F$2,FALSE)</f>
        <v>#N/A</v>
      </c>
      <c r="G47" s="31" t="e">
        <f>VLOOKUP($D47,Résultats!$B$2:$AZ$212,G$2,FALSE)</f>
        <v>#N/A</v>
      </c>
      <c r="H47" s="31" t="e">
        <f>VLOOKUP($D47,Résultats!$B$2:$AZ$212,H$2,FALSE)</f>
        <v>#N/A</v>
      </c>
      <c r="I47" s="31" t="e">
        <f>VLOOKUP($D47,Résultats!$B$2:$AZ$212,I$2,FALSE)</f>
        <v>#N/A</v>
      </c>
      <c r="J47" s="31" t="e">
        <f>VLOOKUP($D47,Résultats!$B$2:$AZ$212,J$2,FALSE)</f>
        <v>#N/A</v>
      </c>
      <c r="K47" s="31" t="e">
        <f>VLOOKUP($D47,Résultats!$B$2:$AZ$212,K$2,FALSE)</f>
        <v>#N/A</v>
      </c>
      <c r="L47" s="31" t="e">
        <f>VLOOKUP($D47,Résultats!$B$2:$AZ$212,L$2,FALSE)</f>
        <v>#N/A</v>
      </c>
      <c r="M47" s="31" t="e">
        <f>VLOOKUP($D47,Résultats!$B$2:$AZ$212,M$2,FALSE)</f>
        <v>#N/A</v>
      </c>
      <c r="N47" s="31" t="e">
        <f>VLOOKUP($D47,Résultats!$B$2:$AZ$212,N$2,FALSE)</f>
        <v>#N/A</v>
      </c>
      <c r="O47" s="31" t="e">
        <f>VLOOKUP($D47,Résultats!$B$2:$AZ$212,O$2,FALSE)</f>
        <v>#N/A</v>
      </c>
      <c r="P47" s="31" t="e">
        <f>VLOOKUP($D47,Résultats!$B$2:$AZ$212,P$2,FALSE)</f>
        <v>#N/A</v>
      </c>
      <c r="Q47" s="31" t="e">
        <f>VLOOKUP($D47,Résultats!$B$2:$AZ$212,Q$2,FALSE)</f>
        <v>#N/A</v>
      </c>
      <c r="R47" s="31" t="e">
        <f>VLOOKUP($D47,Résultats!$B$2:$AZ$212,R$2,FALSE)</f>
        <v>#N/A</v>
      </c>
      <c r="S47" s="31" t="e">
        <f>VLOOKUP($D47,Résultats!$B$2:$AZ$212,S$2,FALSE)</f>
        <v>#N/A</v>
      </c>
      <c r="T47" s="31" t="e">
        <f>VLOOKUP($D47,Résultats!$B$2:$AZ$212,T$2,FALSE)</f>
        <v>#N/A</v>
      </c>
      <c r="U47" s="31" t="e">
        <f>VLOOKUP($D47,Résultats!$B$2:$AZ$212,U$2,FALSE)</f>
        <v>#N/A</v>
      </c>
      <c r="V47" s="31" t="e">
        <f>VLOOKUP($D47,Résultats!$B$2:$AZ$212,V$2,FALSE)</f>
        <v>#N/A</v>
      </c>
      <c r="W47" s="31" t="e">
        <f>VLOOKUP($D47,Résultats!$B$2:$AZ$212,W$2,FALSE)</f>
        <v>#N/A</v>
      </c>
      <c r="X47" s="31" t="e">
        <f>VLOOKUP($D47,Résultats!$B$2:$AZ$212,X$2,FALSE)</f>
        <v>#N/A</v>
      </c>
      <c r="Y47" s="31" t="e">
        <f>VLOOKUP($D47,Résultats!$B$2:$AZ$212,Y$2,FALSE)</f>
        <v>#N/A</v>
      </c>
      <c r="Z47" s="31" t="e">
        <f>VLOOKUP($D47,Résultats!$B$2:$AZ$212,Z$2,FALSE)</f>
        <v>#N/A</v>
      </c>
      <c r="AA47" s="31" t="e">
        <f>VLOOKUP($D47,Résultats!$B$2:$AZ$212,AA$2,FALSE)</f>
        <v>#N/A</v>
      </c>
      <c r="AB47" s="31" t="e">
        <f>VLOOKUP($D47,Résultats!$B$2:$AZ$212,AB$2,FALSE)</f>
        <v>#N/A</v>
      </c>
      <c r="AC47" s="31" t="e">
        <f>VLOOKUP($D47,Résultats!$B$2:$AZ$212,AC$2,FALSE)</f>
        <v>#N/A</v>
      </c>
      <c r="AD47" s="31" t="e">
        <f>VLOOKUP($D47,Résultats!$B$2:$AZ$212,AD$2,FALSE)</f>
        <v>#N/A</v>
      </c>
      <c r="AE47" s="31" t="e">
        <f>VLOOKUP($D47,Résultats!$B$2:$AZ$212,AE$2,FALSE)</f>
        <v>#N/A</v>
      </c>
      <c r="AF47" s="31" t="e">
        <f>VLOOKUP($D47,Résultats!$B$2:$AZ$212,AF$2,FALSE)</f>
        <v>#N/A</v>
      </c>
      <c r="AG47" s="31" t="e">
        <f>VLOOKUP($D47,Résultats!$B$2:$AZ$212,AG$2,FALSE)</f>
        <v>#N/A</v>
      </c>
      <c r="AH47" s="31" t="e">
        <f>VLOOKUP($D47,Résultats!$B$2:$AZ$212,AH$2,FALSE)</f>
        <v>#N/A</v>
      </c>
      <c r="AI47" s="31" t="e">
        <f>VLOOKUP($D47,Résultats!$B$2:$AZ$212,AI$2,FALSE)</f>
        <v>#N/A</v>
      </c>
      <c r="AJ47" s="31" t="e">
        <f>VLOOKUP($D47,Résultats!$B$2:$AZ$212,AJ$2,FALSE)</f>
        <v>#N/A</v>
      </c>
      <c r="AK47" s="31" t="e">
        <f>VLOOKUP($D47,Résultats!$B$2:$AZ$212,AK$2,FALSE)</f>
        <v>#N/A</v>
      </c>
      <c r="AL47" s="31" t="e">
        <f>VLOOKUP($D47,Résultats!$B$2:$AZ$212,AL$2,FALSE)</f>
        <v>#N/A</v>
      </c>
      <c r="AM47" s="31" t="e">
        <f>VLOOKUP($D47,Résultats!$B$2:$AZ$212,AM$2,FALSE)</f>
        <v>#N/A</v>
      </c>
    </row>
    <row r="48" spans="2:39" x14ac:dyDescent="0.25">
      <c r="C48" s="56" t="s">
        <v>35</v>
      </c>
      <c r="D48" s="3" t="s">
        <v>63</v>
      </c>
      <c r="E48" s="31" t="e">
        <f>VLOOKUP($D48,Résultats!$B$2:$AZ$212,E$2,FALSE)</f>
        <v>#N/A</v>
      </c>
      <c r="F48" s="31" t="e">
        <f>VLOOKUP($D48,Résultats!$B$2:$AZ$212,F$2,FALSE)</f>
        <v>#N/A</v>
      </c>
      <c r="G48" s="31" t="e">
        <f>VLOOKUP($D48,Résultats!$B$2:$AZ$212,G$2,FALSE)</f>
        <v>#N/A</v>
      </c>
      <c r="H48" s="31" t="e">
        <f>VLOOKUP($D48,Résultats!$B$2:$AZ$212,H$2,FALSE)</f>
        <v>#N/A</v>
      </c>
      <c r="I48" s="31" t="e">
        <f>VLOOKUP($D48,Résultats!$B$2:$AZ$212,I$2,FALSE)</f>
        <v>#N/A</v>
      </c>
      <c r="J48" s="31" t="e">
        <f>VLOOKUP($D48,Résultats!$B$2:$AZ$212,J$2,FALSE)</f>
        <v>#N/A</v>
      </c>
      <c r="K48" s="31" t="e">
        <f>VLOOKUP($D48,Résultats!$B$2:$AZ$212,K$2,FALSE)</f>
        <v>#N/A</v>
      </c>
      <c r="L48" s="31" t="e">
        <f>VLOOKUP($D48,Résultats!$B$2:$AZ$212,L$2,FALSE)</f>
        <v>#N/A</v>
      </c>
      <c r="M48" s="31" t="e">
        <f>VLOOKUP($D48,Résultats!$B$2:$AZ$212,M$2,FALSE)</f>
        <v>#N/A</v>
      </c>
      <c r="N48" s="31" t="e">
        <f>VLOOKUP($D48,Résultats!$B$2:$AZ$212,N$2,FALSE)</f>
        <v>#N/A</v>
      </c>
      <c r="O48" s="31" t="e">
        <f>VLOOKUP($D48,Résultats!$B$2:$AZ$212,O$2,FALSE)</f>
        <v>#N/A</v>
      </c>
      <c r="P48" s="31" t="e">
        <f>VLOOKUP($D48,Résultats!$B$2:$AZ$212,P$2,FALSE)</f>
        <v>#N/A</v>
      </c>
      <c r="Q48" s="31" t="e">
        <f>VLOOKUP($D48,Résultats!$B$2:$AZ$212,Q$2,FALSE)</f>
        <v>#N/A</v>
      </c>
      <c r="R48" s="31" t="e">
        <f>VLOOKUP($D48,Résultats!$B$2:$AZ$212,R$2,FALSE)</f>
        <v>#N/A</v>
      </c>
      <c r="S48" s="31" t="e">
        <f>VLOOKUP($D48,Résultats!$B$2:$AZ$212,S$2,FALSE)</f>
        <v>#N/A</v>
      </c>
      <c r="T48" s="31" t="e">
        <f>VLOOKUP($D48,Résultats!$B$2:$AZ$212,T$2,FALSE)</f>
        <v>#N/A</v>
      </c>
      <c r="U48" s="31" t="e">
        <f>VLOOKUP($D48,Résultats!$B$2:$AZ$212,U$2,FALSE)</f>
        <v>#N/A</v>
      </c>
      <c r="V48" s="31" t="e">
        <f>VLOOKUP($D48,Résultats!$B$2:$AZ$212,V$2,FALSE)</f>
        <v>#N/A</v>
      </c>
      <c r="W48" s="31" t="e">
        <f>VLOOKUP($D48,Résultats!$B$2:$AZ$212,W$2,FALSE)</f>
        <v>#N/A</v>
      </c>
      <c r="X48" s="31" t="e">
        <f>VLOOKUP($D48,Résultats!$B$2:$AZ$212,X$2,FALSE)</f>
        <v>#N/A</v>
      </c>
      <c r="Y48" s="31" t="e">
        <f>VLOOKUP($D48,Résultats!$B$2:$AZ$212,Y$2,FALSE)</f>
        <v>#N/A</v>
      </c>
      <c r="Z48" s="31" t="e">
        <f>VLOOKUP($D48,Résultats!$B$2:$AZ$212,Z$2,FALSE)</f>
        <v>#N/A</v>
      </c>
      <c r="AA48" s="31" t="e">
        <f>VLOOKUP($D48,Résultats!$B$2:$AZ$212,AA$2,FALSE)</f>
        <v>#N/A</v>
      </c>
      <c r="AB48" s="31" t="e">
        <f>VLOOKUP($D48,Résultats!$B$2:$AZ$212,AB$2,FALSE)</f>
        <v>#N/A</v>
      </c>
      <c r="AC48" s="31" t="e">
        <f>VLOOKUP($D48,Résultats!$B$2:$AZ$212,AC$2,FALSE)</f>
        <v>#N/A</v>
      </c>
      <c r="AD48" s="31" t="e">
        <f>VLOOKUP($D48,Résultats!$B$2:$AZ$212,AD$2,FALSE)</f>
        <v>#N/A</v>
      </c>
      <c r="AE48" s="31" t="e">
        <f>VLOOKUP($D48,Résultats!$B$2:$AZ$212,AE$2,FALSE)</f>
        <v>#N/A</v>
      </c>
      <c r="AF48" s="31" t="e">
        <f>VLOOKUP($D48,Résultats!$B$2:$AZ$212,AF$2,FALSE)</f>
        <v>#N/A</v>
      </c>
      <c r="AG48" s="31" t="e">
        <f>VLOOKUP($D48,Résultats!$B$2:$AZ$212,AG$2,FALSE)</f>
        <v>#N/A</v>
      </c>
      <c r="AH48" s="31" t="e">
        <f>VLOOKUP($D48,Résultats!$B$2:$AZ$212,AH$2,FALSE)</f>
        <v>#N/A</v>
      </c>
      <c r="AI48" s="31" t="e">
        <f>VLOOKUP($D48,Résultats!$B$2:$AZ$212,AI$2,FALSE)</f>
        <v>#N/A</v>
      </c>
      <c r="AJ48" s="31" t="e">
        <f>VLOOKUP($D48,Résultats!$B$2:$AZ$212,AJ$2,FALSE)</f>
        <v>#N/A</v>
      </c>
      <c r="AK48" s="31" t="e">
        <f>VLOOKUP($D48,Résultats!$B$2:$AZ$212,AK$2,FALSE)</f>
        <v>#N/A</v>
      </c>
      <c r="AL48" s="31" t="e">
        <f>VLOOKUP($D48,Résultats!$B$2:$AZ$212,AL$2,FALSE)</f>
        <v>#N/A</v>
      </c>
      <c r="AM48" s="31" t="e">
        <f>VLOOKUP($D48,Résultats!$B$2:$AZ$212,AM$2,FALSE)</f>
        <v>#N/A</v>
      </c>
    </row>
    <row r="49" spans="3:40" x14ac:dyDescent="0.25">
      <c r="C49" s="82" t="s">
        <v>134</v>
      </c>
      <c r="D49" s="82" t="s">
        <v>45</v>
      </c>
      <c r="E49" s="83" t="e">
        <f>VLOOKUP($D49,Résultats!$B$2:$AZ$212,E$2,FALSE)</f>
        <v>#N/A</v>
      </c>
      <c r="F49" s="83" t="e">
        <f>VLOOKUP($D49,Résultats!$B$2:$AZ$212,F$2,FALSE)</f>
        <v>#N/A</v>
      </c>
      <c r="G49" s="83" t="e">
        <f>VLOOKUP($D49,Résultats!$B$2:$AZ$212,G$2,FALSE)</f>
        <v>#N/A</v>
      </c>
      <c r="H49" s="83" t="e">
        <f>VLOOKUP($D49,Résultats!$B$2:$AZ$212,H$2,FALSE)</f>
        <v>#N/A</v>
      </c>
      <c r="I49" s="83" t="e">
        <f>VLOOKUP($D49,Résultats!$B$2:$AZ$212,I$2,FALSE)</f>
        <v>#N/A</v>
      </c>
      <c r="J49" s="83" t="e">
        <f>VLOOKUP($D49,Résultats!$B$2:$AZ$212,J$2,FALSE)</f>
        <v>#N/A</v>
      </c>
      <c r="K49" s="83" t="e">
        <f>VLOOKUP($D49,Résultats!$B$2:$AZ$212,K$2,FALSE)</f>
        <v>#N/A</v>
      </c>
      <c r="L49" s="83" t="e">
        <f>VLOOKUP($D49,Résultats!$B$2:$AZ$212,L$2,FALSE)</f>
        <v>#N/A</v>
      </c>
      <c r="M49" s="83" t="e">
        <f>VLOOKUP($D49,Résultats!$B$2:$AZ$212,M$2,FALSE)</f>
        <v>#N/A</v>
      </c>
      <c r="N49" s="83" t="e">
        <f>VLOOKUP($D49,Résultats!$B$2:$AZ$212,N$2,FALSE)</f>
        <v>#N/A</v>
      </c>
      <c r="O49" s="83" t="e">
        <f>VLOOKUP($D49,Résultats!$B$2:$AZ$212,O$2,FALSE)</f>
        <v>#N/A</v>
      </c>
      <c r="P49" s="83" t="e">
        <f>VLOOKUP($D49,Résultats!$B$2:$AZ$212,P$2,FALSE)</f>
        <v>#N/A</v>
      </c>
      <c r="Q49" s="83" t="e">
        <f>VLOOKUP($D49,Résultats!$B$2:$AZ$212,Q$2,FALSE)</f>
        <v>#N/A</v>
      </c>
      <c r="R49" s="83" t="e">
        <f>VLOOKUP($D49,Résultats!$B$2:$AZ$212,R$2,FALSE)</f>
        <v>#N/A</v>
      </c>
      <c r="S49" s="83" t="e">
        <f>VLOOKUP($D49,Résultats!$B$2:$AZ$212,S$2,FALSE)</f>
        <v>#N/A</v>
      </c>
      <c r="T49" s="83" t="e">
        <f>VLOOKUP($D49,Résultats!$B$2:$AZ$212,T$2,FALSE)</f>
        <v>#N/A</v>
      </c>
      <c r="U49" s="83" t="e">
        <f>VLOOKUP($D49,Résultats!$B$2:$AZ$212,U$2,FALSE)</f>
        <v>#N/A</v>
      </c>
      <c r="V49" s="83" t="e">
        <f>VLOOKUP($D49,Résultats!$B$2:$AZ$212,V$2,FALSE)</f>
        <v>#N/A</v>
      </c>
      <c r="W49" s="83" t="e">
        <f>VLOOKUP($D49,Résultats!$B$2:$AZ$212,W$2,FALSE)</f>
        <v>#N/A</v>
      </c>
      <c r="X49" s="83" t="e">
        <f>VLOOKUP($D49,Résultats!$B$2:$AZ$212,X$2,FALSE)</f>
        <v>#N/A</v>
      </c>
      <c r="Y49" s="83" t="e">
        <f>VLOOKUP($D49,Résultats!$B$2:$AZ$212,Y$2,FALSE)</f>
        <v>#N/A</v>
      </c>
      <c r="Z49" s="83" t="e">
        <f>VLOOKUP($D49,Résultats!$B$2:$AZ$212,Z$2,FALSE)</f>
        <v>#N/A</v>
      </c>
      <c r="AA49" s="83" t="e">
        <f>VLOOKUP($D49,Résultats!$B$2:$AZ$212,AA$2,FALSE)</f>
        <v>#N/A</v>
      </c>
      <c r="AB49" s="83" t="e">
        <f>VLOOKUP($D49,Résultats!$B$2:$AZ$212,AB$2,FALSE)</f>
        <v>#N/A</v>
      </c>
      <c r="AC49" s="83" t="e">
        <f>VLOOKUP($D49,Résultats!$B$2:$AZ$212,AC$2,FALSE)</f>
        <v>#N/A</v>
      </c>
      <c r="AD49" s="83" t="e">
        <f>VLOOKUP($D49,Résultats!$B$2:$AZ$212,AD$2,FALSE)</f>
        <v>#N/A</v>
      </c>
      <c r="AE49" s="83" t="e">
        <f>VLOOKUP($D49,Résultats!$B$2:$AZ$212,AE$2,FALSE)</f>
        <v>#N/A</v>
      </c>
      <c r="AF49" s="83" t="e">
        <f>VLOOKUP($D49,Résultats!$B$2:$AZ$212,AF$2,FALSE)</f>
        <v>#N/A</v>
      </c>
      <c r="AG49" s="83" t="e">
        <f>VLOOKUP($D49,Résultats!$B$2:$AZ$212,AG$2,FALSE)</f>
        <v>#N/A</v>
      </c>
      <c r="AH49" s="83" t="e">
        <f>VLOOKUP($D49,Résultats!$B$2:$AZ$212,AH$2,FALSE)</f>
        <v>#N/A</v>
      </c>
      <c r="AI49" s="83" t="e">
        <f>VLOOKUP($D49,Résultats!$B$2:$AZ$212,AI$2,FALSE)</f>
        <v>#N/A</v>
      </c>
      <c r="AJ49" s="83" t="e">
        <f>VLOOKUP($D49,Résultats!$B$2:$AZ$212,AJ$2,FALSE)</f>
        <v>#N/A</v>
      </c>
      <c r="AK49" s="83" t="e">
        <f>VLOOKUP($D49,Résultats!$B$2:$AZ$212,AK$2,FALSE)</f>
        <v>#N/A</v>
      </c>
      <c r="AL49" s="83" t="e">
        <f>VLOOKUP($D49,Résultats!$B$2:$AZ$212,AL$2,FALSE)</f>
        <v>#N/A</v>
      </c>
      <c r="AM49" s="83" t="e">
        <f>VLOOKUP($D49,Résultats!$B$2:$AZ$212,AM$2,FALSE)</f>
        <v>#N/A</v>
      </c>
    </row>
    <row r="50" spans="3:40" x14ac:dyDescent="0.25">
      <c r="C50" s="84" t="s">
        <v>94</v>
      </c>
      <c r="D50" s="3" t="s">
        <v>62</v>
      </c>
      <c r="E50" s="85" t="e">
        <f>VLOOKUP($D50,Résultats!$B$2:$AZ$212,E$2,FALSE)</f>
        <v>#N/A</v>
      </c>
      <c r="F50" s="85" t="e">
        <f>VLOOKUP($D50,Résultats!$B$2:$AZ$212,F$2,FALSE)</f>
        <v>#N/A</v>
      </c>
      <c r="G50" s="85" t="e">
        <f>VLOOKUP($D50,Résultats!$B$2:$AZ$212,G$2,FALSE)</f>
        <v>#N/A</v>
      </c>
      <c r="H50" s="85" t="e">
        <f>VLOOKUP($D50,Résultats!$B$2:$AZ$212,H$2,FALSE)</f>
        <v>#N/A</v>
      </c>
      <c r="I50" s="85" t="e">
        <f>VLOOKUP($D50,Résultats!$B$2:$AZ$212,I$2,FALSE)</f>
        <v>#N/A</v>
      </c>
      <c r="J50" s="85" t="e">
        <f>VLOOKUP($D50,Résultats!$B$2:$AZ$212,J$2,FALSE)</f>
        <v>#N/A</v>
      </c>
      <c r="K50" s="85" t="e">
        <f>VLOOKUP($D50,Résultats!$B$2:$AZ$212,K$2,FALSE)</f>
        <v>#N/A</v>
      </c>
      <c r="L50" s="85" t="e">
        <f>VLOOKUP($D50,Résultats!$B$2:$AZ$212,L$2,FALSE)</f>
        <v>#N/A</v>
      </c>
      <c r="M50" s="85" t="e">
        <f>VLOOKUP($D50,Résultats!$B$2:$AZ$212,M$2,FALSE)</f>
        <v>#N/A</v>
      </c>
      <c r="N50" s="85" t="e">
        <f>VLOOKUP($D50,Résultats!$B$2:$AZ$212,N$2,FALSE)</f>
        <v>#N/A</v>
      </c>
      <c r="O50" s="85" t="e">
        <f>VLOOKUP($D50,Résultats!$B$2:$AZ$212,O$2,FALSE)</f>
        <v>#N/A</v>
      </c>
      <c r="P50" s="85" t="e">
        <f>VLOOKUP($D50,Résultats!$B$2:$AZ$212,P$2,FALSE)</f>
        <v>#N/A</v>
      </c>
      <c r="Q50" s="85" t="e">
        <f>VLOOKUP($D50,Résultats!$B$2:$AZ$212,Q$2,FALSE)</f>
        <v>#N/A</v>
      </c>
      <c r="R50" s="85" t="e">
        <f>VLOOKUP($D50,Résultats!$B$2:$AZ$212,R$2,FALSE)</f>
        <v>#N/A</v>
      </c>
      <c r="S50" s="85" t="e">
        <f>VLOOKUP($D50,Résultats!$B$2:$AZ$212,S$2,FALSE)</f>
        <v>#N/A</v>
      </c>
      <c r="T50" s="85" t="e">
        <f>VLOOKUP($D50,Résultats!$B$2:$AZ$212,T$2,FALSE)</f>
        <v>#N/A</v>
      </c>
      <c r="U50" s="85" t="e">
        <f>VLOOKUP($D50,Résultats!$B$2:$AZ$212,U$2,FALSE)</f>
        <v>#N/A</v>
      </c>
      <c r="V50" s="85" t="e">
        <f>VLOOKUP($D50,Résultats!$B$2:$AZ$212,V$2,FALSE)</f>
        <v>#N/A</v>
      </c>
      <c r="W50" s="85" t="e">
        <f>VLOOKUP($D50,Résultats!$B$2:$AZ$212,W$2,FALSE)</f>
        <v>#N/A</v>
      </c>
      <c r="X50" s="85" t="e">
        <f>VLOOKUP($D50,Résultats!$B$2:$AZ$212,X$2,FALSE)</f>
        <v>#N/A</v>
      </c>
      <c r="Y50" s="85" t="e">
        <f>VLOOKUP($D50,Résultats!$B$2:$AZ$212,Y$2,FALSE)</f>
        <v>#N/A</v>
      </c>
      <c r="Z50" s="85" t="e">
        <f>VLOOKUP($D50,Résultats!$B$2:$AZ$212,Z$2,FALSE)</f>
        <v>#N/A</v>
      </c>
      <c r="AA50" s="85" t="e">
        <f>VLOOKUP($D50,Résultats!$B$2:$AZ$212,AA$2,FALSE)</f>
        <v>#N/A</v>
      </c>
      <c r="AB50" s="85" t="e">
        <f>VLOOKUP($D50,Résultats!$B$2:$AZ$212,AB$2,FALSE)</f>
        <v>#N/A</v>
      </c>
      <c r="AC50" s="85" t="e">
        <f>VLOOKUP($D50,Résultats!$B$2:$AZ$212,AC$2,FALSE)</f>
        <v>#N/A</v>
      </c>
      <c r="AD50" s="85" t="e">
        <f>VLOOKUP($D50,Résultats!$B$2:$AZ$212,AD$2,FALSE)</f>
        <v>#N/A</v>
      </c>
      <c r="AE50" s="85" t="e">
        <f>VLOOKUP($D50,Résultats!$B$2:$AZ$212,AE$2,FALSE)</f>
        <v>#N/A</v>
      </c>
      <c r="AF50" s="85" t="e">
        <f>VLOOKUP($D50,Résultats!$B$2:$AZ$212,AF$2,FALSE)</f>
        <v>#N/A</v>
      </c>
      <c r="AG50" s="85" t="e">
        <f>VLOOKUP($D50,Résultats!$B$2:$AZ$212,AG$2,FALSE)</f>
        <v>#N/A</v>
      </c>
      <c r="AH50" s="85" t="e">
        <f>VLOOKUP($D50,Résultats!$B$2:$AZ$212,AH$2,FALSE)</f>
        <v>#N/A</v>
      </c>
      <c r="AI50" s="85" t="e">
        <f>VLOOKUP($D50,Résultats!$B$2:$AZ$212,AI$2,FALSE)</f>
        <v>#N/A</v>
      </c>
      <c r="AJ50" s="85" t="e">
        <f>VLOOKUP($D50,Résultats!$B$2:$AZ$212,AJ$2,FALSE)</f>
        <v>#N/A</v>
      </c>
      <c r="AK50" s="85" t="e">
        <f>VLOOKUP($D50,Résultats!$B$2:$AZ$212,AK$2,FALSE)</f>
        <v>#N/A</v>
      </c>
      <c r="AL50" s="85" t="e">
        <f>VLOOKUP($D50,Résultats!$B$2:$AZ$212,AL$2,FALSE)</f>
        <v>#N/A</v>
      </c>
      <c r="AM50" s="85" t="e">
        <f>VLOOKUP($D50,Résultats!$B$2:$AZ$212,AM$2,FALSE)</f>
        <v>#N/A</v>
      </c>
    </row>
    <row r="51" spans="3:40" x14ac:dyDescent="0.25">
      <c r="C51" s="86" t="s">
        <v>27</v>
      </c>
      <c r="D51" s="87" t="s">
        <v>53</v>
      </c>
      <c r="E51" s="31" t="e">
        <f>VLOOKUP($D51,Résultats!$B$2:$AZ$212,E$2,FALSE)</f>
        <v>#N/A</v>
      </c>
      <c r="F51" s="31" t="e">
        <f>VLOOKUP($D51,Résultats!$B$2:$AZ$212,F$2,FALSE)</f>
        <v>#N/A</v>
      </c>
      <c r="G51" s="31" t="e">
        <f>VLOOKUP($D51,Résultats!$B$2:$AZ$212,G$2,FALSE)</f>
        <v>#N/A</v>
      </c>
      <c r="H51" s="31" t="e">
        <f>VLOOKUP($D51,Résultats!$B$2:$AZ$212,H$2,FALSE)</f>
        <v>#N/A</v>
      </c>
      <c r="I51" s="31" t="e">
        <f>VLOOKUP($D51,Résultats!$B$2:$AZ$212,I$2,FALSE)</f>
        <v>#N/A</v>
      </c>
      <c r="J51" s="31" t="e">
        <f>VLOOKUP($D51,Résultats!$B$2:$AZ$212,J$2,FALSE)</f>
        <v>#N/A</v>
      </c>
      <c r="K51" s="31" t="e">
        <f>VLOOKUP($D51,Résultats!$B$2:$AZ$212,K$2,FALSE)</f>
        <v>#N/A</v>
      </c>
      <c r="L51" s="31" t="e">
        <f>VLOOKUP($D51,Résultats!$B$2:$AZ$212,L$2,FALSE)</f>
        <v>#N/A</v>
      </c>
      <c r="M51" s="31" t="e">
        <f>VLOOKUP($D51,Résultats!$B$2:$AZ$212,M$2,FALSE)</f>
        <v>#N/A</v>
      </c>
      <c r="N51" s="31" t="e">
        <f>VLOOKUP($D51,Résultats!$B$2:$AZ$212,N$2,FALSE)</f>
        <v>#N/A</v>
      </c>
      <c r="O51" s="31" t="e">
        <f>VLOOKUP($D51,Résultats!$B$2:$AZ$212,O$2,FALSE)</f>
        <v>#N/A</v>
      </c>
      <c r="P51" s="31" t="e">
        <f>VLOOKUP($D51,Résultats!$B$2:$AZ$212,P$2,FALSE)</f>
        <v>#N/A</v>
      </c>
      <c r="Q51" s="31" t="e">
        <f>VLOOKUP($D51,Résultats!$B$2:$AZ$212,Q$2,FALSE)</f>
        <v>#N/A</v>
      </c>
      <c r="R51" s="31" t="e">
        <f>VLOOKUP($D51,Résultats!$B$2:$AZ$212,R$2,FALSE)</f>
        <v>#N/A</v>
      </c>
      <c r="S51" s="31" t="e">
        <f>VLOOKUP($D51,Résultats!$B$2:$AZ$212,S$2,FALSE)</f>
        <v>#N/A</v>
      </c>
      <c r="T51" s="31" t="e">
        <f>VLOOKUP($D51,Résultats!$B$2:$AZ$212,T$2,FALSE)</f>
        <v>#N/A</v>
      </c>
      <c r="U51" s="31" t="e">
        <f>VLOOKUP($D51,Résultats!$B$2:$AZ$212,U$2,FALSE)</f>
        <v>#N/A</v>
      </c>
      <c r="V51" s="31" t="e">
        <f>VLOOKUP($D51,Résultats!$B$2:$AZ$212,V$2,FALSE)</f>
        <v>#N/A</v>
      </c>
      <c r="W51" s="31" t="e">
        <f>VLOOKUP($D51,Résultats!$B$2:$AZ$212,W$2,FALSE)</f>
        <v>#N/A</v>
      </c>
      <c r="X51" s="31" t="e">
        <f>VLOOKUP($D51,Résultats!$B$2:$AZ$212,X$2,FALSE)</f>
        <v>#N/A</v>
      </c>
      <c r="Y51" s="31" t="e">
        <f>VLOOKUP($D51,Résultats!$B$2:$AZ$212,Y$2,FALSE)</f>
        <v>#N/A</v>
      </c>
      <c r="Z51" s="31" t="e">
        <f>VLOOKUP($D51,Résultats!$B$2:$AZ$212,Z$2,FALSE)</f>
        <v>#N/A</v>
      </c>
      <c r="AA51" s="31" t="e">
        <f>VLOOKUP($D51,Résultats!$B$2:$AZ$212,AA$2,FALSE)</f>
        <v>#N/A</v>
      </c>
      <c r="AB51" s="31" t="e">
        <f>VLOOKUP($D51,Résultats!$B$2:$AZ$212,AB$2,FALSE)</f>
        <v>#N/A</v>
      </c>
      <c r="AC51" s="31" t="e">
        <f>VLOOKUP($D51,Résultats!$B$2:$AZ$212,AC$2,FALSE)</f>
        <v>#N/A</v>
      </c>
      <c r="AD51" s="31" t="e">
        <f>VLOOKUP($D51,Résultats!$B$2:$AZ$212,AD$2,FALSE)</f>
        <v>#N/A</v>
      </c>
      <c r="AE51" s="31" t="e">
        <f>VLOOKUP($D51,Résultats!$B$2:$AZ$212,AE$2,FALSE)</f>
        <v>#N/A</v>
      </c>
      <c r="AF51" s="31" t="e">
        <f>VLOOKUP($D51,Résultats!$B$2:$AZ$212,AF$2,FALSE)</f>
        <v>#N/A</v>
      </c>
      <c r="AG51" s="31" t="e">
        <f>VLOOKUP($D51,Résultats!$B$2:$AZ$212,AG$2,FALSE)</f>
        <v>#N/A</v>
      </c>
      <c r="AH51" s="31" t="e">
        <f>VLOOKUP($D51,Résultats!$B$2:$AZ$212,AH$2,FALSE)</f>
        <v>#N/A</v>
      </c>
      <c r="AI51" s="31" t="e">
        <f>VLOOKUP($D51,Résultats!$B$2:$AZ$212,AI$2,FALSE)</f>
        <v>#N/A</v>
      </c>
      <c r="AJ51" s="31" t="e">
        <f>VLOOKUP($D51,Résultats!$B$2:$AZ$212,AJ$2,FALSE)</f>
        <v>#N/A</v>
      </c>
      <c r="AK51" s="31" t="e">
        <f>VLOOKUP($D51,Résultats!$B$2:$AZ$212,AK$2,FALSE)</f>
        <v>#N/A</v>
      </c>
      <c r="AL51" s="31" t="e">
        <f>VLOOKUP($D51,Résultats!$B$2:$AZ$212,AL$2,FALSE)</f>
        <v>#N/A</v>
      </c>
      <c r="AM51" s="31" t="e">
        <f>VLOOKUP($D51,Résultats!$B$2:$AZ$212,AM$2,FALSE)</f>
        <v>#N/A</v>
      </c>
    </row>
    <row r="52" spans="3:40" x14ac:dyDescent="0.25">
      <c r="C52" s="56" t="s">
        <v>28</v>
      </c>
      <c r="D52" s="78" t="s">
        <v>54</v>
      </c>
      <c r="E52" s="31" t="e">
        <f>VLOOKUP($D52,Résultats!$B$2:$AZ$212,E$2,FALSE)</f>
        <v>#N/A</v>
      </c>
      <c r="F52" s="31" t="e">
        <f>VLOOKUP($D52,Résultats!$B$2:$AZ$212,F$2,FALSE)</f>
        <v>#N/A</v>
      </c>
      <c r="G52" s="31" t="e">
        <f>VLOOKUP($D52,Résultats!$B$2:$AZ$212,G$2,FALSE)</f>
        <v>#N/A</v>
      </c>
      <c r="H52" s="31" t="e">
        <f>VLOOKUP($D52,Résultats!$B$2:$AZ$212,H$2,FALSE)</f>
        <v>#N/A</v>
      </c>
      <c r="I52" s="31" t="e">
        <f>VLOOKUP($D52,Résultats!$B$2:$AZ$212,I$2,FALSE)</f>
        <v>#N/A</v>
      </c>
      <c r="J52" s="31" t="e">
        <f>VLOOKUP($D52,Résultats!$B$2:$AZ$212,J$2,FALSE)</f>
        <v>#N/A</v>
      </c>
      <c r="K52" s="31" t="e">
        <f>VLOOKUP($D52,Résultats!$B$2:$AZ$212,K$2,FALSE)</f>
        <v>#N/A</v>
      </c>
      <c r="L52" s="31" t="e">
        <f>VLOOKUP($D52,Résultats!$B$2:$AZ$212,L$2,FALSE)</f>
        <v>#N/A</v>
      </c>
      <c r="M52" s="31" t="e">
        <f>VLOOKUP($D52,Résultats!$B$2:$AZ$212,M$2,FALSE)</f>
        <v>#N/A</v>
      </c>
      <c r="N52" s="31" t="e">
        <f>VLOOKUP($D52,Résultats!$B$2:$AZ$212,N$2,FALSE)</f>
        <v>#N/A</v>
      </c>
      <c r="O52" s="31" t="e">
        <f>VLOOKUP($D52,Résultats!$B$2:$AZ$212,O$2,FALSE)</f>
        <v>#N/A</v>
      </c>
      <c r="P52" s="31" t="e">
        <f>VLOOKUP($D52,Résultats!$B$2:$AZ$212,P$2,FALSE)</f>
        <v>#N/A</v>
      </c>
      <c r="Q52" s="31" t="e">
        <f>VLOOKUP($D52,Résultats!$B$2:$AZ$212,Q$2,FALSE)</f>
        <v>#N/A</v>
      </c>
      <c r="R52" s="31" t="e">
        <f>VLOOKUP($D52,Résultats!$B$2:$AZ$212,R$2,FALSE)</f>
        <v>#N/A</v>
      </c>
      <c r="S52" s="31" t="e">
        <f>VLOOKUP($D52,Résultats!$B$2:$AZ$212,S$2,FALSE)</f>
        <v>#N/A</v>
      </c>
      <c r="T52" s="31" t="e">
        <f>VLOOKUP($D52,Résultats!$B$2:$AZ$212,T$2,FALSE)</f>
        <v>#N/A</v>
      </c>
      <c r="U52" s="31" t="e">
        <f>VLOOKUP($D52,Résultats!$B$2:$AZ$212,U$2,FALSE)</f>
        <v>#N/A</v>
      </c>
      <c r="V52" s="31" t="e">
        <f>VLOOKUP($D52,Résultats!$B$2:$AZ$212,V$2,FALSE)</f>
        <v>#N/A</v>
      </c>
      <c r="W52" s="31" t="e">
        <f>VLOOKUP($D52,Résultats!$B$2:$AZ$212,W$2,FALSE)</f>
        <v>#N/A</v>
      </c>
      <c r="X52" s="31" t="e">
        <f>VLOOKUP($D52,Résultats!$B$2:$AZ$212,X$2,FALSE)</f>
        <v>#N/A</v>
      </c>
      <c r="Y52" s="31" t="e">
        <f>VLOOKUP($D52,Résultats!$B$2:$AZ$212,Y$2,FALSE)</f>
        <v>#N/A</v>
      </c>
      <c r="Z52" s="31" t="e">
        <f>VLOOKUP($D52,Résultats!$B$2:$AZ$212,Z$2,FALSE)</f>
        <v>#N/A</v>
      </c>
      <c r="AA52" s="31" t="e">
        <f>VLOOKUP($D52,Résultats!$B$2:$AZ$212,AA$2,FALSE)</f>
        <v>#N/A</v>
      </c>
      <c r="AB52" s="31" t="e">
        <f>VLOOKUP($D52,Résultats!$B$2:$AZ$212,AB$2,FALSE)</f>
        <v>#N/A</v>
      </c>
      <c r="AC52" s="31" t="e">
        <f>VLOOKUP($D52,Résultats!$B$2:$AZ$212,AC$2,FALSE)</f>
        <v>#N/A</v>
      </c>
      <c r="AD52" s="31" t="e">
        <f>VLOOKUP($D52,Résultats!$B$2:$AZ$212,AD$2,FALSE)</f>
        <v>#N/A</v>
      </c>
      <c r="AE52" s="31" t="e">
        <f>VLOOKUP($D52,Résultats!$B$2:$AZ$212,AE$2,FALSE)</f>
        <v>#N/A</v>
      </c>
      <c r="AF52" s="31" t="e">
        <f>VLOOKUP($D52,Résultats!$B$2:$AZ$212,AF$2,FALSE)</f>
        <v>#N/A</v>
      </c>
      <c r="AG52" s="31" t="e">
        <f>VLOOKUP($D52,Résultats!$B$2:$AZ$212,AG$2,FALSE)</f>
        <v>#N/A</v>
      </c>
      <c r="AH52" s="31" t="e">
        <f>VLOOKUP($D52,Résultats!$B$2:$AZ$212,AH$2,FALSE)</f>
        <v>#N/A</v>
      </c>
      <c r="AI52" s="31" t="e">
        <f>VLOOKUP($D52,Résultats!$B$2:$AZ$212,AI$2,FALSE)</f>
        <v>#N/A</v>
      </c>
      <c r="AJ52" s="31" t="e">
        <f>VLOOKUP($D52,Résultats!$B$2:$AZ$212,AJ$2,FALSE)</f>
        <v>#N/A</v>
      </c>
      <c r="AK52" s="31" t="e">
        <f>VLOOKUP($D52,Résultats!$B$2:$AZ$212,AK$2,FALSE)</f>
        <v>#N/A</v>
      </c>
      <c r="AL52" s="31" t="e">
        <f>VLOOKUP($D52,Résultats!$B$2:$AZ$212,AL$2,FALSE)</f>
        <v>#N/A</v>
      </c>
      <c r="AM52" s="31" t="e">
        <f>VLOOKUP($D52,Résultats!$B$2:$AZ$212,AM$2,FALSE)</f>
        <v>#N/A</v>
      </c>
    </row>
    <row r="53" spans="3:40" x14ac:dyDescent="0.25">
      <c r="C53" s="56" t="s">
        <v>29</v>
      </c>
      <c r="D53" s="78" t="s">
        <v>55</v>
      </c>
      <c r="E53" s="31" t="e">
        <f>VLOOKUP($D53,Résultats!$B$2:$AZ$212,E$2,FALSE)</f>
        <v>#N/A</v>
      </c>
      <c r="F53" s="31" t="e">
        <f>VLOOKUP($D53,Résultats!$B$2:$AZ$212,F$2,FALSE)</f>
        <v>#N/A</v>
      </c>
      <c r="G53" s="31" t="e">
        <f>VLOOKUP($D53,Résultats!$B$2:$AZ$212,G$2,FALSE)</f>
        <v>#N/A</v>
      </c>
      <c r="H53" s="31" t="e">
        <f>VLOOKUP($D53,Résultats!$B$2:$AZ$212,H$2,FALSE)</f>
        <v>#N/A</v>
      </c>
      <c r="I53" s="31" t="e">
        <f>VLOOKUP($D53,Résultats!$B$2:$AZ$212,I$2,FALSE)</f>
        <v>#N/A</v>
      </c>
      <c r="J53" s="31" t="e">
        <f>VLOOKUP($D53,Résultats!$B$2:$AZ$212,J$2,FALSE)</f>
        <v>#N/A</v>
      </c>
      <c r="K53" s="31" t="e">
        <f>VLOOKUP($D53,Résultats!$B$2:$AZ$212,K$2,FALSE)</f>
        <v>#N/A</v>
      </c>
      <c r="L53" s="31" t="e">
        <f>VLOOKUP($D53,Résultats!$B$2:$AZ$212,L$2,FALSE)</f>
        <v>#N/A</v>
      </c>
      <c r="M53" s="31" t="e">
        <f>VLOOKUP($D53,Résultats!$B$2:$AZ$212,M$2,FALSE)</f>
        <v>#N/A</v>
      </c>
      <c r="N53" s="31" t="e">
        <f>VLOOKUP($D53,Résultats!$B$2:$AZ$212,N$2,FALSE)</f>
        <v>#N/A</v>
      </c>
      <c r="O53" s="31" t="e">
        <f>VLOOKUP($D53,Résultats!$B$2:$AZ$212,O$2,FALSE)</f>
        <v>#N/A</v>
      </c>
      <c r="P53" s="31" t="e">
        <f>VLOOKUP($D53,Résultats!$B$2:$AZ$212,P$2,FALSE)</f>
        <v>#N/A</v>
      </c>
      <c r="Q53" s="31" t="e">
        <f>VLOOKUP($D53,Résultats!$B$2:$AZ$212,Q$2,FALSE)</f>
        <v>#N/A</v>
      </c>
      <c r="R53" s="31" t="e">
        <f>VLOOKUP($D53,Résultats!$B$2:$AZ$212,R$2,FALSE)</f>
        <v>#N/A</v>
      </c>
      <c r="S53" s="31" t="e">
        <f>VLOOKUP($D53,Résultats!$B$2:$AZ$212,S$2,FALSE)</f>
        <v>#N/A</v>
      </c>
      <c r="T53" s="31" t="e">
        <f>VLOOKUP($D53,Résultats!$B$2:$AZ$212,T$2,FALSE)</f>
        <v>#N/A</v>
      </c>
      <c r="U53" s="31" t="e">
        <f>VLOOKUP($D53,Résultats!$B$2:$AZ$212,U$2,FALSE)</f>
        <v>#N/A</v>
      </c>
      <c r="V53" s="31" t="e">
        <f>VLOOKUP($D53,Résultats!$B$2:$AZ$212,V$2,FALSE)</f>
        <v>#N/A</v>
      </c>
      <c r="W53" s="31" t="e">
        <f>VLOOKUP($D53,Résultats!$B$2:$AZ$212,W$2,FALSE)</f>
        <v>#N/A</v>
      </c>
      <c r="X53" s="31" t="e">
        <f>VLOOKUP($D53,Résultats!$B$2:$AZ$212,X$2,FALSE)</f>
        <v>#N/A</v>
      </c>
      <c r="Y53" s="31" t="e">
        <f>VLOOKUP($D53,Résultats!$B$2:$AZ$212,Y$2,FALSE)</f>
        <v>#N/A</v>
      </c>
      <c r="Z53" s="31" t="e">
        <f>VLOOKUP($D53,Résultats!$B$2:$AZ$212,Z$2,FALSE)</f>
        <v>#N/A</v>
      </c>
      <c r="AA53" s="31" t="e">
        <f>VLOOKUP($D53,Résultats!$B$2:$AZ$212,AA$2,FALSE)</f>
        <v>#N/A</v>
      </c>
      <c r="AB53" s="31" t="e">
        <f>VLOOKUP($D53,Résultats!$B$2:$AZ$212,AB$2,FALSE)</f>
        <v>#N/A</v>
      </c>
      <c r="AC53" s="31" t="e">
        <f>VLOOKUP($D53,Résultats!$B$2:$AZ$212,AC$2,FALSE)</f>
        <v>#N/A</v>
      </c>
      <c r="AD53" s="31" t="e">
        <f>VLOOKUP($D53,Résultats!$B$2:$AZ$212,AD$2,FALSE)</f>
        <v>#N/A</v>
      </c>
      <c r="AE53" s="31" t="e">
        <f>VLOOKUP($D53,Résultats!$B$2:$AZ$212,AE$2,FALSE)</f>
        <v>#N/A</v>
      </c>
      <c r="AF53" s="31" t="e">
        <f>VLOOKUP($D53,Résultats!$B$2:$AZ$212,AF$2,FALSE)</f>
        <v>#N/A</v>
      </c>
      <c r="AG53" s="31" t="e">
        <f>VLOOKUP($D53,Résultats!$B$2:$AZ$212,AG$2,FALSE)</f>
        <v>#N/A</v>
      </c>
      <c r="AH53" s="31" t="e">
        <f>VLOOKUP($D53,Résultats!$B$2:$AZ$212,AH$2,FALSE)</f>
        <v>#N/A</v>
      </c>
      <c r="AI53" s="31" t="e">
        <f>VLOOKUP($D53,Résultats!$B$2:$AZ$212,AI$2,FALSE)</f>
        <v>#N/A</v>
      </c>
      <c r="AJ53" s="31" t="e">
        <f>VLOOKUP($D53,Résultats!$B$2:$AZ$212,AJ$2,FALSE)</f>
        <v>#N/A</v>
      </c>
      <c r="AK53" s="31" t="e">
        <f>VLOOKUP($D53,Résultats!$B$2:$AZ$212,AK$2,FALSE)</f>
        <v>#N/A</v>
      </c>
      <c r="AL53" s="31" t="e">
        <f>VLOOKUP($D53,Résultats!$B$2:$AZ$212,AL$2,FALSE)</f>
        <v>#N/A</v>
      </c>
      <c r="AM53" s="31" t="e">
        <f>VLOOKUP($D53,Résultats!$B$2:$AZ$212,AM$2,FALSE)</f>
        <v>#N/A</v>
      </c>
    </row>
    <row r="54" spans="3:40" x14ac:dyDescent="0.25">
      <c r="C54" s="56" t="s">
        <v>30</v>
      </c>
      <c r="D54" s="78" t="s">
        <v>56</v>
      </c>
      <c r="E54" s="31" t="e">
        <f>VLOOKUP($D54,Résultats!$B$2:$AZ$212,E$2,FALSE)</f>
        <v>#N/A</v>
      </c>
      <c r="F54" s="31" t="e">
        <f>VLOOKUP($D54,Résultats!$B$2:$AZ$212,F$2,FALSE)</f>
        <v>#N/A</v>
      </c>
      <c r="G54" s="31" t="e">
        <f>VLOOKUP($D54,Résultats!$B$2:$AZ$212,G$2,FALSE)</f>
        <v>#N/A</v>
      </c>
      <c r="H54" s="31" t="e">
        <f>VLOOKUP($D54,Résultats!$B$2:$AZ$212,H$2,FALSE)</f>
        <v>#N/A</v>
      </c>
      <c r="I54" s="31" t="e">
        <f>VLOOKUP($D54,Résultats!$B$2:$AZ$212,I$2,FALSE)</f>
        <v>#N/A</v>
      </c>
      <c r="J54" s="31" t="e">
        <f>VLOOKUP($D54,Résultats!$B$2:$AZ$212,J$2,FALSE)</f>
        <v>#N/A</v>
      </c>
      <c r="K54" s="31" t="e">
        <f>VLOOKUP($D54,Résultats!$B$2:$AZ$212,K$2,FALSE)</f>
        <v>#N/A</v>
      </c>
      <c r="L54" s="31" t="e">
        <f>VLOOKUP($D54,Résultats!$B$2:$AZ$212,L$2,FALSE)</f>
        <v>#N/A</v>
      </c>
      <c r="M54" s="31" t="e">
        <f>VLOOKUP($D54,Résultats!$B$2:$AZ$212,M$2,FALSE)</f>
        <v>#N/A</v>
      </c>
      <c r="N54" s="31" t="e">
        <f>VLOOKUP($D54,Résultats!$B$2:$AZ$212,N$2,FALSE)</f>
        <v>#N/A</v>
      </c>
      <c r="O54" s="31" t="e">
        <f>VLOOKUP($D54,Résultats!$B$2:$AZ$212,O$2,FALSE)</f>
        <v>#N/A</v>
      </c>
      <c r="P54" s="31" t="e">
        <f>VLOOKUP($D54,Résultats!$B$2:$AZ$212,P$2,FALSE)</f>
        <v>#N/A</v>
      </c>
      <c r="Q54" s="31" t="e">
        <f>VLOOKUP($D54,Résultats!$B$2:$AZ$212,Q$2,FALSE)</f>
        <v>#N/A</v>
      </c>
      <c r="R54" s="31" t="e">
        <f>VLOOKUP($D54,Résultats!$B$2:$AZ$212,R$2,FALSE)</f>
        <v>#N/A</v>
      </c>
      <c r="S54" s="31" t="e">
        <f>VLOOKUP($D54,Résultats!$B$2:$AZ$212,S$2,FALSE)</f>
        <v>#N/A</v>
      </c>
      <c r="T54" s="31" t="e">
        <f>VLOOKUP($D54,Résultats!$B$2:$AZ$212,T$2,FALSE)</f>
        <v>#N/A</v>
      </c>
      <c r="U54" s="31" t="e">
        <f>VLOOKUP($D54,Résultats!$B$2:$AZ$212,U$2,FALSE)</f>
        <v>#N/A</v>
      </c>
      <c r="V54" s="31" t="e">
        <f>VLOOKUP($D54,Résultats!$B$2:$AZ$212,V$2,FALSE)</f>
        <v>#N/A</v>
      </c>
      <c r="W54" s="31" t="e">
        <f>VLOOKUP($D54,Résultats!$B$2:$AZ$212,W$2,FALSE)</f>
        <v>#N/A</v>
      </c>
      <c r="X54" s="31" t="e">
        <f>VLOOKUP($D54,Résultats!$B$2:$AZ$212,X$2,FALSE)</f>
        <v>#N/A</v>
      </c>
      <c r="Y54" s="31" t="e">
        <f>VLOOKUP($D54,Résultats!$B$2:$AZ$212,Y$2,FALSE)</f>
        <v>#N/A</v>
      </c>
      <c r="Z54" s="31" t="e">
        <f>VLOOKUP($D54,Résultats!$B$2:$AZ$212,Z$2,FALSE)</f>
        <v>#N/A</v>
      </c>
      <c r="AA54" s="31" t="e">
        <f>VLOOKUP($D54,Résultats!$B$2:$AZ$212,AA$2,FALSE)</f>
        <v>#N/A</v>
      </c>
      <c r="AB54" s="31" t="e">
        <f>VLOOKUP($D54,Résultats!$B$2:$AZ$212,AB$2,FALSE)</f>
        <v>#N/A</v>
      </c>
      <c r="AC54" s="31" t="e">
        <f>VLOOKUP($D54,Résultats!$B$2:$AZ$212,AC$2,FALSE)</f>
        <v>#N/A</v>
      </c>
      <c r="AD54" s="31" t="e">
        <f>VLOOKUP($D54,Résultats!$B$2:$AZ$212,AD$2,FALSE)</f>
        <v>#N/A</v>
      </c>
      <c r="AE54" s="31" t="e">
        <f>VLOOKUP($D54,Résultats!$B$2:$AZ$212,AE$2,FALSE)</f>
        <v>#N/A</v>
      </c>
      <c r="AF54" s="31" t="e">
        <f>VLOOKUP($D54,Résultats!$B$2:$AZ$212,AF$2,FALSE)</f>
        <v>#N/A</v>
      </c>
      <c r="AG54" s="31" t="e">
        <f>VLOOKUP($D54,Résultats!$B$2:$AZ$212,AG$2,FALSE)</f>
        <v>#N/A</v>
      </c>
      <c r="AH54" s="31" t="e">
        <f>VLOOKUP($D54,Résultats!$B$2:$AZ$212,AH$2,FALSE)</f>
        <v>#N/A</v>
      </c>
      <c r="AI54" s="31" t="e">
        <f>VLOOKUP($D54,Résultats!$B$2:$AZ$212,AI$2,FALSE)</f>
        <v>#N/A</v>
      </c>
      <c r="AJ54" s="31" t="e">
        <f>VLOOKUP($D54,Résultats!$B$2:$AZ$212,AJ$2,FALSE)</f>
        <v>#N/A</v>
      </c>
      <c r="AK54" s="31" t="e">
        <f>VLOOKUP($D54,Résultats!$B$2:$AZ$212,AK$2,FALSE)</f>
        <v>#N/A</v>
      </c>
      <c r="AL54" s="31" t="e">
        <f>VLOOKUP($D54,Résultats!$B$2:$AZ$212,AL$2,FALSE)</f>
        <v>#N/A</v>
      </c>
      <c r="AM54" s="31" t="e">
        <f>VLOOKUP($D54,Résultats!$B$2:$AZ$212,AM$2,FALSE)</f>
        <v>#N/A</v>
      </c>
    </row>
    <row r="55" spans="3:40" x14ac:dyDescent="0.25">
      <c r="C55" s="56" t="s">
        <v>31</v>
      </c>
      <c r="D55" s="78" t="s">
        <v>57</v>
      </c>
      <c r="E55" s="31" t="e">
        <f>VLOOKUP($D55,Résultats!$B$2:$AZ$212,E$2,FALSE)</f>
        <v>#N/A</v>
      </c>
      <c r="F55" s="31" t="e">
        <f>VLOOKUP($D55,Résultats!$B$2:$AZ$212,F$2,FALSE)</f>
        <v>#N/A</v>
      </c>
      <c r="G55" s="31" t="e">
        <f>VLOOKUP($D55,Résultats!$B$2:$AZ$212,G$2,FALSE)</f>
        <v>#N/A</v>
      </c>
      <c r="H55" s="31" t="e">
        <f>VLOOKUP($D55,Résultats!$B$2:$AZ$212,H$2,FALSE)</f>
        <v>#N/A</v>
      </c>
      <c r="I55" s="31" t="e">
        <f>VLOOKUP($D55,Résultats!$B$2:$AZ$212,I$2,FALSE)</f>
        <v>#N/A</v>
      </c>
      <c r="J55" s="31" t="e">
        <f>VLOOKUP($D55,Résultats!$B$2:$AZ$212,J$2,FALSE)</f>
        <v>#N/A</v>
      </c>
      <c r="K55" s="31" t="e">
        <f>VLOOKUP($D55,Résultats!$B$2:$AZ$212,K$2,FALSE)</f>
        <v>#N/A</v>
      </c>
      <c r="L55" s="31" t="e">
        <f>VLOOKUP($D55,Résultats!$B$2:$AZ$212,L$2,FALSE)</f>
        <v>#N/A</v>
      </c>
      <c r="M55" s="31" t="e">
        <f>VLOOKUP($D55,Résultats!$B$2:$AZ$212,M$2,FALSE)</f>
        <v>#N/A</v>
      </c>
      <c r="N55" s="31" t="e">
        <f>VLOOKUP($D55,Résultats!$B$2:$AZ$212,N$2,FALSE)</f>
        <v>#N/A</v>
      </c>
      <c r="O55" s="31" t="e">
        <f>VLOOKUP($D55,Résultats!$B$2:$AZ$212,O$2,FALSE)</f>
        <v>#N/A</v>
      </c>
      <c r="P55" s="31" t="e">
        <f>VLOOKUP($D55,Résultats!$B$2:$AZ$212,P$2,FALSE)</f>
        <v>#N/A</v>
      </c>
      <c r="Q55" s="31" t="e">
        <f>VLOOKUP($D55,Résultats!$B$2:$AZ$212,Q$2,FALSE)</f>
        <v>#N/A</v>
      </c>
      <c r="R55" s="31" t="e">
        <f>VLOOKUP($D55,Résultats!$B$2:$AZ$212,R$2,FALSE)</f>
        <v>#N/A</v>
      </c>
      <c r="S55" s="31" t="e">
        <f>VLOOKUP($D55,Résultats!$B$2:$AZ$212,S$2,FALSE)</f>
        <v>#N/A</v>
      </c>
      <c r="T55" s="31" t="e">
        <f>VLOOKUP($D55,Résultats!$B$2:$AZ$212,T$2,FALSE)</f>
        <v>#N/A</v>
      </c>
      <c r="U55" s="31" t="e">
        <f>VLOOKUP($D55,Résultats!$B$2:$AZ$212,U$2,FALSE)</f>
        <v>#N/A</v>
      </c>
      <c r="V55" s="31" t="e">
        <f>VLOOKUP($D55,Résultats!$B$2:$AZ$212,V$2,FALSE)</f>
        <v>#N/A</v>
      </c>
      <c r="W55" s="31" t="e">
        <f>VLOOKUP($D55,Résultats!$B$2:$AZ$212,W$2,FALSE)</f>
        <v>#N/A</v>
      </c>
      <c r="X55" s="31" t="e">
        <f>VLOOKUP($D55,Résultats!$B$2:$AZ$212,X$2,FALSE)</f>
        <v>#N/A</v>
      </c>
      <c r="Y55" s="31" t="e">
        <f>VLOOKUP($D55,Résultats!$B$2:$AZ$212,Y$2,FALSE)</f>
        <v>#N/A</v>
      </c>
      <c r="Z55" s="31" t="e">
        <f>VLOOKUP($D55,Résultats!$B$2:$AZ$212,Z$2,FALSE)</f>
        <v>#N/A</v>
      </c>
      <c r="AA55" s="31" t="e">
        <f>VLOOKUP($D55,Résultats!$B$2:$AZ$212,AA$2,FALSE)</f>
        <v>#N/A</v>
      </c>
      <c r="AB55" s="31" t="e">
        <f>VLOOKUP($D55,Résultats!$B$2:$AZ$212,AB$2,FALSE)</f>
        <v>#N/A</v>
      </c>
      <c r="AC55" s="31" t="e">
        <f>VLOOKUP($D55,Résultats!$B$2:$AZ$212,AC$2,FALSE)</f>
        <v>#N/A</v>
      </c>
      <c r="AD55" s="31" t="e">
        <f>VLOOKUP($D55,Résultats!$B$2:$AZ$212,AD$2,FALSE)</f>
        <v>#N/A</v>
      </c>
      <c r="AE55" s="31" t="e">
        <f>VLOOKUP($D55,Résultats!$B$2:$AZ$212,AE$2,FALSE)</f>
        <v>#N/A</v>
      </c>
      <c r="AF55" s="31" t="e">
        <f>VLOOKUP($D55,Résultats!$B$2:$AZ$212,AF$2,FALSE)</f>
        <v>#N/A</v>
      </c>
      <c r="AG55" s="31" t="e">
        <f>VLOOKUP($D55,Résultats!$B$2:$AZ$212,AG$2,FALSE)</f>
        <v>#N/A</v>
      </c>
      <c r="AH55" s="31" t="e">
        <f>VLOOKUP($D55,Résultats!$B$2:$AZ$212,AH$2,FALSE)</f>
        <v>#N/A</v>
      </c>
      <c r="AI55" s="31" t="e">
        <f>VLOOKUP($D55,Résultats!$B$2:$AZ$212,AI$2,FALSE)</f>
        <v>#N/A</v>
      </c>
      <c r="AJ55" s="31" t="e">
        <f>VLOOKUP($D55,Résultats!$B$2:$AZ$212,AJ$2,FALSE)</f>
        <v>#N/A</v>
      </c>
      <c r="AK55" s="31" t="e">
        <f>VLOOKUP($D55,Résultats!$B$2:$AZ$212,AK$2,FALSE)</f>
        <v>#N/A</v>
      </c>
      <c r="AL55" s="31" t="e">
        <f>VLOOKUP($D55,Résultats!$B$2:$AZ$212,AL$2,FALSE)</f>
        <v>#N/A</v>
      </c>
      <c r="AM55" s="31" t="e">
        <f>VLOOKUP($D55,Résultats!$B$2:$AZ$212,AM$2,FALSE)</f>
        <v>#N/A</v>
      </c>
    </row>
    <row r="56" spans="3:40" x14ac:dyDescent="0.25">
      <c r="C56" s="56" t="s">
        <v>32</v>
      </c>
      <c r="D56" s="78" t="s">
        <v>58</v>
      </c>
      <c r="E56" s="31" t="e">
        <f>VLOOKUP($D56,Résultats!$B$2:$AZ$212,E$2,FALSE)</f>
        <v>#N/A</v>
      </c>
      <c r="F56" s="31" t="e">
        <f>VLOOKUP($D56,Résultats!$B$2:$AZ$212,F$2,FALSE)</f>
        <v>#N/A</v>
      </c>
      <c r="G56" s="31" t="e">
        <f>VLOOKUP($D56,Résultats!$B$2:$AZ$212,G$2,FALSE)</f>
        <v>#N/A</v>
      </c>
      <c r="H56" s="31" t="e">
        <f>VLOOKUP($D56,Résultats!$B$2:$AZ$212,H$2,FALSE)</f>
        <v>#N/A</v>
      </c>
      <c r="I56" s="31" t="e">
        <f>VLOOKUP($D56,Résultats!$B$2:$AZ$212,I$2,FALSE)</f>
        <v>#N/A</v>
      </c>
      <c r="J56" s="31" t="e">
        <f>VLOOKUP($D56,Résultats!$B$2:$AZ$212,J$2,FALSE)</f>
        <v>#N/A</v>
      </c>
      <c r="K56" s="31" t="e">
        <f>VLOOKUP($D56,Résultats!$B$2:$AZ$212,K$2,FALSE)</f>
        <v>#N/A</v>
      </c>
      <c r="L56" s="31" t="e">
        <f>VLOOKUP($D56,Résultats!$B$2:$AZ$212,L$2,FALSE)</f>
        <v>#N/A</v>
      </c>
      <c r="M56" s="31" t="e">
        <f>VLOOKUP($D56,Résultats!$B$2:$AZ$212,M$2,FALSE)</f>
        <v>#N/A</v>
      </c>
      <c r="N56" s="31" t="e">
        <f>VLOOKUP($D56,Résultats!$B$2:$AZ$212,N$2,FALSE)</f>
        <v>#N/A</v>
      </c>
      <c r="O56" s="31" t="e">
        <f>VLOOKUP($D56,Résultats!$B$2:$AZ$212,O$2,FALSE)</f>
        <v>#N/A</v>
      </c>
      <c r="P56" s="31" t="e">
        <f>VLOOKUP($D56,Résultats!$B$2:$AZ$212,P$2,FALSE)</f>
        <v>#N/A</v>
      </c>
      <c r="Q56" s="31" t="e">
        <f>VLOOKUP($D56,Résultats!$B$2:$AZ$212,Q$2,FALSE)</f>
        <v>#N/A</v>
      </c>
      <c r="R56" s="31" t="e">
        <f>VLOOKUP($D56,Résultats!$B$2:$AZ$212,R$2,FALSE)</f>
        <v>#N/A</v>
      </c>
      <c r="S56" s="31" t="e">
        <f>VLOOKUP($D56,Résultats!$B$2:$AZ$212,S$2,FALSE)</f>
        <v>#N/A</v>
      </c>
      <c r="T56" s="31" t="e">
        <f>VLOOKUP($D56,Résultats!$B$2:$AZ$212,T$2,FALSE)</f>
        <v>#N/A</v>
      </c>
      <c r="U56" s="31" t="e">
        <f>VLOOKUP($D56,Résultats!$B$2:$AZ$212,U$2,FALSE)</f>
        <v>#N/A</v>
      </c>
      <c r="V56" s="31" t="e">
        <f>VLOOKUP($D56,Résultats!$B$2:$AZ$212,V$2,FALSE)</f>
        <v>#N/A</v>
      </c>
      <c r="W56" s="31" t="e">
        <f>VLOOKUP($D56,Résultats!$B$2:$AZ$212,W$2,FALSE)</f>
        <v>#N/A</v>
      </c>
      <c r="X56" s="31" t="e">
        <f>VLOOKUP($D56,Résultats!$B$2:$AZ$212,X$2,FALSE)</f>
        <v>#N/A</v>
      </c>
      <c r="Y56" s="31" t="e">
        <f>VLOOKUP($D56,Résultats!$B$2:$AZ$212,Y$2,FALSE)</f>
        <v>#N/A</v>
      </c>
      <c r="Z56" s="31" t="e">
        <f>VLOOKUP($D56,Résultats!$B$2:$AZ$212,Z$2,FALSE)</f>
        <v>#N/A</v>
      </c>
      <c r="AA56" s="31" t="e">
        <f>VLOOKUP($D56,Résultats!$B$2:$AZ$212,AA$2,FALSE)</f>
        <v>#N/A</v>
      </c>
      <c r="AB56" s="31" t="e">
        <f>VLOOKUP($D56,Résultats!$B$2:$AZ$212,AB$2,FALSE)</f>
        <v>#N/A</v>
      </c>
      <c r="AC56" s="31" t="e">
        <f>VLOOKUP($D56,Résultats!$B$2:$AZ$212,AC$2,FALSE)</f>
        <v>#N/A</v>
      </c>
      <c r="AD56" s="31" t="e">
        <f>VLOOKUP($D56,Résultats!$B$2:$AZ$212,AD$2,FALSE)</f>
        <v>#N/A</v>
      </c>
      <c r="AE56" s="31" t="e">
        <f>VLOOKUP($D56,Résultats!$B$2:$AZ$212,AE$2,FALSE)</f>
        <v>#N/A</v>
      </c>
      <c r="AF56" s="31" t="e">
        <f>VLOOKUP($D56,Résultats!$B$2:$AZ$212,AF$2,FALSE)</f>
        <v>#N/A</v>
      </c>
      <c r="AG56" s="31" t="e">
        <f>VLOOKUP($D56,Résultats!$B$2:$AZ$212,AG$2,FALSE)</f>
        <v>#N/A</v>
      </c>
      <c r="AH56" s="31" t="e">
        <f>VLOOKUP($D56,Résultats!$B$2:$AZ$212,AH$2,FALSE)</f>
        <v>#N/A</v>
      </c>
      <c r="AI56" s="31" t="e">
        <f>VLOOKUP($D56,Résultats!$B$2:$AZ$212,AI$2,FALSE)</f>
        <v>#N/A</v>
      </c>
      <c r="AJ56" s="31" t="e">
        <f>VLOOKUP($D56,Résultats!$B$2:$AZ$212,AJ$2,FALSE)</f>
        <v>#N/A</v>
      </c>
      <c r="AK56" s="31" t="e">
        <f>VLOOKUP($D56,Résultats!$B$2:$AZ$212,AK$2,FALSE)</f>
        <v>#N/A</v>
      </c>
      <c r="AL56" s="31" t="e">
        <f>VLOOKUP($D56,Résultats!$B$2:$AZ$212,AL$2,FALSE)</f>
        <v>#N/A</v>
      </c>
      <c r="AM56" s="31" t="e">
        <f>VLOOKUP($D56,Résultats!$B$2:$AZ$212,AM$2,FALSE)</f>
        <v>#N/A</v>
      </c>
    </row>
    <row r="57" spans="3:40" x14ac:dyDescent="0.25">
      <c r="C57" s="56" t="s">
        <v>33</v>
      </c>
      <c r="D57" s="78" t="s">
        <v>59</v>
      </c>
      <c r="E57" s="31" t="e">
        <f>VLOOKUP($D57,Résultats!$B$2:$AZ$212,E$2,FALSE)</f>
        <v>#N/A</v>
      </c>
      <c r="F57" s="31" t="e">
        <f>VLOOKUP($D57,Résultats!$B$2:$AZ$212,F$2,FALSE)</f>
        <v>#N/A</v>
      </c>
      <c r="G57" s="31" t="e">
        <f>VLOOKUP($D57,Résultats!$B$2:$AZ$212,G$2,FALSE)</f>
        <v>#N/A</v>
      </c>
      <c r="H57" s="31" t="e">
        <f>VLOOKUP($D57,Résultats!$B$2:$AZ$212,H$2,FALSE)</f>
        <v>#N/A</v>
      </c>
      <c r="I57" s="31" t="e">
        <f>VLOOKUP($D57,Résultats!$B$2:$AZ$212,I$2,FALSE)</f>
        <v>#N/A</v>
      </c>
      <c r="J57" s="31" t="e">
        <f>VLOOKUP($D57,Résultats!$B$2:$AZ$212,J$2,FALSE)</f>
        <v>#N/A</v>
      </c>
      <c r="K57" s="31" t="e">
        <f>VLOOKUP($D57,Résultats!$B$2:$AZ$212,K$2,FALSE)</f>
        <v>#N/A</v>
      </c>
      <c r="L57" s="31" t="e">
        <f>VLOOKUP($D57,Résultats!$B$2:$AZ$212,L$2,FALSE)</f>
        <v>#N/A</v>
      </c>
      <c r="M57" s="31" t="e">
        <f>VLOOKUP($D57,Résultats!$B$2:$AZ$212,M$2,FALSE)</f>
        <v>#N/A</v>
      </c>
      <c r="N57" s="31" t="e">
        <f>VLOOKUP($D57,Résultats!$B$2:$AZ$212,N$2,FALSE)</f>
        <v>#N/A</v>
      </c>
      <c r="O57" s="31" t="e">
        <f>VLOOKUP($D57,Résultats!$B$2:$AZ$212,O$2,FALSE)</f>
        <v>#N/A</v>
      </c>
      <c r="P57" s="31" t="e">
        <f>VLOOKUP($D57,Résultats!$B$2:$AZ$212,P$2,FALSE)</f>
        <v>#N/A</v>
      </c>
      <c r="Q57" s="31" t="e">
        <f>VLOOKUP($D57,Résultats!$B$2:$AZ$212,Q$2,FALSE)</f>
        <v>#N/A</v>
      </c>
      <c r="R57" s="31" t="e">
        <f>VLOOKUP($D57,Résultats!$B$2:$AZ$212,R$2,FALSE)</f>
        <v>#N/A</v>
      </c>
      <c r="S57" s="31" t="e">
        <f>VLOOKUP($D57,Résultats!$B$2:$AZ$212,S$2,FALSE)</f>
        <v>#N/A</v>
      </c>
      <c r="T57" s="31" t="e">
        <f>VLOOKUP($D57,Résultats!$B$2:$AZ$212,T$2,FALSE)</f>
        <v>#N/A</v>
      </c>
      <c r="U57" s="31" t="e">
        <f>VLOOKUP($D57,Résultats!$B$2:$AZ$212,U$2,FALSE)</f>
        <v>#N/A</v>
      </c>
      <c r="V57" s="31" t="e">
        <f>VLOOKUP($D57,Résultats!$B$2:$AZ$212,V$2,FALSE)</f>
        <v>#N/A</v>
      </c>
      <c r="W57" s="31" t="e">
        <f>VLOOKUP($D57,Résultats!$B$2:$AZ$212,W$2,FALSE)</f>
        <v>#N/A</v>
      </c>
      <c r="X57" s="31" t="e">
        <f>VLOOKUP($D57,Résultats!$B$2:$AZ$212,X$2,FALSE)</f>
        <v>#N/A</v>
      </c>
      <c r="Y57" s="31" t="e">
        <f>VLOOKUP($D57,Résultats!$B$2:$AZ$212,Y$2,FALSE)</f>
        <v>#N/A</v>
      </c>
      <c r="Z57" s="31" t="e">
        <f>VLOOKUP($D57,Résultats!$B$2:$AZ$212,Z$2,FALSE)</f>
        <v>#N/A</v>
      </c>
      <c r="AA57" s="31" t="e">
        <f>VLOOKUP($D57,Résultats!$B$2:$AZ$212,AA$2,FALSE)</f>
        <v>#N/A</v>
      </c>
      <c r="AB57" s="31" t="e">
        <f>VLOOKUP($D57,Résultats!$B$2:$AZ$212,AB$2,FALSE)</f>
        <v>#N/A</v>
      </c>
      <c r="AC57" s="31" t="e">
        <f>VLOOKUP($D57,Résultats!$B$2:$AZ$212,AC$2,FALSE)</f>
        <v>#N/A</v>
      </c>
      <c r="AD57" s="31" t="e">
        <f>VLOOKUP($D57,Résultats!$B$2:$AZ$212,AD$2,FALSE)</f>
        <v>#N/A</v>
      </c>
      <c r="AE57" s="31" t="e">
        <f>VLOOKUP($D57,Résultats!$B$2:$AZ$212,AE$2,FALSE)</f>
        <v>#N/A</v>
      </c>
      <c r="AF57" s="31" t="e">
        <f>VLOOKUP($D57,Résultats!$B$2:$AZ$212,AF$2,FALSE)</f>
        <v>#N/A</v>
      </c>
      <c r="AG57" s="31" t="e">
        <f>VLOOKUP($D57,Résultats!$B$2:$AZ$212,AG$2,FALSE)</f>
        <v>#N/A</v>
      </c>
      <c r="AH57" s="31" t="e">
        <f>VLOOKUP($D57,Résultats!$B$2:$AZ$212,AH$2,FALSE)</f>
        <v>#N/A</v>
      </c>
      <c r="AI57" s="31" t="e">
        <f>VLOOKUP($D57,Résultats!$B$2:$AZ$212,AI$2,FALSE)</f>
        <v>#N/A</v>
      </c>
      <c r="AJ57" s="31" t="e">
        <f>VLOOKUP($D57,Résultats!$B$2:$AZ$212,AJ$2,FALSE)</f>
        <v>#N/A</v>
      </c>
      <c r="AK57" s="31" t="e">
        <f>VLOOKUP($D57,Résultats!$B$2:$AZ$212,AK$2,FALSE)</f>
        <v>#N/A</v>
      </c>
      <c r="AL57" s="31" t="e">
        <f>VLOOKUP($D57,Résultats!$B$2:$AZ$212,AL$2,FALSE)</f>
        <v>#N/A</v>
      </c>
      <c r="AM57" s="31" t="e">
        <f>VLOOKUP($D57,Résultats!$B$2:$AZ$212,AM$2,FALSE)</f>
        <v>#N/A</v>
      </c>
    </row>
    <row r="58" spans="3:40" x14ac:dyDescent="0.25">
      <c r="C58" s="88" t="s">
        <v>95</v>
      </c>
      <c r="D58" s="76" t="s">
        <v>61</v>
      </c>
      <c r="E58" s="85" t="e">
        <f>VLOOKUP($D58,Résultats!$B$2:$AZ$212,E$2,FALSE)</f>
        <v>#N/A</v>
      </c>
      <c r="F58" s="85" t="e">
        <f>VLOOKUP($D58,Résultats!$B$2:$AZ$212,F$2,FALSE)</f>
        <v>#N/A</v>
      </c>
      <c r="G58" s="85" t="e">
        <f>VLOOKUP($D58,Résultats!$B$2:$AZ$212,G$2,FALSE)</f>
        <v>#N/A</v>
      </c>
      <c r="H58" s="85" t="e">
        <f>VLOOKUP($D58,Résultats!$B$2:$AZ$212,H$2,FALSE)</f>
        <v>#N/A</v>
      </c>
      <c r="I58" s="85" t="e">
        <f>VLOOKUP($D58,Résultats!$B$2:$AZ$212,I$2,FALSE)</f>
        <v>#N/A</v>
      </c>
      <c r="J58" s="85" t="e">
        <f>VLOOKUP($D58,Résultats!$B$2:$AZ$212,J$2,FALSE)</f>
        <v>#N/A</v>
      </c>
      <c r="K58" s="85" t="e">
        <f>VLOOKUP($D58,Résultats!$B$2:$AZ$212,K$2,FALSE)</f>
        <v>#N/A</v>
      </c>
      <c r="L58" s="85" t="e">
        <f>VLOOKUP($D58,Résultats!$B$2:$AZ$212,L$2,FALSE)</f>
        <v>#N/A</v>
      </c>
      <c r="M58" s="85" t="e">
        <f>VLOOKUP($D58,Résultats!$B$2:$AZ$212,M$2,FALSE)</f>
        <v>#N/A</v>
      </c>
      <c r="N58" s="85" t="e">
        <f>VLOOKUP($D58,Résultats!$B$2:$AZ$212,N$2,FALSE)</f>
        <v>#N/A</v>
      </c>
      <c r="O58" s="85" t="e">
        <f>VLOOKUP($D58,Résultats!$B$2:$AZ$212,O$2,FALSE)</f>
        <v>#N/A</v>
      </c>
      <c r="P58" s="85" t="e">
        <f>VLOOKUP($D58,Résultats!$B$2:$AZ$212,P$2,FALSE)</f>
        <v>#N/A</v>
      </c>
      <c r="Q58" s="85" t="e">
        <f>VLOOKUP($D58,Résultats!$B$2:$AZ$212,Q$2,FALSE)</f>
        <v>#N/A</v>
      </c>
      <c r="R58" s="85" t="e">
        <f>VLOOKUP($D58,Résultats!$B$2:$AZ$212,R$2,FALSE)</f>
        <v>#N/A</v>
      </c>
      <c r="S58" s="85" t="e">
        <f>VLOOKUP($D58,Résultats!$B$2:$AZ$212,S$2,FALSE)</f>
        <v>#N/A</v>
      </c>
      <c r="T58" s="85" t="e">
        <f>VLOOKUP($D58,Résultats!$B$2:$AZ$212,T$2,FALSE)</f>
        <v>#N/A</v>
      </c>
      <c r="U58" s="85" t="e">
        <f>VLOOKUP($D58,Résultats!$B$2:$AZ$212,U$2,FALSE)</f>
        <v>#N/A</v>
      </c>
      <c r="V58" s="85" t="e">
        <f>VLOOKUP($D58,Résultats!$B$2:$AZ$212,V$2,FALSE)</f>
        <v>#N/A</v>
      </c>
      <c r="W58" s="85" t="e">
        <f>VLOOKUP($D58,Résultats!$B$2:$AZ$212,W$2,FALSE)</f>
        <v>#N/A</v>
      </c>
      <c r="X58" s="85" t="e">
        <f>VLOOKUP($D58,Résultats!$B$2:$AZ$212,X$2,FALSE)</f>
        <v>#N/A</v>
      </c>
      <c r="Y58" s="85" t="e">
        <f>VLOOKUP($D58,Résultats!$B$2:$AZ$212,Y$2,FALSE)</f>
        <v>#N/A</v>
      </c>
      <c r="Z58" s="85" t="e">
        <f>VLOOKUP($D58,Résultats!$B$2:$AZ$212,Z$2,FALSE)</f>
        <v>#N/A</v>
      </c>
      <c r="AA58" s="85" t="e">
        <f>VLOOKUP($D58,Résultats!$B$2:$AZ$212,AA$2,FALSE)</f>
        <v>#N/A</v>
      </c>
      <c r="AB58" s="85" t="e">
        <f>VLOOKUP($D58,Résultats!$B$2:$AZ$212,AB$2,FALSE)</f>
        <v>#N/A</v>
      </c>
      <c r="AC58" s="85" t="e">
        <f>VLOOKUP($D58,Résultats!$B$2:$AZ$212,AC$2,FALSE)</f>
        <v>#N/A</v>
      </c>
      <c r="AD58" s="85" t="e">
        <f>VLOOKUP($D58,Résultats!$B$2:$AZ$212,AD$2,FALSE)</f>
        <v>#N/A</v>
      </c>
      <c r="AE58" s="85" t="e">
        <f>VLOOKUP($D58,Résultats!$B$2:$AZ$212,AE$2,FALSE)</f>
        <v>#N/A</v>
      </c>
      <c r="AF58" s="85" t="e">
        <f>VLOOKUP($D58,Résultats!$B$2:$AZ$212,AF$2,FALSE)</f>
        <v>#N/A</v>
      </c>
      <c r="AG58" s="85" t="e">
        <f>VLOOKUP($D58,Résultats!$B$2:$AZ$212,AG$2,FALSE)</f>
        <v>#N/A</v>
      </c>
      <c r="AH58" s="85" t="e">
        <f>VLOOKUP($D58,Résultats!$B$2:$AZ$212,AH$2,FALSE)</f>
        <v>#N/A</v>
      </c>
      <c r="AI58" s="85" t="e">
        <f>VLOOKUP($D58,Résultats!$B$2:$AZ$212,AI$2,FALSE)</f>
        <v>#N/A</v>
      </c>
      <c r="AJ58" s="85" t="e">
        <f>VLOOKUP($D58,Résultats!$B$2:$AZ$212,AJ$2,FALSE)</f>
        <v>#N/A</v>
      </c>
      <c r="AK58" s="85" t="e">
        <f>VLOOKUP($D58,Résultats!$B$2:$AZ$212,AK$2,FALSE)</f>
        <v>#N/A</v>
      </c>
      <c r="AL58" s="85" t="e">
        <f>VLOOKUP($D58,Résultats!$B$2:$AZ$212,AL$2,FALSE)</f>
        <v>#N/A</v>
      </c>
      <c r="AM58" s="85" t="e">
        <f>VLOOKUP($D58,Résultats!$B$2:$AZ$212,AM$2,FALSE)</f>
        <v>#N/A</v>
      </c>
      <c r="AN58" s="21"/>
    </row>
    <row r="59" spans="3:40" x14ac:dyDescent="0.25">
      <c r="C59" s="56" t="s">
        <v>27</v>
      </c>
      <c r="D59" s="78" t="s">
        <v>46</v>
      </c>
      <c r="E59" s="89" t="e">
        <f>VLOOKUP($D59,Résultats!$B$2:$AZ$212,E$2,FALSE)</f>
        <v>#N/A</v>
      </c>
      <c r="F59" s="89" t="e">
        <f>VLOOKUP($D59,Résultats!$B$2:$AZ$212,F$2,FALSE)</f>
        <v>#N/A</v>
      </c>
      <c r="G59" s="89" t="e">
        <f>VLOOKUP($D59,Résultats!$B$2:$AZ$212,G$2,FALSE)</f>
        <v>#N/A</v>
      </c>
      <c r="H59" s="89" t="e">
        <f>VLOOKUP($D59,Résultats!$B$2:$AZ$212,H$2,FALSE)</f>
        <v>#N/A</v>
      </c>
      <c r="I59" s="89" t="e">
        <f>VLOOKUP($D59,Résultats!$B$2:$AZ$212,I$2,FALSE)</f>
        <v>#N/A</v>
      </c>
      <c r="J59" s="89" t="e">
        <f>VLOOKUP($D59,Résultats!$B$2:$AZ$212,J$2,FALSE)</f>
        <v>#N/A</v>
      </c>
      <c r="K59" s="89" t="e">
        <f>VLOOKUP($D59,Résultats!$B$2:$AZ$212,K$2,FALSE)</f>
        <v>#N/A</v>
      </c>
      <c r="L59" s="89" t="e">
        <f>VLOOKUP($D59,Résultats!$B$2:$AZ$212,L$2,FALSE)</f>
        <v>#N/A</v>
      </c>
      <c r="M59" s="89" t="e">
        <f>VLOOKUP($D59,Résultats!$B$2:$AZ$212,M$2,FALSE)</f>
        <v>#N/A</v>
      </c>
      <c r="N59" s="89" t="e">
        <f>VLOOKUP($D59,Résultats!$B$2:$AZ$212,N$2,FALSE)</f>
        <v>#N/A</v>
      </c>
      <c r="O59" s="89" t="e">
        <f>VLOOKUP($D59,Résultats!$B$2:$AZ$212,O$2,FALSE)</f>
        <v>#N/A</v>
      </c>
      <c r="P59" s="89" t="e">
        <f>VLOOKUP($D59,Résultats!$B$2:$AZ$212,P$2,FALSE)</f>
        <v>#N/A</v>
      </c>
      <c r="Q59" s="89" t="e">
        <f>VLOOKUP($D59,Résultats!$B$2:$AZ$212,Q$2,FALSE)</f>
        <v>#N/A</v>
      </c>
      <c r="R59" s="89" t="e">
        <f>VLOOKUP($D59,Résultats!$B$2:$AZ$212,R$2,FALSE)</f>
        <v>#N/A</v>
      </c>
      <c r="S59" s="89" t="e">
        <f>VLOOKUP($D59,Résultats!$B$2:$AZ$212,S$2,FALSE)</f>
        <v>#N/A</v>
      </c>
      <c r="T59" s="89" t="e">
        <f>VLOOKUP($D59,Résultats!$B$2:$AZ$212,T$2,FALSE)</f>
        <v>#N/A</v>
      </c>
      <c r="U59" s="89" t="e">
        <f>VLOOKUP($D59,Résultats!$B$2:$AZ$212,U$2,FALSE)</f>
        <v>#N/A</v>
      </c>
      <c r="V59" s="89" t="e">
        <f>VLOOKUP($D59,Résultats!$B$2:$AZ$212,V$2,FALSE)</f>
        <v>#N/A</v>
      </c>
      <c r="W59" s="89" t="e">
        <f>VLOOKUP($D59,Résultats!$B$2:$AZ$212,W$2,FALSE)</f>
        <v>#N/A</v>
      </c>
      <c r="X59" s="89" t="e">
        <f>VLOOKUP($D59,Résultats!$B$2:$AZ$212,X$2,FALSE)</f>
        <v>#N/A</v>
      </c>
      <c r="Y59" s="89" t="e">
        <f>VLOOKUP($D59,Résultats!$B$2:$AZ$212,Y$2,FALSE)</f>
        <v>#N/A</v>
      </c>
      <c r="Z59" s="89" t="e">
        <f>VLOOKUP($D59,Résultats!$B$2:$AZ$212,Z$2,FALSE)</f>
        <v>#N/A</v>
      </c>
      <c r="AA59" s="89" t="e">
        <f>VLOOKUP($D59,Résultats!$B$2:$AZ$212,AA$2,FALSE)</f>
        <v>#N/A</v>
      </c>
      <c r="AB59" s="89" t="e">
        <f>VLOOKUP($D59,Résultats!$B$2:$AZ$212,AB$2,FALSE)</f>
        <v>#N/A</v>
      </c>
      <c r="AC59" s="89" t="e">
        <f>VLOOKUP($D59,Résultats!$B$2:$AZ$212,AC$2,FALSE)</f>
        <v>#N/A</v>
      </c>
      <c r="AD59" s="89" t="e">
        <f>VLOOKUP($D59,Résultats!$B$2:$AZ$212,AD$2,FALSE)</f>
        <v>#N/A</v>
      </c>
      <c r="AE59" s="89" t="e">
        <f>VLOOKUP($D59,Résultats!$B$2:$AZ$212,AE$2,FALSE)</f>
        <v>#N/A</v>
      </c>
      <c r="AF59" s="89" t="e">
        <f>VLOOKUP($D59,Résultats!$B$2:$AZ$212,AF$2,FALSE)</f>
        <v>#N/A</v>
      </c>
      <c r="AG59" s="89" t="e">
        <f>VLOOKUP($D59,Résultats!$B$2:$AZ$212,AG$2,FALSE)</f>
        <v>#N/A</v>
      </c>
      <c r="AH59" s="89" t="e">
        <f>VLOOKUP($D59,Résultats!$B$2:$AZ$212,AH$2,FALSE)</f>
        <v>#N/A</v>
      </c>
      <c r="AI59" s="89" t="e">
        <f>VLOOKUP($D59,Résultats!$B$2:$AZ$212,AI$2,FALSE)</f>
        <v>#N/A</v>
      </c>
      <c r="AJ59" s="89" t="e">
        <f>VLOOKUP($D59,Résultats!$B$2:$AZ$212,AJ$2,FALSE)</f>
        <v>#N/A</v>
      </c>
      <c r="AK59" s="89" t="e">
        <f>VLOOKUP($D59,Résultats!$B$2:$AZ$212,AK$2,FALSE)</f>
        <v>#N/A</v>
      </c>
      <c r="AL59" s="89" t="e">
        <f>VLOOKUP($D59,Résultats!$B$2:$AZ$212,AL$2,FALSE)</f>
        <v>#N/A</v>
      </c>
      <c r="AM59" s="89" t="e">
        <f>VLOOKUP($D59,Résultats!$B$2:$AZ$212,AM$2,FALSE)</f>
        <v>#N/A</v>
      </c>
    </row>
    <row r="60" spans="3:40" x14ac:dyDescent="0.25">
      <c r="C60" s="56" t="s">
        <v>28</v>
      </c>
      <c r="D60" s="78" t="s">
        <v>47</v>
      </c>
      <c r="E60" s="89" t="e">
        <f>VLOOKUP($D60,Résultats!$B$2:$AZ$212,E$2,FALSE)</f>
        <v>#N/A</v>
      </c>
      <c r="F60" s="89" t="e">
        <f>VLOOKUP($D60,Résultats!$B$2:$AZ$212,F$2,FALSE)</f>
        <v>#N/A</v>
      </c>
      <c r="G60" s="89" t="e">
        <f>VLOOKUP($D60,Résultats!$B$2:$AZ$212,G$2,FALSE)</f>
        <v>#N/A</v>
      </c>
      <c r="H60" s="89" t="e">
        <f>VLOOKUP($D60,Résultats!$B$2:$AZ$212,H$2,FALSE)</f>
        <v>#N/A</v>
      </c>
      <c r="I60" s="89" t="e">
        <f>VLOOKUP($D60,Résultats!$B$2:$AZ$212,I$2,FALSE)</f>
        <v>#N/A</v>
      </c>
      <c r="J60" s="89" t="e">
        <f>VLOOKUP($D60,Résultats!$B$2:$AZ$212,J$2,FALSE)</f>
        <v>#N/A</v>
      </c>
      <c r="K60" s="89" t="e">
        <f>VLOOKUP($D60,Résultats!$B$2:$AZ$212,K$2,FALSE)</f>
        <v>#N/A</v>
      </c>
      <c r="L60" s="89" t="e">
        <f>VLOOKUP($D60,Résultats!$B$2:$AZ$212,L$2,FALSE)</f>
        <v>#N/A</v>
      </c>
      <c r="M60" s="89" t="e">
        <f>VLOOKUP($D60,Résultats!$B$2:$AZ$212,M$2,FALSE)</f>
        <v>#N/A</v>
      </c>
      <c r="N60" s="89" t="e">
        <f>VLOOKUP($D60,Résultats!$B$2:$AZ$212,N$2,FALSE)</f>
        <v>#N/A</v>
      </c>
      <c r="O60" s="89" t="e">
        <f>VLOOKUP($D60,Résultats!$B$2:$AZ$212,O$2,FALSE)</f>
        <v>#N/A</v>
      </c>
      <c r="P60" s="89" t="e">
        <f>VLOOKUP($D60,Résultats!$B$2:$AZ$212,P$2,FALSE)</f>
        <v>#N/A</v>
      </c>
      <c r="Q60" s="89" t="e">
        <f>VLOOKUP($D60,Résultats!$B$2:$AZ$212,Q$2,FALSE)</f>
        <v>#N/A</v>
      </c>
      <c r="R60" s="89" t="e">
        <f>VLOOKUP($D60,Résultats!$B$2:$AZ$212,R$2,FALSE)</f>
        <v>#N/A</v>
      </c>
      <c r="S60" s="89" t="e">
        <f>VLOOKUP($D60,Résultats!$B$2:$AZ$212,S$2,FALSE)</f>
        <v>#N/A</v>
      </c>
      <c r="T60" s="89" t="e">
        <f>VLOOKUP($D60,Résultats!$B$2:$AZ$212,T$2,FALSE)</f>
        <v>#N/A</v>
      </c>
      <c r="U60" s="89" t="e">
        <f>VLOOKUP($D60,Résultats!$B$2:$AZ$212,U$2,FALSE)</f>
        <v>#N/A</v>
      </c>
      <c r="V60" s="89" t="e">
        <f>VLOOKUP($D60,Résultats!$B$2:$AZ$212,V$2,FALSE)</f>
        <v>#N/A</v>
      </c>
      <c r="W60" s="89" t="e">
        <f>VLOOKUP($D60,Résultats!$B$2:$AZ$212,W$2,FALSE)</f>
        <v>#N/A</v>
      </c>
      <c r="X60" s="89" t="e">
        <f>VLOOKUP($D60,Résultats!$B$2:$AZ$212,X$2,FALSE)</f>
        <v>#N/A</v>
      </c>
      <c r="Y60" s="89" t="e">
        <f>VLOOKUP($D60,Résultats!$B$2:$AZ$212,Y$2,FALSE)</f>
        <v>#N/A</v>
      </c>
      <c r="Z60" s="89" t="e">
        <f>VLOOKUP($D60,Résultats!$B$2:$AZ$212,Z$2,FALSE)</f>
        <v>#N/A</v>
      </c>
      <c r="AA60" s="89" t="e">
        <f>VLOOKUP($D60,Résultats!$B$2:$AZ$212,AA$2,FALSE)</f>
        <v>#N/A</v>
      </c>
      <c r="AB60" s="89" t="e">
        <f>VLOOKUP($D60,Résultats!$B$2:$AZ$212,AB$2,FALSE)</f>
        <v>#N/A</v>
      </c>
      <c r="AC60" s="89" t="e">
        <f>VLOOKUP($D60,Résultats!$B$2:$AZ$212,AC$2,FALSE)</f>
        <v>#N/A</v>
      </c>
      <c r="AD60" s="89" t="e">
        <f>VLOOKUP($D60,Résultats!$B$2:$AZ$212,AD$2,FALSE)</f>
        <v>#N/A</v>
      </c>
      <c r="AE60" s="89" t="e">
        <f>VLOOKUP($D60,Résultats!$B$2:$AZ$212,AE$2,FALSE)</f>
        <v>#N/A</v>
      </c>
      <c r="AF60" s="89" t="e">
        <f>VLOOKUP($D60,Résultats!$B$2:$AZ$212,AF$2,FALSE)</f>
        <v>#N/A</v>
      </c>
      <c r="AG60" s="89" t="e">
        <f>VLOOKUP($D60,Résultats!$B$2:$AZ$212,AG$2,FALSE)</f>
        <v>#N/A</v>
      </c>
      <c r="AH60" s="89" t="e">
        <f>VLOOKUP($D60,Résultats!$B$2:$AZ$212,AH$2,FALSE)</f>
        <v>#N/A</v>
      </c>
      <c r="AI60" s="89" t="e">
        <f>VLOOKUP($D60,Résultats!$B$2:$AZ$212,AI$2,FALSE)</f>
        <v>#N/A</v>
      </c>
      <c r="AJ60" s="89" t="e">
        <f>VLOOKUP($D60,Résultats!$B$2:$AZ$212,AJ$2,FALSE)</f>
        <v>#N/A</v>
      </c>
      <c r="AK60" s="89" t="e">
        <f>VLOOKUP($D60,Résultats!$B$2:$AZ$212,AK$2,FALSE)</f>
        <v>#N/A</v>
      </c>
      <c r="AL60" s="89" t="e">
        <f>VLOOKUP($D60,Résultats!$B$2:$AZ$212,AL$2,FALSE)</f>
        <v>#N/A</v>
      </c>
      <c r="AM60" s="89" t="e">
        <f>VLOOKUP($D60,Résultats!$B$2:$AZ$212,AM$2,FALSE)</f>
        <v>#N/A</v>
      </c>
    </row>
    <row r="61" spans="3:40" x14ac:dyDescent="0.25">
      <c r="C61" s="56" t="s">
        <v>29</v>
      </c>
      <c r="D61" s="78" t="s">
        <v>48</v>
      </c>
      <c r="E61" s="89" t="e">
        <f>VLOOKUP($D61,Résultats!$B$2:$AZ$212,E$2,FALSE)</f>
        <v>#N/A</v>
      </c>
      <c r="F61" s="89" t="e">
        <f>VLOOKUP($D61,Résultats!$B$2:$AZ$212,F$2,FALSE)</f>
        <v>#N/A</v>
      </c>
      <c r="G61" s="89" t="e">
        <f>VLOOKUP($D61,Résultats!$B$2:$AZ$212,G$2,FALSE)</f>
        <v>#N/A</v>
      </c>
      <c r="H61" s="89" t="e">
        <f>VLOOKUP($D61,Résultats!$B$2:$AZ$212,H$2,FALSE)</f>
        <v>#N/A</v>
      </c>
      <c r="I61" s="89" t="e">
        <f>VLOOKUP($D61,Résultats!$B$2:$AZ$212,I$2,FALSE)</f>
        <v>#N/A</v>
      </c>
      <c r="J61" s="89" t="e">
        <f>VLOOKUP($D61,Résultats!$B$2:$AZ$212,J$2,FALSE)</f>
        <v>#N/A</v>
      </c>
      <c r="K61" s="89" t="e">
        <f>VLOOKUP($D61,Résultats!$B$2:$AZ$212,K$2,FALSE)</f>
        <v>#N/A</v>
      </c>
      <c r="L61" s="89" t="e">
        <f>VLOOKUP($D61,Résultats!$B$2:$AZ$212,L$2,FALSE)</f>
        <v>#N/A</v>
      </c>
      <c r="M61" s="89" t="e">
        <f>VLOOKUP($D61,Résultats!$B$2:$AZ$212,M$2,FALSE)</f>
        <v>#N/A</v>
      </c>
      <c r="N61" s="89" t="e">
        <f>VLOOKUP($D61,Résultats!$B$2:$AZ$212,N$2,FALSE)</f>
        <v>#N/A</v>
      </c>
      <c r="O61" s="89" t="e">
        <f>VLOOKUP($D61,Résultats!$B$2:$AZ$212,O$2,FALSE)</f>
        <v>#N/A</v>
      </c>
      <c r="P61" s="89" t="e">
        <f>VLOOKUP($D61,Résultats!$B$2:$AZ$212,P$2,FALSE)</f>
        <v>#N/A</v>
      </c>
      <c r="Q61" s="89" t="e">
        <f>VLOOKUP($D61,Résultats!$B$2:$AZ$212,Q$2,FALSE)</f>
        <v>#N/A</v>
      </c>
      <c r="R61" s="89" t="e">
        <f>VLOOKUP($D61,Résultats!$B$2:$AZ$212,R$2,FALSE)</f>
        <v>#N/A</v>
      </c>
      <c r="S61" s="89" t="e">
        <f>VLOOKUP($D61,Résultats!$B$2:$AZ$212,S$2,FALSE)</f>
        <v>#N/A</v>
      </c>
      <c r="T61" s="89" t="e">
        <f>VLOOKUP($D61,Résultats!$B$2:$AZ$212,T$2,FALSE)</f>
        <v>#N/A</v>
      </c>
      <c r="U61" s="89" t="e">
        <f>VLOOKUP($D61,Résultats!$B$2:$AZ$212,U$2,FALSE)</f>
        <v>#N/A</v>
      </c>
      <c r="V61" s="89" t="e">
        <f>VLOOKUP($D61,Résultats!$B$2:$AZ$212,V$2,FALSE)</f>
        <v>#N/A</v>
      </c>
      <c r="W61" s="89" t="e">
        <f>VLOOKUP($D61,Résultats!$B$2:$AZ$212,W$2,FALSE)</f>
        <v>#N/A</v>
      </c>
      <c r="X61" s="89" t="e">
        <f>VLOOKUP($D61,Résultats!$B$2:$AZ$212,X$2,FALSE)</f>
        <v>#N/A</v>
      </c>
      <c r="Y61" s="89" t="e">
        <f>VLOOKUP($D61,Résultats!$B$2:$AZ$212,Y$2,FALSE)</f>
        <v>#N/A</v>
      </c>
      <c r="Z61" s="89" t="e">
        <f>VLOOKUP($D61,Résultats!$B$2:$AZ$212,Z$2,FALSE)</f>
        <v>#N/A</v>
      </c>
      <c r="AA61" s="89" t="e">
        <f>VLOOKUP($D61,Résultats!$B$2:$AZ$212,AA$2,FALSE)</f>
        <v>#N/A</v>
      </c>
      <c r="AB61" s="89" t="e">
        <f>VLOOKUP($D61,Résultats!$B$2:$AZ$212,AB$2,FALSE)</f>
        <v>#N/A</v>
      </c>
      <c r="AC61" s="89" t="e">
        <f>VLOOKUP($D61,Résultats!$B$2:$AZ$212,AC$2,FALSE)</f>
        <v>#N/A</v>
      </c>
      <c r="AD61" s="89" t="e">
        <f>VLOOKUP($D61,Résultats!$B$2:$AZ$212,AD$2,FALSE)</f>
        <v>#N/A</v>
      </c>
      <c r="AE61" s="89" t="e">
        <f>VLOOKUP($D61,Résultats!$B$2:$AZ$212,AE$2,FALSE)</f>
        <v>#N/A</v>
      </c>
      <c r="AF61" s="89" t="e">
        <f>VLOOKUP($D61,Résultats!$B$2:$AZ$212,AF$2,FALSE)</f>
        <v>#N/A</v>
      </c>
      <c r="AG61" s="89" t="e">
        <f>VLOOKUP($D61,Résultats!$B$2:$AZ$212,AG$2,FALSE)</f>
        <v>#N/A</v>
      </c>
      <c r="AH61" s="89" t="e">
        <f>VLOOKUP($D61,Résultats!$B$2:$AZ$212,AH$2,FALSE)</f>
        <v>#N/A</v>
      </c>
      <c r="AI61" s="89" t="e">
        <f>VLOOKUP($D61,Résultats!$B$2:$AZ$212,AI$2,FALSE)</f>
        <v>#N/A</v>
      </c>
      <c r="AJ61" s="89" t="e">
        <f>VLOOKUP($D61,Résultats!$B$2:$AZ$212,AJ$2,FALSE)</f>
        <v>#N/A</v>
      </c>
      <c r="AK61" s="89" t="e">
        <f>VLOOKUP($D61,Résultats!$B$2:$AZ$212,AK$2,FALSE)</f>
        <v>#N/A</v>
      </c>
      <c r="AL61" s="89" t="e">
        <f>VLOOKUP($D61,Résultats!$B$2:$AZ$212,AL$2,FALSE)</f>
        <v>#N/A</v>
      </c>
      <c r="AM61" s="89" t="e">
        <f>VLOOKUP($D61,Résultats!$B$2:$AZ$212,AM$2,FALSE)</f>
        <v>#N/A</v>
      </c>
    </row>
    <row r="62" spans="3:40" x14ac:dyDescent="0.25">
      <c r="C62" s="56" t="s">
        <v>30</v>
      </c>
      <c r="D62" s="78" t="s">
        <v>49</v>
      </c>
      <c r="E62" s="89" t="e">
        <f>VLOOKUP($D62,Résultats!$B$2:$AZ$212,E$2,FALSE)</f>
        <v>#N/A</v>
      </c>
      <c r="F62" s="89" t="e">
        <f>VLOOKUP($D62,Résultats!$B$2:$AZ$212,F$2,FALSE)</f>
        <v>#N/A</v>
      </c>
      <c r="G62" s="89" t="e">
        <f>VLOOKUP($D62,Résultats!$B$2:$AZ$212,G$2,FALSE)</f>
        <v>#N/A</v>
      </c>
      <c r="H62" s="89" t="e">
        <f>VLOOKUP($D62,Résultats!$B$2:$AZ$212,H$2,FALSE)</f>
        <v>#N/A</v>
      </c>
      <c r="I62" s="89" t="e">
        <f>VLOOKUP($D62,Résultats!$B$2:$AZ$212,I$2,FALSE)</f>
        <v>#N/A</v>
      </c>
      <c r="J62" s="89" t="e">
        <f>VLOOKUP($D62,Résultats!$B$2:$AZ$212,J$2,FALSE)</f>
        <v>#N/A</v>
      </c>
      <c r="K62" s="89" t="e">
        <f>VLOOKUP($D62,Résultats!$B$2:$AZ$212,K$2,FALSE)</f>
        <v>#N/A</v>
      </c>
      <c r="L62" s="89" t="e">
        <f>VLOOKUP($D62,Résultats!$B$2:$AZ$212,L$2,FALSE)</f>
        <v>#N/A</v>
      </c>
      <c r="M62" s="89" t="e">
        <f>VLOOKUP($D62,Résultats!$B$2:$AZ$212,M$2,FALSE)</f>
        <v>#N/A</v>
      </c>
      <c r="N62" s="89" t="e">
        <f>VLOOKUP($D62,Résultats!$B$2:$AZ$212,N$2,FALSE)</f>
        <v>#N/A</v>
      </c>
      <c r="O62" s="89" t="e">
        <f>VLOOKUP($D62,Résultats!$B$2:$AZ$212,O$2,FALSE)</f>
        <v>#N/A</v>
      </c>
      <c r="P62" s="89" t="e">
        <f>VLOOKUP($D62,Résultats!$B$2:$AZ$212,P$2,FALSE)</f>
        <v>#N/A</v>
      </c>
      <c r="Q62" s="89" t="e">
        <f>VLOOKUP($D62,Résultats!$B$2:$AZ$212,Q$2,FALSE)</f>
        <v>#N/A</v>
      </c>
      <c r="R62" s="89" t="e">
        <f>VLOOKUP($D62,Résultats!$B$2:$AZ$212,R$2,FALSE)</f>
        <v>#N/A</v>
      </c>
      <c r="S62" s="89" t="e">
        <f>VLOOKUP($D62,Résultats!$B$2:$AZ$212,S$2,FALSE)</f>
        <v>#N/A</v>
      </c>
      <c r="T62" s="89" t="e">
        <f>VLOOKUP($D62,Résultats!$B$2:$AZ$212,T$2,FALSE)</f>
        <v>#N/A</v>
      </c>
      <c r="U62" s="89" t="e">
        <f>VLOOKUP($D62,Résultats!$B$2:$AZ$212,U$2,FALSE)</f>
        <v>#N/A</v>
      </c>
      <c r="V62" s="89" t="e">
        <f>VLOOKUP($D62,Résultats!$B$2:$AZ$212,V$2,FALSE)</f>
        <v>#N/A</v>
      </c>
      <c r="W62" s="89" t="e">
        <f>VLOOKUP($D62,Résultats!$B$2:$AZ$212,W$2,FALSE)</f>
        <v>#N/A</v>
      </c>
      <c r="X62" s="89" t="e">
        <f>VLOOKUP($D62,Résultats!$B$2:$AZ$212,X$2,FALSE)</f>
        <v>#N/A</v>
      </c>
      <c r="Y62" s="89" t="e">
        <f>VLOOKUP($D62,Résultats!$B$2:$AZ$212,Y$2,FALSE)</f>
        <v>#N/A</v>
      </c>
      <c r="Z62" s="89" t="e">
        <f>VLOOKUP($D62,Résultats!$B$2:$AZ$212,Z$2,FALSE)</f>
        <v>#N/A</v>
      </c>
      <c r="AA62" s="89" t="e">
        <f>VLOOKUP($D62,Résultats!$B$2:$AZ$212,AA$2,FALSE)</f>
        <v>#N/A</v>
      </c>
      <c r="AB62" s="89" t="e">
        <f>VLOOKUP($D62,Résultats!$B$2:$AZ$212,AB$2,FALSE)</f>
        <v>#N/A</v>
      </c>
      <c r="AC62" s="89" t="e">
        <f>VLOOKUP($D62,Résultats!$B$2:$AZ$212,AC$2,FALSE)</f>
        <v>#N/A</v>
      </c>
      <c r="AD62" s="89" t="e">
        <f>VLOOKUP($D62,Résultats!$B$2:$AZ$212,AD$2,FALSE)</f>
        <v>#N/A</v>
      </c>
      <c r="AE62" s="89" t="e">
        <f>VLOOKUP($D62,Résultats!$B$2:$AZ$212,AE$2,FALSE)</f>
        <v>#N/A</v>
      </c>
      <c r="AF62" s="89" t="e">
        <f>VLOOKUP($D62,Résultats!$B$2:$AZ$212,AF$2,FALSE)</f>
        <v>#N/A</v>
      </c>
      <c r="AG62" s="89" t="e">
        <f>VLOOKUP($D62,Résultats!$B$2:$AZ$212,AG$2,FALSE)</f>
        <v>#N/A</v>
      </c>
      <c r="AH62" s="89" t="e">
        <f>VLOOKUP($D62,Résultats!$B$2:$AZ$212,AH$2,FALSE)</f>
        <v>#N/A</v>
      </c>
      <c r="AI62" s="89" t="e">
        <f>VLOOKUP($D62,Résultats!$B$2:$AZ$212,AI$2,FALSE)</f>
        <v>#N/A</v>
      </c>
      <c r="AJ62" s="89" t="e">
        <f>VLOOKUP($D62,Résultats!$B$2:$AZ$212,AJ$2,FALSE)</f>
        <v>#N/A</v>
      </c>
      <c r="AK62" s="89" t="e">
        <f>VLOOKUP($D62,Résultats!$B$2:$AZ$212,AK$2,FALSE)</f>
        <v>#N/A</v>
      </c>
      <c r="AL62" s="89" t="e">
        <f>VLOOKUP($D62,Résultats!$B$2:$AZ$212,AL$2,FALSE)</f>
        <v>#N/A</v>
      </c>
      <c r="AM62" s="89" t="e">
        <f>VLOOKUP($D62,Résultats!$B$2:$AZ$212,AM$2,FALSE)</f>
        <v>#N/A</v>
      </c>
    </row>
    <row r="63" spans="3:40" x14ac:dyDescent="0.25">
      <c r="C63" s="56" t="s">
        <v>31</v>
      </c>
      <c r="D63" s="78" t="s">
        <v>50</v>
      </c>
      <c r="E63" s="89" t="e">
        <f>VLOOKUP($D63,Résultats!$B$2:$AZ$212,E$2,FALSE)</f>
        <v>#N/A</v>
      </c>
      <c r="F63" s="89" t="e">
        <f>VLOOKUP($D63,Résultats!$B$2:$AZ$212,F$2,FALSE)</f>
        <v>#N/A</v>
      </c>
      <c r="G63" s="89" t="e">
        <f>VLOOKUP($D63,Résultats!$B$2:$AZ$212,G$2,FALSE)</f>
        <v>#N/A</v>
      </c>
      <c r="H63" s="89" t="e">
        <f>VLOOKUP($D63,Résultats!$B$2:$AZ$212,H$2,FALSE)</f>
        <v>#N/A</v>
      </c>
      <c r="I63" s="89" t="e">
        <f>VLOOKUP($D63,Résultats!$B$2:$AZ$212,I$2,FALSE)</f>
        <v>#N/A</v>
      </c>
      <c r="J63" s="89" t="e">
        <f>VLOOKUP($D63,Résultats!$B$2:$AZ$212,J$2,FALSE)</f>
        <v>#N/A</v>
      </c>
      <c r="K63" s="89" t="e">
        <f>VLOOKUP($D63,Résultats!$B$2:$AZ$212,K$2,FALSE)</f>
        <v>#N/A</v>
      </c>
      <c r="L63" s="89" t="e">
        <f>VLOOKUP($D63,Résultats!$B$2:$AZ$212,L$2,FALSE)</f>
        <v>#N/A</v>
      </c>
      <c r="M63" s="89" t="e">
        <f>VLOOKUP($D63,Résultats!$B$2:$AZ$212,M$2,FALSE)</f>
        <v>#N/A</v>
      </c>
      <c r="N63" s="89" t="e">
        <f>VLOOKUP($D63,Résultats!$B$2:$AZ$212,N$2,FALSE)</f>
        <v>#N/A</v>
      </c>
      <c r="O63" s="89" t="e">
        <f>VLOOKUP($D63,Résultats!$B$2:$AZ$212,O$2,FALSE)</f>
        <v>#N/A</v>
      </c>
      <c r="P63" s="89" t="e">
        <f>VLOOKUP($D63,Résultats!$B$2:$AZ$212,P$2,FALSE)</f>
        <v>#N/A</v>
      </c>
      <c r="Q63" s="89" t="e">
        <f>VLOOKUP($D63,Résultats!$B$2:$AZ$212,Q$2,FALSE)</f>
        <v>#N/A</v>
      </c>
      <c r="R63" s="89" t="e">
        <f>VLOOKUP($D63,Résultats!$B$2:$AZ$212,R$2,FALSE)</f>
        <v>#N/A</v>
      </c>
      <c r="S63" s="89" t="e">
        <f>VLOOKUP($D63,Résultats!$B$2:$AZ$212,S$2,FALSE)</f>
        <v>#N/A</v>
      </c>
      <c r="T63" s="89" t="e">
        <f>VLOOKUP($D63,Résultats!$B$2:$AZ$212,T$2,FALSE)</f>
        <v>#N/A</v>
      </c>
      <c r="U63" s="89" t="e">
        <f>VLOOKUP($D63,Résultats!$B$2:$AZ$212,U$2,FALSE)</f>
        <v>#N/A</v>
      </c>
      <c r="V63" s="89" t="e">
        <f>VLOOKUP($D63,Résultats!$B$2:$AZ$212,V$2,FALSE)</f>
        <v>#N/A</v>
      </c>
      <c r="W63" s="89" t="e">
        <f>VLOOKUP($D63,Résultats!$B$2:$AZ$212,W$2,FALSE)</f>
        <v>#N/A</v>
      </c>
      <c r="X63" s="89" t="e">
        <f>VLOOKUP($D63,Résultats!$B$2:$AZ$212,X$2,FALSE)</f>
        <v>#N/A</v>
      </c>
      <c r="Y63" s="89" t="e">
        <f>VLOOKUP($D63,Résultats!$B$2:$AZ$212,Y$2,FALSE)</f>
        <v>#N/A</v>
      </c>
      <c r="Z63" s="89" t="e">
        <f>VLOOKUP($D63,Résultats!$B$2:$AZ$212,Z$2,FALSE)</f>
        <v>#N/A</v>
      </c>
      <c r="AA63" s="89" t="e">
        <f>VLOOKUP($D63,Résultats!$B$2:$AZ$212,AA$2,FALSE)</f>
        <v>#N/A</v>
      </c>
      <c r="AB63" s="89" t="e">
        <f>VLOOKUP($D63,Résultats!$B$2:$AZ$212,AB$2,FALSE)</f>
        <v>#N/A</v>
      </c>
      <c r="AC63" s="89" t="e">
        <f>VLOOKUP($D63,Résultats!$B$2:$AZ$212,AC$2,FALSE)</f>
        <v>#N/A</v>
      </c>
      <c r="AD63" s="89" t="e">
        <f>VLOOKUP($D63,Résultats!$B$2:$AZ$212,AD$2,FALSE)</f>
        <v>#N/A</v>
      </c>
      <c r="AE63" s="89" t="e">
        <f>VLOOKUP($D63,Résultats!$B$2:$AZ$212,AE$2,FALSE)</f>
        <v>#N/A</v>
      </c>
      <c r="AF63" s="89" t="e">
        <f>VLOOKUP($D63,Résultats!$B$2:$AZ$212,AF$2,FALSE)</f>
        <v>#N/A</v>
      </c>
      <c r="AG63" s="89" t="e">
        <f>VLOOKUP($D63,Résultats!$B$2:$AZ$212,AG$2,FALSE)</f>
        <v>#N/A</v>
      </c>
      <c r="AH63" s="89" t="e">
        <f>VLOOKUP($D63,Résultats!$B$2:$AZ$212,AH$2,FALSE)</f>
        <v>#N/A</v>
      </c>
      <c r="AI63" s="89" t="e">
        <f>VLOOKUP($D63,Résultats!$B$2:$AZ$212,AI$2,FALSE)</f>
        <v>#N/A</v>
      </c>
      <c r="AJ63" s="89" t="e">
        <f>VLOOKUP($D63,Résultats!$B$2:$AZ$212,AJ$2,FALSE)</f>
        <v>#N/A</v>
      </c>
      <c r="AK63" s="89" t="e">
        <f>VLOOKUP($D63,Résultats!$B$2:$AZ$212,AK$2,FALSE)</f>
        <v>#N/A</v>
      </c>
      <c r="AL63" s="89" t="e">
        <f>VLOOKUP($D63,Résultats!$B$2:$AZ$212,AL$2,FALSE)</f>
        <v>#N/A</v>
      </c>
      <c r="AM63" s="89" t="e">
        <f>VLOOKUP($D63,Résultats!$B$2:$AZ$212,AM$2,FALSE)</f>
        <v>#N/A</v>
      </c>
    </row>
    <row r="64" spans="3:40" x14ac:dyDescent="0.25">
      <c r="C64" s="56" t="s">
        <v>32</v>
      </c>
      <c r="D64" s="78" t="s">
        <v>51</v>
      </c>
      <c r="E64" s="89" t="e">
        <f>VLOOKUP($D64,Résultats!$B$2:$AZ$212,E$2,FALSE)</f>
        <v>#N/A</v>
      </c>
      <c r="F64" s="89" t="e">
        <f>VLOOKUP($D64,Résultats!$B$2:$AZ$212,F$2,FALSE)</f>
        <v>#N/A</v>
      </c>
      <c r="G64" s="89" t="e">
        <f>VLOOKUP($D64,Résultats!$B$2:$AZ$212,G$2,FALSE)</f>
        <v>#N/A</v>
      </c>
      <c r="H64" s="89" t="e">
        <f>VLOOKUP($D64,Résultats!$B$2:$AZ$212,H$2,FALSE)</f>
        <v>#N/A</v>
      </c>
      <c r="I64" s="89" t="e">
        <f>VLOOKUP($D64,Résultats!$B$2:$AZ$212,I$2,FALSE)</f>
        <v>#N/A</v>
      </c>
      <c r="J64" s="89" t="e">
        <f>VLOOKUP($D64,Résultats!$B$2:$AZ$212,J$2,FALSE)</f>
        <v>#N/A</v>
      </c>
      <c r="K64" s="89" t="e">
        <f>VLOOKUP($D64,Résultats!$B$2:$AZ$212,K$2,FALSE)</f>
        <v>#N/A</v>
      </c>
      <c r="L64" s="89" t="e">
        <f>VLOOKUP($D64,Résultats!$B$2:$AZ$212,L$2,FALSE)</f>
        <v>#N/A</v>
      </c>
      <c r="M64" s="89" t="e">
        <f>VLOOKUP($D64,Résultats!$B$2:$AZ$212,M$2,FALSE)</f>
        <v>#N/A</v>
      </c>
      <c r="N64" s="89" t="e">
        <f>VLOOKUP($D64,Résultats!$B$2:$AZ$212,N$2,FALSE)</f>
        <v>#N/A</v>
      </c>
      <c r="O64" s="89" t="e">
        <f>VLOOKUP($D64,Résultats!$B$2:$AZ$212,O$2,FALSE)</f>
        <v>#N/A</v>
      </c>
      <c r="P64" s="89" t="e">
        <f>VLOOKUP($D64,Résultats!$B$2:$AZ$212,P$2,FALSE)</f>
        <v>#N/A</v>
      </c>
      <c r="Q64" s="89" t="e">
        <f>VLOOKUP($D64,Résultats!$B$2:$AZ$212,Q$2,FALSE)</f>
        <v>#N/A</v>
      </c>
      <c r="R64" s="89" t="e">
        <f>VLOOKUP($D64,Résultats!$B$2:$AZ$212,R$2,FALSE)</f>
        <v>#N/A</v>
      </c>
      <c r="S64" s="89" t="e">
        <f>VLOOKUP($D64,Résultats!$B$2:$AZ$212,S$2,FALSE)</f>
        <v>#N/A</v>
      </c>
      <c r="T64" s="89" t="e">
        <f>VLOOKUP($D64,Résultats!$B$2:$AZ$212,T$2,FALSE)</f>
        <v>#N/A</v>
      </c>
      <c r="U64" s="89" t="e">
        <f>VLOOKUP($D64,Résultats!$B$2:$AZ$212,U$2,FALSE)</f>
        <v>#N/A</v>
      </c>
      <c r="V64" s="89" t="e">
        <f>VLOOKUP($D64,Résultats!$B$2:$AZ$212,V$2,FALSE)</f>
        <v>#N/A</v>
      </c>
      <c r="W64" s="89" t="e">
        <f>VLOOKUP($D64,Résultats!$B$2:$AZ$212,W$2,FALSE)</f>
        <v>#N/A</v>
      </c>
      <c r="X64" s="89" t="e">
        <f>VLOOKUP($D64,Résultats!$B$2:$AZ$212,X$2,FALSE)</f>
        <v>#N/A</v>
      </c>
      <c r="Y64" s="89" t="e">
        <f>VLOOKUP($D64,Résultats!$B$2:$AZ$212,Y$2,FALSE)</f>
        <v>#N/A</v>
      </c>
      <c r="Z64" s="89" t="e">
        <f>VLOOKUP($D64,Résultats!$B$2:$AZ$212,Z$2,FALSE)</f>
        <v>#N/A</v>
      </c>
      <c r="AA64" s="89" t="e">
        <f>VLOOKUP($D64,Résultats!$B$2:$AZ$212,AA$2,FALSE)</f>
        <v>#N/A</v>
      </c>
      <c r="AB64" s="89" t="e">
        <f>VLOOKUP($D64,Résultats!$B$2:$AZ$212,AB$2,FALSE)</f>
        <v>#N/A</v>
      </c>
      <c r="AC64" s="89" t="e">
        <f>VLOOKUP($D64,Résultats!$B$2:$AZ$212,AC$2,FALSE)</f>
        <v>#N/A</v>
      </c>
      <c r="AD64" s="89" t="e">
        <f>VLOOKUP($D64,Résultats!$B$2:$AZ$212,AD$2,FALSE)</f>
        <v>#N/A</v>
      </c>
      <c r="AE64" s="89" t="e">
        <f>VLOOKUP($D64,Résultats!$B$2:$AZ$212,AE$2,FALSE)</f>
        <v>#N/A</v>
      </c>
      <c r="AF64" s="89" t="e">
        <f>VLOOKUP($D64,Résultats!$B$2:$AZ$212,AF$2,FALSE)</f>
        <v>#N/A</v>
      </c>
      <c r="AG64" s="89" t="e">
        <f>VLOOKUP($D64,Résultats!$B$2:$AZ$212,AG$2,FALSE)</f>
        <v>#N/A</v>
      </c>
      <c r="AH64" s="89" t="e">
        <f>VLOOKUP($D64,Résultats!$B$2:$AZ$212,AH$2,FALSE)</f>
        <v>#N/A</v>
      </c>
      <c r="AI64" s="89" t="e">
        <f>VLOOKUP($D64,Résultats!$B$2:$AZ$212,AI$2,FALSE)</f>
        <v>#N/A</v>
      </c>
      <c r="AJ64" s="89" t="e">
        <f>VLOOKUP($D64,Résultats!$B$2:$AZ$212,AJ$2,FALSE)</f>
        <v>#N/A</v>
      </c>
      <c r="AK64" s="89" t="e">
        <f>VLOOKUP($D64,Résultats!$B$2:$AZ$212,AK$2,FALSE)</f>
        <v>#N/A</v>
      </c>
      <c r="AL64" s="89" t="e">
        <f>VLOOKUP($D64,Résultats!$B$2:$AZ$212,AL$2,FALSE)</f>
        <v>#N/A</v>
      </c>
      <c r="AM64" s="89" t="e">
        <f>VLOOKUP($D64,Résultats!$B$2:$AZ$212,AM$2,FALSE)</f>
        <v>#N/A</v>
      </c>
    </row>
    <row r="65" spans="2:39" x14ac:dyDescent="0.25">
      <c r="C65" s="56" t="s">
        <v>33</v>
      </c>
      <c r="D65" s="78" t="s">
        <v>52</v>
      </c>
      <c r="E65" s="89" t="e">
        <f>VLOOKUP($D65,Résultats!$B$2:$AZ$212,E$2,FALSE)</f>
        <v>#N/A</v>
      </c>
      <c r="F65" s="89" t="e">
        <f>VLOOKUP($D65,Résultats!$B$2:$AZ$212,F$2,FALSE)</f>
        <v>#N/A</v>
      </c>
      <c r="G65" s="89" t="e">
        <f>VLOOKUP($D65,Résultats!$B$2:$AZ$212,G$2,FALSE)</f>
        <v>#N/A</v>
      </c>
      <c r="H65" s="89" t="e">
        <f>VLOOKUP($D65,Résultats!$B$2:$AZ$212,H$2,FALSE)</f>
        <v>#N/A</v>
      </c>
      <c r="I65" s="89" t="e">
        <f>VLOOKUP($D65,Résultats!$B$2:$AZ$212,I$2,FALSE)</f>
        <v>#N/A</v>
      </c>
      <c r="J65" s="89" t="e">
        <f>VLOOKUP($D65,Résultats!$B$2:$AZ$212,J$2,FALSE)</f>
        <v>#N/A</v>
      </c>
      <c r="K65" s="89" t="e">
        <f>VLOOKUP($D65,Résultats!$B$2:$AZ$212,K$2,FALSE)</f>
        <v>#N/A</v>
      </c>
      <c r="L65" s="89" t="e">
        <f>VLOOKUP($D65,Résultats!$B$2:$AZ$212,L$2,FALSE)</f>
        <v>#N/A</v>
      </c>
      <c r="M65" s="89" t="e">
        <f>VLOOKUP($D65,Résultats!$B$2:$AZ$212,M$2,FALSE)</f>
        <v>#N/A</v>
      </c>
      <c r="N65" s="89" t="e">
        <f>VLOOKUP($D65,Résultats!$B$2:$AZ$212,N$2,FALSE)</f>
        <v>#N/A</v>
      </c>
      <c r="O65" s="89" t="e">
        <f>VLOOKUP($D65,Résultats!$B$2:$AZ$212,O$2,FALSE)</f>
        <v>#N/A</v>
      </c>
      <c r="P65" s="89" t="e">
        <f>VLOOKUP($D65,Résultats!$B$2:$AZ$212,P$2,FALSE)</f>
        <v>#N/A</v>
      </c>
      <c r="Q65" s="89" t="e">
        <f>VLOOKUP($D65,Résultats!$B$2:$AZ$212,Q$2,FALSE)</f>
        <v>#N/A</v>
      </c>
      <c r="R65" s="89" t="e">
        <f>VLOOKUP($D65,Résultats!$B$2:$AZ$212,R$2,FALSE)</f>
        <v>#N/A</v>
      </c>
      <c r="S65" s="89" t="e">
        <f>VLOOKUP($D65,Résultats!$B$2:$AZ$212,S$2,FALSE)</f>
        <v>#N/A</v>
      </c>
      <c r="T65" s="89" t="e">
        <f>VLOOKUP($D65,Résultats!$B$2:$AZ$212,T$2,FALSE)</f>
        <v>#N/A</v>
      </c>
      <c r="U65" s="89" t="e">
        <f>VLOOKUP($D65,Résultats!$B$2:$AZ$212,U$2,FALSE)</f>
        <v>#N/A</v>
      </c>
      <c r="V65" s="89" t="e">
        <f>VLOOKUP($D65,Résultats!$B$2:$AZ$212,V$2,FALSE)</f>
        <v>#N/A</v>
      </c>
      <c r="W65" s="89" t="e">
        <f>VLOOKUP($D65,Résultats!$B$2:$AZ$212,W$2,FALSE)</f>
        <v>#N/A</v>
      </c>
      <c r="X65" s="89" t="e">
        <f>VLOOKUP($D65,Résultats!$B$2:$AZ$212,X$2,FALSE)</f>
        <v>#N/A</v>
      </c>
      <c r="Y65" s="89" t="e">
        <f>VLOOKUP($D65,Résultats!$B$2:$AZ$212,Y$2,FALSE)</f>
        <v>#N/A</v>
      </c>
      <c r="Z65" s="89" t="e">
        <f>VLOOKUP($D65,Résultats!$B$2:$AZ$212,Z$2,FALSE)</f>
        <v>#N/A</v>
      </c>
      <c r="AA65" s="89" t="e">
        <f>VLOOKUP($D65,Résultats!$B$2:$AZ$212,AA$2,FALSE)</f>
        <v>#N/A</v>
      </c>
      <c r="AB65" s="89" t="e">
        <f>VLOOKUP($D65,Résultats!$B$2:$AZ$212,AB$2,FALSE)</f>
        <v>#N/A</v>
      </c>
      <c r="AC65" s="89" t="e">
        <f>VLOOKUP($D65,Résultats!$B$2:$AZ$212,AC$2,FALSE)</f>
        <v>#N/A</v>
      </c>
      <c r="AD65" s="89" t="e">
        <f>VLOOKUP($D65,Résultats!$B$2:$AZ$212,AD$2,FALSE)</f>
        <v>#N/A</v>
      </c>
      <c r="AE65" s="89" t="e">
        <f>VLOOKUP($D65,Résultats!$B$2:$AZ$212,AE$2,FALSE)</f>
        <v>#N/A</v>
      </c>
      <c r="AF65" s="89" t="e">
        <f>VLOOKUP($D65,Résultats!$B$2:$AZ$212,AF$2,FALSE)</f>
        <v>#N/A</v>
      </c>
      <c r="AG65" s="89" t="e">
        <f>VLOOKUP($D65,Résultats!$B$2:$AZ$212,AG$2,FALSE)</f>
        <v>#N/A</v>
      </c>
      <c r="AH65" s="89" t="e">
        <f>VLOOKUP($D65,Résultats!$B$2:$AZ$212,AH$2,FALSE)</f>
        <v>#N/A</v>
      </c>
      <c r="AI65" s="89" t="e">
        <f>VLOOKUP($D65,Résultats!$B$2:$AZ$212,AI$2,FALSE)</f>
        <v>#N/A</v>
      </c>
      <c r="AJ65" s="89" t="e">
        <f>VLOOKUP($D65,Résultats!$B$2:$AZ$212,AJ$2,FALSE)</f>
        <v>#N/A</v>
      </c>
      <c r="AK65" s="89" t="e">
        <f>VLOOKUP($D65,Résultats!$B$2:$AZ$212,AK$2,FALSE)</f>
        <v>#N/A</v>
      </c>
      <c r="AL65" s="89" t="e">
        <f>VLOOKUP($D65,Résultats!$B$2:$AZ$212,AL$2,FALSE)</f>
        <v>#N/A</v>
      </c>
      <c r="AM65" s="89" t="e">
        <f>VLOOKUP($D65,Résultats!$B$2:$AZ$212,AM$2,FALSE)</f>
        <v>#N/A</v>
      </c>
    </row>
    <row r="68" spans="2:39" x14ac:dyDescent="0.25">
      <c r="C68" s="12"/>
      <c r="D68" s="12"/>
      <c r="E68" s="117">
        <v>2016</v>
      </c>
      <c r="F68" s="117">
        <v>2017</v>
      </c>
      <c r="G68" s="117">
        <v>2018</v>
      </c>
      <c r="H68" s="117">
        <v>2019</v>
      </c>
      <c r="I68" s="117">
        <v>2020</v>
      </c>
      <c r="J68" s="26">
        <v>2021</v>
      </c>
      <c r="K68" s="4">
        <v>2022</v>
      </c>
      <c r="L68" s="4">
        <v>2023</v>
      </c>
      <c r="M68" s="4">
        <v>2024</v>
      </c>
      <c r="N68" s="117">
        <v>2025</v>
      </c>
      <c r="O68" s="26">
        <v>2026</v>
      </c>
      <c r="P68" s="4">
        <v>2027</v>
      </c>
      <c r="Q68" s="4">
        <v>2028</v>
      </c>
      <c r="R68" s="4">
        <v>2029</v>
      </c>
      <c r="S68" s="117">
        <v>2030</v>
      </c>
      <c r="T68" s="117">
        <v>2031</v>
      </c>
      <c r="U68" s="117">
        <v>2032</v>
      </c>
      <c r="V68" s="117">
        <v>2033</v>
      </c>
      <c r="W68" s="117">
        <v>2034</v>
      </c>
      <c r="X68" s="118">
        <v>2035</v>
      </c>
      <c r="Y68" s="118">
        <v>2036</v>
      </c>
      <c r="Z68" s="118">
        <v>2037</v>
      </c>
      <c r="AA68" s="118">
        <v>2038</v>
      </c>
      <c r="AB68" s="118">
        <v>2039</v>
      </c>
      <c r="AC68" s="118">
        <v>2040</v>
      </c>
      <c r="AD68" s="118">
        <v>2041</v>
      </c>
      <c r="AE68" s="118">
        <v>2042</v>
      </c>
      <c r="AF68" s="118">
        <v>2043</v>
      </c>
      <c r="AG68" s="118">
        <v>2044</v>
      </c>
      <c r="AH68" s="118">
        <v>2045</v>
      </c>
      <c r="AI68" s="118">
        <v>2046</v>
      </c>
      <c r="AJ68" s="118">
        <v>2047</v>
      </c>
      <c r="AK68" s="118">
        <v>2048</v>
      </c>
      <c r="AL68" s="118">
        <v>2049</v>
      </c>
      <c r="AM68" s="118">
        <v>2050</v>
      </c>
    </row>
    <row r="69" spans="2:39" x14ac:dyDescent="0.25">
      <c r="B69" s="23" t="s">
        <v>164</v>
      </c>
      <c r="C69" s="74" t="s">
        <v>133</v>
      </c>
      <c r="D69" s="74" t="s">
        <v>64</v>
      </c>
      <c r="E69" s="75" t="e">
        <f t="shared" ref="E69:F69" si="11">E26</f>
        <v>#N/A</v>
      </c>
      <c r="F69" s="75" t="e">
        <f t="shared" si="11"/>
        <v>#N/A</v>
      </c>
      <c r="G69" s="75" t="e">
        <f t="shared" ref="G69:AM69" si="12">G26</f>
        <v>#N/A</v>
      </c>
      <c r="H69" s="75" t="e">
        <f t="shared" si="12"/>
        <v>#N/A</v>
      </c>
      <c r="I69" s="75" t="e">
        <f t="shared" si="12"/>
        <v>#N/A</v>
      </c>
      <c r="J69" s="75" t="e">
        <f t="shared" si="12"/>
        <v>#N/A</v>
      </c>
      <c r="K69" s="75" t="e">
        <f t="shared" si="12"/>
        <v>#N/A</v>
      </c>
      <c r="L69" s="75" t="e">
        <f t="shared" si="12"/>
        <v>#N/A</v>
      </c>
      <c r="M69" s="75" t="e">
        <f t="shared" si="12"/>
        <v>#N/A</v>
      </c>
      <c r="N69" s="75" t="e">
        <f t="shared" si="12"/>
        <v>#N/A</v>
      </c>
      <c r="O69" s="75" t="e">
        <f t="shared" si="12"/>
        <v>#N/A</v>
      </c>
      <c r="P69" s="75" t="e">
        <f t="shared" si="12"/>
        <v>#N/A</v>
      </c>
      <c r="Q69" s="75" t="e">
        <f t="shared" si="12"/>
        <v>#N/A</v>
      </c>
      <c r="R69" s="75" t="e">
        <f t="shared" si="12"/>
        <v>#N/A</v>
      </c>
      <c r="S69" s="75" t="e">
        <f t="shared" si="12"/>
        <v>#N/A</v>
      </c>
      <c r="T69" s="75" t="e">
        <f t="shared" si="12"/>
        <v>#N/A</v>
      </c>
      <c r="U69" s="75" t="e">
        <f t="shared" si="12"/>
        <v>#N/A</v>
      </c>
      <c r="V69" s="75" t="e">
        <f t="shared" si="12"/>
        <v>#N/A</v>
      </c>
      <c r="W69" s="75" t="e">
        <f t="shared" si="12"/>
        <v>#N/A</v>
      </c>
      <c r="X69" s="75" t="e">
        <f t="shared" si="12"/>
        <v>#N/A</v>
      </c>
      <c r="Y69" s="75" t="e">
        <f t="shared" si="12"/>
        <v>#N/A</v>
      </c>
      <c r="Z69" s="75" t="e">
        <f t="shared" si="12"/>
        <v>#N/A</v>
      </c>
      <c r="AA69" s="75" t="e">
        <f t="shared" si="12"/>
        <v>#N/A</v>
      </c>
      <c r="AB69" s="75" t="e">
        <f t="shared" si="12"/>
        <v>#N/A</v>
      </c>
      <c r="AC69" s="75" t="e">
        <f t="shared" si="12"/>
        <v>#N/A</v>
      </c>
      <c r="AD69" s="75" t="e">
        <f t="shared" si="12"/>
        <v>#N/A</v>
      </c>
      <c r="AE69" s="75" t="e">
        <f t="shared" si="12"/>
        <v>#N/A</v>
      </c>
      <c r="AF69" s="75" t="e">
        <f t="shared" si="12"/>
        <v>#N/A</v>
      </c>
      <c r="AG69" s="75" t="e">
        <f t="shared" si="12"/>
        <v>#N/A</v>
      </c>
      <c r="AH69" s="75" t="e">
        <f t="shared" si="12"/>
        <v>#N/A</v>
      </c>
      <c r="AI69" s="75" t="e">
        <f t="shared" si="12"/>
        <v>#N/A</v>
      </c>
      <c r="AJ69" s="75" t="e">
        <f t="shared" si="12"/>
        <v>#N/A</v>
      </c>
      <c r="AK69" s="75" t="e">
        <f t="shared" si="12"/>
        <v>#N/A</v>
      </c>
      <c r="AL69" s="75" t="e">
        <f t="shared" si="12"/>
        <v>#N/A</v>
      </c>
      <c r="AM69" s="75" t="e">
        <f t="shared" si="12"/>
        <v>#N/A</v>
      </c>
    </row>
    <row r="70" spans="2:39" x14ac:dyDescent="0.25">
      <c r="C70" s="76" t="s">
        <v>94</v>
      </c>
      <c r="D70" s="76" t="s">
        <v>166</v>
      </c>
      <c r="E70" s="149" t="e">
        <f t="shared" ref="E70:F77" si="13">E27/E$26</f>
        <v>#N/A</v>
      </c>
      <c r="F70" s="149" t="e">
        <f t="shared" si="13"/>
        <v>#N/A</v>
      </c>
      <c r="G70" s="149" t="e">
        <f t="shared" ref="G70:AM77" si="14">G27/G$26</f>
        <v>#N/A</v>
      </c>
      <c r="H70" s="149" t="e">
        <f t="shared" si="14"/>
        <v>#N/A</v>
      </c>
      <c r="I70" s="149" t="e">
        <f t="shared" si="14"/>
        <v>#N/A</v>
      </c>
      <c r="J70" s="148" t="e">
        <f t="shared" si="14"/>
        <v>#N/A</v>
      </c>
      <c r="K70" s="91" t="e">
        <f t="shared" si="14"/>
        <v>#N/A</v>
      </c>
      <c r="L70" s="91" t="e">
        <f t="shared" si="14"/>
        <v>#N/A</v>
      </c>
      <c r="M70" s="91" t="e">
        <f t="shared" si="14"/>
        <v>#N/A</v>
      </c>
      <c r="N70" s="149" t="e">
        <f t="shared" si="14"/>
        <v>#N/A</v>
      </c>
      <c r="O70" s="148" t="e">
        <f t="shared" si="14"/>
        <v>#N/A</v>
      </c>
      <c r="P70" s="91" t="e">
        <f t="shared" si="14"/>
        <v>#N/A</v>
      </c>
      <c r="Q70" s="91" t="e">
        <f t="shared" si="14"/>
        <v>#N/A</v>
      </c>
      <c r="R70" s="91" t="e">
        <f t="shared" si="14"/>
        <v>#N/A</v>
      </c>
      <c r="S70" s="149" t="e">
        <f t="shared" si="14"/>
        <v>#N/A</v>
      </c>
      <c r="T70" s="149" t="e">
        <f t="shared" si="14"/>
        <v>#N/A</v>
      </c>
      <c r="U70" s="149" t="e">
        <f t="shared" si="14"/>
        <v>#N/A</v>
      </c>
      <c r="V70" s="149" t="e">
        <f t="shared" si="14"/>
        <v>#N/A</v>
      </c>
      <c r="W70" s="149" t="e">
        <f t="shared" si="14"/>
        <v>#N/A</v>
      </c>
      <c r="X70" s="143" t="e">
        <f t="shared" si="14"/>
        <v>#N/A</v>
      </c>
      <c r="Y70" s="143" t="e">
        <f t="shared" si="14"/>
        <v>#N/A</v>
      </c>
      <c r="Z70" s="143" t="e">
        <f t="shared" si="14"/>
        <v>#N/A</v>
      </c>
      <c r="AA70" s="143" t="e">
        <f t="shared" si="14"/>
        <v>#N/A</v>
      </c>
      <c r="AB70" s="143" t="e">
        <f t="shared" si="14"/>
        <v>#N/A</v>
      </c>
      <c r="AC70" s="143" t="e">
        <f t="shared" si="14"/>
        <v>#N/A</v>
      </c>
      <c r="AD70" s="143" t="e">
        <f t="shared" si="14"/>
        <v>#N/A</v>
      </c>
      <c r="AE70" s="143" t="e">
        <f t="shared" si="14"/>
        <v>#N/A</v>
      </c>
      <c r="AF70" s="143" t="e">
        <f t="shared" si="14"/>
        <v>#N/A</v>
      </c>
      <c r="AG70" s="143" t="e">
        <f t="shared" si="14"/>
        <v>#N/A</v>
      </c>
      <c r="AH70" s="143" t="e">
        <f t="shared" si="14"/>
        <v>#N/A</v>
      </c>
      <c r="AI70" s="143" t="e">
        <f t="shared" si="14"/>
        <v>#N/A</v>
      </c>
      <c r="AJ70" s="143" t="e">
        <f t="shared" si="14"/>
        <v>#N/A</v>
      </c>
      <c r="AK70" s="143" t="e">
        <f t="shared" si="14"/>
        <v>#N/A</v>
      </c>
      <c r="AL70" s="143" t="e">
        <f t="shared" si="14"/>
        <v>#N/A</v>
      </c>
      <c r="AM70" s="143" t="e">
        <f t="shared" si="14"/>
        <v>#N/A</v>
      </c>
    </row>
    <row r="71" spans="2:39" x14ac:dyDescent="0.25">
      <c r="C71" s="56" t="s">
        <v>27</v>
      </c>
      <c r="D71" s="78" t="s">
        <v>167</v>
      </c>
      <c r="E71" s="136" t="e">
        <f t="shared" si="13"/>
        <v>#N/A</v>
      </c>
      <c r="F71" s="136" t="e">
        <f t="shared" si="13"/>
        <v>#N/A</v>
      </c>
      <c r="G71" s="136" t="e">
        <f t="shared" si="14"/>
        <v>#N/A</v>
      </c>
      <c r="H71" s="136" t="e">
        <f t="shared" si="14"/>
        <v>#N/A</v>
      </c>
      <c r="I71" s="136" t="e">
        <f t="shared" si="14"/>
        <v>#N/A</v>
      </c>
      <c r="J71" s="135" t="e">
        <f t="shared" si="14"/>
        <v>#N/A</v>
      </c>
      <c r="K71" s="92" t="e">
        <f t="shared" si="14"/>
        <v>#N/A</v>
      </c>
      <c r="L71" s="92" t="e">
        <f t="shared" si="14"/>
        <v>#N/A</v>
      </c>
      <c r="M71" s="92" t="e">
        <f t="shared" si="14"/>
        <v>#N/A</v>
      </c>
      <c r="N71" s="136" t="e">
        <f t="shared" si="14"/>
        <v>#N/A</v>
      </c>
      <c r="O71" s="135" t="e">
        <f t="shared" si="14"/>
        <v>#N/A</v>
      </c>
      <c r="P71" s="92" t="e">
        <f t="shared" si="14"/>
        <v>#N/A</v>
      </c>
      <c r="Q71" s="92" t="e">
        <f t="shared" si="14"/>
        <v>#N/A</v>
      </c>
      <c r="R71" s="92" t="e">
        <f t="shared" si="14"/>
        <v>#N/A</v>
      </c>
      <c r="S71" s="136" t="e">
        <f t="shared" si="14"/>
        <v>#N/A</v>
      </c>
      <c r="T71" s="136" t="e">
        <f t="shared" si="14"/>
        <v>#N/A</v>
      </c>
      <c r="U71" s="136" t="e">
        <f t="shared" si="14"/>
        <v>#N/A</v>
      </c>
      <c r="V71" s="136" t="e">
        <f t="shared" si="14"/>
        <v>#N/A</v>
      </c>
      <c r="W71" s="136" t="e">
        <f t="shared" si="14"/>
        <v>#N/A</v>
      </c>
      <c r="X71" s="141" t="e">
        <f t="shared" si="14"/>
        <v>#N/A</v>
      </c>
      <c r="Y71" s="141" t="e">
        <f t="shared" si="14"/>
        <v>#N/A</v>
      </c>
      <c r="Z71" s="141" t="e">
        <f t="shared" si="14"/>
        <v>#N/A</v>
      </c>
      <c r="AA71" s="141" t="e">
        <f t="shared" si="14"/>
        <v>#N/A</v>
      </c>
      <c r="AB71" s="141" t="e">
        <f t="shared" si="14"/>
        <v>#N/A</v>
      </c>
      <c r="AC71" s="141" t="e">
        <f t="shared" si="14"/>
        <v>#N/A</v>
      </c>
      <c r="AD71" s="141" t="e">
        <f t="shared" si="14"/>
        <v>#N/A</v>
      </c>
      <c r="AE71" s="141" t="e">
        <f t="shared" si="14"/>
        <v>#N/A</v>
      </c>
      <c r="AF71" s="141" t="e">
        <f t="shared" si="14"/>
        <v>#N/A</v>
      </c>
      <c r="AG71" s="141" t="e">
        <f t="shared" si="14"/>
        <v>#N/A</v>
      </c>
      <c r="AH71" s="141" t="e">
        <f t="shared" si="14"/>
        <v>#N/A</v>
      </c>
      <c r="AI71" s="141" t="e">
        <f t="shared" si="14"/>
        <v>#N/A</v>
      </c>
      <c r="AJ71" s="141" t="e">
        <f t="shared" si="14"/>
        <v>#N/A</v>
      </c>
      <c r="AK71" s="141" t="e">
        <f t="shared" si="14"/>
        <v>#N/A</v>
      </c>
      <c r="AL71" s="141" t="e">
        <f t="shared" si="14"/>
        <v>#N/A</v>
      </c>
      <c r="AM71" s="141" t="e">
        <f t="shared" si="14"/>
        <v>#N/A</v>
      </c>
    </row>
    <row r="72" spans="2:39" x14ac:dyDescent="0.25">
      <c r="C72" s="56" t="s">
        <v>28</v>
      </c>
      <c r="D72" s="78" t="s">
        <v>168</v>
      </c>
      <c r="E72" s="136" t="e">
        <f t="shared" si="13"/>
        <v>#N/A</v>
      </c>
      <c r="F72" s="136" t="e">
        <f t="shared" si="13"/>
        <v>#N/A</v>
      </c>
      <c r="G72" s="136" t="e">
        <f t="shared" si="14"/>
        <v>#N/A</v>
      </c>
      <c r="H72" s="136" t="e">
        <f t="shared" si="14"/>
        <v>#N/A</v>
      </c>
      <c r="I72" s="136" t="e">
        <f t="shared" si="14"/>
        <v>#N/A</v>
      </c>
      <c r="J72" s="135" t="e">
        <f t="shared" si="14"/>
        <v>#N/A</v>
      </c>
      <c r="K72" s="92" t="e">
        <f t="shared" si="14"/>
        <v>#N/A</v>
      </c>
      <c r="L72" s="92" t="e">
        <f t="shared" si="14"/>
        <v>#N/A</v>
      </c>
      <c r="M72" s="92" t="e">
        <f t="shared" si="14"/>
        <v>#N/A</v>
      </c>
      <c r="N72" s="136" t="e">
        <f t="shared" si="14"/>
        <v>#N/A</v>
      </c>
      <c r="O72" s="135" t="e">
        <f t="shared" si="14"/>
        <v>#N/A</v>
      </c>
      <c r="P72" s="92" t="e">
        <f t="shared" si="14"/>
        <v>#N/A</v>
      </c>
      <c r="Q72" s="92" t="e">
        <f t="shared" si="14"/>
        <v>#N/A</v>
      </c>
      <c r="R72" s="92" t="e">
        <f t="shared" si="14"/>
        <v>#N/A</v>
      </c>
      <c r="S72" s="136" t="e">
        <f t="shared" si="14"/>
        <v>#N/A</v>
      </c>
      <c r="T72" s="136" t="e">
        <f t="shared" si="14"/>
        <v>#N/A</v>
      </c>
      <c r="U72" s="136" t="e">
        <f t="shared" si="14"/>
        <v>#N/A</v>
      </c>
      <c r="V72" s="136" t="e">
        <f t="shared" si="14"/>
        <v>#N/A</v>
      </c>
      <c r="W72" s="136" t="e">
        <f t="shared" si="14"/>
        <v>#N/A</v>
      </c>
      <c r="X72" s="141" t="e">
        <f t="shared" si="14"/>
        <v>#N/A</v>
      </c>
      <c r="Y72" s="141" t="e">
        <f t="shared" si="14"/>
        <v>#N/A</v>
      </c>
      <c r="Z72" s="141" t="e">
        <f t="shared" si="14"/>
        <v>#N/A</v>
      </c>
      <c r="AA72" s="141" t="e">
        <f t="shared" si="14"/>
        <v>#N/A</v>
      </c>
      <c r="AB72" s="141" t="e">
        <f t="shared" si="14"/>
        <v>#N/A</v>
      </c>
      <c r="AC72" s="141" t="e">
        <f t="shared" si="14"/>
        <v>#N/A</v>
      </c>
      <c r="AD72" s="141" t="e">
        <f t="shared" si="14"/>
        <v>#N/A</v>
      </c>
      <c r="AE72" s="141" t="e">
        <f t="shared" si="14"/>
        <v>#N/A</v>
      </c>
      <c r="AF72" s="141" t="e">
        <f t="shared" si="14"/>
        <v>#N/A</v>
      </c>
      <c r="AG72" s="141" t="e">
        <f t="shared" si="14"/>
        <v>#N/A</v>
      </c>
      <c r="AH72" s="141" t="e">
        <f t="shared" si="14"/>
        <v>#N/A</v>
      </c>
      <c r="AI72" s="141" t="e">
        <f t="shared" si="14"/>
        <v>#N/A</v>
      </c>
      <c r="AJ72" s="141" t="e">
        <f t="shared" si="14"/>
        <v>#N/A</v>
      </c>
      <c r="AK72" s="141" t="e">
        <f t="shared" si="14"/>
        <v>#N/A</v>
      </c>
      <c r="AL72" s="141" t="e">
        <f t="shared" si="14"/>
        <v>#N/A</v>
      </c>
      <c r="AM72" s="141" t="e">
        <f t="shared" si="14"/>
        <v>#N/A</v>
      </c>
    </row>
    <row r="73" spans="2:39" x14ac:dyDescent="0.25">
      <c r="C73" s="56" t="s">
        <v>29</v>
      </c>
      <c r="D73" s="78" t="s">
        <v>169</v>
      </c>
      <c r="E73" s="136" t="e">
        <f t="shared" si="13"/>
        <v>#N/A</v>
      </c>
      <c r="F73" s="136" t="e">
        <f t="shared" si="13"/>
        <v>#N/A</v>
      </c>
      <c r="G73" s="136" t="e">
        <f t="shared" si="14"/>
        <v>#N/A</v>
      </c>
      <c r="H73" s="136" t="e">
        <f t="shared" si="14"/>
        <v>#N/A</v>
      </c>
      <c r="I73" s="136" t="e">
        <f t="shared" si="14"/>
        <v>#N/A</v>
      </c>
      <c r="J73" s="135" t="e">
        <f t="shared" si="14"/>
        <v>#N/A</v>
      </c>
      <c r="K73" s="92" t="e">
        <f t="shared" si="14"/>
        <v>#N/A</v>
      </c>
      <c r="L73" s="92" t="e">
        <f t="shared" si="14"/>
        <v>#N/A</v>
      </c>
      <c r="M73" s="92" t="e">
        <f t="shared" si="14"/>
        <v>#N/A</v>
      </c>
      <c r="N73" s="136" t="e">
        <f t="shared" si="14"/>
        <v>#N/A</v>
      </c>
      <c r="O73" s="135" t="e">
        <f t="shared" si="14"/>
        <v>#N/A</v>
      </c>
      <c r="P73" s="92" t="e">
        <f t="shared" si="14"/>
        <v>#N/A</v>
      </c>
      <c r="Q73" s="92" t="e">
        <f t="shared" si="14"/>
        <v>#N/A</v>
      </c>
      <c r="R73" s="92" t="e">
        <f t="shared" si="14"/>
        <v>#N/A</v>
      </c>
      <c r="S73" s="136" t="e">
        <f t="shared" si="14"/>
        <v>#N/A</v>
      </c>
      <c r="T73" s="136" t="e">
        <f t="shared" si="14"/>
        <v>#N/A</v>
      </c>
      <c r="U73" s="136" t="e">
        <f t="shared" si="14"/>
        <v>#N/A</v>
      </c>
      <c r="V73" s="136" t="e">
        <f t="shared" si="14"/>
        <v>#N/A</v>
      </c>
      <c r="W73" s="136" t="e">
        <f t="shared" si="14"/>
        <v>#N/A</v>
      </c>
      <c r="X73" s="141" t="e">
        <f t="shared" si="14"/>
        <v>#N/A</v>
      </c>
      <c r="Y73" s="141" t="e">
        <f t="shared" si="14"/>
        <v>#N/A</v>
      </c>
      <c r="Z73" s="141" t="e">
        <f t="shared" si="14"/>
        <v>#N/A</v>
      </c>
      <c r="AA73" s="141" t="e">
        <f t="shared" si="14"/>
        <v>#N/A</v>
      </c>
      <c r="AB73" s="141" t="e">
        <f t="shared" si="14"/>
        <v>#N/A</v>
      </c>
      <c r="AC73" s="141" t="e">
        <f t="shared" si="14"/>
        <v>#N/A</v>
      </c>
      <c r="AD73" s="141" t="e">
        <f t="shared" si="14"/>
        <v>#N/A</v>
      </c>
      <c r="AE73" s="141" t="e">
        <f t="shared" si="14"/>
        <v>#N/A</v>
      </c>
      <c r="AF73" s="141" t="e">
        <f t="shared" si="14"/>
        <v>#N/A</v>
      </c>
      <c r="AG73" s="141" t="e">
        <f t="shared" si="14"/>
        <v>#N/A</v>
      </c>
      <c r="AH73" s="141" t="e">
        <f t="shared" si="14"/>
        <v>#N/A</v>
      </c>
      <c r="AI73" s="141" t="e">
        <f t="shared" si="14"/>
        <v>#N/A</v>
      </c>
      <c r="AJ73" s="141" t="e">
        <f t="shared" si="14"/>
        <v>#N/A</v>
      </c>
      <c r="AK73" s="141" t="e">
        <f t="shared" si="14"/>
        <v>#N/A</v>
      </c>
      <c r="AL73" s="141" t="e">
        <f t="shared" si="14"/>
        <v>#N/A</v>
      </c>
      <c r="AM73" s="141" t="e">
        <f t="shared" si="14"/>
        <v>#N/A</v>
      </c>
    </row>
    <row r="74" spans="2:39" x14ac:dyDescent="0.25">
      <c r="C74" s="56" t="s">
        <v>30</v>
      </c>
      <c r="D74" s="78" t="s">
        <v>170</v>
      </c>
      <c r="E74" s="136" t="e">
        <f t="shared" si="13"/>
        <v>#N/A</v>
      </c>
      <c r="F74" s="136" t="e">
        <f t="shared" si="13"/>
        <v>#N/A</v>
      </c>
      <c r="G74" s="136" t="e">
        <f t="shared" si="14"/>
        <v>#N/A</v>
      </c>
      <c r="H74" s="136" t="e">
        <f t="shared" si="14"/>
        <v>#N/A</v>
      </c>
      <c r="I74" s="136" t="e">
        <f t="shared" si="14"/>
        <v>#N/A</v>
      </c>
      <c r="J74" s="135" t="e">
        <f t="shared" si="14"/>
        <v>#N/A</v>
      </c>
      <c r="K74" s="92" t="e">
        <f t="shared" si="14"/>
        <v>#N/A</v>
      </c>
      <c r="L74" s="92" t="e">
        <f t="shared" si="14"/>
        <v>#N/A</v>
      </c>
      <c r="M74" s="92" t="e">
        <f t="shared" si="14"/>
        <v>#N/A</v>
      </c>
      <c r="N74" s="136" t="e">
        <f t="shared" si="14"/>
        <v>#N/A</v>
      </c>
      <c r="O74" s="135" t="e">
        <f t="shared" si="14"/>
        <v>#N/A</v>
      </c>
      <c r="P74" s="92" t="e">
        <f t="shared" si="14"/>
        <v>#N/A</v>
      </c>
      <c r="Q74" s="92" t="e">
        <f t="shared" si="14"/>
        <v>#N/A</v>
      </c>
      <c r="R74" s="92" t="e">
        <f t="shared" si="14"/>
        <v>#N/A</v>
      </c>
      <c r="S74" s="136" t="e">
        <f t="shared" si="14"/>
        <v>#N/A</v>
      </c>
      <c r="T74" s="136" t="e">
        <f t="shared" si="14"/>
        <v>#N/A</v>
      </c>
      <c r="U74" s="136" t="e">
        <f t="shared" si="14"/>
        <v>#N/A</v>
      </c>
      <c r="V74" s="136" t="e">
        <f t="shared" si="14"/>
        <v>#N/A</v>
      </c>
      <c r="W74" s="136" t="e">
        <f t="shared" si="14"/>
        <v>#N/A</v>
      </c>
      <c r="X74" s="141" t="e">
        <f t="shared" si="14"/>
        <v>#N/A</v>
      </c>
      <c r="Y74" s="141" t="e">
        <f t="shared" si="14"/>
        <v>#N/A</v>
      </c>
      <c r="Z74" s="141" t="e">
        <f t="shared" si="14"/>
        <v>#N/A</v>
      </c>
      <c r="AA74" s="141" t="e">
        <f t="shared" si="14"/>
        <v>#N/A</v>
      </c>
      <c r="AB74" s="141" t="e">
        <f t="shared" si="14"/>
        <v>#N/A</v>
      </c>
      <c r="AC74" s="141" t="e">
        <f t="shared" si="14"/>
        <v>#N/A</v>
      </c>
      <c r="AD74" s="141" t="e">
        <f t="shared" si="14"/>
        <v>#N/A</v>
      </c>
      <c r="AE74" s="141" t="e">
        <f t="shared" si="14"/>
        <v>#N/A</v>
      </c>
      <c r="AF74" s="141" t="e">
        <f t="shared" si="14"/>
        <v>#N/A</v>
      </c>
      <c r="AG74" s="141" t="e">
        <f t="shared" si="14"/>
        <v>#N/A</v>
      </c>
      <c r="AH74" s="141" t="e">
        <f t="shared" si="14"/>
        <v>#N/A</v>
      </c>
      <c r="AI74" s="141" t="e">
        <f t="shared" si="14"/>
        <v>#N/A</v>
      </c>
      <c r="AJ74" s="141" t="e">
        <f t="shared" si="14"/>
        <v>#N/A</v>
      </c>
      <c r="AK74" s="141" t="e">
        <f t="shared" si="14"/>
        <v>#N/A</v>
      </c>
      <c r="AL74" s="141" t="e">
        <f t="shared" si="14"/>
        <v>#N/A</v>
      </c>
      <c r="AM74" s="141" t="e">
        <f t="shared" si="14"/>
        <v>#N/A</v>
      </c>
    </row>
    <row r="75" spans="2:39" x14ac:dyDescent="0.25">
      <c r="C75" s="56" t="s">
        <v>31</v>
      </c>
      <c r="D75" s="78" t="s">
        <v>171</v>
      </c>
      <c r="E75" s="136" t="e">
        <f t="shared" si="13"/>
        <v>#N/A</v>
      </c>
      <c r="F75" s="136" t="e">
        <f t="shared" si="13"/>
        <v>#N/A</v>
      </c>
      <c r="G75" s="136" t="e">
        <f t="shared" si="14"/>
        <v>#N/A</v>
      </c>
      <c r="H75" s="136" t="e">
        <f t="shared" si="14"/>
        <v>#N/A</v>
      </c>
      <c r="I75" s="136" t="e">
        <f t="shared" si="14"/>
        <v>#N/A</v>
      </c>
      <c r="J75" s="135" t="e">
        <f t="shared" si="14"/>
        <v>#N/A</v>
      </c>
      <c r="K75" s="92" t="e">
        <f t="shared" si="14"/>
        <v>#N/A</v>
      </c>
      <c r="L75" s="92" t="e">
        <f t="shared" si="14"/>
        <v>#N/A</v>
      </c>
      <c r="M75" s="92" t="e">
        <f t="shared" si="14"/>
        <v>#N/A</v>
      </c>
      <c r="N75" s="136" t="e">
        <f t="shared" si="14"/>
        <v>#N/A</v>
      </c>
      <c r="O75" s="135" t="e">
        <f t="shared" si="14"/>
        <v>#N/A</v>
      </c>
      <c r="P75" s="92" t="e">
        <f t="shared" si="14"/>
        <v>#N/A</v>
      </c>
      <c r="Q75" s="92" t="e">
        <f t="shared" si="14"/>
        <v>#N/A</v>
      </c>
      <c r="R75" s="92" t="e">
        <f t="shared" si="14"/>
        <v>#N/A</v>
      </c>
      <c r="S75" s="136" t="e">
        <f t="shared" si="14"/>
        <v>#N/A</v>
      </c>
      <c r="T75" s="136" t="e">
        <f t="shared" si="14"/>
        <v>#N/A</v>
      </c>
      <c r="U75" s="136" t="e">
        <f t="shared" si="14"/>
        <v>#N/A</v>
      </c>
      <c r="V75" s="136" t="e">
        <f t="shared" si="14"/>
        <v>#N/A</v>
      </c>
      <c r="W75" s="136" t="e">
        <f t="shared" si="14"/>
        <v>#N/A</v>
      </c>
      <c r="X75" s="141" t="e">
        <f t="shared" si="14"/>
        <v>#N/A</v>
      </c>
      <c r="Y75" s="141" t="e">
        <f t="shared" si="14"/>
        <v>#N/A</v>
      </c>
      <c r="Z75" s="141" t="e">
        <f t="shared" si="14"/>
        <v>#N/A</v>
      </c>
      <c r="AA75" s="141" t="e">
        <f t="shared" si="14"/>
        <v>#N/A</v>
      </c>
      <c r="AB75" s="141" t="e">
        <f t="shared" si="14"/>
        <v>#N/A</v>
      </c>
      <c r="AC75" s="141" t="e">
        <f t="shared" si="14"/>
        <v>#N/A</v>
      </c>
      <c r="AD75" s="141" t="e">
        <f t="shared" si="14"/>
        <v>#N/A</v>
      </c>
      <c r="AE75" s="141" t="e">
        <f t="shared" si="14"/>
        <v>#N/A</v>
      </c>
      <c r="AF75" s="141" t="e">
        <f t="shared" si="14"/>
        <v>#N/A</v>
      </c>
      <c r="AG75" s="141" t="e">
        <f t="shared" si="14"/>
        <v>#N/A</v>
      </c>
      <c r="AH75" s="141" t="e">
        <f t="shared" si="14"/>
        <v>#N/A</v>
      </c>
      <c r="AI75" s="141" t="e">
        <f t="shared" si="14"/>
        <v>#N/A</v>
      </c>
      <c r="AJ75" s="141" t="e">
        <f t="shared" si="14"/>
        <v>#N/A</v>
      </c>
      <c r="AK75" s="141" t="e">
        <f t="shared" si="14"/>
        <v>#N/A</v>
      </c>
      <c r="AL75" s="141" t="e">
        <f t="shared" si="14"/>
        <v>#N/A</v>
      </c>
      <c r="AM75" s="141" t="e">
        <f t="shared" si="14"/>
        <v>#N/A</v>
      </c>
    </row>
    <row r="76" spans="2:39" x14ac:dyDescent="0.25">
      <c r="C76" s="56" t="s">
        <v>32</v>
      </c>
      <c r="D76" s="78" t="s">
        <v>172</v>
      </c>
      <c r="E76" s="136" t="e">
        <f t="shared" si="13"/>
        <v>#N/A</v>
      </c>
      <c r="F76" s="136" t="e">
        <f t="shared" si="13"/>
        <v>#N/A</v>
      </c>
      <c r="G76" s="136" t="e">
        <f t="shared" si="14"/>
        <v>#N/A</v>
      </c>
      <c r="H76" s="136" t="e">
        <f t="shared" si="14"/>
        <v>#N/A</v>
      </c>
      <c r="I76" s="136" t="e">
        <f t="shared" si="14"/>
        <v>#N/A</v>
      </c>
      <c r="J76" s="135" t="e">
        <f t="shared" si="14"/>
        <v>#N/A</v>
      </c>
      <c r="K76" s="92" t="e">
        <f t="shared" si="14"/>
        <v>#N/A</v>
      </c>
      <c r="L76" s="92" t="e">
        <f t="shared" si="14"/>
        <v>#N/A</v>
      </c>
      <c r="M76" s="92" t="e">
        <f t="shared" si="14"/>
        <v>#N/A</v>
      </c>
      <c r="N76" s="136" t="e">
        <f t="shared" si="14"/>
        <v>#N/A</v>
      </c>
      <c r="O76" s="135" t="e">
        <f t="shared" si="14"/>
        <v>#N/A</v>
      </c>
      <c r="P76" s="92" t="e">
        <f t="shared" si="14"/>
        <v>#N/A</v>
      </c>
      <c r="Q76" s="92" t="e">
        <f t="shared" si="14"/>
        <v>#N/A</v>
      </c>
      <c r="R76" s="92" t="e">
        <f t="shared" si="14"/>
        <v>#N/A</v>
      </c>
      <c r="S76" s="136" t="e">
        <f t="shared" si="14"/>
        <v>#N/A</v>
      </c>
      <c r="T76" s="136" t="e">
        <f t="shared" si="14"/>
        <v>#N/A</v>
      </c>
      <c r="U76" s="136" t="e">
        <f t="shared" si="14"/>
        <v>#N/A</v>
      </c>
      <c r="V76" s="136" t="e">
        <f t="shared" si="14"/>
        <v>#N/A</v>
      </c>
      <c r="W76" s="136" t="e">
        <f t="shared" si="14"/>
        <v>#N/A</v>
      </c>
      <c r="X76" s="141" t="e">
        <f t="shared" si="14"/>
        <v>#N/A</v>
      </c>
      <c r="Y76" s="141" t="e">
        <f t="shared" si="14"/>
        <v>#N/A</v>
      </c>
      <c r="Z76" s="141" t="e">
        <f t="shared" si="14"/>
        <v>#N/A</v>
      </c>
      <c r="AA76" s="141" t="e">
        <f t="shared" si="14"/>
        <v>#N/A</v>
      </c>
      <c r="AB76" s="141" t="e">
        <f t="shared" si="14"/>
        <v>#N/A</v>
      </c>
      <c r="AC76" s="141" t="e">
        <f t="shared" si="14"/>
        <v>#N/A</v>
      </c>
      <c r="AD76" s="141" t="e">
        <f t="shared" si="14"/>
        <v>#N/A</v>
      </c>
      <c r="AE76" s="141" t="e">
        <f t="shared" si="14"/>
        <v>#N/A</v>
      </c>
      <c r="AF76" s="141" t="e">
        <f t="shared" si="14"/>
        <v>#N/A</v>
      </c>
      <c r="AG76" s="141" t="e">
        <f t="shared" si="14"/>
        <v>#N/A</v>
      </c>
      <c r="AH76" s="141" t="e">
        <f t="shared" si="14"/>
        <v>#N/A</v>
      </c>
      <c r="AI76" s="141" t="e">
        <f t="shared" si="14"/>
        <v>#N/A</v>
      </c>
      <c r="AJ76" s="141" t="e">
        <f t="shared" si="14"/>
        <v>#N/A</v>
      </c>
      <c r="AK76" s="141" t="e">
        <f t="shared" si="14"/>
        <v>#N/A</v>
      </c>
      <c r="AL76" s="141" t="e">
        <f t="shared" si="14"/>
        <v>#N/A</v>
      </c>
      <c r="AM76" s="141" t="e">
        <f t="shared" si="14"/>
        <v>#N/A</v>
      </c>
    </row>
    <row r="77" spans="2:39" x14ac:dyDescent="0.25">
      <c r="C77" s="56" t="s">
        <v>33</v>
      </c>
      <c r="D77" s="78" t="s">
        <v>173</v>
      </c>
      <c r="E77" s="151" t="e">
        <f t="shared" si="13"/>
        <v>#N/A</v>
      </c>
      <c r="F77" s="151" t="e">
        <f t="shared" si="13"/>
        <v>#N/A</v>
      </c>
      <c r="G77" s="151" t="e">
        <f t="shared" si="14"/>
        <v>#N/A</v>
      </c>
      <c r="H77" s="151" t="e">
        <f t="shared" si="14"/>
        <v>#N/A</v>
      </c>
      <c r="I77" s="151" t="e">
        <f t="shared" si="14"/>
        <v>#N/A</v>
      </c>
      <c r="J77" s="150" t="e">
        <f t="shared" si="14"/>
        <v>#N/A</v>
      </c>
      <c r="K77" s="93" t="e">
        <f t="shared" si="14"/>
        <v>#N/A</v>
      </c>
      <c r="L77" s="93" t="e">
        <f t="shared" si="14"/>
        <v>#N/A</v>
      </c>
      <c r="M77" s="93" t="e">
        <f t="shared" si="14"/>
        <v>#N/A</v>
      </c>
      <c r="N77" s="151" t="e">
        <f t="shared" si="14"/>
        <v>#N/A</v>
      </c>
      <c r="O77" s="150" t="e">
        <f t="shared" ref="O77:AM85" si="15">O34/O$26</f>
        <v>#N/A</v>
      </c>
      <c r="P77" s="93" t="e">
        <f t="shared" si="15"/>
        <v>#N/A</v>
      </c>
      <c r="Q77" s="93" t="e">
        <f t="shared" si="15"/>
        <v>#N/A</v>
      </c>
      <c r="R77" s="93" t="e">
        <f t="shared" si="15"/>
        <v>#N/A</v>
      </c>
      <c r="S77" s="151" t="e">
        <f t="shared" si="15"/>
        <v>#N/A</v>
      </c>
      <c r="T77" s="151" t="e">
        <f t="shared" si="15"/>
        <v>#N/A</v>
      </c>
      <c r="U77" s="151" t="e">
        <f t="shared" si="15"/>
        <v>#N/A</v>
      </c>
      <c r="V77" s="151" t="e">
        <f t="shared" si="15"/>
        <v>#N/A</v>
      </c>
      <c r="W77" s="151" t="e">
        <f t="shared" si="15"/>
        <v>#N/A</v>
      </c>
      <c r="X77" s="144" t="e">
        <f t="shared" si="15"/>
        <v>#N/A</v>
      </c>
      <c r="Y77" s="144" t="e">
        <f t="shared" si="15"/>
        <v>#N/A</v>
      </c>
      <c r="Z77" s="144" t="e">
        <f t="shared" si="15"/>
        <v>#N/A</v>
      </c>
      <c r="AA77" s="144" t="e">
        <f t="shared" si="15"/>
        <v>#N/A</v>
      </c>
      <c r="AB77" s="144" t="e">
        <f t="shared" si="15"/>
        <v>#N/A</v>
      </c>
      <c r="AC77" s="144" t="e">
        <f t="shared" si="15"/>
        <v>#N/A</v>
      </c>
      <c r="AD77" s="144" t="e">
        <f t="shared" si="15"/>
        <v>#N/A</v>
      </c>
      <c r="AE77" s="144" t="e">
        <f t="shared" si="15"/>
        <v>#N/A</v>
      </c>
      <c r="AF77" s="144" t="e">
        <f t="shared" si="15"/>
        <v>#N/A</v>
      </c>
      <c r="AG77" s="144" t="e">
        <f t="shared" si="15"/>
        <v>#N/A</v>
      </c>
      <c r="AH77" s="144" t="e">
        <f t="shared" si="15"/>
        <v>#N/A</v>
      </c>
      <c r="AI77" s="144" t="e">
        <f t="shared" si="15"/>
        <v>#N/A</v>
      </c>
      <c r="AJ77" s="144" t="e">
        <f t="shared" si="15"/>
        <v>#N/A</v>
      </c>
      <c r="AK77" s="144" t="e">
        <f t="shared" si="15"/>
        <v>#N/A</v>
      </c>
      <c r="AL77" s="144" t="e">
        <f t="shared" si="15"/>
        <v>#N/A</v>
      </c>
      <c r="AM77" s="144" t="e">
        <f t="shared" si="15"/>
        <v>#N/A</v>
      </c>
    </row>
    <row r="78" spans="2:39" x14ac:dyDescent="0.25">
      <c r="C78" s="76" t="s">
        <v>95</v>
      </c>
      <c r="D78" s="76" t="s">
        <v>174</v>
      </c>
      <c r="E78" s="149" t="e">
        <f t="shared" ref="E78:F78" si="16">E35/E$26</f>
        <v>#N/A</v>
      </c>
      <c r="F78" s="149" t="e">
        <f t="shared" si="16"/>
        <v>#N/A</v>
      </c>
      <c r="G78" s="149" t="e">
        <f t="shared" ref="G78:S85" si="17">G35/G$26</f>
        <v>#N/A</v>
      </c>
      <c r="H78" s="149" t="e">
        <f t="shared" si="17"/>
        <v>#N/A</v>
      </c>
      <c r="I78" s="149" t="e">
        <f t="shared" si="17"/>
        <v>#N/A</v>
      </c>
      <c r="J78" s="148" t="e">
        <f t="shared" si="17"/>
        <v>#N/A</v>
      </c>
      <c r="K78" s="91" t="e">
        <f t="shared" si="17"/>
        <v>#N/A</v>
      </c>
      <c r="L78" s="91" t="e">
        <f t="shared" si="17"/>
        <v>#N/A</v>
      </c>
      <c r="M78" s="91" t="e">
        <f t="shared" si="17"/>
        <v>#N/A</v>
      </c>
      <c r="N78" s="149" t="e">
        <f t="shared" si="17"/>
        <v>#N/A</v>
      </c>
      <c r="O78" s="148" t="e">
        <f t="shared" si="17"/>
        <v>#N/A</v>
      </c>
      <c r="P78" s="91" t="e">
        <f t="shared" si="17"/>
        <v>#N/A</v>
      </c>
      <c r="Q78" s="91" t="e">
        <f t="shared" si="17"/>
        <v>#N/A</v>
      </c>
      <c r="R78" s="91" t="e">
        <f t="shared" si="17"/>
        <v>#N/A</v>
      </c>
      <c r="S78" s="149" t="e">
        <f t="shared" si="17"/>
        <v>#N/A</v>
      </c>
      <c r="T78" s="149" t="e">
        <f t="shared" si="15"/>
        <v>#N/A</v>
      </c>
      <c r="U78" s="149" t="e">
        <f t="shared" si="15"/>
        <v>#N/A</v>
      </c>
      <c r="V78" s="149" t="e">
        <f t="shared" si="15"/>
        <v>#N/A</v>
      </c>
      <c r="W78" s="149" t="e">
        <f t="shared" si="15"/>
        <v>#N/A</v>
      </c>
      <c r="X78" s="143" t="e">
        <f t="shared" si="15"/>
        <v>#N/A</v>
      </c>
      <c r="Y78" s="143" t="e">
        <f t="shared" si="15"/>
        <v>#N/A</v>
      </c>
      <c r="Z78" s="143" t="e">
        <f t="shared" si="15"/>
        <v>#N/A</v>
      </c>
      <c r="AA78" s="143" t="e">
        <f t="shared" si="15"/>
        <v>#N/A</v>
      </c>
      <c r="AB78" s="143" t="e">
        <f t="shared" si="15"/>
        <v>#N/A</v>
      </c>
      <c r="AC78" s="143" t="e">
        <f t="shared" si="15"/>
        <v>#N/A</v>
      </c>
      <c r="AD78" s="143" t="e">
        <f t="shared" si="15"/>
        <v>#N/A</v>
      </c>
      <c r="AE78" s="143" t="e">
        <f t="shared" si="15"/>
        <v>#N/A</v>
      </c>
      <c r="AF78" s="143" t="e">
        <f t="shared" si="15"/>
        <v>#N/A</v>
      </c>
      <c r="AG78" s="143" t="e">
        <f t="shared" si="15"/>
        <v>#N/A</v>
      </c>
      <c r="AH78" s="143" t="e">
        <f t="shared" si="15"/>
        <v>#N/A</v>
      </c>
      <c r="AI78" s="143" t="e">
        <f t="shared" si="15"/>
        <v>#N/A</v>
      </c>
      <c r="AJ78" s="143" t="e">
        <f t="shared" si="15"/>
        <v>#N/A</v>
      </c>
      <c r="AK78" s="143" t="e">
        <f t="shared" si="15"/>
        <v>#N/A</v>
      </c>
      <c r="AL78" s="143" t="e">
        <f t="shared" si="15"/>
        <v>#N/A</v>
      </c>
      <c r="AM78" s="143" t="e">
        <f t="shared" si="15"/>
        <v>#N/A</v>
      </c>
    </row>
    <row r="79" spans="2:39" x14ac:dyDescent="0.25">
      <c r="C79" s="56" t="s">
        <v>27</v>
      </c>
      <c r="D79" s="3" t="s">
        <v>175</v>
      </c>
      <c r="E79" s="136" t="e">
        <f t="shared" ref="E79:F79" si="18">E36/E$26</f>
        <v>#N/A</v>
      </c>
      <c r="F79" s="136" t="e">
        <f t="shared" si="18"/>
        <v>#N/A</v>
      </c>
      <c r="G79" s="136" t="e">
        <f t="shared" si="17"/>
        <v>#N/A</v>
      </c>
      <c r="H79" s="136" t="e">
        <f t="shared" si="17"/>
        <v>#N/A</v>
      </c>
      <c r="I79" s="136" t="e">
        <f t="shared" si="17"/>
        <v>#N/A</v>
      </c>
      <c r="J79" s="135" t="e">
        <f t="shared" si="17"/>
        <v>#N/A</v>
      </c>
      <c r="K79" s="92" t="e">
        <f t="shared" si="17"/>
        <v>#N/A</v>
      </c>
      <c r="L79" s="92" t="e">
        <f t="shared" si="17"/>
        <v>#N/A</v>
      </c>
      <c r="M79" s="92" t="e">
        <f t="shared" si="17"/>
        <v>#N/A</v>
      </c>
      <c r="N79" s="136" t="e">
        <f t="shared" si="17"/>
        <v>#N/A</v>
      </c>
      <c r="O79" s="135" t="e">
        <f t="shared" si="17"/>
        <v>#N/A</v>
      </c>
      <c r="P79" s="92" t="e">
        <f t="shared" si="17"/>
        <v>#N/A</v>
      </c>
      <c r="Q79" s="92" t="e">
        <f t="shared" si="17"/>
        <v>#N/A</v>
      </c>
      <c r="R79" s="92" t="e">
        <f t="shared" si="17"/>
        <v>#N/A</v>
      </c>
      <c r="S79" s="136" t="e">
        <f t="shared" si="17"/>
        <v>#N/A</v>
      </c>
      <c r="T79" s="136" t="e">
        <f t="shared" si="15"/>
        <v>#N/A</v>
      </c>
      <c r="U79" s="136" t="e">
        <f t="shared" si="15"/>
        <v>#N/A</v>
      </c>
      <c r="V79" s="136" t="e">
        <f t="shared" si="15"/>
        <v>#N/A</v>
      </c>
      <c r="W79" s="136" t="e">
        <f t="shared" si="15"/>
        <v>#N/A</v>
      </c>
      <c r="X79" s="141" t="e">
        <f t="shared" si="15"/>
        <v>#N/A</v>
      </c>
      <c r="Y79" s="141" t="e">
        <f t="shared" si="15"/>
        <v>#N/A</v>
      </c>
      <c r="Z79" s="141" t="e">
        <f t="shared" si="15"/>
        <v>#N/A</v>
      </c>
      <c r="AA79" s="141" t="e">
        <f t="shared" si="15"/>
        <v>#N/A</v>
      </c>
      <c r="AB79" s="141" t="e">
        <f t="shared" si="15"/>
        <v>#N/A</v>
      </c>
      <c r="AC79" s="141" t="e">
        <f t="shared" si="15"/>
        <v>#N/A</v>
      </c>
      <c r="AD79" s="141" t="e">
        <f t="shared" si="15"/>
        <v>#N/A</v>
      </c>
      <c r="AE79" s="141" t="e">
        <f t="shared" si="15"/>
        <v>#N/A</v>
      </c>
      <c r="AF79" s="141" t="e">
        <f t="shared" si="15"/>
        <v>#N/A</v>
      </c>
      <c r="AG79" s="141" t="e">
        <f t="shared" si="15"/>
        <v>#N/A</v>
      </c>
      <c r="AH79" s="141" t="e">
        <f t="shared" si="15"/>
        <v>#N/A</v>
      </c>
      <c r="AI79" s="141" t="e">
        <f t="shared" si="15"/>
        <v>#N/A</v>
      </c>
      <c r="AJ79" s="141" t="e">
        <f t="shared" si="15"/>
        <v>#N/A</v>
      </c>
      <c r="AK79" s="141" t="e">
        <f t="shared" si="15"/>
        <v>#N/A</v>
      </c>
      <c r="AL79" s="141" t="e">
        <f t="shared" si="15"/>
        <v>#N/A</v>
      </c>
      <c r="AM79" s="141" t="e">
        <f t="shared" si="15"/>
        <v>#N/A</v>
      </c>
    </row>
    <row r="80" spans="2:39" x14ac:dyDescent="0.25">
      <c r="C80" s="56" t="s">
        <v>28</v>
      </c>
      <c r="D80" s="3" t="s">
        <v>176</v>
      </c>
      <c r="E80" s="136" t="e">
        <f t="shared" ref="E80:F80" si="19">E37/E$26</f>
        <v>#N/A</v>
      </c>
      <c r="F80" s="136" t="e">
        <f t="shared" si="19"/>
        <v>#N/A</v>
      </c>
      <c r="G80" s="136" t="e">
        <f t="shared" si="17"/>
        <v>#N/A</v>
      </c>
      <c r="H80" s="136" t="e">
        <f t="shared" si="17"/>
        <v>#N/A</v>
      </c>
      <c r="I80" s="136" t="e">
        <f t="shared" si="17"/>
        <v>#N/A</v>
      </c>
      <c r="J80" s="135" t="e">
        <f t="shared" si="17"/>
        <v>#N/A</v>
      </c>
      <c r="K80" s="92" t="e">
        <f t="shared" si="17"/>
        <v>#N/A</v>
      </c>
      <c r="L80" s="92" t="e">
        <f t="shared" si="17"/>
        <v>#N/A</v>
      </c>
      <c r="M80" s="92" t="e">
        <f t="shared" si="17"/>
        <v>#N/A</v>
      </c>
      <c r="N80" s="136" t="e">
        <f t="shared" si="17"/>
        <v>#N/A</v>
      </c>
      <c r="O80" s="135" t="e">
        <f t="shared" si="17"/>
        <v>#N/A</v>
      </c>
      <c r="P80" s="92" t="e">
        <f t="shared" si="17"/>
        <v>#N/A</v>
      </c>
      <c r="Q80" s="92" t="e">
        <f t="shared" si="17"/>
        <v>#N/A</v>
      </c>
      <c r="R80" s="92" t="e">
        <f t="shared" si="17"/>
        <v>#N/A</v>
      </c>
      <c r="S80" s="136" t="e">
        <f t="shared" si="17"/>
        <v>#N/A</v>
      </c>
      <c r="T80" s="136" t="e">
        <f t="shared" si="15"/>
        <v>#N/A</v>
      </c>
      <c r="U80" s="136" t="e">
        <f t="shared" si="15"/>
        <v>#N/A</v>
      </c>
      <c r="V80" s="136" t="e">
        <f t="shared" si="15"/>
        <v>#N/A</v>
      </c>
      <c r="W80" s="136" t="e">
        <f t="shared" si="15"/>
        <v>#N/A</v>
      </c>
      <c r="X80" s="141" t="e">
        <f t="shared" si="15"/>
        <v>#N/A</v>
      </c>
      <c r="Y80" s="141" t="e">
        <f t="shared" si="15"/>
        <v>#N/A</v>
      </c>
      <c r="Z80" s="141" t="e">
        <f t="shared" si="15"/>
        <v>#N/A</v>
      </c>
      <c r="AA80" s="141" t="e">
        <f t="shared" si="15"/>
        <v>#N/A</v>
      </c>
      <c r="AB80" s="141" t="e">
        <f t="shared" si="15"/>
        <v>#N/A</v>
      </c>
      <c r="AC80" s="141" t="e">
        <f t="shared" si="15"/>
        <v>#N/A</v>
      </c>
      <c r="AD80" s="141" t="e">
        <f t="shared" si="15"/>
        <v>#N/A</v>
      </c>
      <c r="AE80" s="141" t="e">
        <f t="shared" si="15"/>
        <v>#N/A</v>
      </c>
      <c r="AF80" s="141" t="e">
        <f t="shared" si="15"/>
        <v>#N/A</v>
      </c>
      <c r="AG80" s="141" t="e">
        <f t="shared" si="15"/>
        <v>#N/A</v>
      </c>
      <c r="AH80" s="141" t="e">
        <f t="shared" si="15"/>
        <v>#N/A</v>
      </c>
      <c r="AI80" s="141" t="e">
        <f t="shared" si="15"/>
        <v>#N/A</v>
      </c>
      <c r="AJ80" s="141" t="e">
        <f t="shared" si="15"/>
        <v>#N/A</v>
      </c>
      <c r="AK80" s="141" t="e">
        <f t="shared" si="15"/>
        <v>#N/A</v>
      </c>
      <c r="AL80" s="141" t="e">
        <f t="shared" si="15"/>
        <v>#N/A</v>
      </c>
      <c r="AM80" s="141" t="e">
        <f t="shared" si="15"/>
        <v>#N/A</v>
      </c>
    </row>
    <row r="81" spans="2:39" x14ac:dyDescent="0.25">
      <c r="C81" s="56" t="s">
        <v>29</v>
      </c>
      <c r="D81" s="3" t="s">
        <v>177</v>
      </c>
      <c r="E81" s="136" t="e">
        <f t="shared" ref="E81:F81" si="20">E38/E$26</f>
        <v>#N/A</v>
      </c>
      <c r="F81" s="136" t="e">
        <f t="shared" si="20"/>
        <v>#N/A</v>
      </c>
      <c r="G81" s="136" t="e">
        <f t="shared" si="17"/>
        <v>#N/A</v>
      </c>
      <c r="H81" s="136" t="e">
        <f t="shared" si="17"/>
        <v>#N/A</v>
      </c>
      <c r="I81" s="136" t="e">
        <f t="shared" si="17"/>
        <v>#N/A</v>
      </c>
      <c r="J81" s="135" t="e">
        <f t="shared" si="17"/>
        <v>#N/A</v>
      </c>
      <c r="K81" s="92" t="e">
        <f t="shared" si="17"/>
        <v>#N/A</v>
      </c>
      <c r="L81" s="92" t="e">
        <f t="shared" si="17"/>
        <v>#N/A</v>
      </c>
      <c r="M81" s="92" t="e">
        <f t="shared" si="17"/>
        <v>#N/A</v>
      </c>
      <c r="N81" s="136" t="e">
        <f t="shared" si="17"/>
        <v>#N/A</v>
      </c>
      <c r="O81" s="135" t="e">
        <f t="shared" si="17"/>
        <v>#N/A</v>
      </c>
      <c r="P81" s="92" t="e">
        <f t="shared" si="17"/>
        <v>#N/A</v>
      </c>
      <c r="Q81" s="92" t="e">
        <f t="shared" si="17"/>
        <v>#N/A</v>
      </c>
      <c r="R81" s="92" t="e">
        <f t="shared" si="17"/>
        <v>#N/A</v>
      </c>
      <c r="S81" s="136" t="e">
        <f t="shared" si="17"/>
        <v>#N/A</v>
      </c>
      <c r="T81" s="136" t="e">
        <f t="shared" si="15"/>
        <v>#N/A</v>
      </c>
      <c r="U81" s="136" t="e">
        <f t="shared" si="15"/>
        <v>#N/A</v>
      </c>
      <c r="V81" s="136" t="e">
        <f t="shared" si="15"/>
        <v>#N/A</v>
      </c>
      <c r="W81" s="136" t="e">
        <f t="shared" si="15"/>
        <v>#N/A</v>
      </c>
      <c r="X81" s="141" t="e">
        <f t="shared" si="15"/>
        <v>#N/A</v>
      </c>
      <c r="Y81" s="141" t="e">
        <f t="shared" si="15"/>
        <v>#N/A</v>
      </c>
      <c r="Z81" s="141" t="e">
        <f t="shared" si="15"/>
        <v>#N/A</v>
      </c>
      <c r="AA81" s="141" t="e">
        <f t="shared" si="15"/>
        <v>#N/A</v>
      </c>
      <c r="AB81" s="141" t="e">
        <f t="shared" si="15"/>
        <v>#N/A</v>
      </c>
      <c r="AC81" s="141" t="e">
        <f t="shared" si="15"/>
        <v>#N/A</v>
      </c>
      <c r="AD81" s="141" t="e">
        <f t="shared" si="15"/>
        <v>#N/A</v>
      </c>
      <c r="AE81" s="141" t="e">
        <f t="shared" si="15"/>
        <v>#N/A</v>
      </c>
      <c r="AF81" s="141" t="e">
        <f t="shared" si="15"/>
        <v>#N/A</v>
      </c>
      <c r="AG81" s="141" t="e">
        <f t="shared" si="15"/>
        <v>#N/A</v>
      </c>
      <c r="AH81" s="141" t="e">
        <f t="shared" si="15"/>
        <v>#N/A</v>
      </c>
      <c r="AI81" s="141" t="e">
        <f t="shared" si="15"/>
        <v>#N/A</v>
      </c>
      <c r="AJ81" s="141" t="e">
        <f t="shared" si="15"/>
        <v>#N/A</v>
      </c>
      <c r="AK81" s="141" t="e">
        <f t="shared" si="15"/>
        <v>#N/A</v>
      </c>
      <c r="AL81" s="141" t="e">
        <f t="shared" si="15"/>
        <v>#N/A</v>
      </c>
      <c r="AM81" s="141" t="e">
        <f t="shared" si="15"/>
        <v>#N/A</v>
      </c>
    </row>
    <row r="82" spans="2:39" x14ac:dyDescent="0.25">
      <c r="C82" s="56" t="s">
        <v>30</v>
      </c>
      <c r="D82" s="3" t="s">
        <v>178</v>
      </c>
      <c r="E82" s="136" t="e">
        <f t="shared" ref="E82:F82" si="21">E39/E$26</f>
        <v>#N/A</v>
      </c>
      <c r="F82" s="136" t="e">
        <f t="shared" si="21"/>
        <v>#N/A</v>
      </c>
      <c r="G82" s="136" t="e">
        <f t="shared" si="17"/>
        <v>#N/A</v>
      </c>
      <c r="H82" s="136" t="e">
        <f t="shared" si="17"/>
        <v>#N/A</v>
      </c>
      <c r="I82" s="136" t="e">
        <f t="shared" si="17"/>
        <v>#N/A</v>
      </c>
      <c r="J82" s="135" t="e">
        <f t="shared" si="17"/>
        <v>#N/A</v>
      </c>
      <c r="K82" s="92" t="e">
        <f t="shared" si="17"/>
        <v>#N/A</v>
      </c>
      <c r="L82" s="92" t="e">
        <f t="shared" si="17"/>
        <v>#N/A</v>
      </c>
      <c r="M82" s="92" t="e">
        <f t="shared" si="17"/>
        <v>#N/A</v>
      </c>
      <c r="N82" s="136" t="e">
        <f t="shared" si="17"/>
        <v>#N/A</v>
      </c>
      <c r="O82" s="135" t="e">
        <f t="shared" si="17"/>
        <v>#N/A</v>
      </c>
      <c r="P82" s="92" t="e">
        <f t="shared" si="17"/>
        <v>#N/A</v>
      </c>
      <c r="Q82" s="92" t="e">
        <f t="shared" si="17"/>
        <v>#N/A</v>
      </c>
      <c r="R82" s="92" t="e">
        <f t="shared" si="17"/>
        <v>#N/A</v>
      </c>
      <c r="S82" s="136" t="e">
        <f t="shared" si="17"/>
        <v>#N/A</v>
      </c>
      <c r="T82" s="136" t="e">
        <f t="shared" si="15"/>
        <v>#N/A</v>
      </c>
      <c r="U82" s="136" t="e">
        <f t="shared" si="15"/>
        <v>#N/A</v>
      </c>
      <c r="V82" s="136" t="e">
        <f t="shared" si="15"/>
        <v>#N/A</v>
      </c>
      <c r="W82" s="136" t="e">
        <f t="shared" si="15"/>
        <v>#N/A</v>
      </c>
      <c r="X82" s="141" t="e">
        <f t="shared" si="15"/>
        <v>#N/A</v>
      </c>
      <c r="Y82" s="141" t="e">
        <f t="shared" si="15"/>
        <v>#N/A</v>
      </c>
      <c r="Z82" s="141" t="e">
        <f t="shared" si="15"/>
        <v>#N/A</v>
      </c>
      <c r="AA82" s="141" t="e">
        <f t="shared" si="15"/>
        <v>#N/A</v>
      </c>
      <c r="AB82" s="141" t="e">
        <f t="shared" si="15"/>
        <v>#N/A</v>
      </c>
      <c r="AC82" s="141" t="e">
        <f t="shared" si="15"/>
        <v>#N/A</v>
      </c>
      <c r="AD82" s="141" t="e">
        <f t="shared" si="15"/>
        <v>#N/A</v>
      </c>
      <c r="AE82" s="141" t="e">
        <f t="shared" si="15"/>
        <v>#N/A</v>
      </c>
      <c r="AF82" s="141" t="e">
        <f t="shared" si="15"/>
        <v>#N/A</v>
      </c>
      <c r="AG82" s="141" t="e">
        <f t="shared" si="15"/>
        <v>#N/A</v>
      </c>
      <c r="AH82" s="141" t="e">
        <f t="shared" si="15"/>
        <v>#N/A</v>
      </c>
      <c r="AI82" s="141" t="e">
        <f t="shared" si="15"/>
        <v>#N/A</v>
      </c>
      <c r="AJ82" s="141" t="e">
        <f t="shared" si="15"/>
        <v>#N/A</v>
      </c>
      <c r="AK82" s="141" t="e">
        <f t="shared" si="15"/>
        <v>#N/A</v>
      </c>
      <c r="AL82" s="141" t="e">
        <f t="shared" si="15"/>
        <v>#N/A</v>
      </c>
      <c r="AM82" s="141" t="e">
        <f t="shared" si="15"/>
        <v>#N/A</v>
      </c>
    </row>
    <row r="83" spans="2:39" x14ac:dyDescent="0.25">
      <c r="C83" s="56" t="s">
        <v>31</v>
      </c>
      <c r="D83" s="3" t="s">
        <v>179</v>
      </c>
      <c r="E83" s="136" t="e">
        <f t="shared" ref="E83:F83" si="22">E40/E$26</f>
        <v>#N/A</v>
      </c>
      <c r="F83" s="136" t="e">
        <f t="shared" si="22"/>
        <v>#N/A</v>
      </c>
      <c r="G83" s="136" t="e">
        <f t="shared" si="17"/>
        <v>#N/A</v>
      </c>
      <c r="H83" s="136" t="e">
        <f t="shared" si="17"/>
        <v>#N/A</v>
      </c>
      <c r="I83" s="136" t="e">
        <f t="shared" si="17"/>
        <v>#N/A</v>
      </c>
      <c r="J83" s="135" t="e">
        <f t="shared" si="17"/>
        <v>#N/A</v>
      </c>
      <c r="K83" s="92" t="e">
        <f t="shared" si="17"/>
        <v>#N/A</v>
      </c>
      <c r="L83" s="92" t="e">
        <f t="shared" si="17"/>
        <v>#N/A</v>
      </c>
      <c r="M83" s="92" t="e">
        <f t="shared" si="17"/>
        <v>#N/A</v>
      </c>
      <c r="N83" s="136" t="e">
        <f t="shared" si="17"/>
        <v>#N/A</v>
      </c>
      <c r="O83" s="135" t="e">
        <f t="shared" si="17"/>
        <v>#N/A</v>
      </c>
      <c r="P83" s="92" t="e">
        <f t="shared" si="17"/>
        <v>#N/A</v>
      </c>
      <c r="Q83" s="92" t="e">
        <f t="shared" si="17"/>
        <v>#N/A</v>
      </c>
      <c r="R83" s="92" t="e">
        <f t="shared" si="17"/>
        <v>#N/A</v>
      </c>
      <c r="S83" s="136" t="e">
        <f t="shared" si="17"/>
        <v>#N/A</v>
      </c>
      <c r="T83" s="136" t="e">
        <f t="shared" si="15"/>
        <v>#N/A</v>
      </c>
      <c r="U83" s="136" t="e">
        <f t="shared" si="15"/>
        <v>#N/A</v>
      </c>
      <c r="V83" s="136" t="e">
        <f t="shared" si="15"/>
        <v>#N/A</v>
      </c>
      <c r="W83" s="136" t="e">
        <f t="shared" si="15"/>
        <v>#N/A</v>
      </c>
      <c r="X83" s="141" t="e">
        <f t="shared" si="15"/>
        <v>#N/A</v>
      </c>
      <c r="Y83" s="141" t="e">
        <f t="shared" si="15"/>
        <v>#N/A</v>
      </c>
      <c r="Z83" s="141" t="e">
        <f t="shared" si="15"/>
        <v>#N/A</v>
      </c>
      <c r="AA83" s="141" t="e">
        <f t="shared" si="15"/>
        <v>#N/A</v>
      </c>
      <c r="AB83" s="141" t="e">
        <f t="shared" si="15"/>
        <v>#N/A</v>
      </c>
      <c r="AC83" s="141" t="e">
        <f t="shared" si="15"/>
        <v>#N/A</v>
      </c>
      <c r="AD83" s="141" t="e">
        <f t="shared" si="15"/>
        <v>#N/A</v>
      </c>
      <c r="AE83" s="141" t="e">
        <f t="shared" si="15"/>
        <v>#N/A</v>
      </c>
      <c r="AF83" s="141" t="e">
        <f t="shared" si="15"/>
        <v>#N/A</v>
      </c>
      <c r="AG83" s="141" t="e">
        <f t="shared" si="15"/>
        <v>#N/A</v>
      </c>
      <c r="AH83" s="141" t="e">
        <f t="shared" si="15"/>
        <v>#N/A</v>
      </c>
      <c r="AI83" s="141" t="e">
        <f t="shared" si="15"/>
        <v>#N/A</v>
      </c>
      <c r="AJ83" s="141" t="e">
        <f t="shared" si="15"/>
        <v>#N/A</v>
      </c>
      <c r="AK83" s="141" t="e">
        <f t="shared" si="15"/>
        <v>#N/A</v>
      </c>
      <c r="AL83" s="141" t="e">
        <f t="shared" si="15"/>
        <v>#N/A</v>
      </c>
      <c r="AM83" s="141" t="e">
        <f t="shared" si="15"/>
        <v>#N/A</v>
      </c>
    </row>
    <row r="84" spans="2:39" x14ac:dyDescent="0.25">
      <c r="C84" s="56" t="s">
        <v>32</v>
      </c>
      <c r="D84" s="3" t="s">
        <v>180</v>
      </c>
      <c r="E84" s="136" t="e">
        <f t="shared" ref="E84:F84" si="23">E41/E$26</f>
        <v>#N/A</v>
      </c>
      <c r="F84" s="136" t="e">
        <f t="shared" si="23"/>
        <v>#N/A</v>
      </c>
      <c r="G84" s="136" t="e">
        <f t="shared" si="17"/>
        <v>#N/A</v>
      </c>
      <c r="H84" s="136" t="e">
        <f t="shared" si="17"/>
        <v>#N/A</v>
      </c>
      <c r="I84" s="136" t="e">
        <f t="shared" si="17"/>
        <v>#N/A</v>
      </c>
      <c r="J84" s="135" t="e">
        <f t="shared" si="17"/>
        <v>#N/A</v>
      </c>
      <c r="K84" s="92" t="e">
        <f t="shared" si="17"/>
        <v>#N/A</v>
      </c>
      <c r="L84" s="92" t="e">
        <f t="shared" si="17"/>
        <v>#N/A</v>
      </c>
      <c r="M84" s="92" t="e">
        <f t="shared" si="17"/>
        <v>#N/A</v>
      </c>
      <c r="N84" s="136" t="e">
        <f t="shared" si="17"/>
        <v>#N/A</v>
      </c>
      <c r="O84" s="135" t="e">
        <f t="shared" si="17"/>
        <v>#N/A</v>
      </c>
      <c r="P84" s="92" t="e">
        <f t="shared" si="17"/>
        <v>#N/A</v>
      </c>
      <c r="Q84" s="92" t="e">
        <f t="shared" si="17"/>
        <v>#N/A</v>
      </c>
      <c r="R84" s="92" t="e">
        <f t="shared" si="17"/>
        <v>#N/A</v>
      </c>
      <c r="S84" s="136" t="e">
        <f t="shared" si="17"/>
        <v>#N/A</v>
      </c>
      <c r="T84" s="136" t="e">
        <f t="shared" si="15"/>
        <v>#N/A</v>
      </c>
      <c r="U84" s="136" t="e">
        <f t="shared" si="15"/>
        <v>#N/A</v>
      </c>
      <c r="V84" s="136" t="e">
        <f t="shared" si="15"/>
        <v>#N/A</v>
      </c>
      <c r="W84" s="136" t="e">
        <f t="shared" si="15"/>
        <v>#N/A</v>
      </c>
      <c r="X84" s="141" t="e">
        <f t="shared" si="15"/>
        <v>#N/A</v>
      </c>
      <c r="Y84" s="141" t="e">
        <f t="shared" si="15"/>
        <v>#N/A</v>
      </c>
      <c r="Z84" s="141" t="e">
        <f t="shared" si="15"/>
        <v>#N/A</v>
      </c>
      <c r="AA84" s="141" t="e">
        <f t="shared" si="15"/>
        <v>#N/A</v>
      </c>
      <c r="AB84" s="141" t="e">
        <f t="shared" si="15"/>
        <v>#N/A</v>
      </c>
      <c r="AC84" s="141" t="e">
        <f t="shared" si="15"/>
        <v>#N/A</v>
      </c>
      <c r="AD84" s="141" t="e">
        <f t="shared" si="15"/>
        <v>#N/A</v>
      </c>
      <c r="AE84" s="141" t="e">
        <f t="shared" si="15"/>
        <v>#N/A</v>
      </c>
      <c r="AF84" s="141" t="e">
        <f t="shared" si="15"/>
        <v>#N/A</v>
      </c>
      <c r="AG84" s="141" t="e">
        <f t="shared" si="15"/>
        <v>#N/A</v>
      </c>
      <c r="AH84" s="141" t="e">
        <f t="shared" si="15"/>
        <v>#N/A</v>
      </c>
      <c r="AI84" s="141" t="e">
        <f t="shared" si="15"/>
        <v>#N/A</v>
      </c>
      <c r="AJ84" s="141" t="e">
        <f t="shared" si="15"/>
        <v>#N/A</v>
      </c>
      <c r="AK84" s="141" t="e">
        <f t="shared" si="15"/>
        <v>#N/A</v>
      </c>
      <c r="AL84" s="141" t="e">
        <f t="shared" si="15"/>
        <v>#N/A</v>
      </c>
      <c r="AM84" s="141" t="e">
        <f t="shared" si="15"/>
        <v>#N/A</v>
      </c>
    </row>
    <row r="85" spans="2:39" x14ac:dyDescent="0.25">
      <c r="C85" s="80" t="s">
        <v>33</v>
      </c>
      <c r="D85" s="7" t="s">
        <v>181</v>
      </c>
      <c r="E85" s="138" t="e">
        <f t="shared" ref="E85:F85" si="24">E42/E$26</f>
        <v>#N/A</v>
      </c>
      <c r="F85" s="138" t="e">
        <f t="shared" si="24"/>
        <v>#N/A</v>
      </c>
      <c r="G85" s="138" t="e">
        <f t="shared" si="17"/>
        <v>#N/A</v>
      </c>
      <c r="H85" s="138" t="e">
        <f t="shared" si="17"/>
        <v>#N/A</v>
      </c>
      <c r="I85" s="138" t="e">
        <f t="shared" si="17"/>
        <v>#N/A</v>
      </c>
      <c r="J85" s="137" t="e">
        <f t="shared" si="17"/>
        <v>#N/A</v>
      </c>
      <c r="K85" s="94" t="e">
        <f t="shared" si="17"/>
        <v>#N/A</v>
      </c>
      <c r="L85" s="94" t="e">
        <f t="shared" si="17"/>
        <v>#N/A</v>
      </c>
      <c r="M85" s="94" t="e">
        <f t="shared" si="17"/>
        <v>#N/A</v>
      </c>
      <c r="N85" s="138" t="e">
        <f t="shared" si="17"/>
        <v>#N/A</v>
      </c>
      <c r="O85" s="137" t="e">
        <f t="shared" si="17"/>
        <v>#N/A</v>
      </c>
      <c r="P85" s="94" t="e">
        <f t="shared" si="17"/>
        <v>#N/A</v>
      </c>
      <c r="Q85" s="94" t="e">
        <f t="shared" si="17"/>
        <v>#N/A</v>
      </c>
      <c r="R85" s="94" t="e">
        <f t="shared" si="17"/>
        <v>#N/A</v>
      </c>
      <c r="S85" s="138" t="e">
        <f t="shared" si="17"/>
        <v>#N/A</v>
      </c>
      <c r="T85" s="138" t="e">
        <f t="shared" si="15"/>
        <v>#N/A</v>
      </c>
      <c r="U85" s="138" t="e">
        <f t="shared" si="15"/>
        <v>#N/A</v>
      </c>
      <c r="V85" s="138" t="e">
        <f t="shared" si="15"/>
        <v>#N/A</v>
      </c>
      <c r="W85" s="138" t="e">
        <f t="shared" si="15"/>
        <v>#N/A</v>
      </c>
      <c r="X85" s="142" t="e">
        <f t="shared" si="15"/>
        <v>#N/A</v>
      </c>
      <c r="Y85" s="142" t="e">
        <f t="shared" si="15"/>
        <v>#N/A</v>
      </c>
      <c r="Z85" s="142" t="e">
        <f t="shared" si="15"/>
        <v>#N/A</v>
      </c>
      <c r="AA85" s="142" t="e">
        <f t="shared" si="15"/>
        <v>#N/A</v>
      </c>
      <c r="AB85" s="142" t="e">
        <f t="shared" si="15"/>
        <v>#N/A</v>
      </c>
      <c r="AC85" s="142" t="e">
        <f t="shared" si="15"/>
        <v>#N/A</v>
      </c>
      <c r="AD85" s="142" t="e">
        <f t="shared" si="15"/>
        <v>#N/A</v>
      </c>
      <c r="AE85" s="142" t="e">
        <f t="shared" si="15"/>
        <v>#N/A</v>
      </c>
      <c r="AF85" s="142" t="e">
        <f t="shared" si="15"/>
        <v>#N/A</v>
      </c>
      <c r="AG85" s="142" t="e">
        <f t="shared" si="15"/>
        <v>#N/A</v>
      </c>
      <c r="AH85" s="142" t="e">
        <f t="shared" si="15"/>
        <v>#N/A</v>
      </c>
      <c r="AI85" s="142" t="e">
        <f t="shared" si="15"/>
        <v>#N/A</v>
      </c>
      <c r="AJ85" s="142" t="e">
        <f t="shared" si="15"/>
        <v>#N/A</v>
      </c>
      <c r="AK85" s="142" t="e">
        <f t="shared" si="15"/>
        <v>#N/A</v>
      </c>
      <c r="AL85" s="142" t="e">
        <f t="shared" si="15"/>
        <v>#N/A</v>
      </c>
      <c r="AM85" s="142" t="e">
        <f t="shared" si="15"/>
        <v>#N/A</v>
      </c>
    </row>
    <row r="86" spans="2:39" x14ac:dyDescent="0.25">
      <c r="C86" s="56"/>
      <c r="D86" s="3"/>
      <c r="E86" s="136"/>
      <c r="F86" s="136"/>
      <c r="G86" s="136"/>
      <c r="H86" s="136"/>
      <c r="I86" s="136"/>
      <c r="J86" s="135"/>
      <c r="K86" s="92"/>
      <c r="L86" s="92"/>
      <c r="M86" s="92"/>
      <c r="N86" s="136"/>
      <c r="O86" s="135"/>
      <c r="P86" s="92"/>
      <c r="Q86" s="92"/>
      <c r="R86" s="92"/>
      <c r="S86" s="136"/>
      <c r="T86" s="136"/>
      <c r="U86" s="136"/>
      <c r="V86" s="136"/>
      <c r="W86" s="136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41"/>
      <c r="AJ86" s="141"/>
      <c r="AK86" s="141"/>
      <c r="AL86" s="141"/>
      <c r="AM86" s="141"/>
    </row>
    <row r="87" spans="2:39" x14ac:dyDescent="0.25">
      <c r="B87" s="23" t="s">
        <v>165</v>
      </c>
      <c r="C87" s="82" t="s">
        <v>134</v>
      </c>
      <c r="D87" s="82" t="s">
        <v>45</v>
      </c>
      <c r="E87" s="125" t="e">
        <f t="shared" ref="E87:AM87" si="25">E44</f>
        <v>#N/A</v>
      </c>
      <c r="F87" s="125" t="e">
        <f t="shared" si="25"/>
        <v>#N/A</v>
      </c>
      <c r="G87" s="125" t="e">
        <f t="shared" si="25"/>
        <v>#N/A</v>
      </c>
      <c r="H87" s="125" t="e">
        <f t="shared" si="25"/>
        <v>#N/A</v>
      </c>
      <c r="I87" s="125" t="e">
        <f t="shared" si="25"/>
        <v>#N/A</v>
      </c>
      <c r="J87" s="124" t="e">
        <f t="shared" si="25"/>
        <v>#N/A</v>
      </c>
      <c r="K87" s="75" t="e">
        <f t="shared" si="25"/>
        <v>#N/A</v>
      </c>
      <c r="L87" s="75" t="e">
        <f t="shared" si="25"/>
        <v>#N/A</v>
      </c>
      <c r="M87" s="75" t="e">
        <f t="shared" si="25"/>
        <v>#N/A</v>
      </c>
      <c r="N87" s="125" t="e">
        <f t="shared" si="25"/>
        <v>#N/A</v>
      </c>
      <c r="O87" s="124" t="e">
        <f t="shared" si="25"/>
        <v>#N/A</v>
      </c>
      <c r="P87" s="75" t="e">
        <f t="shared" si="25"/>
        <v>#N/A</v>
      </c>
      <c r="Q87" s="75" t="e">
        <f t="shared" si="25"/>
        <v>#N/A</v>
      </c>
      <c r="R87" s="75" t="e">
        <f t="shared" si="25"/>
        <v>#N/A</v>
      </c>
      <c r="S87" s="125" t="e">
        <f t="shared" si="25"/>
        <v>#N/A</v>
      </c>
      <c r="T87" s="125" t="e">
        <f t="shared" si="25"/>
        <v>#N/A</v>
      </c>
      <c r="U87" s="125" t="e">
        <f t="shared" si="25"/>
        <v>#N/A</v>
      </c>
      <c r="V87" s="125" t="e">
        <f t="shared" si="25"/>
        <v>#N/A</v>
      </c>
      <c r="W87" s="125" t="e">
        <f t="shared" si="25"/>
        <v>#N/A</v>
      </c>
      <c r="X87" s="129" t="e">
        <f t="shared" si="25"/>
        <v>#N/A</v>
      </c>
      <c r="Y87" s="129" t="e">
        <f t="shared" si="25"/>
        <v>#N/A</v>
      </c>
      <c r="Z87" s="129" t="e">
        <f t="shared" si="25"/>
        <v>#N/A</v>
      </c>
      <c r="AA87" s="129" t="e">
        <f t="shared" si="25"/>
        <v>#N/A</v>
      </c>
      <c r="AB87" s="129" t="e">
        <f t="shared" si="25"/>
        <v>#N/A</v>
      </c>
      <c r="AC87" s="129" t="e">
        <f t="shared" si="25"/>
        <v>#N/A</v>
      </c>
      <c r="AD87" s="129" t="e">
        <f t="shared" si="25"/>
        <v>#N/A</v>
      </c>
      <c r="AE87" s="129" t="e">
        <f t="shared" si="25"/>
        <v>#N/A</v>
      </c>
      <c r="AF87" s="129" t="e">
        <f t="shared" si="25"/>
        <v>#N/A</v>
      </c>
      <c r="AG87" s="129" t="e">
        <f t="shared" si="25"/>
        <v>#N/A</v>
      </c>
      <c r="AH87" s="129" t="e">
        <f t="shared" si="25"/>
        <v>#N/A</v>
      </c>
      <c r="AI87" s="129" t="e">
        <f t="shared" si="25"/>
        <v>#N/A</v>
      </c>
      <c r="AJ87" s="129" t="e">
        <f t="shared" si="25"/>
        <v>#N/A</v>
      </c>
      <c r="AK87" s="129" t="e">
        <f t="shared" si="25"/>
        <v>#N/A</v>
      </c>
      <c r="AL87" s="129" t="e">
        <f t="shared" si="25"/>
        <v>#N/A</v>
      </c>
      <c r="AM87" s="129" t="e">
        <f t="shared" si="25"/>
        <v>#N/A</v>
      </c>
    </row>
    <row r="88" spans="2:39" x14ac:dyDescent="0.25">
      <c r="C88" s="56" t="s">
        <v>8</v>
      </c>
      <c r="D88" s="78" t="s">
        <v>182</v>
      </c>
      <c r="E88" s="136" t="e">
        <f t="shared" ref="E88:AM91" si="26">E45/E$44</f>
        <v>#N/A</v>
      </c>
      <c r="F88" s="136" t="e">
        <f t="shared" si="26"/>
        <v>#N/A</v>
      </c>
      <c r="G88" s="136" t="e">
        <f t="shared" si="26"/>
        <v>#N/A</v>
      </c>
      <c r="H88" s="136" t="e">
        <f t="shared" si="26"/>
        <v>#N/A</v>
      </c>
      <c r="I88" s="136" t="e">
        <f t="shared" si="26"/>
        <v>#N/A</v>
      </c>
      <c r="J88" s="135" t="e">
        <f t="shared" si="26"/>
        <v>#N/A</v>
      </c>
      <c r="K88" s="92" t="e">
        <f t="shared" si="26"/>
        <v>#N/A</v>
      </c>
      <c r="L88" s="92" t="e">
        <f t="shared" si="26"/>
        <v>#N/A</v>
      </c>
      <c r="M88" s="92" t="e">
        <f t="shared" si="26"/>
        <v>#N/A</v>
      </c>
      <c r="N88" s="136" t="e">
        <f t="shared" si="26"/>
        <v>#N/A</v>
      </c>
      <c r="O88" s="135" t="e">
        <f t="shared" si="26"/>
        <v>#N/A</v>
      </c>
      <c r="P88" s="92" t="e">
        <f t="shared" si="26"/>
        <v>#N/A</v>
      </c>
      <c r="Q88" s="92" t="e">
        <f t="shared" si="26"/>
        <v>#N/A</v>
      </c>
      <c r="R88" s="92" t="e">
        <f t="shared" si="26"/>
        <v>#N/A</v>
      </c>
      <c r="S88" s="136" t="e">
        <f t="shared" si="26"/>
        <v>#N/A</v>
      </c>
      <c r="T88" s="136" t="e">
        <f t="shared" si="26"/>
        <v>#N/A</v>
      </c>
      <c r="U88" s="136" t="e">
        <f t="shared" si="26"/>
        <v>#N/A</v>
      </c>
      <c r="V88" s="136" t="e">
        <f t="shared" si="26"/>
        <v>#N/A</v>
      </c>
      <c r="W88" s="136" t="e">
        <f t="shared" si="26"/>
        <v>#N/A</v>
      </c>
      <c r="X88" s="141" t="e">
        <f t="shared" si="26"/>
        <v>#N/A</v>
      </c>
      <c r="Y88" s="141" t="e">
        <f t="shared" si="26"/>
        <v>#N/A</v>
      </c>
      <c r="Z88" s="141" t="e">
        <f t="shared" si="26"/>
        <v>#N/A</v>
      </c>
      <c r="AA88" s="141" t="e">
        <f t="shared" si="26"/>
        <v>#N/A</v>
      </c>
      <c r="AB88" s="141" t="e">
        <f t="shared" si="26"/>
        <v>#N/A</v>
      </c>
      <c r="AC88" s="141" t="e">
        <f t="shared" si="26"/>
        <v>#N/A</v>
      </c>
      <c r="AD88" s="141" t="e">
        <f t="shared" si="26"/>
        <v>#N/A</v>
      </c>
      <c r="AE88" s="141" t="e">
        <f t="shared" si="26"/>
        <v>#N/A</v>
      </c>
      <c r="AF88" s="141" t="e">
        <f t="shared" si="26"/>
        <v>#N/A</v>
      </c>
      <c r="AG88" s="141" t="e">
        <f t="shared" si="26"/>
        <v>#N/A</v>
      </c>
      <c r="AH88" s="141" t="e">
        <f t="shared" si="26"/>
        <v>#N/A</v>
      </c>
      <c r="AI88" s="141" t="e">
        <f t="shared" si="26"/>
        <v>#N/A</v>
      </c>
      <c r="AJ88" s="141" t="e">
        <f t="shared" si="26"/>
        <v>#N/A</v>
      </c>
      <c r="AK88" s="141" t="e">
        <f t="shared" si="26"/>
        <v>#N/A</v>
      </c>
      <c r="AL88" s="141" t="e">
        <f t="shared" si="26"/>
        <v>#N/A</v>
      </c>
      <c r="AM88" s="141" t="e">
        <f t="shared" si="26"/>
        <v>#N/A</v>
      </c>
    </row>
    <row r="89" spans="2:39" x14ac:dyDescent="0.25">
      <c r="C89" s="56" t="s">
        <v>6</v>
      </c>
      <c r="D89" s="3" t="s">
        <v>183</v>
      </c>
      <c r="E89" s="136" t="e">
        <f t="shared" si="26"/>
        <v>#N/A</v>
      </c>
      <c r="F89" s="136" t="e">
        <f t="shared" si="26"/>
        <v>#N/A</v>
      </c>
      <c r="G89" s="136" t="e">
        <f t="shared" si="26"/>
        <v>#N/A</v>
      </c>
      <c r="H89" s="136" t="e">
        <f t="shared" si="26"/>
        <v>#N/A</v>
      </c>
      <c r="I89" s="136" t="e">
        <f t="shared" si="26"/>
        <v>#N/A</v>
      </c>
      <c r="J89" s="135" t="e">
        <f t="shared" si="26"/>
        <v>#N/A</v>
      </c>
      <c r="K89" s="92" t="e">
        <f t="shared" si="26"/>
        <v>#N/A</v>
      </c>
      <c r="L89" s="92" t="e">
        <f t="shared" si="26"/>
        <v>#N/A</v>
      </c>
      <c r="M89" s="92" t="e">
        <f t="shared" si="26"/>
        <v>#N/A</v>
      </c>
      <c r="N89" s="136" t="e">
        <f t="shared" si="26"/>
        <v>#N/A</v>
      </c>
      <c r="O89" s="135" t="e">
        <f t="shared" si="26"/>
        <v>#N/A</v>
      </c>
      <c r="P89" s="92" t="e">
        <f t="shared" si="26"/>
        <v>#N/A</v>
      </c>
      <c r="Q89" s="92" t="e">
        <f t="shared" si="26"/>
        <v>#N/A</v>
      </c>
      <c r="R89" s="92" t="e">
        <f t="shared" si="26"/>
        <v>#N/A</v>
      </c>
      <c r="S89" s="136" t="e">
        <f t="shared" si="26"/>
        <v>#N/A</v>
      </c>
      <c r="T89" s="136" t="e">
        <f t="shared" si="26"/>
        <v>#N/A</v>
      </c>
      <c r="U89" s="136" t="e">
        <f t="shared" si="26"/>
        <v>#N/A</v>
      </c>
      <c r="V89" s="136" t="e">
        <f t="shared" si="26"/>
        <v>#N/A</v>
      </c>
      <c r="W89" s="136" t="e">
        <f t="shared" si="26"/>
        <v>#N/A</v>
      </c>
      <c r="X89" s="141" t="e">
        <f t="shared" si="26"/>
        <v>#N/A</v>
      </c>
      <c r="Y89" s="141" t="e">
        <f t="shared" si="26"/>
        <v>#N/A</v>
      </c>
      <c r="Z89" s="141" t="e">
        <f t="shared" si="26"/>
        <v>#N/A</v>
      </c>
      <c r="AA89" s="141" t="e">
        <f t="shared" si="26"/>
        <v>#N/A</v>
      </c>
      <c r="AB89" s="141" t="e">
        <f t="shared" si="26"/>
        <v>#N/A</v>
      </c>
      <c r="AC89" s="141" t="e">
        <f t="shared" si="26"/>
        <v>#N/A</v>
      </c>
      <c r="AD89" s="141" t="e">
        <f t="shared" si="26"/>
        <v>#N/A</v>
      </c>
      <c r="AE89" s="141" t="e">
        <f t="shared" si="26"/>
        <v>#N/A</v>
      </c>
      <c r="AF89" s="141" t="e">
        <f t="shared" si="26"/>
        <v>#N/A</v>
      </c>
      <c r="AG89" s="141" t="e">
        <f t="shared" si="26"/>
        <v>#N/A</v>
      </c>
      <c r="AH89" s="141" t="e">
        <f t="shared" si="26"/>
        <v>#N/A</v>
      </c>
      <c r="AI89" s="141" t="e">
        <f t="shared" si="26"/>
        <v>#N/A</v>
      </c>
      <c r="AJ89" s="141" t="e">
        <f t="shared" si="26"/>
        <v>#N/A</v>
      </c>
      <c r="AK89" s="141" t="e">
        <f t="shared" si="26"/>
        <v>#N/A</v>
      </c>
      <c r="AL89" s="141" t="e">
        <f t="shared" si="26"/>
        <v>#N/A</v>
      </c>
      <c r="AM89" s="141" t="e">
        <f t="shared" si="26"/>
        <v>#N/A</v>
      </c>
    </row>
    <row r="90" spans="2:39" x14ac:dyDescent="0.25">
      <c r="C90" s="56" t="s">
        <v>34</v>
      </c>
      <c r="D90" s="3" t="s">
        <v>159</v>
      </c>
      <c r="E90" s="136" t="e">
        <f t="shared" si="26"/>
        <v>#N/A</v>
      </c>
      <c r="F90" s="136" t="e">
        <f t="shared" si="26"/>
        <v>#N/A</v>
      </c>
      <c r="G90" s="136" t="e">
        <f t="shared" si="26"/>
        <v>#N/A</v>
      </c>
      <c r="H90" s="136" t="e">
        <f t="shared" si="26"/>
        <v>#N/A</v>
      </c>
      <c r="I90" s="136" t="e">
        <f t="shared" si="26"/>
        <v>#N/A</v>
      </c>
      <c r="J90" s="135" t="e">
        <f t="shared" si="26"/>
        <v>#N/A</v>
      </c>
      <c r="K90" s="92" t="e">
        <f t="shared" si="26"/>
        <v>#N/A</v>
      </c>
      <c r="L90" s="92" t="e">
        <f t="shared" si="26"/>
        <v>#N/A</v>
      </c>
      <c r="M90" s="92" t="e">
        <f t="shared" si="26"/>
        <v>#N/A</v>
      </c>
      <c r="N90" s="136" t="e">
        <f t="shared" si="26"/>
        <v>#N/A</v>
      </c>
      <c r="O90" s="135" t="e">
        <f t="shared" si="26"/>
        <v>#N/A</v>
      </c>
      <c r="P90" s="92" t="e">
        <f t="shared" si="26"/>
        <v>#N/A</v>
      </c>
      <c r="Q90" s="92" t="e">
        <f t="shared" si="26"/>
        <v>#N/A</v>
      </c>
      <c r="R90" s="92" t="e">
        <f t="shared" si="26"/>
        <v>#N/A</v>
      </c>
      <c r="S90" s="136" t="e">
        <f t="shared" si="26"/>
        <v>#N/A</v>
      </c>
      <c r="T90" s="136" t="e">
        <f t="shared" si="26"/>
        <v>#N/A</v>
      </c>
      <c r="U90" s="136" t="e">
        <f t="shared" si="26"/>
        <v>#N/A</v>
      </c>
      <c r="V90" s="136" t="e">
        <f t="shared" si="26"/>
        <v>#N/A</v>
      </c>
      <c r="W90" s="136" t="e">
        <f t="shared" si="26"/>
        <v>#N/A</v>
      </c>
      <c r="X90" s="141" t="e">
        <f t="shared" si="26"/>
        <v>#N/A</v>
      </c>
      <c r="Y90" s="141" t="e">
        <f t="shared" si="26"/>
        <v>#N/A</v>
      </c>
      <c r="Z90" s="141" t="e">
        <f t="shared" si="26"/>
        <v>#N/A</v>
      </c>
      <c r="AA90" s="141" t="e">
        <f t="shared" si="26"/>
        <v>#N/A</v>
      </c>
      <c r="AB90" s="141" t="e">
        <f t="shared" si="26"/>
        <v>#N/A</v>
      </c>
      <c r="AC90" s="141" t="e">
        <f t="shared" si="26"/>
        <v>#N/A</v>
      </c>
      <c r="AD90" s="141" t="e">
        <f t="shared" si="26"/>
        <v>#N/A</v>
      </c>
      <c r="AE90" s="141" t="e">
        <f t="shared" si="26"/>
        <v>#N/A</v>
      </c>
      <c r="AF90" s="141" t="e">
        <f t="shared" si="26"/>
        <v>#N/A</v>
      </c>
      <c r="AG90" s="141" t="e">
        <f t="shared" si="26"/>
        <v>#N/A</v>
      </c>
      <c r="AH90" s="141" t="e">
        <f t="shared" si="26"/>
        <v>#N/A</v>
      </c>
      <c r="AI90" s="141" t="e">
        <f t="shared" si="26"/>
        <v>#N/A</v>
      </c>
      <c r="AJ90" s="141" t="e">
        <f t="shared" si="26"/>
        <v>#N/A</v>
      </c>
      <c r="AK90" s="141" t="e">
        <f t="shared" si="26"/>
        <v>#N/A</v>
      </c>
      <c r="AL90" s="141" t="e">
        <f t="shared" si="26"/>
        <v>#N/A</v>
      </c>
      <c r="AM90" s="141" t="e">
        <f t="shared" si="26"/>
        <v>#N/A</v>
      </c>
    </row>
    <row r="91" spans="2:39" x14ac:dyDescent="0.25">
      <c r="C91" s="56" t="s">
        <v>35</v>
      </c>
      <c r="D91" s="3" t="s">
        <v>184</v>
      </c>
      <c r="E91" s="136" t="e">
        <f t="shared" si="26"/>
        <v>#N/A</v>
      </c>
      <c r="F91" s="136" t="e">
        <f t="shared" si="26"/>
        <v>#N/A</v>
      </c>
      <c r="G91" s="136" t="e">
        <f t="shared" si="26"/>
        <v>#N/A</v>
      </c>
      <c r="H91" s="136" t="e">
        <f t="shared" si="26"/>
        <v>#N/A</v>
      </c>
      <c r="I91" s="136" t="e">
        <f t="shared" si="26"/>
        <v>#N/A</v>
      </c>
      <c r="J91" s="135" t="e">
        <f t="shared" si="26"/>
        <v>#N/A</v>
      </c>
      <c r="K91" s="92" t="e">
        <f t="shared" si="26"/>
        <v>#N/A</v>
      </c>
      <c r="L91" s="92" t="e">
        <f t="shared" si="26"/>
        <v>#N/A</v>
      </c>
      <c r="M91" s="92" t="e">
        <f t="shared" si="26"/>
        <v>#N/A</v>
      </c>
      <c r="N91" s="136" t="e">
        <f t="shared" si="26"/>
        <v>#N/A</v>
      </c>
      <c r="O91" s="135" t="e">
        <f t="shared" si="26"/>
        <v>#N/A</v>
      </c>
      <c r="P91" s="92" t="e">
        <f t="shared" si="26"/>
        <v>#N/A</v>
      </c>
      <c r="Q91" s="92" t="e">
        <f t="shared" si="26"/>
        <v>#N/A</v>
      </c>
      <c r="R91" s="92" t="e">
        <f t="shared" si="26"/>
        <v>#N/A</v>
      </c>
      <c r="S91" s="136" t="e">
        <f t="shared" si="26"/>
        <v>#N/A</v>
      </c>
      <c r="T91" s="136" t="e">
        <f t="shared" si="26"/>
        <v>#N/A</v>
      </c>
      <c r="U91" s="136" t="e">
        <f t="shared" si="26"/>
        <v>#N/A</v>
      </c>
      <c r="V91" s="136" t="e">
        <f t="shared" si="26"/>
        <v>#N/A</v>
      </c>
      <c r="W91" s="136" t="e">
        <f t="shared" si="26"/>
        <v>#N/A</v>
      </c>
      <c r="X91" s="141" t="e">
        <f t="shared" si="26"/>
        <v>#N/A</v>
      </c>
      <c r="Y91" s="141" t="e">
        <f t="shared" si="26"/>
        <v>#N/A</v>
      </c>
      <c r="Z91" s="141" t="e">
        <f t="shared" si="26"/>
        <v>#N/A</v>
      </c>
      <c r="AA91" s="141" t="e">
        <f t="shared" si="26"/>
        <v>#N/A</v>
      </c>
      <c r="AB91" s="141" t="e">
        <f t="shared" si="26"/>
        <v>#N/A</v>
      </c>
      <c r="AC91" s="141" t="e">
        <f t="shared" si="26"/>
        <v>#N/A</v>
      </c>
      <c r="AD91" s="141" t="e">
        <f t="shared" si="26"/>
        <v>#N/A</v>
      </c>
      <c r="AE91" s="141" t="e">
        <f t="shared" si="26"/>
        <v>#N/A</v>
      </c>
      <c r="AF91" s="141" t="e">
        <f t="shared" si="26"/>
        <v>#N/A</v>
      </c>
      <c r="AG91" s="141" t="e">
        <f t="shared" si="26"/>
        <v>#N/A</v>
      </c>
      <c r="AH91" s="141" t="e">
        <f t="shared" si="26"/>
        <v>#N/A</v>
      </c>
      <c r="AI91" s="141" t="e">
        <f t="shared" si="26"/>
        <v>#N/A</v>
      </c>
      <c r="AJ91" s="141" t="e">
        <f t="shared" si="26"/>
        <v>#N/A</v>
      </c>
      <c r="AK91" s="141" t="e">
        <f t="shared" si="26"/>
        <v>#N/A</v>
      </c>
      <c r="AL91" s="141" t="e">
        <f t="shared" si="26"/>
        <v>#N/A</v>
      </c>
      <c r="AM91" s="141" t="e">
        <f t="shared" si="26"/>
        <v>#N/A</v>
      </c>
    </row>
    <row r="92" spans="2:39" x14ac:dyDescent="0.25">
      <c r="C92" s="82" t="s">
        <v>134</v>
      </c>
      <c r="D92" s="82" t="s">
        <v>45</v>
      </c>
      <c r="E92" s="83" t="e">
        <f>E44</f>
        <v>#N/A</v>
      </c>
      <c r="F92" s="83" t="e">
        <f t="shared" ref="F92:AM92" si="27">F44</f>
        <v>#N/A</v>
      </c>
      <c r="G92" s="83" t="e">
        <f t="shared" si="27"/>
        <v>#N/A</v>
      </c>
      <c r="H92" s="83" t="e">
        <f t="shared" si="27"/>
        <v>#N/A</v>
      </c>
      <c r="I92" s="83" t="e">
        <f t="shared" si="27"/>
        <v>#N/A</v>
      </c>
      <c r="J92" s="83" t="e">
        <f t="shared" si="27"/>
        <v>#N/A</v>
      </c>
      <c r="K92" s="83" t="e">
        <f t="shared" si="27"/>
        <v>#N/A</v>
      </c>
      <c r="L92" s="83" t="e">
        <f t="shared" si="27"/>
        <v>#N/A</v>
      </c>
      <c r="M92" s="83" t="e">
        <f t="shared" si="27"/>
        <v>#N/A</v>
      </c>
      <c r="N92" s="83" t="e">
        <f t="shared" si="27"/>
        <v>#N/A</v>
      </c>
      <c r="O92" s="83" t="e">
        <f t="shared" si="27"/>
        <v>#N/A</v>
      </c>
      <c r="P92" s="83" t="e">
        <f t="shared" si="27"/>
        <v>#N/A</v>
      </c>
      <c r="Q92" s="83" t="e">
        <f t="shared" si="27"/>
        <v>#N/A</v>
      </c>
      <c r="R92" s="83" t="e">
        <f t="shared" si="27"/>
        <v>#N/A</v>
      </c>
      <c r="S92" s="83" t="e">
        <f t="shared" si="27"/>
        <v>#N/A</v>
      </c>
      <c r="T92" s="83" t="e">
        <f t="shared" si="27"/>
        <v>#N/A</v>
      </c>
      <c r="U92" s="83" t="e">
        <f t="shared" si="27"/>
        <v>#N/A</v>
      </c>
      <c r="V92" s="83" t="e">
        <f t="shared" si="27"/>
        <v>#N/A</v>
      </c>
      <c r="W92" s="83" t="e">
        <f t="shared" si="27"/>
        <v>#N/A</v>
      </c>
      <c r="X92" s="83" t="e">
        <f t="shared" si="27"/>
        <v>#N/A</v>
      </c>
      <c r="Y92" s="83" t="e">
        <f t="shared" si="27"/>
        <v>#N/A</v>
      </c>
      <c r="Z92" s="83" t="e">
        <f t="shared" si="27"/>
        <v>#N/A</v>
      </c>
      <c r="AA92" s="83" t="e">
        <f t="shared" si="27"/>
        <v>#N/A</v>
      </c>
      <c r="AB92" s="83" t="e">
        <f t="shared" si="27"/>
        <v>#N/A</v>
      </c>
      <c r="AC92" s="83" t="e">
        <f t="shared" si="27"/>
        <v>#N/A</v>
      </c>
      <c r="AD92" s="83" t="e">
        <f t="shared" si="27"/>
        <v>#N/A</v>
      </c>
      <c r="AE92" s="83" t="e">
        <f t="shared" si="27"/>
        <v>#N/A</v>
      </c>
      <c r="AF92" s="83" t="e">
        <f t="shared" si="27"/>
        <v>#N/A</v>
      </c>
      <c r="AG92" s="83" t="e">
        <f t="shared" si="27"/>
        <v>#N/A</v>
      </c>
      <c r="AH92" s="83" t="e">
        <f t="shared" si="27"/>
        <v>#N/A</v>
      </c>
      <c r="AI92" s="83" t="e">
        <f t="shared" si="27"/>
        <v>#N/A</v>
      </c>
      <c r="AJ92" s="83" t="e">
        <f t="shared" si="27"/>
        <v>#N/A</v>
      </c>
      <c r="AK92" s="83" t="e">
        <f t="shared" si="27"/>
        <v>#N/A</v>
      </c>
      <c r="AL92" s="83" t="e">
        <f t="shared" si="27"/>
        <v>#N/A</v>
      </c>
      <c r="AM92" s="83" t="e">
        <f t="shared" si="27"/>
        <v>#N/A</v>
      </c>
    </row>
    <row r="93" spans="2:39" x14ac:dyDescent="0.25">
      <c r="C93" s="84" t="s">
        <v>94</v>
      </c>
      <c r="D93" s="3" t="s">
        <v>159</v>
      </c>
      <c r="E93" s="153" t="e">
        <f t="shared" ref="E93:AM100" si="28">E50/E$49</f>
        <v>#N/A</v>
      </c>
      <c r="F93" s="153" t="e">
        <f t="shared" si="28"/>
        <v>#N/A</v>
      </c>
      <c r="G93" s="153" t="e">
        <f t="shared" si="28"/>
        <v>#N/A</v>
      </c>
      <c r="H93" s="153" t="e">
        <f t="shared" si="28"/>
        <v>#N/A</v>
      </c>
      <c r="I93" s="153" t="e">
        <f t="shared" si="28"/>
        <v>#N/A</v>
      </c>
      <c r="J93" s="152" t="e">
        <f t="shared" si="28"/>
        <v>#N/A</v>
      </c>
      <c r="K93" s="95" t="e">
        <f t="shared" si="28"/>
        <v>#N/A</v>
      </c>
      <c r="L93" s="95" t="e">
        <f t="shared" si="28"/>
        <v>#N/A</v>
      </c>
      <c r="M93" s="95" t="e">
        <f t="shared" si="28"/>
        <v>#N/A</v>
      </c>
      <c r="N93" s="153" t="e">
        <f t="shared" si="28"/>
        <v>#N/A</v>
      </c>
      <c r="O93" s="152" t="e">
        <f t="shared" si="28"/>
        <v>#N/A</v>
      </c>
      <c r="P93" s="95" t="e">
        <f t="shared" si="28"/>
        <v>#N/A</v>
      </c>
      <c r="Q93" s="95" t="e">
        <f t="shared" si="28"/>
        <v>#N/A</v>
      </c>
      <c r="R93" s="95" t="e">
        <f t="shared" si="28"/>
        <v>#N/A</v>
      </c>
      <c r="S93" s="153" t="e">
        <f t="shared" si="28"/>
        <v>#N/A</v>
      </c>
      <c r="T93" s="153" t="e">
        <f t="shared" si="28"/>
        <v>#N/A</v>
      </c>
      <c r="U93" s="153" t="e">
        <f t="shared" si="28"/>
        <v>#N/A</v>
      </c>
      <c r="V93" s="153" t="e">
        <f t="shared" si="28"/>
        <v>#N/A</v>
      </c>
      <c r="W93" s="153" t="e">
        <f t="shared" si="28"/>
        <v>#N/A</v>
      </c>
      <c r="X93" s="145" t="e">
        <f t="shared" si="28"/>
        <v>#N/A</v>
      </c>
      <c r="Y93" s="145" t="e">
        <f t="shared" si="28"/>
        <v>#N/A</v>
      </c>
      <c r="Z93" s="145" t="e">
        <f t="shared" si="28"/>
        <v>#N/A</v>
      </c>
      <c r="AA93" s="145" t="e">
        <f t="shared" si="28"/>
        <v>#N/A</v>
      </c>
      <c r="AB93" s="145" t="e">
        <f t="shared" si="28"/>
        <v>#N/A</v>
      </c>
      <c r="AC93" s="145" t="e">
        <f t="shared" si="28"/>
        <v>#N/A</v>
      </c>
      <c r="AD93" s="145" t="e">
        <f t="shared" si="28"/>
        <v>#N/A</v>
      </c>
      <c r="AE93" s="145" t="e">
        <f t="shared" si="28"/>
        <v>#N/A</v>
      </c>
      <c r="AF93" s="145" t="e">
        <f t="shared" si="28"/>
        <v>#N/A</v>
      </c>
      <c r="AG93" s="145" t="e">
        <f t="shared" si="28"/>
        <v>#N/A</v>
      </c>
      <c r="AH93" s="145" t="e">
        <f t="shared" si="28"/>
        <v>#N/A</v>
      </c>
      <c r="AI93" s="145" t="e">
        <f t="shared" si="28"/>
        <v>#N/A</v>
      </c>
      <c r="AJ93" s="145" t="e">
        <f t="shared" si="28"/>
        <v>#N/A</v>
      </c>
      <c r="AK93" s="145" t="e">
        <f t="shared" si="28"/>
        <v>#N/A</v>
      </c>
      <c r="AL93" s="145" t="e">
        <f t="shared" si="28"/>
        <v>#N/A</v>
      </c>
      <c r="AM93" s="145" t="e">
        <f t="shared" si="28"/>
        <v>#N/A</v>
      </c>
    </row>
    <row r="94" spans="2:39" x14ac:dyDescent="0.25">
      <c r="C94" s="86" t="s">
        <v>27</v>
      </c>
      <c r="D94" s="87" t="s">
        <v>185</v>
      </c>
      <c r="E94" s="136" t="e">
        <f t="shared" si="28"/>
        <v>#N/A</v>
      </c>
      <c r="F94" s="136" t="e">
        <f t="shared" si="28"/>
        <v>#N/A</v>
      </c>
      <c r="G94" s="136" t="e">
        <f t="shared" si="28"/>
        <v>#N/A</v>
      </c>
      <c r="H94" s="136" t="e">
        <f t="shared" si="28"/>
        <v>#N/A</v>
      </c>
      <c r="I94" s="136" t="e">
        <f t="shared" si="28"/>
        <v>#N/A</v>
      </c>
      <c r="J94" s="135" t="e">
        <f t="shared" si="28"/>
        <v>#N/A</v>
      </c>
      <c r="K94" s="92" t="e">
        <f t="shared" si="28"/>
        <v>#N/A</v>
      </c>
      <c r="L94" s="92" t="e">
        <f t="shared" si="28"/>
        <v>#N/A</v>
      </c>
      <c r="M94" s="92" t="e">
        <f t="shared" si="28"/>
        <v>#N/A</v>
      </c>
      <c r="N94" s="136" t="e">
        <f t="shared" si="28"/>
        <v>#N/A</v>
      </c>
      <c r="O94" s="135" t="e">
        <f t="shared" si="28"/>
        <v>#N/A</v>
      </c>
      <c r="P94" s="92" t="e">
        <f t="shared" si="28"/>
        <v>#N/A</v>
      </c>
      <c r="Q94" s="92" t="e">
        <f t="shared" si="28"/>
        <v>#N/A</v>
      </c>
      <c r="R94" s="92" t="e">
        <f t="shared" si="28"/>
        <v>#N/A</v>
      </c>
      <c r="S94" s="136" t="e">
        <f t="shared" si="28"/>
        <v>#N/A</v>
      </c>
      <c r="T94" s="136" t="e">
        <f t="shared" si="28"/>
        <v>#N/A</v>
      </c>
      <c r="U94" s="136" t="e">
        <f t="shared" si="28"/>
        <v>#N/A</v>
      </c>
      <c r="V94" s="136" t="e">
        <f t="shared" si="28"/>
        <v>#N/A</v>
      </c>
      <c r="W94" s="136" t="e">
        <f t="shared" si="28"/>
        <v>#N/A</v>
      </c>
      <c r="X94" s="141" t="e">
        <f t="shared" si="28"/>
        <v>#N/A</v>
      </c>
      <c r="Y94" s="141" t="e">
        <f t="shared" si="28"/>
        <v>#N/A</v>
      </c>
      <c r="Z94" s="141" t="e">
        <f t="shared" si="28"/>
        <v>#N/A</v>
      </c>
      <c r="AA94" s="141" t="e">
        <f t="shared" si="28"/>
        <v>#N/A</v>
      </c>
      <c r="AB94" s="141" t="e">
        <f t="shared" si="28"/>
        <v>#N/A</v>
      </c>
      <c r="AC94" s="141" t="e">
        <f t="shared" si="28"/>
        <v>#N/A</v>
      </c>
      <c r="AD94" s="141" t="e">
        <f t="shared" si="28"/>
        <v>#N/A</v>
      </c>
      <c r="AE94" s="141" t="e">
        <f t="shared" si="28"/>
        <v>#N/A</v>
      </c>
      <c r="AF94" s="141" t="e">
        <f t="shared" si="28"/>
        <v>#N/A</v>
      </c>
      <c r="AG94" s="141" t="e">
        <f t="shared" si="28"/>
        <v>#N/A</v>
      </c>
      <c r="AH94" s="141" t="e">
        <f t="shared" si="28"/>
        <v>#N/A</v>
      </c>
      <c r="AI94" s="141" t="e">
        <f t="shared" si="28"/>
        <v>#N/A</v>
      </c>
      <c r="AJ94" s="141" t="e">
        <f t="shared" si="28"/>
        <v>#N/A</v>
      </c>
      <c r="AK94" s="141" t="e">
        <f t="shared" si="28"/>
        <v>#N/A</v>
      </c>
      <c r="AL94" s="141" t="e">
        <f t="shared" si="28"/>
        <v>#N/A</v>
      </c>
      <c r="AM94" s="141" t="e">
        <f t="shared" si="28"/>
        <v>#N/A</v>
      </c>
    </row>
    <row r="95" spans="2:39" x14ac:dyDescent="0.25">
      <c r="C95" s="56" t="s">
        <v>28</v>
      </c>
      <c r="D95" s="78" t="s">
        <v>186</v>
      </c>
      <c r="E95" s="136" t="e">
        <f t="shared" si="28"/>
        <v>#N/A</v>
      </c>
      <c r="F95" s="136" t="e">
        <f t="shared" si="28"/>
        <v>#N/A</v>
      </c>
      <c r="G95" s="136" t="e">
        <f t="shared" si="28"/>
        <v>#N/A</v>
      </c>
      <c r="H95" s="136" t="e">
        <f t="shared" si="28"/>
        <v>#N/A</v>
      </c>
      <c r="I95" s="136" t="e">
        <f t="shared" si="28"/>
        <v>#N/A</v>
      </c>
      <c r="J95" s="135" t="e">
        <f t="shared" si="28"/>
        <v>#N/A</v>
      </c>
      <c r="K95" s="92" t="e">
        <f t="shared" si="28"/>
        <v>#N/A</v>
      </c>
      <c r="L95" s="92" t="e">
        <f t="shared" si="28"/>
        <v>#N/A</v>
      </c>
      <c r="M95" s="92" t="e">
        <f t="shared" si="28"/>
        <v>#N/A</v>
      </c>
      <c r="N95" s="136" t="e">
        <f t="shared" si="28"/>
        <v>#N/A</v>
      </c>
      <c r="O95" s="135" t="e">
        <f t="shared" si="28"/>
        <v>#N/A</v>
      </c>
      <c r="P95" s="92" t="e">
        <f t="shared" si="28"/>
        <v>#N/A</v>
      </c>
      <c r="Q95" s="92" t="e">
        <f t="shared" si="28"/>
        <v>#N/A</v>
      </c>
      <c r="R95" s="92" t="e">
        <f t="shared" si="28"/>
        <v>#N/A</v>
      </c>
      <c r="S95" s="136" t="e">
        <f t="shared" si="28"/>
        <v>#N/A</v>
      </c>
      <c r="T95" s="136" t="e">
        <f t="shared" si="28"/>
        <v>#N/A</v>
      </c>
      <c r="U95" s="136" t="e">
        <f t="shared" si="28"/>
        <v>#N/A</v>
      </c>
      <c r="V95" s="136" t="e">
        <f t="shared" si="28"/>
        <v>#N/A</v>
      </c>
      <c r="W95" s="136" t="e">
        <f t="shared" si="28"/>
        <v>#N/A</v>
      </c>
      <c r="X95" s="141" t="e">
        <f t="shared" si="28"/>
        <v>#N/A</v>
      </c>
      <c r="Y95" s="141" t="e">
        <f t="shared" si="28"/>
        <v>#N/A</v>
      </c>
      <c r="Z95" s="141" t="e">
        <f t="shared" si="28"/>
        <v>#N/A</v>
      </c>
      <c r="AA95" s="141" t="e">
        <f t="shared" si="28"/>
        <v>#N/A</v>
      </c>
      <c r="AB95" s="141" t="e">
        <f t="shared" si="28"/>
        <v>#N/A</v>
      </c>
      <c r="AC95" s="141" t="e">
        <f t="shared" si="28"/>
        <v>#N/A</v>
      </c>
      <c r="AD95" s="141" t="e">
        <f t="shared" si="28"/>
        <v>#N/A</v>
      </c>
      <c r="AE95" s="141" t="e">
        <f t="shared" si="28"/>
        <v>#N/A</v>
      </c>
      <c r="AF95" s="141" t="e">
        <f t="shared" si="28"/>
        <v>#N/A</v>
      </c>
      <c r="AG95" s="141" t="e">
        <f t="shared" si="28"/>
        <v>#N/A</v>
      </c>
      <c r="AH95" s="141" t="e">
        <f t="shared" si="28"/>
        <v>#N/A</v>
      </c>
      <c r="AI95" s="141" t="e">
        <f t="shared" si="28"/>
        <v>#N/A</v>
      </c>
      <c r="AJ95" s="141" t="e">
        <f t="shared" si="28"/>
        <v>#N/A</v>
      </c>
      <c r="AK95" s="141" t="e">
        <f t="shared" si="28"/>
        <v>#N/A</v>
      </c>
      <c r="AL95" s="141" t="e">
        <f t="shared" si="28"/>
        <v>#N/A</v>
      </c>
      <c r="AM95" s="141" t="e">
        <f t="shared" si="28"/>
        <v>#N/A</v>
      </c>
    </row>
    <row r="96" spans="2:39" x14ac:dyDescent="0.25">
      <c r="C96" s="56" t="s">
        <v>29</v>
      </c>
      <c r="D96" s="78" t="s">
        <v>187</v>
      </c>
      <c r="E96" s="136" t="e">
        <f t="shared" si="28"/>
        <v>#N/A</v>
      </c>
      <c r="F96" s="136" t="e">
        <f t="shared" si="28"/>
        <v>#N/A</v>
      </c>
      <c r="G96" s="136" t="e">
        <f t="shared" si="28"/>
        <v>#N/A</v>
      </c>
      <c r="H96" s="136" t="e">
        <f t="shared" si="28"/>
        <v>#N/A</v>
      </c>
      <c r="I96" s="136" t="e">
        <f t="shared" si="28"/>
        <v>#N/A</v>
      </c>
      <c r="J96" s="135" t="e">
        <f t="shared" si="28"/>
        <v>#N/A</v>
      </c>
      <c r="K96" s="92" t="e">
        <f t="shared" si="28"/>
        <v>#N/A</v>
      </c>
      <c r="L96" s="92" t="e">
        <f t="shared" si="28"/>
        <v>#N/A</v>
      </c>
      <c r="M96" s="92" t="e">
        <f t="shared" si="28"/>
        <v>#N/A</v>
      </c>
      <c r="N96" s="136" t="e">
        <f t="shared" si="28"/>
        <v>#N/A</v>
      </c>
      <c r="O96" s="135" t="e">
        <f t="shared" si="28"/>
        <v>#N/A</v>
      </c>
      <c r="P96" s="92" t="e">
        <f t="shared" si="28"/>
        <v>#N/A</v>
      </c>
      <c r="Q96" s="92" t="e">
        <f t="shared" si="28"/>
        <v>#N/A</v>
      </c>
      <c r="R96" s="92" t="e">
        <f t="shared" si="28"/>
        <v>#N/A</v>
      </c>
      <c r="S96" s="136" t="e">
        <f t="shared" si="28"/>
        <v>#N/A</v>
      </c>
      <c r="T96" s="136" t="e">
        <f t="shared" si="28"/>
        <v>#N/A</v>
      </c>
      <c r="U96" s="136" t="e">
        <f t="shared" si="28"/>
        <v>#N/A</v>
      </c>
      <c r="V96" s="136" t="e">
        <f t="shared" si="28"/>
        <v>#N/A</v>
      </c>
      <c r="W96" s="136" t="e">
        <f t="shared" si="28"/>
        <v>#N/A</v>
      </c>
      <c r="X96" s="141" t="e">
        <f t="shared" si="28"/>
        <v>#N/A</v>
      </c>
      <c r="Y96" s="141" t="e">
        <f t="shared" si="28"/>
        <v>#N/A</v>
      </c>
      <c r="Z96" s="141" t="e">
        <f t="shared" si="28"/>
        <v>#N/A</v>
      </c>
      <c r="AA96" s="141" t="e">
        <f t="shared" si="28"/>
        <v>#N/A</v>
      </c>
      <c r="AB96" s="141" t="e">
        <f t="shared" si="28"/>
        <v>#N/A</v>
      </c>
      <c r="AC96" s="141" t="e">
        <f t="shared" si="28"/>
        <v>#N/A</v>
      </c>
      <c r="AD96" s="141" t="e">
        <f t="shared" si="28"/>
        <v>#N/A</v>
      </c>
      <c r="AE96" s="141" t="e">
        <f t="shared" si="28"/>
        <v>#N/A</v>
      </c>
      <c r="AF96" s="141" t="e">
        <f t="shared" si="28"/>
        <v>#N/A</v>
      </c>
      <c r="AG96" s="141" t="e">
        <f t="shared" si="28"/>
        <v>#N/A</v>
      </c>
      <c r="AH96" s="141" t="e">
        <f t="shared" si="28"/>
        <v>#N/A</v>
      </c>
      <c r="AI96" s="141" t="e">
        <f t="shared" si="28"/>
        <v>#N/A</v>
      </c>
      <c r="AJ96" s="141" t="e">
        <f t="shared" si="28"/>
        <v>#N/A</v>
      </c>
      <c r="AK96" s="141" t="e">
        <f t="shared" si="28"/>
        <v>#N/A</v>
      </c>
      <c r="AL96" s="141" t="e">
        <f t="shared" si="28"/>
        <v>#N/A</v>
      </c>
      <c r="AM96" s="141" t="e">
        <f t="shared" si="28"/>
        <v>#N/A</v>
      </c>
    </row>
    <row r="97" spans="3:40" x14ac:dyDescent="0.25">
      <c r="C97" s="56" t="s">
        <v>30</v>
      </c>
      <c r="D97" s="78" t="s">
        <v>188</v>
      </c>
      <c r="E97" s="136" t="e">
        <f t="shared" si="28"/>
        <v>#N/A</v>
      </c>
      <c r="F97" s="136" t="e">
        <f t="shared" si="28"/>
        <v>#N/A</v>
      </c>
      <c r="G97" s="136" t="e">
        <f t="shared" si="28"/>
        <v>#N/A</v>
      </c>
      <c r="H97" s="136" t="e">
        <f t="shared" si="28"/>
        <v>#N/A</v>
      </c>
      <c r="I97" s="136" t="e">
        <f t="shared" si="28"/>
        <v>#N/A</v>
      </c>
      <c r="J97" s="135" t="e">
        <f t="shared" si="28"/>
        <v>#N/A</v>
      </c>
      <c r="K97" s="92" t="e">
        <f t="shared" si="28"/>
        <v>#N/A</v>
      </c>
      <c r="L97" s="92" t="e">
        <f t="shared" si="28"/>
        <v>#N/A</v>
      </c>
      <c r="M97" s="92" t="e">
        <f t="shared" si="28"/>
        <v>#N/A</v>
      </c>
      <c r="N97" s="136" t="e">
        <f t="shared" si="28"/>
        <v>#N/A</v>
      </c>
      <c r="O97" s="135" t="e">
        <f t="shared" si="28"/>
        <v>#N/A</v>
      </c>
      <c r="P97" s="92" t="e">
        <f t="shared" si="28"/>
        <v>#N/A</v>
      </c>
      <c r="Q97" s="92" t="e">
        <f t="shared" si="28"/>
        <v>#N/A</v>
      </c>
      <c r="R97" s="92" t="e">
        <f t="shared" si="28"/>
        <v>#N/A</v>
      </c>
      <c r="S97" s="136" t="e">
        <f t="shared" si="28"/>
        <v>#N/A</v>
      </c>
      <c r="T97" s="136" t="e">
        <f t="shared" si="28"/>
        <v>#N/A</v>
      </c>
      <c r="U97" s="136" t="e">
        <f t="shared" si="28"/>
        <v>#N/A</v>
      </c>
      <c r="V97" s="136" t="e">
        <f t="shared" si="28"/>
        <v>#N/A</v>
      </c>
      <c r="W97" s="136" t="e">
        <f t="shared" si="28"/>
        <v>#N/A</v>
      </c>
      <c r="X97" s="141" t="e">
        <f t="shared" si="28"/>
        <v>#N/A</v>
      </c>
      <c r="Y97" s="141" t="e">
        <f t="shared" si="28"/>
        <v>#N/A</v>
      </c>
      <c r="Z97" s="141" t="e">
        <f t="shared" si="28"/>
        <v>#N/A</v>
      </c>
      <c r="AA97" s="141" t="e">
        <f t="shared" si="28"/>
        <v>#N/A</v>
      </c>
      <c r="AB97" s="141" t="e">
        <f t="shared" si="28"/>
        <v>#N/A</v>
      </c>
      <c r="AC97" s="141" t="e">
        <f t="shared" si="28"/>
        <v>#N/A</v>
      </c>
      <c r="AD97" s="141" t="e">
        <f t="shared" si="28"/>
        <v>#N/A</v>
      </c>
      <c r="AE97" s="141" t="e">
        <f t="shared" si="28"/>
        <v>#N/A</v>
      </c>
      <c r="AF97" s="141" t="e">
        <f t="shared" si="28"/>
        <v>#N/A</v>
      </c>
      <c r="AG97" s="141" t="e">
        <f t="shared" si="28"/>
        <v>#N/A</v>
      </c>
      <c r="AH97" s="141" t="e">
        <f t="shared" si="28"/>
        <v>#N/A</v>
      </c>
      <c r="AI97" s="141" t="e">
        <f t="shared" si="28"/>
        <v>#N/A</v>
      </c>
      <c r="AJ97" s="141" t="e">
        <f t="shared" si="28"/>
        <v>#N/A</v>
      </c>
      <c r="AK97" s="141" t="e">
        <f t="shared" si="28"/>
        <v>#N/A</v>
      </c>
      <c r="AL97" s="141" t="e">
        <f t="shared" si="28"/>
        <v>#N/A</v>
      </c>
      <c r="AM97" s="141" t="e">
        <f t="shared" si="28"/>
        <v>#N/A</v>
      </c>
    </row>
    <row r="98" spans="3:40" x14ac:dyDescent="0.25">
      <c r="C98" s="56" t="s">
        <v>31</v>
      </c>
      <c r="D98" s="78" t="s">
        <v>189</v>
      </c>
      <c r="E98" s="136" t="e">
        <f t="shared" si="28"/>
        <v>#N/A</v>
      </c>
      <c r="F98" s="136" t="e">
        <f t="shared" si="28"/>
        <v>#N/A</v>
      </c>
      <c r="G98" s="136" t="e">
        <f t="shared" si="28"/>
        <v>#N/A</v>
      </c>
      <c r="H98" s="136" t="e">
        <f t="shared" si="28"/>
        <v>#N/A</v>
      </c>
      <c r="I98" s="136" t="e">
        <f t="shared" si="28"/>
        <v>#N/A</v>
      </c>
      <c r="J98" s="135" t="e">
        <f t="shared" si="28"/>
        <v>#N/A</v>
      </c>
      <c r="K98" s="92" t="e">
        <f t="shared" si="28"/>
        <v>#N/A</v>
      </c>
      <c r="L98" s="92" t="e">
        <f t="shared" si="28"/>
        <v>#N/A</v>
      </c>
      <c r="M98" s="92" t="e">
        <f t="shared" si="28"/>
        <v>#N/A</v>
      </c>
      <c r="N98" s="136" t="e">
        <f t="shared" si="28"/>
        <v>#N/A</v>
      </c>
      <c r="O98" s="135" t="e">
        <f t="shared" si="28"/>
        <v>#N/A</v>
      </c>
      <c r="P98" s="92" t="e">
        <f t="shared" si="28"/>
        <v>#N/A</v>
      </c>
      <c r="Q98" s="92" t="e">
        <f t="shared" si="28"/>
        <v>#N/A</v>
      </c>
      <c r="R98" s="92" t="e">
        <f t="shared" si="28"/>
        <v>#N/A</v>
      </c>
      <c r="S98" s="136" t="e">
        <f t="shared" si="28"/>
        <v>#N/A</v>
      </c>
      <c r="T98" s="136" t="e">
        <f t="shared" si="28"/>
        <v>#N/A</v>
      </c>
      <c r="U98" s="136" t="e">
        <f t="shared" si="28"/>
        <v>#N/A</v>
      </c>
      <c r="V98" s="136" t="e">
        <f t="shared" si="28"/>
        <v>#N/A</v>
      </c>
      <c r="W98" s="136" t="e">
        <f t="shared" si="28"/>
        <v>#N/A</v>
      </c>
      <c r="X98" s="141" t="e">
        <f t="shared" si="28"/>
        <v>#N/A</v>
      </c>
      <c r="Y98" s="141" t="e">
        <f t="shared" si="28"/>
        <v>#N/A</v>
      </c>
      <c r="Z98" s="141" t="e">
        <f t="shared" si="28"/>
        <v>#N/A</v>
      </c>
      <c r="AA98" s="141" t="e">
        <f t="shared" si="28"/>
        <v>#N/A</v>
      </c>
      <c r="AB98" s="141" t="e">
        <f t="shared" si="28"/>
        <v>#N/A</v>
      </c>
      <c r="AC98" s="141" t="e">
        <f t="shared" si="28"/>
        <v>#N/A</v>
      </c>
      <c r="AD98" s="141" t="e">
        <f t="shared" si="28"/>
        <v>#N/A</v>
      </c>
      <c r="AE98" s="141" t="e">
        <f t="shared" si="28"/>
        <v>#N/A</v>
      </c>
      <c r="AF98" s="141" t="e">
        <f t="shared" si="28"/>
        <v>#N/A</v>
      </c>
      <c r="AG98" s="141" t="e">
        <f t="shared" si="28"/>
        <v>#N/A</v>
      </c>
      <c r="AH98" s="141" t="e">
        <f t="shared" si="28"/>
        <v>#N/A</v>
      </c>
      <c r="AI98" s="141" t="e">
        <f t="shared" si="28"/>
        <v>#N/A</v>
      </c>
      <c r="AJ98" s="141" t="e">
        <f t="shared" si="28"/>
        <v>#N/A</v>
      </c>
      <c r="AK98" s="141" t="e">
        <f t="shared" si="28"/>
        <v>#N/A</v>
      </c>
      <c r="AL98" s="141" t="e">
        <f t="shared" si="28"/>
        <v>#N/A</v>
      </c>
      <c r="AM98" s="141" t="e">
        <f t="shared" si="28"/>
        <v>#N/A</v>
      </c>
    </row>
    <row r="99" spans="3:40" x14ac:dyDescent="0.25">
      <c r="C99" s="56" t="s">
        <v>32</v>
      </c>
      <c r="D99" s="78" t="s">
        <v>190</v>
      </c>
      <c r="E99" s="136" t="e">
        <f t="shared" si="28"/>
        <v>#N/A</v>
      </c>
      <c r="F99" s="136" t="e">
        <f t="shared" si="28"/>
        <v>#N/A</v>
      </c>
      <c r="G99" s="136" t="e">
        <f t="shared" si="28"/>
        <v>#N/A</v>
      </c>
      <c r="H99" s="136" t="e">
        <f t="shared" si="28"/>
        <v>#N/A</v>
      </c>
      <c r="I99" s="136" t="e">
        <f t="shared" si="28"/>
        <v>#N/A</v>
      </c>
      <c r="J99" s="135" t="e">
        <f t="shared" si="28"/>
        <v>#N/A</v>
      </c>
      <c r="K99" s="92" t="e">
        <f t="shared" si="28"/>
        <v>#N/A</v>
      </c>
      <c r="L99" s="92" t="e">
        <f t="shared" si="28"/>
        <v>#N/A</v>
      </c>
      <c r="M99" s="92" t="e">
        <f t="shared" si="28"/>
        <v>#N/A</v>
      </c>
      <c r="N99" s="136" t="e">
        <f t="shared" si="28"/>
        <v>#N/A</v>
      </c>
      <c r="O99" s="135" t="e">
        <f t="shared" si="28"/>
        <v>#N/A</v>
      </c>
      <c r="P99" s="92" t="e">
        <f t="shared" si="28"/>
        <v>#N/A</v>
      </c>
      <c r="Q99" s="92" t="e">
        <f t="shared" si="28"/>
        <v>#N/A</v>
      </c>
      <c r="R99" s="92" t="e">
        <f t="shared" si="28"/>
        <v>#N/A</v>
      </c>
      <c r="S99" s="136" t="e">
        <f t="shared" si="28"/>
        <v>#N/A</v>
      </c>
      <c r="T99" s="136" t="e">
        <f t="shared" si="28"/>
        <v>#N/A</v>
      </c>
      <c r="U99" s="136" t="e">
        <f t="shared" si="28"/>
        <v>#N/A</v>
      </c>
      <c r="V99" s="136" t="e">
        <f t="shared" si="28"/>
        <v>#N/A</v>
      </c>
      <c r="W99" s="136" t="e">
        <f t="shared" si="28"/>
        <v>#N/A</v>
      </c>
      <c r="X99" s="141" t="e">
        <f t="shared" si="28"/>
        <v>#N/A</v>
      </c>
      <c r="Y99" s="141" t="e">
        <f t="shared" si="28"/>
        <v>#N/A</v>
      </c>
      <c r="Z99" s="141" t="e">
        <f t="shared" si="28"/>
        <v>#N/A</v>
      </c>
      <c r="AA99" s="141" t="e">
        <f t="shared" si="28"/>
        <v>#N/A</v>
      </c>
      <c r="AB99" s="141" t="e">
        <f t="shared" si="28"/>
        <v>#N/A</v>
      </c>
      <c r="AC99" s="141" t="e">
        <f t="shared" si="28"/>
        <v>#N/A</v>
      </c>
      <c r="AD99" s="141" t="e">
        <f t="shared" si="28"/>
        <v>#N/A</v>
      </c>
      <c r="AE99" s="141" t="e">
        <f t="shared" si="28"/>
        <v>#N/A</v>
      </c>
      <c r="AF99" s="141" t="e">
        <f t="shared" si="28"/>
        <v>#N/A</v>
      </c>
      <c r="AG99" s="141" t="e">
        <f t="shared" si="28"/>
        <v>#N/A</v>
      </c>
      <c r="AH99" s="141" t="e">
        <f t="shared" si="28"/>
        <v>#N/A</v>
      </c>
      <c r="AI99" s="141" t="e">
        <f t="shared" si="28"/>
        <v>#N/A</v>
      </c>
      <c r="AJ99" s="141" t="e">
        <f t="shared" si="28"/>
        <v>#N/A</v>
      </c>
      <c r="AK99" s="141" t="e">
        <f t="shared" si="28"/>
        <v>#N/A</v>
      </c>
      <c r="AL99" s="141" t="e">
        <f t="shared" si="28"/>
        <v>#N/A</v>
      </c>
      <c r="AM99" s="141" t="e">
        <f t="shared" si="28"/>
        <v>#N/A</v>
      </c>
    </row>
    <row r="100" spans="3:40" x14ac:dyDescent="0.25">
      <c r="C100" s="56" t="s">
        <v>33</v>
      </c>
      <c r="D100" s="78" t="s">
        <v>191</v>
      </c>
      <c r="E100" s="136" t="e">
        <f t="shared" si="28"/>
        <v>#N/A</v>
      </c>
      <c r="F100" s="136" t="e">
        <f t="shared" si="28"/>
        <v>#N/A</v>
      </c>
      <c r="G100" s="136" t="e">
        <f t="shared" si="28"/>
        <v>#N/A</v>
      </c>
      <c r="H100" s="136" t="e">
        <f t="shared" si="28"/>
        <v>#N/A</v>
      </c>
      <c r="I100" s="136" t="e">
        <f t="shared" si="28"/>
        <v>#N/A</v>
      </c>
      <c r="J100" s="135" t="e">
        <f t="shared" si="28"/>
        <v>#N/A</v>
      </c>
      <c r="K100" s="92" t="e">
        <f t="shared" si="28"/>
        <v>#N/A</v>
      </c>
      <c r="L100" s="92" t="e">
        <f t="shared" si="28"/>
        <v>#N/A</v>
      </c>
      <c r="M100" s="92" t="e">
        <f t="shared" si="28"/>
        <v>#N/A</v>
      </c>
      <c r="N100" s="136" t="e">
        <f t="shared" si="28"/>
        <v>#N/A</v>
      </c>
      <c r="O100" s="135" t="e">
        <f t="shared" ref="O100:AM108" si="29">O57/O$49</f>
        <v>#N/A</v>
      </c>
      <c r="P100" s="92" t="e">
        <f t="shared" si="29"/>
        <v>#N/A</v>
      </c>
      <c r="Q100" s="92" t="e">
        <f t="shared" si="29"/>
        <v>#N/A</v>
      </c>
      <c r="R100" s="92" t="e">
        <f t="shared" si="29"/>
        <v>#N/A</v>
      </c>
      <c r="S100" s="136" t="e">
        <f t="shared" si="29"/>
        <v>#N/A</v>
      </c>
      <c r="T100" s="136" t="e">
        <f t="shared" si="29"/>
        <v>#N/A</v>
      </c>
      <c r="U100" s="136" t="e">
        <f t="shared" si="29"/>
        <v>#N/A</v>
      </c>
      <c r="V100" s="136" t="e">
        <f t="shared" si="29"/>
        <v>#N/A</v>
      </c>
      <c r="W100" s="136" t="e">
        <f t="shared" si="29"/>
        <v>#N/A</v>
      </c>
      <c r="X100" s="141" t="e">
        <f t="shared" si="29"/>
        <v>#N/A</v>
      </c>
      <c r="Y100" s="141" t="e">
        <f t="shared" si="29"/>
        <v>#N/A</v>
      </c>
      <c r="Z100" s="141" t="e">
        <f t="shared" si="29"/>
        <v>#N/A</v>
      </c>
      <c r="AA100" s="141" t="e">
        <f t="shared" si="29"/>
        <v>#N/A</v>
      </c>
      <c r="AB100" s="141" t="e">
        <f t="shared" si="29"/>
        <v>#N/A</v>
      </c>
      <c r="AC100" s="141" t="e">
        <f t="shared" si="29"/>
        <v>#N/A</v>
      </c>
      <c r="AD100" s="141" t="e">
        <f t="shared" si="29"/>
        <v>#N/A</v>
      </c>
      <c r="AE100" s="141" t="e">
        <f t="shared" si="29"/>
        <v>#N/A</v>
      </c>
      <c r="AF100" s="141" t="e">
        <f t="shared" si="29"/>
        <v>#N/A</v>
      </c>
      <c r="AG100" s="141" t="e">
        <f t="shared" si="29"/>
        <v>#N/A</v>
      </c>
      <c r="AH100" s="141" t="e">
        <f t="shared" si="29"/>
        <v>#N/A</v>
      </c>
      <c r="AI100" s="141" t="e">
        <f t="shared" si="29"/>
        <v>#N/A</v>
      </c>
      <c r="AJ100" s="141" t="e">
        <f t="shared" si="29"/>
        <v>#N/A</v>
      </c>
      <c r="AK100" s="141" t="e">
        <f t="shared" si="29"/>
        <v>#N/A</v>
      </c>
      <c r="AL100" s="141" t="e">
        <f t="shared" si="29"/>
        <v>#N/A</v>
      </c>
      <c r="AM100" s="141" t="e">
        <f t="shared" si="29"/>
        <v>#N/A</v>
      </c>
    </row>
    <row r="101" spans="3:40" x14ac:dyDescent="0.25">
      <c r="C101" s="88" t="s">
        <v>95</v>
      </c>
      <c r="D101" s="76" t="s">
        <v>183</v>
      </c>
      <c r="E101" s="153" t="e">
        <f t="shared" ref="E101:AM108" si="30">E58/E$49</f>
        <v>#N/A</v>
      </c>
      <c r="F101" s="153" t="e">
        <f t="shared" si="30"/>
        <v>#N/A</v>
      </c>
      <c r="G101" s="153" t="e">
        <f t="shared" si="30"/>
        <v>#N/A</v>
      </c>
      <c r="H101" s="153" t="e">
        <f t="shared" si="30"/>
        <v>#N/A</v>
      </c>
      <c r="I101" s="153" t="e">
        <f t="shared" si="30"/>
        <v>#N/A</v>
      </c>
      <c r="J101" s="152" t="e">
        <f t="shared" si="30"/>
        <v>#N/A</v>
      </c>
      <c r="K101" s="95" t="e">
        <f t="shared" si="30"/>
        <v>#N/A</v>
      </c>
      <c r="L101" s="95" t="e">
        <f t="shared" si="30"/>
        <v>#N/A</v>
      </c>
      <c r="M101" s="95" t="e">
        <f t="shared" si="30"/>
        <v>#N/A</v>
      </c>
      <c r="N101" s="153" t="e">
        <f t="shared" si="30"/>
        <v>#N/A</v>
      </c>
      <c r="O101" s="152" t="e">
        <f t="shared" si="30"/>
        <v>#N/A</v>
      </c>
      <c r="P101" s="95" t="e">
        <f t="shared" si="30"/>
        <v>#N/A</v>
      </c>
      <c r="Q101" s="95" t="e">
        <f t="shared" si="30"/>
        <v>#N/A</v>
      </c>
      <c r="R101" s="95" t="e">
        <f t="shared" si="30"/>
        <v>#N/A</v>
      </c>
      <c r="S101" s="153" t="e">
        <f t="shared" si="30"/>
        <v>#N/A</v>
      </c>
      <c r="T101" s="153" t="e">
        <f t="shared" si="29"/>
        <v>#N/A</v>
      </c>
      <c r="U101" s="153" t="e">
        <f t="shared" si="29"/>
        <v>#N/A</v>
      </c>
      <c r="V101" s="153" t="e">
        <f t="shared" si="29"/>
        <v>#N/A</v>
      </c>
      <c r="W101" s="153" t="e">
        <f t="shared" si="29"/>
        <v>#N/A</v>
      </c>
      <c r="X101" s="145" t="e">
        <f t="shared" si="30"/>
        <v>#N/A</v>
      </c>
      <c r="Y101" s="145" t="e">
        <f t="shared" si="29"/>
        <v>#N/A</v>
      </c>
      <c r="Z101" s="145" t="e">
        <f t="shared" si="29"/>
        <v>#N/A</v>
      </c>
      <c r="AA101" s="145" t="e">
        <f t="shared" si="29"/>
        <v>#N/A</v>
      </c>
      <c r="AB101" s="145" t="e">
        <f t="shared" si="29"/>
        <v>#N/A</v>
      </c>
      <c r="AC101" s="145" t="e">
        <f t="shared" si="30"/>
        <v>#N/A</v>
      </c>
      <c r="AD101" s="145" t="e">
        <f t="shared" si="29"/>
        <v>#N/A</v>
      </c>
      <c r="AE101" s="145" t="e">
        <f t="shared" si="29"/>
        <v>#N/A</v>
      </c>
      <c r="AF101" s="145" t="e">
        <f t="shared" si="29"/>
        <v>#N/A</v>
      </c>
      <c r="AG101" s="145" t="e">
        <f t="shared" si="29"/>
        <v>#N/A</v>
      </c>
      <c r="AH101" s="145" t="e">
        <f t="shared" si="30"/>
        <v>#N/A</v>
      </c>
      <c r="AI101" s="145" t="e">
        <f t="shared" si="29"/>
        <v>#N/A</v>
      </c>
      <c r="AJ101" s="145" t="e">
        <f t="shared" si="29"/>
        <v>#N/A</v>
      </c>
      <c r="AK101" s="145" t="e">
        <f t="shared" si="29"/>
        <v>#N/A</v>
      </c>
      <c r="AL101" s="145" t="e">
        <f t="shared" si="29"/>
        <v>#N/A</v>
      </c>
      <c r="AM101" s="145" t="e">
        <f t="shared" si="30"/>
        <v>#N/A</v>
      </c>
      <c r="AN101" s="162"/>
    </row>
    <row r="102" spans="3:40" x14ac:dyDescent="0.25">
      <c r="C102" s="56" t="s">
        <v>27</v>
      </c>
      <c r="D102" s="78" t="s">
        <v>192</v>
      </c>
      <c r="E102" s="155" t="e">
        <f t="shared" si="30"/>
        <v>#N/A</v>
      </c>
      <c r="F102" s="155" t="e">
        <f t="shared" si="30"/>
        <v>#N/A</v>
      </c>
      <c r="G102" s="155" t="e">
        <f t="shared" si="30"/>
        <v>#N/A</v>
      </c>
      <c r="H102" s="155" t="e">
        <f t="shared" si="30"/>
        <v>#N/A</v>
      </c>
      <c r="I102" s="155" t="e">
        <f t="shared" si="30"/>
        <v>#N/A</v>
      </c>
      <c r="J102" s="154" t="e">
        <f t="shared" si="30"/>
        <v>#N/A</v>
      </c>
      <c r="K102" s="96" t="e">
        <f t="shared" si="30"/>
        <v>#N/A</v>
      </c>
      <c r="L102" s="96" t="e">
        <f t="shared" si="30"/>
        <v>#N/A</v>
      </c>
      <c r="M102" s="96" t="e">
        <f t="shared" si="30"/>
        <v>#N/A</v>
      </c>
      <c r="N102" s="155" t="e">
        <f t="shared" si="30"/>
        <v>#N/A</v>
      </c>
      <c r="O102" s="154" t="e">
        <f t="shared" si="30"/>
        <v>#N/A</v>
      </c>
      <c r="P102" s="96" t="e">
        <f t="shared" si="30"/>
        <v>#N/A</v>
      </c>
      <c r="Q102" s="96" t="e">
        <f t="shared" si="30"/>
        <v>#N/A</v>
      </c>
      <c r="R102" s="96" t="e">
        <f t="shared" si="30"/>
        <v>#N/A</v>
      </c>
      <c r="S102" s="155" t="e">
        <f t="shared" si="30"/>
        <v>#N/A</v>
      </c>
      <c r="T102" s="155" t="e">
        <f t="shared" si="29"/>
        <v>#N/A</v>
      </c>
      <c r="U102" s="155" t="e">
        <f t="shared" si="29"/>
        <v>#N/A</v>
      </c>
      <c r="V102" s="155" t="e">
        <f t="shared" si="29"/>
        <v>#N/A</v>
      </c>
      <c r="W102" s="155" t="e">
        <f t="shared" si="29"/>
        <v>#N/A</v>
      </c>
      <c r="X102" s="146" t="e">
        <f t="shared" si="30"/>
        <v>#N/A</v>
      </c>
      <c r="Y102" s="146" t="e">
        <f t="shared" si="29"/>
        <v>#N/A</v>
      </c>
      <c r="Z102" s="146" t="e">
        <f t="shared" si="29"/>
        <v>#N/A</v>
      </c>
      <c r="AA102" s="146" t="e">
        <f t="shared" si="29"/>
        <v>#N/A</v>
      </c>
      <c r="AB102" s="146" t="e">
        <f t="shared" si="29"/>
        <v>#N/A</v>
      </c>
      <c r="AC102" s="146" t="e">
        <f t="shared" si="30"/>
        <v>#N/A</v>
      </c>
      <c r="AD102" s="146" t="e">
        <f t="shared" si="29"/>
        <v>#N/A</v>
      </c>
      <c r="AE102" s="146" t="e">
        <f t="shared" si="29"/>
        <v>#N/A</v>
      </c>
      <c r="AF102" s="146" t="e">
        <f t="shared" si="29"/>
        <v>#N/A</v>
      </c>
      <c r="AG102" s="146" t="e">
        <f t="shared" si="29"/>
        <v>#N/A</v>
      </c>
      <c r="AH102" s="146" t="e">
        <f t="shared" si="30"/>
        <v>#N/A</v>
      </c>
      <c r="AI102" s="146" t="e">
        <f t="shared" si="29"/>
        <v>#N/A</v>
      </c>
      <c r="AJ102" s="146" t="e">
        <f t="shared" si="29"/>
        <v>#N/A</v>
      </c>
      <c r="AK102" s="146" t="e">
        <f t="shared" si="29"/>
        <v>#N/A</v>
      </c>
      <c r="AL102" s="146" t="e">
        <f t="shared" si="29"/>
        <v>#N/A</v>
      </c>
      <c r="AM102" s="146" t="e">
        <f t="shared" si="30"/>
        <v>#N/A</v>
      </c>
    </row>
    <row r="103" spans="3:40" x14ac:dyDescent="0.25">
      <c r="C103" s="56" t="s">
        <v>28</v>
      </c>
      <c r="D103" s="78" t="s">
        <v>193</v>
      </c>
      <c r="E103" s="155" t="e">
        <f t="shared" si="30"/>
        <v>#N/A</v>
      </c>
      <c r="F103" s="155" t="e">
        <f t="shared" si="30"/>
        <v>#N/A</v>
      </c>
      <c r="G103" s="155" t="e">
        <f t="shared" si="30"/>
        <v>#N/A</v>
      </c>
      <c r="H103" s="155" t="e">
        <f t="shared" si="30"/>
        <v>#N/A</v>
      </c>
      <c r="I103" s="155" t="e">
        <f t="shared" si="30"/>
        <v>#N/A</v>
      </c>
      <c r="J103" s="154" t="e">
        <f t="shared" si="30"/>
        <v>#N/A</v>
      </c>
      <c r="K103" s="96" t="e">
        <f t="shared" si="30"/>
        <v>#N/A</v>
      </c>
      <c r="L103" s="96" t="e">
        <f t="shared" si="30"/>
        <v>#N/A</v>
      </c>
      <c r="M103" s="96" t="e">
        <f t="shared" si="30"/>
        <v>#N/A</v>
      </c>
      <c r="N103" s="155" t="e">
        <f t="shared" si="30"/>
        <v>#N/A</v>
      </c>
      <c r="O103" s="154" t="e">
        <f t="shared" si="30"/>
        <v>#N/A</v>
      </c>
      <c r="P103" s="96" t="e">
        <f t="shared" si="30"/>
        <v>#N/A</v>
      </c>
      <c r="Q103" s="96" t="e">
        <f t="shared" si="30"/>
        <v>#N/A</v>
      </c>
      <c r="R103" s="96" t="e">
        <f t="shared" si="30"/>
        <v>#N/A</v>
      </c>
      <c r="S103" s="155" t="e">
        <f t="shared" si="30"/>
        <v>#N/A</v>
      </c>
      <c r="T103" s="155" t="e">
        <f t="shared" si="29"/>
        <v>#N/A</v>
      </c>
      <c r="U103" s="155" t="e">
        <f t="shared" si="29"/>
        <v>#N/A</v>
      </c>
      <c r="V103" s="155" t="e">
        <f t="shared" si="29"/>
        <v>#N/A</v>
      </c>
      <c r="W103" s="155" t="e">
        <f t="shared" si="29"/>
        <v>#N/A</v>
      </c>
      <c r="X103" s="146" t="e">
        <f t="shared" si="30"/>
        <v>#N/A</v>
      </c>
      <c r="Y103" s="146" t="e">
        <f t="shared" si="29"/>
        <v>#N/A</v>
      </c>
      <c r="Z103" s="146" t="e">
        <f t="shared" si="29"/>
        <v>#N/A</v>
      </c>
      <c r="AA103" s="146" t="e">
        <f t="shared" si="29"/>
        <v>#N/A</v>
      </c>
      <c r="AB103" s="146" t="e">
        <f t="shared" si="29"/>
        <v>#N/A</v>
      </c>
      <c r="AC103" s="146" t="e">
        <f t="shared" si="30"/>
        <v>#N/A</v>
      </c>
      <c r="AD103" s="146" t="e">
        <f t="shared" si="29"/>
        <v>#N/A</v>
      </c>
      <c r="AE103" s="146" t="e">
        <f t="shared" si="29"/>
        <v>#N/A</v>
      </c>
      <c r="AF103" s="146" t="e">
        <f t="shared" si="29"/>
        <v>#N/A</v>
      </c>
      <c r="AG103" s="146" t="e">
        <f t="shared" si="29"/>
        <v>#N/A</v>
      </c>
      <c r="AH103" s="146" t="e">
        <f t="shared" si="30"/>
        <v>#N/A</v>
      </c>
      <c r="AI103" s="146" t="e">
        <f t="shared" si="29"/>
        <v>#N/A</v>
      </c>
      <c r="AJ103" s="146" t="e">
        <f t="shared" si="29"/>
        <v>#N/A</v>
      </c>
      <c r="AK103" s="146" t="e">
        <f t="shared" si="29"/>
        <v>#N/A</v>
      </c>
      <c r="AL103" s="146" t="e">
        <f t="shared" si="29"/>
        <v>#N/A</v>
      </c>
      <c r="AM103" s="146" t="e">
        <f t="shared" si="30"/>
        <v>#N/A</v>
      </c>
    </row>
    <row r="104" spans="3:40" x14ac:dyDescent="0.25">
      <c r="C104" s="56" t="s">
        <v>29</v>
      </c>
      <c r="D104" s="78" t="s">
        <v>194</v>
      </c>
      <c r="E104" s="155" t="e">
        <f t="shared" si="30"/>
        <v>#N/A</v>
      </c>
      <c r="F104" s="155" t="e">
        <f t="shared" si="30"/>
        <v>#N/A</v>
      </c>
      <c r="G104" s="155" t="e">
        <f t="shared" si="30"/>
        <v>#N/A</v>
      </c>
      <c r="H104" s="155" t="e">
        <f t="shared" si="30"/>
        <v>#N/A</v>
      </c>
      <c r="I104" s="155" t="e">
        <f t="shared" si="30"/>
        <v>#N/A</v>
      </c>
      <c r="J104" s="154" t="e">
        <f t="shared" si="30"/>
        <v>#N/A</v>
      </c>
      <c r="K104" s="96" t="e">
        <f t="shared" si="30"/>
        <v>#N/A</v>
      </c>
      <c r="L104" s="96" t="e">
        <f t="shared" si="30"/>
        <v>#N/A</v>
      </c>
      <c r="M104" s="96" t="e">
        <f t="shared" si="30"/>
        <v>#N/A</v>
      </c>
      <c r="N104" s="155" t="e">
        <f t="shared" si="30"/>
        <v>#N/A</v>
      </c>
      <c r="O104" s="154" t="e">
        <f t="shared" si="30"/>
        <v>#N/A</v>
      </c>
      <c r="P104" s="96" t="e">
        <f t="shared" si="30"/>
        <v>#N/A</v>
      </c>
      <c r="Q104" s="96" t="e">
        <f t="shared" si="30"/>
        <v>#N/A</v>
      </c>
      <c r="R104" s="96" t="e">
        <f t="shared" si="30"/>
        <v>#N/A</v>
      </c>
      <c r="S104" s="155" t="e">
        <f t="shared" si="30"/>
        <v>#N/A</v>
      </c>
      <c r="T104" s="155" t="e">
        <f t="shared" si="29"/>
        <v>#N/A</v>
      </c>
      <c r="U104" s="155" t="e">
        <f t="shared" si="29"/>
        <v>#N/A</v>
      </c>
      <c r="V104" s="155" t="e">
        <f t="shared" si="29"/>
        <v>#N/A</v>
      </c>
      <c r="W104" s="155" t="e">
        <f t="shared" si="29"/>
        <v>#N/A</v>
      </c>
      <c r="X104" s="146" t="e">
        <f t="shared" si="30"/>
        <v>#N/A</v>
      </c>
      <c r="Y104" s="146" t="e">
        <f t="shared" si="29"/>
        <v>#N/A</v>
      </c>
      <c r="Z104" s="146" t="e">
        <f t="shared" si="29"/>
        <v>#N/A</v>
      </c>
      <c r="AA104" s="146" t="e">
        <f t="shared" si="29"/>
        <v>#N/A</v>
      </c>
      <c r="AB104" s="146" t="e">
        <f t="shared" si="29"/>
        <v>#N/A</v>
      </c>
      <c r="AC104" s="146" t="e">
        <f t="shared" si="30"/>
        <v>#N/A</v>
      </c>
      <c r="AD104" s="146" t="e">
        <f t="shared" si="29"/>
        <v>#N/A</v>
      </c>
      <c r="AE104" s="146" t="e">
        <f t="shared" si="29"/>
        <v>#N/A</v>
      </c>
      <c r="AF104" s="146" t="e">
        <f t="shared" si="29"/>
        <v>#N/A</v>
      </c>
      <c r="AG104" s="146" t="e">
        <f t="shared" si="29"/>
        <v>#N/A</v>
      </c>
      <c r="AH104" s="146" t="e">
        <f t="shared" si="30"/>
        <v>#N/A</v>
      </c>
      <c r="AI104" s="146" t="e">
        <f t="shared" si="29"/>
        <v>#N/A</v>
      </c>
      <c r="AJ104" s="146" t="e">
        <f t="shared" si="29"/>
        <v>#N/A</v>
      </c>
      <c r="AK104" s="146" t="e">
        <f t="shared" si="29"/>
        <v>#N/A</v>
      </c>
      <c r="AL104" s="146" t="e">
        <f t="shared" si="29"/>
        <v>#N/A</v>
      </c>
      <c r="AM104" s="146" t="e">
        <f t="shared" si="30"/>
        <v>#N/A</v>
      </c>
    </row>
    <row r="105" spans="3:40" x14ac:dyDescent="0.25">
      <c r="C105" s="56" t="s">
        <v>30</v>
      </c>
      <c r="D105" s="78" t="s">
        <v>195</v>
      </c>
      <c r="E105" s="155" t="e">
        <f t="shared" si="30"/>
        <v>#N/A</v>
      </c>
      <c r="F105" s="155" t="e">
        <f t="shared" si="30"/>
        <v>#N/A</v>
      </c>
      <c r="G105" s="155" t="e">
        <f t="shared" si="30"/>
        <v>#N/A</v>
      </c>
      <c r="H105" s="155" t="e">
        <f t="shared" si="30"/>
        <v>#N/A</v>
      </c>
      <c r="I105" s="155" t="e">
        <f t="shared" si="30"/>
        <v>#N/A</v>
      </c>
      <c r="J105" s="154" t="e">
        <f t="shared" si="30"/>
        <v>#N/A</v>
      </c>
      <c r="K105" s="96" t="e">
        <f t="shared" si="30"/>
        <v>#N/A</v>
      </c>
      <c r="L105" s="96" t="e">
        <f t="shared" si="30"/>
        <v>#N/A</v>
      </c>
      <c r="M105" s="96" t="e">
        <f t="shared" si="30"/>
        <v>#N/A</v>
      </c>
      <c r="N105" s="155" t="e">
        <f t="shared" si="30"/>
        <v>#N/A</v>
      </c>
      <c r="O105" s="154" t="e">
        <f t="shared" si="30"/>
        <v>#N/A</v>
      </c>
      <c r="P105" s="96" t="e">
        <f t="shared" si="30"/>
        <v>#N/A</v>
      </c>
      <c r="Q105" s="96" t="e">
        <f t="shared" si="30"/>
        <v>#N/A</v>
      </c>
      <c r="R105" s="96" t="e">
        <f t="shared" si="30"/>
        <v>#N/A</v>
      </c>
      <c r="S105" s="155" t="e">
        <f t="shared" si="30"/>
        <v>#N/A</v>
      </c>
      <c r="T105" s="155" t="e">
        <f t="shared" si="29"/>
        <v>#N/A</v>
      </c>
      <c r="U105" s="155" t="e">
        <f t="shared" si="29"/>
        <v>#N/A</v>
      </c>
      <c r="V105" s="155" t="e">
        <f t="shared" si="29"/>
        <v>#N/A</v>
      </c>
      <c r="W105" s="155" t="e">
        <f t="shared" si="29"/>
        <v>#N/A</v>
      </c>
      <c r="X105" s="146" t="e">
        <f t="shared" si="30"/>
        <v>#N/A</v>
      </c>
      <c r="Y105" s="146" t="e">
        <f t="shared" si="29"/>
        <v>#N/A</v>
      </c>
      <c r="Z105" s="146" t="e">
        <f t="shared" si="29"/>
        <v>#N/A</v>
      </c>
      <c r="AA105" s="146" t="e">
        <f t="shared" si="29"/>
        <v>#N/A</v>
      </c>
      <c r="AB105" s="146" t="e">
        <f t="shared" si="29"/>
        <v>#N/A</v>
      </c>
      <c r="AC105" s="146" t="e">
        <f t="shared" si="30"/>
        <v>#N/A</v>
      </c>
      <c r="AD105" s="146" t="e">
        <f t="shared" si="29"/>
        <v>#N/A</v>
      </c>
      <c r="AE105" s="146" t="e">
        <f t="shared" si="29"/>
        <v>#N/A</v>
      </c>
      <c r="AF105" s="146" t="e">
        <f t="shared" si="29"/>
        <v>#N/A</v>
      </c>
      <c r="AG105" s="146" t="e">
        <f t="shared" si="29"/>
        <v>#N/A</v>
      </c>
      <c r="AH105" s="146" t="e">
        <f t="shared" si="30"/>
        <v>#N/A</v>
      </c>
      <c r="AI105" s="146" t="e">
        <f t="shared" si="29"/>
        <v>#N/A</v>
      </c>
      <c r="AJ105" s="146" t="e">
        <f t="shared" si="29"/>
        <v>#N/A</v>
      </c>
      <c r="AK105" s="146" t="e">
        <f t="shared" si="29"/>
        <v>#N/A</v>
      </c>
      <c r="AL105" s="146" t="e">
        <f t="shared" si="29"/>
        <v>#N/A</v>
      </c>
      <c r="AM105" s="146" t="e">
        <f t="shared" si="30"/>
        <v>#N/A</v>
      </c>
    </row>
    <row r="106" spans="3:40" x14ac:dyDescent="0.25">
      <c r="C106" s="56" t="s">
        <v>31</v>
      </c>
      <c r="D106" s="78" t="s">
        <v>196</v>
      </c>
      <c r="E106" s="155" t="e">
        <f t="shared" si="30"/>
        <v>#N/A</v>
      </c>
      <c r="F106" s="155" t="e">
        <f t="shared" si="30"/>
        <v>#N/A</v>
      </c>
      <c r="G106" s="155" t="e">
        <f t="shared" si="30"/>
        <v>#N/A</v>
      </c>
      <c r="H106" s="155" t="e">
        <f t="shared" si="30"/>
        <v>#N/A</v>
      </c>
      <c r="I106" s="155" t="e">
        <f t="shared" si="30"/>
        <v>#N/A</v>
      </c>
      <c r="J106" s="154" t="e">
        <f t="shared" si="30"/>
        <v>#N/A</v>
      </c>
      <c r="K106" s="96" t="e">
        <f t="shared" si="30"/>
        <v>#N/A</v>
      </c>
      <c r="L106" s="96" t="e">
        <f t="shared" si="30"/>
        <v>#N/A</v>
      </c>
      <c r="M106" s="96" t="e">
        <f t="shared" si="30"/>
        <v>#N/A</v>
      </c>
      <c r="N106" s="155" t="e">
        <f t="shared" si="30"/>
        <v>#N/A</v>
      </c>
      <c r="O106" s="154" t="e">
        <f t="shared" si="30"/>
        <v>#N/A</v>
      </c>
      <c r="P106" s="96" t="e">
        <f t="shared" si="30"/>
        <v>#N/A</v>
      </c>
      <c r="Q106" s="96" t="e">
        <f t="shared" si="30"/>
        <v>#N/A</v>
      </c>
      <c r="R106" s="96" t="e">
        <f t="shared" si="30"/>
        <v>#N/A</v>
      </c>
      <c r="S106" s="155" t="e">
        <f t="shared" si="30"/>
        <v>#N/A</v>
      </c>
      <c r="T106" s="155" t="e">
        <f t="shared" si="29"/>
        <v>#N/A</v>
      </c>
      <c r="U106" s="155" t="e">
        <f t="shared" si="29"/>
        <v>#N/A</v>
      </c>
      <c r="V106" s="155" t="e">
        <f t="shared" si="29"/>
        <v>#N/A</v>
      </c>
      <c r="W106" s="155" t="e">
        <f t="shared" si="29"/>
        <v>#N/A</v>
      </c>
      <c r="X106" s="146" t="e">
        <f t="shared" si="30"/>
        <v>#N/A</v>
      </c>
      <c r="Y106" s="146" t="e">
        <f t="shared" si="29"/>
        <v>#N/A</v>
      </c>
      <c r="Z106" s="146" t="e">
        <f t="shared" si="29"/>
        <v>#N/A</v>
      </c>
      <c r="AA106" s="146" t="e">
        <f t="shared" si="29"/>
        <v>#N/A</v>
      </c>
      <c r="AB106" s="146" t="e">
        <f t="shared" si="29"/>
        <v>#N/A</v>
      </c>
      <c r="AC106" s="146" t="e">
        <f t="shared" si="30"/>
        <v>#N/A</v>
      </c>
      <c r="AD106" s="146" t="e">
        <f t="shared" si="29"/>
        <v>#N/A</v>
      </c>
      <c r="AE106" s="146" t="e">
        <f t="shared" si="29"/>
        <v>#N/A</v>
      </c>
      <c r="AF106" s="146" t="e">
        <f t="shared" si="29"/>
        <v>#N/A</v>
      </c>
      <c r="AG106" s="146" t="e">
        <f t="shared" si="29"/>
        <v>#N/A</v>
      </c>
      <c r="AH106" s="146" t="e">
        <f t="shared" si="30"/>
        <v>#N/A</v>
      </c>
      <c r="AI106" s="146" t="e">
        <f t="shared" si="29"/>
        <v>#N/A</v>
      </c>
      <c r="AJ106" s="146" t="e">
        <f t="shared" si="29"/>
        <v>#N/A</v>
      </c>
      <c r="AK106" s="146" t="e">
        <f t="shared" si="29"/>
        <v>#N/A</v>
      </c>
      <c r="AL106" s="146" t="e">
        <f t="shared" si="29"/>
        <v>#N/A</v>
      </c>
      <c r="AM106" s="146" t="e">
        <f t="shared" si="30"/>
        <v>#N/A</v>
      </c>
    </row>
    <row r="107" spans="3:40" x14ac:dyDescent="0.25">
      <c r="C107" s="56" t="s">
        <v>32</v>
      </c>
      <c r="D107" s="78" t="s">
        <v>197</v>
      </c>
      <c r="E107" s="155" t="e">
        <f t="shared" si="30"/>
        <v>#N/A</v>
      </c>
      <c r="F107" s="155" t="e">
        <f t="shared" si="30"/>
        <v>#N/A</v>
      </c>
      <c r="G107" s="155" t="e">
        <f t="shared" si="30"/>
        <v>#N/A</v>
      </c>
      <c r="H107" s="155" t="e">
        <f t="shared" si="30"/>
        <v>#N/A</v>
      </c>
      <c r="I107" s="155" t="e">
        <f t="shared" si="30"/>
        <v>#N/A</v>
      </c>
      <c r="J107" s="154" t="e">
        <f t="shared" si="30"/>
        <v>#N/A</v>
      </c>
      <c r="K107" s="96" t="e">
        <f t="shared" si="30"/>
        <v>#N/A</v>
      </c>
      <c r="L107" s="96" t="e">
        <f t="shared" si="30"/>
        <v>#N/A</v>
      </c>
      <c r="M107" s="96" t="e">
        <f t="shared" si="30"/>
        <v>#N/A</v>
      </c>
      <c r="N107" s="155" t="e">
        <f t="shared" si="30"/>
        <v>#N/A</v>
      </c>
      <c r="O107" s="154" t="e">
        <f t="shared" si="30"/>
        <v>#N/A</v>
      </c>
      <c r="P107" s="96" t="e">
        <f t="shared" si="30"/>
        <v>#N/A</v>
      </c>
      <c r="Q107" s="96" t="e">
        <f t="shared" si="30"/>
        <v>#N/A</v>
      </c>
      <c r="R107" s="96" t="e">
        <f t="shared" si="30"/>
        <v>#N/A</v>
      </c>
      <c r="S107" s="155" t="e">
        <f t="shared" si="30"/>
        <v>#N/A</v>
      </c>
      <c r="T107" s="155" t="e">
        <f t="shared" si="29"/>
        <v>#N/A</v>
      </c>
      <c r="U107" s="155" t="e">
        <f t="shared" si="29"/>
        <v>#N/A</v>
      </c>
      <c r="V107" s="155" t="e">
        <f t="shared" si="29"/>
        <v>#N/A</v>
      </c>
      <c r="W107" s="155" t="e">
        <f t="shared" si="29"/>
        <v>#N/A</v>
      </c>
      <c r="X107" s="146" t="e">
        <f t="shared" si="30"/>
        <v>#N/A</v>
      </c>
      <c r="Y107" s="146" t="e">
        <f t="shared" si="29"/>
        <v>#N/A</v>
      </c>
      <c r="Z107" s="146" t="e">
        <f t="shared" si="29"/>
        <v>#N/A</v>
      </c>
      <c r="AA107" s="146" t="e">
        <f t="shared" si="29"/>
        <v>#N/A</v>
      </c>
      <c r="AB107" s="146" t="e">
        <f t="shared" si="29"/>
        <v>#N/A</v>
      </c>
      <c r="AC107" s="146" t="e">
        <f t="shared" si="30"/>
        <v>#N/A</v>
      </c>
      <c r="AD107" s="146" t="e">
        <f t="shared" si="29"/>
        <v>#N/A</v>
      </c>
      <c r="AE107" s="146" t="e">
        <f t="shared" si="29"/>
        <v>#N/A</v>
      </c>
      <c r="AF107" s="146" t="e">
        <f t="shared" si="29"/>
        <v>#N/A</v>
      </c>
      <c r="AG107" s="146" t="e">
        <f t="shared" si="29"/>
        <v>#N/A</v>
      </c>
      <c r="AH107" s="146" t="e">
        <f t="shared" si="30"/>
        <v>#N/A</v>
      </c>
      <c r="AI107" s="146" t="e">
        <f t="shared" si="29"/>
        <v>#N/A</v>
      </c>
      <c r="AJ107" s="146" t="e">
        <f t="shared" si="29"/>
        <v>#N/A</v>
      </c>
      <c r="AK107" s="146" t="e">
        <f t="shared" si="29"/>
        <v>#N/A</v>
      </c>
      <c r="AL107" s="146" t="e">
        <f t="shared" si="29"/>
        <v>#N/A</v>
      </c>
      <c r="AM107" s="146" t="e">
        <f t="shared" si="30"/>
        <v>#N/A</v>
      </c>
    </row>
    <row r="108" spans="3:40" x14ac:dyDescent="0.25">
      <c r="C108" s="80" t="s">
        <v>33</v>
      </c>
      <c r="D108" s="90" t="s">
        <v>198</v>
      </c>
      <c r="E108" s="157" t="e">
        <f t="shared" si="30"/>
        <v>#N/A</v>
      </c>
      <c r="F108" s="157" t="e">
        <f t="shared" si="30"/>
        <v>#N/A</v>
      </c>
      <c r="G108" s="157" t="e">
        <f t="shared" si="30"/>
        <v>#N/A</v>
      </c>
      <c r="H108" s="157" t="e">
        <f t="shared" si="30"/>
        <v>#N/A</v>
      </c>
      <c r="I108" s="157" t="e">
        <f t="shared" si="30"/>
        <v>#N/A</v>
      </c>
      <c r="J108" s="156" t="e">
        <f t="shared" si="30"/>
        <v>#N/A</v>
      </c>
      <c r="K108" s="97" t="e">
        <f t="shared" si="30"/>
        <v>#N/A</v>
      </c>
      <c r="L108" s="97" t="e">
        <f t="shared" si="30"/>
        <v>#N/A</v>
      </c>
      <c r="M108" s="97" t="e">
        <f t="shared" si="30"/>
        <v>#N/A</v>
      </c>
      <c r="N108" s="157" t="e">
        <f t="shared" si="30"/>
        <v>#N/A</v>
      </c>
      <c r="O108" s="156" t="e">
        <f t="shared" si="30"/>
        <v>#N/A</v>
      </c>
      <c r="P108" s="97" t="e">
        <f t="shared" si="30"/>
        <v>#N/A</v>
      </c>
      <c r="Q108" s="97" t="e">
        <f t="shared" si="30"/>
        <v>#N/A</v>
      </c>
      <c r="R108" s="97" t="e">
        <f t="shared" si="30"/>
        <v>#N/A</v>
      </c>
      <c r="S108" s="157" t="e">
        <f t="shared" si="30"/>
        <v>#N/A</v>
      </c>
      <c r="T108" s="157" t="e">
        <f t="shared" si="29"/>
        <v>#N/A</v>
      </c>
      <c r="U108" s="157" t="e">
        <f t="shared" si="29"/>
        <v>#N/A</v>
      </c>
      <c r="V108" s="157" t="e">
        <f t="shared" si="29"/>
        <v>#N/A</v>
      </c>
      <c r="W108" s="157" t="e">
        <f t="shared" si="29"/>
        <v>#N/A</v>
      </c>
      <c r="X108" s="147" t="e">
        <f t="shared" si="30"/>
        <v>#N/A</v>
      </c>
      <c r="Y108" s="147" t="e">
        <f t="shared" si="29"/>
        <v>#N/A</v>
      </c>
      <c r="Z108" s="147" t="e">
        <f t="shared" si="29"/>
        <v>#N/A</v>
      </c>
      <c r="AA108" s="147" t="e">
        <f t="shared" si="29"/>
        <v>#N/A</v>
      </c>
      <c r="AB108" s="147" t="e">
        <f t="shared" si="29"/>
        <v>#N/A</v>
      </c>
      <c r="AC108" s="147" t="e">
        <f t="shared" si="30"/>
        <v>#N/A</v>
      </c>
      <c r="AD108" s="147" t="e">
        <f t="shared" si="29"/>
        <v>#N/A</v>
      </c>
      <c r="AE108" s="147" t="e">
        <f t="shared" si="29"/>
        <v>#N/A</v>
      </c>
      <c r="AF108" s="147" t="e">
        <f t="shared" si="29"/>
        <v>#N/A</v>
      </c>
      <c r="AG108" s="147" t="e">
        <f t="shared" si="29"/>
        <v>#N/A</v>
      </c>
      <c r="AH108" s="147" t="e">
        <f t="shared" si="30"/>
        <v>#N/A</v>
      </c>
      <c r="AI108" s="147" t="e">
        <f t="shared" si="29"/>
        <v>#N/A</v>
      </c>
      <c r="AJ108" s="147" t="e">
        <f t="shared" si="29"/>
        <v>#N/A</v>
      </c>
      <c r="AK108" s="147" t="e">
        <f t="shared" si="29"/>
        <v>#N/A</v>
      </c>
      <c r="AL108" s="147" t="e">
        <f t="shared" si="29"/>
        <v>#N/A</v>
      </c>
      <c r="AM108" s="147" t="e">
        <f t="shared" si="30"/>
        <v>#N/A</v>
      </c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L25"/>
  <sheetViews>
    <sheetView zoomScale="80" zoomScaleNormal="80" workbookViewId="0">
      <selection activeCell="W4" sqref="W4"/>
    </sheetView>
  </sheetViews>
  <sheetFormatPr baseColWidth="10" defaultRowHeight="15" x14ac:dyDescent="0.25"/>
  <cols>
    <col min="2" max="2" width="19.7109375" customWidth="1"/>
    <col min="3" max="3" width="26.140625" customWidth="1"/>
    <col min="4" max="4" width="23" customWidth="1"/>
    <col min="5" max="6" width="13.5703125" customWidth="1"/>
    <col min="7" max="22" width="7.140625" bestFit="1" customWidth="1"/>
    <col min="23" max="23" width="7.85546875" customWidth="1"/>
    <col min="29" max="29" width="11.42578125" customWidth="1"/>
    <col min="32" max="32" width="10.85546875" customWidth="1"/>
    <col min="33" max="33" width="16.28515625" customWidth="1"/>
    <col min="34" max="34" width="13.140625" customWidth="1"/>
    <col min="35" max="35" width="12.7109375" customWidth="1"/>
    <col min="36" max="36" width="14.85546875" customWidth="1"/>
    <col min="37" max="37" width="12.85546875" customWidth="1"/>
    <col min="38" max="38" width="13.5703125" customWidth="1"/>
  </cols>
  <sheetData>
    <row r="1" spans="1:38" ht="23.25" x14ac:dyDescent="0.35">
      <c r="A1" s="1" t="s">
        <v>217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38" s="3" customFormat="1" ht="23.25" x14ac:dyDescent="0.35">
      <c r="A2" s="70"/>
      <c r="D2" s="7"/>
      <c r="E2" s="237">
        <f>'T energie vecteurs'!E5</f>
        <v>4</v>
      </c>
      <c r="F2" s="237">
        <f>E2+9</f>
        <v>13</v>
      </c>
      <c r="G2" s="237">
        <f>F2+3</f>
        <v>16</v>
      </c>
      <c r="H2" s="237">
        <f t="shared" ref="H2:S2" si="0">G2+1</f>
        <v>17</v>
      </c>
      <c r="I2" s="237">
        <f t="shared" si="0"/>
        <v>18</v>
      </c>
      <c r="J2" s="237">
        <f t="shared" si="0"/>
        <v>19</v>
      </c>
      <c r="K2" s="237">
        <f t="shared" si="0"/>
        <v>20</v>
      </c>
      <c r="L2" s="237">
        <f t="shared" si="0"/>
        <v>21</v>
      </c>
      <c r="M2" s="237">
        <f t="shared" si="0"/>
        <v>22</v>
      </c>
      <c r="N2" s="237">
        <f t="shared" si="0"/>
        <v>23</v>
      </c>
      <c r="O2" s="237">
        <f t="shared" si="0"/>
        <v>24</v>
      </c>
      <c r="P2" s="237">
        <f t="shared" si="0"/>
        <v>25</v>
      </c>
      <c r="Q2" s="237">
        <f t="shared" si="0"/>
        <v>26</v>
      </c>
      <c r="R2" s="237">
        <f t="shared" si="0"/>
        <v>27</v>
      </c>
      <c r="S2" s="237">
        <f t="shared" si="0"/>
        <v>28</v>
      </c>
      <c r="T2" s="237">
        <f>S2+5</f>
        <v>33</v>
      </c>
      <c r="U2" s="237">
        <f>T2+5</f>
        <v>38</v>
      </c>
      <c r="V2" s="237">
        <f>U2+5</f>
        <v>43</v>
      </c>
      <c r="W2" s="237">
        <f>V2+5</f>
        <v>48</v>
      </c>
    </row>
    <row r="3" spans="1:38" ht="23.25" x14ac:dyDescent="0.35">
      <c r="A3" s="239"/>
      <c r="B3" s="3"/>
      <c r="C3" s="66"/>
      <c r="D3" s="12"/>
      <c r="E3" s="73">
        <v>2006</v>
      </c>
      <c r="F3" s="73">
        <v>2015</v>
      </c>
      <c r="G3" s="26">
        <v>2018</v>
      </c>
      <c r="H3" s="4">
        <v>2019</v>
      </c>
      <c r="I3" s="108">
        <v>2020</v>
      </c>
      <c r="J3" s="116">
        <v>2021</v>
      </c>
      <c r="K3" s="33">
        <v>2022</v>
      </c>
      <c r="L3" s="4">
        <v>2023</v>
      </c>
      <c r="M3" s="33">
        <v>2024</v>
      </c>
      <c r="N3" s="108">
        <v>2025</v>
      </c>
      <c r="O3" s="116">
        <v>2026</v>
      </c>
      <c r="P3" s="4">
        <v>2027</v>
      </c>
      <c r="Q3" s="33">
        <v>2028</v>
      </c>
      <c r="R3" s="33">
        <v>2029</v>
      </c>
      <c r="S3" s="108">
        <v>2030</v>
      </c>
      <c r="T3" s="118">
        <v>2035</v>
      </c>
      <c r="U3" s="118">
        <v>2040</v>
      </c>
      <c r="V3" s="4">
        <v>2045</v>
      </c>
      <c r="W3" s="118">
        <v>2050</v>
      </c>
      <c r="X3" s="3"/>
      <c r="AG3" s="14"/>
      <c r="AH3" s="102"/>
      <c r="AI3" s="102"/>
      <c r="AJ3" s="102"/>
      <c r="AK3" s="102"/>
      <c r="AL3" s="102"/>
    </row>
    <row r="4" spans="1:38" ht="23.25" x14ac:dyDescent="0.35">
      <c r="A4" s="193" t="str">
        <f>Résultats!B1</f>
        <v>TEND</v>
      </c>
      <c r="B4" s="238" t="s">
        <v>218</v>
      </c>
      <c r="C4" s="5" t="s">
        <v>210</v>
      </c>
      <c r="D4" s="13" t="s">
        <v>81</v>
      </c>
      <c r="E4" s="22" t="e">
        <f>VLOOKUP($D4,Résultats!$B$2:$AX$212,E$2,FALSE)</f>
        <v>#N/A</v>
      </c>
      <c r="F4" s="22" t="e">
        <f>VLOOKUP($D4,Résultats!$B$2:$AX$212,F$2,FALSE)</f>
        <v>#N/A</v>
      </c>
      <c r="G4" s="131" t="e">
        <f>VLOOKUP($D4,Résultats!$B$2:$AX$212,G$2,FALSE)/1000000</f>
        <v>#N/A</v>
      </c>
      <c r="H4" s="22" t="e">
        <f>VLOOKUP($D4,Résultats!$B$2:$AX$212,H$2,FALSE)/1000000</f>
        <v>#N/A</v>
      </c>
      <c r="I4" s="132" t="e">
        <f>VLOOKUP($D4,Résultats!$B$2:$AX$212,I$2,FALSE)/1000000</f>
        <v>#N/A</v>
      </c>
      <c r="J4" s="131" t="e">
        <f>VLOOKUP($D4,Résultats!$B$2:$AX$212,J$2,FALSE)/1000000</f>
        <v>#N/A</v>
      </c>
      <c r="K4" s="22" t="e">
        <f>VLOOKUP($D4,Résultats!$B$2:$AX$212,K$2,FALSE)/1000000</f>
        <v>#N/A</v>
      </c>
      <c r="L4" s="22" t="e">
        <f>VLOOKUP($D4,Résultats!$B$2:$AX$212,L$2,FALSE)/1000000</f>
        <v>#N/A</v>
      </c>
      <c r="M4" s="22" t="e">
        <f>VLOOKUP($D4,Résultats!$B$2:$AX$212,M$2,FALSE)/1000000</f>
        <v>#N/A</v>
      </c>
      <c r="N4" s="132" t="e">
        <f>VLOOKUP($D4,Résultats!$B$2:$AX$212,N$2,FALSE)/1000000</f>
        <v>#N/A</v>
      </c>
      <c r="O4" s="131" t="e">
        <f>VLOOKUP($D4,Résultats!$B$2:$AX$212,O$2,FALSE)/1000000</f>
        <v>#N/A</v>
      </c>
      <c r="P4" s="22" t="e">
        <f>VLOOKUP($D4,Résultats!$B$2:$AX$212,P$2,FALSE)/1000000</f>
        <v>#N/A</v>
      </c>
      <c r="Q4" s="22" t="e">
        <f>VLOOKUP($D4,Résultats!$B$2:$AX$212,Q$2,FALSE)/1000000</f>
        <v>#N/A</v>
      </c>
      <c r="R4" s="22" t="e">
        <f>VLOOKUP($D4,Résultats!$B$2:$AX$212,R$2,FALSE)/1000000</f>
        <v>#N/A</v>
      </c>
      <c r="S4" s="132" t="e">
        <f>VLOOKUP($D4,Résultats!$B$2:$AX$212,S$2,FALSE)/1000000</f>
        <v>#N/A</v>
      </c>
      <c r="T4" s="139" t="e">
        <f>VLOOKUP($D4,Résultats!$B$2:$AX$212,T$2,FALSE)/1000000</f>
        <v>#N/A</v>
      </c>
      <c r="U4" s="139" t="e">
        <f>VLOOKUP($D4,Résultats!$B$2:$AX$212,U$2,FALSE)/1000000</f>
        <v>#N/A</v>
      </c>
      <c r="V4" s="22" t="e">
        <f>VLOOKUP($D4,Résultats!$B$2:$AX$212,V$2,FALSE)/1000000</f>
        <v>#N/A</v>
      </c>
      <c r="W4" s="139" t="e">
        <f>VLOOKUP($D4,Résultats!$B$2:$AX$212,W$2,FALSE)/1000000</f>
        <v>#N/A</v>
      </c>
      <c r="X4" s="3"/>
      <c r="AG4" s="14"/>
      <c r="AH4" s="102"/>
      <c r="AI4" s="102"/>
      <c r="AJ4" s="102"/>
      <c r="AK4" s="102"/>
      <c r="AL4" s="102"/>
    </row>
    <row r="5" spans="1:38" x14ac:dyDescent="0.25">
      <c r="A5" s="3"/>
      <c r="B5" s="240"/>
      <c r="C5" s="56" t="s">
        <v>27</v>
      </c>
      <c r="D5" s="16" t="s">
        <v>82</v>
      </c>
      <c r="E5" s="31" t="e">
        <f>VLOOKUP($D5,Résultats!$B$2:$AX$212,E$2,FALSE)</f>
        <v>#N/A</v>
      </c>
      <c r="F5" s="31" t="e">
        <f>VLOOKUP($D5,Résultats!$B$2:$AX$212,F$2,FALSE)</f>
        <v>#N/A</v>
      </c>
      <c r="G5" s="126" t="e">
        <f>VLOOKUP($D5,Résultats!$B$2:$AX$212,G$2,FALSE)/1000000</f>
        <v>#N/A</v>
      </c>
      <c r="H5" s="31" t="e">
        <f>VLOOKUP($D5,Résultats!$B$2:$AX$212,H$2,FALSE)/1000000</f>
        <v>#N/A</v>
      </c>
      <c r="I5" s="127" t="e">
        <f>VLOOKUP($D5,Résultats!$B$2:$AX$212,I$2,FALSE)/1000000</f>
        <v>#N/A</v>
      </c>
      <c r="J5" s="126" t="e">
        <f>VLOOKUP($D5,Résultats!$B$2:$AX$212,J$2,FALSE)/1000000</f>
        <v>#N/A</v>
      </c>
      <c r="K5" s="31" t="e">
        <f>VLOOKUP($D5,Résultats!$B$2:$AX$212,K$2,FALSE)/1000000</f>
        <v>#N/A</v>
      </c>
      <c r="L5" s="31" t="e">
        <f>VLOOKUP($D5,Résultats!$B$2:$AX$212,L$2,FALSE)/1000000</f>
        <v>#N/A</v>
      </c>
      <c r="M5" s="31" t="e">
        <f>VLOOKUP($D5,Résultats!$B$2:$AX$212,M$2,FALSE)/1000000</f>
        <v>#N/A</v>
      </c>
      <c r="N5" s="127" t="e">
        <f>VLOOKUP($D5,Résultats!$B$2:$AX$212,N$2,FALSE)/1000000</f>
        <v>#N/A</v>
      </c>
      <c r="O5" s="126" t="e">
        <f>VLOOKUP($D5,Résultats!$B$2:$AX$212,O$2,FALSE)/1000000</f>
        <v>#N/A</v>
      </c>
      <c r="P5" s="31" t="e">
        <f>VLOOKUP($D5,Résultats!$B$2:$AX$212,P$2,FALSE)/1000000</f>
        <v>#N/A</v>
      </c>
      <c r="Q5" s="31" t="e">
        <f>VLOOKUP($D5,Résultats!$B$2:$AX$212,Q$2,FALSE)/1000000</f>
        <v>#N/A</v>
      </c>
      <c r="R5" s="31" t="e">
        <f>VLOOKUP($D5,Résultats!$B$2:$AX$212,R$2,FALSE)/1000000</f>
        <v>#N/A</v>
      </c>
      <c r="S5" s="127" t="e">
        <f>VLOOKUP($D5,Résultats!$B$2:$AX$212,S$2,FALSE)/1000000</f>
        <v>#N/A</v>
      </c>
      <c r="T5" s="130" t="e">
        <f>VLOOKUP($D5,Résultats!$B$2:$AX$212,T$2,FALSE)/1000000</f>
        <v>#N/A</v>
      </c>
      <c r="U5" s="130" t="e">
        <f>VLOOKUP($D5,Résultats!$B$2:$AX$212,U$2,FALSE)/1000000</f>
        <v>#N/A</v>
      </c>
      <c r="V5" s="31" t="e">
        <f>VLOOKUP($D5,Résultats!$B$2:$AX$212,V$2,FALSE)/1000000</f>
        <v>#N/A</v>
      </c>
      <c r="W5" s="130" t="e">
        <f>VLOOKUP($D5,Résultats!$B$2:$AX$212,W$2,FALSE)/1000000</f>
        <v>#N/A</v>
      </c>
      <c r="X5" s="3"/>
      <c r="AG5" s="14"/>
      <c r="AH5" s="42"/>
      <c r="AI5" s="42"/>
      <c r="AJ5" s="42"/>
      <c r="AK5" s="42"/>
      <c r="AL5" s="42"/>
    </row>
    <row r="6" spans="1:38" x14ac:dyDescent="0.25">
      <c r="A6" s="3"/>
      <c r="B6" s="240"/>
      <c r="C6" s="56" t="s">
        <v>28</v>
      </c>
      <c r="D6" s="16" t="s">
        <v>83</v>
      </c>
      <c r="E6" s="31" t="e">
        <f>VLOOKUP($D6,Résultats!$B$2:$AX$212,E$2,FALSE)</f>
        <v>#N/A</v>
      </c>
      <c r="F6" s="31" t="e">
        <f>VLOOKUP($D6,Résultats!$B$2:$AX$212,F$2,FALSE)</f>
        <v>#N/A</v>
      </c>
      <c r="G6" s="126" t="e">
        <f>VLOOKUP($D6,Résultats!$B$2:$AX$212,G$2,FALSE)/1000000</f>
        <v>#N/A</v>
      </c>
      <c r="H6" s="31" t="e">
        <f>VLOOKUP($D6,Résultats!$B$2:$AX$212,H$2,FALSE)/1000000</f>
        <v>#N/A</v>
      </c>
      <c r="I6" s="127" t="e">
        <f>VLOOKUP($D6,Résultats!$B$2:$AX$212,I$2,FALSE)/1000000</f>
        <v>#N/A</v>
      </c>
      <c r="J6" s="126" t="e">
        <f>VLOOKUP($D6,Résultats!$B$2:$AX$212,J$2,FALSE)/1000000</f>
        <v>#N/A</v>
      </c>
      <c r="K6" s="31" t="e">
        <f>VLOOKUP($D6,Résultats!$B$2:$AX$212,K$2,FALSE)/1000000</f>
        <v>#N/A</v>
      </c>
      <c r="L6" s="31" t="e">
        <f>VLOOKUP($D6,Résultats!$B$2:$AX$212,L$2,FALSE)/1000000</f>
        <v>#N/A</v>
      </c>
      <c r="M6" s="31" t="e">
        <f>VLOOKUP($D6,Résultats!$B$2:$AX$212,M$2,FALSE)/1000000</f>
        <v>#N/A</v>
      </c>
      <c r="N6" s="127" t="e">
        <f>VLOOKUP($D6,Résultats!$B$2:$AX$212,N$2,FALSE)/1000000</f>
        <v>#N/A</v>
      </c>
      <c r="O6" s="126" t="e">
        <f>VLOOKUP($D6,Résultats!$B$2:$AX$212,O$2,FALSE)/1000000</f>
        <v>#N/A</v>
      </c>
      <c r="P6" s="31" t="e">
        <f>VLOOKUP($D6,Résultats!$B$2:$AX$212,P$2,FALSE)/1000000</f>
        <v>#N/A</v>
      </c>
      <c r="Q6" s="31" t="e">
        <f>VLOOKUP($D6,Résultats!$B$2:$AX$212,Q$2,FALSE)/1000000</f>
        <v>#N/A</v>
      </c>
      <c r="R6" s="31" t="e">
        <f>VLOOKUP($D6,Résultats!$B$2:$AX$212,R$2,FALSE)/1000000</f>
        <v>#N/A</v>
      </c>
      <c r="S6" s="127" t="e">
        <f>VLOOKUP($D6,Résultats!$B$2:$AX$212,S$2,FALSE)/1000000</f>
        <v>#N/A</v>
      </c>
      <c r="T6" s="130" t="e">
        <f>VLOOKUP($D6,Résultats!$B$2:$AX$212,T$2,FALSE)/1000000</f>
        <v>#N/A</v>
      </c>
      <c r="U6" s="130" t="e">
        <f>VLOOKUP($D6,Résultats!$B$2:$AX$212,U$2,FALSE)/1000000</f>
        <v>#N/A</v>
      </c>
      <c r="V6" s="31" t="e">
        <f>VLOOKUP($D6,Résultats!$B$2:$AX$212,V$2,FALSE)/1000000</f>
        <v>#N/A</v>
      </c>
      <c r="W6" s="130" t="e">
        <f>VLOOKUP($D6,Résultats!$B$2:$AX$212,W$2,FALSE)/1000000</f>
        <v>#N/A</v>
      </c>
      <c r="X6" s="3"/>
    </row>
    <row r="7" spans="1:38" x14ac:dyDescent="0.25">
      <c r="A7" s="3"/>
      <c r="B7" s="240"/>
      <c r="C7" s="56" t="s">
        <v>29</v>
      </c>
      <c r="D7" s="16" t="s">
        <v>84</v>
      </c>
      <c r="E7" s="31" t="e">
        <f>VLOOKUP($D7,Résultats!$B$2:$AX$212,E$2,FALSE)</f>
        <v>#N/A</v>
      </c>
      <c r="F7" s="31" t="e">
        <f>VLOOKUP($D7,Résultats!$B$2:$AX$212,F$2,FALSE)</f>
        <v>#N/A</v>
      </c>
      <c r="G7" s="126" t="e">
        <f>VLOOKUP($D7,Résultats!$B$2:$AX$212,G$2,FALSE)/1000000</f>
        <v>#N/A</v>
      </c>
      <c r="H7" s="31" t="e">
        <f>VLOOKUP($D7,Résultats!$B$2:$AX$212,H$2,FALSE)/1000000</f>
        <v>#N/A</v>
      </c>
      <c r="I7" s="127" t="e">
        <f>VLOOKUP($D7,Résultats!$B$2:$AX$212,I$2,FALSE)/1000000</f>
        <v>#N/A</v>
      </c>
      <c r="J7" s="126" t="e">
        <f>VLOOKUP($D7,Résultats!$B$2:$AX$212,J$2,FALSE)/1000000</f>
        <v>#N/A</v>
      </c>
      <c r="K7" s="31" t="e">
        <f>VLOOKUP($D7,Résultats!$B$2:$AX$212,K$2,FALSE)/1000000</f>
        <v>#N/A</v>
      </c>
      <c r="L7" s="31" t="e">
        <f>VLOOKUP($D7,Résultats!$B$2:$AX$212,L$2,FALSE)/1000000</f>
        <v>#N/A</v>
      </c>
      <c r="M7" s="31" t="e">
        <f>VLOOKUP($D7,Résultats!$B$2:$AX$212,M$2,FALSE)/1000000</f>
        <v>#N/A</v>
      </c>
      <c r="N7" s="127" t="e">
        <f>VLOOKUP($D7,Résultats!$B$2:$AX$212,N$2,FALSE)/1000000</f>
        <v>#N/A</v>
      </c>
      <c r="O7" s="126" t="e">
        <f>VLOOKUP($D7,Résultats!$B$2:$AX$212,O$2,FALSE)/1000000</f>
        <v>#N/A</v>
      </c>
      <c r="P7" s="31" t="e">
        <f>VLOOKUP($D7,Résultats!$B$2:$AX$212,P$2,FALSE)/1000000</f>
        <v>#N/A</v>
      </c>
      <c r="Q7" s="31" t="e">
        <f>VLOOKUP($D7,Résultats!$B$2:$AX$212,Q$2,FALSE)/1000000</f>
        <v>#N/A</v>
      </c>
      <c r="R7" s="31" t="e">
        <f>VLOOKUP($D7,Résultats!$B$2:$AX$212,R$2,FALSE)/1000000</f>
        <v>#N/A</v>
      </c>
      <c r="S7" s="127" t="e">
        <f>VLOOKUP($D7,Résultats!$B$2:$AX$212,S$2,FALSE)/1000000</f>
        <v>#N/A</v>
      </c>
      <c r="T7" s="130" t="e">
        <f>VLOOKUP($D7,Résultats!$B$2:$AX$212,T$2,FALSE)/1000000</f>
        <v>#N/A</v>
      </c>
      <c r="U7" s="130" t="e">
        <f>VLOOKUP($D7,Résultats!$B$2:$AX$212,U$2,FALSE)/1000000</f>
        <v>#N/A</v>
      </c>
      <c r="V7" s="31" t="e">
        <f>VLOOKUP($D7,Résultats!$B$2:$AX$212,V$2,FALSE)/1000000</f>
        <v>#N/A</v>
      </c>
      <c r="W7" s="130" t="e">
        <f>VLOOKUP($D7,Résultats!$B$2:$AX$212,W$2,FALSE)/1000000</f>
        <v>#N/A</v>
      </c>
      <c r="X7" s="3"/>
    </row>
    <row r="8" spans="1:38" x14ac:dyDescent="0.25">
      <c r="A8" s="3"/>
      <c r="B8" s="240"/>
      <c r="C8" s="56" t="s">
        <v>30</v>
      </c>
      <c r="D8" s="16" t="s">
        <v>85</v>
      </c>
      <c r="E8" s="31" t="e">
        <f>VLOOKUP($D8,Résultats!$B$2:$AX$212,E$2,FALSE)</f>
        <v>#N/A</v>
      </c>
      <c r="F8" s="31" t="e">
        <f>VLOOKUP($D8,Résultats!$B$2:$AX$212,F$2,FALSE)</f>
        <v>#N/A</v>
      </c>
      <c r="G8" s="126" t="e">
        <f>VLOOKUP($D8,Résultats!$B$2:$AX$212,G$2,FALSE)/1000000</f>
        <v>#N/A</v>
      </c>
      <c r="H8" s="31" t="e">
        <f>VLOOKUP($D8,Résultats!$B$2:$AX$212,H$2,FALSE)/1000000</f>
        <v>#N/A</v>
      </c>
      <c r="I8" s="127" t="e">
        <f>VLOOKUP($D8,Résultats!$B$2:$AX$212,I$2,FALSE)/1000000</f>
        <v>#N/A</v>
      </c>
      <c r="J8" s="126" t="e">
        <f>VLOOKUP($D8,Résultats!$B$2:$AX$212,J$2,FALSE)/1000000</f>
        <v>#N/A</v>
      </c>
      <c r="K8" s="31" t="e">
        <f>VLOOKUP($D8,Résultats!$B$2:$AX$212,K$2,FALSE)/1000000</f>
        <v>#N/A</v>
      </c>
      <c r="L8" s="31" t="e">
        <f>VLOOKUP($D8,Résultats!$B$2:$AX$212,L$2,FALSE)/1000000</f>
        <v>#N/A</v>
      </c>
      <c r="M8" s="31" t="e">
        <f>VLOOKUP($D8,Résultats!$B$2:$AX$212,M$2,FALSE)/1000000</f>
        <v>#N/A</v>
      </c>
      <c r="N8" s="127" t="e">
        <f>VLOOKUP($D8,Résultats!$B$2:$AX$212,N$2,FALSE)/1000000</f>
        <v>#N/A</v>
      </c>
      <c r="O8" s="126" t="e">
        <f>VLOOKUP($D8,Résultats!$B$2:$AX$212,O$2,FALSE)/1000000</f>
        <v>#N/A</v>
      </c>
      <c r="P8" s="31" t="e">
        <f>VLOOKUP($D8,Résultats!$B$2:$AX$212,P$2,FALSE)/1000000</f>
        <v>#N/A</v>
      </c>
      <c r="Q8" s="31" t="e">
        <f>VLOOKUP($D8,Résultats!$B$2:$AX$212,Q$2,FALSE)/1000000</f>
        <v>#N/A</v>
      </c>
      <c r="R8" s="31" t="e">
        <f>VLOOKUP($D8,Résultats!$B$2:$AX$212,R$2,FALSE)/1000000</f>
        <v>#N/A</v>
      </c>
      <c r="S8" s="127" t="e">
        <f>VLOOKUP($D8,Résultats!$B$2:$AX$212,S$2,FALSE)/1000000</f>
        <v>#N/A</v>
      </c>
      <c r="T8" s="130" t="e">
        <f>VLOOKUP($D8,Résultats!$B$2:$AX$212,T$2,FALSE)/1000000</f>
        <v>#N/A</v>
      </c>
      <c r="U8" s="130" t="e">
        <f>VLOOKUP($D8,Résultats!$B$2:$AX$212,U$2,FALSE)/1000000</f>
        <v>#N/A</v>
      </c>
      <c r="V8" s="31" t="e">
        <f>VLOOKUP($D8,Résultats!$B$2:$AX$212,V$2,FALSE)/1000000</f>
        <v>#N/A</v>
      </c>
      <c r="W8" s="130" t="e">
        <f>VLOOKUP($D8,Résultats!$B$2:$AX$212,W$2,FALSE)/1000000</f>
        <v>#N/A</v>
      </c>
      <c r="X8" s="3"/>
    </row>
    <row r="9" spans="1:38" x14ac:dyDescent="0.25">
      <c r="A9" s="3"/>
      <c r="B9" s="240"/>
      <c r="C9" s="56" t="s">
        <v>31</v>
      </c>
      <c r="D9" s="16" t="s">
        <v>86</v>
      </c>
      <c r="E9" s="31" t="e">
        <f>VLOOKUP($D9,Résultats!$B$2:$AX$212,E$2,FALSE)</f>
        <v>#N/A</v>
      </c>
      <c r="F9" s="31" t="e">
        <f>VLOOKUP($D9,Résultats!$B$2:$AX$212,F$2,FALSE)</f>
        <v>#N/A</v>
      </c>
      <c r="G9" s="126" t="e">
        <f>VLOOKUP($D9,Résultats!$B$2:$AX$212,G$2,FALSE)/1000000</f>
        <v>#N/A</v>
      </c>
      <c r="H9" s="31" t="e">
        <f>VLOOKUP($D9,Résultats!$B$2:$AX$212,H$2,FALSE)/1000000</f>
        <v>#N/A</v>
      </c>
      <c r="I9" s="127" t="e">
        <f>VLOOKUP($D9,Résultats!$B$2:$AX$212,I$2,FALSE)/1000000</f>
        <v>#N/A</v>
      </c>
      <c r="J9" s="126" t="e">
        <f>VLOOKUP($D9,Résultats!$B$2:$AX$212,J$2,FALSE)/1000000</f>
        <v>#N/A</v>
      </c>
      <c r="K9" s="31" t="e">
        <f>VLOOKUP($D9,Résultats!$B$2:$AX$212,K$2,FALSE)/1000000</f>
        <v>#N/A</v>
      </c>
      <c r="L9" s="31" t="e">
        <f>VLOOKUP($D9,Résultats!$B$2:$AX$212,L$2,FALSE)/1000000</f>
        <v>#N/A</v>
      </c>
      <c r="M9" s="31" t="e">
        <f>VLOOKUP($D9,Résultats!$B$2:$AX$212,M$2,FALSE)/1000000</f>
        <v>#N/A</v>
      </c>
      <c r="N9" s="127" t="e">
        <f>VLOOKUP($D9,Résultats!$B$2:$AX$212,N$2,FALSE)/1000000</f>
        <v>#N/A</v>
      </c>
      <c r="O9" s="126" t="e">
        <f>VLOOKUP($D9,Résultats!$B$2:$AX$212,O$2,FALSE)/1000000</f>
        <v>#N/A</v>
      </c>
      <c r="P9" s="31" t="e">
        <f>VLOOKUP($D9,Résultats!$B$2:$AX$212,P$2,FALSE)/1000000</f>
        <v>#N/A</v>
      </c>
      <c r="Q9" s="31" t="e">
        <f>VLOOKUP($D9,Résultats!$B$2:$AX$212,Q$2,FALSE)/1000000</f>
        <v>#N/A</v>
      </c>
      <c r="R9" s="31" t="e">
        <f>VLOOKUP($D9,Résultats!$B$2:$AX$212,R$2,FALSE)/1000000</f>
        <v>#N/A</v>
      </c>
      <c r="S9" s="127" t="e">
        <f>VLOOKUP($D9,Résultats!$B$2:$AX$212,S$2,FALSE)/1000000</f>
        <v>#N/A</v>
      </c>
      <c r="T9" s="130" t="e">
        <f>VLOOKUP($D9,Résultats!$B$2:$AX$212,T$2,FALSE)/1000000</f>
        <v>#N/A</v>
      </c>
      <c r="U9" s="130" t="e">
        <f>VLOOKUP($D9,Résultats!$B$2:$AX$212,U$2,FALSE)/1000000</f>
        <v>#N/A</v>
      </c>
      <c r="V9" s="31" t="e">
        <f>VLOOKUP($D9,Résultats!$B$2:$AX$212,V$2,FALSE)/1000000</f>
        <v>#N/A</v>
      </c>
      <c r="W9" s="130" t="e">
        <f>VLOOKUP($D9,Résultats!$B$2:$AX$212,W$2,FALSE)/1000000</f>
        <v>#N/A</v>
      </c>
      <c r="X9" s="3"/>
    </row>
    <row r="10" spans="1:38" x14ac:dyDescent="0.25">
      <c r="A10" s="3"/>
      <c r="B10" s="240"/>
      <c r="C10" s="56" t="s">
        <v>32</v>
      </c>
      <c r="D10" s="16" t="s">
        <v>87</v>
      </c>
      <c r="E10" s="31" t="e">
        <f>VLOOKUP($D10,Résultats!$B$2:$AX$212,E$2,FALSE)</f>
        <v>#N/A</v>
      </c>
      <c r="F10" s="31" t="e">
        <f>VLOOKUP($D10,Résultats!$B$2:$AX$212,F$2,FALSE)</f>
        <v>#N/A</v>
      </c>
      <c r="G10" s="126" t="e">
        <f>VLOOKUP($D10,Résultats!$B$2:$AX$212,G$2,FALSE)/1000000</f>
        <v>#N/A</v>
      </c>
      <c r="H10" s="31" t="e">
        <f>VLOOKUP($D10,Résultats!$B$2:$AX$212,H$2,FALSE)/1000000</f>
        <v>#N/A</v>
      </c>
      <c r="I10" s="127" t="e">
        <f>VLOOKUP($D10,Résultats!$B$2:$AX$212,I$2,FALSE)/1000000</f>
        <v>#N/A</v>
      </c>
      <c r="J10" s="126" t="e">
        <f>VLOOKUP($D10,Résultats!$B$2:$AX$212,J$2,FALSE)/1000000</f>
        <v>#N/A</v>
      </c>
      <c r="K10" s="31" t="e">
        <f>VLOOKUP($D10,Résultats!$B$2:$AX$212,K$2,FALSE)/1000000</f>
        <v>#N/A</v>
      </c>
      <c r="L10" s="31" t="e">
        <f>VLOOKUP($D10,Résultats!$B$2:$AX$212,L$2,FALSE)/1000000</f>
        <v>#N/A</v>
      </c>
      <c r="M10" s="31" t="e">
        <f>VLOOKUP($D10,Résultats!$B$2:$AX$212,M$2,FALSE)/1000000</f>
        <v>#N/A</v>
      </c>
      <c r="N10" s="127" t="e">
        <f>VLOOKUP($D10,Résultats!$B$2:$AX$212,N$2,FALSE)/1000000</f>
        <v>#N/A</v>
      </c>
      <c r="O10" s="126" t="e">
        <f>VLOOKUP($D10,Résultats!$B$2:$AX$212,O$2,FALSE)/1000000</f>
        <v>#N/A</v>
      </c>
      <c r="P10" s="31" t="e">
        <f>VLOOKUP($D10,Résultats!$B$2:$AX$212,P$2,FALSE)/1000000</f>
        <v>#N/A</v>
      </c>
      <c r="Q10" s="31" t="e">
        <f>VLOOKUP($D10,Résultats!$B$2:$AX$212,Q$2,FALSE)/1000000</f>
        <v>#N/A</v>
      </c>
      <c r="R10" s="31" t="e">
        <f>VLOOKUP($D10,Résultats!$B$2:$AX$212,R$2,FALSE)/1000000</f>
        <v>#N/A</v>
      </c>
      <c r="S10" s="127" t="e">
        <f>VLOOKUP($D10,Résultats!$B$2:$AX$212,S$2,FALSE)/1000000</f>
        <v>#N/A</v>
      </c>
      <c r="T10" s="130" t="e">
        <f>VLOOKUP($D10,Résultats!$B$2:$AX$212,T$2,FALSE)/1000000</f>
        <v>#N/A</v>
      </c>
      <c r="U10" s="130" t="e">
        <f>VLOOKUP($D10,Résultats!$B$2:$AX$212,U$2,FALSE)/1000000</f>
        <v>#N/A</v>
      </c>
      <c r="V10" s="31" t="e">
        <f>VLOOKUP($D10,Résultats!$B$2:$AX$212,V$2,FALSE)/1000000</f>
        <v>#N/A</v>
      </c>
      <c r="W10" s="130" t="e">
        <f>VLOOKUP($D10,Résultats!$B$2:$AX$212,W$2,FALSE)/1000000</f>
        <v>#N/A</v>
      </c>
      <c r="X10" s="3"/>
    </row>
    <row r="11" spans="1:38" x14ac:dyDescent="0.25">
      <c r="A11" s="3"/>
      <c r="B11" s="240"/>
      <c r="C11" s="80" t="s">
        <v>33</v>
      </c>
      <c r="D11" s="32" t="s">
        <v>88</v>
      </c>
      <c r="E11" s="20" t="e">
        <f>VLOOKUP($D11,Résultats!$B$2:$AX$212,E$2,FALSE)</f>
        <v>#N/A</v>
      </c>
      <c r="F11" s="20" t="e">
        <f>VLOOKUP($D11,Résultats!$B$2:$AX$212,F$2,FALSE)</f>
        <v>#N/A</v>
      </c>
      <c r="G11" s="113" t="e">
        <f>VLOOKUP($D11,Résultats!$B$2:$AX$212,G$2,FALSE)/1000000</f>
        <v>#N/A</v>
      </c>
      <c r="H11" s="20" t="e">
        <f>VLOOKUP($D11,Résultats!$B$2:$AX$212,H$2,FALSE)/1000000</f>
        <v>#N/A</v>
      </c>
      <c r="I11" s="114" t="e">
        <f>VLOOKUP($D11,Résultats!$B$2:$AX$212,I$2,FALSE)/1000000</f>
        <v>#N/A</v>
      </c>
      <c r="J11" s="113" t="e">
        <f>VLOOKUP($D11,Résultats!$B$2:$AX$212,J$2,FALSE)/1000000</f>
        <v>#N/A</v>
      </c>
      <c r="K11" s="20" t="e">
        <f>VLOOKUP($D11,Résultats!$B$2:$AX$212,K$2,FALSE)/1000000</f>
        <v>#N/A</v>
      </c>
      <c r="L11" s="20" t="e">
        <f>VLOOKUP($D11,Résultats!$B$2:$AX$212,L$2,FALSE)/1000000</f>
        <v>#N/A</v>
      </c>
      <c r="M11" s="20" t="e">
        <f>VLOOKUP($D11,Résultats!$B$2:$AX$212,M$2,FALSE)/1000000</f>
        <v>#N/A</v>
      </c>
      <c r="N11" s="114" t="e">
        <f>VLOOKUP($D11,Résultats!$B$2:$AX$212,N$2,FALSE)/1000000</f>
        <v>#N/A</v>
      </c>
      <c r="O11" s="113" t="e">
        <f>VLOOKUP($D11,Résultats!$B$2:$AX$212,O$2,FALSE)/1000000</f>
        <v>#N/A</v>
      </c>
      <c r="P11" s="20" t="e">
        <f>VLOOKUP($D11,Résultats!$B$2:$AX$212,P$2,FALSE)/1000000</f>
        <v>#N/A</v>
      </c>
      <c r="Q11" s="20" t="e">
        <f>VLOOKUP($D11,Résultats!$B$2:$AX$212,Q$2,FALSE)/1000000</f>
        <v>#N/A</v>
      </c>
      <c r="R11" s="20" t="e">
        <f>VLOOKUP($D11,Résultats!$B$2:$AX$212,R$2,FALSE)/1000000</f>
        <v>#N/A</v>
      </c>
      <c r="S11" s="114" t="e">
        <f>VLOOKUP($D11,Résultats!$B$2:$AX$212,S$2,FALSE)/1000000</f>
        <v>#N/A</v>
      </c>
      <c r="T11" s="122" t="e">
        <f>VLOOKUP($D11,Résultats!$B$2:$AX$212,T$2,FALSE)/1000000</f>
        <v>#N/A</v>
      </c>
      <c r="U11" s="122" t="e">
        <f>VLOOKUP($D11,Résultats!$B$2:$AX$212,U$2,FALSE)/1000000</f>
        <v>#N/A</v>
      </c>
      <c r="V11" s="20" t="e">
        <f>VLOOKUP($D11,Résultats!$B$2:$AX$212,V$2,FALSE)/1000000</f>
        <v>#N/A</v>
      </c>
      <c r="W11" s="122" t="e">
        <f>VLOOKUP($D11,Résultats!$B$2:$AX$212,W$2,FALSE)/1000000</f>
        <v>#N/A</v>
      </c>
      <c r="X11" s="3"/>
    </row>
    <row r="12" spans="1:3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8" x14ac:dyDescent="0.25">
      <c r="A14" s="3"/>
      <c r="B14" s="3"/>
      <c r="C14" s="66"/>
      <c r="D14" s="12"/>
      <c r="E14" s="30">
        <v>2006</v>
      </c>
      <c r="F14" s="30">
        <v>2015</v>
      </c>
      <c r="G14" s="26">
        <v>2018</v>
      </c>
      <c r="H14" s="4">
        <v>2019</v>
      </c>
      <c r="I14" s="108">
        <v>2020</v>
      </c>
      <c r="J14" s="116">
        <v>2021</v>
      </c>
      <c r="K14" s="33">
        <v>2022</v>
      </c>
      <c r="L14" s="4">
        <v>2023</v>
      </c>
      <c r="M14" s="33">
        <v>2024</v>
      </c>
      <c r="N14" s="108">
        <v>2025</v>
      </c>
      <c r="O14" s="116">
        <v>2026</v>
      </c>
      <c r="P14" s="4">
        <v>2027</v>
      </c>
      <c r="Q14" s="33">
        <v>2028</v>
      </c>
      <c r="R14" s="33">
        <v>2029</v>
      </c>
      <c r="S14" s="108">
        <v>2030</v>
      </c>
      <c r="T14" s="4">
        <v>2035</v>
      </c>
      <c r="U14" s="118">
        <v>2040</v>
      </c>
      <c r="V14" s="4">
        <v>2045</v>
      </c>
      <c r="W14" s="118">
        <v>2050</v>
      </c>
      <c r="X14" s="3"/>
    </row>
    <row r="15" spans="1:38" ht="15.75" thickBot="1" x14ac:dyDescent="0.3">
      <c r="A15" s="3"/>
      <c r="B15" s="241" t="s">
        <v>219</v>
      </c>
      <c r="C15" s="5" t="s">
        <v>44</v>
      </c>
      <c r="D15" s="13" t="s">
        <v>81</v>
      </c>
      <c r="E15" s="22" t="e">
        <f>E4/100</f>
        <v>#N/A</v>
      </c>
      <c r="F15" s="22" t="e">
        <f>F4/100</f>
        <v>#N/A</v>
      </c>
      <c r="G15" s="131" t="e">
        <f>G4*1000/100</f>
        <v>#N/A</v>
      </c>
      <c r="H15" s="22" t="e">
        <f t="shared" ref="H15:W15" si="1">H4*1000/100</f>
        <v>#N/A</v>
      </c>
      <c r="I15" s="132" t="e">
        <f t="shared" si="1"/>
        <v>#N/A</v>
      </c>
      <c r="J15" s="131" t="e">
        <f t="shared" si="1"/>
        <v>#N/A</v>
      </c>
      <c r="K15" s="22" t="e">
        <f t="shared" si="1"/>
        <v>#N/A</v>
      </c>
      <c r="L15" s="22" t="e">
        <f t="shared" si="1"/>
        <v>#N/A</v>
      </c>
      <c r="M15" s="22" t="e">
        <f t="shared" si="1"/>
        <v>#N/A</v>
      </c>
      <c r="N15" s="132" t="e">
        <f t="shared" si="1"/>
        <v>#N/A</v>
      </c>
      <c r="O15" s="131" t="e">
        <f t="shared" si="1"/>
        <v>#N/A</v>
      </c>
      <c r="P15" s="22" t="e">
        <f t="shared" si="1"/>
        <v>#N/A</v>
      </c>
      <c r="Q15" s="22" t="e">
        <f t="shared" si="1"/>
        <v>#N/A</v>
      </c>
      <c r="R15" s="22" t="e">
        <f t="shared" si="1"/>
        <v>#N/A</v>
      </c>
      <c r="S15" s="132" t="e">
        <f t="shared" si="1"/>
        <v>#N/A</v>
      </c>
      <c r="T15" s="22" t="e">
        <f t="shared" si="1"/>
        <v>#N/A</v>
      </c>
      <c r="U15" s="139" t="e">
        <f t="shared" si="1"/>
        <v>#N/A</v>
      </c>
      <c r="V15" s="22" t="e">
        <f t="shared" si="1"/>
        <v>#N/A</v>
      </c>
      <c r="W15" s="139" t="e">
        <f t="shared" si="1"/>
        <v>#N/A</v>
      </c>
      <c r="X15" s="3"/>
      <c r="Y15" s="51" t="s">
        <v>220</v>
      </c>
    </row>
    <row r="16" spans="1:38" x14ac:dyDescent="0.25">
      <c r="A16" s="3"/>
      <c r="B16" s="240"/>
      <c r="C16" s="56" t="s">
        <v>27</v>
      </c>
      <c r="D16" s="16" t="s">
        <v>82</v>
      </c>
      <c r="E16" s="98" t="e">
        <f>E5/E$4</f>
        <v>#N/A</v>
      </c>
      <c r="F16" s="98" t="e">
        <f>F5/F$4</f>
        <v>#N/A</v>
      </c>
      <c r="G16" s="133" t="e">
        <f>G5/G$4</f>
        <v>#N/A</v>
      </c>
      <c r="H16" s="98" t="e">
        <f t="shared" ref="H16:W16" si="2">H5/H$4</f>
        <v>#N/A</v>
      </c>
      <c r="I16" s="134" t="e">
        <f t="shared" si="2"/>
        <v>#N/A</v>
      </c>
      <c r="J16" s="133" t="e">
        <f t="shared" si="2"/>
        <v>#N/A</v>
      </c>
      <c r="K16" s="98" t="e">
        <f t="shared" si="2"/>
        <v>#N/A</v>
      </c>
      <c r="L16" s="98" t="e">
        <f t="shared" si="2"/>
        <v>#N/A</v>
      </c>
      <c r="M16" s="98" t="e">
        <f t="shared" si="2"/>
        <v>#N/A</v>
      </c>
      <c r="N16" s="134" t="e">
        <f t="shared" si="2"/>
        <v>#N/A</v>
      </c>
      <c r="O16" s="133" t="e">
        <f t="shared" si="2"/>
        <v>#N/A</v>
      </c>
      <c r="P16" s="98" t="e">
        <f t="shared" si="2"/>
        <v>#N/A</v>
      </c>
      <c r="Q16" s="98" t="e">
        <f t="shared" si="2"/>
        <v>#N/A</v>
      </c>
      <c r="R16" s="98" t="e">
        <f t="shared" si="2"/>
        <v>#N/A</v>
      </c>
      <c r="S16" s="134" t="e">
        <f t="shared" si="2"/>
        <v>#N/A</v>
      </c>
      <c r="T16" s="98" t="e">
        <f t="shared" si="2"/>
        <v>#N/A</v>
      </c>
      <c r="U16" s="140" t="e">
        <f t="shared" si="2"/>
        <v>#N/A</v>
      </c>
      <c r="V16" s="98" t="e">
        <f t="shared" si="2"/>
        <v>#N/A</v>
      </c>
      <c r="W16" s="140" t="e">
        <f t="shared" si="2"/>
        <v>#N/A</v>
      </c>
      <c r="X16" s="3"/>
      <c r="Y16" s="158"/>
      <c r="Z16" s="159">
        <v>2020</v>
      </c>
      <c r="AA16" s="159">
        <v>2030</v>
      </c>
      <c r="AB16" s="160">
        <v>2050</v>
      </c>
    </row>
    <row r="17" spans="1:28" x14ac:dyDescent="0.25">
      <c r="A17" s="3"/>
      <c r="B17" s="240"/>
      <c r="C17" s="56" t="s">
        <v>28</v>
      </c>
      <c r="D17" s="16" t="s">
        <v>83</v>
      </c>
      <c r="E17" s="92" t="e">
        <f t="shared" ref="E17:G22" si="3">E6/E$4</f>
        <v>#N/A</v>
      </c>
      <c r="F17" s="92" t="e">
        <f t="shared" si="3"/>
        <v>#N/A</v>
      </c>
      <c r="G17" s="135" t="e">
        <f t="shared" si="3"/>
        <v>#N/A</v>
      </c>
      <c r="H17" s="92" t="e">
        <f t="shared" ref="H17:W17" si="4">H6/H$4</f>
        <v>#N/A</v>
      </c>
      <c r="I17" s="136" t="e">
        <f t="shared" si="4"/>
        <v>#N/A</v>
      </c>
      <c r="J17" s="135" t="e">
        <f t="shared" si="4"/>
        <v>#N/A</v>
      </c>
      <c r="K17" s="92" t="e">
        <f t="shared" si="4"/>
        <v>#N/A</v>
      </c>
      <c r="L17" s="92" t="e">
        <f t="shared" si="4"/>
        <v>#N/A</v>
      </c>
      <c r="M17" s="92" t="e">
        <f t="shared" si="4"/>
        <v>#N/A</v>
      </c>
      <c r="N17" s="136" t="e">
        <f t="shared" si="4"/>
        <v>#N/A</v>
      </c>
      <c r="O17" s="135" t="e">
        <f t="shared" si="4"/>
        <v>#N/A</v>
      </c>
      <c r="P17" s="92" t="e">
        <f t="shared" si="4"/>
        <v>#N/A</v>
      </c>
      <c r="Q17" s="92" t="e">
        <f t="shared" si="4"/>
        <v>#N/A</v>
      </c>
      <c r="R17" s="92" t="e">
        <f t="shared" si="4"/>
        <v>#N/A</v>
      </c>
      <c r="S17" s="136" t="e">
        <f t="shared" si="4"/>
        <v>#N/A</v>
      </c>
      <c r="T17" s="92" t="e">
        <f t="shared" si="4"/>
        <v>#N/A</v>
      </c>
      <c r="U17" s="141" t="e">
        <f t="shared" si="4"/>
        <v>#N/A</v>
      </c>
      <c r="V17" s="92" t="e">
        <f t="shared" si="4"/>
        <v>#N/A</v>
      </c>
      <c r="W17" s="141" t="e">
        <f t="shared" si="4"/>
        <v>#N/A</v>
      </c>
      <c r="X17" s="3"/>
      <c r="Y17" s="161" t="s">
        <v>136</v>
      </c>
      <c r="Z17" s="162" t="e">
        <f>I16+I17</f>
        <v>#N/A</v>
      </c>
      <c r="AA17" s="162" t="e">
        <f>S16+S17</f>
        <v>#N/A</v>
      </c>
      <c r="AB17" s="163" t="e">
        <f>W16+W17</f>
        <v>#N/A</v>
      </c>
    </row>
    <row r="18" spans="1:28" x14ac:dyDescent="0.25">
      <c r="A18" s="3"/>
      <c r="B18" s="240"/>
      <c r="C18" s="56" t="s">
        <v>29</v>
      </c>
      <c r="D18" s="16" t="s">
        <v>84</v>
      </c>
      <c r="E18" s="92" t="e">
        <f t="shared" si="3"/>
        <v>#N/A</v>
      </c>
      <c r="F18" s="92" t="e">
        <f t="shared" si="3"/>
        <v>#N/A</v>
      </c>
      <c r="G18" s="135" t="e">
        <f t="shared" si="3"/>
        <v>#N/A</v>
      </c>
      <c r="H18" s="92" t="e">
        <f t="shared" ref="H18:W18" si="5">H7/H$4</f>
        <v>#N/A</v>
      </c>
      <c r="I18" s="136" t="e">
        <f t="shared" si="5"/>
        <v>#N/A</v>
      </c>
      <c r="J18" s="135" t="e">
        <f t="shared" si="5"/>
        <v>#N/A</v>
      </c>
      <c r="K18" s="92" t="e">
        <f t="shared" si="5"/>
        <v>#N/A</v>
      </c>
      <c r="L18" s="92" t="e">
        <f t="shared" si="5"/>
        <v>#N/A</v>
      </c>
      <c r="M18" s="92" t="e">
        <f t="shared" si="5"/>
        <v>#N/A</v>
      </c>
      <c r="N18" s="136" t="e">
        <f t="shared" si="5"/>
        <v>#N/A</v>
      </c>
      <c r="O18" s="135" t="e">
        <f t="shared" si="5"/>
        <v>#N/A</v>
      </c>
      <c r="P18" s="92" t="e">
        <f t="shared" si="5"/>
        <v>#N/A</v>
      </c>
      <c r="Q18" s="92" t="e">
        <f t="shared" si="5"/>
        <v>#N/A</v>
      </c>
      <c r="R18" s="92" t="e">
        <f t="shared" si="5"/>
        <v>#N/A</v>
      </c>
      <c r="S18" s="136" t="e">
        <f t="shared" si="5"/>
        <v>#N/A</v>
      </c>
      <c r="T18" s="92" t="e">
        <f t="shared" si="5"/>
        <v>#N/A</v>
      </c>
      <c r="U18" s="141" t="e">
        <f t="shared" si="5"/>
        <v>#N/A</v>
      </c>
      <c r="V18" s="92" t="e">
        <f t="shared" si="5"/>
        <v>#N/A</v>
      </c>
      <c r="W18" s="141" t="e">
        <f t="shared" si="5"/>
        <v>#N/A</v>
      </c>
      <c r="X18" s="3"/>
      <c r="Y18" s="161" t="s">
        <v>137</v>
      </c>
      <c r="Z18" s="162" t="e">
        <f>I18+I19+I20</f>
        <v>#N/A</v>
      </c>
      <c r="AA18" s="162" t="e">
        <f>S18+S19+S20</f>
        <v>#N/A</v>
      </c>
      <c r="AB18" s="163" t="e">
        <f>W18+W19+W20</f>
        <v>#N/A</v>
      </c>
    </row>
    <row r="19" spans="1:28" ht="15.75" thickBot="1" x14ac:dyDescent="0.3">
      <c r="A19" s="3"/>
      <c r="B19" s="240"/>
      <c r="C19" s="56" t="s">
        <v>30</v>
      </c>
      <c r="D19" s="16" t="s">
        <v>85</v>
      </c>
      <c r="E19" s="92" t="e">
        <f t="shared" si="3"/>
        <v>#N/A</v>
      </c>
      <c r="F19" s="92" t="e">
        <f t="shared" si="3"/>
        <v>#N/A</v>
      </c>
      <c r="G19" s="135" t="e">
        <f t="shared" si="3"/>
        <v>#N/A</v>
      </c>
      <c r="H19" s="92" t="e">
        <f t="shared" ref="H19:W19" si="6">H8/H$4</f>
        <v>#N/A</v>
      </c>
      <c r="I19" s="136" t="e">
        <f t="shared" si="6"/>
        <v>#N/A</v>
      </c>
      <c r="J19" s="135" t="e">
        <f t="shared" si="6"/>
        <v>#N/A</v>
      </c>
      <c r="K19" s="92" t="e">
        <f t="shared" si="6"/>
        <v>#N/A</v>
      </c>
      <c r="L19" s="92" t="e">
        <f t="shared" si="6"/>
        <v>#N/A</v>
      </c>
      <c r="M19" s="92" t="e">
        <f t="shared" si="6"/>
        <v>#N/A</v>
      </c>
      <c r="N19" s="136" t="e">
        <f t="shared" si="6"/>
        <v>#N/A</v>
      </c>
      <c r="O19" s="135" t="e">
        <f t="shared" si="6"/>
        <v>#N/A</v>
      </c>
      <c r="P19" s="92" t="e">
        <f t="shared" si="6"/>
        <v>#N/A</v>
      </c>
      <c r="Q19" s="92" t="e">
        <f t="shared" si="6"/>
        <v>#N/A</v>
      </c>
      <c r="R19" s="92" t="e">
        <f t="shared" si="6"/>
        <v>#N/A</v>
      </c>
      <c r="S19" s="136" t="e">
        <f t="shared" si="6"/>
        <v>#N/A</v>
      </c>
      <c r="T19" s="92" t="e">
        <f t="shared" si="6"/>
        <v>#N/A</v>
      </c>
      <c r="U19" s="141" t="e">
        <f t="shared" si="6"/>
        <v>#N/A</v>
      </c>
      <c r="V19" s="92" t="e">
        <f t="shared" si="6"/>
        <v>#N/A</v>
      </c>
      <c r="W19" s="141" t="e">
        <f t="shared" si="6"/>
        <v>#N/A</v>
      </c>
      <c r="X19" s="3"/>
      <c r="Y19" s="164" t="s">
        <v>142</v>
      </c>
      <c r="Z19" s="165" t="e">
        <f>I21+I22</f>
        <v>#N/A</v>
      </c>
      <c r="AA19" s="165" t="e">
        <f>S21+S22</f>
        <v>#N/A</v>
      </c>
      <c r="AB19" s="166" t="e">
        <f>W21+W22</f>
        <v>#N/A</v>
      </c>
    </row>
    <row r="20" spans="1:28" x14ac:dyDescent="0.25">
      <c r="A20" s="3"/>
      <c r="B20" s="240"/>
      <c r="C20" s="56" t="s">
        <v>31</v>
      </c>
      <c r="D20" s="16" t="s">
        <v>86</v>
      </c>
      <c r="E20" s="92" t="e">
        <f t="shared" si="3"/>
        <v>#N/A</v>
      </c>
      <c r="F20" s="92" t="e">
        <f t="shared" si="3"/>
        <v>#N/A</v>
      </c>
      <c r="G20" s="135" t="e">
        <f t="shared" si="3"/>
        <v>#N/A</v>
      </c>
      <c r="H20" s="92" t="e">
        <f t="shared" ref="H20:W20" si="7">H9/H$4</f>
        <v>#N/A</v>
      </c>
      <c r="I20" s="136" t="e">
        <f t="shared" si="7"/>
        <v>#N/A</v>
      </c>
      <c r="J20" s="135" t="e">
        <f t="shared" si="7"/>
        <v>#N/A</v>
      </c>
      <c r="K20" s="92" t="e">
        <f t="shared" si="7"/>
        <v>#N/A</v>
      </c>
      <c r="L20" s="92" t="e">
        <f t="shared" si="7"/>
        <v>#N/A</v>
      </c>
      <c r="M20" s="92" t="e">
        <f t="shared" si="7"/>
        <v>#N/A</v>
      </c>
      <c r="N20" s="136" t="e">
        <f t="shared" si="7"/>
        <v>#N/A</v>
      </c>
      <c r="O20" s="135" t="e">
        <f t="shared" si="7"/>
        <v>#N/A</v>
      </c>
      <c r="P20" s="92" t="e">
        <f t="shared" si="7"/>
        <v>#N/A</v>
      </c>
      <c r="Q20" s="92" t="e">
        <f t="shared" si="7"/>
        <v>#N/A</v>
      </c>
      <c r="R20" s="92" t="e">
        <f t="shared" si="7"/>
        <v>#N/A</v>
      </c>
      <c r="S20" s="136" t="e">
        <f t="shared" si="7"/>
        <v>#N/A</v>
      </c>
      <c r="T20" s="92" t="e">
        <f t="shared" si="7"/>
        <v>#N/A</v>
      </c>
      <c r="U20" s="141" t="e">
        <f t="shared" si="7"/>
        <v>#N/A</v>
      </c>
      <c r="V20" s="92" t="e">
        <f t="shared" si="7"/>
        <v>#N/A</v>
      </c>
      <c r="W20" s="141" t="e">
        <f t="shared" si="7"/>
        <v>#N/A</v>
      </c>
      <c r="X20" s="3"/>
      <c r="Y20" s="226" t="s">
        <v>210</v>
      </c>
      <c r="Z20" s="227" t="e">
        <f>SUM(Z17:Z19)</f>
        <v>#N/A</v>
      </c>
      <c r="AA20" s="227" t="e">
        <f t="shared" ref="AA20:AB20" si="8">SUM(AA17:AA19)</f>
        <v>#N/A</v>
      </c>
      <c r="AB20" s="227" t="e">
        <f t="shared" si="8"/>
        <v>#N/A</v>
      </c>
    </row>
    <row r="21" spans="1:28" x14ac:dyDescent="0.25">
      <c r="A21" s="3"/>
      <c r="B21" s="240"/>
      <c r="C21" s="56" t="s">
        <v>32</v>
      </c>
      <c r="D21" s="16" t="s">
        <v>87</v>
      </c>
      <c r="E21" s="92" t="e">
        <f t="shared" si="3"/>
        <v>#N/A</v>
      </c>
      <c r="F21" s="92" t="e">
        <f t="shared" si="3"/>
        <v>#N/A</v>
      </c>
      <c r="G21" s="135" t="e">
        <f t="shared" si="3"/>
        <v>#N/A</v>
      </c>
      <c r="H21" s="92" t="e">
        <f t="shared" ref="H21:W21" si="9">H10/H$4</f>
        <v>#N/A</v>
      </c>
      <c r="I21" s="136" t="e">
        <f t="shared" si="9"/>
        <v>#N/A</v>
      </c>
      <c r="J21" s="135" t="e">
        <f t="shared" si="9"/>
        <v>#N/A</v>
      </c>
      <c r="K21" s="92" t="e">
        <f t="shared" si="9"/>
        <v>#N/A</v>
      </c>
      <c r="L21" s="92" t="e">
        <f t="shared" si="9"/>
        <v>#N/A</v>
      </c>
      <c r="M21" s="92" t="e">
        <f t="shared" si="9"/>
        <v>#N/A</v>
      </c>
      <c r="N21" s="136" t="e">
        <f t="shared" si="9"/>
        <v>#N/A</v>
      </c>
      <c r="O21" s="135" t="e">
        <f t="shared" si="9"/>
        <v>#N/A</v>
      </c>
      <c r="P21" s="92" t="e">
        <f t="shared" si="9"/>
        <v>#N/A</v>
      </c>
      <c r="Q21" s="92" t="e">
        <f t="shared" si="9"/>
        <v>#N/A</v>
      </c>
      <c r="R21" s="92" t="e">
        <f t="shared" si="9"/>
        <v>#N/A</v>
      </c>
      <c r="S21" s="136" t="e">
        <f t="shared" si="9"/>
        <v>#N/A</v>
      </c>
      <c r="T21" s="92" t="e">
        <f t="shared" si="9"/>
        <v>#N/A</v>
      </c>
      <c r="U21" s="141" t="e">
        <f t="shared" si="9"/>
        <v>#N/A</v>
      </c>
      <c r="V21" s="92" t="e">
        <f t="shared" si="9"/>
        <v>#N/A</v>
      </c>
      <c r="W21" s="141" t="e">
        <f t="shared" si="9"/>
        <v>#N/A</v>
      </c>
      <c r="X21" s="3"/>
    </row>
    <row r="22" spans="1:28" x14ac:dyDescent="0.25">
      <c r="A22" s="3"/>
      <c r="B22" s="240"/>
      <c r="C22" s="80" t="s">
        <v>33</v>
      </c>
      <c r="D22" s="32" t="s">
        <v>88</v>
      </c>
      <c r="E22" s="94" t="e">
        <f t="shared" si="3"/>
        <v>#N/A</v>
      </c>
      <c r="F22" s="94" t="e">
        <f t="shared" si="3"/>
        <v>#N/A</v>
      </c>
      <c r="G22" s="137" t="e">
        <f t="shared" si="3"/>
        <v>#N/A</v>
      </c>
      <c r="H22" s="94" t="e">
        <f t="shared" ref="H22:W22" si="10">H11/H$4</f>
        <v>#N/A</v>
      </c>
      <c r="I22" s="138" t="e">
        <f t="shared" si="10"/>
        <v>#N/A</v>
      </c>
      <c r="J22" s="137" t="e">
        <f t="shared" si="10"/>
        <v>#N/A</v>
      </c>
      <c r="K22" s="94" t="e">
        <f t="shared" si="10"/>
        <v>#N/A</v>
      </c>
      <c r="L22" s="94" t="e">
        <f t="shared" si="10"/>
        <v>#N/A</v>
      </c>
      <c r="M22" s="94" t="e">
        <f t="shared" si="10"/>
        <v>#N/A</v>
      </c>
      <c r="N22" s="138" t="e">
        <f t="shared" si="10"/>
        <v>#N/A</v>
      </c>
      <c r="O22" s="137" t="e">
        <f t="shared" si="10"/>
        <v>#N/A</v>
      </c>
      <c r="P22" s="94" t="e">
        <f t="shared" si="10"/>
        <v>#N/A</v>
      </c>
      <c r="Q22" s="94" t="e">
        <f t="shared" si="10"/>
        <v>#N/A</v>
      </c>
      <c r="R22" s="94" t="e">
        <f t="shared" si="10"/>
        <v>#N/A</v>
      </c>
      <c r="S22" s="138" t="e">
        <f t="shared" si="10"/>
        <v>#N/A</v>
      </c>
      <c r="T22" s="94" t="e">
        <f t="shared" si="10"/>
        <v>#N/A</v>
      </c>
      <c r="U22" s="142" t="e">
        <f t="shared" si="10"/>
        <v>#N/A</v>
      </c>
      <c r="V22" s="94" t="e">
        <f t="shared" si="10"/>
        <v>#N/A</v>
      </c>
      <c r="W22" s="142" t="e">
        <f t="shared" si="10"/>
        <v>#N/A</v>
      </c>
      <c r="X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4:B10"/>
  <sheetViews>
    <sheetView workbookViewId="0">
      <selection activeCell="P29" sqref="P29"/>
    </sheetView>
  </sheetViews>
  <sheetFormatPr baseColWidth="10" defaultRowHeight="15" x14ac:dyDescent="0.25"/>
  <sheetData>
    <row r="4" spans="2:2" x14ac:dyDescent="0.25">
      <c r="B4" t="str">
        <f>Résultats!B1&amp;" : Energie finale par usage et énergie primaire (Mtep)"</f>
        <v>TEND : Energie finale par usage et énergie primaire (Mtep)</v>
      </c>
    </row>
    <row r="5" spans="2:2" x14ac:dyDescent="0.25">
      <c r="B5" t="str">
        <f>Résultats!B1&amp;" : Ventilation du mix electrique (%)"</f>
        <v>TEND : Ventilation du mix electrique (%)</v>
      </c>
    </row>
    <row r="6" spans="2:2" x14ac:dyDescent="0.25">
      <c r="B6" t="str">
        <f>Résultats!B1&amp;" : Ventilation du mix carburant (%)"</f>
        <v>TEND : Ventilation du mix carburant (%)</v>
      </c>
    </row>
    <row r="7" spans="2:2" x14ac:dyDescent="0.25">
      <c r="B7" t="str">
        <f>Résultats!B1&amp;" : Ventilation du mix gaz (%)"</f>
        <v>TEND : Ventilation du mix gaz (%)</v>
      </c>
    </row>
    <row r="8" spans="2:2" x14ac:dyDescent="0.25">
      <c r="B8" t="str">
        <f>Résultats!B1&amp;" : Emissions CO2 (Mt.eqCO2)"</f>
        <v>TEND : Emissions CO2 (Mt.eqCO2)</v>
      </c>
    </row>
    <row r="9" spans="2:2" x14ac:dyDescent="0.25">
      <c r="B9" t="str">
        <f>Résultats!B1&amp;" : Ventilation du parc auto (%)"</f>
        <v>TEND : Ventilation du parc auto (%)</v>
      </c>
    </row>
    <row r="10" spans="2:2" x14ac:dyDescent="0.25">
      <c r="B10" t="str">
        <f>Résultats!B1&amp;" : Ventilation du parc de logements (%)"</f>
        <v>TEND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Résultats</vt:lpstr>
      <vt:lpstr>T energie vecteurs</vt:lpstr>
      <vt:lpstr>T energie usages</vt:lpstr>
      <vt:lpstr>T CO2</vt:lpstr>
      <vt:lpstr>T parc auto</vt:lpstr>
      <vt:lpstr>T logement</vt:lpstr>
      <vt:lpstr>Table Graphs</vt:lpstr>
      <vt:lpstr>Graphique8</vt:lpstr>
      <vt:lpstr>Graphique9</vt:lpstr>
      <vt:lpstr>Graphique10</vt:lpstr>
      <vt:lpstr>Graphique11</vt:lpstr>
      <vt:lpstr>Graphique12</vt:lpstr>
      <vt:lpstr>Graphique13</vt:lpstr>
      <vt:lpstr>Graphique14</vt:lpstr>
      <vt:lpstr>'T parc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MONSERAND Alma</cp:lastModifiedBy>
  <cp:lastPrinted>2018-11-29T16:44:02Z</cp:lastPrinted>
  <dcterms:created xsi:type="dcterms:W3CDTF">2016-06-15T08:53:28Z</dcterms:created>
  <dcterms:modified xsi:type="dcterms:W3CDTF">2025-06-03T16:14:14Z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2025-03-13T10:37:52Z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1f0fdedd-8d82-4f74-8cf9-d75270dcc93d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