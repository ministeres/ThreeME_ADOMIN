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4.xml" ContentType="application/vnd.openxmlformats-officedocument.spreadsheetml.worksheet+xml"/>
  <Override PartName="/xl/chartsheets/sheet5.xml" ContentType="application/vnd.openxmlformats-officedocument.spreadsheetml.chartsheet+xml"/>
  <Override PartName="/xl/worksheets/sheet5.xml" ContentType="application/vnd.openxmlformats-officedocument.spreadsheetml.worksheet+xml"/>
  <Override PartName="/xl/chartsheets/sheet6.xml" ContentType="application/vnd.openxmlformats-officedocument.spreadsheetml.chartsheet+xml"/>
  <Override PartName="/xl/worksheets/sheet6.xml" ContentType="application/vnd.openxmlformats-officedocument.spreadsheetml.worksheet+xml"/>
  <Override PartName="/xl/chartsheets/sheet7.xml" ContentType="application/vnd.openxmlformats-officedocument.spreadsheetml.chart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435AD6B8-26C1-4096-9A11-A9C3F0099127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Résultats" sheetId="2" r:id="rId1"/>
    <sheet name="T energie vecteurs" sheetId="13" r:id="rId2"/>
    <sheet name="T energie usages" sheetId="16" r:id="rId3"/>
    <sheet name="Graphique1" sheetId="27" r:id="rId4"/>
    <sheet name="Graphique2" sheetId="22" r:id="rId5"/>
    <sheet name="Graphique3" sheetId="23" r:id="rId6"/>
    <sheet name="Graphique4" sheetId="24" r:id="rId7"/>
    <sheet name="T CO2" sheetId="10" r:id="rId8"/>
    <sheet name="Graphique5" sheetId="26" r:id="rId9"/>
    <sheet name="T parc auto" sheetId="25" r:id="rId10"/>
    <sheet name="Graphique6" sheetId="19" r:id="rId11"/>
    <sheet name="T logement" sheetId="14" r:id="rId12"/>
    <sheet name="Graphique7" sheetId="20" r:id="rId13"/>
    <sheet name="Table Graphs" sheetId="28" r:id="rId14"/>
  </sheets>
  <externalReferences>
    <externalReference r:id="rId15"/>
  </externalReferences>
  <definedNames>
    <definedName name="_xlnm.Print_Area" localSheetId="9">'T parc auto'!$C$26:$AM$109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" i="16" l="1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K53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K40" i="16"/>
  <c r="J40" i="16"/>
  <c r="I40" i="16"/>
  <c r="H40" i="16"/>
  <c r="K39" i="16"/>
  <c r="J39" i="16"/>
  <c r="I39" i="16"/>
  <c r="H39" i="16"/>
  <c r="K38" i="16"/>
  <c r="J38" i="16"/>
  <c r="I38" i="16"/>
  <c r="I37" i="16" s="1"/>
  <c r="H38" i="16"/>
  <c r="R58" i="16"/>
  <c r="Q58" i="16"/>
  <c r="P58" i="16"/>
  <c r="O58" i="16"/>
  <c r="R57" i="16"/>
  <c r="P57" i="16"/>
  <c r="O57" i="16"/>
  <c r="R56" i="16"/>
  <c r="Q56" i="16"/>
  <c r="Q55" i="16" s="1"/>
  <c r="P56" i="16"/>
  <c r="P55" i="16" s="1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Q43" i="16"/>
  <c r="Q42" i="16" s="1"/>
  <c r="P43" i="16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R123" i="16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K105" i="16"/>
  <c r="J105" i="16"/>
  <c r="I105" i="16"/>
  <c r="H105" i="16"/>
  <c r="K104" i="16"/>
  <c r="J104" i="16"/>
  <c r="I104" i="16"/>
  <c r="H104" i="16"/>
  <c r="K103" i="16"/>
  <c r="J103" i="16"/>
  <c r="I103" i="16"/>
  <c r="H103" i="16"/>
  <c r="I50" i="16" l="1"/>
  <c r="I55" i="16"/>
  <c r="H37" i="16"/>
  <c r="L41" i="16"/>
  <c r="L45" i="16"/>
  <c r="L53" i="16"/>
  <c r="L57" i="16"/>
  <c r="L51" i="16"/>
  <c r="L54" i="16"/>
  <c r="L58" i="16"/>
  <c r="R42" i="16"/>
  <c r="R46" i="16" s="1"/>
  <c r="Q46" i="16"/>
  <c r="S45" i="16"/>
  <c r="S54" i="16"/>
  <c r="O55" i="16"/>
  <c r="O59" i="16" s="1"/>
  <c r="S40" i="16"/>
  <c r="S44" i="16"/>
  <c r="K50" i="16"/>
  <c r="L56" i="16"/>
  <c r="L52" i="16"/>
  <c r="J55" i="16"/>
  <c r="K55" i="16"/>
  <c r="K59" i="16" s="1"/>
  <c r="H42" i="16"/>
  <c r="H46" i="16" s="1"/>
  <c r="J37" i="16"/>
  <c r="L38" i="16"/>
  <c r="K37" i="16"/>
  <c r="L40" i="16"/>
  <c r="I42" i="16"/>
  <c r="L39" i="16"/>
  <c r="J42" i="16"/>
  <c r="K42" i="16"/>
  <c r="L44" i="16"/>
  <c r="I59" i="16"/>
  <c r="J50" i="16"/>
  <c r="J59" i="16" s="1"/>
  <c r="I46" i="16"/>
  <c r="P42" i="16"/>
  <c r="P46" i="16"/>
  <c r="S43" i="16"/>
  <c r="P59" i="16"/>
  <c r="Q59" i="16"/>
  <c r="L43" i="16"/>
  <c r="R55" i="16"/>
  <c r="S58" i="16"/>
  <c r="S53" i="16"/>
  <c r="S37" i="16"/>
  <c r="O42" i="16"/>
  <c r="S57" i="16"/>
  <c r="S41" i="16"/>
  <c r="S50" i="16"/>
  <c r="H50" i="16"/>
  <c r="S56" i="16"/>
  <c r="H55" i="16"/>
  <c r="Q16" i="16"/>
  <c r="Q120" i="16"/>
  <c r="Q107" i="16"/>
  <c r="Q94" i="16"/>
  <c r="Q81" i="16"/>
  <c r="Q68" i="16"/>
  <c r="Q29" i="16"/>
  <c r="K46" i="16" l="1"/>
  <c r="L42" i="16"/>
  <c r="S55" i="16"/>
  <c r="S42" i="16"/>
  <c r="L37" i="16"/>
  <c r="L55" i="16"/>
  <c r="J46" i="16"/>
  <c r="R59" i="16"/>
  <c r="O46" i="16"/>
  <c r="S46" i="16" s="1"/>
  <c r="S59" i="16"/>
  <c r="L50" i="16"/>
  <c r="H59" i="16"/>
  <c r="L59" i="16" s="1"/>
  <c r="O68" i="16"/>
  <c r="O72" i="16" s="1"/>
  <c r="P81" i="16"/>
  <c r="P85" i="16" s="1"/>
  <c r="P16" i="16"/>
  <c r="P20" i="16" s="1"/>
  <c r="P68" i="16"/>
  <c r="P72" i="16" s="1"/>
  <c r="O107" i="16"/>
  <c r="O111" i="16" s="1"/>
  <c r="P120" i="16"/>
  <c r="P124" i="16" s="1"/>
  <c r="O94" i="16"/>
  <c r="O98" i="16" s="1"/>
  <c r="P107" i="16"/>
  <c r="P111" i="16" s="1"/>
  <c r="O81" i="16"/>
  <c r="O85" i="16" s="1"/>
  <c r="P94" i="16"/>
  <c r="P98" i="16" s="1"/>
  <c r="O120" i="16"/>
  <c r="O124" i="16" s="1"/>
  <c r="S84" i="16"/>
  <c r="T84" i="16" s="1"/>
  <c r="S15" i="16"/>
  <c r="R16" i="16"/>
  <c r="R20" i="16" s="1"/>
  <c r="P29" i="16"/>
  <c r="P33" i="16" s="1"/>
  <c r="Q98" i="16"/>
  <c r="Q85" i="16"/>
  <c r="R29" i="16"/>
  <c r="R33" i="16" s="1"/>
  <c r="Q111" i="16"/>
  <c r="S119" i="16"/>
  <c r="S123" i="16"/>
  <c r="S93" i="16"/>
  <c r="S97" i="16"/>
  <c r="Q124" i="16"/>
  <c r="S106" i="16"/>
  <c r="R107" i="16"/>
  <c r="S110" i="16"/>
  <c r="S121" i="16"/>
  <c r="S109" i="16"/>
  <c r="S122" i="16"/>
  <c r="S19" i="16"/>
  <c r="S18" i="16"/>
  <c r="O16" i="16"/>
  <c r="O20" i="16" s="1"/>
  <c r="Q20" i="16"/>
  <c r="S17" i="16"/>
  <c r="S14" i="16"/>
  <c r="S11" i="16"/>
  <c r="S105" i="16"/>
  <c r="S118" i="16"/>
  <c r="S82" i="16"/>
  <c r="T82" i="16" s="1"/>
  <c r="R94" i="16"/>
  <c r="R98" i="16" s="1"/>
  <c r="S66" i="16"/>
  <c r="S67" i="16"/>
  <c r="S70" i="16"/>
  <c r="S71" i="16"/>
  <c r="S83" i="16"/>
  <c r="T83" i="16" s="1"/>
  <c r="S96" i="16"/>
  <c r="S108" i="16"/>
  <c r="R68" i="16"/>
  <c r="S80" i="16"/>
  <c r="T80" i="16" s="1"/>
  <c r="R120" i="16"/>
  <c r="R124" i="16" s="1"/>
  <c r="S115" i="16"/>
  <c r="S102" i="16"/>
  <c r="S79" i="16"/>
  <c r="T79" i="16" s="1"/>
  <c r="S92" i="16"/>
  <c r="S27" i="16"/>
  <c r="Q72" i="16"/>
  <c r="S95" i="16"/>
  <c r="S89" i="16"/>
  <c r="R81" i="16"/>
  <c r="S76" i="16"/>
  <c r="T76" i="16" s="1"/>
  <c r="S69" i="16"/>
  <c r="S63" i="16"/>
  <c r="S32" i="16"/>
  <c r="S31" i="16"/>
  <c r="O29" i="16"/>
  <c r="O33" i="16" s="1"/>
  <c r="S30" i="16"/>
  <c r="S28" i="16"/>
  <c r="Q33" i="16"/>
  <c r="S24" i="16"/>
  <c r="L46" i="16" l="1"/>
  <c r="S68" i="16"/>
  <c r="S107" i="16"/>
  <c r="S81" i="16"/>
  <c r="S94" i="16"/>
  <c r="R111" i="16"/>
  <c r="S111" i="16" s="1"/>
  <c r="S120" i="16"/>
  <c r="S124" i="16"/>
  <c r="S20" i="16"/>
  <c r="S29" i="16"/>
  <c r="S16" i="16"/>
  <c r="S21" i="16" s="1"/>
  <c r="S98" i="16"/>
  <c r="R72" i="16"/>
  <c r="S72" i="16" s="1"/>
  <c r="R85" i="16"/>
  <c r="S85" i="16" s="1"/>
  <c r="S33" i="16"/>
  <c r="F128" i="16" l="1"/>
  <c r="D1" i="2" l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E15" i="10" l="1"/>
  <c r="G16" i="10"/>
  <c r="F15" i="10"/>
  <c r="D15" i="10"/>
  <c r="C15" i="10"/>
  <c r="B15" i="10"/>
  <c r="E13" i="10"/>
  <c r="C13" i="10"/>
  <c r="F12" i="10"/>
  <c r="E12" i="10"/>
  <c r="C12" i="10"/>
  <c r="B12" i="10"/>
  <c r="E10" i="10"/>
  <c r="C10" i="10"/>
  <c r="B10" i="10"/>
  <c r="B9" i="10"/>
  <c r="E8" i="10"/>
  <c r="C8" i="10"/>
  <c r="E28" i="10"/>
  <c r="G29" i="10"/>
  <c r="F28" i="10"/>
  <c r="D28" i="10"/>
  <c r="C28" i="10"/>
  <c r="B28" i="10"/>
  <c r="E26" i="10"/>
  <c r="C26" i="10"/>
  <c r="F25" i="10"/>
  <c r="E25" i="10"/>
  <c r="C25" i="10"/>
  <c r="B25" i="10"/>
  <c r="E23" i="10"/>
  <c r="C23" i="10"/>
  <c r="B23" i="10"/>
  <c r="B22" i="10"/>
  <c r="E21" i="10"/>
  <c r="C21" i="10"/>
  <c r="G42" i="10"/>
  <c r="F41" i="10"/>
  <c r="E41" i="10"/>
  <c r="D41" i="10"/>
  <c r="C41" i="10"/>
  <c r="B41" i="10"/>
  <c r="E39" i="10"/>
  <c r="C39" i="10"/>
  <c r="F38" i="10"/>
  <c r="E38" i="10"/>
  <c r="C38" i="10"/>
  <c r="B38" i="10"/>
  <c r="E36" i="10"/>
  <c r="C36" i="10"/>
  <c r="B36" i="10"/>
  <c r="B35" i="10"/>
  <c r="E34" i="10"/>
  <c r="C34" i="10"/>
  <c r="G55" i="10"/>
  <c r="F54" i="10"/>
  <c r="E54" i="10"/>
  <c r="D54" i="10"/>
  <c r="C54" i="10"/>
  <c r="B54" i="10"/>
  <c r="E52" i="10"/>
  <c r="C52" i="10"/>
  <c r="F51" i="10"/>
  <c r="E51" i="10"/>
  <c r="C51" i="10"/>
  <c r="B51" i="10"/>
  <c r="E49" i="10"/>
  <c r="C49" i="10"/>
  <c r="B49" i="10"/>
  <c r="B48" i="10"/>
  <c r="E47" i="10"/>
  <c r="C47" i="10"/>
  <c r="G68" i="10"/>
  <c r="F67" i="10"/>
  <c r="E67" i="10"/>
  <c r="D67" i="10"/>
  <c r="C67" i="10"/>
  <c r="B67" i="10"/>
  <c r="E65" i="10"/>
  <c r="C65" i="10"/>
  <c r="F64" i="10"/>
  <c r="E64" i="10"/>
  <c r="C64" i="10"/>
  <c r="B64" i="10"/>
  <c r="E62" i="10"/>
  <c r="C62" i="10"/>
  <c r="B62" i="10"/>
  <c r="B61" i="10"/>
  <c r="E60" i="10"/>
  <c r="C60" i="10"/>
  <c r="E80" i="10"/>
  <c r="G81" i="10"/>
  <c r="F80" i="10"/>
  <c r="D80" i="10"/>
  <c r="C80" i="10"/>
  <c r="B80" i="10"/>
  <c r="E78" i="10"/>
  <c r="C78" i="10"/>
  <c r="F77" i="10"/>
  <c r="E77" i="10"/>
  <c r="C77" i="10"/>
  <c r="B77" i="10"/>
  <c r="E75" i="10"/>
  <c r="C75" i="10"/>
  <c r="B75" i="10"/>
  <c r="B74" i="10"/>
  <c r="E73" i="10"/>
  <c r="C73" i="10"/>
  <c r="G54" i="10" l="1"/>
  <c r="B10" i="28" l="1"/>
  <c r="B9" i="28"/>
  <c r="B8" i="28"/>
  <c r="B7" i="28"/>
  <c r="B6" i="28"/>
  <c r="B5" i="28"/>
  <c r="B4" i="28"/>
  <c r="A4" i="14" l="1"/>
  <c r="A4" i="25"/>
  <c r="A26" i="25"/>
  <c r="A3" i="10"/>
  <c r="A4" i="16"/>
  <c r="A31" i="13"/>
  <c r="A4" i="13"/>
  <c r="B19" i="10" l="1"/>
  <c r="F19" i="10"/>
  <c r="B24" i="10"/>
  <c r="F24" i="10"/>
  <c r="F27" i="10" l="1"/>
  <c r="B27" i="10"/>
  <c r="E24" i="10"/>
  <c r="C24" i="10"/>
  <c r="E2" i="25" l="1"/>
  <c r="E45" i="25" l="1"/>
  <c r="E47" i="25"/>
  <c r="E49" i="25"/>
  <c r="E51" i="25"/>
  <c r="E53" i="25"/>
  <c r="E55" i="25"/>
  <c r="E57" i="25"/>
  <c r="E59" i="25"/>
  <c r="E61" i="25"/>
  <c r="E63" i="25"/>
  <c r="E65" i="25"/>
  <c r="E44" i="25"/>
  <c r="E48" i="25"/>
  <c r="E52" i="25"/>
  <c r="E56" i="25"/>
  <c r="E60" i="25"/>
  <c r="E62" i="25"/>
  <c r="E46" i="25"/>
  <c r="E50" i="25"/>
  <c r="E54" i="25"/>
  <c r="E58" i="25"/>
  <c r="E64" i="25"/>
  <c r="E26" i="25"/>
  <c r="E69" i="25" s="1"/>
  <c r="E27" i="25"/>
  <c r="E33" i="25"/>
  <c r="E36" i="25"/>
  <c r="E41" i="25"/>
  <c r="E30" i="25"/>
  <c r="E31" i="25"/>
  <c r="E38" i="25"/>
  <c r="E40" i="25"/>
  <c r="E42" i="25"/>
  <c r="E32" i="25"/>
  <c r="E34" i="25"/>
  <c r="E35" i="25"/>
  <c r="E28" i="25"/>
  <c r="E29" i="25"/>
  <c r="E39" i="25"/>
  <c r="E37" i="25"/>
  <c r="F2" i="25"/>
  <c r="E99" i="25" l="1"/>
  <c r="E103" i="25"/>
  <c r="E97" i="25"/>
  <c r="E108" i="25"/>
  <c r="E93" i="25"/>
  <c r="E100" i="25"/>
  <c r="E78" i="25"/>
  <c r="E83" i="25"/>
  <c r="E80" i="25"/>
  <c r="E102" i="25"/>
  <c r="E82" i="25"/>
  <c r="E106" i="25"/>
  <c r="E98" i="25"/>
  <c r="E84" i="25"/>
  <c r="E77" i="25"/>
  <c r="E81" i="25"/>
  <c r="E107" i="25"/>
  <c r="E95" i="25"/>
  <c r="E72" i="25"/>
  <c r="E75" i="25"/>
  <c r="E74" i="25"/>
  <c r="E76" i="25"/>
  <c r="E101" i="25"/>
  <c r="E105" i="25"/>
  <c r="E104" i="25"/>
  <c r="E96" i="25"/>
  <c r="E89" i="25"/>
  <c r="E91" i="25"/>
  <c r="E71" i="25"/>
  <c r="E85" i="25"/>
  <c r="E73" i="25"/>
  <c r="E70" i="25"/>
  <c r="E4" i="25"/>
  <c r="E92" i="25"/>
  <c r="E87" i="25"/>
  <c r="E94" i="25"/>
  <c r="E79" i="25"/>
  <c r="E90" i="25"/>
  <c r="F44" i="25"/>
  <c r="F46" i="25"/>
  <c r="F48" i="25"/>
  <c r="F50" i="25"/>
  <c r="F52" i="25"/>
  <c r="F54" i="25"/>
  <c r="F56" i="25"/>
  <c r="F58" i="25"/>
  <c r="F60" i="25"/>
  <c r="F62" i="25"/>
  <c r="F64" i="25"/>
  <c r="F45" i="25"/>
  <c r="F47" i="25"/>
  <c r="F49" i="25"/>
  <c r="F51" i="25"/>
  <c r="F53" i="25"/>
  <c r="F55" i="25"/>
  <c r="F57" i="25"/>
  <c r="F59" i="25"/>
  <c r="F61" i="25"/>
  <c r="F63" i="25"/>
  <c r="F65" i="25"/>
  <c r="F40" i="25"/>
  <c r="F28" i="25"/>
  <c r="F36" i="25"/>
  <c r="F27" i="25"/>
  <c r="F39" i="25"/>
  <c r="F30" i="25"/>
  <c r="F38" i="25"/>
  <c r="F29" i="25"/>
  <c r="G2" i="25"/>
  <c r="F26" i="25"/>
  <c r="F69" i="25" s="1"/>
  <c r="F34" i="25"/>
  <c r="F35" i="25"/>
  <c r="F37" i="25"/>
  <c r="F33" i="25"/>
  <c r="F41" i="25"/>
  <c r="F32" i="25"/>
  <c r="F42" i="25"/>
  <c r="F31" i="25"/>
  <c r="E88" i="25"/>
  <c r="E2" i="14"/>
  <c r="F2" i="14" s="1"/>
  <c r="G2" i="14" s="1"/>
  <c r="B63" i="10"/>
  <c r="B72" i="10"/>
  <c r="F63" i="10"/>
  <c r="C63" i="10"/>
  <c r="B6" i="10"/>
  <c r="F6" i="10"/>
  <c r="B32" i="10"/>
  <c r="F32" i="10"/>
  <c r="B45" i="10"/>
  <c r="F45" i="10"/>
  <c r="B58" i="10"/>
  <c r="F58" i="10"/>
  <c r="F71" i="10"/>
  <c r="F90" i="25" l="1"/>
  <c r="F89" i="25"/>
  <c r="F88" i="25"/>
  <c r="F100" i="25"/>
  <c r="F108" i="25"/>
  <c r="F104" i="25"/>
  <c r="F96" i="25"/>
  <c r="F102" i="25"/>
  <c r="F91" i="25"/>
  <c r="F106" i="25"/>
  <c r="F98" i="25"/>
  <c r="F103" i="25"/>
  <c r="F95" i="25"/>
  <c r="F74" i="25"/>
  <c r="F76" i="25"/>
  <c r="F73" i="25"/>
  <c r="F75" i="25"/>
  <c r="F78" i="25"/>
  <c r="F72" i="25"/>
  <c r="F70" i="25"/>
  <c r="F105" i="25"/>
  <c r="F97" i="25"/>
  <c r="F84" i="25"/>
  <c r="F77" i="25"/>
  <c r="F81" i="25"/>
  <c r="F79" i="25"/>
  <c r="F4" i="25"/>
  <c r="F87" i="25"/>
  <c r="F92" i="25"/>
  <c r="F101" i="25"/>
  <c r="F93" i="25"/>
  <c r="F71" i="25"/>
  <c r="F85" i="25"/>
  <c r="F80" i="25"/>
  <c r="G52" i="25"/>
  <c r="G48" i="25"/>
  <c r="G65" i="25"/>
  <c r="G51" i="25"/>
  <c r="G34" i="25"/>
  <c r="G40" i="25"/>
  <c r="G63" i="25"/>
  <c r="G39" i="25"/>
  <c r="G32" i="25"/>
  <c r="G56" i="25"/>
  <c r="G53" i="25"/>
  <c r="G59" i="25"/>
  <c r="G38" i="25"/>
  <c r="G29" i="25"/>
  <c r="G26" i="25"/>
  <c r="G69" i="25" s="1"/>
  <c r="G60" i="25"/>
  <c r="G58" i="25"/>
  <c r="G33" i="25"/>
  <c r="G31" i="25"/>
  <c r="G37" i="25"/>
  <c r="G64" i="25"/>
  <c r="G61" i="25"/>
  <c r="G30" i="25"/>
  <c r="G36" i="25"/>
  <c r="G35" i="25"/>
  <c r="G28" i="25"/>
  <c r="G41" i="25"/>
  <c r="G49" i="25"/>
  <c r="G50" i="25"/>
  <c r="G27" i="25"/>
  <c r="G55" i="25"/>
  <c r="G44" i="25"/>
  <c r="G57" i="25"/>
  <c r="G62" i="25"/>
  <c r="G42" i="25"/>
  <c r="G54" i="25"/>
  <c r="G47" i="25"/>
  <c r="G45" i="25"/>
  <c r="G46" i="25"/>
  <c r="H2" i="25"/>
  <c r="F82" i="25"/>
  <c r="F83" i="25"/>
  <c r="F94" i="25"/>
  <c r="F107" i="25"/>
  <c r="F99" i="25"/>
  <c r="H2" i="14"/>
  <c r="G11" i="14"/>
  <c r="G7" i="14"/>
  <c r="G10" i="14"/>
  <c r="G6" i="14"/>
  <c r="G9" i="14"/>
  <c r="G5" i="14"/>
  <c r="G4" i="14"/>
  <c r="G15" i="14" s="1"/>
  <c r="G8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F37" i="10"/>
  <c r="C37" i="10"/>
  <c r="F11" i="10"/>
  <c r="B37" i="10"/>
  <c r="B66" i="10"/>
  <c r="B50" i="10"/>
  <c r="F66" i="10"/>
  <c r="G80" i="10"/>
  <c r="E11" i="13"/>
  <c r="B76" i="10"/>
  <c r="B71" i="10"/>
  <c r="G41" i="10"/>
  <c r="F50" i="10"/>
  <c r="E63" i="10"/>
  <c r="E15" i="13"/>
  <c r="E37" i="10"/>
  <c r="E76" i="10"/>
  <c r="E20" i="13"/>
  <c r="E24" i="13"/>
  <c r="E12" i="13"/>
  <c r="E16" i="13"/>
  <c r="E21" i="13"/>
  <c r="E25" i="13"/>
  <c r="E8" i="13"/>
  <c r="E13" i="13"/>
  <c r="E17" i="13"/>
  <c r="E22" i="13"/>
  <c r="E26" i="13"/>
  <c r="G28" i="10"/>
  <c r="F76" i="10"/>
  <c r="E11" i="10"/>
  <c r="E50" i="10"/>
  <c r="B11" i="10"/>
  <c r="E9" i="13"/>
  <c r="E14" i="13"/>
  <c r="E18" i="13"/>
  <c r="E23" i="13"/>
  <c r="G67" i="10"/>
  <c r="C76" i="10"/>
  <c r="C50" i="10"/>
  <c r="C11" i="10"/>
  <c r="F5" i="13"/>
  <c r="E5" i="14"/>
  <c r="E4" i="14"/>
  <c r="G15" i="10"/>
  <c r="G89" i="25" l="1"/>
  <c r="G88" i="25"/>
  <c r="G90" i="25"/>
  <c r="G84" i="25"/>
  <c r="G74" i="25"/>
  <c r="G85" i="25"/>
  <c r="G93" i="25"/>
  <c r="G6" i="25" s="1"/>
  <c r="G97" i="25"/>
  <c r="G73" i="25"/>
  <c r="G105" i="25"/>
  <c r="G100" i="25"/>
  <c r="G98" i="25"/>
  <c r="G70" i="25"/>
  <c r="G71" i="25"/>
  <c r="G78" i="25"/>
  <c r="G79" i="25"/>
  <c r="G104" i="25"/>
  <c r="G76" i="25"/>
  <c r="G96" i="25"/>
  <c r="G106" i="25"/>
  <c r="G108" i="25"/>
  <c r="G72" i="25"/>
  <c r="G99" i="25"/>
  <c r="G83" i="25"/>
  <c r="G91" i="25"/>
  <c r="G107" i="25"/>
  <c r="G101" i="25"/>
  <c r="G7" i="25" s="1"/>
  <c r="G81" i="25"/>
  <c r="G75" i="25"/>
  <c r="G77" i="25"/>
  <c r="G95" i="25"/>
  <c r="H47" i="25"/>
  <c r="H52" i="25"/>
  <c r="H26" i="25"/>
  <c r="H69" i="25" s="1"/>
  <c r="H42" i="25"/>
  <c r="H55" i="25"/>
  <c r="H59" i="25"/>
  <c r="H63" i="25"/>
  <c r="H31" i="25"/>
  <c r="H36" i="25"/>
  <c r="I2" i="25"/>
  <c r="H49" i="25"/>
  <c r="H54" i="25"/>
  <c r="H40" i="25"/>
  <c r="H61" i="25"/>
  <c r="H39" i="25"/>
  <c r="H51" i="25"/>
  <c r="H50" i="25"/>
  <c r="H33" i="25"/>
  <c r="H62" i="25"/>
  <c r="H27" i="25"/>
  <c r="H41" i="25"/>
  <c r="H44" i="25"/>
  <c r="H48" i="25"/>
  <c r="H53" i="25"/>
  <c r="H30" i="25"/>
  <c r="H32" i="25"/>
  <c r="H56" i="25"/>
  <c r="H60" i="25"/>
  <c r="H64" i="25"/>
  <c r="H35" i="25"/>
  <c r="H29" i="25"/>
  <c r="H45" i="25"/>
  <c r="H34" i="25"/>
  <c r="H57" i="25"/>
  <c r="H65" i="25"/>
  <c r="H37" i="25"/>
  <c r="H46" i="25"/>
  <c r="H38" i="25"/>
  <c r="H58" i="25"/>
  <c r="H28" i="25"/>
  <c r="G4" i="25"/>
  <c r="G5" i="25" s="1"/>
  <c r="G92" i="25"/>
  <c r="G87" i="25"/>
  <c r="G80" i="25"/>
  <c r="G103" i="25"/>
  <c r="G102" i="25"/>
  <c r="G82" i="25"/>
  <c r="G94" i="25"/>
  <c r="G5" i="13"/>
  <c r="G40" i="13" s="1"/>
  <c r="K14" i="16"/>
  <c r="E9" i="10" s="1"/>
  <c r="E33" i="13"/>
  <c r="G21" i="14"/>
  <c r="G16" i="14"/>
  <c r="G18" i="14"/>
  <c r="G20" i="14"/>
  <c r="G22" i="14"/>
  <c r="G19" i="14"/>
  <c r="G17" i="14"/>
  <c r="I2" i="14"/>
  <c r="H4" i="14"/>
  <c r="H15" i="14" s="1"/>
  <c r="H8" i="14"/>
  <c r="H5" i="14"/>
  <c r="H7" i="14"/>
  <c r="H11" i="14"/>
  <c r="H6" i="14"/>
  <c r="H10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F14" i="10"/>
  <c r="F40" i="10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B40" i="10"/>
  <c r="J14" i="16"/>
  <c r="B53" i="10"/>
  <c r="F53" i="10"/>
  <c r="F79" i="10"/>
  <c r="H17" i="16"/>
  <c r="H14" i="16"/>
  <c r="I14" i="16"/>
  <c r="C9" i="10" s="1"/>
  <c r="K13" i="16"/>
  <c r="I17" i="16"/>
  <c r="J13" i="16"/>
  <c r="J15" i="16"/>
  <c r="K19" i="16"/>
  <c r="H19" i="16"/>
  <c r="B79" i="10"/>
  <c r="E7" i="13"/>
  <c r="E19" i="13"/>
  <c r="E10" i="13"/>
  <c r="E16" i="14"/>
  <c r="B14" i="10"/>
  <c r="E15" i="14"/>
  <c r="H13" i="16"/>
  <c r="K15" i="16"/>
  <c r="J19" i="16"/>
  <c r="H15" i="16"/>
  <c r="I19" i="16"/>
  <c r="J17" i="16"/>
  <c r="K18" i="16"/>
  <c r="I13" i="16"/>
  <c r="I12" i="16"/>
  <c r="C7" i="10" s="1"/>
  <c r="J12" i="16"/>
  <c r="K17" i="16"/>
  <c r="I18" i="16"/>
  <c r="F20" i="13"/>
  <c r="F11" i="13"/>
  <c r="H12" i="16"/>
  <c r="J18" i="16"/>
  <c r="F26" i="13"/>
  <c r="F25" i="13"/>
  <c r="F23" i="13"/>
  <c r="K12" i="16"/>
  <c r="E7" i="10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H108" i="25" l="1"/>
  <c r="G21" i="13"/>
  <c r="G8" i="25"/>
  <c r="H72" i="25"/>
  <c r="H91" i="25"/>
  <c r="H82" i="25"/>
  <c r="H5" i="13"/>
  <c r="H51" i="13" s="1"/>
  <c r="H88" i="25"/>
  <c r="H105" i="25"/>
  <c r="H101" i="25"/>
  <c r="H7" i="25" s="1"/>
  <c r="H99" i="25"/>
  <c r="H89" i="25"/>
  <c r="G16" i="13"/>
  <c r="G12" i="13"/>
  <c r="G25" i="13"/>
  <c r="G48" i="13"/>
  <c r="G46" i="13"/>
  <c r="G24" i="13"/>
  <c r="G20" i="13"/>
  <c r="G15" i="13"/>
  <c r="G11" i="13"/>
  <c r="G38" i="13"/>
  <c r="G39" i="13"/>
  <c r="G23" i="13"/>
  <c r="G18" i="13"/>
  <c r="G14" i="13"/>
  <c r="G9" i="13"/>
  <c r="G47" i="13"/>
  <c r="G35" i="13"/>
  <c r="G26" i="13"/>
  <c r="G22" i="13"/>
  <c r="G17" i="13"/>
  <c r="G13" i="13"/>
  <c r="G8" i="13"/>
  <c r="G37" i="13"/>
  <c r="G44" i="13"/>
  <c r="H106" i="25"/>
  <c r="G34" i="13"/>
  <c r="G42" i="13"/>
  <c r="G41" i="13"/>
  <c r="G43" i="13"/>
  <c r="G49" i="13"/>
  <c r="H81" i="25"/>
  <c r="H100" i="25"/>
  <c r="H78" i="25"/>
  <c r="H75" i="25"/>
  <c r="H4" i="25"/>
  <c r="H5" i="25" s="1"/>
  <c r="H92" i="25"/>
  <c r="H87" i="25"/>
  <c r="H76" i="25"/>
  <c r="H104" i="25"/>
  <c r="I53" i="25"/>
  <c r="I57" i="25"/>
  <c r="I61" i="25"/>
  <c r="I65" i="25"/>
  <c r="I48" i="25"/>
  <c r="I36" i="25"/>
  <c r="I35" i="25"/>
  <c r="I28" i="25"/>
  <c r="I38" i="25"/>
  <c r="I58" i="25"/>
  <c r="I45" i="25"/>
  <c r="I50" i="25"/>
  <c r="I41" i="25"/>
  <c r="J2" i="25"/>
  <c r="I51" i="25"/>
  <c r="I59" i="25"/>
  <c r="I46" i="25"/>
  <c r="I34" i="25"/>
  <c r="I37" i="25"/>
  <c r="I56" i="25"/>
  <c r="I47" i="25"/>
  <c r="I30" i="25"/>
  <c r="I44" i="25"/>
  <c r="I54" i="25"/>
  <c r="I62" i="25"/>
  <c r="I49" i="25"/>
  <c r="I39" i="25"/>
  <c r="I33" i="25"/>
  <c r="I55" i="25"/>
  <c r="I63" i="25"/>
  <c r="I27" i="25"/>
  <c r="I42" i="25"/>
  <c r="I52" i="25"/>
  <c r="I64" i="25"/>
  <c r="I31" i="25"/>
  <c r="I40" i="25"/>
  <c r="I26" i="25"/>
  <c r="I69" i="25" s="1"/>
  <c r="I60" i="25"/>
  <c r="I32" i="25"/>
  <c r="I29" i="25"/>
  <c r="H102" i="25"/>
  <c r="H95" i="25"/>
  <c r="H77" i="25"/>
  <c r="H107" i="25"/>
  <c r="H73" i="25"/>
  <c r="H84" i="25"/>
  <c r="H93" i="25"/>
  <c r="H6" i="25" s="1"/>
  <c r="H83" i="25"/>
  <c r="H79" i="25"/>
  <c r="H98" i="25"/>
  <c r="H90" i="25"/>
  <c r="G52" i="13"/>
  <c r="G51" i="13"/>
  <c r="G50" i="13"/>
  <c r="H71" i="25"/>
  <c r="H80" i="25"/>
  <c r="H103" i="25"/>
  <c r="H96" i="25"/>
  <c r="H70" i="25"/>
  <c r="H94" i="25"/>
  <c r="H97" i="25"/>
  <c r="H74" i="25"/>
  <c r="H85" i="25"/>
  <c r="H22" i="14"/>
  <c r="H20" i="14"/>
  <c r="H18" i="14"/>
  <c r="J2" i="14"/>
  <c r="I5" i="14"/>
  <c r="I9" i="14"/>
  <c r="I4" i="14"/>
  <c r="I15" i="14" s="1"/>
  <c r="I8" i="14"/>
  <c r="I7" i="14"/>
  <c r="I11" i="14"/>
  <c r="I10" i="14"/>
  <c r="I6" i="14"/>
  <c r="H21" i="14"/>
  <c r="H16" i="14"/>
  <c r="I5" i="13"/>
  <c r="K27" i="16" s="1"/>
  <c r="E22" i="10" s="1"/>
  <c r="H50" i="13"/>
  <c r="H46" i="13"/>
  <c r="H44" i="13"/>
  <c r="H40" i="13"/>
  <c r="H52" i="13"/>
  <c r="H11" i="13"/>
  <c r="H15" i="13"/>
  <c r="H20" i="13"/>
  <c r="H24" i="13"/>
  <c r="H8" i="13"/>
  <c r="H17" i="13"/>
  <c r="H22" i="13"/>
  <c r="H26" i="13"/>
  <c r="H16" i="13"/>
  <c r="H17" i="14"/>
  <c r="H19" i="14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L14" i="16"/>
  <c r="K11" i="16"/>
  <c r="H16" i="16"/>
  <c r="E27" i="13"/>
  <c r="F7" i="13"/>
  <c r="I16" i="16"/>
  <c r="I11" i="16"/>
  <c r="L17" i="16"/>
  <c r="L19" i="16"/>
  <c r="L13" i="16"/>
  <c r="K16" i="16"/>
  <c r="H11" i="16"/>
  <c r="L12" i="16"/>
  <c r="F19" i="13"/>
  <c r="L15" i="16"/>
  <c r="J16" i="16"/>
  <c r="L18" i="16"/>
  <c r="F10" i="13"/>
  <c r="L16" i="16" l="1"/>
  <c r="H37" i="13"/>
  <c r="H34" i="13"/>
  <c r="H43" i="13"/>
  <c r="H21" i="13"/>
  <c r="H48" i="13"/>
  <c r="H13" i="13"/>
  <c r="H39" i="13"/>
  <c r="H41" i="13"/>
  <c r="H23" i="13"/>
  <c r="H49" i="13"/>
  <c r="H12" i="13"/>
  <c r="H18" i="13"/>
  <c r="H38" i="13"/>
  <c r="H25" i="13"/>
  <c r="H14" i="13"/>
  <c r="H42" i="13"/>
  <c r="H9" i="13"/>
  <c r="H7" i="13" s="1"/>
  <c r="H47" i="13"/>
  <c r="G7" i="13"/>
  <c r="H35" i="13"/>
  <c r="H8" i="25"/>
  <c r="I103" i="25"/>
  <c r="G19" i="13"/>
  <c r="G10" i="13"/>
  <c r="G45" i="13"/>
  <c r="G33" i="13"/>
  <c r="I90" i="25"/>
  <c r="I89" i="25"/>
  <c r="G36" i="13"/>
  <c r="I107" i="25"/>
  <c r="I106" i="25"/>
  <c r="I95" i="25"/>
  <c r="I98" i="25"/>
  <c r="I105" i="25"/>
  <c r="I84" i="25"/>
  <c r="I81" i="25"/>
  <c r="I91" i="25"/>
  <c r="I96" i="25"/>
  <c r="I72" i="25"/>
  <c r="I83" i="25"/>
  <c r="I85" i="25"/>
  <c r="I76" i="25"/>
  <c r="I97" i="25"/>
  <c r="I99" i="25"/>
  <c r="I102" i="25"/>
  <c r="I93" i="25"/>
  <c r="I71" i="25"/>
  <c r="I108" i="25"/>
  <c r="I75" i="25"/>
  <c r="I74" i="25"/>
  <c r="I70" i="25"/>
  <c r="I82" i="25"/>
  <c r="I4" i="25"/>
  <c r="I5" i="25" s="1"/>
  <c r="I92" i="25"/>
  <c r="I87" i="25"/>
  <c r="I80" i="25"/>
  <c r="I94" i="25"/>
  <c r="I88" i="25"/>
  <c r="I78" i="25"/>
  <c r="I104" i="25"/>
  <c r="I73" i="25"/>
  <c r="I77" i="25"/>
  <c r="J46" i="25"/>
  <c r="J50" i="25"/>
  <c r="J52" i="25"/>
  <c r="J56" i="25"/>
  <c r="J60" i="25"/>
  <c r="J64" i="25"/>
  <c r="J33" i="25"/>
  <c r="J36" i="25"/>
  <c r="J34" i="25"/>
  <c r="J47" i="25"/>
  <c r="J44" i="25"/>
  <c r="J53" i="25"/>
  <c r="J57" i="25"/>
  <c r="J61" i="25"/>
  <c r="J65" i="25"/>
  <c r="J37" i="25"/>
  <c r="J35" i="25"/>
  <c r="J31" i="25"/>
  <c r="J41" i="25"/>
  <c r="J28" i="25"/>
  <c r="J27" i="25"/>
  <c r="J40" i="25"/>
  <c r="J45" i="25"/>
  <c r="J88" i="25" s="1"/>
  <c r="J51" i="25"/>
  <c r="J59" i="25"/>
  <c r="J29" i="25"/>
  <c r="J32" i="25"/>
  <c r="J42" i="25"/>
  <c r="K2" i="25"/>
  <c r="J48" i="25"/>
  <c r="J26" i="25"/>
  <c r="J69" i="25" s="1"/>
  <c r="J54" i="25"/>
  <c r="J58" i="25"/>
  <c r="J62" i="25"/>
  <c r="J39" i="25"/>
  <c r="J49" i="25"/>
  <c r="J55" i="25"/>
  <c r="J63" i="25"/>
  <c r="J30" i="25"/>
  <c r="J38" i="25"/>
  <c r="I101" i="25"/>
  <c r="I79" i="25"/>
  <c r="I100" i="25"/>
  <c r="H26" i="16"/>
  <c r="J28" i="16"/>
  <c r="K31" i="16"/>
  <c r="H28" i="16"/>
  <c r="H25" i="16"/>
  <c r="J30" i="16"/>
  <c r="H30" i="16"/>
  <c r="I25" i="16"/>
  <c r="I30" i="16"/>
  <c r="K26" i="16"/>
  <c r="K25" i="16"/>
  <c r="H27" i="16"/>
  <c r="K30" i="16"/>
  <c r="I28" i="16"/>
  <c r="K32" i="16"/>
  <c r="K28" i="16"/>
  <c r="I32" i="16"/>
  <c r="J32" i="16"/>
  <c r="J26" i="16"/>
  <c r="J27" i="16"/>
  <c r="I26" i="16"/>
  <c r="J25" i="16"/>
  <c r="I21" i="14"/>
  <c r="I27" i="16"/>
  <c r="C22" i="10" s="1"/>
  <c r="H31" i="16"/>
  <c r="H32" i="16"/>
  <c r="I31" i="16"/>
  <c r="J31" i="16"/>
  <c r="I22" i="14"/>
  <c r="I17" i="14"/>
  <c r="I18" i="14"/>
  <c r="I19" i="14"/>
  <c r="K2" i="14"/>
  <c r="J6" i="14"/>
  <c r="J10" i="14"/>
  <c r="J5" i="14"/>
  <c r="J9" i="14"/>
  <c r="J4" i="14"/>
  <c r="J15" i="14" s="1"/>
  <c r="J8" i="14"/>
  <c r="J11" i="14"/>
  <c r="J7" i="14"/>
  <c r="J5" i="13"/>
  <c r="I51" i="13"/>
  <c r="I47" i="13"/>
  <c r="I42" i="13"/>
  <c r="I38" i="13"/>
  <c r="I34" i="13"/>
  <c r="I50" i="13"/>
  <c r="I46" i="13"/>
  <c r="I52" i="13"/>
  <c r="I48" i="13"/>
  <c r="I43" i="13"/>
  <c r="I39" i="13"/>
  <c r="I49" i="13"/>
  <c r="I44" i="13"/>
  <c r="I40" i="13"/>
  <c r="I35" i="13"/>
  <c r="I41" i="13"/>
  <c r="I37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I20" i="14"/>
  <c r="I16" i="14"/>
  <c r="F53" i="13"/>
  <c r="F17" i="14"/>
  <c r="F22" i="14"/>
  <c r="F21" i="14"/>
  <c r="F16" i="14"/>
  <c r="F19" i="14"/>
  <c r="F18" i="14"/>
  <c r="F20" i="14"/>
  <c r="E6" i="10"/>
  <c r="E14" i="10" s="1"/>
  <c r="J20" i="16"/>
  <c r="K20" i="16"/>
  <c r="H20" i="16"/>
  <c r="L11" i="16"/>
  <c r="I20" i="16"/>
  <c r="F27" i="13"/>
  <c r="C6" i="10"/>
  <c r="H33" i="13" l="1"/>
  <c r="H45" i="13"/>
  <c r="I16" i="25"/>
  <c r="H10" i="13"/>
  <c r="H36" i="13"/>
  <c r="G53" i="13"/>
  <c r="G27" i="13"/>
  <c r="H19" i="13"/>
  <c r="J106" i="25"/>
  <c r="J91" i="25"/>
  <c r="J105" i="25"/>
  <c r="J73" i="25"/>
  <c r="J82" i="25"/>
  <c r="I17" i="25"/>
  <c r="I18" i="25"/>
  <c r="D9" i="10"/>
  <c r="D7" i="10"/>
  <c r="D13" i="10"/>
  <c r="D12" i="10"/>
  <c r="D10" i="10"/>
  <c r="D8" i="10"/>
  <c r="J104" i="25"/>
  <c r="C20" i="10"/>
  <c r="C19" i="10" s="1"/>
  <c r="C27" i="10" s="1"/>
  <c r="E20" i="10"/>
  <c r="E19" i="10" s="1"/>
  <c r="E27" i="10" s="1"/>
  <c r="J98" i="25"/>
  <c r="J101" i="25"/>
  <c r="J7" i="25" s="1"/>
  <c r="J102" i="25"/>
  <c r="J108" i="25"/>
  <c r="J95" i="25"/>
  <c r="J75" i="25"/>
  <c r="J84" i="25"/>
  <c r="J4" i="25"/>
  <c r="J5" i="25" s="1"/>
  <c r="J87" i="25"/>
  <c r="J92" i="25"/>
  <c r="J76" i="25"/>
  <c r="I13" i="25"/>
  <c r="I14" i="25"/>
  <c r="I6" i="25"/>
  <c r="J72" i="25"/>
  <c r="J83" i="25"/>
  <c r="J74" i="25"/>
  <c r="J90" i="25"/>
  <c r="J107" i="25"/>
  <c r="J93" i="25"/>
  <c r="J6" i="25" s="1"/>
  <c r="I7" i="25"/>
  <c r="I15" i="25"/>
  <c r="K45" i="25"/>
  <c r="K49" i="25"/>
  <c r="K26" i="25"/>
  <c r="K69" i="25" s="1"/>
  <c r="K54" i="25"/>
  <c r="K58" i="25"/>
  <c r="K62" i="25"/>
  <c r="K30" i="25"/>
  <c r="K29" i="25"/>
  <c r="K41" i="25"/>
  <c r="K32" i="25"/>
  <c r="L2" i="25"/>
  <c r="K31" i="25"/>
  <c r="K44" i="25"/>
  <c r="K61" i="25"/>
  <c r="K36" i="25"/>
  <c r="K46" i="25"/>
  <c r="K50" i="25"/>
  <c r="K51" i="25"/>
  <c r="K55" i="25"/>
  <c r="K59" i="25"/>
  <c r="K63" i="25"/>
  <c r="K34" i="25"/>
  <c r="K33" i="25"/>
  <c r="K39" i="25"/>
  <c r="K48" i="25"/>
  <c r="K91" i="25" s="1"/>
  <c r="K65" i="25"/>
  <c r="K47" i="25"/>
  <c r="K27" i="25"/>
  <c r="K52" i="25"/>
  <c r="K56" i="25"/>
  <c r="K60" i="25"/>
  <c r="K64" i="25"/>
  <c r="K38" i="25"/>
  <c r="K37" i="25"/>
  <c r="K35" i="25"/>
  <c r="K42" i="25"/>
  <c r="K53" i="25"/>
  <c r="K57" i="25"/>
  <c r="K28" i="25"/>
  <c r="K40" i="25"/>
  <c r="J70" i="25"/>
  <c r="J78" i="25"/>
  <c r="J100" i="25"/>
  <c r="J77" i="25"/>
  <c r="J103" i="25"/>
  <c r="J89" i="25"/>
  <c r="J81" i="25"/>
  <c r="J97" i="25"/>
  <c r="J85" i="25"/>
  <c r="J94" i="25"/>
  <c r="J71" i="25"/>
  <c r="J80" i="25"/>
  <c r="J96" i="25"/>
  <c r="J79" i="25"/>
  <c r="J99" i="25"/>
  <c r="H24" i="16"/>
  <c r="I24" i="16"/>
  <c r="L31" i="16"/>
  <c r="J24" i="16"/>
  <c r="L28" i="16"/>
  <c r="H29" i="16"/>
  <c r="L30" i="16"/>
  <c r="L26" i="16"/>
  <c r="K29" i="16"/>
  <c r="L25" i="16"/>
  <c r="J29" i="16"/>
  <c r="I29" i="16"/>
  <c r="L32" i="16"/>
  <c r="K24" i="16"/>
  <c r="Z19" i="14"/>
  <c r="L27" i="16"/>
  <c r="Z17" i="14"/>
  <c r="J22" i="14"/>
  <c r="Z18" i="14"/>
  <c r="J19" i="14"/>
  <c r="J18" i="14"/>
  <c r="J20" i="14"/>
  <c r="J16" i="14"/>
  <c r="I7" i="13"/>
  <c r="AK34" i="13"/>
  <c r="I33" i="13"/>
  <c r="AF33" i="13" s="1"/>
  <c r="I36" i="13"/>
  <c r="AA35" i="13" s="1"/>
  <c r="I19" i="13"/>
  <c r="I10" i="13"/>
  <c r="K5" i="13"/>
  <c r="J52" i="13"/>
  <c r="J48" i="13"/>
  <c r="J43" i="13"/>
  <c r="J39" i="13"/>
  <c r="J34" i="13"/>
  <c r="J49" i="13"/>
  <c r="J44" i="13"/>
  <c r="J40" i="13"/>
  <c r="J35" i="13"/>
  <c r="J50" i="13"/>
  <c r="J46" i="13"/>
  <c r="J41" i="13"/>
  <c r="J37" i="13"/>
  <c r="J51" i="13"/>
  <c r="J47" i="13"/>
  <c r="J42" i="13"/>
  <c r="J38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J21" i="14"/>
  <c r="L2" i="14"/>
  <c r="K7" i="14"/>
  <c r="K11" i="14"/>
  <c r="K6" i="14"/>
  <c r="K10" i="14"/>
  <c r="K5" i="14"/>
  <c r="K9" i="14"/>
  <c r="K4" i="14"/>
  <c r="K15" i="14" s="1"/>
  <c r="K8" i="14"/>
  <c r="AK33" i="13"/>
  <c r="I45" i="13"/>
  <c r="J17" i="14"/>
  <c r="L20" i="16"/>
  <c r="C14" i="10"/>
  <c r="K108" i="25" l="1"/>
  <c r="H53" i="13"/>
  <c r="K83" i="25"/>
  <c r="K70" i="25"/>
  <c r="K100" i="25"/>
  <c r="H27" i="13"/>
  <c r="K79" i="25"/>
  <c r="K71" i="25"/>
  <c r="K96" i="25"/>
  <c r="K107" i="25"/>
  <c r="K106" i="25"/>
  <c r="K103" i="25"/>
  <c r="K98" i="25"/>
  <c r="K73" i="25"/>
  <c r="K99" i="25"/>
  <c r="K94" i="25"/>
  <c r="K105" i="25"/>
  <c r="K104" i="25"/>
  <c r="K95" i="25"/>
  <c r="K93" i="25"/>
  <c r="K6" i="25" s="1"/>
  <c r="K101" i="25"/>
  <c r="K7" i="25" s="1"/>
  <c r="I19" i="25"/>
  <c r="K81" i="25"/>
  <c r="K84" i="25"/>
  <c r="K102" i="25"/>
  <c r="J8" i="25"/>
  <c r="K85" i="25"/>
  <c r="K78" i="25"/>
  <c r="K76" i="25"/>
  <c r="K80" i="25"/>
  <c r="K90" i="25"/>
  <c r="K82" i="25"/>
  <c r="K77" i="25"/>
  <c r="K75" i="25"/>
  <c r="H33" i="16"/>
  <c r="K74" i="25"/>
  <c r="K4" i="25"/>
  <c r="K5" i="25" s="1"/>
  <c r="K87" i="25"/>
  <c r="K92" i="25"/>
  <c r="K88" i="25"/>
  <c r="K89" i="25"/>
  <c r="K72" i="25"/>
  <c r="K97" i="25"/>
  <c r="L44" i="25"/>
  <c r="L48" i="25"/>
  <c r="L31" i="25"/>
  <c r="L52" i="25"/>
  <c r="L56" i="25"/>
  <c r="L60" i="25"/>
  <c r="L64" i="25"/>
  <c r="L38" i="25"/>
  <c r="L32" i="25"/>
  <c r="L27" i="25"/>
  <c r="L40" i="25"/>
  <c r="L55" i="25"/>
  <c r="L63" i="25"/>
  <c r="L45" i="25"/>
  <c r="L49" i="25"/>
  <c r="L35" i="25"/>
  <c r="L53" i="25"/>
  <c r="L57" i="25"/>
  <c r="L61" i="25"/>
  <c r="L65" i="25"/>
  <c r="L29" i="25"/>
  <c r="L36" i="25"/>
  <c r="L33" i="25"/>
  <c r="L28" i="25"/>
  <c r="L51" i="25"/>
  <c r="L59" i="25"/>
  <c r="L42" i="25"/>
  <c r="L46" i="25"/>
  <c r="L50" i="25"/>
  <c r="L39" i="25"/>
  <c r="L54" i="25"/>
  <c r="L58" i="25"/>
  <c r="L62" i="25"/>
  <c r="L30" i="25"/>
  <c r="L37" i="25"/>
  <c r="L41" i="25"/>
  <c r="M2" i="25"/>
  <c r="L47" i="25"/>
  <c r="L34" i="25"/>
  <c r="L26" i="25"/>
  <c r="L69" i="25" s="1"/>
  <c r="I8" i="25"/>
  <c r="J33" i="16"/>
  <c r="I33" i="16"/>
  <c r="L24" i="16"/>
  <c r="K33" i="16"/>
  <c r="L29" i="16"/>
  <c r="AF34" i="13"/>
  <c r="AF35" i="13" s="1"/>
  <c r="AA36" i="13"/>
  <c r="Z20" i="14"/>
  <c r="I53" i="13"/>
  <c r="AA38" i="13"/>
  <c r="K20" i="14"/>
  <c r="K19" i="14"/>
  <c r="AK35" i="13"/>
  <c r="K16" i="14"/>
  <c r="K18" i="14"/>
  <c r="AA37" i="13"/>
  <c r="K21" i="14"/>
  <c r="I27" i="13"/>
  <c r="AA8" i="13" s="1"/>
  <c r="AA33" i="13"/>
  <c r="AA34" i="13"/>
  <c r="K22" i="14"/>
  <c r="J45" i="13"/>
  <c r="J7" i="13"/>
  <c r="M2" i="14"/>
  <c r="L4" i="14"/>
  <c r="L15" i="14" s="1"/>
  <c r="L8" i="14"/>
  <c r="L7" i="14"/>
  <c r="L11" i="14"/>
  <c r="L6" i="14"/>
  <c r="L10" i="14"/>
  <c r="L5" i="14"/>
  <c r="L9" i="14"/>
  <c r="J36" i="13"/>
  <c r="J33" i="13"/>
  <c r="K17" i="14"/>
  <c r="J19" i="13"/>
  <c r="J10" i="13"/>
  <c r="L5" i="13"/>
  <c r="K49" i="13"/>
  <c r="K44" i="13"/>
  <c r="K40" i="13"/>
  <c r="K35" i="13"/>
  <c r="K50" i="13"/>
  <c r="K46" i="13"/>
  <c r="K41" i="13"/>
  <c r="K37" i="13"/>
  <c r="K52" i="13"/>
  <c r="K48" i="13"/>
  <c r="K43" i="13"/>
  <c r="K39" i="13"/>
  <c r="K51" i="13"/>
  <c r="K47" i="13"/>
  <c r="K42" i="13"/>
  <c r="K38" i="13"/>
  <c r="K34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5" i="13"/>
  <c r="K26" i="13"/>
  <c r="G10" i="10"/>
  <c r="G9" i="10"/>
  <c r="G13" i="10"/>
  <c r="G12" i="10"/>
  <c r="D11" i="10"/>
  <c r="G7" i="10"/>
  <c r="D6" i="10"/>
  <c r="G8" i="10"/>
  <c r="L93" i="25" l="1"/>
  <c r="L6" i="25" s="1"/>
  <c r="K8" i="25"/>
  <c r="L105" i="25"/>
  <c r="L101" i="25"/>
  <c r="L7" i="25" s="1"/>
  <c r="L97" i="25"/>
  <c r="L104" i="25"/>
  <c r="L89" i="25"/>
  <c r="L90" i="25"/>
  <c r="L88" i="25"/>
  <c r="L102" i="25"/>
  <c r="L91" i="25"/>
  <c r="L100" i="25"/>
  <c r="L94" i="25"/>
  <c r="L108" i="25"/>
  <c r="L96" i="25"/>
  <c r="D21" i="10"/>
  <c r="G21" i="10" s="1"/>
  <c r="D26" i="10"/>
  <c r="G26" i="10" s="1"/>
  <c r="D22" i="10"/>
  <c r="G22" i="10" s="1"/>
  <c r="L9" i="10" s="1"/>
  <c r="D25" i="10"/>
  <c r="D23" i="10"/>
  <c r="G23" i="10" s="1"/>
  <c r="L10" i="10" s="1"/>
  <c r="D20" i="10"/>
  <c r="G20" i="10" s="1"/>
  <c r="M44" i="25"/>
  <c r="M54" i="25"/>
  <c r="M58" i="25"/>
  <c r="M62" i="25"/>
  <c r="M50" i="25"/>
  <c r="M36" i="25"/>
  <c r="M30" i="25"/>
  <c r="M27" i="25"/>
  <c r="M37" i="25"/>
  <c r="M28" i="25"/>
  <c r="N2" i="25"/>
  <c r="M48" i="25"/>
  <c r="M45" i="25"/>
  <c r="M57" i="25"/>
  <c r="M65" i="25"/>
  <c r="M26" i="25"/>
  <c r="M69" i="25" s="1"/>
  <c r="M51" i="25"/>
  <c r="M55" i="25"/>
  <c r="M59" i="25"/>
  <c r="M63" i="25"/>
  <c r="M46" i="25"/>
  <c r="M31" i="25"/>
  <c r="M38" i="25"/>
  <c r="M33" i="25"/>
  <c r="M42" i="25"/>
  <c r="M34" i="25"/>
  <c r="M52" i="25"/>
  <c r="M56" i="25"/>
  <c r="M60" i="25"/>
  <c r="M64" i="25"/>
  <c r="M35" i="25"/>
  <c r="M39" i="25"/>
  <c r="M40" i="25"/>
  <c r="M41" i="25"/>
  <c r="M53" i="25"/>
  <c r="M61" i="25"/>
  <c r="M32" i="25"/>
  <c r="M47" i="25"/>
  <c r="M29" i="25"/>
  <c r="M49" i="25"/>
  <c r="L72" i="25"/>
  <c r="L106" i="25"/>
  <c r="L75" i="25"/>
  <c r="L99" i="25"/>
  <c r="L4" i="25"/>
  <c r="L5" i="25" s="1"/>
  <c r="L92" i="25"/>
  <c r="L87" i="25"/>
  <c r="L84" i="25"/>
  <c r="L71" i="25"/>
  <c r="L78" i="25"/>
  <c r="L98" i="25"/>
  <c r="L81" i="25"/>
  <c r="L95" i="25"/>
  <c r="L77" i="25"/>
  <c r="L80" i="25"/>
  <c r="L85" i="25"/>
  <c r="L76" i="25"/>
  <c r="L83" i="25"/>
  <c r="L107" i="25"/>
  <c r="L74" i="25"/>
  <c r="L73" i="25"/>
  <c r="L82" i="25"/>
  <c r="L79" i="25"/>
  <c r="L70" i="25"/>
  <c r="L103" i="25"/>
  <c r="L33" i="16"/>
  <c r="L17" i="14"/>
  <c r="L21" i="14"/>
  <c r="L20" i="14"/>
  <c r="L16" i="14"/>
  <c r="L18" i="14"/>
  <c r="J53" i="13"/>
  <c r="L19" i="14"/>
  <c r="L22" i="14"/>
  <c r="AA39" i="13"/>
  <c r="K7" i="13"/>
  <c r="J27" i="13"/>
  <c r="K33" i="13"/>
  <c r="K19" i="13"/>
  <c r="K10" i="13"/>
  <c r="K36" i="13"/>
  <c r="M5" i="13"/>
  <c r="L50" i="13"/>
  <c r="L46" i="13"/>
  <c r="L41" i="13"/>
  <c r="L37" i="13"/>
  <c r="L49" i="13"/>
  <c r="L51" i="13"/>
  <c r="L47" i="13"/>
  <c r="L42" i="13"/>
  <c r="L38" i="13"/>
  <c r="L52" i="13"/>
  <c r="L48" i="13"/>
  <c r="L43" i="13"/>
  <c r="L39" i="13"/>
  <c r="L34" i="13"/>
  <c r="L44" i="13"/>
  <c r="L40" i="13"/>
  <c r="L35" i="13"/>
  <c r="L11" i="13"/>
  <c r="L15" i="13"/>
  <c r="L20" i="13"/>
  <c r="L24" i="13"/>
  <c r="L9" i="13"/>
  <c r="L14" i="13"/>
  <c r="L18" i="13"/>
  <c r="L23" i="13"/>
  <c r="L12" i="13"/>
  <c r="L16" i="13"/>
  <c r="L21" i="13"/>
  <c r="L25" i="13"/>
  <c r="L8" i="13"/>
  <c r="L13" i="13"/>
  <c r="L17" i="13"/>
  <c r="L22" i="13"/>
  <c r="L26" i="13"/>
  <c r="K45" i="13"/>
  <c r="N2" i="14"/>
  <c r="M5" i="14"/>
  <c r="M9" i="14"/>
  <c r="M4" i="14"/>
  <c r="M15" i="14" s="1"/>
  <c r="M8" i="14"/>
  <c r="M7" i="14"/>
  <c r="M11" i="14"/>
  <c r="M6" i="14"/>
  <c r="M10" i="14"/>
  <c r="D14" i="10"/>
  <c r="G6" i="10"/>
  <c r="G11" i="10"/>
  <c r="L8" i="25" l="1"/>
  <c r="M88" i="25"/>
  <c r="M90" i="25"/>
  <c r="M95" i="25"/>
  <c r="M89" i="25"/>
  <c r="M82" i="25"/>
  <c r="M76" i="25"/>
  <c r="D19" i="10"/>
  <c r="G19" i="10" s="1"/>
  <c r="L8" i="10" s="1"/>
  <c r="D24" i="10"/>
  <c r="G24" i="10" s="1"/>
  <c r="L11" i="10" s="1"/>
  <c r="M91" i="25"/>
  <c r="G25" i="10"/>
  <c r="M104" i="25"/>
  <c r="M99" i="25"/>
  <c r="M106" i="25"/>
  <c r="M70" i="25"/>
  <c r="M105" i="25"/>
  <c r="M72" i="25"/>
  <c r="M96" i="25"/>
  <c r="M78" i="25"/>
  <c r="M81" i="25"/>
  <c r="M102" i="25"/>
  <c r="M108" i="25"/>
  <c r="N53" i="25"/>
  <c r="N56" i="25"/>
  <c r="N60" i="25"/>
  <c r="N64" i="25"/>
  <c r="N33" i="25"/>
  <c r="N32" i="25"/>
  <c r="N42" i="25"/>
  <c r="N47" i="25"/>
  <c r="N50" i="25"/>
  <c r="N62" i="25"/>
  <c r="N27" i="25"/>
  <c r="N31" i="25"/>
  <c r="N34" i="25"/>
  <c r="N52" i="25"/>
  <c r="N59" i="25"/>
  <c r="N29" i="25"/>
  <c r="N40" i="25"/>
  <c r="N41" i="25"/>
  <c r="N28" i="25"/>
  <c r="N44" i="25"/>
  <c r="N26" i="25"/>
  <c r="N69" i="25" s="1"/>
  <c r="N57" i="25"/>
  <c r="N61" i="25"/>
  <c r="N65" i="25"/>
  <c r="N37" i="25"/>
  <c r="N36" i="25"/>
  <c r="N49" i="25"/>
  <c r="N30" i="25"/>
  <c r="N35" i="25"/>
  <c r="N51" i="25"/>
  <c r="N54" i="25"/>
  <c r="N58" i="25"/>
  <c r="N46" i="25"/>
  <c r="N38" i="25"/>
  <c r="N45" i="25"/>
  <c r="N55" i="25"/>
  <c r="N63" i="25"/>
  <c r="N48" i="25"/>
  <c r="N39" i="25"/>
  <c r="O2" i="25"/>
  <c r="M73" i="25"/>
  <c r="M101" i="25"/>
  <c r="M7" i="25" s="1"/>
  <c r="M84" i="25"/>
  <c r="M107" i="25"/>
  <c r="M77" i="25"/>
  <c r="M74" i="25"/>
  <c r="M98" i="25"/>
  <c r="M100" i="25"/>
  <c r="M71" i="25"/>
  <c r="M79" i="25"/>
  <c r="M97" i="25"/>
  <c r="M75" i="25"/>
  <c r="M83" i="25"/>
  <c r="M103" i="25"/>
  <c r="M85" i="25"/>
  <c r="M94" i="25"/>
  <c r="M80" i="25"/>
  <c r="M93" i="25"/>
  <c r="M6" i="25" s="1"/>
  <c r="M4" i="25"/>
  <c r="M5" i="25" s="1"/>
  <c r="M92" i="25"/>
  <c r="M87" i="25"/>
  <c r="L7" i="13"/>
  <c r="M21" i="14"/>
  <c r="M17" i="14"/>
  <c r="M22" i="14"/>
  <c r="M18" i="14"/>
  <c r="K53" i="13"/>
  <c r="K27" i="13"/>
  <c r="M19" i="14"/>
  <c r="L33" i="13"/>
  <c r="M20" i="14"/>
  <c r="L19" i="13"/>
  <c r="L36" i="13"/>
  <c r="N5" i="13"/>
  <c r="K66" i="16" s="1"/>
  <c r="E35" i="10" s="1"/>
  <c r="M51" i="13"/>
  <c r="M47" i="13"/>
  <c r="M42" i="13"/>
  <c r="M38" i="13"/>
  <c r="M41" i="13"/>
  <c r="M52" i="13"/>
  <c r="M48" i="13"/>
  <c r="M43" i="13"/>
  <c r="M39" i="13"/>
  <c r="M34" i="13"/>
  <c r="M37" i="13"/>
  <c r="M49" i="13"/>
  <c r="M44" i="13"/>
  <c r="M40" i="13"/>
  <c r="M35" i="13"/>
  <c r="M50" i="13"/>
  <c r="M46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M16" i="14"/>
  <c r="O2" i="14"/>
  <c r="N6" i="14"/>
  <c r="N10" i="14"/>
  <c r="N5" i="14"/>
  <c r="N9" i="14"/>
  <c r="N4" i="14"/>
  <c r="N15" i="14" s="1"/>
  <c r="N8" i="14"/>
  <c r="N11" i="14"/>
  <c r="N7" i="14"/>
  <c r="L10" i="13"/>
  <c r="L45" i="13"/>
  <c r="G14" i="10"/>
  <c r="L12" i="10" l="1"/>
  <c r="D27" i="10"/>
  <c r="G27" i="10" s="1"/>
  <c r="N97" i="25"/>
  <c r="M8" i="25"/>
  <c r="N101" i="25"/>
  <c r="N7" i="25" s="1"/>
  <c r="N78" i="25"/>
  <c r="N106" i="25"/>
  <c r="N98" i="25"/>
  <c r="N89" i="25"/>
  <c r="N108" i="25"/>
  <c r="N93" i="25"/>
  <c r="N6" i="25" s="1"/>
  <c r="N96" i="25"/>
  <c r="N107" i="25"/>
  <c r="N77" i="25"/>
  <c r="O45" i="25"/>
  <c r="O49" i="25"/>
  <c r="O52" i="25"/>
  <c r="O28" i="25"/>
  <c r="O29" i="25"/>
  <c r="O41" i="25"/>
  <c r="O40" i="25"/>
  <c r="O57" i="25"/>
  <c r="O61" i="25"/>
  <c r="O65" i="25"/>
  <c r="P2" i="25"/>
  <c r="O26" i="25"/>
  <c r="O69" i="25" s="1"/>
  <c r="O55" i="25"/>
  <c r="O63" i="25"/>
  <c r="O106" i="25" s="1"/>
  <c r="O51" i="25"/>
  <c r="O44" i="25"/>
  <c r="O32" i="25"/>
  <c r="O56" i="25"/>
  <c r="O64" i="25"/>
  <c r="O46" i="25"/>
  <c r="O50" i="25"/>
  <c r="O53" i="25"/>
  <c r="O30" i="25"/>
  <c r="O33" i="25"/>
  <c r="O35" i="25"/>
  <c r="O54" i="25"/>
  <c r="O97" i="25" s="1"/>
  <c r="O58" i="25"/>
  <c r="O62" i="25"/>
  <c r="O36" i="25"/>
  <c r="O47" i="25"/>
  <c r="O27" i="25"/>
  <c r="O34" i="25"/>
  <c r="O37" i="25"/>
  <c r="O42" i="25"/>
  <c r="O59" i="25"/>
  <c r="O39" i="25"/>
  <c r="O48" i="25"/>
  <c r="O38" i="25"/>
  <c r="O31" i="25"/>
  <c r="O60" i="25"/>
  <c r="N73" i="25"/>
  <c r="N4" i="25"/>
  <c r="N5" i="25" s="1"/>
  <c r="N92" i="25"/>
  <c r="N87" i="25"/>
  <c r="N74" i="25"/>
  <c r="N82" i="25"/>
  <c r="N88" i="25"/>
  <c r="N104" i="25"/>
  <c r="N71" i="25"/>
  <c r="N102" i="25"/>
  <c r="N70" i="25"/>
  <c r="N85" i="25"/>
  <c r="N103" i="25"/>
  <c r="N80" i="25"/>
  <c r="N83" i="25"/>
  <c r="N76" i="25"/>
  <c r="N72" i="25"/>
  <c r="N90" i="25"/>
  <c r="N91" i="25"/>
  <c r="N81" i="25"/>
  <c r="N94" i="25"/>
  <c r="N79" i="25"/>
  <c r="N100" i="25"/>
  <c r="N84" i="25"/>
  <c r="N95" i="25"/>
  <c r="N105" i="25"/>
  <c r="N75" i="25"/>
  <c r="N99" i="25"/>
  <c r="L27" i="13"/>
  <c r="M45" i="13"/>
  <c r="M7" i="13"/>
  <c r="N18" i="14"/>
  <c r="N20" i="14"/>
  <c r="P2" i="14"/>
  <c r="O7" i="14"/>
  <c r="O11" i="14"/>
  <c r="O6" i="14"/>
  <c r="O10" i="14"/>
  <c r="O5" i="14"/>
  <c r="O9" i="14"/>
  <c r="O4" i="14"/>
  <c r="O15" i="14" s="1"/>
  <c r="O8" i="14"/>
  <c r="M19" i="13"/>
  <c r="M10" i="13"/>
  <c r="O5" i="13"/>
  <c r="N52" i="13"/>
  <c r="N48" i="13"/>
  <c r="N43" i="13"/>
  <c r="N39" i="13"/>
  <c r="N34" i="13"/>
  <c r="N49" i="13"/>
  <c r="N44" i="13"/>
  <c r="N40" i="13"/>
  <c r="N35" i="13"/>
  <c r="N51" i="13"/>
  <c r="N47" i="13"/>
  <c r="N42" i="13"/>
  <c r="N38" i="13"/>
  <c r="N50" i="13"/>
  <c r="N46" i="13"/>
  <c r="N41" i="13"/>
  <c r="N37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5" i="13"/>
  <c r="N26" i="13"/>
  <c r="H71" i="16"/>
  <c r="H70" i="16"/>
  <c r="I70" i="16"/>
  <c r="I69" i="16"/>
  <c r="H66" i="16"/>
  <c r="K70" i="16"/>
  <c r="K69" i="16"/>
  <c r="K65" i="16"/>
  <c r="K67" i="16"/>
  <c r="J67" i="16"/>
  <c r="J65" i="16"/>
  <c r="J66" i="16"/>
  <c r="K64" i="16"/>
  <c r="E33" i="10" s="1"/>
  <c r="J69" i="16"/>
  <c r="I71" i="16"/>
  <c r="I65" i="16"/>
  <c r="J64" i="16"/>
  <c r="H69" i="16"/>
  <c r="H67" i="16"/>
  <c r="J71" i="16"/>
  <c r="K71" i="16"/>
  <c r="I66" i="16"/>
  <c r="C35" i="10" s="1"/>
  <c r="I67" i="16"/>
  <c r="H65" i="16"/>
  <c r="H64" i="16"/>
  <c r="I64" i="16"/>
  <c r="C33" i="10" s="1"/>
  <c r="J70" i="16"/>
  <c r="N17" i="14"/>
  <c r="N22" i="14"/>
  <c r="N16" i="14"/>
  <c r="M36" i="13"/>
  <c r="L53" i="13"/>
  <c r="N19" i="14"/>
  <c r="N21" i="14"/>
  <c r="M33" i="13"/>
  <c r="O89" i="25" l="1"/>
  <c r="N8" i="25"/>
  <c r="O76" i="25"/>
  <c r="O82" i="25"/>
  <c r="O85" i="25"/>
  <c r="O77" i="25"/>
  <c r="O80" i="25"/>
  <c r="O91" i="25"/>
  <c r="O74" i="25"/>
  <c r="O81" i="25"/>
  <c r="O73" i="25"/>
  <c r="O96" i="25"/>
  <c r="O108" i="25"/>
  <c r="O70" i="25"/>
  <c r="O99" i="25"/>
  <c r="O90" i="25"/>
  <c r="O79" i="25"/>
  <c r="O78" i="25"/>
  <c r="O75" i="25"/>
  <c r="O93" i="25"/>
  <c r="O6" i="25" s="1"/>
  <c r="O98" i="25"/>
  <c r="O104" i="25"/>
  <c r="O103" i="25"/>
  <c r="O105" i="25"/>
  <c r="O100" i="25"/>
  <c r="O102" i="25"/>
  <c r="O101" i="25"/>
  <c r="O7" i="25" s="1"/>
  <c r="O107" i="25"/>
  <c r="O94" i="25"/>
  <c r="O83" i="25"/>
  <c r="O95" i="25"/>
  <c r="O84" i="25"/>
  <c r="O72" i="25"/>
  <c r="O88" i="25"/>
  <c r="P45" i="25"/>
  <c r="P49" i="25"/>
  <c r="P31" i="25"/>
  <c r="P27" i="25"/>
  <c r="P51" i="25"/>
  <c r="P36" i="25"/>
  <c r="P29" i="25"/>
  <c r="P55" i="25"/>
  <c r="P59" i="25"/>
  <c r="P63" i="25"/>
  <c r="P60" i="25"/>
  <c r="Q2" i="25"/>
  <c r="P65" i="25"/>
  <c r="P44" i="25"/>
  <c r="P38" i="25"/>
  <c r="P54" i="25"/>
  <c r="P46" i="25"/>
  <c r="P50" i="25"/>
  <c r="P35" i="25"/>
  <c r="P30" i="25"/>
  <c r="P53" i="25"/>
  <c r="P32" i="25"/>
  <c r="P37" i="25"/>
  <c r="P56" i="25"/>
  <c r="P64" i="25"/>
  <c r="P26" i="25"/>
  <c r="P69" i="25" s="1"/>
  <c r="P52" i="25"/>
  <c r="P58" i="25"/>
  <c r="P47" i="25"/>
  <c r="P28" i="25"/>
  <c r="P39" i="25"/>
  <c r="P34" i="25"/>
  <c r="P33" i="25"/>
  <c r="P41" i="25"/>
  <c r="P40" i="25"/>
  <c r="P57" i="25"/>
  <c r="P61" i="25"/>
  <c r="P48" i="25"/>
  <c r="P42" i="25"/>
  <c r="P62" i="25"/>
  <c r="O4" i="25"/>
  <c r="O5" i="25" s="1"/>
  <c r="O87" i="25"/>
  <c r="O92" i="25"/>
  <c r="O71" i="25"/>
  <c r="M27" i="13"/>
  <c r="M53" i="13"/>
  <c r="N7" i="13"/>
  <c r="N36" i="13"/>
  <c r="O19" i="14"/>
  <c r="O20" i="14"/>
  <c r="I68" i="16"/>
  <c r="O16" i="14"/>
  <c r="O18" i="14"/>
  <c r="I63" i="16"/>
  <c r="L67" i="16"/>
  <c r="K68" i="16"/>
  <c r="N33" i="13"/>
  <c r="O21" i="14"/>
  <c r="Q2" i="14"/>
  <c r="P4" i="14"/>
  <c r="P15" i="14" s="1"/>
  <c r="P8" i="14"/>
  <c r="P7" i="14"/>
  <c r="P11" i="14"/>
  <c r="P6" i="14"/>
  <c r="P10" i="14"/>
  <c r="P9" i="14"/>
  <c r="P5" i="14"/>
  <c r="L70" i="16"/>
  <c r="N19" i="13"/>
  <c r="N10" i="13"/>
  <c r="P5" i="13"/>
  <c r="O49" i="13"/>
  <c r="O44" i="13"/>
  <c r="O40" i="13"/>
  <c r="O35" i="13"/>
  <c r="O52" i="13"/>
  <c r="O48" i="13"/>
  <c r="O50" i="13"/>
  <c r="O46" i="13"/>
  <c r="O41" i="13"/>
  <c r="O37" i="13"/>
  <c r="O51" i="13"/>
  <c r="O47" i="13"/>
  <c r="O42" i="13"/>
  <c r="O38" i="13"/>
  <c r="O43" i="13"/>
  <c r="O39" i="13"/>
  <c r="O34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7" i="14"/>
  <c r="L64" i="16"/>
  <c r="H63" i="16"/>
  <c r="H68" i="16"/>
  <c r="L69" i="16"/>
  <c r="J68" i="16"/>
  <c r="L65" i="16"/>
  <c r="J63" i="16"/>
  <c r="E32" i="10"/>
  <c r="E40" i="10" s="1"/>
  <c r="K63" i="16"/>
  <c r="L66" i="16"/>
  <c r="L71" i="16"/>
  <c r="N45" i="13"/>
  <c r="O22" i="14"/>
  <c r="P91" i="25" l="1"/>
  <c r="P105" i="25"/>
  <c r="P95" i="25"/>
  <c r="P104" i="25"/>
  <c r="P100" i="25"/>
  <c r="P107" i="25"/>
  <c r="P71" i="25"/>
  <c r="P93" i="25"/>
  <c r="P6" i="25" s="1"/>
  <c r="P90" i="25"/>
  <c r="P101" i="25"/>
  <c r="P7" i="25" s="1"/>
  <c r="P97" i="25"/>
  <c r="P99" i="25"/>
  <c r="P84" i="25"/>
  <c r="P106" i="25"/>
  <c r="P96" i="25"/>
  <c r="P76" i="25"/>
  <c r="P89" i="25"/>
  <c r="P108" i="25"/>
  <c r="P102" i="25"/>
  <c r="P94" i="25"/>
  <c r="O8" i="25"/>
  <c r="P103" i="25"/>
  <c r="P98" i="25"/>
  <c r="I72" i="16"/>
  <c r="P77" i="25"/>
  <c r="P73" i="25"/>
  <c r="P70" i="25"/>
  <c r="P85" i="25"/>
  <c r="P83" i="25"/>
  <c r="P82" i="25"/>
  <c r="P80" i="25"/>
  <c r="P78" i="25"/>
  <c r="P81" i="25"/>
  <c r="Q51" i="25"/>
  <c r="Q46" i="25"/>
  <c r="Q54" i="25"/>
  <c r="Q58" i="25"/>
  <c r="Q62" i="25"/>
  <c r="Q32" i="25"/>
  <c r="Q31" i="25"/>
  <c r="Q37" i="25"/>
  <c r="Q30" i="25"/>
  <c r="Q29" i="25"/>
  <c r="R2" i="25"/>
  <c r="Q49" i="25"/>
  <c r="Q61" i="25"/>
  <c r="Q34" i="25"/>
  <c r="Q52" i="25"/>
  <c r="Q47" i="25"/>
  <c r="Q55" i="25"/>
  <c r="Q59" i="25"/>
  <c r="Q63" i="25"/>
  <c r="Q36" i="25"/>
  <c r="Q35" i="25"/>
  <c r="Q39" i="25"/>
  <c r="Q38" i="25"/>
  <c r="Q40" i="25"/>
  <c r="Q45" i="25"/>
  <c r="Q65" i="25"/>
  <c r="Q50" i="25"/>
  <c r="Q53" i="25"/>
  <c r="Q48" i="25"/>
  <c r="Q56" i="25"/>
  <c r="Q60" i="25"/>
  <c r="Q64" i="25"/>
  <c r="Q26" i="25"/>
  <c r="Q69" i="25" s="1"/>
  <c r="Q27" i="25"/>
  <c r="Q33" i="25"/>
  <c r="Q41" i="25"/>
  <c r="Q44" i="25"/>
  <c r="Q57" i="25"/>
  <c r="Q28" i="25"/>
  <c r="Q42" i="25"/>
  <c r="P72" i="25"/>
  <c r="P74" i="25"/>
  <c r="P75" i="25"/>
  <c r="P4" i="25"/>
  <c r="P5" i="25" s="1"/>
  <c r="P87" i="25"/>
  <c r="P92" i="25"/>
  <c r="P79" i="25"/>
  <c r="P88" i="25"/>
  <c r="N53" i="13"/>
  <c r="P17" i="14"/>
  <c r="K72" i="16"/>
  <c r="N27" i="13"/>
  <c r="J72" i="16"/>
  <c r="O10" i="13"/>
  <c r="L68" i="16"/>
  <c r="O7" i="13"/>
  <c r="L63" i="16"/>
  <c r="H72" i="16"/>
  <c r="P16" i="14"/>
  <c r="P22" i="14"/>
  <c r="R2" i="14"/>
  <c r="Q5" i="14"/>
  <c r="Q9" i="14"/>
  <c r="Q4" i="14"/>
  <c r="Q15" i="14" s="1"/>
  <c r="Q8" i="14"/>
  <c r="Q7" i="14"/>
  <c r="Q11" i="14"/>
  <c r="Q6" i="14"/>
  <c r="Q10" i="14"/>
  <c r="O19" i="13"/>
  <c r="O36" i="13"/>
  <c r="P20" i="14"/>
  <c r="P18" i="14"/>
  <c r="C32" i="10"/>
  <c r="O45" i="13"/>
  <c r="Q5" i="13"/>
  <c r="P50" i="13"/>
  <c r="P46" i="13"/>
  <c r="P41" i="13"/>
  <c r="P37" i="13"/>
  <c r="P44" i="13"/>
  <c r="P40" i="13"/>
  <c r="P51" i="13"/>
  <c r="P47" i="13"/>
  <c r="P42" i="13"/>
  <c r="P38" i="13"/>
  <c r="P35" i="13"/>
  <c r="P52" i="13"/>
  <c r="P48" i="13"/>
  <c r="P43" i="13"/>
  <c r="P39" i="13"/>
  <c r="P34" i="13"/>
  <c r="P49" i="13"/>
  <c r="P12" i="13"/>
  <c r="P16" i="13"/>
  <c r="P21" i="13"/>
  <c r="P25" i="13"/>
  <c r="P11" i="13"/>
  <c r="P15" i="13"/>
  <c r="P20" i="13"/>
  <c r="P24" i="13"/>
  <c r="P8" i="13"/>
  <c r="P9" i="13"/>
  <c r="P14" i="13"/>
  <c r="P18" i="13"/>
  <c r="P23" i="13"/>
  <c r="P13" i="13"/>
  <c r="P17" i="13"/>
  <c r="P22" i="13"/>
  <c r="P26" i="13"/>
  <c r="O33" i="13"/>
  <c r="P21" i="14"/>
  <c r="P19" i="14"/>
  <c r="P8" i="25" l="1"/>
  <c r="Q96" i="25"/>
  <c r="Q107" i="25"/>
  <c r="Q85" i="25"/>
  <c r="D35" i="10"/>
  <c r="G35" i="10" s="1"/>
  <c r="D36" i="10"/>
  <c r="G36" i="10" s="1"/>
  <c r="D34" i="10"/>
  <c r="G34" i="10" s="1"/>
  <c r="D33" i="10"/>
  <c r="G33" i="10" s="1"/>
  <c r="D39" i="10"/>
  <c r="G39" i="10" s="1"/>
  <c r="D38" i="10"/>
  <c r="G38" i="10" s="1"/>
  <c r="Q71" i="25"/>
  <c r="Q76" i="25"/>
  <c r="Q84" i="25"/>
  <c r="Q83" i="25"/>
  <c r="Q79" i="25"/>
  <c r="Q90" i="25"/>
  <c r="Q80" i="25"/>
  <c r="Q101" i="25"/>
  <c r="Q7" i="25" s="1"/>
  <c r="Q103" i="25"/>
  <c r="Q93" i="25"/>
  <c r="Q6" i="25" s="1"/>
  <c r="Q81" i="25"/>
  <c r="Q106" i="25"/>
  <c r="Q95" i="25"/>
  <c r="R44" i="25"/>
  <c r="R48" i="25"/>
  <c r="R54" i="25"/>
  <c r="R58" i="25"/>
  <c r="R62" i="25"/>
  <c r="R29" i="25"/>
  <c r="R36" i="25"/>
  <c r="R40" i="25"/>
  <c r="R53" i="25"/>
  <c r="R42" i="25"/>
  <c r="S2" i="25"/>
  <c r="R45" i="25"/>
  <c r="R49" i="25"/>
  <c r="R55" i="25"/>
  <c r="R59" i="25"/>
  <c r="R63" i="25"/>
  <c r="R33" i="25"/>
  <c r="R28" i="25"/>
  <c r="R52" i="25"/>
  <c r="R27" i="25"/>
  <c r="R30" i="25"/>
  <c r="R34" i="25"/>
  <c r="R41" i="25"/>
  <c r="R26" i="25"/>
  <c r="R69" i="25" s="1"/>
  <c r="R61" i="25"/>
  <c r="R32" i="25"/>
  <c r="R51" i="25"/>
  <c r="R31" i="25"/>
  <c r="R46" i="25"/>
  <c r="R50" i="25"/>
  <c r="R56" i="25"/>
  <c r="R60" i="25"/>
  <c r="R64" i="25"/>
  <c r="R37" i="25"/>
  <c r="R35" i="25"/>
  <c r="R38" i="25"/>
  <c r="R47" i="25"/>
  <c r="R57" i="25"/>
  <c r="R65" i="25"/>
  <c r="R39" i="25"/>
  <c r="Q74" i="25"/>
  <c r="Q97" i="25"/>
  <c r="Q100" i="25"/>
  <c r="Q70" i="25"/>
  <c r="Q99" i="25"/>
  <c r="Q108" i="25"/>
  <c r="Q82" i="25"/>
  <c r="Q102" i="25"/>
  <c r="Q77" i="25"/>
  <c r="Q72" i="25"/>
  <c r="Q75" i="25"/>
  <c r="Q89" i="25"/>
  <c r="Q4" i="25"/>
  <c r="Q5" i="25" s="1"/>
  <c r="Q92" i="25"/>
  <c r="Q87" i="25"/>
  <c r="Q91" i="25"/>
  <c r="Q88" i="25"/>
  <c r="Q78" i="25"/>
  <c r="Q98" i="25"/>
  <c r="Q104" i="25"/>
  <c r="Q73" i="25"/>
  <c r="Q105" i="25"/>
  <c r="Q94" i="25"/>
  <c r="Q17" i="14"/>
  <c r="L72" i="16"/>
  <c r="P7" i="13"/>
  <c r="P33" i="13"/>
  <c r="O27" i="13"/>
  <c r="O53" i="13"/>
  <c r="C40" i="10"/>
  <c r="P19" i="13"/>
  <c r="P36" i="13"/>
  <c r="R5" i="13"/>
  <c r="Q51" i="13"/>
  <c r="Q47" i="13"/>
  <c r="Q42" i="13"/>
  <c r="Q38" i="13"/>
  <c r="Q37" i="13"/>
  <c r="Q52" i="13"/>
  <c r="Q48" i="13"/>
  <c r="Q43" i="13"/>
  <c r="Q39" i="13"/>
  <c r="Q34" i="13"/>
  <c r="Q50" i="13"/>
  <c r="Q46" i="13"/>
  <c r="Q41" i="13"/>
  <c r="Q49" i="13"/>
  <c r="Q44" i="13"/>
  <c r="Q40" i="13"/>
  <c r="Q35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22" i="14"/>
  <c r="Q20" i="14"/>
  <c r="Q18" i="14"/>
  <c r="Q16" i="14"/>
  <c r="P10" i="13"/>
  <c r="P45" i="13"/>
  <c r="Q21" i="14"/>
  <c r="Q19" i="14"/>
  <c r="S2" i="14"/>
  <c r="R6" i="14"/>
  <c r="R10" i="14"/>
  <c r="R5" i="14"/>
  <c r="R9" i="14"/>
  <c r="R4" i="14"/>
  <c r="R15" i="14" s="1"/>
  <c r="R8" i="14"/>
  <c r="R11" i="14"/>
  <c r="R7" i="14"/>
  <c r="R90" i="25" l="1"/>
  <c r="R104" i="25"/>
  <c r="R100" i="25"/>
  <c r="R91" i="25"/>
  <c r="R82" i="25"/>
  <c r="R107" i="25"/>
  <c r="R103" i="25"/>
  <c r="R93" i="25"/>
  <c r="R6" i="25" s="1"/>
  <c r="R89" i="25"/>
  <c r="R106" i="25"/>
  <c r="R88" i="25"/>
  <c r="R108" i="25"/>
  <c r="R99" i="25"/>
  <c r="R98" i="25"/>
  <c r="R81" i="25"/>
  <c r="R74" i="25"/>
  <c r="D32" i="10"/>
  <c r="G32" i="10" s="1"/>
  <c r="R80" i="25"/>
  <c r="Q8" i="25"/>
  <c r="R75" i="25"/>
  <c r="R77" i="25"/>
  <c r="R71" i="25"/>
  <c r="R85" i="25"/>
  <c r="R72" i="25"/>
  <c r="R73" i="25"/>
  <c r="R76" i="25"/>
  <c r="R96" i="25"/>
  <c r="R105" i="25"/>
  <c r="R4" i="25"/>
  <c r="R5" i="25" s="1"/>
  <c r="R92" i="25"/>
  <c r="R87" i="25"/>
  <c r="R70" i="25"/>
  <c r="R83" i="25"/>
  <c r="R101" i="25"/>
  <c r="R7" i="25" s="1"/>
  <c r="R78" i="25"/>
  <c r="R94" i="25"/>
  <c r="R84" i="25"/>
  <c r="R95" i="25"/>
  <c r="R102" i="25"/>
  <c r="S48" i="25"/>
  <c r="S51" i="25"/>
  <c r="S26" i="25"/>
  <c r="S69" i="25" s="1"/>
  <c r="S57" i="25"/>
  <c r="S61" i="25"/>
  <c r="S65" i="25"/>
  <c r="S29" i="25"/>
  <c r="S41" i="25"/>
  <c r="S40" i="25"/>
  <c r="S44" i="25"/>
  <c r="S60" i="25"/>
  <c r="S36" i="25"/>
  <c r="T2" i="25"/>
  <c r="S45" i="25"/>
  <c r="S49" i="25"/>
  <c r="S52" i="25"/>
  <c r="S54" i="25"/>
  <c r="S58" i="25"/>
  <c r="S62" i="25"/>
  <c r="S30" i="25"/>
  <c r="S33" i="25"/>
  <c r="S28" i="25"/>
  <c r="S32" i="25"/>
  <c r="S63" i="25"/>
  <c r="S37" i="25"/>
  <c r="S31" i="25"/>
  <c r="X2" i="25"/>
  <c r="S47" i="25"/>
  <c r="S64" i="25"/>
  <c r="S39" i="25"/>
  <c r="S46" i="25"/>
  <c r="S50" i="25"/>
  <c r="S53" i="25"/>
  <c r="S55" i="25"/>
  <c r="S59" i="25"/>
  <c r="S34" i="25"/>
  <c r="S35" i="25"/>
  <c r="S27" i="25"/>
  <c r="S56" i="25"/>
  <c r="S38" i="25"/>
  <c r="S42" i="25"/>
  <c r="R79" i="25"/>
  <c r="R97" i="25"/>
  <c r="Q7" i="13"/>
  <c r="P53" i="13"/>
  <c r="P27" i="13"/>
  <c r="R22" i="14"/>
  <c r="R16" i="14"/>
  <c r="Q45" i="13"/>
  <c r="D37" i="10"/>
  <c r="G37" i="10" s="1"/>
  <c r="Q10" i="13"/>
  <c r="S5" i="13"/>
  <c r="K79" i="16" s="1"/>
  <c r="E48" i="10" s="1"/>
  <c r="R52" i="13"/>
  <c r="R48" i="13"/>
  <c r="R43" i="13"/>
  <c r="R39" i="13"/>
  <c r="R34" i="13"/>
  <c r="R51" i="13"/>
  <c r="R47" i="13"/>
  <c r="R49" i="13"/>
  <c r="R44" i="13"/>
  <c r="R40" i="13"/>
  <c r="R35" i="13"/>
  <c r="R50" i="13"/>
  <c r="R46" i="13"/>
  <c r="R41" i="13"/>
  <c r="R37" i="13"/>
  <c r="R42" i="13"/>
  <c r="R38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R17" i="14"/>
  <c r="Q33" i="13"/>
  <c r="Q19" i="13"/>
  <c r="R18" i="14"/>
  <c r="R20" i="14"/>
  <c r="T2" i="14"/>
  <c r="S7" i="14"/>
  <c r="S11" i="14"/>
  <c r="S5" i="14"/>
  <c r="S9" i="14"/>
  <c r="S10" i="14"/>
  <c r="S4" i="14"/>
  <c r="S15" i="14" s="1"/>
  <c r="S8" i="14"/>
  <c r="S6" i="14"/>
  <c r="Q36" i="13"/>
  <c r="S99" i="25" l="1"/>
  <c r="R8" i="25"/>
  <c r="S89" i="25"/>
  <c r="S90" i="25"/>
  <c r="S102" i="25"/>
  <c r="S75" i="25"/>
  <c r="S88" i="25"/>
  <c r="S105" i="25"/>
  <c r="S72" i="25"/>
  <c r="S81" i="25"/>
  <c r="S77" i="25"/>
  <c r="S93" i="25"/>
  <c r="S6" i="25" s="1"/>
  <c r="S73" i="25"/>
  <c r="S70" i="25"/>
  <c r="S82" i="25"/>
  <c r="S85" i="25"/>
  <c r="S78" i="25"/>
  <c r="S96" i="25"/>
  <c r="S107" i="25"/>
  <c r="S80" i="25"/>
  <c r="S76" i="25"/>
  <c r="S106" i="25"/>
  <c r="S79" i="25"/>
  <c r="S84" i="25"/>
  <c r="S95" i="25"/>
  <c r="S100" i="25"/>
  <c r="S97" i="25"/>
  <c r="X50" i="25"/>
  <c r="X45" i="25"/>
  <c r="X31" i="25"/>
  <c r="X34" i="25"/>
  <c r="X42" i="25"/>
  <c r="X56" i="25"/>
  <c r="X60" i="25"/>
  <c r="X64" i="25"/>
  <c r="X46" i="25"/>
  <c r="X27" i="25"/>
  <c r="AC2" i="25"/>
  <c r="X49" i="25"/>
  <c r="X54" i="25"/>
  <c r="X58" i="25"/>
  <c r="X37" i="25"/>
  <c r="X30" i="25"/>
  <c r="X55" i="25"/>
  <c r="X63" i="25"/>
  <c r="Y2" i="25"/>
  <c r="X51" i="25"/>
  <c r="X47" i="25"/>
  <c r="X35" i="25"/>
  <c r="X38" i="25"/>
  <c r="X28" i="25"/>
  <c r="X57" i="25"/>
  <c r="X61" i="25"/>
  <c r="X65" i="25"/>
  <c r="X29" i="25"/>
  <c r="X36" i="25"/>
  <c r="X52" i="25"/>
  <c r="X39" i="25"/>
  <c r="X48" i="25"/>
  <c r="X62" i="25"/>
  <c r="X32" i="25"/>
  <c r="X33" i="25"/>
  <c r="X59" i="25"/>
  <c r="X102" i="25" s="1"/>
  <c r="X41" i="25"/>
  <c r="X40" i="25"/>
  <c r="X44" i="25"/>
  <c r="X53" i="25"/>
  <c r="X26" i="25"/>
  <c r="X69" i="25" s="1"/>
  <c r="S103" i="25"/>
  <c r="S98" i="25"/>
  <c r="S74" i="25"/>
  <c r="S71" i="25"/>
  <c r="S101" i="25"/>
  <c r="S4" i="25"/>
  <c r="S5" i="25" s="1"/>
  <c r="S87" i="25"/>
  <c r="S92" i="25"/>
  <c r="S108" i="25"/>
  <c r="S94" i="25"/>
  <c r="T44" i="25"/>
  <c r="T47" i="25"/>
  <c r="T51" i="25"/>
  <c r="T31" i="25"/>
  <c r="T55" i="25"/>
  <c r="T59" i="25"/>
  <c r="T63" i="25"/>
  <c r="T34" i="25"/>
  <c r="T37" i="25"/>
  <c r="T33" i="25"/>
  <c r="T26" i="25"/>
  <c r="T69" i="25" s="1"/>
  <c r="U2" i="25"/>
  <c r="T28" i="25"/>
  <c r="T48" i="25"/>
  <c r="T52" i="25"/>
  <c r="T35" i="25"/>
  <c r="T56" i="25"/>
  <c r="T60" i="25"/>
  <c r="T64" i="25"/>
  <c r="T38" i="25"/>
  <c r="T42" i="25"/>
  <c r="T40" i="25"/>
  <c r="T57" i="25"/>
  <c r="T61" i="25"/>
  <c r="T65" i="25"/>
  <c r="T36" i="25"/>
  <c r="T32" i="25"/>
  <c r="T45" i="25"/>
  <c r="T49" i="25"/>
  <c r="T53" i="25"/>
  <c r="T39" i="25"/>
  <c r="T46" i="25"/>
  <c r="T50" i="25"/>
  <c r="T27" i="25"/>
  <c r="T54" i="25"/>
  <c r="T58" i="25"/>
  <c r="T62" i="25"/>
  <c r="T30" i="25"/>
  <c r="T29" i="25"/>
  <c r="T41" i="25"/>
  <c r="S83" i="25"/>
  <c r="S104" i="25"/>
  <c r="S91" i="25"/>
  <c r="D40" i="10"/>
  <c r="G40" i="10" s="1"/>
  <c r="R7" i="13"/>
  <c r="Q53" i="13"/>
  <c r="Q27" i="13"/>
  <c r="S19" i="14"/>
  <c r="S16" i="14"/>
  <c r="S22" i="14"/>
  <c r="R45" i="13"/>
  <c r="R33" i="13"/>
  <c r="S21" i="14"/>
  <c r="S18" i="14"/>
  <c r="R19" i="13"/>
  <c r="R10" i="13"/>
  <c r="T5" i="13"/>
  <c r="K92" i="16" s="1"/>
  <c r="E61" i="10" s="1"/>
  <c r="S49" i="13"/>
  <c r="S44" i="13"/>
  <c r="S40" i="13"/>
  <c r="S35" i="13"/>
  <c r="S43" i="13"/>
  <c r="S39" i="13"/>
  <c r="S50" i="13"/>
  <c r="S46" i="13"/>
  <c r="S41" i="13"/>
  <c r="S37" i="13"/>
  <c r="S51" i="13"/>
  <c r="S47" i="13"/>
  <c r="S42" i="13"/>
  <c r="S38" i="13"/>
  <c r="S52" i="13"/>
  <c r="S48" i="13"/>
  <c r="S34" i="13"/>
  <c r="J78" i="16"/>
  <c r="H80" i="16"/>
  <c r="I77" i="16"/>
  <c r="C46" i="10" s="1"/>
  <c r="J77" i="16"/>
  <c r="H77" i="16"/>
  <c r="S22" i="13"/>
  <c r="J82" i="16"/>
  <c r="S11" i="13"/>
  <c r="J79" i="16"/>
  <c r="S26" i="13"/>
  <c r="S8" i="13"/>
  <c r="J83" i="16"/>
  <c r="H82" i="16"/>
  <c r="S16" i="13"/>
  <c r="S17" i="13"/>
  <c r="I84" i="16"/>
  <c r="J80" i="16"/>
  <c r="I78" i="16"/>
  <c r="I79" i="16"/>
  <c r="C48" i="10" s="1"/>
  <c r="K84" i="16"/>
  <c r="S25" i="13"/>
  <c r="K82" i="16"/>
  <c r="S9" i="13"/>
  <c r="K80" i="16"/>
  <c r="S12" i="13"/>
  <c r="S14" i="13"/>
  <c r="I80" i="16"/>
  <c r="S18" i="13"/>
  <c r="S24" i="13"/>
  <c r="H78" i="16"/>
  <c r="H83" i="16"/>
  <c r="H84" i="16"/>
  <c r="S20" i="13"/>
  <c r="K83" i="16"/>
  <c r="K78" i="16"/>
  <c r="S13" i="13"/>
  <c r="K77" i="16"/>
  <c r="E46" i="10" s="1"/>
  <c r="S15" i="13"/>
  <c r="S21" i="13"/>
  <c r="H79" i="16"/>
  <c r="J84" i="16"/>
  <c r="I82" i="16"/>
  <c r="I83" i="16"/>
  <c r="S23" i="13"/>
  <c r="S17" i="14"/>
  <c r="S20" i="14"/>
  <c r="U2" i="14"/>
  <c r="T7" i="14"/>
  <c r="T11" i="14"/>
  <c r="T4" i="14"/>
  <c r="T15" i="14" s="1"/>
  <c r="T8" i="14"/>
  <c r="T5" i="14"/>
  <c r="T10" i="14"/>
  <c r="T9" i="14"/>
  <c r="T6" i="14"/>
  <c r="R36" i="13"/>
  <c r="T89" i="25" l="1"/>
  <c r="J17" i="25"/>
  <c r="J16" i="25"/>
  <c r="X105" i="25"/>
  <c r="J13" i="25"/>
  <c r="AL34" i="13"/>
  <c r="T105" i="25"/>
  <c r="X96" i="25"/>
  <c r="T93" i="25"/>
  <c r="T6" i="25" s="1"/>
  <c r="T82" i="25"/>
  <c r="X94" i="25"/>
  <c r="J18" i="25"/>
  <c r="T72" i="25"/>
  <c r="T75" i="25"/>
  <c r="T91" i="25"/>
  <c r="T88" i="25"/>
  <c r="T96" i="25"/>
  <c r="T103" i="25"/>
  <c r="T90" i="25"/>
  <c r="X100" i="25"/>
  <c r="X98" i="25"/>
  <c r="X97" i="25"/>
  <c r="T97" i="25"/>
  <c r="T101" i="25"/>
  <c r="T7" i="25" s="1"/>
  <c r="T100" i="25"/>
  <c r="T107" i="25"/>
  <c r="J14" i="25"/>
  <c r="X108" i="25"/>
  <c r="T84" i="25"/>
  <c r="X95" i="25"/>
  <c r="X104" i="25"/>
  <c r="X106" i="25"/>
  <c r="X101" i="25"/>
  <c r="X7" i="25" s="1"/>
  <c r="T104" i="25"/>
  <c r="T81" i="25"/>
  <c r="T78" i="25"/>
  <c r="T77" i="25"/>
  <c r="T74" i="25"/>
  <c r="X76" i="25"/>
  <c r="X82" i="25"/>
  <c r="X81" i="25"/>
  <c r="X80" i="25"/>
  <c r="X103" i="25"/>
  <c r="X74" i="25"/>
  <c r="T95" i="25"/>
  <c r="T106" i="25"/>
  <c r="T94" i="25"/>
  <c r="X83" i="25"/>
  <c r="X75" i="25"/>
  <c r="X99" i="25"/>
  <c r="X4" i="25"/>
  <c r="X5" i="25" s="1"/>
  <c r="X87" i="25"/>
  <c r="X92" i="25"/>
  <c r="X78" i="25"/>
  <c r="X70" i="25"/>
  <c r="X88" i="25"/>
  <c r="U44" i="25"/>
  <c r="U45" i="25"/>
  <c r="U49" i="25"/>
  <c r="U53" i="25"/>
  <c r="U57" i="25"/>
  <c r="U61" i="25"/>
  <c r="U65" i="25"/>
  <c r="U27" i="25"/>
  <c r="U38" i="25"/>
  <c r="U29" i="25"/>
  <c r="U46" i="25"/>
  <c r="U50" i="25"/>
  <c r="U54" i="25"/>
  <c r="U58" i="25"/>
  <c r="U62" i="25"/>
  <c r="U28" i="25"/>
  <c r="U31" i="25"/>
  <c r="U41" i="25"/>
  <c r="U37" i="25"/>
  <c r="U33" i="25"/>
  <c r="V2" i="25"/>
  <c r="U56" i="25"/>
  <c r="U64" i="25"/>
  <c r="U26" i="25"/>
  <c r="U69" i="25" s="1"/>
  <c r="Z2" i="25"/>
  <c r="U47" i="25"/>
  <c r="U51" i="25"/>
  <c r="U55" i="25"/>
  <c r="U59" i="25"/>
  <c r="U63" i="25"/>
  <c r="U32" i="25"/>
  <c r="U35" i="25"/>
  <c r="U40" i="25"/>
  <c r="U42" i="25"/>
  <c r="U48" i="25"/>
  <c r="U52" i="25"/>
  <c r="U60" i="25"/>
  <c r="U36" i="25"/>
  <c r="U30" i="25"/>
  <c r="U34" i="25"/>
  <c r="U39" i="25"/>
  <c r="Y44" i="25"/>
  <c r="Y53" i="25"/>
  <c r="Y57" i="25"/>
  <c r="Y61" i="25"/>
  <c r="Y65" i="25"/>
  <c r="Y36" i="25"/>
  <c r="Y26" i="25"/>
  <c r="Y69" i="25" s="1"/>
  <c r="Y46" i="25"/>
  <c r="Y39" i="25"/>
  <c r="Y50" i="25"/>
  <c r="Y54" i="25"/>
  <c r="Y58" i="25"/>
  <c r="Y62" i="25"/>
  <c r="Y27" i="25"/>
  <c r="Y45" i="25"/>
  <c r="Y31" i="25"/>
  <c r="Y29" i="25"/>
  <c r="Y42" i="25"/>
  <c r="Y37" i="25"/>
  <c r="Y51" i="25"/>
  <c r="Y55" i="25"/>
  <c r="Y59" i="25"/>
  <c r="Y63" i="25"/>
  <c r="Y28" i="25"/>
  <c r="Y47" i="25"/>
  <c r="Y90" i="25" s="1"/>
  <c r="Y35" i="25"/>
  <c r="Y48" i="25"/>
  <c r="Y30" i="25"/>
  <c r="Y40" i="25"/>
  <c r="AD2" i="25"/>
  <c r="Y52" i="25"/>
  <c r="Y56" i="25"/>
  <c r="Y60" i="25"/>
  <c r="Y64" i="25"/>
  <c r="Y32" i="25"/>
  <c r="Y49" i="25"/>
  <c r="Y34" i="25"/>
  <c r="Y33" i="25"/>
  <c r="Y38" i="25"/>
  <c r="Y41" i="25"/>
  <c r="AC52" i="25"/>
  <c r="AC47" i="25"/>
  <c r="AC55" i="25"/>
  <c r="AC59" i="25"/>
  <c r="AC63" i="25"/>
  <c r="AC32" i="25"/>
  <c r="AC30" i="25"/>
  <c r="AC33" i="25"/>
  <c r="AC37" i="25"/>
  <c r="AC44" i="25"/>
  <c r="AC53" i="25"/>
  <c r="AC48" i="25"/>
  <c r="AC56" i="25"/>
  <c r="AC60" i="25"/>
  <c r="AC64" i="25"/>
  <c r="AC36" i="25"/>
  <c r="AC38" i="25"/>
  <c r="AC40" i="25"/>
  <c r="AC42" i="25"/>
  <c r="AC50" i="25"/>
  <c r="AC45" i="25"/>
  <c r="AC49" i="25"/>
  <c r="AC57" i="25"/>
  <c r="AC61" i="25"/>
  <c r="AC65" i="25"/>
  <c r="AC31" i="25"/>
  <c r="AC39" i="25"/>
  <c r="AC27" i="25"/>
  <c r="AC34" i="25"/>
  <c r="AH2" i="25"/>
  <c r="AC51" i="25"/>
  <c r="AC46" i="25"/>
  <c r="AC54" i="25"/>
  <c r="AC58" i="25"/>
  <c r="AC101" i="25" s="1"/>
  <c r="AC7" i="25" s="1"/>
  <c r="AC62" i="25"/>
  <c r="AC28" i="25"/>
  <c r="AC35" i="25"/>
  <c r="AC41" i="25"/>
  <c r="AC29" i="25"/>
  <c r="AC26" i="25"/>
  <c r="AC69" i="25" s="1"/>
  <c r="T73" i="25"/>
  <c r="T70" i="25"/>
  <c r="T79" i="25"/>
  <c r="T83" i="25"/>
  <c r="T76" i="25"/>
  <c r="T102" i="25"/>
  <c r="J15" i="25"/>
  <c r="S7" i="25"/>
  <c r="S8" i="25" s="1"/>
  <c r="X84" i="25"/>
  <c r="X79" i="25"/>
  <c r="X90" i="25"/>
  <c r="X89" i="25"/>
  <c r="X85" i="25"/>
  <c r="X93" i="25"/>
  <c r="X6" i="25" s="1"/>
  <c r="T108" i="25"/>
  <c r="T85" i="25"/>
  <c r="T99" i="25"/>
  <c r="T71" i="25"/>
  <c r="T80" i="25"/>
  <c r="T98" i="25"/>
  <c r="T4" i="25"/>
  <c r="T5" i="25" s="1"/>
  <c r="T87" i="25"/>
  <c r="T92" i="25"/>
  <c r="X91" i="25"/>
  <c r="X72" i="25"/>
  <c r="X71" i="25"/>
  <c r="X73" i="25"/>
  <c r="X107" i="25"/>
  <c r="X77" i="25"/>
  <c r="T20" i="14"/>
  <c r="AA17" i="14"/>
  <c r="I81" i="16"/>
  <c r="L79" i="16"/>
  <c r="S33" i="13"/>
  <c r="AG33" i="13" s="1"/>
  <c r="T21" i="14"/>
  <c r="T22" i="14"/>
  <c r="T16" i="14"/>
  <c r="T18" i="14"/>
  <c r="L84" i="16"/>
  <c r="R27" i="13"/>
  <c r="T17" i="14"/>
  <c r="AA19" i="14"/>
  <c r="H76" i="16"/>
  <c r="L77" i="16"/>
  <c r="S36" i="13"/>
  <c r="AB33" i="13" s="1"/>
  <c r="R53" i="13"/>
  <c r="T19" i="14"/>
  <c r="V2" i="14"/>
  <c r="U7" i="14"/>
  <c r="U11" i="14"/>
  <c r="U6" i="14"/>
  <c r="U4" i="14"/>
  <c r="U15" i="14" s="1"/>
  <c r="U8" i="14"/>
  <c r="U5" i="14"/>
  <c r="U9" i="14"/>
  <c r="U10" i="14"/>
  <c r="S10" i="13"/>
  <c r="J76" i="16"/>
  <c r="AA18" i="14"/>
  <c r="H81" i="16"/>
  <c r="L82" i="16"/>
  <c r="L83" i="16"/>
  <c r="S7" i="13"/>
  <c r="J81" i="16"/>
  <c r="I76" i="16"/>
  <c r="AL33" i="13"/>
  <c r="S45" i="13"/>
  <c r="U5" i="13"/>
  <c r="T44" i="13"/>
  <c r="T46" i="13"/>
  <c r="T42" i="13"/>
  <c r="T43" i="13"/>
  <c r="J97" i="16"/>
  <c r="I90" i="16"/>
  <c r="C59" i="10" s="1"/>
  <c r="J91" i="16"/>
  <c r="K93" i="16"/>
  <c r="I96" i="16"/>
  <c r="T17" i="13"/>
  <c r="H91" i="16"/>
  <c r="H90" i="16"/>
  <c r="T12" i="13"/>
  <c r="H96" i="16"/>
  <c r="T18" i="13"/>
  <c r="T15" i="13"/>
  <c r="T35" i="13"/>
  <c r="T47" i="13"/>
  <c r="I97" i="16"/>
  <c r="K91" i="16"/>
  <c r="H95" i="16"/>
  <c r="H93" i="16"/>
  <c r="H92" i="16"/>
  <c r="T13" i="13"/>
  <c r="T40" i="13"/>
  <c r="T41" i="13"/>
  <c r="T38" i="13"/>
  <c r="T52" i="13"/>
  <c r="J92" i="16"/>
  <c r="K97" i="16"/>
  <c r="K90" i="16"/>
  <c r="E59" i="10" s="1"/>
  <c r="J95" i="16"/>
  <c r="J90" i="16"/>
  <c r="T21" i="13"/>
  <c r="J96" i="16"/>
  <c r="T23" i="13"/>
  <c r="T11" i="13"/>
  <c r="T22" i="13"/>
  <c r="T25" i="13"/>
  <c r="T39" i="13"/>
  <c r="T14" i="13"/>
  <c r="T16" i="13"/>
  <c r="T34" i="13"/>
  <c r="T37" i="13"/>
  <c r="T51" i="13"/>
  <c r="T48" i="13"/>
  <c r="K95" i="16"/>
  <c r="I91" i="16"/>
  <c r="I95" i="16"/>
  <c r="I93" i="16"/>
  <c r="I92" i="16"/>
  <c r="C61" i="10" s="1"/>
  <c r="T20" i="13"/>
  <c r="H97" i="16"/>
  <c r="T26" i="13"/>
  <c r="J93" i="16"/>
  <c r="T24" i="13"/>
  <c r="T9" i="13"/>
  <c r="T49" i="13"/>
  <c r="T50" i="13"/>
  <c r="K96" i="16"/>
  <c r="T8" i="13"/>
  <c r="E45" i="10"/>
  <c r="E53" i="10" s="1"/>
  <c r="K76" i="16"/>
  <c r="S19" i="13"/>
  <c r="L78" i="16"/>
  <c r="K81" i="16"/>
  <c r="L80" i="16"/>
  <c r="AL35" i="13" l="1"/>
  <c r="Y80" i="25"/>
  <c r="T8" i="25"/>
  <c r="J102" i="16"/>
  <c r="U98" i="25"/>
  <c r="J19" i="25"/>
  <c r="X8" i="25"/>
  <c r="U105" i="25"/>
  <c r="U106" i="25"/>
  <c r="U95" i="25"/>
  <c r="U94" i="25"/>
  <c r="Y85" i="25"/>
  <c r="U107" i="25"/>
  <c r="Y83" i="25"/>
  <c r="U108" i="25"/>
  <c r="Y81" i="25"/>
  <c r="U78" i="25"/>
  <c r="Y76" i="25"/>
  <c r="Y78" i="25"/>
  <c r="Y70" i="25"/>
  <c r="U75" i="25"/>
  <c r="Y77" i="25"/>
  <c r="Y75" i="25"/>
  <c r="U77" i="25"/>
  <c r="U73" i="25"/>
  <c r="Y91" i="25"/>
  <c r="U93" i="25"/>
  <c r="U6" i="25" s="1"/>
  <c r="Y72" i="25"/>
  <c r="U79" i="25"/>
  <c r="U85" i="25"/>
  <c r="U99" i="25"/>
  <c r="U101" i="25"/>
  <c r="U7" i="25" s="1"/>
  <c r="AC89" i="25"/>
  <c r="Y84" i="25"/>
  <c r="Y73" i="25"/>
  <c r="Y71" i="25"/>
  <c r="U82" i="25"/>
  <c r="U103" i="25"/>
  <c r="U102" i="25"/>
  <c r="U97" i="25"/>
  <c r="U100" i="25"/>
  <c r="AC104" i="25"/>
  <c r="AC93" i="25"/>
  <c r="AC6" i="25" s="1"/>
  <c r="AC8" i="25" s="1"/>
  <c r="AC91" i="25"/>
  <c r="Y74" i="25"/>
  <c r="U83" i="25"/>
  <c r="U74" i="25"/>
  <c r="U81" i="25"/>
  <c r="Y88" i="25"/>
  <c r="Y79" i="25"/>
  <c r="AC71" i="25"/>
  <c r="AC102" i="25"/>
  <c r="Y89" i="25"/>
  <c r="AC70" i="25"/>
  <c r="AC79" i="25"/>
  <c r="AC76" i="25"/>
  <c r="Y94" i="25"/>
  <c r="Y101" i="25"/>
  <c r="Y7" i="25" s="1"/>
  <c r="Y104" i="25"/>
  <c r="Z45" i="25"/>
  <c r="Z49" i="25"/>
  <c r="Z52" i="25"/>
  <c r="Z56" i="25"/>
  <c r="Z60" i="25"/>
  <c r="Z64" i="25"/>
  <c r="Z37" i="25"/>
  <c r="Z36" i="25"/>
  <c r="Z30" i="25"/>
  <c r="Z42" i="25"/>
  <c r="AA2" i="25"/>
  <c r="Z34" i="25"/>
  <c r="AE2" i="25"/>
  <c r="Z50" i="25"/>
  <c r="Z93" i="25" s="1"/>
  <c r="Z6" i="25" s="1"/>
  <c r="Z46" i="25"/>
  <c r="Z26" i="25"/>
  <c r="Z69" i="25" s="1"/>
  <c r="Z53" i="25"/>
  <c r="Z57" i="25"/>
  <c r="Z61" i="25"/>
  <c r="Z65" i="25"/>
  <c r="Z27" i="25"/>
  <c r="Z44" i="25"/>
  <c r="Z38" i="25"/>
  <c r="Z47" i="25"/>
  <c r="Z48" i="25"/>
  <c r="Z51" i="25"/>
  <c r="Z55" i="25"/>
  <c r="Z59" i="25"/>
  <c r="Z63" i="25"/>
  <c r="Z33" i="25"/>
  <c r="Z32" i="25"/>
  <c r="Z40" i="25"/>
  <c r="Z39" i="25"/>
  <c r="Z54" i="25"/>
  <c r="Z28" i="25"/>
  <c r="Z35" i="25"/>
  <c r="Z58" i="25"/>
  <c r="Z62" i="25"/>
  <c r="Z105" i="25" s="1"/>
  <c r="Z31" i="25"/>
  <c r="Z29" i="25"/>
  <c r="Z41" i="25"/>
  <c r="V48" i="25"/>
  <c r="V54" i="25"/>
  <c r="V58" i="25"/>
  <c r="V62" i="25"/>
  <c r="V50" i="25"/>
  <c r="V29" i="25"/>
  <c r="V32" i="25"/>
  <c r="V42" i="25"/>
  <c r="V27" i="25"/>
  <c r="V45" i="25"/>
  <c r="V49" i="25"/>
  <c r="V55" i="25"/>
  <c r="V59" i="25"/>
  <c r="V63" i="25"/>
  <c r="V51" i="25"/>
  <c r="V33" i="25"/>
  <c r="V36" i="25"/>
  <c r="V41" i="25"/>
  <c r="V35" i="25"/>
  <c r="V46" i="25"/>
  <c r="V26" i="25"/>
  <c r="V69" i="25" s="1"/>
  <c r="V56" i="25"/>
  <c r="V60" i="25"/>
  <c r="V64" i="25"/>
  <c r="V52" i="25"/>
  <c r="V37" i="25"/>
  <c r="V31" i="25"/>
  <c r="V30" i="25"/>
  <c r="V34" i="25"/>
  <c r="V47" i="25"/>
  <c r="V44" i="25"/>
  <c r="V57" i="25"/>
  <c r="V61" i="25"/>
  <c r="V65" i="25"/>
  <c r="V53" i="25"/>
  <c r="V28" i="25"/>
  <c r="V40" i="25"/>
  <c r="V38" i="25"/>
  <c r="V39" i="25"/>
  <c r="W2" i="25"/>
  <c r="AC72" i="25"/>
  <c r="AC105" i="25"/>
  <c r="AC94" i="25"/>
  <c r="AC82" i="25"/>
  <c r="AC100" i="25"/>
  <c r="AC85" i="25"/>
  <c r="AC107" i="25"/>
  <c r="AC96" i="25"/>
  <c r="AC73" i="25"/>
  <c r="AC98" i="25"/>
  <c r="Y95" i="25"/>
  <c r="Y106" i="25"/>
  <c r="Y97" i="25"/>
  <c r="Y100" i="25"/>
  <c r="U76" i="25"/>
  <c r="U71" i="25"/>
  <c r="U70" i="25"/>
  <c r="U96" i="25"/>
  <c r="AC84" i="25"/>
  <c r="AH55" i="25"/>
  <c r="AH59" i="25"/>
  <c r="AH63" i="25"/>
  <c r="AH48" i="25"/>
  <c r="AH50" i="25"/>
  <c r="AH28" i="25"/>
  <c r="AH35" i="25"/>
  <c r="AH49" i="25"/>
  <c r="AH31" i="25"/>
  <c r="AH30" i="25"/>
  <c r="AH44" i="25"/>
  <c r="AH56" i="25"/>
  <c r="AH60" i="25"/>
  <c r="AH64" i="25"/>
  <c r="AH29" i="25"/>
  <c r="AH51" i="25"/>
  <c r="AH32" i="25"/>
  <c r="AH40" i="25"/>
  <c r="AH34" i="25"/>
  <c r="AH42" i="25"/>
  <c r="AH26" i="25"/>
  <c r="AH69" i="25" s="1"/>
  <c r="AH57" i="25"/>
  <c r="AH61" i="25"/>
  <c r="AH65" i="25"/>
  <c r="AH33" i="25"/>
  <c r="AH52" i="25"/>
  <c r="AH36" i="25"/>
  <c r="AH27" i="25"/>
  <c r="AH54" i="25"/>
  <c r="AH58" i="25"/>
  <c r="AH62" i="25"/>
  <c r="AH46" i="25"/>
  <c r="AH37" i="25"/>
  <c r="AH53" i="25"/>
  <c r="AH45" i="25"/>
  <c r="AH88" i="25" s="1"/>
  <c r="AH38" i="25"/>
  <c r="AH47" i="25"/>
  <c r="AH41" i="25"/>
  <c r="AH39" i="25"/>
  <c r="AM2" i="25"/>
  <c r="AC74" i="25"/>
  <c r="AC83" i="25"/>
  <c r="AC103" i="25"/>
  <c r="AC4" i="25"/>
  <c r="AC5" i="25" s="1"/>
  <c r="AC87" i="25"/>
  <c r="AC92" i="25"/>
  <c r="AC75" i="25"/>
  <c r="AC90" i="25"/>
  <c r="Y107" i="25"/>
  <c r="AD44" i="25"/>
  <c r="AD53" i="25"/>
  <c r="AD47" i="25"/>
  <c r="AD55" i="25"/>
  <c r="AD59" i="25"/>
  <c r="AD63" i="25"/>
  <c r="AD29" i="25"/>
  <c r="AD32" i="25"/>
  <c r="AD42" i="25"/>
  <c r="AD38" i="25"/>
  <c r="AI2" i="25"/>
  <c r="AD50" i="25"/>
  <c r="AD26" i="25"/>
  <c r="AD69" i="25" s="1"/>
  <c r="AD48" i="25"/>
  <c r="AD56" i="25"/>
  <c r="AD60" i="25"/>
  <c r="AD64" i="25"/>
  <c r="AD33" i="25"/>
  <c r="AD36" i="25"/>
  <c r="AD34" i="25"/>
  <c r="AD39" i="25"/>
  <c r="AD51" i="25"/>
  <c r="AD45" i="25"/>
  <c r="AD49" i="25"/>
  <c r="AD57" i="25"/>
  <c r="AD61" i="25"/>
  <c r="AD65" i="25"/>
  <c r="AD37" i="25"/>
  <c r="AD31" i="25"/>
  <c r="AD41" i="25"/>
  <c r="AD35" i="25"/>
  <c r="AD52" i="25"/>
  <c r="AD46" i="25"/>
  <c r="AD54" i="25"/>
  <c r="AD58" i="25"/>
  <c r="AD62" i="25"/>
  <c r="AD27" i="25"/>
  <c r="AD28" i="25"/>
  <c r="AD40" i="25"/>
  <c r="AD30" i="25"/>
  <c r="Y102" i="25"/>
  <c r="Y93" i="25"/>
  <c r="Y6" i="25" s="1"/>
  <c r="Y8" i="25" s="1"/>
  <c r="Y96" i="25"/>
  <c r="U91" i="25"/>
  <c r="U80" i="25"/>
  <c r="U89" i="25"/>
  <c r="Y99" i="25"/>
  <c r="U4" i="25"/>
  <c r="U5" i="25" s="1"/>
  <c r="U92" i="25"/>
  <c r="U87" i="25"/>
  <c r="AC78" i="25"/>
  <c r="AC97" i="25"/>
  <c r="AC77" i="25"/>
  <c r="AC108" i="25"/>
  <c r="AC88" i="25"/>
  <c r="AC81" i="25"/>
  <c r="AC99" i="25"/>
  <c r="AC80" i="25"/>
  <c r="AC106" i="25"/>
  <c r="AC95" i="25"/>
  <c r="Y103" i="25"/>
  <c r="Y98" i="25"/>
  <c r="Y105" i="25"/>
  <c r="Y82" i="25"/>
  <c r="Y108" i="25"/>
  <c r="Y4" i="25"/>
  <c r="Y5" i="25" s="1"/>
  <c r="Y92" i="25"/>
  <c r="Y87" i="25"/>
  <c r="U90" i="25"/>
  <c r="U84" i="25"/>
  <c r="U72" i="25"/>
  <c r="U104" i="25"/>
  <c r="U88" i="25"/>
  <c r="I85" i="16"/>
  <c r="AA20" i="14"/>
  <c r="AG34" i="13"/>
  <c r="AG35" i="13" s="1"/>
  <c r="U21" i="14"/>
  <c r="AB35" i="13"/>
  <c r="S27" i="13"/>
  <c r="AB8" i="13" s="1"/>
  <c r="AB37" i="13"/>
  <c r="S53" i="13"/>
  <c r="AB36" i="13"/>
  <c r="U16" i="14"/>
  <c r="U19" i="14"/>
  <c r="U20" i="14"/>
  <c r="T7" i="13"/>
  <c r="U22" i="14"/>
  <c r="U18" i="14"/>
  <c r="AB38" i="13"/>
  <c r="U17" i="14"/>
  <c r="K85" i="16"/>
  <c r="T33" i="13"/>
  <c r="AB34" i="13"/>
  <c r="L97" i="16"/>
  <c r="I94" i="16"/>
  <c r="L93" i="16"/>
  <c r="L96" i="16"/>
  <c r="L81" i="16"/>
  <c r="T19" i="13"/>
  <c r="T36" i="13"/>
  <c r="T10" i="13"/>
  <c r="J89" i="16"/>
  <c r="H94" i="16"/>
  <c r="L95" i="16"/>
  <c r="H85" i="16"/>
  <c r="L76" i="16"/>
  <c r="K94" i="16"/>
  <c r="J94" i="16"/>
  <c r="L90" i="16"/>
  <c r="H89" i="16"/>
  <c r="V5" i="13"/>
  <c r="U50" i="13"/>
  <c r="U46" i="13"/>
  <c r="U41" i="13"/>
  <c r="U37" i="13"/>
  <c r="U35" i="13"/>
  <c r="U51" i="13"/>
  <c r="U47" i="13"/>
  <c r="U42" i="13"/>
  <c r="U38" i="13"/>
  <c r="U49" i="13"/>
  <c r="U44" i="13"/>
  <c r="U40" i="13"/>
  <c r="U52" i="13"/>
  <c r="U48" i="13"/>
  <c r="U43" i="13"/>
  <c r="U39" i="13"/>
  <c r="U34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W2" i="14"/>
  <c r="V4" i="14"/>
  <c r="V15" i="14" s="1"/>
  <c r="V8" i="14"/>
  <c r="V7" i="14"/>
  <c r="V5" i="14"/>
  <c r="V9" i="14"/>
  <c r="V11" i="14"/>
  <c r="V6" i="14"/>
  <c r="V10" i="14"/>
  <c r="C58" i="10"/>
  <c r="C66" i="10" s="1"/>
  <c r="I89" i="16"/>
  <c r="T45" i="13"/>
  <c r="E58" i="10"/>
  <c r="E66" i="10" s="1"/>
  <c r="K89" i="16"/>
  <c r="L92" i="16"/>
  <c r="L91" i="16"/>
  <c r="C45" i="10"/>
  <c r="J85" i="16"/>
  <c r="AH96" i="25" l="1"/>
  <c r="AH100" i="25"/>
  <c r="K107" i="16"/>
  <c r="L105" i="16"/>
  <c r="L109" i="16"/>
  <c r="L106" i="16"/>
  <c r="L108" i="16"/>
  <c r="H107" i="16"/>
  <c r="L110" i="16"/>
  <c r="L103" i="16"/>
  <c r="H102" i="16"/>
  <c r="J107" i="16"/>
  <c r="J111" i="16" s="1"/>
  <c r="I102" i="16"/>
  <c r="K102" i="16"/>
  <c r="L104" i="16"/>
  <c r="I107" i="16"/>
  <c r="AH80" i="25"/>
  <c r="K98" i="16"/>
  <c r="U33" i="13"/>
  <c r="Z98" i="25"/>
  <c r="AH101" i="25"/>
  <c r="AH7" i="25" s="1"/>
  <c r="AH108" i="25"/>
  <c r="AH99" i="25"/>
  <c r="AD105" i="25"/>
  <c r="AH76" i="25"/>
  <c r="AD70" i="25"/>
  <c r="V96" i="25"/>
  <c r="AD89" i="25"/>
  <c r="AD82" i="25"/>
  <c r="AD74" i="25"/>
  <c r="Z72" i="25"/>
  <c r="AD95" i="25"/>
  <c r="V100" i="25"/>
  <c r="Z78" i="25"/>
  <c r="V108" i="25"/>
  <c r="Z74" i="25"/>
  <c r="AH105" i="25"/>
  <c r="Z71" i="25"/>
  <c r="Z81" i="25"/>
  <c r="Z94" i="25"/>
  <c r="V77" i="25"/>
  <c r="Z97" i="25"/>
  <c r="Z82" i="25"/>
  <c r="V103" i="25"/>
  <c r="V104" i="25"/>
  <c r="AH94" i="25"/>
  <c r="V94" i="25"/>
  <c r="Z83" i="25"/>
  <c r="Z75" i="25"/>
  <c r="Z104" i="25"/>
  <c r="AH95" i="25"/>
  <c r="V83" i="25"/>
  <c r="V95" i="25"/>
  <c r="V102" i="25"/>
  <c r="Z76" i="25"/>
  <c r="Z100" i="25"/>
  <c r="Z107" i="25"/>
  <c r="Z84" i="25"/>
  <c r="U8" i="25"/>
  <c r="AD100" i="25"/>
  <c r="AH84" i="25"/>
  <c r="AD71" i="25"/>
  <c r="AH82" i="25"/>
  <c r="AD101" i="25"/>
  <c r="AD7" i="25" s="1"/>
  <c r="AH81" i="25"/>
  <c r="AH90" i="25"/>
  <c r="AH97" i="25"/>
  <c r="V107" i="25"/>
  <c r="Z101" i="25"/>
  <c r="Z7" i="25" s="1"/>
  <c r="Z8" i="25" s="1"/>
  <c r="AH89" i="25"/>
  <c r="Z102" i="25"/>
  <c r="AD73" i="25"/>
  <c r="AD80" i="25"/>
  <c r="V71" i="25"/>
  <c r="Z106" i="25"/>
  <c r="Z96" i="25"/>
  <c r="Z103" i="25"/>
  <c r="AD83" i="25"/>
  <c r="AD78" i="25"/>
  <c r="AD88" i="25"/>
  <c r="AD90" i="25"/>
  <c r="AH91" i="25"/>
  <c r="V82" i="25"/>
  <c r="Z108" i="25"/>
  <c r="D52" i="10"/>
  <c r="G52" i="10" s="1"/>
  <c r="D46" i="10"/>
  <c r="D49" i="10"/>
  <c r="G49" i="10" s="1"/>
  <c r="M10" i="10" s="1"/>
  <c r="D51" i="10"/>
  <c r="D48" i="10"/>
  <c r="D47" i="10"/>
  <c r="G47" i="10" s="1"/>
  <c r="V74" i="25"/>
  <c r="Z90" i="25"/>
  <c r="Z99" i="25"/>
  <c r="AD97" i="25"/>
  <c r="AD84" i="25"/>
  <c r="AD104" i="25"/>
  <c r="AD94" i="25"/>
  <c r="AD76" i="25"/>
  <c r="AD91" i="25"/>
  <c r="AD81" i="25"/>
  <c r="AD106" i="25"/>
  <c r="AD96" i="25"/>
  <c r="AH104" i="25"/>
  <c r="V81" i="25"/>
  <c r="V99" i="25"/>
  <c r="Z95" i="25"/>
  <c r="AD77" i="25"/>
  <c r="AH103" i="25"/>
  <c r="AH93" i="25"/>
  <c r="AH6" i="25" s="1"/>
  <c r="V73" i="25"/>
  <c r="V98" i="25"/>
  <c r="Z91" i="25"/>
  <c r="Z70" i="25"/>
  <c r="AD107" i="25"/>
  <c r="AD85" i="25"/>
  <c r="AD102" i="25"/>
  <c r="AD4" i="25"/>
  <c r="AD5" i="25" s="1"/>
  <c r="AD92" i="25"/>
  <c r="AD87" i="25"/>
  <c r="AH83" i="25"/>
  <c r="AH107" i="25"/>
  <c r="AH73" i="25"/>
  <c r="AH71" i="25"/>
  <c r="AH102" i="25"/>
  <c r="V79" i="25"/>
  <c r="V70" i="25"/>
  <c r="V93" i="25"/>
  <c r="V6" i="25" s="1"/>
  <c r="V91" i="25"/>
  <c r="Z4" i="25"/>
  <c r="Z5" i="25" s="1"/>
  <c r="Z87" i="25"/>
  <c r="Z92" i="25"/>
  <c r="Z85" i="25"/>
  <c r="AD103" i="25"/>
  <c r="AD93" i="25"/>
  <c r="AD6" i="25" s="1"/>
  <c r="AD75" i="25"/>
  <c r="AD98" i="25"/>
  <c r="AH75" i="25"/>
  <c r="AH74" i="25"/>
  <c r="AH98" i="25"/>
  <c r="W46" i="25"/>
  <c r="W44" i="25"/>
  <c r="W34" i="25"/>
  <c r="W52" i="25"/>
  <c r="W37" i="25"/>
  <c r="W57" i="25"/>
  <c r="W61" i="25"/>
  <c r="W65" i="25"/>
  <c r="W42" i="25"/>
  <c r="W36" i="25"/>
  <c r="W47" i="25"/>
  <c r="W27" i="25"/>
  <c r="W38" i="25"/>
  <c r="W53" i="25"/>
  <c r="W54" i="25"/>
  <c r="W58" i="25"/>
  <c r="W62" i="25"/>
  <c r="W32" i="25"/>
  <c r="W31" i="25"/>
  <c r="W35" i="25"/>
  <c r="AB2" i="25"/>
  <c r="W45" i="25"/>
  <c r="W30" i="25"/>
  <c r="W33" i="25"/>
  <c r="W60" i="25"/>
  <c r="W41" i="25"/>
  <c r="W63" i="25"/>
  <c r="W48" i="25"/>
  <c r="W50" i="25"/>
  <c r="W55" i="25"/>
  <c r="W49" i="25"/>
  <c r="W51" i="25"/>
  <c r="W56" i="25"/>
  <c r="W64" i="25"/>
  <c r="W28" i="25"/>
  <c r="W26" i="25"/>
  <c r="W69" i="25" s="1"/>
  <c r="W29" i="25"/>
  <c r="W59" i="25"/>
  <c r="W39" i="25"/>
  <c r="W40" i="25"/>
  <c r="V89" i="25"/>
  <c r="V76" i="25"/>
  <c r="V85" i="25"/>
  <c r="V105" i="25"/>
  <c r="AE46" i="25"/>
  <c r="AE44" i="25"/>
  <c r="AE52" i="25"/>
  <c r="AE34" i="25"/>
  <c r="AE37" i="25"/>
  <c r="AE42" i="25"/>
  <c r="AE55" i="25"/>
  <c r="AE59" i="25"/>
  <c r="AE63" i="25"/>
  <c r="AE36" i="25"/>
  <c r="AE47" i="25"/>
  <c r="AE27" i="25"/>
  <c r="AE53" i="25"/>
  <c r="AE38" i="25"/>
  <c r="AE32" i="25"/>
  <c r="AE31" i="25"/>
  <c r="AE56" i="25"/>
  <c r="AE60" i="25"/>
  <c r="AE64" i="25"/>
  <c r="AE39" i="25"/>
  <c r="AE48" i="25"/>
  <c r="AE50" i="25"/>
  <c r="AE26" i="25"/>
  <c r="AE69" i="25" s="1"/>
  <c r="AE29" i="25"/>
  <c r="AE41" i="25"/>
  <c r="AE40" i="25"/>
  <c r="AE57" i="25"/>
  <c r="AE61" i="25"/>
  <c r="AE65" i="25"/>
  <c r="AE45" i="25"/>
  <c r="AE49" i="25"/>
  <c r="AE51" i="25"/>
  <c r="AE30" i="25"/>
  <c r="AE33" i="25"/>
  <c r="AE35" i="25"/>
  <c r="AE54" i="25"/>
  <c r="AE58" i="25"/>
  <c r="AE62" i="25"/>
  <c r="AE28" i="25"/>
  <c r="AJ2" i="25"/>
  <c r="Z73" i="25"/>
  <c r="Z88" i="25"/>
  <c r="AD108" i="25"/>
  <c r="AD79" i="25"/>
  <c r="AD99" i="25"/>
  <c r="AI48" i="25"/>
  <c r="AI51" i="25"/>
  <c r="AI26" i="25"/>
  <c r="AI69" i="25" s="1"/>
  <c r="AI57" i="25"/>
  <c r="AI61" i="25"/>
  <c r="AI65" i="25"/>
  <c r="AI29" i="25"/>
  <c r="AI36" i="25"/>
  <c r="AI32" i="25"/>
  <c r="AI45" i="25"/>
  <c r="AI49" i="25"/>
  <c r="AI52" i="25"/>
  <c r="AI54" i="25"/>
  <c r="AI58" i="25"/>
  <c r="AI62" i="25"/>
  <c r="AI30" i="25"/>
  <c r="AI33" i="25"/>
  <c r="AI41" i="25"/>
  <c r="AI39" i="25"/>
  <c r="AI46" i="25"/>
  <c r="AI44" i="25"/>
  <c r="AI53" i="25"/>
  <c r="AI55" i="25"/>
  <c r="AI59" i="25"/>
  <c r="AI63" i="25"/>
  <c r="AI34" i="25"/>
  <c r="AI37" i="25"/>
  <c r="AI35" i="25"/>
  <c r="AI31" i="25"/>
  <c r="AI47" i="25"/>
  <c r="AI50" i="25"/>
  <c r="AI27" i="25"/>
  <c r="AI56" i="25"/>
  <c r="AI60" i="25"/>
  <c r="AI64" i="25"/>
  <c r="AI38" i="25"/>
  <c r="AI28" i="25"/>
  <c r="AI40" i="25"/>
  <c r="AI42" i="25"/>
  <c r="AD72" i="25"/>
  <c r="AM47" i="25"/>
  <c r="AM27" i="25"/>
  <c r="AM38" i="25"/>
  <c r="AM54" i="25"/>
  <c r="AM58" i="25"/>
  <c r="AM62" i="25"/>
  <c r="AM32" i="25"/>
  <c r="AM51" i="25"/>
  <c r="AM28" i="25"/>
  <c r="AM35" i="25"/>
  <c r="AM48" i="25"/>
  <c r="AM26" i="25"/>
  <c r="AM69" i="25" s="1"/>
  <c r="AM29" i="25"/>
  <c r="AM55" i="25"/>
  <c r="AM59" i="25"/>
  <c r="AM63" i="25"/>
  <c r="AM41" i="25"/>
  <c r="AM53" i="25"/>
  <c r="AM36" i="25"/>
  <c r="AM45" i="25"/>
  <c r="AM49" i="25"/>
  <c r="AM30" i="25"/>
  <c r="AM33" i="25"/>
  <c r="AM56" i="25"/>
  <c r="AM60" i="25"/>
  <c r="AM64" i="25"/>
  <c r="AM50" i="25"/>
  <c r="AM31" i="25"/>
  <c r="AM39" i="25"/>
  <c r="AM46" i="25"/>
  <c r="AM44" i="25"/>
  <c r="AM34" i="25"/>
  <c r="AM37" i="25"/>
  <c r="AM57" i="25"/>
  <c r="AM61" i="25"/>
  <c r="AM65" i="25"/>
  <c r="AM42" i="25"/>
  <c r="AM40" i="25"/>
  <c r="AM52" i="25"/>
  <c r="AH70" i="25"/>
  <c r="AH85" i="25"/>
  <c r="V4" i="25"/>
  <c r="V5" i="25" s="1"/>
  <c r="V87" i="25"/>
  <c r="V92" i="25"/>
  <c r="V78" i="25"/>
  <c r="V75" i="25"/>
  <c r="V101" i="25"/>
  <c r="V7" i="25" s="1"/>
  <c r="Z77" i="25"/>
  <c r="Z79" i="25"/>
  <c r="AH79" i="25"/>
  <c r="AH77" i="25"/>
  <c r="AH72" i="25"/>
  <c r="AH4" i="25"/>
  <c r="AH5" i="25" s="1"/>
  <c r="AH92" i="25"/>
  <c r="AH87" i="25"/>
  <c r="AH78" i="25"/>
  <c r="AH106" i="25"/>
  <c r="V90" i="25"/>
  <c r="V80" i="25"/>
  <c r="V84" i="25"/>
  <c r="V106" i="25"/>
  <c r="V88" i="25"/>
  <c r="V72" i="25"/>
  <c r="V97" i="25"/>
  <c r="Z89" i="25"/>
  <c r="AA45" i="25"/>
  <c r="AA49" i="25"/>
  <c r="AA55" i="25"/>
  <c r="AA59" i="25"/>
  <c r="AA63" i="25"/>
  <c r="AA34" i="25"/>
  <c r="AA37" i="25"/>
  <c r="AA36" i="25"/>
  <c r="AA44" i="25"/>
  <c r="AA53" i="25"/>
  <c r="AA46" i="25"/>
  <c r="AA27" i="25"/>
  <c r="AA56" i="25"/>
  <c r="AA60" i="25"/>
  <c r="AA64" i="25"/>
  <c r="AA38" i="25"/>
  <c r="AA50" i="25"/>
  <c r="AA41" i="25"/>
  <c r="AA35" i="25"/>
  <c r="AA32" i="25"/>
  <c r="AF2" i="25"/>
  <c r="AA47" i="25"/>
  <c r="AA48" i="25"/>
  <c r="AA54" i="25"/>
  <c r="AA58" i="25"/>
  <c r="AA62" i="25"/>
  <c r="AA30" i="25"/>
  <c r="AA33" i="25"/>
  <c r="AA28" i="25"/>
  <c r="AA39" i="25"/>
  <c r="AA51" i="25"/>
  <c r="AA26" i="25"/>
  <c r="AA69" i="25" s="1"/>
  <c r="AA29" i="25"/>
  <c r="AA42" i="25"/>
  <c r="AA57" i="25"/>
  <c r="AA52" i="25"/>
  <c r="AA61" i="25"/>
  <c r="AA31" i="25"/>
  <c r="AA65" i="25"/>
  <c r="AA40" i="25"/>
  <c r="Z80" i="25"/>
  <c r="T53" i="13"/>
  <c r="I98" i="16"/>
  <c r="AB39" i="13"/>
  <c r="T27" i="13"/>
  <c r="J98" i="16"/>
  <c r="U36" i="13"/>
  <c r="W5" i="13"/>
  <c r="V51" i="13"/>
  <c r="V47" i="13"/>
  <c r="V42" i="13"/>
  <c r="V38" i="13"/>
  <c r="V50" i="13"/>
  <c r="V46" i="13"/>
  <c r="V41" i="13"/>
  <c r="V37" i="13"/>
  <c r="V52" i="13"/>
  <c r="V48" i="13"/>
  <c r="V43" i="13"/>
  <c r="V39" i="13"/>
  <c r="V34" i="13"/>
  <c r="V49" i="13"/>
  <c r="V44" i="13"/>
  <c r="V40" i="13"/>
  <c r="V35" i="13"/>
  <c r="V8" i="13"/>
  <c r="V11" i="13"/>
  <c r="V13" i="13"/>
  <c r="V15" i="13"/>
  <c r="V17" i="13"/>
  <c r="V20" i="13"/>
  <c r="V22" i="13"/>
  <c r="V24" i="13"/>
  <c r="V26" i="13"/>
  <c r="V16" i="13"/>
  <c r="V25" i="13"/>
  <c r="V14" i="13"/>
  <c r="V9" i="13"/>
  <c r="V18" i="13"/>
  <c r="V12" i="13"/>
  <c r="V21" i="13"/>
  <c r="V23" i="13"/>
  <c r="V21" i="14"/>
  <c r="V16" i="14"/>
  <c r="W4" i="14"/>
  <c r="W15" i="14" s="1"/>
  <c r="W8" i="14"/>
  <c r="W7" i="14"/>
  <c r="W5" i="14"/>
  <c r="W9" i="14"/>
  <c r="W11" i="14"/>
  <c r="W6" i="14"/>
  <c r="W10" i="14"/>
  <c r="U19" i="13"/>
  <c r="U10" i="13"/>
  <c r="L89" i="16"/>
  <c r="H98" i="16"/>
  <c r="L94" i="16"/>
  <c r="V20" i="14"/>
  <c r="V17" i="14"/>
  <c r="V18" i="14"/>
  <c r="U7" i="13"/>
  <c r="U45" i="13"/>
  <c r="L85" i="16"/>
  <c r="C53" i="10"/>
  <c r="V22" i="14"/>
  <c r="V19" i="14"/>
  <c r="AH8" i="25" l="1"/>
  <c r="K111" i="16"/>
  <c r="I111" i="16"/>
  <c r="H111" i="16"/>
  <c r="AI78" i="25"/>
  <c r="AI73" i="25"/>
  <c r="L107" i="16"/>
  <c r="L102" i="16"/>
  <c r="AE71" i="25"/>
  <c r="AI85" i="25"/>
  <c r="AE78" i="25"/>
  <c r="AI80" i="25"/>
  <c r="AI81" i="25"/>
  <c r="AI70" i="25"/>
  <c r="AI82" i="25"/>
  <c r="AD8" i="25"/>
  <c r="AA105" i="25"/>
  <c r="K118" i="16"/>
  <c r="W91" i="25"/>
  <c r="AA72" i="25"/>
  <c r="AI90" i="25"/>
  <c r="W90" i="25"/>
  <c r="AM103" i="25"/>
  <c r="W88" i="25"/>
  <c r="AI107" i="25"/>
  <c r="AA94" i="25"/>
  <c r="AM100" i="25"/>
  <c r="AI105" i="25"/>
  <c r="AA71" i="25"/>
  <c r="AE90" i="25"/>
  <c r="AA83" i="25"/>
  <c r="AA108" i="25"/>
  <c r="AA107" i="25"/>
  <c r="AM77" i="25"/>
  <c r="AI102" i="25"/>
  <c r="AE91" i="25"/>
  <c r="L98" i="16"/>
  <c r="AI98" i="25"/>
  <c r="AE88" i="25"/>
  <c r="AA103" i="25"/>
  <c r="AA100" i="25"/>
  <c r="AM74" i="25"/>
  <c r="AI79" i="25"/>
  <c r="AA96" i="25"/>
  <c r="AI93" i="25"/>
  <c r="AI6" i="25" s="1"/>
  <c r="AE105" i="25"/>
  <c r="AE76" i="25"/>
  <c r="W102" i="25"/>
  <c r="W107" i="25"/>
  <c r="AM79" i="25"/>
  <c r="W83" i="25"/>
  <c r="U53" i="13"/>
  <c r="AA104" i="25"/>
  <c r="AA101" i="25"/>
  <c r="AA7" i="25" s="1"/>
  <c r="AA93" i="25"/>
  <c r="AA6" i="25" s="1"/>
  <c r="AM83" i="25"/>
  <c r="AI83" i="25"/>
  <c r="AI103" i="25"/>
  <c r="AI77" i="25"/>
  <c r="AI96" i="25"/>
  <c r="AI84" i="25"/>
  <c r="AM76" i="25"/>
  <c r="AI72" i="25"/>
  <c r="AA95" i="25"/>
  <c r="AM85" i="25"/>
  <c r="AM80" i="25"/>
  <c r="AM82" i="25"/>
  <c r="AI71" i="25"/>
  <c r="AI99" i="25"/>
  <c r="AI74" i="25"/>
  <c r="AI106" i="25"/>
  <c r="AI76" i="25"/>
  <c r="AI95" i="25"/>
  <c r="AA99" i="25"/>
  <c r="AA106" i="25"/>
  <c r="AM89" i="25"/>
  <c r="AM73" i="25"/>
  <c r="AM78" i="25"/>
  <c r="AM70" i="25"/>
  <c r="AI101" i="25"/>
  <c r="AI7" i="25" s="1"/>
  <c r="AI108" i="25"/>
  <c r="AI94" i="25"/>
  <c r="AA97" i="25"/>
  <c r="AA102" i="25"/>
  <c r="AM84" i="25"/>
  <c r="AM72" i="25"/>
  <c r="AM71" i="25"/>
  <c r="AI97" i="25"/>
  <c r="AI75" i="25"/>
  <c r="AI104" i="25"/>
  <c r="D64" i="10"/>
  <c r="G64" i="10" s="1"/>
  <c r="D65" i="10"/>
  <c r="G65" i="10" s="1"/>
  <c r="D62" i="10"/>
  <c r="G62" i="10" s="1"/>
  <c r="D60" i="10"/>
  <c r="G60" i="10" s="1"/>
  <c r="D59" i="10"/>
  <c r="G59" i="10" s="1"/>
  <c r="D61" i="10"/>
  <c r="G61" i="10" s="1"/>
  <c r="AE101" i="25"/>
  <c r="AE7" i="25" s="1"/>
  <c r="AE73" i="25"/>
  <c r="AE83" i="25"/>
  <c r="AA74" i="25"/>
  <c r="AA85" i="25"/>
  <c r="AA82" i="25"/>
  <c r="AA90" i="25"/>
  <c r="AA84" i="25"/>
  <c r="AA77" i="25"/>
  <c r="AM95" i="25"/>
  <c r="AM104" i="25"/>
  <c r="AM4" i="25"/>
  <c r="AM5" i="25" s="1"/>
  <c r="AM87" i="25"/>
  <c r="AM92" i="25"/>
  <c r="AM93" i="25"/>
  <c r="AM102" i="25"/>
  <c r="AM91" i="25"/>
  <c r="AM75" i="25"/>
  <c r="AM81" i="25"/>
  <c r="AJ51" i="25"/>
  <c r="AJ27" i="25"/>
  <c r="AJ48" i="25"/>
  <c r="AJ57" i="25"/>
  <c r="AJ61" i="25"/>
  <c r="AJ65" i="25"/>
  <c r="AJ26" i="25"/>
  <c r="AJ69" i="25" s="1"/>
  <c r="AJ39" i="25"/>
  <c r="AJ41" i="25"/>
  <c r="AJ32" i="25"/>
  <c r="AJ52" i="25"/>
  <c r="AJ31" i="25"/>
  <c r="AJ54" i="25"/>
  <c r="AJ58" i="25"/>
  <c r="AJ62" i="25"/>
  <c r="AJ30" i="25"/>
  <c r="AJ29" i="25"/>
  <c r="AJ45" i="25"/>
  <c r="AJ33" i="25"/>
  <c r="AJ49" i="25"/>
  <c r="AJ53" i="25"/>
  <c r="AJ35" i="25"/>
  <c r="AJ55" i="25"/>
  <c r="AJ59" i="25"/>
  <c r="AJ63" i="25"/>
  <c r="AJ34" i="25"/>
  <c r="AJ37" i="25"/>
  <c r="AJ28" i="25"/>
  <c r="AJ40" i="25"/>
  <c r="AJ46" i="25"/>
  <c r="AJ38" i="25"/>
  <c r="AJ42" i="25"/>
  <c r="AJ47" i="25"/>
  <c r="AJ50" i="25"/>
  <c r="AJ44" i="25"/>
  <c r="AJ56" i="25"/>
  <c r="AJ60" i="25"/>
  <c r="AJ64" i="25"/>
  <c r="AJ36" i="25"/>
  <c r="AE97" i="25"/>
  <c r="AE94" i="25"/>
  <c r="AE104" i="25"/>
  <c r="AE72" i="25"/>
  <c r="AE82" i="25"/>
  <c r="AE74" i="25"/>
  <c r="AE70" i="25"/>
  <c r="AE102" i="25"/>
  <c r="AE77" i="25"/>
  <c r="W94" i="25"/>
  <c r="W76" i="25"/>
  <c r="W78" i="25"/>
  <c r="W101" i="25"/>
  <c r="W7" i="25" s="1"/>
  <c r="W70" i="25"/>
  <c r="W108" i="25"/>
  <c r="W95" i="25"/>
  <c r="AF46" i="25"/>
  <c r="AF44" i="25"/>
  <c r="AF53" i="25"/>
  <c r="AF27" i="25"/>
  <c r="AF33" i="25"/>
  <c r="AF56" i="25"/>
  <c r="AF60" i="25"/>
  <c r="AF64" i="25"/>
  <c r="AF41" i="25"/>
  <c r="AF28" i="25"/>
  <c r="AF47" i="25"/>
  <c r="AF50" i="25"/>
  <c r="AF26" i="25"/>
  <c r="AF69" i="25" s="1"/>
  <c r="AF30" i="25"/>
  <c r="AF42" i="25"/>
  <c r="AF57" i="25"/>
  <c r="AF61" i="25"/>
  <c r="AF65" i="25"/>
  <c r="AF29" i="25"/>
  <c r="AF39" i="25"/>
  <c r="AK2" i="25"/>
  <c r="AF48" i="25"/>
  <c r="AF51" i="25"/>
  <c r="AF31" i="25"/>
  <c r="AF34" i="25"/>
  <c r="AF54" i="25"/>
  <c r="AF58" i="25"/>
  <c r="AF62" i="25"/>
  <c r="AF36" i="25"/>
  <c r="AF37" i="25"/>
  <c r="AF45" i="25"/>
  <c r="AF49" i="25"/>
  <c r="AF52" i="25"/>
  <c r="AF35" i="25"/>
  <c r="AF38" i="25"/>
  <c r="AF55" i="25"/>
  <c r="AF59" i="25"/>
  <c r="AF63" i="25"/>
  <c r="AF32" i="25"/>
  <c r="AF40" i="25"/>
  <c r="AA4" i="25"/>
  <c r="AA5" i="25" s="1"/>
  <c r="AA87" i="25"/>
  <c r="AA92" i="25"/>
  <c r="AA88" i="25"/>
  <c r="AM107" i="25"/>
  <c r="AM96" i="25"/>
  <c r="AM98" i="25"/>
  <c r="AM105" i="25"/>
  <c r="AI88" i="25"/>
  <c r="AE100" i="25"/>
  <c r="AE107" i="25"/>
  <c r="AE75" i="25"/>
  <c r="AE98" i="25"/>
  <c r="AE95" i="25"/>
  <c r="W82" i="25"/>
  <c r="W71" i="25"/>
  <c r="W106" i="25"/>
  <c r="W73" i="25"/>
  <c r="W74" i="25"/>
  <c r="W97" i="25"/>
  <c r="W104" i="25"/>
  <c r="W77" i="25"/>
  <c r="AA76" i="25"/>
  <c r="AA75" i="25"/>
  <c r="AA81" i="25"/>
  <c r="AA70" i="25"/>
  <c r="AA79" i="25"/>
  <c r="AM101" i="25"/>
  <c r="AM90" i="25"/>
  <c r="AI4" i="25"/>
  <c r="AI5" i="25" s="1"/>
  <c r="AI87" i="25"/>
  <c r="AI92" i="25"/>
  <c r="AI91" i="25"/>
  <c r="AE93" i="25"/>
  <c r="AE6" i="25" s="1"/>
  <c r="AE103" i="25"/>
  <c r="AE81" i="25"/>
  <c r="AE79" i="25"/>
  <c r="AE85" i="25"/>
  <c r="AE4" i="25"/>
  <c r="AE5" i="25" s="1"/>
  <c r="AE87" i="25"/>
  <c r="AE92" i="25"/>
  <c r="W98" i="25"/>
  <c r="W84" i="25"/>
  <c r="W75" i="25"/>
  <c r="W96" i="25"/>
  <c r="W79" i="25"/>
  <c r="W100" i="25"/>
  <c r="W4" i="25"/>
  <c r="W5" i="25" s="1"/>
  <c r="W92" i="25"/>
  <c r="W87" i="25"/>
  <c r="V8" i="25"/>
  <c r="AA73" i="25"/>
  <c r="AA91" i="25"/>
  <c r="AA78" i="25"/>
  <c r="AA89" i="25"/>
  <c r="AA80" i="25"/>
  <c r="AA98" i="25"/>
  <c r="AM108" i="25"/>
  <c r="AM99" i="25"/>
  <c r="AM88" i="25"/>
  <c r="AM106" i="25"/>
  <c r="AM94" i="25"/>
  <c r="AM97" i="25"/>
  <c r="AI89" i="25"/>
  <c r="AI100" i="25"/>
  <c r="AE108" i="25"/>
  <c r="AE84" i="25"/>
  <c r="AE99" i="25"/>
  <c r="AE96" i="25"/>
  <c r="AE106" i="25"/>
  <c r="AE80" i="25"/>
  <c r="AE89" i="25"/>
  <c r="W72" i="25"/>
  <c r="W99" i="25"/>
  <c r="W93" i="25"/>
  <c r="W6" i="25" s="1"/>
  <c r="W103" i="25"/>
  <c r="AB46" i="25"/>
  <c r="AB31" i="25"/>
  <c r="AB55" i="25"/>
  <c r="AB59" i="25"/>
  <c r="AB63" i="25"/>
  <c r="AB34" i="25"/>
  <c r="AB37" i="25"/>
  <c r="AB50" i="25"/>
  <c r="AB41" i="25"/>
  <c r="AB51" i="25"/>
  <c r="AB60" i="25"/>
  <c r="AB38" i="25"/>
  <c r="AB42" i="25"/>
  <c r="AB26" i="25"/>
  <c r="AB69" i="25" s="1"/>
  <c r="AB47" i="25"/>
  <c r="AB35" i="25"/>
  <c r="AB56" i="25"/>
  <c r="AB64" i="25"/>
  <c r="AB52" i="25"/>
  <c r="AB62" i="25"/>
  <c r="AB44" i="25"/>
  <c r="AB48" i="25"/>
  <c r="AB39" i="25"/>
  <c r="AB57" i="25"/>
  <c r="AB61" i="25"/>
  <c r="AB65" i="25"/>
  <c r="AB27" i="25"/>
  <c r="AB53" i="25"/>
  <c r="AB28" i="25"/>
  <c r="AB33" i="25"/>
  <c r="AG2" i="25"/>
  <c r="AB49" i="25"/>
  <c r="AB45" i="25"/>
  <c r="AB54" i="25"/>
  <c r="AB58" i="25"/>
  <c r="AB30" i="25"/>
  <c r="AB40" i="25"/>
  <c r="AB29" i="25"/>
  <c r="AB32" i="25"/>
  <c r="AB36" i="25"/>
  <c r="W105" i="25"/>
  <c r="W81" i="25"/>
  <c r="W85" i="25"/>
  <c r="W80" i="25"/>
  <c r="W89" i="25"/>
  <c r="W20" i="14"/>
  <c r="W21" i="14"/>
  <c r="W22" i="14"/>
  <c r="W19" i="14"/>
  <c r="U27" i="13"/>
  <c r="W16" i="14"/>
  <c r="W17" i="14"/>
  <c r="V36" i="13"/>
  <c r="W39" i="13"/>
  <c r="W34" i="13"/>
  <c r="W46" i="13"/>
  <c r="W51" i="13"/>
  <c r="I123" i="16"/>
  <c r="K123" i="16"/>
  <c r="K117" i="16"/>
  <c r="K122" i="16"/>
  <c r="W26" i="13"/>
  <c r="W21" i="13"/>
  <c r="W11" i="13"/>
  <c r="I119" i="16"/>
  <c r="W16" i="13"/>
  <c r="W9" i="13"/>
  <c r="W20" i="13"/>
  <c r="W23" i="13"/>
  <c r="W18" i="13"/>
  <c r="W52" i="13"/>
  <c r="W49" i="13"/>
  <c r="W41" i="13"/>
  <c r="W37" i="13"/>
  <c r="W38" i="13"/>
  <c r="H117" i="16"/>
  <c r="J123" i="16"/>
  <c r="J121" i="16"/>
  <c r="H116" i="16"/>
  <c r="W25" i="13"/>
  <c r="H123" i="16"/>
  <c r="W8" i="13"/>
  <c r="I116" i="16"/>
  <c r="W15" i="13"/>
  <c r="J118" i="16"/>
  <c r="I117" i="16"/>
  <c r="H121" i="16"/>
  <c r="I118" i="16"/>
  <c r="W14" i="13"/>
  <c r="W43" i="13"/>
  <c r="W40" i="13"/>
  <c r="W50" i="13"/>
  <c r="W42" i="13"/>
  <c r="H119" i="16"/>
  <c r="K121" i="16"/>
  <c r="W22" i="13"/>
  <c r="W17" i="13"/>
  <c r="W48" i="13"/>
  <c r="W44" i="13"/>
  <c r="W47" i="13"/>
  <c r="W35" i="13"/>
  <c r="H118" i="16"/>
  <c r="J117" i="16"/>
  <c r="K119" i="16"/>
  <c r="J116" i="16"/>
  <c r="W24" i="13"/>
  <c r="I121" i="16"/>
  <c r="J122" i="16"/>
  <c r="W13" i="13"/>
  <c r="J119" i="16"/>
  <c r="K116" i="16"/>
  <c r="I122" i="16"/>
  <c r="H122" i="16"/>
  <c r="W12" i="13"/>
  <c r="W18" i="14"/>
  <c r="G48" i="10"/>
  <c r="M9" i="10" s="1"/>
  <c r="V19" i="13"/>
  <c r="V10" i="13"/>
  <c r="D45" i="10"/>
  <c r="G45" i="10" s="1"/>
  <c r="M8" i="10" s="1"/>
  <c r="G46" i="10"/>
  <c r="D50" i="10"/>
  <c r="G50" i="10" s="1"/>
  <c r="M11" i="10" s="1"/>
  <c r="G51" i="10"/>
  <c r="V7" i="13"/>
  <c r="V45" i="13"/>
  <c r="V33" i="13"/>
  <c r="AB88" i="25" l="1"/>
  <c r="L111" i="16"/>
  <c r="Q137" i="16"/>
  <c r="J137" i="16"/>
  <c r="K136" i="16"/>
  <c r="R136" i="16"/>
  <c r="I138" i="16"/>
  <c r="P138" i="16"/>
  <c r="J132" i="16"/>
  <c r="Q132" i="16"/>
  <c r="H131" i="16"/>
  <c r="O131" i="16"/>
  <c r="E74" i="10"/>
  <c r="K133" i="16"/>
  <c r="R133" i="16"/>
  <c r="H133" i="16"/>
  <c r="O133" i="16"/>
  <c r="J136" i="16"/>
  <c r="Q136" i="16"/>
  <c r="J138" i="16"/>
  <c r="Q138" i="16"/>
  <c r="I134" i="16"/>
  <c r="P134" i="16"/>
  <c r="K138" i="16"/>
  <c r="R138" i="16"/>
  <c r="H134" i="16"/>
  <c r="O134" i="16"/>
  <c r="Q131" i="16"/>
  <c r="J131" i="16"/>
  <c r="I137" i="16"/>
  <c r="P137" i="16"/>
  <c r="C74" i="10"/>
  <c r="I133" i="16"/>
  <c r="P133" i="16"/>
  <c r="H132" i="16"/>
  <c r="O132" i="16"/>
  <c r="C72" i="10"/>
  <c r="I131" i="16"/>
  <c r="P131" i="16"/>
  <c r="H138" i="16"/>
  <c r="O138" i="16"/>
  <c r="H137" i="16"/>
  <c r="O137" i="16"/>
  <c r="E72" i="10"/>
  <c r="E71" i="10" s="1"/>
  <c r="R131" i="16"/>
  <c r="K131" i="16"/>
  <c r="H136" i="16"/>
  <c r="O136" i="16"/>
  <c r="I136" i="16"/>
  <c r="P136" i="16"/>
  <c r="K134" i="16"/>
  <c r="R134" i="16"/>
  <c r="J134" i="16"/>
  <c r="Q134" i="16"/>
  <c r="I132" i="16"/>
  <c r="P132" i="16"/>
  <c r="K132" i="16"/>
  <c r="R132" i="16"/>
  <c r="J133" i="16"/>
  <c r="Q133" i="16"/>
  <c r="K137" i="16"/>
  <c r="R137" i="16"/>
  <c r="AI8" i="25"/>
  <c r="K16" i="25"/>
  <c r="AF98" i="25"/>
  <c r="AB104" i="25"/>
  <c r="AB97" i="25"/>
  <c r="AA8" i="25"/>
  <c r="AB72" i="25"/>
  <c r="AF83" i="25"/>
  <c r="AF75" i="25"/>
  <c r="AJ93" i="25"/>
  <c r="AJ6" i="25" s="1"/>
  <c r="AF77" i="25"/>
  <c r="AF81" i="25"/>
  <c r="AF78" i="25"/>
  <c r="AF91" i="25"/>
  <c r="AJ76" i="25"/>
  <c r="W8" i="25"/>
  <c r="AJ81" i="25"/>
  <c r="AJ107" i="25"/>
  <c r="AF80" i="25"/>
  <c r="AJ103" i="25"/>
  <c r="AJ106" i="25"/>
  <c r="AF79" i="25"/>
  <c r="AJ99" i="25"/>
  <c r="AJ102" i="25"/>
  <c r="AJ79" i="25"/>
  <c r="AJ77" i="25"/>
  <c r="AJ80" i="25"/>
  <c r="AB76" i="25"/>
  <c r="AF101" i="25"/>
  <c r="AF7" i="25" s="1"/>
  <c r="AJ78" i="25"/>
  <c r="AB83" i="25"/>
  <c r="AB71" i="25"/>
  <c r="AF106" i="25"/>
  <c r="AJ83" i="25"/>
  <c r="AJ85" i="25"/>
  <c r="AJ71" i="25"/>
  <c r="AJ72" i="25"/>
  <c r="AJ89" i="25"/>
  <c r="AE8" i="25"/>
  <c r="AF88" i="25"/>
  <c r="AB101" i="25"/>
  <c r="AB7" i="25" s="1"/>
  <c r="AF74" i="25"/>
  <c r="AF82" i="25"/>
  <c r="AJ98" i="25"/>
  <c r="AJ105" i="25"/>
  <c r="AB108" i="25"/>
  <c r="AB91" i="25"/>
  <c r="AF72" i="25"/>
  <c r="AF85" i="25"/>
  <c r="AF90" i="25"/>
  <c r="AJ96" i="25"/>
  <c r="AB79" i="25"/>
  <c r="AB73" i="25"/>
  <c r="AF102" i="25"/>
  <c r="AB75" i="25"/>
  <c r="AG51" i="25"/>
  <c r="AG46" i="25"/>
  <c r="AG55" i="25"/>
  <c r="AG59" i="25"/>
  <c r="AG63" i="25"/>
  <c r="AG32" i="25"/>
  <c r="AG35" i="25"/>
  <c r="AG37" i="25"/>
  <c r="AG30" i="25"/>
  <c r="AG40" i="25"/>
  <c r="AG60" i="25"/>
  <c r="AG36" i="25"/>
  <c r="AG33" i="25"/>
  <c r="AG38" i="25"/>
  <c r="AG45" i="25"/>
  <c r="AG31" i="25"/>
  <c r="AG52" i="25"/>
  <c r="AG47" i="25"/>
  <c r="AG56" i="25"/>
  <c r="AG64" i="25"/>
  <c r="AG49" i="25"/>
  <c r="AG58" i="25"/>
  <c r="AG29" i="25"/>
  <c r="AG44" i="25"/>
  <c r="AG53" i="25"/>
  <c r="AG48" i="25"/>
  <c r="AG57" i="25"/>
  <c r="AG61" i="25"/>
  <c r="AG65" i="25"/>
  <c r="AG26" i="25"/>
  <c r="AG69" i="25" s="1"/>
  <c r="AG34" i="25"/>
  <c r="AG42" i="25"/>
  <c r="AG41" i="25"/>
  <c r="AG54" i="25"/>
  <c r="AG62" i="25"/>
  <c r="AG27" i="25"/>
  <c r="AG50" i="25"/>
  <c r="AG28" i="25"/>
  <c r="AG39" i="25"/>
  <c r="AL2" i="25"/>
  <c r="AB70" i="25"/>
  <c r="AB82" i="25"/>
  <c r="AB95" i="25"/>
  <c r="AB90" i="25"/>
  <c r="AB103" i="25"/>
  <c r="AB80" i="25"/>
  <c r="AB98" i="25"/>
  <c r="AF105" i="25"/>
  <c r="AF100" i="25"/>
  <c r="AF93" i="25"/>
  <c r="AF6" i="25" s="1"/>
  <c r="AF107" i="25"/>
  <c r="AF70" i="25"/>
  <c r="AJ4" i="25"/>
  <c r="AJ5" i="25" s="1"/>
  <c r="AJ92" i="25"/>
  <c r="AJ87" i="25"/>
  <c r="AJ95" i="25"/>
  <c r="AJ91" i="25"/>
  <c r="AM6" i="25"/>
  <c r="K14" i="25"/>
  <c r="K13" i="25"/>
  <c r="K17" i="25"/>
  <c r="AB107" i="25"/>
  <c r="AB94" i="25"/>
  <c r="AB77" i="25"/>
  <c r="AB74" i="25"/>
  <c r="AF94" i="25"/>
  <c r="AF103" i="25"/>
  <c r="AF96" i="25"/>
  <c r="AJ88" i="25"/>
  <c r="AJ101" i="25"/>
  <c r="AJ7" i="25" s="1"/>
  <c r="AJ75" i="25"/>
  <c r="AJ108" i="25"/>
  <c r="AJ70" i="25"/>
  <c r="AB4" i="25"/>
  <c r="AB5" i="25" s="1"/>
  <c r="AB87" i="25"/>
  <c r="AB92" i="25"/>
  <c r="AB99" i="25"/>
  <c r="AB85" i="25"/>
  <c r="AB84" i="25"/>
  <c r="AB106" i="25"/>
  <c r="AB89" i="25"/>
  <c r="K18" i="25"/>
  <c r="AF97" i="25"/>
  <c r="AF108" i="25"/>
  <c r="AF73" i="25"/>
  <c r="AF71" i="25"/>
  <c r="AF99" i="25"/>
  <c r="AF4" i="25"/>
  <c r="AF5" i="25" s="1"/>
  <c r="AF92" i="25"/>
  <c r="AF87" i="25"/>
  <c r="AJ90" i="25"/>
  <c r="AJ97" i="25"/>
  <c r="AJ84" i="25"/>
  <c r="AJ104" i="25"/>
  <c r="AJ94" i="25"/>
  <c r="AB96" i="25"/>
  <c r="AB100" i="25"/>
  <c r="AB105" i="25"/>
  <c r="AB78" i="25"/>
  <c r="AB81" i="25"/>
  <c r="AB93" i="25"/>
  <c r="AB6" i="25" s="1"/>
  <c r="AB102" i="25"/>
  <c r="AM7" i="25"/>
  <c r="K15" i="25"/>
  <c r="AF95" i="25"/>
  <c r="AK47" i="25"/>
  <c r="AK51" i="25"/>
  <c r="AK55" i="25"/>
  <c r="AK59" i="25"/>
  <c r="AK63" i="25"/>
  <c r="AK32" i="25"/>
  <c r="AK35" i="25"/>
  <c r="AK41" i="25"/>
  <c r="AK37" i="25"/>
  <c r="AK29" i="25"/>
  <c r="AK44" i="25"/>
  <c r="AK48" i="25"/>
  <c r="AK52" i="25"/>
  <c r="AK56" i="25"/>
  <c r="AK60" i="25"/>
  <c r="AK64" i="25"/>
  <c r="AK36" i="25"/>
  <c r="AK30" i="25"/>
  <c r="AK40" i="25"/>
  <c r="AK42" i="25"/>
  <c r="AK39" i="25"/>
  <c r="AK45" i="25"/>
  <c r="AK49" i="25"/>
  <c r="AK53" i="25"/>
  <c r="AK57" i="25"/>
  <c r="AK61" i="25"/>
  <c r="AK65" i="25"/>
  <c r="AK27" i="25"/>
  <c r="AK38" i="25"/>
  <c r="AK26" i="25"/>
  <c r="AK69" i="25" s="1"/>
  <c r="AK34" i="25"/>
  <c r="AK33" i="25"/>
  <c r="AK46" i="25"/>
  <c r="AK50" i="25"/>
  <c r="AK54" i="25"/>
  <c r="AK58" i="25"/>
  <c r="AK62" i="25"/>
  <c r="AK28" i="25"/>
  <c r="AK31" i="25"/>
  <c r="AF104" i="25"/>
  <c r="AF84" i="25"/>
  <c r="AF76" i="25"/>
  <c r="AF89" i="25"/>
  <c r="AJ73" i="25"/>
  <c r="AJ74" i="25"/>
  <c r="AJ82" i="25"/>
  <c r="AJ100" i="25"/>
  <c r="AM34" i="13"/>
  <c r="K120" i="16"/>
  <c r="I120" i="16"/>
  <c r="J120" i="16"/>
  <c r="D63" i="10"/>
  <c r="G63" i="10" s="1"/>
  <c r="AB19" i="14"/>
  <c r="AB18" i="14"/>
  <c r="D58" i="10"/>
  <c r="V27" i="13"/>
  <c r="V53" i="13"/>
  <c r="M12" i="10"/>
  <c r="L118" i="16"/>
  <c r="W7" i="13"/>
  <c r="L123" i="16"/>
  <c r="AB17" i="14"/>
  <c r="K115" i="16"/>
  <c r="L121" i="16"/>
  <c r="H120" i="16"/>
  <c r="I115" i="16"/>
  <c r="H115" i="16"/>
  <c r="L116" i="16"/>
  <c r="W33" i="13"/>
  <c r="AH33" i="13" s="1"/>
  <c r="W36" i="13"/>
  <c r="AC34" i="13" s="1"/>
  <c r="L119" i="16"/>
  <c r="D53" i="10"/>
  <c r="G53" i="10" s="1"/>
  <c r="L122" i="16"/>
  <c r="J115" i="16"/>
  <c r="L117" i="16"/>
  <c r="W19" i="13"/>
  <c r="W10" i="13"/>
  <c r="AM33" i="13"/>
  <c r="W45" i="13"/>
  <c r="AK101" i="25" l="1"/>
  <c r="AK7" i="25" s="1"/>
  <c r="AK105" i="25"/>
  <c r="AK100" i="25"/>
  <c r="H130" i="16"/>
  <c r="O130" i="16"/>
  <c r="S132" i="16"/>
  <c r="L132" i="16"/>
  <c r="E79" i="10"/>
  <c r="J135" i="16"/>
  <c r="Q135" i="16"/>
  <c r="K130" i="16"/>
  <c r="R130" i="16"/>
  <c r="J130" i="16"/>
  <c r="Q130" i="16"/>
  <c r="L137" i="16"/>
  <c r="S137" i="16"/>
  <c r="I135" i="16"/>
  <c r="P135" i="16"/>
  <c r="H135" i="16"/>
  <c r="O135" i="16"/>
  <c r="L134" i="16"/>
  <c r="S134" i="16"/>
  <c r="I130" i="16"/>
  <c r="P130" i="16"/>
  <c r="L138" i="16"/>
  <c r="S138" i="16"/>
  <c r="K135" i="16"/>
  <c r="R135" i="16"/>
  <c r="L133" i="16"/>
  <c r="S133" i="16"/>
  <c r="L136" i="16"/>
  <c r="S136" i="16"/>
  <c r="S131" i="16"/>
  <c r="L131" i="16"/>
  <c r="AJ8" i="25"/>
  <c r="AK95" i="25"/>
  <c r="AK90" i="25"/>
  <c r="K19" i="25"/>
  <c r="AG97" i="25"/>
  <c r="AK97" i="25"/>
  <c r="AK89" i="25"/>
  <c r="AK108" i="25"/>
  <c r="AG105" i="25"/>
  <c r="AG108" i="25"/>
  <c r="AG104" i="25"/>
  <c r="AB8" i="25"/>
  <c r="AG100" i="25"/>
  <c r="AF8" i="25"/>
  <c r="AG71" i="25"/>
  <c r="AG93" i="25"/>
  <c r="AG6" i="25" s="1"/>
  <c r="AG96" i="25"/>
  <c r="AK88" i="25"/>
  <c r="AK71" i="25"/>
  <c r="AM35" i="13"/>
  <c r="AG99" i="25"/>
  <c r="AG70" i="25"/>
  <c r="AG85" i="25"/>
  <c r="AG107" i="25"/>
  <c r="AG74" i="25"/>
  <c r="AG79" i="25"/>
  <c r="AG80" i="25"/>
  <c r="AG102" i="25"/>
  <c r="AK93" i="25"/>
  <c r="AK6" i="25" s="1"/>
  <c r="AK104" i="25"/>
  <c r="AK99" i="25"/>
  <c r="AK94" i="25"/>
  <c r="AG82" i="25"/>
  <c r="AG77" i="25"/>
  <c r="AG72" i="25"/>
  <c r="AG103" i="25"/>
  <c r="AG78" i="25"/>
  <c r="AG84" i="25"/>
  <c r="AK81" i="25"/>
  <c r="AK82" i="25"/>
  <c r="AK79" i="25"/>
  <c r="AK80" i="25"/>
  <c r="AK106" i="25"/>
  <c r="AG88" i="25"/>
  <c r="AG98" i="25"/>
  <c r="AK72" i="25"/>
  <c r="AK76" i="25"/>
  <c r="AK70" i="25"/>
  <c r="AK96" i="25"/>
  <c r="AK85" i="25"/>
  <c r="AK107" i="25"/>
  <c r="AK91" i="25"/>
  <c r="AK84" i="25"/>
  <c r="AK102" i="25"/>
  <c r="AM8" i="25"/>
  <c r="AG91" i="25"/>
  <c r="AG101" i="25"/>
  <c r="AG7" i="25" s="1"/>
  <c r="AG90" i="25"/>
  <c r="AG81" i="25"/>
  <c r="AG83" i="25"/>
  <c r="AG75" i="25"/>
  <c r="AG89" i="25"/>
  <c r="AK73" i="25"/>
  <c r="AK75" i="25"/>
  <c r="AL48" i="25"/>
  <c r="AL55" i="25"/>
  <c r="AL59" i="25"/>
  <c r="AL63" i="25"/>
  <c r="AL33" i="25"/>
  <c r="AL32" i="25"/>
  <c r="AL27" i="25"/>
  <c r="AL41" i="25"/>
  <c r="AL50" i="25"/>
  <c r="AL45" i="25"/>
  <c r="AL26" i="25"/>
  <c r="AL69" i="25" s="1"/>
  <c r="AL56" i="25"/>
  <c r="AL60" i="25"/>
  <c r="AL64" i="25"/>
  <c r="AL37" i="25"/>
  <c r="AL36" i="25"/>
  <c r="AL31" i="25"/>
  <c r="AL30" i="25"/>
  <c r="AL52" i="25"/>
  <c r="AL35" i="25"/>
  <c r="AL46" i="25"/>
  <c r="AL49" i="25"/>
  <c r="AL57" i="25"/>
  <c r="AL61" i="25"/>
  <c r="AL65" i="25"/>
  <c r="AL44" i="25"/>
  <c r="AL51" i="25"/>
  <c r="AL40" i="25"/>
  <c r="AL38" i="25"/>
  <c r="AL47" i="25"/>
  <c r="AL54" i="25"/>
  <c r="AL58" i="25"/>
  <c r="AL62" i="25"/>
  <c r="AL29" i="25"/>
  <c r="AL28" i="25"/>
  <c r="AL53" i="25"/>
  <c r="AL42" i="25"/>
  <c r="AL39" i="25"/>
  <c r="AL34" i="25"/>
  <c r="AG4" i="25"/>
  <c r="AG5" i="25" s="1"/>
  <c r="AG87" i="25"/>
  <c r="AG92" i="25"/>
  <c r="AK74" i="25"/>
  <c r="AK77" i="25"/>
  <c r="AK83" i="25"/>
  <c r="AK103" i="25"/>
  <c r="AK4" i="25"/>
  <c r="AK5" i="25" s="1"/>
  <c r="AK92" i="25"/>
  <c r="AK87" i="25"/>
  <c r="AK78" i="25"/>
  <c r="AK98" i="25"/>
  <c r="AG95" i="25"/>
  <c r="AG76" i="25"/>
  <c r="AG73" i="25"/>
  <c r="AG106" i="25"/>
  <c r="AG94" i="25"/>
  <c r="L115" i="16"/>
  <c r="I124" i="16"/>
  <c r="L120" i="16"/>
  <c r="AB20" i="14"/>
  <c r="K124" i="16"/>
  <c r="G58" i="10"/>
  <c r="D66" i="10"/>
  <c r="G66" i="10" s="1"/>
  <c r="W27" i="13"/>
  <c r="AC8" i="13" s="1"/>
  <c r="AC36" i="13"/>
  <c r="AC35" i="13"/>
  <c r="W53" i="13"/>
  <c r="J124" i="16"/>
  <c r="AC38" i="13"/>
  <c r="AC33" i="13"/>
  <c r="C71" i="10"/>
  <c r="AC37" i="13"/>
  <c r="AH34" i="13"/>
  <c r="AH35" i="13" s="1"/>
  <c r="H124" i="16"/>
  <c r="AK8" i="25" l="1"/>
  <c r="AL85" i="25"/>
  <c r="L135" i="16"/>
  <c r="S135" i="16"/>
  <c r="I139" i="16"/>
  <c r="P139" i="16"/>
  <c r="L130" i="16"/>
  <c r="S130" i="16"/>
  <c r="J139" i="16"/>
  <c r="Q139" i="16"/>
  <c r="K139" i="16"/>
  <c r="R139" i="16"/>
  <c r="H139" i="16"/>
  <c r="O139" i="16"/>
  <c r="AG8" i="25"/>
  <c r="AL90" i="25"/>
  <c r="AL73" i="25"/>
  <c r="AL81" i="25"/>
  <c r="AL74" i="25"/>
  <c r="AL83" i="25"/>
  <c r="AL71" i="25"/>
  <c r="AL72" i="25"/>
  <c r="AL77" i="25"/>
  <c r="AL80" i="25"/>
  <c r="AL82" i="25"/>
  <c r="AL78" i="25"/>
  <c r="AL105" i="25"/>
  <c r="AL89" i="25"/>
  <c r="AL108" i="25"/>
  <c r="AL96" i="25"/>
  <c r="AL101" i="25"/>
  <c r="AL7" i="25" s="1"/>
  <c r="AL97" i="25"/>
  <c r="AL94" i="25"/>
  <c r="D72" i="10"/>
  <c r="G72" i="10" s="1"/>
  <c r="D75" i="10"/>
  <c r="G75" i="10" s="1"/>
  <c r="N10" i="10" s="1"/>
  <c r="D74" i="10"/>
  <c r="G74" i="10" s="1"/>
  <c r="N9" i="10" s="1"/>
  <c r="D77" i="10"/>
  <c r="D78" i="10"/>
  <c r="G78" i="10" s="1"/>
  <c r="D73" i="10"/>
  <c r="G73" i="10" s="1"/>
  <c r="AL4" i="25"/>
  <c r="AL5" i="25" s="1"/>
  <c r="AL87" i="25"/>
  <c r="AL92" i="25"/>
  <c r="AL107" i="25"/>
  <c r="AL88" i="25"/>
  <c r="AL75" i="25"/>
  <c r="AL98" i="25"/>
  <c r="AL103" i="25"/>
  <c r="AL93" i="25"/>
  <c r="AL6" i="25" s="1"/>
  <c r="AL76" i="25"/>
  <c r="AL91" i="25"/>
  <c r="AL104" i="25"/>
  <c r="AL79" i="25"/>
  <c r="AL99" i="25"/>
  <c r="AL84" i="25"/>
  <c r="AL106" i="25"/>
  <c r="AL100" i="25"/>
  <c r="AL95" i="25"/>
  <c r="AL70" i="25"/>
  <c r="AL102" i="25"/>
  <c r="AC39" i="13"/>
  <c r="L124" i="16"/>
  <c r="C79" i="10"/>
  <c r="L139" i="16" l="1"/>
  <c r="S139" i="16"/>
  <c r="AL8" i="25"/>
  <c r="D76" i="10"/>
  <c r="G76" i="10" s="1"/>
  <c r="N11" i="10" s="1"/>
  <c r="D71" i="10"/>
  <c r="G71" i="10" s="1"/>
  <c r="N8" i="10" s="1"/>
  <c r="G77" i="10"/>
  <c r="N12" i="10" l="1"/>
  <c r="D79" i="10"/>
  <c r="G79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G16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0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8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<sst xmlns="http://schemas.openxmlformats.org/spreadsheetml/2006/main" count="1749" uniqueCount="608">
  <si>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</si>
  <si>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</si>
  <si>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</si>
  <si>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</si>
  <si>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</si>
  <si>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</si>
  <si>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</si>
  <si>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</si>
  <si>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</si>
  <si>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</si>
  <si>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</si>
  <si>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</si>
  <si>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</si>
  <si>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</si>
  <si>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</si>
  <si>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</si>
  <si>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</si>
  <si>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</si>
  <si>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</si>
  <si>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</si>
  <si>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</si>
  <si>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</si>
  <si>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</si>
  <si>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</si>
  <si>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</si>
  <si>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</si>
  <si>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</si>
  <si>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</si>
  <si>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</si>
  <si>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</si>
  <si>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</si>
  <si>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</si>
  <si>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</si>
  <si>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</si>
  <si>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</si>
  <si>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</si>
  <si>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</si>
  <si>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</si>
  <si>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</si>
  <si>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</si>
  <si>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</si>
  <si>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</si>
  <si>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</si>
  <si>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</si>
  <si>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</si>
  <si>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ER_AUTO_0</t>
  </si>
  <si>
    <t>ER_AUTO_TH_A_0</t>
  </si>
  <si>
    <t>ER_AUTO_TH_B_0</t>
  </si>
  <si>
    <t>ER_AUTO_TH_C_0</t>
  </si>
  <si>
    <t>ER_AUTO_TH_D_0</t>
  </si>
  <si>
    <t>ER_AUTO_TH_E_0</t>
  </si>
  <si>
    <t>ER_AUTO_TH_F_0</t>
  </si>
  <si>
    <t>ER_AUTO_TH_G_0</t>
  </si>
  <si>
    <t>ER_AUTO_ELEC_A_0</t>
  </si>
  <si>
    <t>ER_AUTO_ELEC_B_0</t>
  </si>
  <si>
    <t>ER_AUTO_ELEC_C_0</t>
  </si>
  <si>
    <t>ER_AUTO_ELEC_D_0</t>
  </si>
  <si>
    <t>ER_AUTO_ELEC_E_0</t>
  </si>
  <si>
    <t>ER_AUTO_ELEC_F_0</t>
  </si>
  <si>
    <t>ER_AUTO_ELEC_G_0</t>
  </si>
  <si>
    <t>ER_AUTO_COAL_0</t>
  </si>
  <si>
    <t>ER_AUTO_TH_0</t>
  </si>
  <si>
    <t>ER_AUTO_ELEC_0</t>
  </si>
  <si>
    <t>ER_AUTO_GAS_0</t>
  </si>
  <si>
    <t>ER_NEWAUTO_0</t>
  </si>
  <si>
    <t>ER_NEWAUTO_TH_0</t>
  </si>
  <si>
    <t>ER_NEWAUTO_TH_A_0</t>
  </si>
  <si>
    <t>ER_NEWAUTO_TH_B_0</t>
  </si>
  <si>
    <t>ER_NEWAUTO_TH_C_0</t>
  </si>
  <si>
    <t>ER_NEWAUTO_TH_D_0</t>
  </si>
  <si>
    <t>ER_NEWAUTO_TH_E_0</t>
  </si>
  <si>
    <t>ER_NEWAUTO_TH_F_0</t>
  </si>
  <si>
    <t>ER_NEWAUTO_TH_G_0</t>
  </si>
  <si>
    <t>ER_NEWAUTO_ELEC_0</t>
  </si>
  <si>
    <t>ER_NEWAUTO_ELEC_A_0</t>
  </si>
  <si>
    <t>ER_NEWAUTO_ELEC_B_0</t>
  </si>
  <si>
    <t>ER_NEWAUTO_ELEC_C_0</t>
  </si>
  <si>
    <t>ER_NEWAUTO_ELEC_D_0</t>
  </si>
  <si>
    <t>ER_NEWAUTO_ELEC_E_0</t>
  </si>
  <si>
    <t>ER_NEWAUTO_ELEC_F_0</t>
  </si>
  <si>
    <t>ER_NEWAUTO_ELEC_G_0</t>
  </si>
  <si>
    <t>ER_BUIL_0</t>
  </si>
  <si>
    <t>ER_BUIL_A_0</t>
  </si>
  <si>
    <t>ER_BUIL_B_0</t>
  </si>
  <si>
    <t>ER_BUIL_C_0</t>
  </si>
  <si>
    <t>ER_BUIL_D_0</t>
  </si>
  <si>
    <t>ER_BUIL_E_0</t>
  </si>
  <si>
    <t>ER_BUIL_F_0</t>
  </si>
  <si>
    <t>ER_BUIL_G_0</t>
  </si>
  <si>
    <t>ER_TRANS_PRIVATE_coal_0</t>
  </si>
  <si>
    <t>ER_TRANS_PRIVATE_oil_0</t>
  </si>
  <si>
    <t>ER_TRANS_PRIVATE_elec_0</t>
  </si>
  <si>
    <t>ER_TRANS_PRIVATE_gas_0</t>
  </si>
  <si>
    <t>ER_TRANS_PUBLIC_coal_0</t>
  </si>
  <si>
    <t>ER_TRANS_PUBLIC_oil_0</t>
  </si>
  <si>
    <t>ER_TRANS_PUBLIC_elec_0</t>
  </si>
  <si>
    <t>ER_TRANS_PUBLIC_gas_0</t>
  </si>
  <si>
    <t>ER_RESIDENTIAL_coal_0</t>
  </si>
  <si>
    <t>ER_RESIDENTIAL_oil_0</t>
  </si>
  <si>
    <t>ER_RESIDENTIAL_elec_0</t>
  </si>
  <si>
    <t>ER_RESIDENTIAL_gas_0</t>
  </si>
  <si>
    <t>ER_TERTIARY_coal_0</t>
  </si>
  <si>
    <t>ER_TERTIARY_oil_0</t>
  </si>
  <si>
    <t>ER_TERTIARY_elec_0</t>
  </si>
  <si>
    <t>ER_TERTIARY_gas_0</t>
  </si>
  <si>
    <t>ER_INDUS_coal_0</t>
  </si>
  <si>
    <t>ER_INDUS_oil_0</t>
  </si>
  <si>
    <t>ER_INDUS_elec_0</t>
  </si>
  <si>
    <t>ER_INDUS_gas_0</t>
  </si>
  <si>
    <t>ER_AGRICULTURE_coal_0</t>
  </si>
  <si>
    <t>ER_AGRICULTURE_oil_0</t>
  </si>
  <si>
    <t>ER_AGRICULTURE_elec_0</t>
  </si>
  <si>
    <t>ER_AGRICULTURE_gas_0</t>
  </si>
  <si>
    <t>ER_Oil_0</t>
  </si>
  <si>
    <t>ER_elec_0</t>
  </si>
  <si>
    <t>ER_Gas_0</t>
  </si>
  <si>
    <t>ER_coal_0</t>
  </si>
  <si>
    <t>ER_Total_0</t>
  </si>
  <si>
    <t>electric</t>
  </si>
  <si>
    <t>Combustion</t>
  </si>
  <si>
    <t>ER_Elec_2301_0</t>
  </si>
  <si>
    <t>ER_elec_2302_0</t>
  </si>
  <si>
    <t>ER_Elec_2303_0</t>
  </si>
  <si>
    <t>ER_elec_2304_0</t>
  </si>
  <si>
    <t>ER_Elec_2305_0</t>
  </si>
  <si>
    <t>ER_elec_2306_0</t>
  </si>
  <si>
    <t>ER_Elec_2307_0</t>
  </si>
  <si>
    <t>ER_elec_2308_0</t>
  </si>
  <si>
    <t>ER_oil_2201_0</t>
  </si>
  <si>
    <t>ER_oil_2202_0</t>
  </si>
  <si>
    <t>ER_Gas_2401_0</t>
  </si>
  <si>
    <t>ER_Gas_2402_0</t>
  </si>
  <si>
    <t>ER_Gas_2403_0</t>
  </si>
  <si>
    <t>ER_Gas_2404_0</t>
  </si>
  <si>
    <t>ER_Gas_2405_0</t>
  </si>
  <si>
    <t>ER_Gas_2406_0</t>
  </si>
  <si>
    <t>Q_Mtep_ep_2201_0</t>
  </si>
  <si>
    <t>Q_Mtep_ep_2202_0</t>
  </si>
  <si>
    <t>Q_Mtep_ep_2301_0</t>
  </si>
  <si>
    <t>Q_Mtep_ep_2302_0</t>
  </si>
  <si>
    <t>Q_Mtep_ep_2303_0</t>
  </si>
  <si>
    <t>Q_Mtep_ep_2304_0</t>
  </si>
  <si>
    <t>Q_Mtep_ep_2305_0</t>
  </si>
  <si>
    <t>Q_Mtep_ep_2306_0</t>
  </si>
  <si>
    <t>Q_Mtep_ep_2307_0</t>
  </si>
  <si>
    <t>Q_Mtep_ep_2308_0</t>
  </si>
  <si>
    <t>Q_Mtep_ep_2401_0</t>
  </si>
  <si>
    <t>Q_Mtep_ep_2402_0</t>
  </si>
  <si>
    <t>Q_Mtep_ep_2403_0</t>
  </si>
  <si>
    <t>Q_Mtep_ep_2404_0</t>
  </si>
  <si>
    <t>Q_Mtep_ep_2405_0</t>
  </si>
  <si>
    <t>Q_Mtep_ep_2406_0</t>
  </si>
  <si>
    <t>Q_Mtep_ep_21_0</t>
  </si>
  <si>
    <t>Industry non energetic uses</t>
  </si>
  <si>
    <t>Q_Mtep_indus_21_0</t>
  </si>
  <si>
    <t>Q_Mtep_indus_22_0</t>
  </si>
  <si>
    <t>Q_Mtep_indus_23_0</t>
  </si>
  <si>
    <t>Q_Mtep_indus_24_0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</si>
  <si>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</si>
  <si>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</si>
  <si>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</si>
  <si>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</si>
  <si>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</si>
  <si>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</si>
  <si>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</si>
  <si>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</si>
  <si>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</si>
  <si>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</si>
  <si>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</si>
  <si>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</si>
  <si>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</si>
  <si>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</si>
  <si>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</si>
  <si>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</si>
  <si>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</si>
  <si>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</si>
  <si>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</si>
  <si>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</si>
  <si>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</si>
  <si>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</si>
  <si>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</si>
  <si>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</si>
  <si>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</si>
  <si>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</si>
  <si>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</si>
  <si>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TEND</t>
  </si>
  <si>
    <t>ER_AUTO_0/1000</t>
  </si>
  <si>
    <t>ER_AUTO_ELEC_0/ER_AUTO_0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</si>
  <si>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</si>
  <si>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</si>
  <si>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</si>
  <si>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</si>
  <si>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</si>
  <si>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</si>
  <si>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ER_NEWAUTO_ELEC_0/ER_NEWAUTO_0</t>
  </si>
  <si>
    <t>ER_NEWAUTO_ELEC_A_0/ER_NEWAUTO_0</t>
  </si>
  <si>
    <t>ER_NEWAUTO_ELEC_B_0/ER_NEWAUTO_0</t>
  </si>
  <si>
    <t>ER_NEWAUTO_ELEC_C_0/ER_NEWAUTO_0</t>
  </si>
  <si>
    <t>ER_NEWAUTO_ELEC_D_0/ER_NEWAUTO_0</t>
  </si>
  <si>
    <t>ER_NEWAUTO_ELEC_E_0/ER_NEWAUTO_0</t>
  </si>
  <si>
    <t>ER_NEWAUTO_ELEC_F_0/ER_NEWAUTO_0</t>
  </si>
  <si>
    <t>ER_NEWAUTO_ELEC_G_0/ER_NEWAUTO_0</t>
  </si>
  <si>
    <t>ER_NEWAUTO_TH_0/ER_NEWAUTO_0</t>
  </si>
  <si>
    <t>ER_NEWAUTO_TH_A_0/ER_NEWAUTO_0</t>
  </si>
  <si>
    <t>ER_NEWAUTO_TH_B_0/ER_NEWAUTO_0</t>
  </si>
  <si>
    <t>ER_NEWAUTO_TH_C_0/ER_NEWAUTO_0</t>
  </si>
  <si>
    <t>ER_NEWAUTO_TH_D_0/ER_NEWAUTO_0</t>
  </si>
  <si>
    <t>ER_NEWAUTO_TH_E_0/ER_NEWAUTO_0</t>
  </si>
  <si>
    <t>ER_NEWAUTO_TH_F_0/ER_NEWAUTO_0</t>
  </si>
  <si>
    <t>ER_NEWAUTO_TH_G_0/ER_NEWAUTO_0</t>
  </si>
  <si>
    <t>ER_AUTO_COAL_0/ER_AUTO_0</t>
  </si>
  <si>
    <t>ER_AUTO_TH_0/ER_AUTO_0</t>
  </si>
  <si>
    <t>ER_AUTO_GAS_0/ER_AUTO_0</t>
  </si>
  <si>
    <t>ER_AUTO_ELEC_A_0/ER_AUTO_0</t>
  </si>
  <si>
    <t>ER_AUTO_ELEC_B_0/ER_AUTO_0</t>
  </si>
  <si>
    <t>ER_AUTO_ELEC_C_0/ER_AUTO_0</t>
  </si>
  <si>
    <t>ER_AUTO_ELEC_D_0/ER_AUTO_0</t>
  </si>
  <si>
    <t>ER_AUTO_ELEC_E_0/ER_AUTO_0</t>
  </si>
  <si>
    <t>ER_AUTO_ELEC_F_0/ER_AUTO_0</t>
  </si>
  <si>
    <t>ER_AUTO_ELEC_G_0/ER_AUTO_0</t>
  </si>
  <si>
    <t>ER_AUTO_TH_A_0/ER_AUTO_0</t>
  </si>
  <si>
    <t>ER_AUTO_TH_B_0/ER_AUTO_0</t>
  </si>
  <si>
    <t>ER_AUTO_TH_C_0/ER_AUTO_0</t>
  </si>
  <si>
    <t>ER_AUTO_TH_D_0/ER_AUTO_0</t>
  </si>
  <si>
    <t>ER_AUTO_TH_E_0/ER_AUTO_0</t>
  </si>
  <si>
    <t>ER_AUTO_TH_F_0/ER_AUTO_0</t>
  </si>
  <si>
    <t>ER_AUTO_TH_G_0/ER_AUTO_0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</si>
  <si>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</si>
  <si>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</si>
  <si>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</si>
  <si>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</si>
  <si>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</si>
  <si>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</si>
  <si>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</si>
  <si>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</si>
  <si>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</si>
  <si>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</si>
  <si>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</si>
  <si>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</si>
  <si>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</si>
  <si>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</si>
  <si>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</si>
  <si>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</si>
  <si>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</si>
  <si>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</si>
  <si>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</si>
  <si>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</si>
  <si>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</si>
  <si>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</si>
  <si>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1) Copier-coller sorties Eviews en B2
2) veillez à ce que les données commencent en 2004
3) modifier le scénario si besoin en B1</t>
  </si>
  <si>
    <t>Différences en 2050 résultant des modifs de chocs</t>
  </si>
  <si>
    <t>Ecarts par rapport à la cible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</si>
  <si>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</si>
  <si>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</si>
  <si>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</si>
  <si>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</si>
  <si>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</si>
  <si>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</si>
  <si>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</si>
  <si>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</si>
  <si>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</si>
  <si>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</si>
  <si>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</si>
  <si>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</si>
  <si>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</si>
  <si>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</si>
  <si>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</si>
  <si>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</si>
  <si>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</si>
  <si>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</si>
  <si>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</si>
  <si>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</si>
  <si>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</si>
  <si>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</si>
  <si>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</si>
  <si>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</si>
  <si>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</si>
  <si>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</si>
  <si>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</si>
  <si>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</si>
  <si>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Industry</t>
  </si>
  <si>
    <t>Industry energetic uses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</si>
  <si>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</si>
  <si>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</si>
  <si>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</si>
  <si>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</si>
  <si>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</si>
  <si>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</si>
  <si>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</si>
  <si>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</si>
  <si>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</si>
  <si>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</si>
  <si>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</si>
  <si>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</si>
  <si>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</si>
  <si>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</si>
  <si>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</si>
  <si>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</si>
  <si>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</si>
  <si>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</si>
  <si>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</si>
  <si>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</si>
  <si>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</si>
  <si>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</si>
  <si>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</si>
  <si>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</si>
  <si>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</si>
  <si>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</si>
  <si>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</si>
  <si>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</si>
  <si>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</si>
  <si>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</si>
  <si>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</si>
  <si>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</si>
  <si>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</si>
  <si>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</si>
  <si>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</si>
  <si>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</si>
  <si>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</si>
  <si>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</si>
  <si>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</si>
  <si>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</si>
  <si>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</si>
  <si>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KM_AUTO_H01_0</t>
  </si>
  <si>
    <t>KM_TRAVELER_18_H01_0</t>
  </si>
  <si>
    <t>KM_TRAV_AUTO_LD_H01_0</t>
  </si>
  <si>
    <t>KM_TRAV_AUTO_CD_H01_0</t>
  </si>
  <si>
    <t>KM_TRAVELER_14_H01_0</t>
  </si>
  <si>
    <t>KM_TRAVELER_15_H01_0</t>
  </si>
  <si>
    <t>KM_TRAVELER_CD_H01_0</t>
  </si>
  <si>
    <t>KM_TRAVELER_LD_H01_0</t>
  </si>
  <si>
    <t>IC_HH_24_H01_0</t>
  </si>
  <si>
    <t>ER_OIL_1</t>
  </si>
  <si>
    <t>ER_OIL_2201_1</t>
  </si>
  <si>
    <t>ER_OIL_2202_1</t>
  </si>
  <si>
    <t>ER_ELEC_2301_1</t>
  </si>
  <si>
    <t>ER_ELEC_2302_1</t>
  </si>
  <si>
    <t>ER_ELEC_2303_1</t>
  </si>
  <si>
    <t>ER_ELEC_2304_1</t>
  </si>
  <si>
    <t>ER_ELEC_2305_1</t>
  </si>
  <si>
    <t>ER_ELEC_2306_1</t>
  </si>
  <si>
    <t>ER_ELEC_2307_1</t>
  </si>
  <si>
    <t>ER_ELEC_2308_1</t>
  </si>
  <si>
    <t>ER_ELEC_1</t>
  </si>
  <si>
    <t>ER_GAS_1</t>
  </si>
  <si>
    <t>ER_GAS_2401_1</t>
  </si>
  <si>
    <t>ER_GAS_2402_1</t>
  </si>
  <si>
    <t>ER_GAS_2403_1</t>
  </si>
  <si>
    <t>ER_GAS_2404_1</t>
  </si>
  <si>
    <t>ER_GAS_2405_1</t>
  </si>
  <si>
    <t>ER_GAS_2406_1</t>
  </si>
  <si>
    <t>ER_COAL_1</t>
  </si>
  <si>
    <t>ER_TOTAL_1</t>
  </si>
  <si>
    <t>ER_AGRICULTURE_1</t>
  </si>
  <si>
    <t>ER_INDUS_1</t>
  </si>
  <si>
    <t>ER_RESIDENTIAL_1</t>
  </si>
  <si>
    <t>ER_TERTIARY_1</t>
  </si>
  <si>
    <t>ER_TRANS_PRIVATE_1</t>
  </si>
  <si>
    <t>ER_TRANS_PUBLIC_1</t>
  </si>
  <si>
    <t>ER_AUTO_1</t>
  </si>
  <si>
    <t>ER_AUTO_TH_A_1</t>
  </si>
  <si>
    <t>ER_AUTO_TH_B_1</t>
  </si>
  <si>
    <t>ER_AUTO_TH_C_1</t>
  </si>
  <si>
    <t>ER_AUTO_TH_D_1</t>
  </si>
  <si>
    <t>ER_AUTO_TH_E_1</t>
  </si>
  <si>
    <t>ER_AUTO_TH_F_1</t>
  </si>
  <si>
    <t>ER_AUTO_TH_G_1</t>
  </si>
  <si>
    <t>ER_AUTO_ELEC_A_1</t>
  </si>
  <si>
    <t>ER_AUTO_ELEC_B_1</t>
  </si>
  <si>
    <t>ER_AUTO_ELEC_C_1</t>
  </si>
  <si>
    <t>ER_AUTO_ELEC_D_1</t>
  </si>
  <si>
    <t>ER_AUTO_ELEC_E_1</t>
  </si>
  <si>
    <t>ER_AUTO_ELEC_F_1</t>
  </si>
  <si>
    <t>ER_AUTO_ELEC_G_1</t>
  </si>
  <si>
    <t>ER_AUTO_COAL_1</t>
  </si>
  <si>
    <t>ER_AUTO_TH_1</t>
  </si>
  <si>
    <t>ER_AUTO_ELEC_1</t>
  </si>
  <si>
    <t>ER_AUTO_GAS_1</t>
  </si>
  <si>
    <t>ER_NEWAUTO_1</t>
  </si>
  <si>
    <t>ER_NEWAUTO_TH_1</t>
  </si>
  <si>
    <t>ER_NEWAUTO_TH_A_1</t>
  </si>
  <si>
    <t>ER_NEWAUTO_TH_B_1</t>
  </si>
  <si>
    <t>ER_NEWAUTO_TH_C_1</t>
  </si>
  <si>
    <t>ER_NEWAUTO_TH_D_1</t>
  </si>
  <si>
    <t>ER_NEWAUTO_TH_E_1</t>
  </si>
  <si>
    <t>ER_NEWAUTO_TH_F_1</t>
  </si>
  <si>
    <t>ER_NEWAUTO_TH_G_1</t>
  </si>
  <si>
    <t>ER_NEWAUTO_ELEC_1</t>
  </si>
  <si>
    <t>ER_NEWAUTO_ELEC_A_1</t>
  </si>
  <si>
    <t>ER_NEWAUTO_ELEC_B_1</t>
  </si>
  <si>
    <t>ER_NEWAUTO_ELEC_C_1</t>
  </si>
  <si>
    <t>ER_NEWAUTO_ELEC_D_1</t>
  </si>
  <si>
    <t>ER_NEWAUTO_ELEC_E_1</t>
  </si>
  <si>
    <t>ER_NEWAUTO_ELEC_F_1</t>
  </si>
  <si>
    <t>ER_NEWAUTO_ELEC_G_1</t>
  </si>
  <si>
    <t>ER_AGRICULTURE_COAL_1</t>
  </si>
  <si>
    <t>ER_INDUS_COAL_1</t>
  </si>
  <si>
    <t>ER_RESIDENTIAL_COAL_1</t>
  </si>
  <si>
    <t>ER_TERTIARY_COAL_1</t>
  </si>
  <si>
    <t>ER_TRANS_PRIVATE_COAL_1</t>
  </si>
  <si>
    <t>ER_TRANS_PUBLIC_COAL_1</t>
  </si>
  <si>
    <t>ER_AGRICULTURE_OIL_1</t>
  </si>
  <si>
    <t>ER_INDUS_OIL_1</t>
  </si>
  <si>
    <t>ER_RESIDENTIAL_OIL_1</t>
  </si>
  <si>
    <t>ER_TERTIARY_OIL_1</t>
  </si>
  <si>
    <t>ER_TRANS_PRIVATE_OIL_1</t>
  </si>
  <si>
    <t>ER_TRANS_PUBLIC_OIL_1</t>
  </si>
  <si>
    <t>ER_AGRICULTURE_ELEC_1</t>
  </si>
  <si>
    <t>ER_INDUS_ELEC_1</t>
  </si>
  <si>
    <t>ER_RESIDENTIAL_ELEC_1</t>
  </si>
  <si>
    <t>ER_TERTIARY_ELEC_1</t>
  </si>
  <si>
    <t>ER_TRANS_PRIVATE_ELEC_1</t>
  </si>
  <si>
    <t>ER_TRANS_PUBLIC_ELEC_1</t>
  </si>
  <si>
    <t>ER_AGRICULTURE_GAS_1</t>
  </si>
  <si>
    <t>ER_INDUS_GAS_1</t>
  </si>
  <si>
    <t>ER_RESIDENTIAL_GAS_1</t>
  </si>
  <si>
    <t>ER_TERTIARY_GAS_1</t>
  </si>
  <si>
    <t>ER_TRANS_PRIVATE_GAS_1</t>
  </si>
  <si>
    <t>ER_TRANS_PUBLIC_GAS_1</t>
  </si>
  <si>
    <t>ER_BUIL_1</t>
  </si>
  <si>
    <t>ER_BUIL_A_1</t>
  </si>
  <si>
    <t>ER_BUIL_B_1</t>
  </si>
  <si>
    <t>ER_BUIL_C_1</t>
  </si>
  <si>
    <t>ER_BUIL_D_1</t>
  </si>
  <si>
    <t>ER_BUIL_E_1</t>
  </si>
  <si>
    <t>ER_BUIL_F_1</t>
  </si>
  <si>
    <t>ER_BUIL_G_1</t>
  </si>
  <si>
    <t>EMS_DC_04_1</t>
  </si>
  <si>
    <t>EMS_DC_05_1</t>
  </si>
  <si>
    <t>EMS_DC_1</t>
  </si>
  <si>
    <t>EMS_HH_1</t>
  </si>
  <si>
    <t>EMS_HH_21_1</t>
  </si>
  <si>
    <t>EMS_HH_21_H01_1</t>
  </si>
  <si>
    <t>EMS_HH_22_1</t>
  </si>
  <si>
    <t>EMS_HH_22_H01_1</t>
  </si>
  <si>
    <t>EMS_HH_24_1</t>
  </si>
  <si>
    <t>EMS_HH_24_H01_1</t>
  </si>
  <si>
    <t>EMS_SEC_TOT_01_1</t>
  </si>
  <si>
    <t>EMS_SEC_TOT_02_1</t>
  </si>
  <si>
    <t>EMS_SEC_TOT_03_1</t>
  </si>
  <si>
    <t>EMS_SEC_TOT_04_1</t>
  </si>
  <si>
    <t>EMS_SEC_TOT_05_1</t>
  </si>
  <si>
    <t>EMS_SEC_TOT_06_1</t>
  </si>
  <si>
    <t>EMS_SEC_TOT_07_1</t>
  </si>
  <si>
    <t>EMS_SEC_TOT_08_1</t>
  </si>
  <si>
    <t>EMS_SEC_TOT_09_1</t>
  </si>
  <si>
    <t>EMS_SEC_TOT_10_1</t>
  </si>
  <si>
    <t>EMS_SEC_TOT_11_1</t>
  </si>
  <si>
    <t>EMS_SEC_TOT_12_1</t>
  </si>
  <si>
    <t>EMS_SEC_TOT_13_1</t>
  </si>
  <si>
    <t>EMS_SEC_TOT_14_1</t>
  </si>
  <si>
    <t>EMS_SEC_TOT_15_1</t>
  </si>
  <si>
    <t>EMS_SEC_TOT_16_1</t>
  </si>
  <si>
    <t>EMS_SEC_TOT_17_1</t>
  </si>
  <si>
    <t>EMS_SEC_TOT_18_1</t>
  </si>
  <si>
    <t>EMS_SEC_TOT_19_1</t>
  </si>
  <si>
    <t>EMS_SEC_TOT_1</t>
  </si>
  <si>
    <t>EMS_SEC_TOT_20_1</t>
  </si>
  <si>
    <t>EMS_SEC_TOT_21_05_1</t>
  </si>
  <si>
    <t>EMS_SEC_TOT_21_06_1</t>
  </si>
  <si>
    <t>EMS_SEC_TOT_21_07_1</t>
  </si>
  <si>
    <t>EMS_SEC_TOT_21_08_1</t>
  </si>
  <si>
    <t>EMS_SEC_TOT_21_10_1</t>
  </si>
  <si>
    <t>EMS_SEC_TOT_21_12_1</t>
  </si>
  <si>
    <t>EMS_SEC_TOT_21_19_1</t>
  </si>
  <si>
    <t>EMS_SEC_TOT_21_20_1</t>
  </si>
  <si>
    <t>EMS_SEC_TOT_21_2304_1</t>
  </si>
  <si>
    <t>EMS_SEC_TOT_2201_1</t>
  </si>
  <si>
    <t>EMS_SEC_TOT_22_01_1</t>
  </si>
  <si>
    <t>EMS_SEC_TOT_22_02_1</t>
  </si>
  <si>
    <t>EMS_SEC_TOT_22_03_1</t>
  </si>
  <si>
    <t>EMS_SEC_TOT_22_04_1</t>
  </si>
  <si>
    <t>EMS_SEC_TOT_22_05_1</t>
  </si>
  <si>
    <t>EMS_SEC_TOT_22_06_1</t>
  </si>
  <si>
    <t>EMS_SEC_TOT_22_07_1</t>
  </si>
  <si>
    <t>EMS_SEC_TOT_22_08_1</t>
  </si>
  <si>
    <t>EMS_SEC_TOT_22_09_1</t>
  </si>
  <si>
    <t>EMS_SEC_TOT_22_12_1</t>
  </si>
  <si>
    <t>EMS_SEC_TOT_22_13_1</t>
  </si>
  <si>
    <t>EMS_SEC_TOT_22_14_1</t>
  </si>
  <si>
    <t>EMS_SEC_TOT_22_15_1</t>
  </si>
  <si>
    <t>EMS_SEC_TOT_22_16_1</t>
  </si>
  <si>
    <t>EMS_SEC_TOT_22_17_1</t>
  </si>
  <si>
    <t>EMS_SEC_TOT_22_18_1</t>
  </si>
  <si>
    <t>EMS_SEC_TOT_22_19_1</t>
  </si>
  <si>
    <t>EMS_SEC_TOT_22_20_1</t>
  </si>
  <si>
    <t>EMS_SEC_TOT_22_2201_1</t>
  </si>
  <si>
    <t>EMS_SEC_TOT_22_2302_1</t>
  </si>
  <si>
    <t>EMS_SEC_TOT_2302_1</t>
  </si>
  <si>
    <t>EMS_SEC_TOT_2303_1</t>
  </si>
  <si>
    <t>EMS_SEC_TOT_2304_1</t>
  </si>
  <si>
    <t>EMS_SEC_TOT_2401_1</t>
  </si>
  <si>
    <t>EMS_SEC_TOT_24_01_1</t>
  </si>
  <si>
    <t>EMS_SEC_TOT_24_02_1</t>
  </si>
  <si>
    <t>EMS_SEC_TOT_24_03_1</t>
  </si>
  <si>
    <t>EMS_SEC_TOT_24_04_1</t>
  </si>
  <si>
    <t>EMS_SEC_TOT_24_05_1</t>
  </si>
  <si>
    <t>EMS_SEC_TOT_24_06_1</t>
  </si>
  <si>
    <t>EMS_SEC_TOT_24_07_1</t>
  </si>
  <si>
    <t>EMS_SEC_TOT_24_08_1</t>
  </si>
  <si>
    <t>EMS_SEC_TOT_24_09_1</t>
  </si>
  <si>
    <t>EMS_SEC_TOT_24_10_1</t>
  </si>
  <si>
    <t>EMS_SEC_TOT_24_11_1</t>
  </si>
  <si>
    <t>EMS_SEC_TOT_24_12_1</t>
  </si>
  <si>
    <t>EMS_SEC_TOT_24_13_1</t>
  </si>
  <si>
    <t>EMS_SEC_TOT_24_14_1</t>
  </si>
  <si>
    <t>EMS_SEC_TOT_24_15_1</t>
  </si>
  <si>
    <t>EMS_SEC_TOT_24_16_1</t>
  </si>
  <si>
    <t>EMS_SEC_TOT_24_17_1</t>
  </si>
  <si>
    <t>EMS_SEC_TOT_24_18_1</t>
  </si>
  <si>
    <t>EMS_SEC_TOT_24_19_1</t>
  </si>
  <si>
    <t>EMS_SEC_TOT_24_20_1</t>
  </si>
  <si>
    <t>EMS_SEC_TOT_24_2201_1</t>
  </si>
  <si>
    <t>EMS_SEC_TOT_24_2303_1</t>
  </si>
  <si>
    <t>EMS_SEC_TOT_24_2401_1</t>
  </si>
  <si>
    <t>EMS_SECSOU_1</t>
  </si>
  <si>
    <t>EMS_SECSOU_21_1</t>
  </si>
  <si>
    <t>EMS_SECSOU_22_1</t>
  </si>
  <si>
    <t>EMS_SECSOU_24_1</t>
  </si>
  <si>
    <t>EMS_SOU_1</t>
  </si>
  <si>
    <t>EMS_SOU_21_1</t>
  </si>
  <si>
    <t>EMS_SOU_22_1</t>
  </si>
  <si>
    <t>EMS_SOU_24_1</t>
  </si>
  <si>
    <t>EMS_TOT_1</t>
  </si>
  <si>
    <t>Q_MTEP_EP_1</t>
  </si>
  <si>
    <t>Q_MTEP_EP_21_1</t>
  </si>
  <si>
    <t>Q_MTEP_EP_21_21_1</t>
  </si>
  <si>
    <t>Q_MTEP_EP_2201_1</t>
  </si>
  <si>
    <t>Q_MTEP_EP_2202_1</t>
  </si>
  <si>
    <t>Q_MTEP_EP_22_2201_1</t>
  </si>
  <si>
    <t>Q_MTEP_EP_22_2202_1</t>
  </si>
  <si>
    <t>Q_MTEP_EP_2301_1</t>
  </si>
  <si>
    <t>Q_MTEP_EP_2302_1</t>
  </si>
  <si>
    <t>Q_MTEP_EP_2303_1</t>
  </si>
  <si>
    <t>Q_MTEP_EP_2304_1</t>
  </si>
  <si>
    <t>Q_MTEP_EP_2305_1</t>
  </si>
  <si>
    <t>Q_MTEP_EP_2306_1</t>
  </si>
  <si>
    <t>Q_MTEP_EP_2307_1</t>
  </si>
  <si>
    <t>Q_MTEP_EP_2308_1</t>
  </si>
  <si>
    <t>Q_MTEP_EP_23_2301_1</t>
  </si>
  <si>
    <t>Q_MTEP_EP_23_2302_1</t>
  </si>
  <si>
    <t>Q_MTEP_EP_23_2303_1</t>
  </si>
  <si>
    <t>Q_MTEP_EP_23_2304_1</t>
  </si>
  <si>
    <t>Q_MTEP_EP_23_2305_1</t>
  </si>
  <si>
    <t>Q_MTEP_EP_23_2306_1</t>
  </si>
  <si>
    <t>Q_MTEP_EP_23_2307_1</t>
  </si>
  <si>
    <t>Q_MTEP_EP_23_2308_1</t>
  </si>
  <si>
    <t>Q_MTEP_EP_2401_1</t>
  </si>
  <si>
    <t>Q_MTEP_EP_2402_1</t>
  </si>
  <si>
    <t>Q_MTEP_EP_2403_1</t>
  </si>
  <si>
    <t>Q_MTEP_EP_2404_1</t>
  </si>
  <si>
    <t>Q_MTEP_EP_2405_1</t>
  </si>
  <si>
    <t>Q_MTEP_EP_2406_1</t>
  </si>
  <si>
    <t>Q_MTEP_EP_24_2401_1</t>
  </si>
  <si>
    <t>Q_MTEP_EP_24_2402_1</t>
  </si>
  <si>
    <t>Q_MTEP_EP_24_2403_1</t>
  </si>
  <si>
    <t>Q_MTEP_EP_24_2404_1</t>
  </si>
  <si>
    <t>Q_MTEP_EP_24_2405_1</t>
  </si>
  <si>
    <t>Q_MTEP_EP_24_2406_1</t>
  </si>
  <si>
    <t>Q_MTEP_INDUS_21_1</t>
  </si>
  <si>
    <t>Q_MTEP_INDUS_22_1</t>
  </si>
  <si>
    <t>Q_MTEP_INDUS_23_1</t>
  </si>
  <si>
    <t>Q_MTEP_INDUS_24_1</t>
  </si>
  <si>
    <t>PHIY_EF_TOT_22_2201_1</t>
  </si>
  <si>
    <t>PHIY_EF_TOT_22_2202_1</t>
  </si>
  <si>
    <t>PHIY_EF_TOT_23_2301_1</t>
  </si>
  <si>
    <t>PHIY_EF_TOT_23_2302_1</t>
  </si>
  <si>
    <t>PHIY_EF_TOT_23_2303_1</t>
  </si>
  <si>
    <t>PHIY_EF_TOT_23_2304_1</t>
  </si>
  <si>
    <t>PHIY_EF_TOT_23_2305_1</t>
  </si>
  <si>
    <t>PHIY_EF_TOT_23_2306_1</t>
  </si>
  <si>
    <t>PHIY_EF_TOT_23_2307_1</t>
  </si>
  <si>
    <t>PHIY_EF_TOT_23_2308_1</t>
  </si>
  <si>
    <t>PHIY_EF_TOT_24_2401_1</t>
  </si>
  <si>
    <t>PHIY_EF_TOT_24_2402_1</t>
  </si>
  <si>
    <t>PHIY_EF_TOT_24_2403_1</t>
  </si>
  <si>
    <t>PHIY_EF_TOT_24_2404_1</t>
  </si>
  <si>
    <t>PHIY_EF_TOT_24_2405_1</t>
  </si>
  <si>
    <t>PHIY_EF_TOT_24_2406_1</t>
  </si>
  <si>
    <t>IC_HH_22_H01_1</t>
  </si>
  <si>
    <t>ER_TRANS_PRIVATE_coal_1</t>
  </si>
  <si>
    <t>ER_TRANS_PRIVATE_oil_1</t>
  </si>
  <si>
    <t>ER_TRANS_PRIVATE_elec_1</t>
  </si>
  <si>
    <t>ER_TRANS_PRIVATE_gas_1</t>
  </si>
  <si>
    <t>ER_TRANS_PUBLIC_coal_1</t>
  </si>
  <si>
    <t>ER_TRANS_PUBLIC_oil_1</t>
  </si>
  <si>
    <t>ER_TRANS_PUBLIC_elec_1</t>
  </si>
  <si>
    <t>ER_TRANS_PUBLIC_gas_1</t>
  </si>
  <si>
    <t>ER_RESIDENTIAL_coal_1</t>
  </si>
  <si>
    <t>ER_RESIDENTIAL_oil_1</t>
  </si>
  <si>
    <t>ER_RESIDENTIAL_elec_1</t>
  </si>
  <si>
    <t>ER_RESIDENTIAL_gas_1</t>
  </si>
  <si>
    <t>ER_TERTIARY_coal_1</t>
  </si>
  <si>
    <t>ER_TERTIARY_oil_1</t>
  </si>
  <si>
    <t>ER_TERTIARY_elec_1</t>
  </si>
  <si>
    <t>ER_TERTIARY_gas_1</t>
  </si>
  <si>
    <t>ER_INDUS_coal_1</t>
  </si>
  <si>
    <t>ER_INDUS_oil_1</t>
  </si>
  <si>
    <t>ER_INDUS_elec_1</t>
  </si>
  <si>
    <t>ER_INDUS_gas_1</t>
  </si>
  <si>
    <t>Q_Mtep_indus_21_1</t>
  </si>
  <si>
    <t>Q_Mtep_indus_22_1</t>
  </si>
  <si>
    <t>Q_Mtep_indus_23_1</t>
  </si>
  <si>
    <t>Q_Mtep_indus_24_1</t>
  </si>
  <si>
    <t>ER_AGRICULTURE_coal_1</t>
  </si>
  <si>
    <t>ER_AGRICULTURE_oil_1</t>
  </si>
  <si>
    <t>ER_AGRICULTURE_elec_1</t>
  </si>
  <si>
    <t>ER_AGRICULTURE_gas_1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</si>
</sst>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#,##0.0"/>
    <numFmt numFmtId="167" formatCode="0.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" fillId="0" borderId="0"/>
  </cellStyleXfs>
  <cellXfs count="275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4" fillId="0" borderId="0" xfId="0" applyFont="1"/>
    <xf numFmtId="0" fontId="5" fillId="0" borderId="0" xfId="0" applyFont="1"/>
    <xf numFmtId="0" fontId="2" fillId="0" borderId="1" xfId="0" applyFont="1" applyBorder="1"/>
    <xf numFmtId="0" fontId="7" fillId="0" borderId="0" xfId="0" applyFont="1" applyAlignment="1">
      <alignment horizontal="left" indent="2"/>
    </xf>
    <xf numFmtId="0" fontId="9" fillId="0" borderId="0" xfId="0" applyFont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0" fillId="0" borderId="0" xfId="0" applyNumberFormat="1"/>
    <xf numFmtId="3" fontId="2" fillId="3" borderId="3" xfId="0" applyNumberFormat="1" applyFont="1" applyFill="1" applyBorder="1" applyAlignment="1">
      <alignment horizontal="right"/>
    </xf>
    <xf numFmtId="0" fontId="2" fillId="0" borderId="0" xfId="0" applyFont="1"/>
    <xf numFmtId="1" fontId="0" fillId="0" borderId="0" xfId="0" applyNumberFormat="1"/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2" fillId="0" borderId="0" xfId="0" applyNumberFormat="1" applyFont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64" fontId="0" fillId="0" borderId="0" xfId="0" applyNumberFormat="1"/>
    <xf numFmtId="1" fontId="11" fillId="6" borderId="4" xfId="0" applyNumberFormat="1" applyFont="1" applyFill="1" applyBorder="1"/>
    <xf numFmtId="1" fontId="1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6" fillId="0" borderId="0" xfId="0" applyFont="1"/>
    <xf numFmtId="0" fontId="2" fillId="0" borderId="0" xfId="0" applyFont="1" applyAlignment="1">
      <alignment horizontal="right"/>
    </xf>
    <xf numFmtId="1" fontId="11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" fontId="11" fillId="0" borderId="0" xfId="0" applyNumberFormat="1" applyFont="1"/>
    <xf numFmtId="1" fontId="2" fillId="0" borderId="0" xfId="0" applyNumberFormat="1" applyFont="1"/>
    <xf numFmtId="164" fontId="14" fillId="0" borderId="0" xfId="0" applyNumberFormat="1" applyFont="1"/>
    <xf numFmtId="1" fontId="13" fillId="0" borderId="0" xfId="0" applyNumberFormat="1" applyFont="1"/>
    <xf numFmtId="2" fontId="2" fillId="0" borderId="0" xfId="0" applyNumberFormat="1" applyFont="1"/>
    <xf numFmtId="165" fontId="2" fillId="0" borderId="0" xfId="1" applyNumberFormat="1" applyFont="1" applyFill="1" applyBorder="1" applyAlignment="1">
      <alignment horizontal="right"/>
    </xf>
    <xf numFmtId="2" fontId="0" fillId="0" borderId="0" xfId="0" applyNumberFormat="1" applyAlignment="1">
      <alignment horizontal="right"/>
    </xf>
    <xf numFmtId="165" fontId="2" fillId="0" borderId="0" xfId="1" applyNumberFormat="1" applyFont="1" applyFill="1" applyBorder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64" fontId="2" fillId="8" borderId="1" xfId="0" applyNumberFormat="1" applyFont="1" applyFill="1" applyBorder="1"/>
    <xf numFmtId="164" fontId="2" fillId="7" borderId="1" xfId="0" applyNumberFormat="1" applyFont="1" applyFill="1" applyBorder="1" applyAlignment="1">
      <alignment horizontal="right"/>
    </xf>
    <xf numFmtId="0" fontId="19" fillId="0" borderId="0" xfId="3" applyFill="1"/>
    <xf numFmtId="2" fontId="2" fillId="2" borderId="3" xfId="0" applyNumberFormat="1" applyFont="1" applyFill="1" applyBorder="1" applyAlignment="1">
      <alignment horizontal="right"/>
    </xf>
    <xf numFmtId="2" fontId="2" fillId="2" borderId="0" xfId="0" applyNumberFormat="1" applyFont="1" applyFill="1" applyAlignment="1">
      <alignment horizontal="right"/>
    </xf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11" fontId="0" fillId="0" borderId="0" xfId="0" applyNumberFormat="1"/>
    <xf numFmtId="0" fontId="2" fillId="2" borderId="1" xfId="0" applyFont="1" applyFill="1" applyBorder="1" applyAlignment="1">
      <alignment horizontal="right" wrapText="1" shrinkToFit="1"/>
    </xf>
    <xf numFmtId="3" fontId="0" fillId="0" borderId="0" xfId="0" applyNumberFormat="1" applyAlignment="1">
      <alignment horizontal="right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165" fontId="0" fillId="0" borderId="36" xfId="0" applyNumberFormat="1" applyBorder="1"/>
    <xf numFmtId="165" fontId="2" fillId="3" borderId="21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1" fillId="2" borderId="0" xfId="0" applyNumberFormat="1" applyFont="1" applyFill="1" applyAlignment="1">
      <alignment horizontal="right"/>
    </xf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2" fillId="2" borderId="0" xfId="4" applyFill="1" applyBorder="1"/>
    <xf numFmtId="9" fontId="22" fillId="0" borderId="0" xfId="4" applyNumberFormat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165" fontId="0" fillId="2" borderId="18" xfId="0" applyNumberFormat="1" applyFill="1" applyBorder="1" applyAlignment="1">
      <alignment vertical="center"/>
    </xf>
    <xf numFmtId="165" fontId="0" fillId="2" borderId="37" xfId="0" applyNumberForma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2" fillId="0" borderId="9" xfId="4" applyBorder="1"/>
    <xf numFmtId="165" fontId="22" fillId="2" borderId="17" xfId="4" applyNumberFormat="1" applyFill="1" applyBorder="1" applyAlignment="1">
      <alignment vertical="center"/>
    </xf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164" fontId="2" fillId="8" borderId="15" xfId="0" applyNumberFormat="1" applyFont="1" applyFill="1" applyBorder="1"/>
    <xf numFmtId="0" fontId="22" fillId="2" borderId="0" xfId="4" applyFill="1"/>
    <xf numFmtId="2" fontId="22" fillId="2" borderId="0" xfId="4" applyNumberFormat="1" applyFill="1" applyBorder="1" applyAlignment="1">
      <alignment horizontal="right"/>
    </xf>
    <xf numFmtId="164" fontId="22" fillId="2" borderId="0" xfId="4" applyNumberFormat="1" applyFill="1"/>
    <xf numFmtId="1" fontId="22" fillId="2" borderId="0" xfId="4" applyNumberFormat="1" applyFill="1"/>
    <xf numFmtId="164" fontId="22" fillId="2" borderId="0" xfId="4" applyNumberFormat="1" applyFill="1" applyBorder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3" fillId="2" borderId="4" xfId="0" applyFont="1" applyFill="1" applyBorder="1" applyAlignment="1">
      <alignment horizontal="left" vertical="center" wrapText="1"/>
    </xf>
    <xf numFmtId="2" fontId="2" fillId="0" borderId="8" xfId="0" applyNumberFormat="1" applyFont="1" applyBorder="1"/>
    <xf numFmtId="1" fontId="2" fillId="0" borderId="2" xfId="0" applyNumberFormat="1" applyFont="1" applyBorder="1"/>
    <xf numFmtId="1" fontId="2" fillId="0" borderId="7" xfId="0" applyNumberFormat="1" applyFont="1" applyBorder="1"/>
    <xf numFmtId="2" fontId="2" fillId="0" borderId="5" xfId="0" applyNumberFormat="1" applyFont="1" applyBorder="1"/>
    <xf numFmtId="0" fontId="2" fillId="0" borderId="5" xfId="0" applyFont="1" applyBorder="1"/>
    <xf numFmtId="2" fontId="2" fillId="0" borderId="9" xfId="0" applyNumberFormat="1" applyFont="1" applyBorder="1"/>
    <xf numFmtId="1" fontId="0" fillId="0" borderId="6" xfId="0" applyNumberFormat="1" applyBorder="1" applyAlignment="1">
      <alignment horizontal="right"/>
    </xf>
    <xf numFmtId="1" fontId="0" fillId="0" borderId="3" xfId="0" applyNumberFormat="1" applyBorder="1"/>
    <xf numFmtId="1" fontId="0" fillId="0" borderId="10" xfId="0" applyNumberFormat="1" applyBorder="1" applyAlignment="1">
      <alignment horizontal="right"/>
    </xf>
    <xf numFmtId="2" fontId="22" fillId="0" borderId="0" xfId="4" applyNumberFormat="1" applyFill="1" applyBorder="1"/>
    <xf numFmtId="1" fontId="22" fillId="0" borderId="0" xfId="4" applyNumberFormat="1" applyFill="1" applyBorder="1"/>
    <xf numFmtId="1" fontId="22" fillId="0" borderId="0" xfId="4" applyNumberFormat="1" applyFill="1" applyBorder="1" applyAlignment="1">
      <alignment horizontal="right"/>
    </xf>
    <xf numFmtId="9" fontId="0" fillId="0" borderId="0" xfId="0" applyNumberFormat="1" applyAlignment="1">
      <alignment horizontal="right"/>
    </xf>
    <xf numFmtId="9" fontId="0" fillId="0" borderId="6" xfId="0" applyNumberFormat="1" applyBorder="1" applyAlignment="1">
      <alignment horizontal="right"/>
    </xf>
    <xf numFmtId="9" fontId="0" fillId="0" borderId="3" xfId="0" applyNumberFormat="1" applyBorder="1" applyAlignment="1">
      <alignment horizontal="right"/>
    </xf>
    <xf numFmtId="9" fontId="0" fillId="0" borderId="10" xfId="0" applyNumberFormat="1" applyBorder="1" applyAlignment="1">
      <alignment horizontal="right"/>
    </xf>
    <xf numFmtId="9" fontId="22" fillId="0" borderId="0" xfId="4" applyNumberFormat="1" applyFill="1" applyBorder="1" applyAlignment="1">
      <alignment horizontal="right"/>
    </xf>
    <xf numFmtId="0" fontId="24" fillId="2" borderId="0" xfId="0" applyFont="1" applyFill="1"/>
    <xf numFmtId="0" fontId="25" fillId="2" borderId="0" xfId="0" applyFont="1" applyFill="1"/>
    <xf numFmtId="0" fontId="22" fillId="0" borderId="0" xfId="4" applyFill="1" applyBorder="1"/>
    <xf numFmtId="9" fontId="22" fillId="0" borderId="0" xfId="4" applyNumberFormat="1" applyFill="1" applyBorder="1"/>
    <xf numFmtId="0" fontId="0" fillId="0" borderId="8" xfId="0" applyBorder="1"/>
    <xf numFmtId="0" fontId="0" fillId="0" borderId="5" xfId="0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1" fontId="26" fillId="10" borderId="0" xfId="5" applyNumberFormat="1" applyFont="1" applyFill="1" applyAlignment="1">
      <alignment horizontal="left" vertical="center" wrapText="1"/>
    </xf>
    <xf numFmtId="0" fontId="27" fillId="11" borderId="0" xfId="0" applyFont="1" applyFill="1"/>
    <xf numFmtId="0" fontId="2" fillId="0" borderId="6" xfId="0" applyFont="1" applyBorder="1"/>
    <xf numFmtId="0" fontId="9" fillId="2" borderId="0" xfId="0" applyFont="1" applyFill="1"/>
    <xf numFmtId="0" fontId="0" fillId="2" borderId="6" xfId="0" applyFill="1" applyBorder="1"/>
    <xf numFmtId="0" fontId="2" fillId="2" borderId="6" xfId="0" applyFont="1" applyFill="1" applyBorder="1"/>
    <xf numFmtId="0" fontId="2" fillId="5" borderId="41" xfId="0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/>
    </xf>
    <xf numFmtId="164" fontId="21" fillId="2" borderId="0" xfId="0" applyNumberFormat="1" applyFont="1" applyFill="1" applyAlignment="1">
      <alignment horizontal="right"/>
    </xf>
    <xf numFmtId="0" fontId="10" fillId="10" borderId="0" xfId="0" applyFont="1" applyFill="1"/>
    <xf numFmtId="0" fontId="16" fillId="0" borderId="0" xfId="0" applyFont="1"/>
    <xf numFmtId="1" fontId="2" fillId="12" borderId="4" xfId="0" applyNumberFormat="1" applyFont="1" applyFill="1" applyBorder="1" applyAlignment="1">
      <alignment horizontal="left"/>
    </xf>
    <xf numFmtId="0" fontId="0" fillId="12" borderId="0" xfId="0" applyFill="1"/>
    <xf numFmtId="164" fontId="11" fillId="12" borderId="4" xfId="0" quotePrefix="1" applyNumberFormat="1" applyFont="1" applyFill="1" applyBorder="1" applyAlignment="1">
      <alignment horizontal="right"/>
    </xf>
    <xf numFmtId="164" fontId="11" fillId="12" borderId="1" xfId="0" applyNumberFormat="1" applyFont="1" applyFill="1" applyBorder="1" applyAlignment="1">
      <alignment horizontal="right"/>
    </xf>
    <xf numFmtId="164" fontId="11" fillId="12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64" fontId="11" fillId="12" borderId="4" xfId="0" applyNumberFormat="1" applyFont="1" applyFill="1" applyBorder="1" applyAlignment="1">
      <alignment horizontal="right"/>
    </xf>
    <xf numFmtId="164" fontId="16" fillId="2" borderId="0" xfId="0" applyNumberFormat="1" applyFont="1" applyFill="1" applyAlignment="1">
      <alignment horizontal="right"/>
    </xf>
    <xf numFmtId="164" fontId="0" fillId="2" borderId="5" xfId="0" applyNumberFormat="1" applyFill="1" applyBorder="1" applyAlignment="1">
      <alignment horizontal="right"/>
    </xf>
    <xf numFmtId="1" fontId="2" fillId="13" borderId="4" xfId="0" applyNumberFormat="1" applyFont="1" applyFill="1" applyBorder="1"/>
    <xf numFmtId="0" fontId="0" fillId="13" borderId="3" xfId="0" applyFill="1" applyBorder="1"/>
    <xf numFmtId="164" fontId="11" fillId="13" borderId="4" xfId="0" applyNumberFormat="1" applyFont="1" applyFill="1" applyBorder="1"/>
    <xf numFmtId="164" fontId="11" fillId="13" borderId="1" xfId="0" applyNumberFormat="1" applyFont="1" applyFill="1" applyBorder="1"/>
    <xf numFmtId="164" fontId="11" fillId="13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2" fontId="16" fillId="2" borderId="0" xfId="0" applyNumberFormat="1" applyFont="1" applyFill="1" applyAlignment="1">
      <alignment horizontal="right"/>
    </xf>
    <xf numFmtId="1" fontId="16" fillId="2" borderId="18" xfId="0" applyNumberFormat="1" applyFont="1" applyFill="1" applyBorder="1" applyAlignment="1">
      <alignment horizontal="right"/>
    </xf>
    <xf numFmtId="1" fontId="11" fillId="3" borderId="1" xfId="0" applyNumberFormat="1" applyFont="1" applyFill="1" applyBorder="1" applyAlignment="1">
      <alignment horizontal="right"/>
    </xf>
    <xf numFmtId="1" fontId="11" fillId="3" borderId="15" xfId="0" applyNumberFormat="1" applyFont="1" applyFill="1" applyBorder="1" applyAlignment="1">
      <alignment horizontal="right"/>
    </xf>
    <xf numFmtId="1" fontId="11" fillId="4" borderId="1" xfId="0" applyNumberFormat="1" applyFont="1" applyFill="1" applyBorder="1"/>
    <xf numFmtId="1" fontId="11" fillId="4" borderId="15" xfId="0" applyNumberFormat="1" applyFont="1" applyFill="1" applyBorder="1"/>
    <xf numFmtId="2" fontId="2" fillId="3" borderId="1" xfId="0" applyNumberFormat="1" applyFont="1" applyFill="1" applyBorder="1" applyAlignment="1">
      <alignment horizontal="right"/>
    </xf>
    <xf numFmtId="0" fontId="23" fillId="2" borderId="8" xfId="0" applyFont="1" applyFill="1" applyBorder="1" applyAlignment="1">
      <alignment horizontal="left" vertical="center" wrapText="1"/>
    </xf>
    <xf numFmtId="0" fontId="23" fillId="2" borderId="5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4.xml"/><Relationship Id="rId13" Type="http://schemas.openxmlformats.org/officeDocument/2006/relationships/chartsheet" Target="chartsheets/sheet7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worksheet" Target="worksheets/sheet6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chartsheet" Target="chartsheets/sheet6.xml"/><Relationship Id="rId5" Type="http://schemas.openxmlformats.org/officeDocument/2006/relationships/chartsheet" Target="chartsheets/sheet2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5.xml"/><Relationship Id="rId19" Type="http://schemas.openxmlformats.org/officeDocument/2006/relationships/calcChain" Target="calcChain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5.xml"/><Relationship Id="rId14" Type="http://schemas.openxmlformats.org/officeDocument/2006/relationships/worksheet" Target="worksheets/sheet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TEND : Energie finale par usage et énergie primaire (Mtep)</c:v>
            </c:pt>
          </c:strCache>
        </c:strRef>
      </c:tx>
      <c:layout>
        <c:manualLayout>
          <c:xMode val="edge"/>
          <c:yMode val="edge"/>
          <c:x val="4.565027119818825E-2"/>
          <c:y val="1.8790840800072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5019613166221479E-17"/>
                  <c:y val="-4.3887147335423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BD-40DB-A16C-DFF8C658DFE3}"/>
                </c:ext>
              </c:extLst>
            </c:dLbl>
            <c:dLbl>
              <c:idx val="1"/>
              <c:layout>
                <c:manualLayout>
                  <c:x val="-1.3647219379051519E-3"/>
                  <c:y val="-3.76175548589341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BD-40DB-A16C-DFF8C658DFE3}"/>
                </c:ext>
              </c:extLst>
            </c:dLbl>
            <c:dLbl>
              <c:idx val="2"/>
              <c:layout>
                <c:manualLayout>
                  <c:x val="0"/>
                  <c:y val="-5.01567398119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BD-40DB-A16C-DFF8C658DFE3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4BD-40DB-A16C-DFF8C658D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348027546713400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TEND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558547377074E-2"/>
              <c:y val="5.2149515793284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TEND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TEND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26833710782E-2"/>
              <c:y val="4.678465348571239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55.380736066240765</c:v>
                </c:pt>
                <c:pt idx="1">
                  <c:v>44.086182835531091</c:v>
                </c:pt>
                <c:pt idx="2">
                  <c:v>37.247550580621997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126.88236409930202</c:v>
                </c:pt>
                <c:pt idx="1">
                  <c:v>114.07205470362445</c:v>
                </c:pt>
                <c:pt idx="2">
                  <c:v>95.969425472507737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28.755263641090352</c:v>
                </c:pt>
                <c:pt idx="1">
                  <c:v>22.869940287799395</c:v>
                </c:pt>
                <c:pt idx="2">
                  <c:v>18.057844871347264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96.19777302903826</c:v>
                </c:pt>
                <c:pt idx="1">
                  <c:v>106.71263847493289</c:v>
                </c:pt>
                <c:pt idx="2">
                  <c:v>124.87480055815114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Graphs'!$B$9</c:f>
          <c:strCache>
            <c:ptCount val="1"/>
            <c:pt idx="0">
              <c:v>TEND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TEND : Ventilation du parc de logements (%)</c:v>
            </c:pt>
          </c:strCache>
        </c:strRef>
      </c:tx>
      <c:layout>
        <c:manualLayout>
          <c:xMode val="edge"/>
          <c:yMode val="edge"/>
          <c:x val="7.517898543132466E-2"/>
          <c:y val="1.6717103152074645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ocuments\GitHub\ThreeME\data\shocks\Bilan%20&#233;nergie%20-%20AMErun2%20-%20AMSrun2.xlsx" TargetMode="External"/><Relationship Id="rId1" Type="http://schemas.openxmlformats.org/officeDocument/2006/relationships/externalLinkPath" Target="/Users/alma.monserand/Documents/GitHub/ThreeME/data/shocks/Bilan%20&#233;nergie%20-%20AMErun2%20-%20AMSrun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AMS"/>
      <sheetName val="Cibles ThreeME v2 "/>
      <sheetName val="Cibles ThreeME v2 AMS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_2023"/>
      <sheetName val="Bilan_E_KP_AMS_2025"/>
      <sheetName val="Bilan_E_KP_AMS_2028"/>
      <sheetName val="Bilan_E_KP_AMS_2030"/>
      <sheetName val="Bilan_E_KP_AMS_2033"/>
      <sheetName val="Bilan_E_KP_AMS_2035"/>
      <sheetName val="Bilan_E_KP_AMS_2038"/>
      <sheetName val="Bilan_E_KP_AMS_2040"/>
      <sheetName val="Bilan_E_KP_AMS_2043"/>
      <sheetName val="Bilan_E_KP_AMS_2045"/>
      <sheetName val="Bilan_E_KP_AMS_2050"/>
      <sheetName val="Bilan_E_KP_AMS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1.2504899941046146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9">
        <row r="13"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22.254054739303911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0"/>
      <sheetData sheetId="11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26.203729444444445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25.961824722222225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3"/>
      <sheetData sheetId="14">
        <row r="13">
          <cell r="T13">
            <v>8.2455072704191767</v>
          </cell>
          <cell r="U13">
            <v>110.31623789955354</v>
          </cell>
          <cell r="V13">
            <v>168.17343522041736</v>
          </cell>
          <cell r="W13">
            <v>131.53831129097264</v>
          </cell>
          <cell r="X13">
            <v>17.908429224736064</v>
          </cell>
        </row>
        <row r="22">
          <cell r="T22">
            <v>2.4899238027122088</v>
          </cell>
          <cell r="U22">
            <v>112.28992403957399</v>
          </cell>
          <cell r="V22">
            <v>122.23887735132044</v>
          </cell>
          <cell r="W22">
            <v>68.197827273818135</v>
          </cell>
          <cell r="X22">
            <v>6.7841435265203538</v>
          </cell>
        </row>
        <row r="30">
          <cell r="T30">
            <v>0</v>
          </cell>
          <cell r="U30">
            <v>18.717898630882576</v>
          </cell>
          <cell r="V30">
            <v>15.992572069761611</v>
          </cell>
          <cell r="W30">
            <v>5.3259859771970728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0.70706396927287185</v>
          </cell>
          <cell r="U37">
            <v>17.593885172405454</v>
          </cell>
          <cell r="V37">
            <v>72.996556103181632</v>
          </cell>
          <cell r="W37">
            <v>3.9976752731894716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9.0201671928645533E-2</v>
          </cell>
          <cell r="U39">
            <v>3.8289980908217579E-4</v>
          </cell>
          <cell r="V39">
            <v>1.4994987295121316</v>
          </cell>
          <cell r="W39">
            <v>0.94378280475996701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32.811205728954405</v>
          </cell>
          <cell r="W40">
            <v>6.5080361221152287</v>
          </cell>
          <cell r="X40">
            <v>0</v>
          </cell>
        </row>
        <row r="41">
          <cell r="T41">
            <v>2.2606527751608563</v>
          </cell>
          <cell r="U41">
            <v>0.83302892187499988</v>
          </cell>
          <cell r="V41">
            <v>0</v>
          </cell>
          <cell r="W41">
            <v>0</v>
          </cell>
          <cell r="X41">
            <v>39.656272012198485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408.63289173322238</v>
          </cell>
        </row>
        <row r="43">
          <cell r="T43">
            <v>34.492480565946664</v>
          </cell>
          <cell r="U43">
            <v>27.107499244386606</v>
          </cell>
          <cell r="V43">
            <v>41.084750674599483</v>
          </cell>
          <cell r="W43">
            <v>21.278250753083572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7.0843993210285721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41.900781249999994</v>
          </cell>
        </row>
        <row r="53">
          <cell r="E53">
            <v>12.538633041459809</v>
          </cell>
        </row>
        <row r="54">
          <cell r="E54">
            <v>127.25135409198229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5"/>
      <sheetData sheetId="16">
        <row r="5">
          <cell r="T5">
            <v>47.147872325239078</v>
          </cell>
          <cell r="U5">
            <v>286.13549908159888</v>
          </cell>
          <cell r="V5">
            <v>451.18068007383562</v>
          </cell>
          <cell r="W5">
            <v>224.79720476317669</v>
          </cell>
          <cell r="X5">
            <v>423.21303469152963</v>
          </cell>
        </row>
        <row r="13">
          <cell r="T13">
            <v>7.7746258142900144</v>
          </cell>
          <cell r="U13">
            <v>109.51907717242362</v>
          </cell>
          <cell r="V13">
            <v>175.94122104806229</v>
          </cell>
          <cell r="W13">
            <v>131.24016316985416</v>
          </cell>
          <cell r="X13">
            <v>30.235692409435519</v>
          </cell>
        </row>
        <row r="22">
          <cell r="T22">
            <v>2.2065468915632476</v>
          </cell>
          <cell r="U22">
            <v>107.57006290409642</v>
          </cell>
          <cell r="V22">
            <v>105.84038447625139</v>
          </cell>
          <cell r="W22">
            <v>63.626820842219111</v>
          </cell>
          <cell r="X22">
            <v>15.340301507466149</v>
          </cell>
        </row>
        <row r="30">
          <cell r="T30">
            <v>0</v>
          </cell>
          <cell r="U30">
            <v>18.104889666565256</v>
          </cell>
          <cell r="V30">
            <v>15.783130887728015</v>
          </cell>
          <cell r="W30">
            <v>4.3528828563662758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1.4487991994826963</v>
          </cell>
          <cell r="U37">
            <v>18.534460646102772</v>
          </cell>
          <cell r="V37">
            <v>78.735270640359559</v>
          </cell>
          <cell r="W37">
            <v>3.5803203712753549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8.4265288301735436E-2</v>
          </cell>
          <cell r="U39">
            <v>3.8267455312152764E-4</v>
          </cell>
          <cell r="V39">
            <v>1.9317269815068459</v>
          </cell>
          <cell r="W39">
            <v>0.83294326034961275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41.43976216997369</v>
          </cell>
          <cell r="W40">
            <v>8.0745890957481183</v>
          </cell>
          <cell r="X40">
            <v>0</v>
          </cell>
        </row>
        <row r="41">
          <cell r="T41">
            <v>2.4657875210358444</v>
          </cell>
          <cell r="U41">
            <v>0.85092246484375</v>
          </cell>
          <cell r="V41">
            <v>0</v>
          </cell>
          <cell r="W41">
            <v>0</v>
          </cell>
          <cell r="X41">
            <v>33.466916874810835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344.1701238998171</v>
          </cell>
        </row>
        <row r="43">
          <cell r="T43">
            <v>33.167847610565538</v>
          </cell>
          <cell r="U43">
            <v>25.052429385041094</v>
          </cell>
          <cell r="V43">
            <v>31.509183869953784</v>
          </cell>
          <cell r="W43">
            <v>13.089485167364064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6.5032741679727843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39.843501953124999</v>
          </cell>
        </row>
        <row r="53">
          <cell r="E53">
            <v>12.411293173801123</v>
          </cell>
        </row>
        <row r="54">
          <cell r="E54">
            <v>120.50577840542185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7"/>
      <sheetData sheetId="18">
        <row r="13">
          <cell r="T13">
            <v>7.1029233048090266</v>
          </cell>
          <cell r="U13">
            <v>109.99437284793218</v>
          </cell>
          <cell r="V13">
            <v>183.08170703950353</v>
          </cell>
          <cell r="W13">
            <v>134.9475862077569</v>
          </cell>
          <cell r="X13">
            <v>46.654707564142761</v>
          </cell>
        </row>
        <row r="22">
          <cell r="T22">
            <v>1.7974129621234143</v>
          </cell>
          <cell r="U22">
            <v>103.53986201693733</v>
          </cell>
          <cell r="V22">
            <v>90.643497547790304</v>
          </cell>
          <cell r="W22">
            <v>64.079034982937259</v>
          </cell>
          <cell r="X22">
            <v>25.624578872483603</v>
          </cell>
        </row>
        <row r="30">
          <cell r="T30">
            <v>0</v>
          </cell>
          <cell r="U30">
            <v>17.877746900135776</v>
          </cell>
          <cell r="V30">
            <v>15.629207143582217</v>
          </cell>
          <cell r="W30">
            <v>3.8620862063760555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2.5129576329044134</v>
          </cell>
          <cell r="U37">
            <v>19.565687098295676</v>
          </cell>
          <cell r="V37">
            <v>86.298448588028648</v>
          </cell>
          <cell r="W37">
            <v>3.3792389882828151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7.8328904674825409E-2</v>
          </cell>
          <cell r="U39">
            <v>3.8067188808088001E-4</v>
          </cell>
          <cell r="V39">
            <v>1.9759423218950023</v>
          </cell>
          <cell r="W39">
            <v>0.77988306826531983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49.305914152356948</v>
          </cell>
          <cell r="W40">
            <v>8.5204805498073064</v>
          </cell>
          <cell r="X40">
            <v>0</v>
          </cell>
        </row>
        <row r="41">
          <cell r="T41">
            <v>2.7366524531426237</v>
          </cell>
          <cell r="U41">
            <v>0.87520713476562495</v>
          </cell>
          <cell r="V41">
            <v>0</v>
          </cell>
          <cell r="W41">
            <v>0</v>
          </cell>
          <cell r="X41">
            <v>28.280041762715456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291.38745921478562</v>
          </cell>
        </row>
        <row r="43">
          <cell r="T43">
            <v>31.378359933180146</v>
          </cell>
          <cell r="U43">
            <v>23.255205938178186</v>
          </cell>
          <cell r="V43">
            <v>24.366054746482678</v>
          </cell>
          <cell r="W43">
            <v>9.1434406229634497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6.2002081056415257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39.800271484375003</v>
          </cell>
        </row>
        <row r="53">
          <cell r="E53">
            <v>12.028714359769619</v>
          </cell>
        </row>
        <row r="54">
          <cell r="E54">
            <v>114.78425758185857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0.87448992412119186</v>
          </cell>
        </row>
      </sheetData>
      <sheetData sheetId="19"/>
      <sheetData sheetId="20">
        <row r="13">
          <cell r="T13">
            <v>6.3643203530837074</v>
          </cell>
          <cell r="U13">
            <v>111.80433548215856</v>
          </cell>
          <cell r="V13">
            <v>187.24843332836184</v>
          </cell>
          <cell r="W13">
            <v>138.68432478978596</v>
          </cell>
          <cell r="X13">
            <v>62.086065361885787</v>
          </cell>
        </row>
        <row r="22">
          <cell r="T22">
            <v>1.3434836260904512</v>
          </cell>
          <cell r="U22">
            <v>100.27567229981769</v>
          </cell>
          <cell r="V22">
            <v>84.522095564657249</v>
          </cell>
          <cell r="W22">
            <v>64.55833796318565</v>
          </cell>
          <cell r="X22">
            <v>32.444304612937295</v>
          </cell>
        </row>
        <row r="30">
          <cell r="T30">
            <v>0</v>
          </cell>
          <cell r="U30">
            <v>17.844652835962791</v>
          </cell>
          <cell r="V30">
            <v>15.504434202631401</v>
          </cell>
          <cell r="W30">
            <v>3.5758270456804375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3.6844952632387193</v>
          </cell>
          <cell r="U37">
            <v>20.699069714826329</v>
          </cell>
          <cell r="V37">
            <v>87.012401530952616</v>
          </cell>
          <cell r="W37">
            <v>3.243340348024236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7.2392521047915395E-2</v>
          </cell>
          <cell r="U39">
            <v>3.7866244598879411E-4</v>
          </cell>
          <cell r="V39">
            <v>2.0231633432731213</v>
          </cell>
          <cell r="W39">
            <v>0.74318365128395913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54.219025663639314</v>
          </cell>
          <cell r="W40">
            <v>8.6788063603893928</v>
          </cell>
          <cell r="X40">
            <v>0</v>
          </cell>
        </row>
        <row r="41">
          <cell r="T41">
            <v>3.0029030850571363</v>
          </cell>
          <cell r="U41">
            <v>0.9136629082031249</v>
          </cell>
          <cell r="V41">
            <v>0</v>
          </cell>
          <cell r="W41">
            <v>0</v>
          </cell>
          <cell r="X41">
            <v>24.125777410294155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249.23385066161848</v>
          </cell>
        </row>
        <row r="43">
          <cell r="T43">
            <v>29.471786733039881</v>
          </cell>
          <cell r="U43">
            <v>21.83935294215906</v>
          </cell>
          <cell r="V43">
            <v>17.698191750553285</v>
          </cell>
          <cell r="W43">
            <v>5.759525486283259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5.4657298257742912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39.745125000000002</v>
          </cell>
        </row>
        <row r="53">
          <cell r="E53">
            <v>11.766175832538266</v>
          </cell>
        </row>
        <row r="54">
          <cell r="E54">
            <v>109.69308299672531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1.8135973700674786</v>
          </cell>
        </row>
      </sheetData>
      <sheetData sheetId="21"/>
      <sheetData sheetId="22">
        <row r="13">
          <cell r="T13">
            <v>5.5235547180923223</v>
          </cell>
          <cell r="U13">
            <v>114.99790196708234</v>
          </cell>
          <cell r="V13">
            <v>194.47767196350526</v>
          </cell>
          <cell r="W13">
            <v>146.08879967332064</v>
          </cell>
          <cell r="X13">
            <v>80.819270278256823</v>
          </cell>
        </row>
        <row r="22">
          <cell r="T22">
            <v>0.82724150114229067</v>
          </cell>
          <cell r="U22">
            <v>93.244653189496177</v>
          </cell>
          <cell r="V22">
            <v>69.950393796181032</v>
          </cell>
          <cell r="W22">
            <v>63.855416891592903</v>
          </cell>
          <cell r="X22">
            <v>36.333214039569555</v>
          </cell>
        </row>
        <row r="30">
          <cell r="T30">
            <v>0</v>
          </cell>
          <cell r="U30">
            <v>17.911870236140274</v>
          </cell>
          <cell r="V30">
            <v>15.182773802844931</v>
          </cell>
          <cell r="W30">
            <v>3.3506823845440552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5.0054618408177598</v>
          </cell>
          <cell r="U37">
            <v>22.791437377983073</v>
          </cell>
          <cell r="V37">
            <v>86.155325304334795</v>
          </cell>
          <cell r="W37">
            <v>3.0090868580403627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6.051975379409523E-2</v>
          </cell>
          <cell r="U39">
            <v>3.7093504340600874E-4</v>
          </cell>
          <cell r="V39">
            <v>2.1206229173139883</v>
          </cell>
          <cell r="W39">
            <v>0.68093940948821108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66.478227859390046</v>
          </cell>
          <cell r="W40">
            <v>8.6055350400994808</v>
          </cell>
          <cell r="X40">
            <v>0</v>
          </cell>
        </row>
        <row r="41">
          <cell r="T41">
            <v>3.2629555410385191</v>
          </cell>
          <cell r="U41">
            <v>1.007010953125</v>
          </cell>
          <cell r="V41">
            <v>0</v>
          </cell>
          <cell r="W41">
            <v>0</v>
          </cell>
          <cell r="X41">
            <v>20.896591906701669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216.8751541495462</v>
          </cell>
        </row>
        <row r="43">
          <cell r="T43">
            <v>27.219719362233906</v>
          </cell>
          <cell r="U43">
            <v>19.397200033553816</v>
          </cell>
          <cell r="V43">
            <v>5.2094674308398901</v>
          </cell>
          <cell r="W43">
            <v>2.3181271880740835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3.6733927919712848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39.599712890625</v>
          </cell>
        </row>
        <row r="53">
          <cell r="E53">
            <v>11.196954266678716</v>
          </cell>
        </row>
        <row r="54">
          <cell r="E54">
            <v>100.05515171814793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3.9154347726113912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00"/>
  <sheetViews>
    <sheetView zoomScale="110" zoomScaleNormal="110" workbookViewId="0">
      <pane xSplit="2" ySplit="1" topLeftCell="AR2" activePane="bottomRight" state="frozen"/>
      <selection pane="topRight" activeCell="B1" sqref="B1"/>
      <selection pane="bottomLeft" activeCell="A2" sqref="A2"/>
      <selection pane="bottomRight" activeCell="B2" sqref="B2:AW251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5" max="50" width="11.7109375" customWidth="1"/>
  </cols>
  <sheetData>
    <row r="1" spans="1:49" ht="51.75" thickBot="1" x14ac:dyDescent="0.3">
      <c r="A1" s="237" t="s">
        <v>249</v>
      </c>
      <c r="B1" s="243" t="s">
        <v>185</v>
      </c>
      <c r="C1" s="238">
        <v>2</v>
      </c>
      <c r="D1" s="238">
        <f>C1+1</f>
        <v>3</v>
      </c>
      <c r="E1" s="238">
        <f t="shared" ref="E1:AS1" si="0">D1+1</f>
        <v>4</v>
      </c>
      <c r="F1" s="238">
        <f t="shared" si="0"/>
        <v>5</v>
      </c>
      <c r="G1" s="238">
        <f t="shared" si="0"/>
        <v>6</v>
      </c>
      <c r="H1" s="238">
        <f t="shared" si="0"/>
        <v>7</v>
      </c>
      <c r="I1" s="238">
        <f t="shared" si="0"/>
        <v>8</v>
      </c>
      <c r="J1" s="238">
        <f t="shared" si="0"/>
        <v>9</v>
      </c>
      <c r="K1" s="238">
        <f t="shared" si="0"/>
        <v>10</v>
      </c>
      <c r="L1" s="238">
        <f t="shared" si="0"/>
        <v>11</v>
      </c>
      <c r="M1" s="238">
        <f t="shared" si="0"/>
        <v>12</v>
      </c>
      <c r="N1" s="238">
        <f t="shared" si="0"/>
        <v>13</v>
      </c>
      <c r="O1" s="238">
        <f>N1+1</f>
        <v>14</v>
      </c>
      <c r="P1" s="238">
        <f t="shared" si="0"/>
        <v>15</v>
      </c>
      <c r="Q1" s="238">
        <f t="shared" si="0"/>
        <v>16</v>
      </c>
      <c r="R1" s="238">
        <f t="shared" si="0"/>
        <v>17</v>
      </c>
      <c r="S1" s="238">
        <f t="shared" si="0"/>
        <v>18</v>
      </c>
      <c r="T1" s="238">
        <f t="shared" si="0"/>
        <v>19</v>
      </c>
      <c r="U1" s="238">
        <f t="shared" si="0"/>
        <v>20</v>
      </c>
      <c r="V1" s="238">
        <f t="shared" si="0"/>
        <v>21</v>
      </c>
      <c r="W1" s="238">
        <f t="shared" si="0"/>
        <v>22</v>
      </c>
      <c r="X1" s="238">
        <f t="shared" si="0"/>
        <v>23</v>
      </c>
      <c r="Y1" s="238">
        <f t="shared" si="0"/>
        <v>24</v>
      </c>
      <c r="Z1" s="238">
        <f t="shared" si="0"/>
        <v>25</v>
      </c>
      <c r="AA1" s="238">
        <f t="shared" si="0"/>
        <v>26</v>
      </c>
      <c r="AB1" s="238">
        <f t="shared" si="0"/>
        <v>27</v>
      </c>
      <c r="AC1" s="238">
        <f t="shared" si="0"/>
        <v>28</v>
      </c>
      <c r="AD1" s="238">
        <f t="shared" si="0"/>
        <v>29</v>
      </c>
      <c r="AE1" s="238">
        <f t="shared" si="0"/>
        <v>30</v>
      </c>
      <c r="AF1" s="238">
        <f t="shared" si="0"/>
        <v>31</v>
      </c>
      <c r="AG1" s="238">
        <f t="shared" si="0"/>
        <v>32</v>
      </c>
      <c r="AH1" s="238">
        <f t="shared" si="0"/>
        <v>33</v>
      </c>
      <c r="AI1" s="238">
        <f t="shared" si="0"/>
        <v>34</v>
      </c>
      <c r="AJ1" s="238">
        <f t="shared" si="0"/>
        <v>35</v>
      </c>
      <c r="AK1" s="238">
        <f t="shared" si="0"/>
        <v>36</v>
      </c>
      <c r="AL1" s="238">
        <f t="shared" si="0"/>
        <v>37</v>
      </c>
      <c r="AM1" s="238">
        <f t="shared" si="0"/>
        <v>38</v>
      </c>
      <c r="AN1" s="238">
        <f t="shared" si="0"/>
        <v>39</v>
      </c>
      <c r="AO1" s="238">
        <f t="shared" si="0"/>
        <v>40</v>
      </c>
      <c r="AP1" s="238">
        <f t="shared" si="0"/>
        <v>41</v>
      </c>
      <c r="AQ1" s="238">
        <f t="shared" si="0"/>
        <v>42</v>
      </c>
      <c r="AR1" s="238">
        <f t="shared" si="0"/>
        <v>43</v>
      </c>
      <c r="AS1" s="238">
        <f t="shared" si="0"/>
        <v>44</v>
      </c>
      <c r="AT1" s="238">
        <f>AS1+1</f>
        <v>45</v>
      </c>
      <c r="AU1" s="238">
        <f>AT1+1</f>
        <v>46</v>
      </c>
      <c r="AV1" s="238">
        <f t="shared" ref="AV1:AW1" si="1">AU1+1</f>
        <v>47</v>
      </c>
      <c r="AW1" s="238">
        <f t="shared" si="1"/>
        <v>48</v>
      </c>
    </row>
    <row r="2" spans="1:49" x14ac:dyDescent="0.25">
      <c r="B2" s="246"/>
      <c r="C2">
        <v>2004</v>
      </c>
      <c r="D2">
        <v>2005</v>
      </c>
      <c r="E2">
        <v>2006</v>
      </c>
      <c r="F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6" t="s">
        <v>332</v>
      </c>
      <c r="C3">
        <v>78.155731330970795</v>
      </c>
      <c r="D3">
        <v>79.410546877677106</v>
      </c>
      <c r="E3">
        <v>80.671195460000007</v>
      </c>
      <c r="F3">
        <v>81.191785499999995</v>
      </c>
      <c r="G3">
        <v>78.233241079999999</v>
      </c>
      <c r="H3">
        <v>76.159552059999996</v>
      </c>
      <c r="I3">
        <v>74.895783199999997</v>
      </c>
      <c r="J3">
        <v>73.373949949999997</v>
      </c>
      <c r="K3">
        <v>71.506990939999994</v>
      </c>
      <c r="L3">
        <v>70.170422400000007</v>
      </c>
      <c r="M3">
        <v>70.151431630000005</v>
      </c>
      <c r="N3">
        <v>70.785838729999995</v>
      </c>
      <c r="O3">
        <v>69.221003409999994</v>
      </c>
      <c r="P3">
        <v>67.557727720000003</v>
      </c>
      <c r="Q3">
        <v>65.230838039999995</v>
      </c>
      <c r="R3">
        <v>63.949705049999999</v>
      </c>
      <c r="S3">
        <v>62.296260230000001</v>
      </c>
      <c r="T3">
        <v>61.976359860000002</v>
      </c>
      <c r="U3">
        <v>61.122118100000002</v>
      </c>
      <c r="V3">
        <v>60.517067160000003</v>
      </c>
      <c r="W3">
        <v>59.782920539999999</v>
      </c>
      <c r="X3">
        <v>58.74802571</v>
      </c>
      <c r="Y3">
        <v>58.044895619999998</v>
      </c>
      <c r="Z3">
        <v>57.635719960000003</v>
      </c>
      <c r="AA3">
        <v>57.345590389999998</v>
      </c>
      <c r="AB3">
        <v>57.127509689999997</v>
      </c>
      <c r="AC3">
        <v>56.98980607</v>
      </c>
      <c r="AD3">
        <v>56.3905028</v>
      </c>
      <c r="AE3">
        <v>55.813464400000001</v>
      </c>
      <c r="AF3">
        <v>55.257833310000002</v>
      </c>
      <c r="AG3">
        <v>54.717844390000003</v>
      </c>
      <c r="AH3">
        <v>54.1930695</v>
      </c>
      <c r="AI3">
        <v>53.797802539999999</v>
      </c>
      <c r="AJ3">
        <v>53.430864</v>
      </c>
      <c r="AK3">
        <v>53.096669679999998</v>
      </c>
      <c r="AL3">
        <v>52.785854720000003</v>
      </c>
      <c r="AM3">
        <v>52.489516680000001</v>
      </c>
      <c r="AN3">
        <v>52.183356099999997</v>
      </c>
      <c r="AO3">
        <v>51.882567250000001</v>
      </c>
      <c r="AP3">
        <v>51.575225119999999</v>
      </c>
      <c r="AQ3">
        <v>51.276681740000001</v>
      </c>
      <c r="AR3">
        <v>50.97251859</v>
      </c>
      <c r="AS3">
        <v>50.860028409999998</v>
      </c>
      <c r="AT3">
        <v>50.766694370000003</v>
      </c>
      <c r="AU3">
        <v>50.6870464</v>
      </c>
      <c r="AV3">
        <v>50.618818959999999</v>
      </c>
      <c r="AW3">
        <v>50.580790020000002</v>
      </c>
    </row>
    <row r="4" spans="1:49" x14ac:dyDescent="0.25">
      <c r="B4" s="16" t="s">
        <v>333</v>
      </c>
      <c r="C4">
        <v>77.477678819662401</v>
      </c>
      <c r="D4">
        <v>78.721608013977402</v>
      </c>
      <c r="E4">
        <v>80.003730149999996</v>
      </c>
      <c r="F4">
        <v>80.189474820000001</v>
      </c>
      <c r="G4">
        <v>76.950267409999995</v>
      </c>
      <c r="H4">
        <v>74.603074410000005</v>
      </c>
      <c r="I4">
        <v>73.063966309999998</v>
      </c>
      <c r="J4">
        <v>71.285518100000004</v>
      </c>
      <c r="K4">
        <v>69.186513820000002</v>
      </c>
      <c r="L4">
        <v>67.614613399999996</v>
      </c>
      <c r="M4">
        <v>67.318828609999997</v>
      </c>
      <c r="N4">
        <v>67.648773610000006</v>
      </c>
      <c r="O4">
        <v>66.103925020000005</v>
      </c>
      <c r="P4">
        <v>64.464309270000001</v>
      </c>
      <c r="Q4">
        <v>62.191244959999999</v>
      </c>
      <c r="R4">
        <v>60.914616250000002</v>
      </c>
      <c r="S4">
        <v>59.282101670000003</v>
      </c>
      <c r="T4">
        <v>58.819585060000001</v>
      </c>
      <c r="U4">
        <v>57.857999280000001</v>
      </c>
      <c r="V4">
        <v>57.140668660000003</v>
      </c>
      <c r="W4">
        <v>56.299370240000002</v>
      </c>
      <c r="X4">
        <v>55.173092179999998</v>
      </c>
      <c r="Y4">
        <v>54.512925639999999</v>
      </c>
      <c r="Z4">
        <v>54.128833729999997</v>
      </c>
      <c r="AA4">
        <v>53.856553499999997</v>
      </c>
      <c r="AB4">
        <v>53.650890779999997</v>
      </c>
      <c r="AC4">
        <v>53.520663620000001</v>
      </c>
      <c r="AD4">
        <v>52.960715319999998</v>
      </c>
      <c r="AE4">
        <v>52.42177263</v>
      </c>
      <c r="AF4">
        <v>51.90304175</v>
      </c>
      <c r="AG4">
        <v>51.398656219999999</v>
      </c>
      <c r="AH4">
        <v>50.908672860000003</v>
      </c>
      <c r="AI4">
        <v>50.535955800000004</v>
      </c>
      <c r="AJ4">
        <v>50.18979753</v>
      </c>
      <c r="AK4">
        <v>49.874339339999999</v>
      </c>
      <c r="AL4">
        <v>49.58132501</v>
      </c>
      <c r="AM4">
        <v>49.301861979999998</v>
      </c>
      <c r="AN4">
        <v>49.002876919999999</v>
      </c>
      <c r="AO4">
        <v>48.708630939999999</v>
      </c>
      <c r="AP4">
        <v>48.407909600000004</v>
      </c>
      <c r="AQ4">
        <v>48.115103660000003</v>
      </c>
      <c r="AR4">
        <v>47.816659600000001</v>
      </c>
      <c r="AS4">
        <v>47.695796309999999</v>
      </c>
      <c r="AT4">
        <v>47.592621489999999</v>
      </c>
      <c r="AU4">
        <v>47.501981669999999</v>
      </c>
      <c r="AV4">
        <v>47.421731299999998</v>
      </c>
      <c r="AW4">
        <v>47.369434249999998</v>
      </c>
    </row>
    <row r="5" spans="1:49" x14ac:dyDescent="0.25">
      <c r="B5" s="16" t="s">
        <v>334</v>
      </c>
      <c r="C5">
        <v>0.67805251130835598</v>
      </c>
      <c r="D5">
        <v>0.68893886369971102</v>
      </c>
      <c r="E5">
        <v>0.66746531440000001</v>
      </c>
      <c r="F5">
        <v>1.0023106740000001</v>
      </c>
      <c r="G5">
        <v>1.2829736709999999</v>
      </c>
      <c r="H5">
        <v>1.5564776499999999</v>
      </c>
      <c r="I5">
        <v>1.831816892</v>
      </c>
      <c r="J5">
        <v>2.088431843</v>
      </c>
      <c r="K5">
        <v>2.3204771179999999</v>
      </c>
      <c r="L5">
        <v>2.5558089989999999</v>
      </c>
      <c r="M5">
        <v>2.8326030229999999</v>
      </c>
      <c r="N5">
        <v>3.1370651139999999</v>
      </c>
      <c r="O5">
        <v>3.117078394</v>
      </c>
      <c r="P5">
        <v>3.0934184560000002</v>
      </c>
      <c r="Q5">
        <v>3.039593081</v>
      </c>
      <c r="R5">
        <v>3.0350888089999999</v>
      </c>
      <c r="S5">
        <v>3.0141585609999999</v>
      </c>
      <c r="T5">
        <v>3.1567748039999999</v>
      </c>
      <c r="U5">
        <v>3.264118818</v>
      </c>
      <c r="V5">
        <v>3.376398504</v>
      </c>
      <c r="W5">
        <v>3.4835502979999999</v>
      </c>
      <c r="X5">
        <v>3.5749335389999999</v>
      </c>
      <c r="Y5">
        <v>3.5319699820000001</v>
      </c>
      <c r="Z5">
        <v>3.5068862310000002</v>
      </c>
      <c r="AA5">
        <v>3.4890368899999999</v>
      </c>
      <c r="AB5">
        <v>3.4766189110000001</v>
      </c>
      <c r="AC5">
        <v>3.4691424500000001</v>
      </c>
      <c r="AD5">
        <v>3.4297874880000001</v>
      </c>
      <c r="AE5">
        <v>3.3916917679999998</v>
      </c>
      <c r="AF5">
        <v>3.3547915619999999</v>
      </c>
      <c r="AG5">
        <v>3.3191881689999998</v>
      </c>
      <c r="AH5">
        <v>3.2843966349999998</v>
      </c>
      <c r="AI5">
        <v>3.2618467400000002</v>
      </c>
      <c r="AJ5">
        <v>3.2410664709999999</v>
      </c>
      <c r="AK5">
        <v>3.2223303410000002</v>
      </c>
      <c r="AL5">
        <v>3.2045297079999999</v>
      </c>
      <c r="AM5">
        <v>3.1876546970000001</v>
      </c>
      <c r="AN5">
        <v>3.180479176</v>
      </c>
      <c r="AO5">
        <v>3.1739363119999999</v>
      </c>
      <c r="AP5">
        <v>3.167315522</v>
      </c>
      <c r="AQ5">
        <v>3.161578081</v>
      </c>
      <c r="AR5">
        <v>3.1558589850000001</v>
      </c>
      <c r="AS5">
        <v>3.1642321</v>
      </c>
      <c r="AT5">
        <v>3.1740728749999998</v>
      </c>
      <c r="AU5">
        <v>3.1850647300000001</v>
      </c>
      <c r="AV5">
        <v>3.1970876580000001</v>
      </c>
      <c r="AW5">
        <v>3.211355765</v>
      </c>
    </row>
    <row r="6" spans="1:49" x14ac:dyDescent="0.25">
      <c r="B6" s="16" t="s">
        <v>335</v>
      </c>
      <c r="C6">
        <v>28.634797354551999</v>
      </c>
      <c r="D6">
        <v>29.094538288267</v>
      </c>
      <c r="E6">
        <v>29.720948459999999</v>
      </c>
      <c r="F6">
        <v>30.525510329999999</v>
      </c>
      <c r="G6">
        <v>31.19593411</v>
      </c>
      <c r="H6">
        <v>29.01032086</v>
      </c>
      <c r="I6">
        <v>30.08187405</v>
      </c>
      <c r="J6">
        <v>31.08492858</v>
      </c>
      <c r="K6">
        <v>31.401741980000001</v>
      </c>
      <c r="L6">
        <v>31.225922350000001</v>
      </c>
      <c r="M6">
        <v>31.043343230000001</v>
      </c>
      <c r="N6">
        <v>30.417636359999999</v>
      </c>
      <c r="O6">
        <v>28.68972729</v>
      </c>
      <c r="P6">
        <v>28.167669750000002</v>
      </c>
      <c r="Q6">
        <v>28.076536600000001</v>
      </c>
      <c r="R6">
        <v>27.095231049999999</v>
      </c>
      <c r="S6">
        <v>26.12888869</v>
      </c>
      <c r="T6">
        <v>26.107046189999998</v>
      </c>
      <c r="U6">
        <v>25.987032500000002</v>
      </c>
      <c r="V6">
        <v>25.997111199999999</v>
      </c>
      <c r="W6">
        <v>26.91321503</v>
      </c>
      <c r="X6">
        <v>27.87780935</v>
      </c>
      <c r="Y6">
        <v>27.9522765</v>
      </c>
      <c r="Z6">
        <v>28.06973692</v>
      </c>
      <c r="AA6">
        <v>28.203491110000002</v>
      </c>
      <c r="AB6">
        <v>28.418866210000001</v>
      </c>
      <c r="AC6">
        <v>28.658586490000001</v>
      </c>
      <c r="AD6">
        <v>28.348215400000001</v>
      </c>
      <c r="AE6">
        <v>28.05752742</v>
      </c>
      <c r="AF6">
        <v>27.770023859999998</v>
      </c>
      <c r="AG6">
        <v>27.45618164</v>
      </c>
      <c r="AH6">
        <v>27.149443510000001</v>
      </c>
      <c r="AI6">
        <v>26.76474563</v>
      </c>
      <c r="AJ6">
        <v>26.379998180000001</v>
      </c>
      <c r="AK6">
        <v>25.989665129999999</v>
      </c>
      <c r="AL6">
        <v>25.56552319</v>
      </c>
      <c r="AM6">
        <v>25.13299842</v>
      </c>
      <c r="AN6">
        <v>24.67022858</v>
      </c>
      <c r="AO6">
        <v>24.20339551</v>
      </c>
      <c r="AP6">
        <v>23.72897291</v>
      </c>
      <c r="AQ6">
        <v>23.253396739999999</v>
      </c>
      <c r="AR6">
        <v>22.772367490000001</v>
      </c>
      <c r="AS6">
        <v>22.17195268</v>
      </c>
      <c r="AT6">
        <v>21.56173853</v>
      </c>
      <c r="AU6">
        <v>20.94990881</v>
      </c>
      <c r="AV6">
        <v>20.33611973</v>
      </c>
      <c r="AW6">
        <v>19.727952349999999</v>
      </c>
    </row>
    <row r="7" spans="1:49" x14ac:dyDescent="0.25">
      <c r="B7" s="16" t="s">
        <v>336</v>
      </c>
      <c r="C7">
        <v>0.36749349586970598</v>
      </c>
      <c r="D7">
        <v>0.37339372281503302</v>
      </c>
      <c r="E7">
        <v>0.3814329508</v>
      </c>
      <c r="F7">
        <v>0.37117253100000003</v>
      </c>
      <c r="G7">
        <v>0.35939186429999997</v>
      </c>
      <c r="H7">
        <v>0.31665046600000002</v>
      </c>
      <c r="I7">
        <v>0.3110927141</v>
      </c>
      <c r="J7">
        <v>0.3045735443</v>
      </c>
      <c r="K7">
        <v>0.29150995899999999</v>
      </c>
      <c r="L7">
        <v>0.27464537049999999</v>
      </c>
      <c r="M7">
        <v>0.25869190939999998</v>
      </c>
      <c r="N7">
        <v>0.24015806479999999</v>
      </c>
      <c r="O7">
        <v>0.20849842139999999</v>
      </c>
      <c r="P7">
        <v>0.18561328469999999</v>
      </c>
      <c r="Q7">
        <v>0.16441312299999999</v>
      </c>
      <c r="R7">
        <v>0.13707605980000001</v>
      </c>
      <c r="S7">
        <v>0.1094941024</v>
      </c>
      <c r="T7">
        <v>0.14544881039999999</v>
      </c>
      <c r="U7">
        <v>0.1818267757</v>
      </c>
      <c r="V7">
        <v>0.22018256529999999</v>
      </c>
      <c r="W7">
        <v>0.23134827329999999</v>
      </c>
      <c r="X7">
        <v>0.24279470249999999</v>
      </c>
      <c r="Y7">
        <v>0.2419486757</v>
      </c>
      <c r="Z7">
        <v>0.24145253759999999</v>
      </c>
      <c r="AA7">
        <v>0.24107082569999999</v>
      </c>
      <c r="AB7">
        <v>0.24136570260000001</v>
      </c>
      <c r="AC7">
        <v>0.24183776970000001</v>
      </c>
      <c r="AD7">
        <v>0.24700557449999999</v>
      </c>
      <c r="AE7">
        <v>0.25232995949999998</v>
      </c>
      <c r="AF7">
        <v>0.25767409400000002</v>
      </c>
      <c r="AG7">
        <v>0.26319354230000003</v>
      </c>
      <c r="AH7">
        <v>0.26877911240000002</v>
      </c>
      <c r="AI7">
        <v>0.26840177529999998</v>
      </c>
      <c r="AJ7">
        <v>0.2680328106</v>
      </c>
      <c r="AK7">
        <v>0.26761562329999999</v>
      </c>
      <c r="AL7">
        <v>0.26702013130000002</v>
      </c>
      <c r="AM7">
        <v>0.2663445774</v>
      </c>
      <c r="AN7">
        <v>0.27117356910000001</v>
      </c>
      <c r="AO7">
        <v>0.27597203520000002</v>
      </c>
      <c r="AP7">
        <v>0.28069402300000001</v>
      </c>
      <c r="AQ7">
        <v>0.28540923010000002</v>
      </c>
      <c r="AR7">
        <v>0.29006175699999998</v>
      </c>
      <c r="AS7">
        <v>0.2917936894</v>
      </c>
      <c r="AT7">
        <v>0.29339640189999999</v>
      </c>
      <c r="AU7">
        <v>0.29497158449999999</v>
      </c>
      <c r="AV7">
        <v>0.29651137160000002</v>
      </c>
      <c r="AW7">
        <v>0.29812657640000001</v>
      </c>
    </row>
    <row r="8" spans="1:49" x14ac:dyDescent="0.25">
      <c r="B8" t="s">
        <v>337</v>
      </c>
      <c r="C8">
        <v>1.4676116307532601</v>
      </c>
      <c r="D8">
        <v>1.4911746101974399</v>
      </c>
      <c r="E8">
        <v>1.5232798439999999</v>
      </c>
      <c r="F8">
        <v>1.566791365</v>
      </c>
      <c r="G8">
        <v>1.6035312799999999</v>
      </c>
      <c r="H8">
        <v>1.4933554090000001</v>
      </c>
      <c r="I8">
        <v>1.550767679</v>
      </c>
      <c r="J8">
        <v>1.60480745</v>
      </c>
      <c r="K8">
        <v>1.6235213500000001</v>
      </c>
      <c r="L8">
        <v>1.6167793150000001</v>
      </c>
      <c r="M8">
        <v>1.60966374</v>
      </c>
      <c r="N8">
        <v>1.5795135039999999</v>
      </c>
      <c r="O8">
        <v>1.6684921850000001</v>
      </c>
      <c r="P8">
        <v>1.827488234</v>
      </c>
      <c r="Q8">
        <v>2.025894563</v>
      </c>
      <c r="R8">
        <v>2.1692357279999999</v>
      </c>
      <c r="S8">
        <v>2.3169546730000001</v>
      </c>
      <c r="T8">
        <v>2.2378990590000001</v>
      </c>
      <c r="U8">
        <v>2.1483525280000002</v>
      </c>
      <c r="V8">
        <v>2.067276713</v>
      </c>
      <c r="W8">
        <v>1.371715915</v>
      </c>
      <c r="X8">
        <v>0.70932612019999997</v>
      </c>
      <c r="Y8">
        <v>0.71216301449999997</v>
      </c>
      <c r="Z8">
        <v>0.71610931040000003</v>
      </c>
      <c r="AA8">
        <v>0.72048750979999998</v>
      </c>
      <c r="AB8">
        <v>0.72693920089999997</v>
      </c>
      <c r="AC8">
        <v>0.73403179740000002</v>
      </c>
      <c r="AD8">
        <v>0.74108576250000002</v>
      </c>
      <c r="AE8">
        <v>0.74862553310000002</v>
      </c>
      <c r="AF8">
        <v>0.75623314289999999</v>
      </c>
      <c r="AG8">
        <v>0.76393767160000003</v>
      </c>
      <c r="AH8">
        <v>0.77183605200000005</v>
      </c>
      <c r="AI8">
        <v>0.77970675359999997</v>
      </c>
      <c r="AJ8">
        <v>0.78762462690000001</v>
      </c>
      <c r="AK8">
        <v>0.79542248569999996</v>
      </c>
      <c r="AL8">
        <v>0.80311017360000003</v>
      </c>
      <c r="AM8">
        <v>0.81057558350000003</v>
      </c>
      <c r="AN8">
        <v>0.8163741162</v>
      </c>
      <c r="AO8">
        <v>0.82206829120000002</v>
      </c>
      <c r="AP8">
        <v>0.82752610530000004</v>
      </c>
      <c r="AQ8">
        <v>0.83295830640000001</v>
      </c>
      <c r="AR8">
        <v>0.83820422279999995</v>
      </c>
      <c r="AS8">
        <v>1.1515195090000001</v>
      </c>
      <c r="AT8">
        <v>1.4643167050000001</v>
      </c>
      <c r="AU8">
        <v>1.776805851</v>
      </c>
      <c r="AV8">
        <v>2.0888496060000001</v>
      </c>
      <c r="AW8">
        <v>2.401236586</v>
      </c>
    </row>
    <row r="9" spans="1:49" x14ac:dyDescent="0.25">
      <c r="B9" t="s">
        <v>338</v>
      </c>
      <c r="C9">
        <v>1.4643633957556199</v>
      </c>
      <c r="D9">
        <v>1.4878742237362399</v>
      </c>
      <c r="E9">
        <v>1.5199084</v>
      </c>
      <c r="F9">
        <v>1.4374555609999999</v>
      </c>
      <c r="G9">
        <v>1.352714771</v>
      </c>
      <c r="H9">
        <v>1.158343895</v>
      </c>
      <c r="I9">
        <v>1.1060292540000001</v>
      </c>
      <c r="J9">
        <v>1.0524181829999999</v>
      </c>
      <c r="K9">
        <v>0.97896903209999997</v>
      </c>
      <c r="L9">
        <v>0.89641111360000003</v>
      </c>
      <c r="M9">
        <v>0.8206107225</v>
      </c>
      <c r="N9">
        <v>0.74040766830000004</v>
      </c>
      <c r="O9">
        <v>0.62013914459999997</v>
      </c>
      <c r="P9">
        <v>0.5259839771</v>
      </c>
      <c r="Q9">
        <v>0.43486355789999998</v>
      </c>
      <c r="R9">
        <v>0.32594416189999997</v>
      </c>
      <c r="S9">
        <v>0.21581313699999999</v>
      </c>
      <c r="T9">
        <v>0.20832529929999999</v>
      </c>
      <c r="U9">
        <v>0.1998574078</v>
      </c>
      <c r="V9">
        <v>0.19217358670000001</v>
      </c>
      <c r="W9">
        <v>0.12628915539999999</v>
      </c>
      <c r="X9">
        <v>6.3535037099999997E-2</v>
      </c>
      <c r="Y9">
        <v>6.3766550000000005E-2</v>
      </c>
      <c r="Z9">
        <v>6.4097061999999996E-2</v>
      </c>
      <c r="AA9">
        <v>6.4465844699999997E-2</v>
      </c>
      <c r="AB9">
        <v>6.5019860799999996E-2</v>
      </c>
      <c r="AC9">
        <v>6.5630757400000003E-2</v>
      </c>
      <c r="AD9">
        <v>6.6244765799999994E-2</v>
      </c>
      <c r="AE9">
        <v>6.6902231100000001E-2</v>
      </c>
      <c r="AF9">
        <v>6.7565777199999996E-2</v>
      </c>
      <c r="AG9">
        <v>6.8236798400000007E-2</v>
      </c>
      <c r="AH9">
        <v>6.8925138900000002E-2</v>
      </c>
      <c r="AI9">
        <v>6.9624869800000003E-2</v>
      </c>
      <c r="AJ9">
        <v>7.0328805100000003E-2</v>
      </c>
      <c r="AK9">
        <v>7.1022016699999996E-2</v>
      </c>
      <c r="AL9">
        <v>7.1705228699999998E-2</v>
      </c>
      <c r="AM9">
        <v>7.2368588600000006E-2</v>
      </c>
      <c r="AN9">
        <v>7.2883282899999999E-2</v>
      </c>
      <c r="AO9">
        <v>7.3388656199999999E-2</v>
      </c>
      <c r="AP9">
        <v>7.3872925800000003E-2</v>
      </c>
      <c r="AQ9">
        <v>7.4354906999999998E-2</v>
      </c>
      <c r="AR9">
        <v>7.4820258200000003E-2</v>
      </c>
      <c r="AS9">
        <v>7.5005585900000005E-2</v>
      </c>
      <c r="AT9">
        <v>7.5157704500000005E-2</v>
      </c>
      <c r="AU9">
        <v>7.53029157E-2</v>
      </c>
      <c r="AV9">
        <v>7.5439287699999996E-2</v>
      </c>
      <c r="AW9">
        <v>7.55950071E-2</v>
      </c>
    </row>
    <row r="10" spans="1:49" x14ac:dyDescent="0.25">
      <c r="B10" t="s">
        <v>339</v>
      </c>
      <c r="C10">
        <v>0.29584764130791702</v>
      </c>
      <c r="D10">
        <v>0.300597570883747</v>
      </c>
      <c r="E10">
        <v>0.30706948579999999</v>
      </c>
      <c r="F10">
        <v>0.65474226410000003</v>
      </c>
      <c r="G10">
        <v>0.98938788629999996</v>
      </c>
      <c r="H10">
        <v>1.191330459</v>
      </c>
      <c r="I10">
        <v>1.4861651769999999</v>
      </c>
      <c r="J10">
        <v>1.7591862170000001</v>
      </c>
      <c r="K10">
        <v>1.9607946549999999</v>
      </c>
      <c r="L10">
        <v>2.0825343529999998</v>
      </c>
      <c r="M10">
        <v>2.1417784630000001</v>
      </c>
      <c r="N10">
        <v>2.094980708</v>
      </c>
      <c r="O10">
        <v>2.2292512160000002</v>
      </c>
      <c r="P10">
        <v>2.4570620550000002</v>
      </c>
      <c r="Q10">
        <v>2.7386938120000002</v>
      </c>
      <c r="R10">
        <v>2.9464860320000001</v>
      </c>
      <c r="S10">
        <v>3.1604122100000001</v>
      </c>
      <c r="T10">
        <v>3.3567811729999999</v>
      </c>
      <c r="U10">
        <v>3.5458839480000002</v>
      </c>
      <c r="V10">
        <v>3.7586317509999998</v>
      </c>
      <c r="W10">
        <v>4.164355874</v>
      </c>
      <c r="X10">
        <v>4.5666651659999999</v>
      </c>
      <c r="Y10">
        <v>4.9020657070000002</v>
      </c>
      <c r="Z10">
        <v>5.2498179819999997</v>
      </c>
      <c r="AA10">
        <v>5.6061819469999996</v>
      </c>
      <c r="AB10">
        <v>5.8748007879999999</v>
      </c>
      <c r="AC10">
        <v>6.1527721959999999</v>
      </c>
      <c r="AD10">
        <v>6.5163185510000003</v>
      </c>
      <c r="AE10">
        <v>6.8835649370000001</v>
      </c>
      <c r="AF10">
        <v>7.2511015170000004</v>
      </c>
      <c r="AG10">
        <v>7.6348685459999999</v>
      </c>
      <c r="AH10">
        <v>8.0205018070000005</v>
      </c>
      <c r="AI10">
        <v>8.4223877260000002</v>
      </c>
      <c r="AJ10">
        <v>8.8255906639999999</v>
      </c>
      <c r="AK10">
        <v>9.2282064990000006</v>
      </c>
      <c r="AL10">
        <v>9.6440123199999999</v>
      </c>
      <c r="AM10">
        <v>10.05778108</v>
      </c>
      <c r="AN10">
        <v>10.46712864</v>
      </c>
      <c r="AO10">
        <v>10.8756158</v>
      </c>
      <c r="AP10">
        <v>11.281307099999999</v>
      </c>
      <c r="AQ10">
        <v>11.68686932</v>
      </c>
      <c r="AR10">
        <v>12.08995051</v>
      </c>
      <c r="AS10">
        <v>12.46313715</v>
      </c>
      <c r="AT10">
        <v>12.830796579999999</v>
      </c>
      <c r="AU10">
        <v>13.197085469999999</v>
      </c>
      <c r="AV10">
        <v>13.56156408</v>
      </c>
      <c r="AW10">
        <v>13.92930847</v>
      </c>
    </row>
    <row r="11" spans="1:49" x14ac:dyDescent="0.25">
      <c r="B11" t="s">
        <v>340</v>
      </c>
      <c r="C11">
        <v>6.65657192942814E-2</v>
      </c>
      <c r="D11">
        <v>6.7634453448843099E-2</v>
      </c>
      <c r="E11">
        <v>6.9090634299999995E-2</v>
      </c>
      <c r="F11">
        <v>9.4406599399999999E-2</v>
      </c>
      <c r="G11">
        <v>0.12835722560000001</v>
      </c>
      <c r="H11">
        <v>0.15880265730000001</v>
      </c>
      <c r="I11">
        <v>0.21907510450000001</v>
      </c>
      <c r="J11">
        <v>0.30117638670000002</v>
      </c>
      <c r="K11">
        <v>0.40476941729999999</v>
      </c>
      <c r="L11">
        <v>0.5354909457</v>
      </c>
      <c r="M11">
        <v>0.70825271720000005</v>
      </c>
      <c r="N11">
        <v>0.92326874140000004</v>
      </c>
      <c r="O11">
        <v>0.98244244290000005</v>
      </c>
      <c r="P11">
        <v>1.0828398480000001</v>
      </c>
      <c r="Q11">
        <v>1.2069564079999999</v>
      </c>
      <c r="R11">
        <v>1.2985315049999999</v>
      </c>
      <c r="S11">
        <v>1.3928098680000001</v>
      </c>
      <c r="T11">
        <v>1.459018623</v>
      </c>
      <c r="U11">
        <v>1.521554345</v>
      </c>
      <c r="V11">
        <v>1.593702449</v>
      </c>
      <c r="W11">
        <v>1.7290230019999999</v>
      </c>
      <c r="X11">
        <v>1.864296167</v>
      </c>
      <c r="Y11">
        <v>2.0139215610000001</v>
      </c>
      <c r="Z11">
        <v>2.1687980659999999</v>
      </c>
      <c r="AA11">
        <v>2.3274237449999999</v>
      </c>
      <c r="AB11">
        <v>2.494268844</v>
      </c>
      <c r="AC11">
        <v>2.6661025399999998</v>
      </c>
      <c r="AD11">
        <v>3.0100168319999998</v>
      </c>
      <c r="AE11">
        <v>3.3553066079999998</v>
      </c>
      <c r="AF11">
        <v>3.7005516510000001</v>
      </c>
      <c r="AG11">
        <v>4.0619751180000003</v>
      </c>
      <c r="AH11">
        <v>4.424355008</v>
      </c>
      <c r="AI11">
        <v>4.8027681449999999</v>
      </c>
      <c r="AJ11">
        <v>5.1823126100000003</v>
      </c>
      <c r="AK11">
        <v>5.5618563590000001</v>
      </c>
      <c r="AL11">
        <v>5.9555087259999997</v>
      </c>
      <c r="AM11">
        <v>6.3481706139999998</v>
      </c>
      <c r="AN11">
        <v>6.7445157890000003</v>
      </c>
      <c r="AO11">
        <v>7.1404955939999999</v>
      </c>
      <c r="AP11">
        <v>7.5347667490000001</v>
      </c>
      <c r="AQ11">
        <v>7.9290336019999996</v>
      </c>
      <c r="AR11">
        <v>8.3216651600000002</v>
      </c>
      <c r="AS11">
        <v>8.5285861270000005</v>
      </c>
      <c r="AT11">
        <v>8.7317260819999998</v>
      </c>
      <c r="AU11">
        <v>8.9339596940000003</v>
      </c>
      <c r="AV11">
        <v>9.1350028569999999</v>
      </c>
      <c r="AW11">
        <v>9.3382735960000005</v>
      </c>
    </row>
    <row r="12" spans="1:49" x14ac:dyDescent="0.25">
      <c r="B12" t="s">
        <v>341</v>
      </c>
      <c r="C12">
        <v>3.32767453113023</v>
      </c>
      <c r="D12">
        <v>3.3811014220943498</v>
      </c>
      <c r="E12">
        <v>3.4538970899999999</v>
      </c>
      <c r="F12">
        <v>3.4224640480000001</v>
      </c>
      <c r="G12">
        <v>3.3744514840000002</v>
      </c>
      <c r="H12">
        <v>3.0275195689999999</v>
      </c>
      <c r="I12">
        <v>3.0287857119999999</v>
      </c>
      <c r="J12">
        <v>3.0195537579999998</v>
      </c>
      <c r="K12">
        <v>2.9429024429999999</v>
      </c>
      <c r="L12">
        <v>2.8233624389999998</v>
      </c>
      <c r="M12">
        <v>2.7080025989999998</v>
      </c>
      <c r="N12">
        <v>2.5599724190000002</v>
      </c>
      <c r="O12">
        <v>2.7240449550000001</v>
      </c>
      <c r="P12">
        <v>3.0024195790000001</v>
      </c>
      <c r="Q12">
        <v>3.3465609490000001</v>
      </c>
      <c r="R12">
        <v>3.6004737169999999</v>
      </c>
      <c r="S12">
        <v>3.861881908</v>
      </c>
      <c r="T12">
        <v>4.0825223570000002</v>
      </c>
      <c r="U12">
        <v>4.2938366449999998</v>
      </c>
      <c r="V12">
        <v>4.5332764729999999</v>
      </c>
      <c r="W12">
        <v>4.4446352119999997</v>
      </c>
      <c r="X12">
        <v>4.373925624</v>
      </c>
      <c r="Y12">
        <v>4.3894200310000002</v>
      </c>
      <c r="Z12">
        <v>4.4117225219999998</v>
      </c>
      <c r="AA12">
        <v>4.4366515150000003</v>
      </c>
      <c r="AB12">
        <v>4.4751461089999998</v>
      </c>
      <c r="AC12">
        <v>4.5175626380000002</v>
      </c>
      <c r="AD12">
        <v>4.5578142450000003</v>
      </c>
      <c r="AE12">
        <v>4.6010595810000003</v>
      </c>
      <c r="AF12">
        <v>4.6447253230000003</v>
      </c>
      <c r="AG12">
        <v>4.6891854159999999</v>
      </c>
      <c r="AH12">
        <v>4.7348360610000002</v>
      </c>
      <c r="AI12">
        <v>4.7814856319999999</v>
      </c>
      <c r="AJ12">
        <v>4.8284203579999998</v>
      </c>
      <c r="AK12">
        <v>4.8746154869999998</v>
      </c>
      <c r="AL12">
        <v>4.9202875190000004</v>
      </c>
      <c r="AM12">
        <v>4.9645949680000001</v>
      </c>
      <c r="AN12">
        <v>4.9988467390000002</v>
      </c>
      <c r="AO12">
        <v>5.0324577149999996</v>
      </c>
      <c r="AP12">
        <v>5.0646205210000002</v>
      </c>
      <c r="AQ12">
        <v>5.096625747</v>
      </c>
      <c r="AR12">
        <v>5.1274906539999998</v>
      </c>
      <c r="AS12">
        <v>5.1397732879999998</v>
      </c>
      <c r="AT12">
        <v>5.1497802730000002</v>
      </c>
      <c r="AU12">
        <v>5.1593141930000002</v>
      </c>
      <c r="AV12">
        <v>5.1682428209999998</v>
      </c>
      <c r="AW12">
        <v>5.1784971759999996</v>
      </c>
    </row>
    <row r="13" spans="1:49" x14ac:dyDescent="0.25">
      <c r="B13" t="s">
        <v>342</v>
      </c>
      <c r="C13">
        <v>0.21556468620722</v>
      </c>
      <c r="D13">
        <v>0.21902564697065</v>
      </c>
      <c r="E13">
        <v>0.223741305</v>
      </c>
      <c r="F13">
        <v>0.25758870309999998</v>
      </c>
      <c r="G13">
        <v>0.29508168239999999</v>
      </c>
      <c r="H13">
        <v>0.3075935085</v>
      </c>
      <c r="I13">
        <v>0.35752786800000003</v>
      </c>
      <c r="J13">
        <v>0.41412863560000002</v>
      </c>
      <c r="K13">
        <v>0.4689424042</v>
      </c>
      <c r="L13">
        <v>0.5227107325</v>
      </c>
      <c r="M13">
        <v>0.58249876069999995</v>
      </c>
      <c r="N13">
        <v>0.63978250449999996</v>
      </c>
      <c r="O13">
        <v>0.58659031449999999</v>
      </c>
      <c r="P13">
        <v>0.55806340350000005</v>
      </c>
      <c r="Q13">
        <v>0.53699430199999998</v>
      </c>
      <c r="R13">
        <v>0.49803547520000002</v>
      </c>
      <c r="S13">
        <v>0.45905188559999999</v>
      </c>
      <c r="T13">
        <v>0.48798906320000002</v>
      </c>
      <c r="U13">
        <v>0.51588041910000004</v>
      </c>
      <c r="V13">
        <v>0.5472227033</v>
      </c>
      <c r="W13">
        <v>0.73852813989999999</v>
      </c>
      <c r="X13">
        <v>0.92429157110000004</v>
      </c>
      <c r="Y13">
        <v>0.96716358270000002</v>
      </c>
      <c r="Z13">
        <v>1.0121247120000001</v>
      </c>
      <c r="AA13">
        <v>1.05836894</v>
      </c>
      <c r="AB13">
        <v>1.1071863209999999</v>
      </c>
      <c r="AC13">
        <v>1.1577314780000001</v>
      </c>
      <c r="AD13">
        <v>1.177793745</v>
      </c>
      <c r="AE13">
        <v>1.1986113119999999</v>
      </c>
      <c r="AF13">
        <v>1.219527703</v>
      </c>
      <c r="AG13">
        <v>1.2412213059999999</v>
      </c>
      <c r="AH13">
        <v>1.263227745</v>
      </c>
      <c r="AI13">
        <v>1.3473754680000001</v>
      </c>
      <c r="AJ13">
        <v>1.4317844799999999</v>
      </c>
      <c r="AK13">
        <v>1.516144017</v>
      </c>
      <c r="AL13">
        <v>1.6037723189999999</v>
      </c>
      <c r="AM13">
        <v>1.6910979779999999</v>
      </c>
      <c r="AN13">
        <v>1.716716602</v>
      </c>
      <c r="AO13">
        <v>1.7421349180000001</v>
      </c>
      <c r="AP13">
        <v>1.7670656039999999</v>
      </c>
      <c r="AQ13">
        <v>1.7919504159999999</v>
      </c>
      <c r="AR13">
        <v>1.8164397889999999</v>
      </c>
      <c r="AS13">
        <v>1.841996473</v>
      </c>
      <c r="AT13">
        <v>1.8667370459999999</v>
      </c>
      <c r="AU13">
        <v>1.8912943170000001</v>
      </c>
      <c r="AV13">
        <v>1.9156135620000001</v>
      </c>
      <c r="AW13">
        <v>1.940411069</v>
      </c>
    </row>
    <row r="14" spans="1:49" x14ac:dyDescent="0.25">
      <c r="B14" t="s">
        <v>343</v>
      </c>
      <c r="C14">
        <v>35.839918454870201</v>
      </c>
      <c r="D14">
        <v>36.415339938413297</v>
      </c>
      <c r="E14">
        <v>37.19936817</v>
      </c>
      <c r="F14">
        <v>38.330131399999999</v>
      </c>
      <c r="G14">
        <v>39.298850309999999</v>
      </c>
      <c r="H14">
        <v>36.663916829999998</v>
      </c>
      <c r="I14">
        <v>38.141317559999997</v>
      </c>
      <c r="J14">
        <v>39.540772750000002</v>
      </c>
      <c r="K14">
        <v>40.073151250000002</v>
      </c>
      <c r="L14">
        <v>39.977856619999997</v>
      </c>
      <c r="M14">
        <v>39.872842149999997</v>
      </c>
      <c r="N14">
        <v>39.195719969999999</v>
      </c>
      <c r="O14">
        <v>37.70918597</v>
      </c>
      <c r="P14">
        <v>37.807140130000001</v>
      </c>
      <c r="Q14">
        <v>38.530913320000003</v>
      </c>
      <c r="R14">
        <v>38.071013729999997</v>
      </c>
      <c r="S14">
        <v>37.645306470000001</v>
      </c>
      <c r="T14">
        <v>38.085030570000001</v>
      </c>
      <c r="U14">
        <v>38.394224569999999</v>
      </c>
      <c r="V14">
        <v>38.90957744</v>
      </c>
      <c r="W14">
        <v>39.7191106</v>
      </c>
      <c r="X14">
        <v>40.622643740000001</v>
      </c>
      <c r="Y14">
        <v>41.242725620000002</v>
      </c>
      <c r="Z14">
        <v>41.93385911</v>
      </c>
      <c r="AA14">
        <v>42.658141440000001</v>
      </c>
      <c r="AB14">
        <v>43.403593039999997</v>
      </c>
      <c r="AC14">
        <v>44.194255669999997</v>
      </c>
      <c r="AD14">
        <v>44.664494879999999</v>
      </c>
      <c r="AE14">
        <v>45.163927579999999</v>
      </c>
      <c r="AF14">
        <v>45.667403069999999</v>
      </c>
      <c r="AG14">
        <v>46.178800029999998</v>
      </c>
      <c r="AH14">
        <v>46.70190444</v>
      </c>
      <c r="AI14">
        <v>47.236496000000002</v>
      </c>
      <c r="AJ14">
        <v>47.774092539999998</v>
      </c>
      <c r="AK14">
        <v>48.304547620000001</v>
      </c>
      <c r="AL14">
        <v>48.830939610000001</v>
      </c>
      <c r="AM14">
        <v>49.343931810000001</v>
      </c>
      <c r="AN14">
        <v>49.757867320000003</v>
      </c>
      <c r="AO14">
        <v>50.165528510000001</v>
      </c>
      <c r="AP14">
        <v>50.558825939999998</v>
      </c>
      <c r="AQ14">
        <v>50.95059826</v>
      </c>
      <c r="AR14">
        <v>51.330999839999997</v>
      </c>
      <c r="AS14">
        <v>51.663764499999999</v>
      </c>
      <c r="AT14">
        <v>51.97364932</v>
      </c>
      <c r="AU14">
        <v>52.278642830000003</v>
      </c>
      <c r="AV14">
        <v>52.577343310000003</v>
      </c>
      <c r="AW14">
        <v>52.88940083</v>
      </c>
    </row>
    <row r="15" spans="1:49" x14ac:dyDescent="0.25">
      <c r="B15" t="s">
        <v>344</v>
      </c>
      <c r="C15">
        <v>36.006525643363197</v>
      </c>
      <c r="D15">
        <v>36.584622059208101</v>
      </c>
      <c r="E15">
        <v>37.372061879999997</v>
      </c>
      <c r="F15">
        <v>38.377069689999999</v>
      </c>
      <c r="G15">
        <v>38.053763979999999</v>
      </c>
      <c r="H15">
        <v>37.163055120000003</v>
      </c>
      <c r="I15">
        <v>38.716153159999998</v>
      </c>
      <c r="J15">
        <v>39.354811249999997</v>
      </c>
      <c r="K15">
        <v>38.535242650000001</v>
      </c>
      <c r="L15">
        <v>38.51528596</v>
      </c>
      <c r="M15">
        <v>39.489968589999997</v>
      </c>
      <c r="N15">
        <v>41.273001200000003</v>
      </c>
      <c r="O15">
        <v>42.356269920000003</v>
      </c>
      <c r="P15">
        <v>42.445630919999999</v>
      </c>
      <c r="Q15">
        <v>40.508589039999997</v>
      </c>
      <c r="R15">
        <v>39.265656739999997</v>
      </c>
      <c r="S15">
        <v>38.491563110000001</v>
      </c>
      <c r="T15">
        <v>38.329097050000001</v>
      </c>
      <c r="U15">
        <v>38.051633879999997</v>
      </c>
      <c r="V15">
        <v>37.943498949999999</v>
      </c>
      <c r="W15">
        <v>37.7236987</v>
      </c>
      <c r="X15">
        <v>37.534093300000002</v>
      </c>
      <c r="Y15">
        <v>37.603331449999999</v>
      </c>
      <c r="Z15">
        <v>37.874381200000002</v>
      </c>
      <c r="AA15">
        <v>38.248344539999998</v>
      </c>
      <c r="AB15">
        <v>38.714771419999998</v>
      </c>
      <c r="AC15">
        <v>39.274065159999999</v>
      </c>
      <c r="AD15">
        <v>39.480040469999999</v>
      </c>
      <c r="AE15">
        <v>39.707587449999998</v>
      </c>
      <c r="AF15">
        <v>39.927946650000003</v>
      </c>
      <c r="AG15">
        <v>40.173369309999998</v>
      </c>
      <c r="AH15">
        <v>40.450930450000001</v>
      </c>
      <c r="AI15">
        <v>40.65567729</v>
      </c>
      <c r="AJ15">
        <v>40.869200489999997</v>
      </c>
      <c r="AK15">
        <v>41.102353749999999</v>
      </c>
      <c r="AL15">
        <v>41.34467635</v>
      </c>
      <c r="AM15">
        <v>41.592092790000002</v>
      </c>
      <c r="AN15">
        <v>41.624092760000003</v>
      </c>
      <c r="AO15">
        <v>41.665107599999999</v>
      </c>
      <c r="AP15">
        <v>41.69048488</v>
      </c>
      <c r="AQ15">
        <v>41.710823329999997</v>
      </c>
      <c r="AR15">
        <v>41.714268369999999</v>
      </c>
      <c r="AS15">
        <v>41.70183402</v>
      </c>
      <c r="AT15">
        <v>41.688383930000001</v>
      </c>
      <c r="AU15">
        <v>41.668872520000001</v>
      </c>
      <c r="AV15">
        <v>41.643502910000002</v>
      </c>
      <c r="AW15">
        <v>41.628955079999997</v>
      </c>
    </row>
    <row r="16" spans="1:49" x14ac:dyDescent="0.25">
      <c r="B16" t="s">
        <v>345</v>
      </c>
      <c r="C16">
        <v>33.108335480742298</v>
      </c>
      <c r="D16">
        <v>33.639900516080203</v>
      </c>
      <c r="E16">
        <v>34.363958760000003</v>
      </c>
      <c r="F16">
        <v>34.230412209999997</v>
      </c>
      <c r="G16">
        <v>32.924722760000002</v>
      </c>
      <c r="H16">
        <v>31.190339659999999</v>
      </c>
      <c r="I16">
        <v>31.519918239999999</v>
      </c>
      <c r="J16">
        <v>31.079563100000001</v>
      </c>
      <c r="K16">
        <v>29.520204209999999</v>
      </c>
      <c r="L16">
        <v>28.62058948</v>
      </c>
      <c r="M16">
        <v>28.4653432</v>
      </c>
      <c r="N16">
        <v>28.85890672</v>
      </c>
      <c r="O16">
        <v>29.49054404</v>
      </c>
      <c r="P16">
        <v>29.426917889999999</v>
      </c>
      <c r="Q16">
        <v>27.964111639999999</v>
      </c>
      <c r="R16">
        <v>26.99008731</v>
      </c>
      <c r="S16">
        <v>26.344492469999999</v>
      </c>
      <c r="T16">
        <v>25.172536610000002</v>
      </c>
      <c r="U16">
        <v>23.912035660000001</v>
      </c>
      <c r="V16">
        <v>22.74283196</v>
      </c>
      <c r="W16">
        <v>23.80833518</v>
      </c>
      <c r="X16">
        <v>24.81877278</v>
      </c>
      <c r="Y16">
        <v>24.60899071</v>
      </c>
      <c r="Z16">
        <v>24.528569789999999</v>
      </c>
      <c r="AA16">
        <v>24.51000436</v>
      </c>
      <c r="AB16">
        <v>24.53784082</v>
      </c>
      <c r="AC16">
        <v>24.617048489999998</v>
      </c>
      <c r="AD16">
        <v>24.50616638</v>
      </c>
      <c r="AE16">
        <v>24.40764296</v>
      </c>
      <c r="AF16">
        <v>24.30359352</v>
      </c>
      <c r="AG16">
        <v>24.20793724</v>
      </c>
      <c r="AH16">
        <v>24.13013587</v>
      </c>
      <c r="AI16">
        <v>24.140661260000002</v>
      </c>
      <c r="AJ16">
        <v>24.155751729999999</v>
      </c>
      <c r="AK16">
        <v>24.181725369999999</v>
      </c>
      <c r="AL16">
        <v>24.20977504</v>
      </c>
      <c r="AM16">
        <v>24.239949169999999</v>
      </c>
      <c r="AN16">
        <v>24.113011969999999</v>
      </c>
      <c r="AO16">
        <v>23.99120546</v>
      </c>
      <c r="AP16">
        <v>23.860326239999999</v>
      </c>
      <c r="AQ16">
        <v>23.726566999999999</v>
      </c>
      <c r="AR16">
        <v>23.583278369999999</v>
      </c>
      <c r="AS16">
        <v>23.427226940000001</v>
      </c>
      <c r="AT16">
        <v>23.270141160000001</v>
      </c>
      <c r="AU16">
        <v>23.10923112</v>
      </c>
      <c r="AV16">
        <v>22.944671830000001</v>
      </c>
      <c r="AW16">
        <v>22.785654489999999</v>
      </c>
    </row>
    <row r="17" spans="2:49" x14ac:dyDescent="0.25">
      <c r="B17" t="s">
        <v>346</v>
      </c>
      <c r="C17">
        <v>1.54983431156195</v>
      </c>
      <c r="D17">
        <v>1.57471740274219</v>
      </c>
      <c r="E17">
        <v>1.6086112930000001</v>
      </c>
      <c r="F17">
        <v>2.6319993460000002</v>
      </c>
      <c r="G17">
        <v>3.5168632409999998</v>
      </c>
      <c r="H17">
        <v>4.2494234339999997</v>
      </c>
      <c r="I17">
        <v>5.1915956059999999</v>
      </c>
      <c r="J17">
        <v>5.954783505</v>
      </c>
      <c r="K17">
        <v>6.3789346910000004</v>
      </c>
      <c r="L17">
        <v>6.78537839</v>
      </c>
      <c r="M17">
        <v>7.2052673049999996</v>
      </c>
      <c r="N17">
        <v>7.5694795140000002</v>
      </c>
      <c r="O17">
        <v>7.8581121420000004</v>
      </c>
      <c r="P17">
        <v>7.9646787430000003</v>
      </c>
      <c r="Q17">
        <v>7.6869304310000004</v>
      </c>
      <c r="R17">
        <v>7.5340173960000003</v>
      </c>
      <c r="S17">
        <v>7.466654642</v>
      </c>
      <c r="T17">
        <v>7.6329070290000001</v>
      </c>
      <c r="U17">
        <v>7.7786863789999998</v>
      </c>
      <c r="V17">
        <v>7.9618977400000004</v>
      </c>
      <c r="W17">
        <v>7.9930620960000001</v>
      </c>
      <c r="X17">
        <v>8.0258394319999997</v>
      </c>
      <c r="Y17">
        <v>8.139815338</v>
      </c>
      <c r="Z17">
        <v>8.2985287190000001</v>
      </c>
      <c r="AA17">
        <v>8.4816515979999902</v>
      </c>
      <c r="AB17">
        <v>8.6882989590000008</v>
      </c>
      <c r="AC17">
        <v>8.9186390240000009</v>
      </c>
      <c r="AD17">
        <v>9.0781601750000007</v>
      </c>
      <c r="AE17">
        <v>9.2431261039999999</v>
      </c>
      <c r="AF17">
        <v>9.4069393100000003</v>
      </c>
      <c r="AG17">
        <v>9.5773598920000005</v>
      </c>
      <c r="AH17">
        <v>9.7561367709999995</v>
      </c>
      <c r="AI17">
        <v>9.8263657149999997</v>
      </c>
      <c r="AJ17">
        <v>9.8988365750000007</v>
      </c>
      <c r="AK17">
        <v>9.9761963189999996</v>
      </c>
      <c r="AL17">
        <v>10.05527459</v>
      </c>
      <c r="AM17">
        <v>10.13574358</v>
      </c>
      <c r="AN17">
        <v>10.1878061</v>
      </c>
      <c r="AO17">
        <v>10.24210295</v>
      </c>
      <c r="AP17">
        <v>10.29257658</v>
      </c>
      <c r="AQ17">
        <v>10.34180506</v>
      </c>
      <c r="AR17">
        <v>10.386820609999999</v>
      </c>
      <c r="AS17">
        <v>10.385591229999999</v>
      </c>
      <c r="AT17">
        <v>10.3841147</v>
      </c>
      <c r="AU17">
        <v>10.38113388</v>
      </c>
      <c r="AV17">
        <v>10.376698599999999</v>
      </c>
      <c r="AW17">
        <v>10.37496515</v>
      </c>
    </row>
    <row r="18" spans="2:49" x14ac:dyDescent="0.25">
      <c r="B18" t="s">
        <v>347</v>
      </c>
      <c r="C18">
        <v>0.19372928894524399</v>
      </c>
      <c r="D18">
        <v>0.196839675342774</v>
      </c>
      <c r="E18">
        <v>0.20107641170000001</v>
      </c>
      <c r="F18">
        <v>0.19421123270000001</v>
      </c>
      <c r="G18">
        <v>0.1811292635</v>
      </c>
      <c r="H18">
        <v>0.16637607609999999</v>
      </c>
      <c r="I18">
        <v>0.16302722419999999</v>
      </c>
      <c r="J18">
        <v>0.15586702120000001</v>
      </c>
      <c r="K18">
        <v>0.14354992389999999</v>
      </c>
      <c r="L18">
        <v>0.13494800300000001</v>
      </c>
      <c r="M18">
        <v>0.13013933729999999</v>
      </c>
      <c r="N18">
        <v>0.12793115460000001</v>
      </c>
      <c r="O18">
        <v>0.1971696439</v>
      </c>
      <c r="P18">
        <v>0.26348623630000001</v>
      </c>
      <c r="Q18">
        <v>0.31424161909999998</v>
      </c>
      <c r="R18">
        <v>0.36534359</v>
      </c>
      <c r="S18">
        <v>0.41758033030000002</v>
      </c>
      <c r="T18">
        <v>0.64761603670000001</v>
      </c>
      <c r="U18">
        <v>0.8785540986</v>
      </c>
      <c r="V18">
        <v>1.116703617</v>
      </c>
      <c r="W18">
        <v>0.80826823910000001</v>
      </c>
      <c r="X18">
        <v>0.5191747243</v>
      </c>
      <c r="Y18">
        <v>0.51973709990000005</v>
      </c>
      <c r="Z18">
        <v>0.52308463400000005</v>
      </c>
      <c r="AA18">
        <v>0.52784609549999995</v>
      </c>
      <c r="AB18">
        <v>0.53373708880000004</v>
      </c>
      <c r="AC18">
        <v>0.54089329819999998</v>
      </c>
      <c r="AD18">
        <v>0.56396107819999997</v>
      </c>
      <c r="AE18">
        <v>0.58742394519999996</v>
      </c>
      <c r="AF18">
        <v>0.61087386600000004</v>
      </c>
      <c r="AG18">
        <v>0.63495167669999997</v>
      </c>
      <c r="AH18">
        <v>0.65966278810000001</v>
      </c>
      <c r="AI18">
        <v>0.68860865339999999</v>
      </c>
      <c r="AJ18">
        <v>0.71785141870000002</v>
      </c>
      <c r="AK18">
        <v>0.74760397940000001</v>
      </c>
      <c r="AL18">
        <v>0.77816620759999999</v>
      </c>
      <c r="AM18">
        <v>0.80902033520000005</v>
      </c>
      <c r="AN18">
        <v>0.83337679679999999</v>
      </c>
      <c r="AO18">
        <v>0.85792869439999997</v>
      </c>
      <c r="AP18">
        <v>0.88216975269999998</v>
      </c>
      <c r="AQ18">
        <v>0.90630357029999997</v>
      </c>
      <c r="AR18">
        <v>0.93005725429999997</v>
      </c>
      <c r="AS18">
        <v>0.94911388399999996</v>
      </c>
      <c r="AT18">
        <v>0.96820756230000005</v>
      </c>
      <c r="AU18">
        <v>0.98721766609999995</v>
      </c>
      <c r="AV18">
        <v>1.006140915</v>
      </c>
      <c r="AW18">
        <v>1.025380197</v>
      </c>
    </row>
    <row r="19" spans="2:49" x14ac:dyDescent="0.25">
      <c r="B19" t="s">
        <v>348</v>
      </c>
      <c r="C19">
        <v>0.57343869527792402</v>
      </c>
      <c r="D19">
        <v>0.58264543901461296</v>
      </c>
      <c r="E19">
        <v>0.5951861786</v>
      </c>
      <c r="F19">
        <v>0.58658068559999998</v>
      </c>
      <c r="G19">
        <v>0.55821787349999996</v>
      </c>
      <c r="H19">
        <v>0.52319995399999997</v>
      </c>
      <c r="I19">
        <v>0.52311678669999995</v>
      </c>
      <c r="J19">
        <v>0.51033395029999995</v>
      </c>
      <c r="K19">
        <v>0.47958423119999999</v>
      </c>
      <c r="L19">
        <v>0.46003417260000001</v>
      </c>
      <c r="M19">
        <v>0.45268272840000001</v>
      </c>
      <c r="N19">
        <v>0.45407057200000001</v>
      </c>
      <c r="O19">
        <v>0.68304087889999998</v>
      </c>
      <c r="P19">
        <v>0.90159993319999998</v>
      </c>
      <c r="Q19">
        <v>1.0672907469999999</v>
      </c>
      <c r="R19">
        <v>1.2346714379999999</v>
      </c>
      <c r="S19">
        <v>1.40616092</v>
      </c>
      <c r="T19">
        <v>1.458887979</v>
      </c>
      <c r="U19">
        <v>1.507958092</v>
      </c>
      <c r="V19">
        <v>1.5645741900000001</v>
      </c>
      <c r="W19">
        <v>1.2180362840000001</v>
      </c>
      <c r="X19">
        <v>0.89336655229999995</v>
      </c>
      <c r="Y19">
        <v>0.8957568185</v>
      </c>
      <c r="Z19">
        <v>0.90296235749999998</v>
      </c>
      <c r="AA19">
        <v>0.9126353827</v>
      </c>
      <c r="AB19">
        <v>0.92394141070000002</v>
      </c>
      <c r="AC19">
        <v>0.93746862099999995</v>
      </c>
      <c r="AD19">
        <v>0.93614970180000001</v>
      </c>
      <c r="AE19">
        <v>0.93531549250000001</v>
      </c>
      <c r="AF19">
        <v>0.9342831909</v>
      </c>
      <c r="AG19">
        <v>0.93365679889999997</v>
      </c>
      <c r="AH19">
        <v>0.93373804549999995</v>
      </c>
      <c r="AI19">
        <v>0.9351080302</v>
      </c>
      <c r="AJ19">
        <v>0.93666044650000002</v>
      </c>
      <c r="AK19">
        <v>0.93864112789999998</v>
      </c>
      <c r="AL19">
        <v>0.94076593139999998</v>
      </c>
      <c r="AM19">
        <v>0.94298109080000003</v>
      </c>
      <c r="AN19">
        <v>0.94231060069999995</v>
      </c>
      <c r="AO19">
        <v>0.9418433155</v>
      </c>
      <c r="AP19">
        <v>0.94102188580000001</v>
      </c>
      <c r="AQ19">
        <v>0.94008675789999996</v>
      </c>
      <c r="AR19">
        <v>0.9387716518</v>
      </c>
      <c r="AS19">
        <v>0.93992146850000002</v>
      </c>
      <c r="AT19">
        <v>0.94105284050000004</v>
      </c>
      <c r="AU19">
        <v>0.94205161690000006</v>
      </c>
      <c r="AV19">
        <v>0.94292179129999998</v>
      </c>
      <c r="AW19">
        <v>0.94404103520000004</v>
      </c>
    </row>
    <row r="20" spans="2:49" x14ac:dyDescent="0.25">
      <c r="B20" t="s">
        <v>349</v>
      </c>
      <c r="C20">
        <v>0.19372928894524399</v>
      </c>
      <c r="D20">
        <v>0.196839675342774</v>
      </c>
      <c r="E20">
        <v>0.20107641170000001</v>
      </c>
      <c r="F20">
        <v>0.2060068156</v>
      </c>
      <c r="G20">
        <v>0.20379949780000001</v>
      </c>
      <c r="H20">
        <v>0.19856953090000001</v>
      </c>
      <c r="I20">
        <v>0.20639021839999999</v>
      </c>
      <c r="J20">
        <v>0.20931023060000001</v>
      </c>
      <c r="K20">
        <v>0.2044779259</v>
      </c>
      <c r="L20">
        <v>0.20389997430000001</v>
      </c>
      <c r="M20">
        <v>0.20857706100000001</v>
      </c>
      <c r="N20">
        <v>0.21749111339999999</v>
      </c>
      <c r="O20">
        <v>0.25906053299999998</v>
      </c>
      <c r="P20">
        <v>0.29547895140000002</v>
      </c>
      <c r="Q20">
        <v>0.3161676256</v>
      </c>
      <c r="R20">
        <v>0.33953149659999998</v>
      </c>
      <c r="S20">
        <v>0.36519260009999999</v>
      </c>
      <c r="T20">
        <v>0.43273959519999999</v>
      </c>
      <c r="U20">
        <v>0.49983633459999999</v>
      </c>
      <c r="V20">
        <v>0.57014147810000004</v>
      </c>
      <c r="W20">
        <v>0.44830791050000002</v>
      </c>
      <c r="X20">
        <v>0.33417148549999998</v>
      </c>
      <c r="Y20">
        <v>0.33857243149999999</v>
      </c>
      <c r="Z20">
        <v>0.34483060259999998</v>
      </c>
      <c r="AA20">
        <v>0.35209675689999997</v>
      </c>
      <c r="AB20">
        <v>0.3601943829</v>
      </c>
      <c r="AC20">
        <v>0.36926111900000003</v>
      </c>
      <c r="AD20">
        <v>0.36904146869999999</v>
      </c>
      <c r="AE20">
        <v>0.36901419400000002</v>
      </c>
      <c r="AF20">
        <v>0.36891016780000002</v>
      </c>
      <c r="AG20">
        <v>0.36898865359999999</v>
      </c>
      <c r="AH20">
        <v>0.36934882699999999</v>
      </c>
      <c r="AI20">
        <v>0.37014065730000001</v>
      </c>
      <c r="AJ20">
        <v>0.3710061509</v>
      </c>
      <c r="AK20">
        <v>0.37204290000000001</v>
      </c>
      <c r="AL20">
        <v>0.37317154270000003</v>
      </c>
      <c r="AM20">
        <v>0.37433818130000002</v>
      </c>
      <c r="AN20">
        <v>0.37446617580000002</v>
      </c>
      <c r="AO20">
        <v>0.37467517080000001</v>
      </c>
      <c r="AP20">
        <v>0.3747434691</v>
      </c>
      <c r="AQ20">
        <v>0.37476647899999999</v>
      </c>
      <c r="AR20">
        <v>0.37463779200000003</v>
      </c>
      <c r="AS20">
        <v>0.37526581510000001</v>
      </c>
      <c r="AT20">
        <v>0.37588699990000002</v>
      </c>
      <c r="AU20">
        <v>0.37645572059999999</v>
      </c>
      <c r="AV20">
        <v>0.37697350270000002</v>
      </c>
      <c r="AW20">
        <v>0.37759133550000001</v>
      </c>
    </row>
    <row r="21" spans="2:49" x14ac:dyDescent="0.25">
      <c r="B21" t="s">
        <v>350</v>
      </c>
      <c r="C21">
        <v>0.38745857789048899</v>
      </c>
      <c r="D21">
        <v>0.39367935068554899</v>
      </c>
      <c r="E21">
        <v>0.40215282340000003</v>
      </c>
      <c r="F21">
        <v>0.52785940669999998</v>
      </c>
      <c r="G21">
        <v>0.66903134630000005</v>
      </c>
      <c r="H21">
        <v>0.83514646530000003</v>
      </c>
      <c r="I21">
        <v>1.1121050910000001</v>
      </c>
      <c r="J21">
        <v>1.444953446</v>
      </c>
      <c r="K21">
        <v>1.808491662</v>
      </c>
      <c r="L21">
        <v>2.3104359379999999</v>
      </c>
      <c r="M21">
        <v>3.0279589589999998</v>
      </c>
      <c r="N21">
        <v>4.0451221259999999</v>
      </c>
      <c r="O21">
        <v>3.8683426839999999</v>
      </c>
      <c r="P21">
        <v>3.593469174</v>
      </c>
      <c r="Q21">
        <v>3.159846978</v>
      </c>
      <c r="R21">
        <v>2.8020055099999999</v>
      </c>
      <c r="S21">
        <v>2.4914821520000001</v>
      </c>
      <c r="T21">
        <v>2.984409791</v>
      </c>
      <c r="U21">
        <v>3.4745633090000001</v>
      </c>
      <c r="V21">
        <v>3.9873499639999999</v>
      </c>
      <c r="W21">
        <v>3.4476889970000002</v>
      </c>
      <c r="X21">
        <v>2.942768322</v>
      </c>
      <c r="Y21">
        <v>3.1004590510000001</v>
      </c>
      <c r="Z21">
        <v>3.2764050980000001</v>
      </c>
      <c r="AA21">
        <v>3.4641103530000001</v>
      </c>
      <c r="AB21">
        <v>3.6707587629999998</v>
      </c>
      <c r="AC21">
        <v>3.8907546100000001</v>
      </c>
      <c r="AD21">
        <v>4.0265616700000004</v>
      </c>
      <c r="AE21">
        <v>4.1650647520000001</v>
      </c>
      <c r="AF21">
        <v>4.3033465870000001</v>
      </c>
      <c r="AG21">
        <v>4.4504750489999996</v>
      </c>
      <c r="AH21">
        <v>4.6019081489999998</v>
      </c>
      <c r="AI21">
        <v>4.6947929779999997</v>
      </c>
      <c r="AJ21">
        <v>4.7890941700000003</v>
      </c>
      <c r="AK21">
        <v>4.8861440570000001</v>
      </c>
      <c r="AL21">
        <v>4.987523038</v>
      </c>
      <c r="AM21">
        <v>5.0900604219999996</v>
      </c>
      <c r="AN21">
        <v>5.1731211090000002</v>
      </c>
      <c r="AO21">
        <v>5.2573520169999997</v>
      </c>
      <c r="AP21">
        <v>5.3396469560000002</v>
      </c>
      <c r="AQ21">
        <v>5.4212944649999999</v>
      </c>
      <c r="AR21">
        <v>5.5007027009999998</v>
      </c>
      <c r="AS21">
        <v>5.6247146749999999</v>
      </c>
      <c r="AT21">
        <v>5.748980671</v>
      </c>
      <c r="AU21">
        <v>5.8727825259999999</v>
      </c>
      <c r="AV21">
        <v>5.996096273</v>
      </c>
      <c r="AW21">
        <v>6.1213228669999999</v>
      </c>
    </row>
    <row r="22" spans="2:49" x14ac:dyDescent="0.25">
      <c r="B22" t="s">
        <v>351</v>
      </c>
      <c r="C22">
        <v>5.5705789795526002</v>
      </c>
      <c r="D22">
        <v>5.6600164269241402</v>
      </c>
      <c r="E22">
        <v>5.7508898210000003</v>
      </c>
      <c r="F22">
        <v>5.7929036060000003</v>
      </c>
      <c r="G22">
        <v>4.8242806180000004</v>
      </c>
      <c r="H22">
        <v>4.2185210560000002</v>
      </c>
      <c r="I22">
        <v>4.0840850299999998</v>
      </c>
      <c r="J22">
        <v>3.8991141059999999</v>
      </c>
      <c r="K22">
        <v>3.7615491940000001</v>
      </c>
      <c r="L22">
        <v>4.0026493749999998</v>
      </c>
      <c r="M22">
        <v>4.0988614639999996</v>
      </c>
      <c r="N22">
        <v>4.1630920690000002</v>
      </c>
      <c r="O22">
        <v>3.2553047670000002</v>
      </c>
      <c r="P22">
        <v>2.7334405240000001</v>
      </c>
      <c r="Q22">
        <v>2.3991505709999998</v>
      </c>
      <c r="R22">
        <v>2.1834950950000001</v>
      </c>
      <c r="S22">
        <v>1.9973771819999999</v>
      </c>
      <c r="T22">
        <v>2.0030384200000002</v>
      </c>
      <c r="U22">
        <v>1.961852833</v>
      </c>
      <c r="V22">
        <v>1.945137339</v>
      </c>
      <c r="W22">
        <v>1.912550022</v>
      </c>
      <c r="X22">
        <v>1.8640022780000001</v>
      </c>
      <c r="Y22">
        <v>1.855425758</v>
      </c>
      <c r="Z22">
        <v>1.8721112660000001</v>
      </c>
      <c r="AA22">
        <v>1.8944213169999999</v>
      </c>
      <c r="AB22">
        <v>1.919959448</v>
      </c>
      <c r="AC22">
        <v>1.9494203960000001</v>
      </c>
      <c r="AD22">
        <v>1.9504080580000001</v>
      </c>
      <c r="AE22">
        <v>1.9567920519999999</v>
      </c>
      <c r="AF22">
        <v>1.9647827179999999</v>
      </c>
      <c r="AG22">
        <v>1.9740917170000001</v>
      </c>
      <c r="AH22">
        <v>1.9863420460000001</v>
      </c>
      <c r="AI22">
        <v>2.0001071079999999</v>
      </c>
      <c r="AJ22">
        <v>2.0145604370000001</v>
      </c>
      <c r="AK22">
        <v>2.0309499839999998</v>
      </c>
      <c r="AL22">
        <v>2.0482868289999998</v>
      </c>
      <c r="AM22">
        <v>2.0659780080000001</v>
      </c>
      <c r="AN22">
        <v>2.057938745</v>
      </c>
      <c r="AO22">
        <v>2.046345997</v>
      </c>
      <c r="AP22">
        <v>2.0317767679999998</v>
      </c>
      <c r="AQ22">
        <v>2.0159638950000001</v>
      </c>
      <c r="AR22">
        <v>1.9975454930000001</v>
      </c>
      <c r="AS22">
        <v>1.995107118</v>
      </c>
      <c r="AT22">
        <v>1.994435019</v>
      </c>
      <c r="AU22">
        <v>1.99377702</v>
      </c>
      <c r="AV22">
        <v>1.9927857259999999</v>
      </c>
      <c r="AW22">
        <v>1.992439252</v>
      </c>
    </row>
    <row r="23" spans="2:49" x14ac:dyDescent="0.25">
      <c r="B23" t="s">
        <v>352</v>
      </c>
      <c r="C23">
        <v>155.572754408756</v>
      </c>
      <c r="D23">
        <v>158.07052530222199</v>
      </c>
      <c r="E23">
        <v>160.99351530000001</v>
      </c>
      <c r="F23">
        <v>163.69189019999999</v>
      </c>
      <c r="G23">
        <v>160.41013599999999</v>
      </c>
      <c r="H23">
        <v>154.20504510000001</v>
      </c>
      <c r="I23">
        <v>155.83733889999999</v>
      </c>
      <c r="J23">
        <v>156.16864810000001</v>
      </c>
      <c r="K23">
        <v>153.87693400000001</v>
      </c>
      <c r="L23">
        <v>152.66621430000001</v>
      </c>
      <c r="M23">
        <v>153.6131038</v>
      </c>
      <c r="N23">
        <v>155.417652</v>
      </c>
      <c r="O23">
        <v>152.54176409999999</v>
      </c>
      <c r="P23">
        <v>150.54393930000001</v>
      </c>
      <c r="Q23">
        <v>146.66949099999999</v>
      </c>
      <c r="R23">
        <v>143.46987060000001</v>
      </c>
      <c r="S23">
        <v>140.43050700000001</v>
      </c>
      <c r="T23">
        <v>140.39352589999999</v>
      </c>
      <c r="U23">
        <v>139.52982940000001</v>
      </c>
      <c r="V23">
        <v>139.3152809</v>
      </c>
      <c r="W23">
        <v>139.13827989999999</v>
      </c>
      <c r="X23">
        <v>138.768765</v>
      </c>
      <c r="Y23">
        <v>138.7463784</v>
      </c>
      <c r="Z23">
        <v>139.31607149999999</v>
      </c>
      <c r="AA23">
        <v>140.1464977</v>
      </c>
      <c r="AB23">
        <v>141.16583360000001</v>
      </c>
      <c r="AC23">
        <v>142.4075473</v>
      </c>
      <c r="AD23">
        <v>142.48544620000001</v>
      </c>
      <c r="AE23">
        <v>142.6417715</v>
      </c>
      <c r="AF23">
        <v>142.8179657</v>
      </c>
      <c r="AG23">
        <v>143.0441055</v>
      </c>
      <c r="AH23">
        <v>143.3322464</v>
      </c>
      <c r="AI23">
        <v>143.69008289999999</v>
      </c>
      <c r="AJ23">
        <v>144.0887175</v>
      </c>
      <c r="AK23">
        <v>144.53452100000001</v>
      </c>
      <c r="AL23">
        <v>145.00975750000001</v>
      </c>
      <c r="AM23">
        <v>145.49151929999999</v>
      </c>
      <c r="AN23">
        <v>145.62325490000001</v>
      </c>
      <c r="AO23">
        <v>145.7595494</v>
      </c>
      <c r="AP23">
        <v>145.85631269999999</v>
      </c>
      <c r="AQ23">
        <v>145.9540672</v>
      </c>
      <c r="AR23">
        <v>146.01533230000001</v>
      </c>
      <c r="AS23">
        <v>146.22073399999999</v>
      </c>
      <c r="AT23">
        <v>146.42316260000001</v>
      </c>
      <c r="AU23">
        <v>146.62833879999999</v>
      </c>
      <c r="AV23">
        <v>146.8324509</v>
      </c>
      <c r="AW23">
        <v>147.0915852</v>
      </c>
    </row>
    <row r="24" spans="2:49" x14ac:dyDescent="0.25">
      <c r="B24" t="s">
        <v>353</v>
      </c>
      <c r="C24">
        <v>2.7703288319169999</v>
      </c>
      <c r="D24">
        <v>2.8148073574016701</v>
      </c>
      <c r="E24">
        <v>2.86</v>
      </c>
      <c r="F24">
        <v>2.9575180950000002</v>
      </c>
      <c r="G24">
        <v>2.8492552959999999</v>
      </c>
      <c r="H24">
        <v>2.9703334570000002</v>
      </c>
      <c r="I24">
        <v>3.0813653489999999</v>
      </c>
      <c r="J24">
        <v>2.9532880330000002</v>
      </c>
      <c r="K24">
        <v>2.8714074329999999</v>
      </c>
      <c r="L24">
        <v>2.797874813</v>
      </c>
      <c r="M24">
        <v>2.9848905530000001</v>
      </c>
      <c r="N24">
        <v>3.150162001</v>
      </c>
      <c r="O24">
        <v>3.228530702</v>
      </c>
      <c r="P24">
        <v>3.253634431</v>
      </c>
      <c r="Q24">
        <v>3.0547979550000002</v>
      </c>
      <c r="R24">
        <v>3.0479012050000001</v>
      </c>
      <c r="S24">
        <v>3.0695905799999998</v>
      </c>
      <c r="T24">
        <v>3.1066114040000001</v>
      </c>
      <c r="U24">
        <v>3.131224038</v>
      </c>
      <c r="V24">
        <v>3.1868081940000001</v>
      </c>
      <c r="W24">
        <v>3.2124066189999998</v>
      </c>
      <c r="X24">
        <v>3.2184120169999999</v>
      </c>
      <c r="Y24">
        <v>3.2449514669999999</v>
      </c>
      <c r="Z24">
        <v>3.2851037559999998</v>
      </c>
      <c r="AA24">
        <v>3.3321919019999999</v>
      </c>
      <c r="AB24">
        <v>3.3812019979999999</v>
      </c>
      <c r="AC24">
        <v>3.4333654010000001</v>
      </c>
      <c r="AD24">
        <v>3.4795830049999998</v>
      </c>
      <c r="AE24">
        <v>3.5308766660000002</v>
      </c>
      <c r="AF24">
        <v>3.5833577829999999</v>
      </c>
      <c r="AG24">
        <v>3.638694986</v>
      </c>
      <c r="AH24">
        <v>3.7009167299999999</v>
      </c>
      <c r="AI24">
        <v>3.7631236619999999</v>
      </c>
      <c r="AJ24">
        <v>3.829702444</v>
      </c>
      <c r="AK24">
        <v>3.8975767079999999</v>
      </c>
      <c r="AL24">
        <v>3.9674783379999998</v>
      </c>
      <c r="AM24">
        <v>4.0384001630000004</v>
      </c>
      <c r="AN24">
        <v>4.1063590689999998</v>
      </c>
      <c r="AO24">
        <v>4.1752059020000001</v>
      </c>
      <c r="AP24">
        <v>4.2427944069999999</v>
      </c>
      <c r="AQ24">
        <v>4.3103211320000003</v>
      </c>
      <c r="AR24">
        <v>4.3771356949999998</v>
      </c>
      <c r="AS24">
        <v>4.4433956969999997</v>
      </c>
      <c r="AT24">
        <v>4.5098985919999999</v>
      </c>
      <c r="AU24">
        <v>4.5773821620000001</v>
      </c>
      <c r="AV24">
        <v>4.6453419189999998</v>
      </c>
      <c r="AW24">
        <v>4.7145560670000002</v>
      </c>
    </row>
    <row r="25" spans="2:49" x14ac:dyDescent="0.25">
      <c r="B25" t="s">
        <v>354</v>
      </c>
      <c r="C25">
        <v>46.663857241186399</v>
      </c>
      <c r="D25">
        <v>47.413060563046002</v>
      </c>
      <c r="E25">
        <v>48.17429259</v>
      </c>
      <c r="F25">
        <v>49.05685433</v>
      </c>
      <c r="G25">
        <v>46.497063990000001</v>
      </c>
      <c r="H25">
        <v>42.427293720000002</v>
      </c>
      <c r="I25">
        <v>42.372126559999998</v>
      </c>
      <c r="J25">
        <v>42.829031219999997</v>
      </c>
      <c r="K25">
        <v>40.79446171</v>
      </c>
      <c r="L25">
        <v>40.354824389999997</v>
      </c>
      <c r="M25">
        <v>40.822530950000001</v>
      </c>
      <c r="N25">
        <v>41.590532459999999</v>
      </c>
      <c r="O25">
        <v>39.294164090000002</v>
      </c>
      <c r="P25">
        <v>37.578690739999999</v>
      </c>
      <c r="Q25">
        <v>35.432989339999999</v>
      </c>
      <c r="R25">
        <v>33.883165699999999</v>
      </c>
      <c r="S25">
        <v>32.634832160000002</v>
      </c>
      <c r="T25">
        <v>33.244185680000001</v>
      </c>
      <c r="U25">
        <v>33.162410639999997</v>
      </c>
      <c r="V25">
        <v>33.584812370000002</v>
      </c>
      <c r="W25">
        <v>33.913112550000001</v>
      </c>
      <c r="X25">
        <v>34.085511080000003</v>
      </c>
      <c r="Y25">
        <v>34.454410240000001</v>
      </c>
      <c r="Z25">
        <v>35.234539239999997</v>
      </c>
      <c r="AA25">
        <v>36.194338629999997</v>
      </c>
      <c r="AB25">
        <v>37.306043410000001</v>
      </c>
      <c r="AC25">
        <v>38.61309713</v>
      </c>
      <c r="AD25">
        <v>38.894239519999999</v>
      </c>
      <c r="AE25">
        <v>39.277137500000002</v>
      </c>
      <c r="AF25">
        <v>39.686122400000002</v>
      </c>
      <c r="AG25">
        <v>40.131904779999999</v>
      </c>
      <c r="AH25">
        <v>40.64765122</v>
      </c>
      <c r="AI25">
        <v>41.188662579999999</v>
      </c>
      <c r="AJ25">
        <v>41.750897969999997</v>
      </c>
      <c r="AK25">
        <v>42.34514472</v>
      </c>
      <c r="AL25">
        <v>42.958800629999999</v>
      </c>
      <c r="AM25">
        <v>43.577719500000001</v>
      </c>
      <c r="AN25">
        <v>43.994907079999997</v>
      </c>
      <c r="AO25">
        <v>44.426076680000001</v>
      </c>
      <c r="AP25">
        <v>44.8358493</v>
      </c>
      <c r="AQ25">
        <v>45.251608400000002</v>
      </c>
      <c r="AR25">
        <v>45.645820829999998</v>
      </c>
      <c r="AS25">
        <v>46.170365140000001</v>
      </c>
      <c r="AT25">
        <v>46.704157739999999</v>
      </c>
      <c r="AU25">
        <v>47.246198309999997</v>
      </c>
      <c r="AV25">
        <v>47.792455889999999</v>
      </c>
      <c r="AW25">
        <v>48.369878479999997</v>
      </c>
    </row>
    <row r="26" spans="2:49" x14ac:dyDescent="0.25">
      <c r="B26" t="s">
        <v>355</v>
      </c>
      <c r="C26">
        <v>39.525714811669303</v>
      </c>
      <c r="D26">
        <v>40.160312947925298</v>
      </c>
      <c r="E26">
        <v>40.805099759999997</v>
      </c>
      <c r="F26">
        <v>40.514596310000002</v>
      </c>
      <c r="G26">
        <v>39.92503936</v>
      </c>
      <c r="H26">
        <v>39.640992429999997</v>
      </c>
      <c r="I26">
        <v>39.474506849999997</v>
      </c>
      <c r="J26">
        <v>39.094452490000002</v>
      </c>
      <c r="K26">
        <v>38.493625280000003</v>
      </c>
      <c r="L26">
        <v>38.03581664</v>
      </c>
      <c r="M26">
        <v>37.73533982</v>
      </c>
      <c r="N26">
        <v>37.652607009999997</v>
      </c>
      <c r="O26">
        <v>37.760386959999998</v>
      </c>
      <c r="P26">
        <v>37.592953860000001</v>
      </c>
      <c r="Q26">
        <v>36.986231760000003</v>
      </c>
      <c r="R26">
        <v>36.397311000000002</v>
      </c>
      <c r="S26">
        <v>35.786796160000002</v>
      </c>
      <c r="T26">
        <v>35.061982180000001</v>
      </c>
      <c r="U26">
        <v>34.617854860000001</v>
      </c>
      <c r="V26">
        <v>34.13524726</v>
      </c>
      <c r="W26">
        <v>33.697171070000003</v>
      </c>
      <c r="X26">
        <v>33.283890200000002</v>
      </c>
      <c r="Y26">
        <v>33.032893059999999</v>
      </c>
      <c r="Z26">
        <v>32.872648499999997</v>
      </c>
      <c r="AA26">
        <v>32.760612250000001</v>
      </c>
      <c r="AB26">
        <v>32.680992629999999</v>
      </c>
      <c r="AC26">
        <v>32.618989939999999</v>
      </c>
      <c r="AD26">
        <v>32.57548705</v>
      </c>
      <c r="AE26">
        <v>32.53733424</v>
      </c>
      <c r="AF26">
        <v>32.502371699999998</v>
      </c>
      <c r="AG26">
        <v>32.47245461</v>
      </c>
      <c r="AH26">
        <v>32.447227509999998</v>
      </c>
      <c r="AI26">
        <v>32.414228270000002</v>
      </c>
      <c r="AJ26">
        <v>32.380376630000001</v>
      </c>
      <c r="AK26">
        <v>32.347888959999999</v>
      </c>
      <c r="AL26">
        <v>32.31267089</v>
      </c>
      <c r="AM26">
        <v>32.274110039999997</v>
      </c>
      <c r="AN26">
        <v>32.217300219999998</v>
      </c>
      <c r="AO26">
        <v>32.14730849</v>
      </c>
      <c r="AP26">
        <v>32.059289360000001</v>
      </c>
      <c r="AQ26">
        <v>31.953602180000001</v>
      </c>
      <c r="AR26">
        <v>31.829199249999999</v>
      </c>
      <c r="AS26">
        <v>31.680330510000001</v>
      </c>
      <c r="AT26">
        <v>31.512115770000001</v>
      </c>
      <c r="AU26">
        <v>31.322781389999999</v>
      </c>
      <c r="AV26">
        <v>31.11413289</v>
      </c>
      <c r="AW26">
        <v>30.90463218</v>
      </c>
    </row>
    <row r="27" spans="2:49" x14ac:dyDescent="0.25">
      <c r="B27" t="s">
        <v>356</v>
      </c>
      <c r="C27">
        <v>21.072806770403201</v>
      </c>
      <c r="D27">
        <v>21.411137499294501</v>
      </c>
      <c r="E27">
        <v>21.754900240000001</v>
      </c>
      <c r="F27">
        <v>23.111168339999999</v>
      </c>
      <c r="G27">
        <v>23.88585204</v>
      </c>
      <c r="H27">
        <v>23.44448118</v>
      </c>
      <c r="I27">
        <v>24.603056120000002</v>
      </c>
      <c r="J27">
        <v>25.44177577</v>
      </c>
      <c r="K27">
        <v>25.78365646</v>
      </c>
      <c r="L27">
        <v>26.23266297</v>
      </c>
      <c r="M27">
        <v>27.090238729999999</v>
      </c>
      <c r="N27">
        <v>28.319810010000001</v>
      </c>
      <c r="O27">
        <v>27.949438529999998</v>
      </c>
      <c r="P27">
        <v>27.547144419999999</v>
      </c>
      <c r="Q27">
        <v>26.801155999999999</v>
      </c>
      <c r="R27">
        <v>25.82682475</v>
      </c>
      <c r="S27">
        <v>25.021981459999999</v>
      </c>
      <c r="T27">
        <v>25.034436400000001</v>
      </c>
      <c r="U27">
        <v>25.010957390000002</v>
      </c>
      <c r="V27">
        <v>24.998994039999999</v>
      </c>
      <c r="W27">
        <v>25.182671500000001</v>
      </c>
      <c r="X27">
        <v>25.408836130000001</v>
      </c>
      <c r="Y27">
        <v>25.569184159999999</v>
      </c>
      <c r="Z27">
        <v>25.682776</v>
      </c>
      <c r="AA27">
        <v>25.764488790000001</v>
      </c>
      <c r="AB27">
        <v>25.819158510000001</v>
      </c>
      <c r="AC27">
        <v>25.85001879</v>
      </c>
      <c r="AD27">
        <v>25.861495470000001</v>
      </c>
      <c r="AE27">
        <v>25.848674039999999</v>
      </c>
      <c r="AF27">
        <v>25.812299759999998</v>
      </c>
      <c r="AG27">
        <v>25.764021</v>
      </c>
      <c r="AH27">
        <v>25.701683070000001</v>
      </c>
      <c r="AI27">
        <v>25.621796060000001</v>
      </c>
      <c r="AJ27">
        <v>25.52992901</v>
      </c>
      <c r="AK27">
        <v>25.425130100000001</v>
      </c>
      <c r="AL27">
        <v>25.309381980000001</v>
      </c>
      <c r="AM27">
        <v>25.183194870000001</v>
      </c>
      <c r="AN27">
        <v>24.912207009999999</v>
      </c>
      <c r="AO27">
        <v>24.615316579999998</v>
      </c>
      <c r="AP27">
        <v>24.3137753</v>
      </c>
      <c r="AQ27">
        <v>24.012499600000002</v>
      </c>
      <c r="AR27">
        <v>23.712359039999999</v>
      </c>
      <c r="AS27">
        <v>23.414925669999999</v>
      </c>
      <c r="AT27">
        <v>23.119102819999998</v>
      </c>
      <c r="AU27">
        <v>22.825637950000001</v>
      </c>
      <c r="AV27">
        <v>22.534187410000001</v>
      </c>
      <c r="AW27">
        <v>22.244617309999999</v>
      </c>
    </row>
    <row r="28" spans="2:49" x14ac:dyDescent="0.25">
      <c r="B28" t="s">
        <v>357</v>
      </c>
      <c r="C28">
        <v>23.690458989791001</v>
      </c>
      <c r="D28">
        <v>24.070816971768199</v>
      </c>
      <c r="E28">
        <v>24.457281720000001</v>
      </c>
      <c r="F28">
        <v>24.570717630000001</v>
      </c>
      <c r="G28">
        <v>24.626920859999998</v>
      </c>
      <c r="H28">
        <v>24.81269812</v>
      </c>
      <c r="I28">
        <v>24.951687209999999</v>
      </c>
      <c r="J28">
        <v>25.03297289</v>
      </c>
      <c r="K28">
        <v>24.899059000000001</v>
      </c>
      <c r="L28">
        <v>24.694888840000001</v>
      </c>
      <c r="M28">
        <v>24.49905283</v>
      </c>
      <c r="N28">
        <v>24.233450860000001</v>
      </c>
      <c r="O28">
        <v>24.03392487</v>
      </c>
      <c r="P28">
        <v>24.024864730000001</v>
      </c>
      <c r="Q28">
        <v>24.021092660000001</v>
      </c>
      <c r="R28">
        <v>24.017415759999999</v>
      </c>
      <c r="S28">
        <v>23.813246530000001</v>
      </c>
      <c r="T28">
        <v>23.493239419999998</v>
      </c>
      <c r="U28">
        <v>23.041024950000001</v>
      </c>
      <c r="V28">
        <v>22.535715849999999</v>
      </c>
      <c r="W28">
        <v>22.036108259999999</v>
      </c>
      <c r="X28">
        <v>21.532870150000001</v>
      </c>
      <c r="Y28">
        <v>21.126779939999999</v>
      </c>
      <c r="Z28">
        <v>20.75746247</v>
      </c>
      <c r="AA28">
        <v>20.410245339999999</v>
      </c>
      <c r="AB28">
        <v>20.074119840000002</v>
      </c>
      <c r="AC28">
        <v>19.742693719999998</v>
      </c>
      <c r="AD28">
        <v>19.41491229</v>
      </c>
      <c r="AE28">
        <v>19.056855949999999</v>
      </c>
      <c r="AF28">
        <v>18.689969900000001</v>
      </c>
      <c r="AG28">
        <v>18.324119939999999</v>
      </c>
      <c r="AH28">
        <v>17.93887252</v>
      </c>
      <c r="AI28">
        <v>17.57526734</v>
      </c>
      <c r="AJ28">
        <v>17.230713949999998</v>
      </c>
      <c r="AK28">
        <v>16.900667110000001</v>
      </c>
      <c r="AL28">
        <v>16.583513069999999</v>
      </c>
      <c r="AM28">
        <v>16.277959979999999</v>
      </c>
      <c r="AN28">
        <v>15.97486855</v>
      </c>
      <c r="AO28">
        <v>15.67625499</v>
      </c>
      <c r="AP28">
        <v>15.38473428</v>
      </c>
      <c r="AQ28">
        <v>15.101160869999999</v>
      </c>
      <c r="AR28">
        <v>14.82600431</v>
      </c>
      <c r="AS28">
        <v>14.557921410000001</v>
      </c>
      <c r="AT28">
        <v>14.297513199999999</v>
      </c>
      <c r="AU28">
        <v>14.04546509</v>
      </c>
      <c r="AV28">
        <v>13.802082970000001</v>
      </c>
      <c r="AW28">
        <v>13.56782025</v>
      </c>
    </row>
    <row r="29" spans="2:49" x14ac:dyDescent="0.25">
      <c r="B29" t="s">
        <v>358</v>
      </c>
      <c r="C29">
        <v>22.212930412666701</v>
      </c>
      <c r="D29">
        <v>22.569566195417998</v>
      </c>
      <c r="E29">
        <v>22.941941020000002</v>
      </c>
      <c r="F29">
        <v>23.48103549</v>
      </c>
      <c r="G29">
        <v>22.626004439999999</v>
      </c>
      <c r="H29">
        <v>20.909246169999999</v>
      </c>
      <c r="I29">
        <v>21.354596860000001</v>
      </c>
      <c r="J29">
        <v>20.81712765</v>
      </c>
      <c r="K29">
        <v>21.034724140000002</v>
      </c>
      <c r="L29">
        <v>20.550146689999998</v>
      </c>
      <c r="M29">
        <v>20.481050939999999</v>
      </c>
      <c r="N29">
        <v>20.471089630000002</v>
      </c>
      <c r="O29">
        <v>20.27531892</v>
      </c>
      <c r="P29">
        <v>20.54665112</v>
      </c>
      <c r="Q29">
        <v>20.373223249999999</v>
      </c>
      <c r="R29">
        <v>20.297252189999998</v>
      </c>
      <c r="S29">
        <v>20.104060100000002</v>
      </c>
      <c r="T29">
        <v>20.45307081</v>
      </c>
      <c r="U29">
        <v>20.566357499999999</v>
      </c>
      <c r="V29">
        <v>20.873703169999999</v>
      </c>
      <c r="W29">
        <v>21.096809870000001</v>
      </c>
      <c r="X29">
        <v>21.239245459999999</v>
      </c>
      <c r="Y29">
        <v>21.318159569999999</v>
      </c>
      <c r="Z29">
        <v>21.48354157</v>
      </c>
      <c r="AA29">
        <v>21.68462079</v>
      </c>
      <c r="AB29">
        <v>21.904317209999999</v>
      </c>
      <c r="AC29">
        <v>22.149382339999999</v>
      </c>
      <c r="AD29">
        <v>22.259728880000001</v>
      </c>
      <c r="AE29">
        <v>22.390893080000001</v>
      </c>
      <c r="AF29">
        <v>22.543844199999999</v>
      </c>
      <c r="AG29">
        <v>22.712910149999999</v>
      </c>
      <c r="AH29">
        <v>22.895895379999999</v>
      </c>
      <c r="AI29">
        <v>23.127005019999999</v>
      </c>
      <c r="AJ29">
        <v>23.367097470000001</v>
      </c>
      <c r="AK29">
        <v>23.618113439999998</v>
      </c>
      <c r="AL29">
        <v>23.877912599999998</v>
      </c>
      <c r="AM29">
        <v>24.14013473</v>
      </c>
      <c r="AN29">
        <v>24.417612980000001</v>
      </c>
      <c r="AO29">
        <v>24.71938673</v>
      </c>
      <c r="AP29">
        <v>25.01987007</v>
      </c>
      <c r="AQ29">
        <v>25.324875039999998</v>
      </c>
      <c r="AR29">
        <v>25.624813159999999</v>
      </c>
      <c r="AS29">
        <v>25.953795629999998</v>
      </c>
      <c r="AT29">
        <v>26.280374500000001</v>
      </c>
      <c r="AU29">
        <v>26.610873869999999</v>
      </c>
      <c r="AV29">
        <v>26.94424982</v>
      </c>
      <c r="AW29">
        <v>27.290080889999999</v>
      </c>
    </row>
    <row r="30" spans="2:49" x14ac:dyDescent="0.25">
      <c r="B30" t="s">
        <v>359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37189.816200000001</v>
      </c>
      <c r="T30">
        <v>37044.828320000001</v>
      </c>
      <c r="U30">
        <v>36737.421269999999</v>
      </c>
      <c r="V30">
        <v>36371.365859999998</v>
      </c>
      <c r="W30">
        <v>36014.15554</v>
      </c>
      <c r="X30">
        <v>35646.663769999999</v>
      </c>
      <c r="Y30">
        <v>35505.387949999997</v>
      </c>
      <c r="Z30">
        <v>35453.922380000004</v>
      </c>
      <c r="AA30">
        <v>35461.314079999996</v>
      </c>
      <c r="AB30">
        <v>35502.03731</v>
      </c>
      <c r="AC30">
        <v>35559.2307</v>
      </c>
      <c r="AD30">
        <v>35627.785759999999</v>
      </c>
      <c r="AE30">
        <v>35599.182829999998</v>
      </c>
      <c r="AF30">
        <v>35535.843059999999</v>
      </c>
      <c r="AG30">
        <v>35460.48919</v>
      </c>
      <c r="AH30">
        <v>35289.246379999997</v>
      </c>
      <c r="AI30">
        <v>35178.229200000002</v>
      </c>
      <c r="AJ30">
        <v>35098.324139999997</v>
      </c>
      <c r="AK30">
        <v>35034.999519999998</v>
      </c>
      <c r="AL30">
        <v>34982.466350000002</v>
      </c>
      <c r="AM30">
        <v>34935.981290000003</v>
      </c>
      <c r="AN30">
        <v>34867.313499999997</v>
      </c>
      <c r="AO30">
        <v>34787.092669999998</v>
      </c>
      <c r="AP30">
        <v>34702.398229999999</v>
      </c>
      <c r="AQ30">
        <v>34615.222300000001</v>
      </c>
      <c r="AR30">
        <v>34526.62113</v>
      </c>
      <c r="AS30">
        <v>34427.236210000003</v>
      </c>
      <c r="AT30">
        <v>34323.400679999999</v>
      </c>
      <c r="AU30">
        <v>34217.432959999998</v>
      </c>
      <c r="AV30">
        <v>34110.557789999999</v>
      </c>
      <c r="AW30">
        <v>34004.648079999999</v>
      </c>
    </row>
    <row r="31" spans="2:49" x14ac:dyDescent="0.25">
      <c r="B31" t="s">
        <v>360</v>
      </c>
      <c r="C31">
        <v>17.998489648965599</v>
      </c>
      <c r="D31">
        <v>18.287461222056098</v>
      </c>
      <c r="E31">
        <v>18.581072330000001</v>
      </c>
      <c r="F31">
        <v>17.55911236</v>
      </c>
      <c r="G31">
        <v>48.868263050000003</v>
      </c>
      <c r="H31">
        <v>80.039692200000005</v>
      </c>
      <c r="I31">
        <v>110.20446939999999</v>
      </c>
      <c r="J31">
        <v>151.96378300000001</v>
      </c>
      <c r="K31">
        <v>193.486253</v>
      </c>
      <c r="L31">
        <v>231.89301280000001</v>
      </c>
      <c r="M31">
        <v>269.31028270000002</v>
      </c>
      <c r="N31">
        <v>293.69878340000002</v>
      </c>
      <c r="O31">
        <v>315.9117622</v>
      </c>
      <c r="P31">
        <v>333.59084300000001</v>
      </c>
      <c r="Q31">
        <v>371.05988719999999</v>
      </c>
      <c r="R31">
        <v>411.25318829999998</v>
      </c>
      <c r="S31">
        <v>463.2748072</v>
      </c>
      <c r="T31">
        <v>500.16203289999999</v>
      </c>
      <c r="U31">
        <v>557.96402079999996</v>
      </c>
      <c r="V31">
        <v>624.68866119999996</v>
      </c>
      <c r="W31">
        <v>689.07643350000001</v>
      </c>
      <c r="X31">
        <v>749.78830540000001</v>
      </c>
      <c r="Y31">
        <v>818.43176249999999</v>
      </c>
      <c r="Z31">
        <v>886.78050689999998</v>
      </c>
      <c r="AA31">
        <v>953.02940109999997</v>
      </c>
      <c r="AB31">
        <v>1015.779015</v>
      </c>
      <c r="AC31">
        <v>1074.2053089999999</v>
      </c>
      <c r="AD31">
        <v>1128.233422</v>
      </c>
      <c r="AE31">
        <v>1172.361846</v>
      </c>
      <c r="AF31">
        <v>1210.3002799999999</v>
      </c>
      <c r="AG31">
        <v>1243.736656</v>
      </c>
      <c r="AH31">
        <v>1268.701028</v>
      </c>
      <c r="AI31">
        <v>1293.49117</v>
      </c>
      <c r="AJ31">
        <v>1317.003653</v>
      </c>
      <c r="AK31">
        <v>1338.659093</v>
      </c>
      <c r="AL31">
        <v>1358.4205079999999</v>
      </c>
      <c r="AM31">
        <v>1376.2740369999999</v>
      </c>
      <c r="AN31">
        <v>1392.2037</v>
      </c>
      <c r="AO31">
        <v>1406.8435059999999</v>
      </c>
      <c r="AP31">
        <v>1420.6247699999999</v>
      </c>
      <c r="AQ31">
        <v>1433.742645</v>
      </c>
      <c r="AR31">
        <v>1446.3452609999999</v>
      </c>
      <c r="AS31">
        <v>1458.141754</v>
      </c>
      <c r="AT31">
        <v>1469.517599</v>
      </c>
      <c r="AU31">
        <v>1480.6528029999999</v>
      </c>
      <c r="AV31">
        <v>1491.6622589999999</v>
      </c>
      <c r="AW31">
        <v>1502.7024960000001</v>
      </c>
    </row>
    <row r="32" spans="2:49" x14ac:dyDescent="0.25">
      <c r="B32" t="s">
        <v>361</v>
      </c>
      <c r="C32">
        <v>1571.8931047778699</v>
      </c>
      <c r="D32">
        <v>1597.13035701831</v>
      </c>
      <c r="E32">
        <v>1622.772802</v>
      </c>
      <c r="F32">
        <v>1972.7661660000001</v>
      </c>
      <c r="G32">
        <v>2311.6313679999998</v>
      </c>
      <c r="H32">
        <v>2680.2467449999999</v>
      </c>
      <c r="I32">
        <v>3014.272465</v>
      </c>
      <c r="J32">
        <v>3321.9363480000002</v>
      </c>
      <c r="K32">
        <v>3548.2421760000002</v>
      </c>
      <c r="L32">
        <v>3740.1390489999999</v>
      </c>
      <c r="M32">
        <v>3923.1242499999998</v>
      </c>
      <c r="N32">
        <v>4072.9199789999998</v>
      </c>
      <c r="O32">
        <v>4232.6296629999997</v>
      </c>
      <c r="P32">
        <v>4415.3223630000002</v>
      </c>
      <c r="Q32">
        <v>4603.482223</v>
      </c>
      <c r="R32">
        <v>4786.1682520000004</v>
      </c>
      <c r="S32">
        <v>4910.7937599999996</v>
      </c>
      <c r="T32">
        <v>4976.4160549999997</v>
      </c>
      <c r="U32">
        <v>5023.6718929999997</v>
      </c>
      <c r="V32">
        <v>5056.0897400000003</v>
      </c>
      <c r="W32">
        <v>5075.1681159999998</v>
      </c>
      <c r="X32">
        <v>5077.608577</v>
      </c>
      <c r="Y32">
        <v>5103.4137389999996</v>
      </c>
      <c r="Z32">
        <v>5128.4775769999997</v>
      </c>
      <c r="AA32">
        <v>5147.7013470000002</v>
      </c>
      <c r="AB32">
        <v>5157.5837609999999</v>
      </c>
      <c r="AC32">
        <v>5156.4988640000001</v>
      </c>
      <c r="AD32">
        <v>5144.8487859999996</v>
      </c>
      <c r="AE32">
        <v>5109.799849</v>
      </c>
      <c r="AF32">
        <v>5061.4590959999996</v>
      </c>
      <c r="AG32">
        <v>5004.1950079999997</v>
      </c>
      <c r="AH32">
        <v>4929.6588140000003</v>
      </c>
      <c r="AI32">
        <v>4857.0051949999997</v>
      </c>
      <c r="AJ32">
        <v>4783.6455649999998</v>
      </c>
      <c r="AK32">
        <v>4708.6748809999999</v>
      </c>
      <c r="AL32">
        <v>4632.1651499999998</v>
      </c>
      <c r="AM32">
        <v>4554.2582389999998</v>
      </c>
      <c r="AN32">
        <v>4472.4978259999998</v>
      </c>
      <c r="AO32">
        <v>4388.4648470000002</v>
      </c>
      <c r="AP32">
        <v>4303.2712330000004</v>
      </c>
      <c r="AQ32">
        <v>4217.4828870000001</v>
      </c>
      <c r="AR32">
        <v>4131.5232349999997</v>
      </c>
      <c r="AS32">
        <v>4044.8823069999999</v>
      </c>
      <c r="AT32">
        <v>3958.3563469999999</v>
      </c>
      <c r="AU32">
        <v>3872.3527709999998</v>
      </c>
      <c r="AV32">
        <v>3787.1492629999998</v>
      </c>
      <c r="AW32">
        <v>3703.0389850000001</v>
      </c>
    </row>
    <row r="33" spans="2:49" x14ac:dyDescent="0.25">
      <c r="B33" t="s">
        <v>362</v>
      </c>
      <c r="C33">
        <v>3720.5673609549599</v>
      </c>
      <c r="D33">
        <v>3780.3022733867101</v>
      </c>
      <c r="E33">
        <v>3840.9962489999998</v>
      </c>
      <c r="F33">
        <v>4323.671284</v>
      </c>
      <c r="G33">
        <v>4769.7582540000003</v>
      </c>
      <c r="H33">
        <v>5259.5352130000001</v>
      </c>
      <c r="I33">
        <v>5702.8613249999999</v>
      </c>
      <c r="J33">
        <v>6104.5122380000003</v>
      </c>
      <c r="K33">
        <v>6384.027994</v>
      </c>
      <c r="L33">
        <v>6612.8690989999996</v>
      </c>
      <c r="M33">
        <v>6829.0196699999997</v>
      </c>
      <c r="N33">
        <v>7004.6250129999999</v>
      </c>
      <c r="O33">
        <v>7196.8887430000004</v>
      </c>
      <c r="P33">
        <v>7437.3525609999997</v>
      </c>
      <c r="Q33">
        <v>7677.6310480000002</v>
      </c>
      <c r="R33">
        <v>7909.7826359999999</v>
      </c>
      <c r="S33">
        <v>8043.3278339999997</v>
      </c>
      <c r="T33">
        <v>8099.8790669999998</v>
      </c>
      <c r="U33">
        <v>8110.3804440000004</v>
      </c>
      <c r="V33">
        <v>8091.6141319999997</v>
      </c>
      <c r="W33">
        <v>8055.8409600000005</v>
      </c>
      <c r="X33">
        <v>7998.5818429999999</v>
      </c>
      <c r="Y33">
        <v>7975.1690920000001</v>
      </c>
      <c r="Z33">
        <v>7952.2489859999996</v>
      </c>
      <c r="AA33">
        <v>7922.7210489999998</v>
      </c>
      <c r="AB33">
        <v>7881.7778049999997</v>
      </c>
      <c r="AC33">
        <v>7827.2497960000001</v>
      </c>
      <c r="AD33">
        <v>7759.7316540000002</v>
      </c>
      <c r="AE33">
        <v>7662.0608229999998</v>
      </c>
      <c r="AF33">
        <v>7547.9967450000004</v>
      </c>
      <c r="AG33">
        <v>7423.3866449999996</v>
      </c>
      <c r="AH33">
        <v>7277.2802190000002</v>
      </c>
      <c r="AI33">
        <v>7135.0921129999997</v>
      </c>
      <c r="AJ33">
        <v>6993.3002990000005</v>
      </c>
      <c r="AK33">
        <v>6850.7683370000004</v>
      </c>
      <c r="AL33">
        <v>6707.5784370000001</v>
      </c>
      <c r="AM33">
        <v>6563.9106810000003</v>
      </c>
      <c r="AN33">
        <v>6415.9921869999998</v>
      </c>
      <c r="AO33">
        <v>6265.9284850000004</v>
      </c>
      <c r="AP33">
        <v>6115.205927</v>
      </c>
      <c r="AQ33">
        <v>5964.58997</v>
      </c>
      <c r="AR33">
        <v>5814.6525229999997</v>
      </c>
      <c r="AS33">
        <v>5664.8016379999999</v>
      </c>
      <c r="AT33">
        <v>5516.0585389999997</v>
      </c>
      <c r="AU33">
        <v>5368.9498290000001</v>
      </c>
      <c r="AV33">
        <v>5223.8368330000003</v>
      </c>
      <c r="AW33">
        <v>5081.0865990000002</v>
      </c>
    </row>
    <row r="34" spans="2:49" x14ac:dyDescent="0.25">
      <c r="B34" t="s">
        <v>363</v>
      </c>
      <c r="C34">
        <v>5208.7853750706299</v>
      </c>
      <c r="D34">
        <v>5292.4141090967596</v>
      </c>
      <c r="E34">
        <v>5377.3855290000001</v>
      </c>
      <c r="F34">
        <v>5766.1216750000003</v>
      </c>
      <c r="G34">
        <v>6121.3584330000003</v>
      </c>
      <c r="H34">
        <v>6522.937715</v>
      </c>
      <c r="I34">
        <v>6883.6653079999996</v>
      </c>
      <c r="J34">
        <v>7205.2989870000001</v>
      </c>
      <c r="K34">
        <v>7410.0124079999996</v>
      </c>
      <c r="L34">
        <v>7568.2607850000004</v>
      </c>
      <c r="M34">
        <v>7717.0082730000004</v>
      </c>
      <c r="N34">
        <v>7820.1047859999999</v>
      </c>
      <c r="O34">
        <v>7942.9437770000004</v>
      </c>
      <c r="P34">
        <v>8122.919895</v>
      </c>
      <c r="Q34">
        <v>8297.6773799999901</v>
      </c>
      <c r="R34">
        <v>8469.1035599999996</v>
      </c>
      <c r="S34">
        <v>8537.7032839999902</v>
      </c>
      <c r="T34">
        <v>8549.5027649999902</v>
      </c>
      <c r="U34">
        <v>8506.7063670000007</v>
      </c>
      <c r="V34">
        <v>8432.4702089999901</v>
      </c>
      <c r="W34">
        <v>8344.5976410000003</v>
      </c>
      <c r="X34">
        <v>8238.9051039999995</v>
      </c>
      <c r="Y34">
        <v>8166.5646900000002</v>
      </c>
      <c r="Z34">
        <v>8096.6700739999997</v>
      </c>
      <c r="AA34">
        <v>8022.5676359999998</v>
      </c>
      <c r="AB34">
        <v>7939.7689620000001</v>
      </c>
      <c r="AC34">
        <v>7846.2487680000004</v>
      </c>
      <c r="AD34">
        <v>7742.5199279999997</v>
      </c>
      <c r="AE34">
        <v>7612.9633940000003</v>
      </c>
      <c r="AF34">
        <v>7470.1313410000002</v>
      </c>
      <c r="AG34">
        <v>7319.2837289999998</v>
      </c>
      <c r="AH34">
        <v>7150.5517769999997</v>
      </c>
      <c r="AI34">
        <v>6986.8411749999996</v>
      </c>
      <c r="AJ34">
        <v>6824.8897790000001</v>
      </c>
      <c r="AK34">
        <v>6663.664882</v>
      </c>
      <c r="AL34">
        <v>6503.1988549999996</v>
      </c>
      <c r="AM34">
        <v>6343.6170380000003</v>
      </c>
      <c r="AN34">
        <v>6181.1599829999996</v>
      </c>
      <c r="AO34">
        <v>6017.7154909999999</v>
      </c>
      <c r="AP34">
        <v>5854.61409</v>
      </c>
      <c r="AQ34">
        <v>5692.5376329999999</v>
      </c>
      <c r="AR34">
        <v>5531.9915069999997</v>
      </c>
      <c r="AS34">
        <v>5372.4620340000001</v>
      </c>
      <c r="AT34">
        <v>5214.8404129999999</v>
      </c>
      <c r="AU34">
        <v>5059.5821720000004</v>
      </c>
      <c r="AV34">
        <v>4906.9972710000002</v>
      </c>
      <c r="AW34">
        <v>4757.3945720000002</v>
      </c>
    </row>
    <row r="35" spans="2:49" x14ac:dyDescent="0.25">
      <c r="B35" t="s">
        <v>364</v>
      </c>
      <c r="C35">
        <v>13521.9613593495</v>
      </c>
      <c r="D35">
        <v>13739.0608227762</v>
      </c>
      <c r="E35">
        <v>13959.64589</v>
      </c>
      <c r="F35">
        <v>13632.51311</v>
      </c>
      <c r="G35">
        <v>13305.82933</v>
      </c>
      <c r="H35">
        <v>13035.419669999999</v>
      </c>
      <c r="I35">
        <v>12769.315189999999</v>
      </c>
      <c r="J35">
        <v>12502.059939999999</v>
      </c>
      <c r="K35">
        <v>12185.815339999999</v>
      </c>
      <c r="L35">
        <v>11869.081050000001</v>
      </c>
      <c r="M35">
        <v>11567.836939999999</v>
      </c>
      <c r="N35">
        <v>11249.91186</v>
      </c>
      <c r="O35">
        <v>10964.88378</v>
      </c>
      <c r="P35">
        <v>10761.76158</v>
      </c>
      <c r="Q35">
        <v>10564.17036</v>
      </c>
      <c r="R35">
        <v>10372.89647</v>
      </c>
      <c r="S35">
        <v>10120.04788</v>
      </c>
      <c r="T35">
        <v>9863.4832320000005</v>
      </c>
      <c r="U35">
        <v>9539.8015030000006</v>
      </c>
      <c r="V35">
        <v>9193.5649959999901</v>
      </c>
      <c r="W35">
        <v>8856.9843639999999</v>
      </c>
      <c r="X35">
        <v>8527.1809630000007</v>
      </c>
      <c r="Y35">
        <v>8228.7505369999999</v>
      </c>
      <c r="Z35">
        <v>7945.5858120000003</v>
      </c>
      <c r="AA35">
        <v>7673.6249269999998</v>
      </c>
      <c r="AB35">
        <v>7409.9809189999996</v>
      </c>
      <c r="AC35">
        <v>7153.0556969999998</v>
      </c>
      <c r="AD35">
        <v>6902.5163739999998</v>
      </c>
      <c r="AE35">
        <v>6650.4354940000003</v>
      </c>
      <c r="AF35">
        <v>6402.3279490000004</v>
      </c>
      <c r="AG35">
        <v>6160.1539650000004</v>
      </c>
      <c r="AH35">
        <v>5918.9103409999998</v>
      </c>
      <c r="AI35">
        <v>5688.7861970000004</v>
      </c>
      <c r="AJ35">
        <v>5467.77574</v>
      </c>
      <c r="AK35">
        <v>5255.0194090000005</v>
      </c>
      <c r="AL35">
        <v>5050.1314089999996</v>
      </c>
      <c r="AM35">
        <v>4852.7929340000001</v>
      </c>
      <c r="AN35">
        <v>4660.0878849999999</v>
      </c>
      <c r="AO35">
        <v>4472.6742139999997</v>
      </c>
      <c r="AP35">
        <v>4290.9587339999998</v>
      </c>
      <c r="AQ35">
        <v>4115.0559320000002</v>
      </c>
      <c r="AR35">
        <v>3945.0028130000001</v>
      </c>
      <c r="AS35">
        <v>3780.403515</v>
      </c>
      <c r="AT35">
        <v>3621.465252</v>
      </c>
      <c r="AU35">
        <v>3468.2093420000001</v>
      </c>
      <c r="AV35">
        <v>3320.5981120000001</v>
      </c>
      <c r="AW35">
        <v>3178.5942089999999</v>
      </c>
    </row>
    <row r="36" spans="2:49" x14ac:dyDescent="0.25">
      <c r="B36" t="s">
        <v>365</v>
      </c>
      <c r="C36">
        <v>4769.5635809194901</v>
      </c>
      <c r="D36">
        <v>4846.1404669702097</v>
      </c>
      <c r="E36">
        <v>4923.9468200000001</v>
      </c>
      <c r="F36">
        <v>4800.6511010000004</v>
      </c>
      <c r="G36">
        <v>4668.5171010000004</v>
      </c>
      <c r="H36">
        <v>4552.5049600000002</v>
      </c>
      <c r="I36">
        <v>4440.7837339999996</v>
      </c>
      <c r="J36">
        <v>4326.6925460000002</v>
      </c>
      <c r="K36">
        <v>4197.8295930000004</v>
      </c>
      <c r="L36">
        <v>4066.7803610000001</v>
      </c>
      <c r="M36">
        <v>3940.9352239999998</v>
      </c>
      <c r="N36">
        <v>3808.0054180000002</v>
      </c>
      <c r="O36">
        <v>3685.256214</v>
      </c>
      <c r="P36">
        <v>3598.0618899999999</v>
      </c>
      <c r="Q36">
        <v>3510.4242669999999</v>
      </c>
      <c r="R36">
        <v>3423.3134300000002</v>
      </c>
      <c r="S36">
        <v>3313.7782010000001</v>
      </c>
      <c r="T36">
        <v>3187.3631650000002</v>
      </c>
      <c r="U36">
        <v>3037.444156</v>
      </c>
      <c r="V36">
        <v>2881.6404969999999</v>
      </c>
      <c r="W36">
        <v>2733.0696779999998</v>
      </c>
      <c r="X36">
        <v>2591.1823279999999</v>
      </c>
      <c r="Y36">
        <v>2458.1431299999999</v>
      </c>
      <c r="Z36">
        <v>2332.092232</v>
      </c>
      <c r="AA36">
        <v>2212.356589</v>
      </c>
      <c r="AB36">
        <v>2098.4174560000001</v>
      </c>
      <c r="AC36">
        <v>1989.905264</v>
      </c>
      <c r="AD36">
        <v>1886.572118</v>
      </c>
      <c r="AE36">
        <v>1787.585875</v>
      </c>
      <c r="AF36">
        <v>1693.2090439999999</v>
      </c>
      <c r="AG36">
        <v>1603.383922</v>
      </c>
      <c r="AH36">
        <v>1517.575517</v>
      </c>
      <c r="AI36">
        <v>1436.3252210000001</v>
      </c>
      <c r="AJ36">
        <v>1359.28802</v>
      </c>
      <c r="AK36">
        <v>1286.237713</v>
      </c>
      <c r="AL36">
        <v>1216.976009</v>
      </c>
      <c r="AM36">
        <v>1151.318004</v>
      </c>
      <c r="AN36">
        <v>1088.5787740000001</v>
      </c>
      <c r="AO36">
        <v>1028.709963</v>
      </c>
      <c r="AP36">
        <v>971.64650219999999</v>
      </c>
      <c r="AQ36">
        <v>917.30461060000005</v>
      </c>
      <c r="AR36">
        <v>865.59591950000004</v>
      </c>
      <c r="AS36">
        <v>816.41132849999997</v>
      </c>
      <c r="AT36">
        <v>769.67208830000004</v>
      </c>
      <c r="AU36">
        <v>725.29113110000003</v>
      </c>
      <c r="AV36">
        <v>683.17992949999996</v>
      </c>
      <c r="AW36">
        <v>643.25099950000003</v>
      </c>
    </row>
    <row r="37" spans="2:49" x14ac:dyDescent="0.25">
      <c r="B37" t="s">
        <v>366</v>
      </c>
      <c r="C37">
        <v>2185.3248924602099</v>
      </c>
      <c r="D37">
        <v>2220.4109904720199</v>
      </c>
      <c r="E37">
        <v>2256.0604069999999</v>
      </c>
      <c r="F37">
        <v>2169.2705120000001</v>
      </c>
      <c r="G37">
        <v>2077.6140129999999</v>
      </c>
      <c r="H37">
        <v>1992.4066949999999</v>
      </c>
      <c r="I37">
        <v>1911.4518459999999</v>
      </c>
      <c r="J37">
        <v>1829.9756520000001</v>
      </c>
      <c r="K37">
        <v>1747.2936360000001</v>
      </c>
      <c r="L37">
        <v>1663.771628</v>
      </c>
      <c r="M37">
        <v>1583.9789479999999</v>
      </c>
      <c r="N37">
        <v>1509.5647200000001</v>
      </c>
      <c r="O37">
        <v>1438.6030519999999</v>
      </c>
      <c r="P37">
        <v>1383.5452210000001</v>
      </c>
      <c r="Q37">
        <v>1327.396461</v>
      </c>
      <c r="R37">
        <v>1270.651998</v>
      </c>
      <c r="S37">
        <v>1211.4206810000001</v>
      </c>
      <c r="T37">
        <v>1150.849647</v>
      </c>
      <c r="U37">
        <v>1086.9135550000001</v>
      </c>
      <c r="V37">
        <v>1022.9774640000001</v>
      </c>
      <c r="W37">
        <v>962.80231890000005</v>
      </c>
      <c r="X37">
        <v>906.16688839999995</v>
      </c>
      <c r="Y37">
        <v>852.86295380000001</v>
      </c>
      <c r="Z37">
        <v>802.69454470000005</v>
      </c>
      <c r="AA37">
        <v>755.47721860000001</v>
      </c>
      <c r="AB37">
        <v>711.03738220000002</v>
      </c>
      <c r="AC37">
        <v>669.21165380000002</v>
      </c>
      <c r="AD37">
        <v>629.8462624</v>
      </c>
      <c r="AE37">
        <v>592.79648229999998</v>
      </c>
      <c r="AF37">
        <v>557.92610100000002</v>
      </c>
      <c r="AG37">
        <v>525.10691859999997</v>
      </c>
      <c r="AH37">
        <v>494.21827630000001</v>
      </c>
      <c r="AI37">
        <v>465.146613</v>
      </c>
      <c r="AJ37">
        <v>437.78504750000002</v>
      </c>
      <c r="AK37">
        <v>412.03298590000003</v>
      </c>
      <c r="AL37">
        <v>387.79575139999997</v>
      </c>
      <c r="AM37">
        <v>364.98423659999997</v>
      </c>
      <c r="AN37">
        <v>343.3875362</v>
      </c>
      <c r="AO37">
        <v>322.9478019</v>
      </c>
      <c r="AP37">
        <v>303.60961020000002</v>
      </c>
      <c r="AQ37">
        <v>285.31987470000001</v>
      </c>
      <c r="AR37">
        <v>268.027761</v>
      </c>
      <c r="AS37">
        <v>251.68460490000001</v>
      </c>
      <c r="AT37">
        <v>236.24383159999999</v>
      </c>
      <c r="AU37">
        <v>221.66087899999999</v>
      </c>
      <c r="AV37">
        <v>207.8931225</v>
      </c>
      <c r="AW37">
        <v>194.8998024</v>
      </c>
    </row>
    <row r="38" spans="2:49" x14ac:dyDescent="0.25">
      <c r="B38" t="s">
        <v>367</v>
      </c>
      <c r="C38">
        <v>6.9573204344700098E-3</v>
      </c>
      <c r="D38">
        <v>7.06902246445449E-3</v>
      </c>
      <c r="E38">
        <v>7.1825179100000001E-3</v>
      </c>
      <c r="F38">
        <v>2.2199428199999999E-2</v>
      </c>
      <c r="G38">
        <v>5.59030285E-2</v>
      </c>
      <c r="H38">
        <v>0.12632392719999999</v>
      </c>
      <c r="I38">
        <v>0.225429036</v>
      </c>
      <c r="J38">
        <v>0.37328835840000002</v>
      </c>
      <c r="K38">
        <v>0.56773714119999996</v>
      </c>
      <c r="L38">
        <v>0.85045290250000005</v>
      </c>
      <c r="M38">
        <v>1.2932125409999999</v>
      </c>
      <c r="N38">
        <v>1.903816119</v>
      </c>
      <c r="O38">
        <v>2.825100087</v>
      </c>
      <c r="P38">
        <v>3.5622413260000001</v>
      </c>
      <c r="Q38">
        <v>4.7059308480000004</v>
      </c>
      <c r="R38">
        <v>6.4043039310000003</v>
      </c>
      <c r="S38">
        <v>8.4814214139999997</v>
      </c>
      <c r="T38">
        <v>10.9757075</v>
      </c>
      <c r="U38">
        <v>16.28550495</v>
      </c>
      <c r="V38">
        <v>24.517802369999998</v>
      </c>
      <c r="W38">
        <v>34.561440640000001</v>
      </c>
      <c r="X38">
        <v>46.492013489999998</v>
      </c>
      <c r="Y38">
        <v>62.721836639999999</v>
      </c>
      <c r="Z38">
        <v>82.646083860000005</v>
      </c>
      <c r="AA38">
        <v>106.3103809</v>
      </c>
      <c r="AB38">
        <v>133.6170721</v>
      </c>
      <c r="AC38">
        <v>164.41046789999999</v>
      </c>
      <c r="AD38">
        <v>198.61509419999999</v>
      </c>
      <c r="AE38">
        <v>233.74204610000001</v>
      </c>
      <c r="AF38">
        <v>270.76978509999998</v>
      </c>
      <c r="AG38">
        <v>310.01159689999997</v>
      </c>
      <c r="AH38">
        <v>348.76236060000002</v>
      </c>
      <c r="AI38">
        <v>391.4184386</v>
      </c>
      <c r="AJ38">
        <v>437.1107427</v>
      </c>
      <c r="AK38">
        <v>485.31038369999999</v>
      </c>
      <c r="AL38">
        <v>535.73798220000003</v>
      </c>
      <c r="AM38">
        <v>588.12693360000003</v>
      </c>
      <c r="AN38">
        <v>642.30676059999996</v>
      </c>
      <c r="AO38">
        <v>698.57446749999997</v>
      </c>
      <c r="AP38">
        <v>757.14006470000004</v>
      </c>
      <c r="AQ38">
        <v>818.00838009999995</v>
      </c>
      <c r="AR38">
        <v>881.15399979999995</v>
      </c>
      <c r="AS38">
        <v>945.95144789999995</v>
      </c>
      <c r="AT38">
        <v>1012.668222</v>
      </c>
      <c r="AU38">
        <v>1081.3716219999999</v>
      </c>
      <c r="AV38">
        <v>1152.080207</v>
      </c>
      <c r="AW38">
        <v>1224.87996</v>
      </c>
    </row>
    <row r="39" spans="2:49" x14ac:dyDescent="0.25">
      <c r="B39" t="s">
        <v>368</v>
      </c>
      <c r="C39">
        <v>1.59483191497851E-2</v>
      </c>
      <c r="D39">
        <v>1.6204374572364899E-2</v>
      </c>
      <c r="E39">
        <v>1.6464540999999999E-2</v>
      </c>
      <c r="F39">
        <v>4.31072547E-2</v>
      </c>
      <c r="G39">
        <v>9.2008543299999995E-2</v>
      </c>
      <c r="H39">
        <v>0.18095345830000001</v>
      </c>
      <c r="I39">
        <v>0.30376249430000002</v>
      </c>
      <c r="J39">
        <v>0.47831260240000001</v>
      </c>
      <c r="K39">
        <v>0.6961202447</v>
      </c>
      <c r="L39">
        <v>0.99543934909999998</v>
      </c>
      <c r="M39">
        <v>1.4364711859999999</v>
      </c>
      <c r="N39">
        <v>2.0173177579999999</v>
      </c>
      <c r="O39">
        <v>2.868508335</v>
      </c>
      <c r="P39">
        <v>3.6914890219999998</v>
      </c>
      <c r="Q39">
        <v>4.8888323250000001</v>
      </c>
      <c r="R39">
        <v>6.5776027959999999</v>
      </c>
      <c r="S39">
        <v>8.5410948970000007</v>
      </c>
      <c r="T39">
        <v>10.820582760000001</v>
      </c>
      <c r="U39">
        <v>15.03841407</v>
      </c>
      <c r="V39">
        <v>21.25095189</v>
      </c>
      <c r="W39">
        <v>28.766289579999999</v>
      </c>
      <c r="X39">
        <v>37.610460320000001</v>
      </c>
      <c r="Y39">
        <v>49.553810149999997</v>
      </c>
      <c r="Z39">
        <v>64.082462449999994</v>
      </c>
      <c r="AA39">
        <v>81.174814029999894</v>
      </c>
      <c r="AB39">
        <v>100.70666</v>
      </c>
      <c r="AC39">
        <v>122.5158258</v>
      </c>
      <c r="AD39">
        <v>146.50118689999999</v>
      </c>
      <c r="AE39">
        <v>170.86345249999999</v>
      </c>
      <c r="AF39">
        <v>196.2723527</v>
      </c>
      <c r="AG39">
        <v>222.9187886</v>
      </c>
      <c r="AH39">
        <v>248.91643980000001</v>
      </c>
      <c r="AI39">
        <v>277.25980199999998</v>
      </c>
      <c r="AJ39">
        <v>307.31342480000001</v>
      </c>
      <c r="AK39">
        <v>338.6845998</v>
      </c>
      <c r="AL39">
        <v>371.15521799999999</v>
      </c>
      <c r="AM39">
        <v>404.52015820000003</v>
      </c>
      <c r="AN39">
        <v>438.48837780000002</v>
      </c>
      <c r="AO39">
        <v>473.21869629999998</v>
      </c>
      <c r="AP39">
        <v>508.80738980000001</v>
      </c>
      <c r="AQ39">
        <v>545.21593159999998</v>
      </c>
      <c r="AR39">
        <v>582.38561149999998</v>
      </c>
      <c r="AS39">
        <v>619.88716969999996</v>
      </c>
      <c r="AT39">
        <v>657.84710749999999</v>
      </c>
      <c r="AU39">
        <v>696.26459899999998</v>
      </c>
      <c r="AV39">
        <v>735.10709210000005</v>
      </c>
      <c r="AW39">
        <v>774.37897269999996</v>
      </c>
    </row>
    <row r="40" spans="2:49" x14ac:dyDescent="0.25">
      <c r="B40" t="s">
        <v>369</v>
      </c>
      <c r="C40">
        <v>6.5291776385026298E-2</v>
      </c>
      <c r="D40">
        <v>6.63400569741113E-2</v>
      </c>
      <c r="E40">
        <v>6.7405168000000001E-2</v>
      </c>
      <c r="F40">
        <v>0.16424129649999999</v>
      </c>
      <c r="G40">
        <v>0.31998601970000001</v>
      </c>
      <c r="H40">
        <v>0.57091215819999996</v>
      </c>
      <c r="I40">
        <v>0.91078465990000002</v>
      </c>
      <c r="J40">
        <v>1.3692820139999999</v>
      </c>
      <c r="K40">
        <v>1.906715932</v>
      </c>
      <c r="L40">
        <v>2.591743315</v>
      </c>
      <c r="M40">
        <v>3.511893621</v>
      </c>
      <c r="N40">
        <v>4.6318021759999999</v>
      </c>
      <c r="O40">
        <v>6.1861821900000002</v>
      </c>
      <c r="P40">
        <v>8.2078673769999995</v>
      </c>
      <c r="Q40">
        <v>10.904780949999999</v>
      </c>
      <c r="R40">
        <v>14.41956336</v>
      </c>
      <c r="S40">
        <v>18.164213700000001</v>
      </c>
      <c r="T40">
        <v>22.240024999999999</v>
      </c>
      <c r="U40">
        <v>27.65045215</v>
      </c>
      <c r="V40">
        <v>34.524158440000001</v>
      </c>
      <c r="W40">
        <v>42.646355110000002</v>
      </c>
      <c r="X40">
        <v>51.952188790000001</v>
      </c>
      <c r="Y40">
        <v>64.276789480000005</v>
      </c>
      <c r="Z40">
        <v>78.876790779999894</v>
      </c>
      <c r="AA40">
        <v>95.573076959999995</v>
      </c>
      <c r="AB40">
        <v>114.0956613</v>
      </c>
      <c r="AC40">
        <v>134.1559882</v>
      </c>
      <c r="AD40">
        <v>155.54117690000001</v>
      </c>
      <c r="AE40">
        <v>176.5004606</v>
      </c>
      <c r="AF40">
        <v>197.61537559999999</v>
      </c>
      <c r="AG40">
        <v>219.0048285</v>
      </c>
      <c r="AH40">
        <v>239.02795839999999</v>
      </c>
      <c r="AI40">
        <v>260.17206169999997</v>
      </c>
      <c r="AJ40">
        <v>281.83130990000001</v>
      </c>
      <c r="AK40">
        <v>303.63173039999998</v>
      </c>
      <c r="AL40">
        <v>325.35762260000001</v>
      </c>
      <c r="AM40">
        <v>346.81708090000001</v>
      </c>
      <c r="AN40">
        <v>367.4136479</v>
      </c>
      <c r="AO40">
        <v>387.23697470000002</v>
      </c>
      <c r="AP40">
        <v>406.32249580000001</v>
      </c>
      <c r="AQ40">
        <v>424.61108309999997</v>
      </c>
      <c r="AR40">
        <v>442.03215590000002</v>
      </c>
      <c r="AS40">
        <v>458.29768799999999</v>
      </c>
      <c r="AT40">
        <v>473.46360909999999</v>
      </c>
      <c r="AU40">
        <v>487.50568370000002</v>
      </c>
      <c r="AV40">
        <v>500.38098170000001</v>
      </c>
      <c r="AW40">
        <v>512.06337029999997</v>
      </c>
    </row>
    <row r="41" spans="2:49" x14ac:dyDescent="0.25">
      <c r="B41" t="s">
        <v>370</v>
      </c>
      <c r="C41">
        <v>1.5338215665531501</v>
      </c>
      <c r="D41">
        <v>1.55844756793281</v>
      </c>
      <c r="E41">
        <v>1.5834689479999999</v>
      </c>
      <c r="F41">
        <v>3.8252998640000002</v>
      </c>
      <c r="G41">
        <v>7.3654653440000004</v>
      </c>
      <c r="H41">
        <v>12.962169060000001</v>
      </c>
      <c r="I41">
        <v>20.518676320000001</v>
      </c>
      <c r="J41">
        <v>30.621686619999998</v>
      </c>
      <c r="K41">
        <v>42.330890580000002</v>
      </c>
      <c r="L41">
        <v>57.04185167</v>
      </c>
      <c r="M41">
        <v>76.429920350000003</v>
      </c>
      <c r="N41">
        <v>99.621976880000005</v>
      </c>
      <c r="O41">
        <v>131.4156615</v>
      </c>
      <c r="P41">
        <v>175.42076420000001</v>
      </c>
      <c r="Q41">
        <v>233.15740159999999</v>
      </c>
      <c r="R41">
        <v>307.19166269999999</v>
      </c>
      <c r="S41">
        <v>384.56795090000003</v>
      </c>
      <c r="T41">
        <v>467.5364568</v>
      </c>
      <c r="U41">
        <v>568.57073230000003</v>
      </c>
      <c r="V41">
        <v>692.04511920000004</v>
      </c>
      <c r="W41">
        <v>837.31573409999999</v>
      </c>
      <c r="X41">
        <v>1002.900266</v>
      </c>
      <c r="Y41">
        <v>1221.700478</v>
      </c>
      <c r="Z41">
        <v>1479.743927</v>
      </c>
      <c r="AA41">
        <v>1773.448987</v>
      </c>
      <c r="AB41">
        <v>2097.7448079999999</v>
      </c>
      <c r="AC41">
        <v>2447.3708940000001</v>
      </c>
      <c r="AD41">
        <v>2818.5263920000002</v>
      </c>
      <c r="AE41">
        <v>3180.5533180000002</v>
      </c>
      <c r="AF41">
        <v>3543.9039210000001</v>
      </c>
      <c r="AG41">
        <v>3910.9001360000002</v>
      </c>
      <c r="AH41">
        <v>4253.2707209999999</v>
      </c>
      <c r="AI41">
        <v>4614.6171599999998</v>
      </c>
      <c r="AJ41">
        <v>4984.7323990000004</v>
      </c>
      <c r="AK41">
        <v>5357.5064890000003</v>
      </c>
      <c r="AL41">
        <v>5729.618504</v>
      </c>
      <c r="AM41">
        <v>6098.1876890000003</v>
      </c>
      <c r="AN41">
        <v>6453.7709029999996</v>
      </c>
      <c r="AO41">
        <v>6798.7565450000002</v>
      </c>
      <c r="AP41">
        <v>7134.6331980000004</v>
      </c>
      <c r="AQ41">
        <v>7461.2703590000001</v>
      </c>
      <c r="AR41">
        <v>7778.3596260000004</v>
      </c>
      <c r="AS41">
        <v>8081.6996870000003</v>
      </c>
      <c r="AT41">
        <v>8373.2285040000006</v>
      </c>
      <c r="AU41">
        <v>8653.4800209999994</v>
      </c>
      <c r="AV41">
        <v>8922.6669629999997</v>
      </c>
      <c r="AW41">
        <v>9181.3501080000005</v>
      </c>
    </row>
    <row r="42" spans="2:49" x14ac:dyDescent="0.25">
      <c r="B42" t="s">
        <v>371</v>
      </c>
      <c r="C42">
        <v>0.60453762790594801</v>
      </c>
      <c r="D42">
        <v>0.61424367506521405</v>
      </c>
      <c r="E42">
        <v>0.62410555599999995</v>
      </c>
      <c r="F42">
        <v>1.5050766449999999</v>
      </c>
      <c r="G42">
        <v>2.890846587</v>
      </c>
      <c r="H42">
        <v>5.0723423070000004</v>
      </c>
      <c r="I42">
        <v>8.0155508320000006</v>
      </c>
      <c r="J42">
        <v>11.942271590000001</v>
      </c>
      <c r="K42" s="100">
        <v>16.480737170000001</v>
      </c>
      <c r="L42" s="100">
        <v>22.16181052</v>
      </c>
      <c r="M42" s="100">
        <v>29.61096757</v>
      </c>
      <c r="N42" s="100">
        <v>38.477676299999999</v>
      </c>
      <c r="O42" s="100">
        <v>50.587200000000003</v>
      </c>
      <c r="P42">
        <v>67.640029119999994</v>
      </c>
      <c r="Q42">
        <v>89.918194839999998</v>
      </c>
      <c r="R42">
        <v>118.3589655</v>
      </c>
      <c r="S42">
        <v>147.9195057</v>
      </c>
      <c r="T42">
        <v>179.471496</v>
      </c>
      <c r="U42">
        <v>216.66690819999999</v>
      </c>
      <c r="V42">
        <v>261.19763990000001</v>
      </c>
      <c r="W42">
        <v>313.4033819</v>
      </c>
      <c r="X42">
        <v>372.65964810000003</v>
      </c>
      <c r="Y42">
        <v>450.72424269999999</v>
      </c>
      <c r="Z42">
        <v>542.39026520000004</v>
      </c>
      <c r="AA42">
        <v>646.22327729999995</v>
      </c>
      <c r="AB42">
        <v>760.27625780000005</v>
      </c>
      <c r="AC42">
        <v>882.5590019</v>
      </c>
      <c r="AD42">
        <v>1011.618526</v>
      </c>
      <c r="AE42">
        <v>1136.6309900000001</v>
      </c>
      <c r="AF42">
        <v>1261.2341939999999</v>
      </c>
      <c r="AG42">
        <v>1386.1976259999999</v>
      </c>
      <c r="AH42">
        <v>1501.745864</v>
      </c>
      <c r="AI42">
        <v>1622.877129</v>
      </c>
      <c r="AJ42">
        <v>1746.021393</v>
      </c>
      <c r="AK42">
        <v>1869.0534459999999</v>
      </c>
      <c r="AL42">
        <v>1990.8233520000001</v>
      </c>
      <c r="AM42">
        <v>2110.3487719999998</v>
      </c>
      <c r="AN42">
        <v>2224.0633750000002</v>
      </c>
      <c r="AO42">
        <v>2332.799184</v>
      </c>
      <c r="AP42">
        <v>2437.080868</v>
      </c>
      <c r="AQ42">
        <v>2536.8989459999998</v>
      </c>
      <c r="AR42">
        <v>2632.1914139999999</v>
      </c>
      <c r="AS42">
        <v>2721.6509719999999</v>
      </c>
      <c r="AT42">
        <v>2805.9632849999998</v>
      </c>
      <c r="AU42">
        <v>2885.3602139999998</v>
      </c>
      <c r="AV42">
        <v>2959.9731280000001</v>
      </c>
      <c r="AW42">
        <v>3030.0430160000001</v>
      </c>
    </row>
    <row r="43" spans="2:49" x14ac:dyDescent="0.25">
      <c r="B43" t="s">
        <v>372</v>
      </c>
      <c r="C43">
        <v>8.2417488223721705E-3</v>
      </c>
      <c r="D43">
        <v>8.3740727655845504E-3</v>
      </c>
      <c r="E43">
        <v>8.5085212099999998E-3</v>
      </c>
      <c r="F43">
        <v>1.6866538100000002E-2</v>
      </c>
      <c r="G43">
        <v>2.2542245999999998E-2</v>
      </c>
      <c r="H43">
        <v>3.0443993400000001E-2</v>
      </c>
      <c r="I43">
        <v>4.1365287899999999E-2</v>
      </c>
      <c r="J43">
        <v>5.6198382700000001E-2</v>
      </c>
      <c r="K43">
        <v>7.3509866899999998E-2</v>
      </c>
      <c r="L43">
        <v>9.5425353800000001E-2</v>
      </c>
      <c r="M43">
        <v>0.1244991872</v>
      </c>
      <c r="N43">
        <v>0.15940294250000001</v>
      </c>
      <c r="O43">
        <v>0.2074504512</v>
      </c>
      <c r="P43">
        <v>0.27412495949999999</v>
      </c>
      <c r="Q43">
        <v>0.36174755590000002</v>
      </c>
      <c r="R43">
        <v>0.47423667780000001</v>
      </c>
      <c r="S43">
        <v>0.59186408940000002</v>
      </c>
      <c r="T43">
        <v>0.71806079150000002</v>
      </c>
      <c r="U43">
        <v>0.87215718129999997</v>
      </c>
      <c r="V43">
        <v>1.0609702270000001</v>
      </c>
      <c r="W43">
        <v>1.2833035269999999</v>
      </c>
      <c r="X43">
        <v>1.536941393</v>
      </c>
      <c r="Y43">
        <v>1.8723780249999999</v>
      </c>
      <c r="Z43">
        <v>2.2683129489999998</v>
      </c>
      <c r="AA43">
        <v>2.719363269</v>
      </c>
      <c r="AB43">
        <v>3.2178562089999998</v>
      </c>
      <c r="AC43">
        <v>3.7558190140000001</v>
      </c>
      <c r="AD43">
        <v>4.3275148300000001</v>
      </c>
      <c r="AE43">
        <v>4.8858385540000002</v>
      </c>
      <c r="AF43">
        <v>5.4469322670000002</v>
      </c>
      <c r="AG43">
        <v>6.0144410309999996</v>
      </c>
      <c r="AH43">
        <v>6.5447720389999997</v>
      </c>
      <c r="AI43">
        <v>7.1053210059999996</v>
      </c>
      <c r="AJ43">
        <v>7.6804172489999996</v>
      </c>
      <c r="AK43">
        <v>8.2606911689999905</v>
      </c>
      <c r="AL43">
        <v>8.8410700290000008</v>
      </c>
      <c r="AM43">
        <v>9.4171479250000001</v>
      </c>
      <c r="AN43">
        <v>9.9747669160000001</v>
      </c>
      <c r="AO43">
        <v>10.51770329</v>
      </c>
      <c r="AP43">
        <v>11.04834632</v>
      </c>
      <c r="AQ43">
        <v>11.566564189999999</v>
      </c>
      <c r="AR43">
        <v>12.071944009999999</v>
      </c>
      <c r="AS43">
        <v>12.55795105</v>
      </c>
      <c r="AT43">
        <v>13.027673289999999</v>
      </c>
      <c r="AU43">
        <v>13.481998920000001</v>
      </c>
      <c r="AV43">
        <v>13.92130983</v>
      </c>
      <c r="AW43">
        <v>14.34654192</v>
      </c>
    </row>
    <row r="44" spans="2:49" x14ac:dyDescent="0.25">
      <c r="B44" t="s">
        <v>373</v>
      </c>
      <c r="C44">
        <v>0.101255771246286</v>
      </c>
      <c r="D44">
        <v>0.10288146540575301</v>
      </c>
      <c r="E44">
        <v>0.1045332606</v>
      </c>
      <c r="F44">
        <v>0.2492516793</v>
      </c>
      <c r="G44">
        <v>0.47119706839999997</v>
      </c>
      <c r="H44">
        <v>0.81111241580000004</v>
      </c>
      <c r="I44">
        <v>1.2675425389999999</v>
      </c>
      <c r="J44">
        <v>1.868260569</v>
      </c>
      <c r="K44">
        <v>2.550396782</v>
      </c>
      <c r="L44">
        <v>3.3845051929999999</v>
      </c>
      <c r="M44">
        <v>4.443309706</v>
      </c>
      <c r="N44">
        <v>5.6648037960000002</v>
      </c>
      <c r="O44">
        <v>7.2943535050000001</v>
      </c>
      <c r="P44">
        <v>9.8535098540000003</v>
      </c>
      <c r="Q44">
        <v>13.10764517</v>
      </c>
      <c r="R44">
        <v>17.14797935</v>
      </c>
      <c r="S44">
        <v>21.203699480000001</v>
      </c>
      <c r="T44">
        <v>25.41002349</v>
      </c>
      <c r="U44">
        <v>29.45516099</v>
      </c>
      <c r="V44">
        <v>33.723523759999999</v>
      </c>
      <c r="W44">
        <v>38.639525300000003</v>
      </c>
      <c r="X44">
        <v>44.09823944</v>
      </c>
      <c r="Y44">
        <v>51.20250927</v>
      </c>
      <c r="Z44">
        <v>59.364808879999998</v>
      </c>
      <c r="AA44">
        <v>68.386010330000005</v>
      </c>
      <c r="AB44">
        <v>78.033698759999893</v>
      </c>
      <c r="AC44">
        <v>88.087351190000007</v>
      </c>
      <c r="AD44">
        <v>98.387322510000004</v>
      </c>
      <c r="AE44">
        <v>108.0029646</v>
      </c>
      <c r="AF44">
        <v>117.2499425</v>
      </c>
      <c r="AG44">
        <v>126.1949243</v>
      </c>
      <c r="AH44">
        <v>134.0822895</v>
      </c>
      <c r="AI44">
        <v>142.0916014</v>
      </c>
      <c r="AJ44">
        <v>149.94635170000001</v>
      </c>
      <c r="AK44">
        <v>157.49488339999999</v>
      </c>
      <c r="AL44">
        <v>164.6664782</v>
      </c>
      <c r="AM44">
        <v>171.4083353</v>
      </c>
      <c r="AN44">
        <v>177.38777759999999</v>
      </c>
      <c r="AO44">
        <v>182.70478919999999</v>
      </c>
      <c r="AP44">
        <v>187.43500520000001</v>
      </c>
      <c r="AQ44">
        <v>191.61748470000001</v>
      </c>
      <c r="AR44">
        <v>195.2873548</v>
      </c>
      <c r="AS44">
        <v>198.4041153</v>
      </c>
      <c r="AT44">
        <v>201.04820699999999</v>
      </c>
      <c r="AU44">
        <v>203.26989119999999</v>
      </c>
      <c r="AV44">
        <v>205.11131940000001</v>
      </c>
      <c r="AW44">
        <v>206.61844619999999</v>
      </c>
    </row>
    <row r="45" spans="2:49" x14ac:dyDescent="0.25">
      <c r="B45" t="s">
        <v>374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375</v>
      </c>
      <c r="C46">
        <v>30996.0941631817</v>
      </c>
      <c r="D46">
        <v>31493.7464809423</v>
      </c>
      <c r="E46">
        <v>31999.388770000001</v>
      </c>
      <c r="F46">
        <v>32682.552960000001</v>
      </c>
      <c r="G46">
        <v>33303.576760000004</v>
      </c>
      <c r="H46">
        <v>34123.090689999997</v>
      </c>
      <c r="I46">
        <v>34832.554329999999</v>
      </c>
      <c r="J46">
        <v>35442.4395</v>
      </c>
      <c r="K46">
        <v>35666.707399999999</v>
      </c>
      <c r="L46">
        <v>35752.794990000002</v>
      </c>
      <c r="M46">
        <v>35831.213589999999</v>
      </c>
      <c r="N46">
        <v>35758.830560000002</v>
      </c>
      <c r="O46">
        <v>35777.116990000002</v>
      </c>
      <c r="P46">
        <v>36052.554349999999</v>
      </c>
      <c r="Q46">
        <v>36351.841619999999</v>
      </c>
      <c r="R46">
        <v>36643.169540000003</v>
      </c>
      <c r="S46">
        <v>36600.346449999997</v>
      </c>
      <c r="T46">
        <v>36327.655959999996</v>
      </c>
      <c r="U46">
        <v>35862.881939999999</v>
      </c>
      <c r="V46">
        <v>35303.045700000002</v>
      </c>
      <c r="W46">
        <v>34717.539510000002</v>
      </c>
      <c r="X46">
        <v>34089.41401</v>
      </c>
      <c r="Y46">
        <v>33603.335899999998</v>
      </c>
      <c r="Z46">
        <v>33144.549729999999</v>
      </c>
      <c r="AA46">
        <v>32687.478169999998</v>
      </c>
      <c r="AB46">
        <v>32214.345300000001</v>
      </c>
      <c r="AC46">
        <v>31716.375349999998</v>
      </c>
      <c r="AD46">
        <v>31194.268540000001</v>
      </c>
      <c r="AE46">
        <v>30588.00376</v>
      </c>
      <c r="AF46">
        <v>29943.350559999999</v>
      </c>
      <c r="AG46">
        <v>29279.24684</v>
      </c>
      <c r="AH46">
        <v>28556.895970000001</v>
      </c>
      <c r="AI46">
        <v>27862.687689999999</v>
      </c>
      <c r="AJ46">
        <v>27183.688099999999</v>
      </c>
      <c r="AK46" s="100">
        <v>26515.0573</v>
      </c>
      <c r="AL46" s="100">
        <v>25856.26612</v>
      </c>
      <c r="AM46" s="100">
        <v>25207.155170000002</v>
      </c>
      <c r="AN46" s="100">
        <v>24553.907889999999</v>
      </c>
      <c r="AO46" s="100">
        <v>23903.284309999999</v>
      </c>
      <c r="AP46" s="100">
        <v>23259.93087</v>
      </c>
      <c r="AQ46" s="100">
        <v>22626.03355</v>
      </c>
      <c r="AR46" s="100">
        <v>22003.139019999999</v>
      </c>
      <c r="AS46" s="100">
        <v>21388.787179999999</v>
      </c>
      <c r="AT46" s="100">
        <v>20786.154070000001</v>
      </c>
      <c r="AU46" s="100">
        <v>20196.698929999999</v>
      </c>
      <c r="AV46" s="100">
        <v>19621.316790000001</v>
      </c>
      <c r="AW46">
        <v>19060.967659999998</v>
      </c>
    </row>
    <row r="47" spans="2:49" x14ac:dyDescent="0.25">
      <c r="B47" t="s">
        <v>376</v>
      </c>
      <c r="C47">
        <v>2.3360541304970401</v>
      </c>
      <c r="D47" s="100">
        <v>2.3735602351802898</v>
      </c>
      <c r="E47" s="100">
        <v>2.411668513</v>
      </c>
      <c r="F47">
        <v>5.8260427049999999</v>
      </c>
      <c r="G47">
        <v>11.21794884</v>
      </c>
      <c r="H47">
        <v>19.754257320000001</v>
      </c>
      <c r="I47">
        <v>31.283111170000002</v>
      </c>
      <c r="J47">
        <v>46.709300140000003</v>
      </c>
      <c r="K47">
        <v>64.606107719999997</v>
      </c>
      <c r="L47">
        <v>87.121228299999999</v>
      </c>
      <c r="M47">
        <v>116.8502742</v>
      </c>
      <c r="N47" s="100">
        <v>152.47679600000001</v>
      </c>
      <c r="O47" s="100">
        <v>201.384456</v>
      </c>
      <c r="P47" s="100">
        <v>268.6500259</v>
      </c>
      <c r="Q47" s="100">
        <v>357.04453330000001</v>
      </c>
      <c r="R47" s="100">
        <v>470.57431430000003</v>
      </c>
      <c r="S47" s="100">
        <v>589.46975020000002</v>
      </c>
      <c r="T47" s="100">
        <v>717.17235240000002</v>
      </c>
      <c r="U47" s="100">
        <v>874.53932980000002</v>
      </c>
      <c r="V47" s="100">
        <v>1068.320166</v>
      </c>
      <c r="W47" s="100">
        <v>1296.6160299999999</v>
      </c>
      <c r="X47" s="100">
        <v>1557.2497579999999</v>
      </c>
      <c r="Y47" s="100">
        <v>1902.052044</v>
      </c>
      <c r="Z47" s="100">
        <v>2309.3726510000001</v>
      </c>
      <c r="AA47" s="100">
        <v>2773.8359099999998</v>
      </c>
      <c r="AB47" s="100">
        <v>3287.6920140000002</v>
      </c>
      <c r="AC47" s="100">
        <v>3842.855348</v>
      </c>
      <c r="AD47" s="100">
        <v>4433.5172130000001</v>
      </c>
      <c r="AE47" s="100">
        <v>5011.1790709999996</v>
      </c>
      <c r="AF47" s="100">
        <v>5592.4925039999998</v>
      </c>
      <c r="AG47">
        <v>6181.2423410000001</v>
      </c>
      <c r="AH47">
        <v>6732.3504050000001</v>
      </c>
      <c r="AI47">
        <v>7315.5415139999996</v>
      </c>
      <c r="AJ47">
        <v>7914.636039</v>
      </c>
      <c r="AK47">
        <v>8519.9422240000004</v>
      </c>
      <c r="AL47">
        <v>9126.2002269999903</v>
      </c>
      <c r="AM47">
        <v>9728.8261170000005</v>
      </c>
      <c r="AN47">
        <v>10313.40561</v>
      </c>
      <c r="AO47">
        <v>10883.808360000001</v>
      </c>
      <c r="AP47">
        <v>11442.46737</v>
      </c>
      <c r="AQ47">
        <v>11989.188749999999</v>
      </c>
      <c r="AR47">
        <v>12523.482110000001</v>
      </c>
      <c r="AS47">
        <v>13038.44903</v>
      </c>
      <c r="AT47">
        <v>13537.24661</v>
      </c>
      <c r="AU47">
        <v>14020.73403</v>
      </c>
      <c r="AV47">
        <v>14489.241</v>
      </c>
      <c r="AW47">
        <v>14943.680420000001</v>
      </c>
    </row>
    <row r="48" spans="2:49" x14ac:dyDescent="0.25">
      <c r="B48" t="s">
        <v>377</v>
      </c>
      <c r="C48">
        <v>2.1906436884240502E-2</v>
      </c>
      <c r="D48" s="100">
        <v>2.2258151814254699E-2</v>
      </c>
      <c r="E48" s="100">
        <v>2.2615513600000001E-2</v>
      </c>
      <c r="F48">
        <v>2.18109051E-2</v>
      </c>
      <c r="G48">
        <v>5.7522588200000002E-2</v>
      </c>
      <c r="H48">
        <v>9.3108424699999998E-2</v>
      </c>
      <c r="I48" s="100">
        <v>0.1275223647</v>
      </c>
      <c r="J48" s="100">
        <v>0.17500935340000001</v>
      </c>
      <c r="K48" s="100">
        <v>0.22214740020000001</v>
      </c>
      <c r="L48" s="100">
        <v>0.26573093450000002</v>
      </c>
      <c r="M48" s="100">
        <v>0.30818763980000002</v>
      </c>
      <c r="N48" s="100">
        <v>0.33589136060000002</v>
      </c>
      <c r="O48" s="100">
        <v>0.36114710880000001</v>
      </c>
      <c r="P48" s="100">
        <v>0.38130347990000002</v>
      </c>
      <c r="Q48" s="100">
        <v>0.423823854</v>
      </c>
      <c r="R48" s="100">
        <v>0.46941659699999999</v>
      </c>
      <c r="S48" s="100">
        <v>0.52831481440000005</v>
      </c>
      <c r="T48" s="100">
        <v>0.57005531730000003</v>
      </c>
      <c r="U48" s="100">
        <v>0.6354067779</v>
      </c>
      <c r="V48" s="100">
        <v>0.71082413899999997</v>
      </c>
      <c r="W48" s="100">
        <v>0.78358798659999995</v>
      </c>
      <c r="X48" s="100">
        <v>0.85218219449999999</v>
      </c>
      <c r="Y48" s="100">
        <v>0.9297608061</v>
      </c>
      <c r="Z48" s="100">
        <v>1.007005712</v>
      </c>
      <c r="AA48" s="100">
        <v>1.081872385</v>
      </c>
      <c r="AB48" s="100">
        <v>1.15277626</v>
      </c>
      <c r="AC48" s="100">
        <v>1.218784715</v>
      </c>
      <c r="AD48" s="100">
        <v>1.2798135770000001</v>
      </c>
      <c r="AE48" s="100">
        <v>1.329634454</v>
      </c>
      <c r="AF48" s="100">
        <v>1.37244864</v>
      </c>
      <c r="AG48" s="100">
        <v>1.410167516</v>
      </c>
      <c r="AH48" s="100">
        <v>1.438297519</v>
      </c>
      <c r="AI48" s="100">
        <v>1.4662325620000001</v>
      </c>
      <c r="AJ48" s="100">
        <v>1.4927234089999999</v>
      </c>
      <c r="AK48" s="100">
        <v>1.5171145749999999</v>
      </c>
      <c r="AL48">
        <v>1.539364347</v>
      </c>
      <c r="AM48">
        <v>1.5594572090000001</v>
      </c>
      <c r="AN48">
        <v>1.577372649</v>
      </c>
      <c r="AO48">
        <v>1.593828547</v>
      </c>
      <c r="AP48">
        <v>1.609313311</v>
      </c>
      <c r="AQ48">
        <v>1.6240479880000001</v>
      </c>
      <c r="AR48">
        <v>1.6382003590000001</v>
      </c>
      <c r="AS48">
        <v>1.6514412979999999</v>
      </c>
      <c r="AT48">
        <v>1.664207107</v>
      </c>
      <c r="AU48">
        <v>1.676701564</v>
      </c>
      <c r="AV48">
        <v>1.6890547520000001</v>
      </c>
      <c r="AW48">
        <v>1.7014438089999999</v>
      </c>
    </row>
    <row r="49" spans="2:49" x14ac:dyDescent="0.25">
      <c r="B49" t="s">
        <v>378</v>
      </c>
      <c r="C49">
        <v>2298.5980133353301</v>
      </c>
      <c r="D49">
        <v>2335.5027479420201</v>
      </c>
      <c r="E49">
        <v>2373</v>
      </c>
      <c r="F49">
        <v>2446.6775899999998</v>
      </c>
      <c r="G49">
        <v>2424.2765530000001</v>
      </c>
      <c r="H49">
        <v>2660.3639440000002</v>
      </c>
      <c r="I49">
        <v>2598.8489709999999</v>
      </c>
      <c r="J49">
        <v>2542.822412</v>
      </c>
      <c r="K49">
        <v>2194.0678939999998</v>
      </c>
      <c r="L49">
        <v>2073.8249529999998</v>
      </c>
      <c r="M49">
        <v>2079.3430400000002</v>
      </c>
      <c r="N49">
        <v>1940.3869999999999</v>
      </c>
      <c r="O49">
        <v>2042.316</v>
      </c>
      <c r="P49">
        <v>2141.6280000000002</v>
      </c>
      <c r="Q49">
        <v>2203.7420000000002</v>
      </c>
      <c r="R49">
        <v>2240.3020000000001</v>
      </c>
      <c r="S49">
        <v>1931.759538</v>
      </c>
      <c r="T49">
        <v>1714.5029239999999</v>
      </c>
      <c r="U49">
        <v>1750.63897</v>
      </c>
      <c r="V49">
        <v>1794.9693749999999</v>
      </c>
      <c r="W49">
        <v>1782.2817869999999</v>
      </c>
      <c r="X49">
        <v>1750.987963</v>
      </c>
      <c r="Y49">
        <v>1955.5867559999999</v>
      </c>
      <c r="Z49">
        <v>2037.086667</v>
      </c>
      <c r="AA49">
        <v>2092.9165400000002</v>
      </c>
      <c r="AB49">
        <v>2126.6828890000002</v>
      </c>
      <c r="AC49">
        <v>2145.548522</v>
      </c>
      <c r="AD49">
        <v>2160.2745100000002</v>
      </c>
      <c r="AE49">
        <v>2067.1491810000002</v>
      </c>
      <c r="AF49">
        <v>2030.7298029999999</v>
      </c>
      <c r="AG49">
        <v>2014.989836</v>
      </c>
      <c r="AH49">
        <v>1914.66832</v>
      </c>
      <c r="AI49">
        <v>1964.8208440000001</v>
      </c>
      <c r="AJ49">
        <v>1989.4025429999999</v>
      </c>
      <c r="AK49">
        <v>2001.282684</v>
      </c>
      <c r="AL49">
        <v>2008.3491469999999</v>
      </c>
      <c r="AM49">
        <v>2011.307078</v>
      </c>
      <c r="AN49">
        <v>1998.550041</v>
      </c>
      <c r="AO49">
        <v>1995.2144949999999</v>
      </c>
      <c r="AP49">
        <v>1998.365008</v>
      </c>
      <c r="AQ49">
        <v>2003.3299850000001</v>
      </c>
      <c r="AR49">
        <v>2009.2910850000001</v>
      </c>
      <c r="AS49">
        <v>2005.8968629999999</v>
      </c>
      <c r="AT49">
        <v>2008.264846</v>
      </c>
      <c r="AU49">
        <v>2012.760716</v>
      </c>
      <c r="AV49">
        <v>2018.4312279999999</v>
      </c>
      <c r="AW49">
        <v>2026.0001480000001</v>
      </c>
    </row>
    <row r="50" spans="2:49" x14ac:dyDescent="0.25">
      <c r="B50" t="s">
        <v>379</v>
      </c>
      <c r="C50">
        <v>2297.4487143286601</v>
      </c>
      <c r="D50">
        <v>2334.33499656805</v>
      </c>
      <c r="E50">
        <v>2370.8204719999999</v>
      </c>
      <c r="F50">
        <v>2443.1305739999998</v>
      </c>
      <c r="G50">
        <v>2418.5642149999999</v>
      </c>
      <c r="H50">
        <v>2651.2106480000002</v>
      </c>
      <c r="I50">
        <v>2586.2336329999998</v>
      </c>
      <c r="J50">
        <v>2525.675651</v>
      </c>
      <c r="K50">
        <v>2173.6020749999998</v>
      </c>
      <c r="L50">
        <v>2047.7564970000001</v>
      </c>
      <c r="M50">
        <v>2044.8223270000001</v>
      </c>
      <c r="N50">
        <v>1898.333713</v>
      </c>
      <c r="O50">
        <v>1985.0221160000001</v>
      </c>
      <c r="P50">
        <v>2064.2932070000002</v>
      </c>
      <c r="Q50">
        <v>2101.9149910000001</v>
      </c>
      <c r="R50">
        <v>2108.9199920000001</v>
      </c>
      <c r="S50">
        <v>1789.335386</v>
      </c>
      <c r="T50">
        <v>1557.326834</v>
      </c>
      <c r="U50">
        <v>1553.4290840000001</v>
      </c>
      <c r="V50">
        <v>1549.74505</v>
      </c>
      <c r="W50">
        <v>1491.14356</v>
      </c>
      <c r="X50">
        <v>1414.0827039999999</v>
      </c>
      <c r="Y50">
        <v>1519.1815429999999</v>
      </c>
      <c r="Z50">
        <v>1517.880645</v>
      </c>
      <c r="AA50">
        <v>1492.607831</v>
      </c>
      <c r="AB50">
        <v>1449.6599659999999</v>
      </c>
      <c r="AC50">
        <v>1396.99154</v>
      </c>
      <c r="AD50">
        <v>1343.5623310000001</v>
      </c>
      <c r="AE50">
        <v>1228.692192</v>
      </c>
      <c r="AF50">
        <v>1154.6411310000001</v>
      </c>
      <c r="AG50">
        <v>1097.269851</v>
      </c>
      <c r="AH50">
        <v>999.95776579999995</v>
      </c>
      <c r="AI50">
        <v>985.6091232</v>
      </c>
      <c r="AJ50">
        <v>959.9820469</v>
      </c>
      <c r="AK50">
        <v>930.40967369999998</v>
      </c>
      <c r="AL50">
        <v>900.9180715</v>
      </c>
      <c r="AM50">
        <v>871.84588120000001</v>
      </c>
      <c r="AN50">
        <v>838.30036399999995</v>
      </c>
      <c r="AO50">
        <v>810.91855369999996</v>
      </c>
      <c r="AP50" s="100">
        <v>787.98094830000002</v>
      </c>
      <c r="AQ50" s="100">
        <v>767.30334029999995</v>
      </c>
      <c r="AR50" s="100">
        <v>748.38022809999995</v>
      </c>
      <c r="AS50" s="100">
        <v>727.30298059999996</v>
      </c>
      <c r="AT50" s="100">
        <v>709.56242020000002</v>
      </c>
      <c r="AU50">
        <v>693.64078710000001</v>
      </c>
      <c r="AV50">
        <v>679.07121219999999</v>
      </c>
      <c r="AW50">
        <v>665.98317150000003</v>
      </c>
    </row>
    <row r="51" spans="2:49" x14ac:dyDescent="0.25">
      <c r="B51" t="s">
        <v>380</v>
      </c>
      <c r="C51" s="100">
        <v>1.1492990066676601</v>
      </c>
      <c r="D51" s="100">
        <v>1.1677513739710099</v>
      </c>
      <c r="E51" s="100">
        <v>1.186003237</v>
      </c>
      <c r="F51" s="100">
        <v>-9.8849308499999995E-7</v>
      </c>
      <c r="G51" s="100">
        <v>32.27490186</v>
      </c>
      <c r="H51" s="100">
        <v>33.859183620000003</v>
      </c>
      <c r="I51" s="100">
        <v>34.56696032</v>
      </c>
      <c r="J51" s="100">
        <v>47.8205594</v>
      </c>
      <c r="K51" s="100">
        <v>49.880478070000002</v>
      </c>
      <c r="L51" s="100">
        <v>49.048503660000002</v>
      </c>
      <c r="M51">
        <v>50.171385649999998</v>
      </c>
      <c r="N51">
        <v>39.200566250000001</v>
      </c>
      <c r="O51">
        <v>38.366411849999999</v>
      </c>
      <c r="P51">
        <v>33.47466893</v>
      </c>
      <c r="Q51">
        <v>54.148586360000003</v>
      </c>
      <c r="R51">
        <v>58.746295449999998</v>
      </c>
      <c r="S51">
        <v>72.584278269999999</v>
      </c>
      <c r="T51">
        <v>60.050966119999998</v>
      </c>
      <c r="U51">
        <v>85.588767500000003</v>
      </c>
      <c r="V51">
        <v>99.546053369999996</v>
      </c>
      <c r="W51">
        <v>101.13416410000001</v>
      </c>
      <c r="X51">
        <v>101.2457797</v>
      </c>
      <c r="Y51">
        <v>112.7486516</v>
      </c>
      <c r="Z51">
        <v>116.4917892</v>
      </c>
      <c r="AA51">
        <v>118.4124534</v>
      </c>
      <c r="AB51">
        <v>118.8101672</v>
      </c>
      <c r="AC51">
        <v>118.1780002</v>
      </c>
      <c r="AD51">
        <v>117.2166606</v>
      </c>
      <c r="AE51">
        <v>110.4950958</v>
      </c>
      <c r="AF51">
        <v>106.9008954</v>
      </c>
      <c r="AG51">
        <v>104.6305109</v>
      </c>
      <c r="AH51">
        <v>98.12535158</v>
      </c>
      <c r="AI51">
        <v>99.419614519999996</v>
      </c>
      <c r="AJ51">
        <v>99.600198349999999</v>
      </c>
      <c r="AK51">
        <v>99.126243680000002</v>
      </c>
      <c r="AL51">
        <v>98.506067340000001</v>
      </c>
      <c r="AM51">
        <v>97.760617719999999</v>
      </c>
      <c r="AN51" s="100">
        <v>97.365996280000005</v>
      </c>
      <c r="AO51" s="100">
        <v>97.509073580000006</v>
      </c>
      <c r="AP51" s="100">
        <v>98.023390629999994</v>
      </c>
      <c r="AQ51" s="100">
        <v>98.697679800000003</v>
      </c>
      <c r="AR51" s="100">
        <v>99.496109950000005</v>
      </c>
      <c r="AS51" s="100">
        <v>99.988277120000006</v>
      </c>
      <c r="AT51">
        <v>100.8323944</v>
      </c>
      <c r="AU51">
        <v>101.8461673</v>
      </c>
      <c r="AV51">
        <v>102.9754681</v>
      </c>
      <c r="AW51">
        <v>104.26912799999999</v>
      </c>
    </row>
    <row r="52" spans="2:49" x14ac:dyDescent="0.25">
      <c r="B52" t="s">
        <v>381</v>
      </c>
      <c r="C52">
        <v>413.74764240035898</v>
      </c>
      <c r="D52">
        <v>420.39049462956399</v>
      </c>
      <c r="E52">
        <v>426.96116549999999</v>
      </c>
      <c r="F52">
        <v>439.24586829999998</v>
      </c>
      <c r="G52">
        <v>447.36734139999999</v>
      </c>
      <c r="H52">
        <v>495.75510270000001</v>
      </c>
      <c r="I52">
        <v>481.43929029999998</v>
      </c>
      <c r="J52">
        <v>473.44886869999999</v>
      </c>
      <c r="K52">
        <v>409.01232700000003</v>
      </c>
      <c r="L52">
        <v>387.0501931</v>
      </c>
      <c r="M52">
        <v>388.69284820000001</v>
      </c>
      <c r="N52">
        <v>365.56756289999998</v>
      </c>
      <c r="O52">
        <v>383.72028280000001</v>
      </c>
      <c r="P52">
        <v>394.32418369999999</v>
      </c>
      <c r="Q52">
        <v>408.92597760000001</v>
      </c>
      <c r="R52">
        <v>412.8601405</v>
      </c>
      <c r="S52">
        <v>363.93392089999998</v>
      </c>
      <c r="T52">
        <v>311.16198279999998</v>
      </c>
      <c r="U52">
        <v>323.72339690000001</v>
      </c>
      <c r="V52">
        <v>327.92795760000001</v>
      </c>
      <c r="W52">
        <v>316.4954199</v>
      </c>
      <c r="X52">
        <v>300.9797615</v>
      </c>
      <c r="Y52">
        <v>324.48802010000003</v>
      </c>
      <c r="Z52">
        <v>325.26464609999999</v>
      </c>
      <c r="AA52">
        <v>320.89892129999998</v>
      </c>
      <c r="AB52">
        <v>312.68837530000002</v>
      </c>
      <c r="AC52">
        <v>302.30238309999999</v>
      </c>
      <c r="AD52">
        <v>291.67338469999999</v>
      </c>
      <c r="AE52">
        <v>267.5892273</v>
      </c>
      <c r="AF52">
        <v>252.23570849999999</v>
      </c>
      <c r="AG52">
        <v>240.4688002</v>
      </c>
      <c r="AH52">
        <v>219.8282183</v>
      </c>
      <c r="AI52">
        <v>217.32631140000001</v>
      </c>
      <c r="AJ52">
        <v>212.34655770000001</v>
      </c>
      <c r="AK52">
        <v>206.4202311</v>
      </c>
      <c r="AL52">
        <v>200.47114500000001</v>
      </c>
      <c r="AM52">
        <v>194.57339139999999</v>
      </c>
      <c r="AN52">
        <v>187.72232310000001</v>
      </c>
      <c r="AO52" s="100">
        <v>182.18713009999999</v>
      </c>
      <c r="AP52" s="100">
        <v>177.58871189999999</v>
      </c>
      <c r="AQ52" s="100">
        <v>173.44486090000001</v>
      </c>
      <c r="AR52" s="100">
        <v>169.64537129999999</v>
      </c>
      <c r="AS52" s="100">
        <v>165.28122110000001</v>
      </c>
      <c r="AT52">
        <v>161.62632840000001</v>
      </c>
      <c r="AU52">
        <v>158.33940820000001</v>
      </c>
      <c r="AV52">
        <v>155.31529760000001</v>
      </c>
      <c r="AW52">
        <v>152.5865512</v>
      </c>
    </row>
    <row r="53" spans="2:49" x14ac:dyDescent="0.25">
      <c r="B53" t="s">
        <v>382</v>
      </c>
      <c r="C53">
        <v>652.80183578723302</v>
      </c>
      <c r="D53">
        <v>663.28278041553403</v>
      </c>
      <c r="E53">
        <v>673.64983889999996</v>
      </c>
      <c r="F53">
        <v>693.92982870000003</v>
      </c>
      <c r="G53">
        <v>683.88889070000005</v>
      </c>
      <c r="H53">
        <v>752.11366250000003</v>
      </c>
      <c r="I53">
        <v>732.60054860000002</v>
      </c>
      <c r="J53">
        <v>715.30828599999995</v>
      </c>
      <c r="K53">
        <v>615.2639289</v>
      </c>
      <c r="L53">
        <v>579.96264550000001</v>
      </c>
      <c r="M53">
        <v>579.85837130000004</v>
      </c>
      <c r="N53">
        <v>551.20142480000004</v>
      </c>
      <c r="O53">
        <v>577.51810560000001</v>
      </c>
      <c r="P53">
        <v>600.30825549999997</v>
      </c>
      <c r="Q53">
        <v>612.14611439999999</v>
      </c>
      <c r="R53">
        <v>616.03314069999999</v>
      </c>
      <c r="S53">
        <v>529.03432969999994</v>
      </c>
      <c r="T53">
        <v>458.71762430000001</v>
      </c>
      <c r="U53">
        <v>460.49465930000002</v>
      </c>
      <c r="V53">
        <v>458.3148903</v>
      </c>
      <c r="W53">
        <v>440.20413009999999</v>
      </c>
      <c r="X53">
        <v>416.61388030000001</v>
      </c>
      <c r="Y53">
        <v>447.09206380000001</v>
      </c>
      <c r="Z53">
        <v>446.20748730000003</v>
      </c>
      <c r="AA53">
        <v>438.25141450000001</v>
      </c>
      <c r="AB53">
        <v>425.0991712</v>
      </c>
      <c r="AC53">
        <v>409.1059798</v>
      </c>
      <c r="AD53">
        <v>392.90831589999999</v>
      </c>
      <c r="AE53">
        <v>358.78397269999999</v>
      </c>
      <c r="AF53">
        <v>336.6453818</v>
      </c>
      <c r="AG53">
        <v>319.38970899999998</v>
      </c>
      <c r="AH53">
        <v>290.56337639999998</v>
      </c>
      <c r="AI53">
        <v>285.88720119999999</v>
      </c>
      <c r="AJ53">
        <v>277.9194865</v>
      </c>
      <c r="AK53">
        <v>268.83864419999998</v>
      </c>
      <c r="AL53">
        <v>259.79647210000002</v>
      </c>
      <c r="AM53">
        <v>250.89568209999999</v>
      </c>
      <c r="AN53">
        <v>240.47858719999999</v>
      </c>
      <c r="AO53" s="100">
        <v>231.84059529999999</v>
      </c>
      <c r="AP53" s="100">
        <v>224.48274040000001</v>
      </c>
      <c r="AQ53" s="100">
        <v>217.76994260000001</v>
      </c>
      <c r="AR53" s="100">
        <v>211.55285370000001</v>
      </c>
      <c r="AS53" s="100">
        <v>204.70109840000001</v>
      </c>
      <c r="AT53">
        <v>198.79074349999999</v>
      </c>
      <c r="AU53">
        <v>193.38873039999999</v>
      </c>
      <c r="AV53">
        <v>188.3621488</v>
      </c>
      <c r="AW53">
        <v>183.7395679</v>
      </c>
    </row>
    <row r="54" spans="2:49" x14ac:dyDescent="0.25">
      <c r="B54" t="s">
        <v>383</v>
      </c>
      <c r="C54">
        <v>643.60744373389196</v>
      </c>
      <c r="D54">
        <v>653.94076942376603</v>
      </c>
      <c r="E54">
        <v>664.16181300000005</v>
      </c>
      <c r="F54">
        <v>684.49234950000005</v>
      </c>
      <c r="G54">
        <v>672.37345070000003</v>
      </c>
      <c r="H54">
        <v>738.25399579999998</v>
      </c>
      <c r="I54">
        <v>719.48916729999996</v>
      </c>
      <c r="J54">
        <v>700.23527090000005</v>
      </c>
      <c r="K54">
        <v>601.00486450000005</v>
      </c>
      <c r="L54">
        <v>565.79906010000002</v>
      </c>
      <c r="M54">
        <v>565.00183089999996</v>
      </c>
      <c r="N54">
        <v>527.53196809999997</v>
      </c>
      <c r="O54">
        <v>552.94475469999998</v>
      </c>
      <c r="P54">
        <v>577.1233062</v>
      </c>
      <c r="Q54">
        <v>580.90348019999999</v>
      </c>
      <c r="R54">
        <v>586.31004849999999</v>
      </c>
      <c r="S54">
        <v>492.05490229999998</v>
      </c>
      <c r="T54">
        <v>438.68464569999998</v>
      </c>
      <c r="U54">
        <v>432.17597749999999</v>
      </c>
      <c r="V54">
        <v>426.15833370000001</v>
      </c>
      <c r="W54">
        <v>408.15509179999998</v>
      </c>
      <c r="X54">
        <v>385.16614779999998</v>
      </c>
      <c r="Y54">
        <v>412.30106210000002</v>
      </c>
      <c r="Z54">
        <v>410.49154270000002</v>
      </c>
      <c r="AA54">
        <v>402.17227209999999</v>
      </c>
      <c r="AB54">
        <v>389.11706909999998</v>
      </c>
      <c r="AC54">
        <v>373.52503960000001</v>
      </c>
      <c r="AD54">
        <v>357.81520519999998</v>
      </c>
      <c r="AE54">
        <v>325.88581420000003</v>
      </c>
      <c r="AF54">
        <v>304.98932359999998</v>
      </c>
      <c r="AG54">
        <v>288.5718784</v>
      </c>
      <c r="AH54">
        <v>261.81414969999997</v>
      </c>
      <c r="AI54">
        <v>256.91009120000001</v>
      </c>
      <c r="AJ54">
        <v>249.03926050000001</v>
      </c>
      <c r="AK54">
        <v>240.2392078</v>
      </c>
      <c r="AL54">
        <v>231.51426000000001</v>
      </c>
      <c r="AM54">
        <v>222.95929269999999</v>
      </c>
      <c r="AN54">
        <v>212.90490019999999</v>
      </c>
      <c r="AO54" s="100">
        <v>204.481697</v>
      </c>
      <c r="AP54" s="100">
        <v>197.24084350000001</v>
      </c>
      <c r="AQ54" s="100">
        <v>190.61113879999999</v>
      </c>
      <c r="AR54" s="100">
        <v>184.45615530000001</v>
      </c>
      <c r="AS54" s="100">
        <v>177.78708219999999</v>
      </c>
      <c r="AT54">
        <v>171.9772768</v>
      </c>
      <c r="AU54">
        <v>166.645488</v>
      </c>
      <c r="AV54">
        <v>161.67486149999999</v>
      </c>
      <c r="AW54">
        <v>157.08462990000001</v>
      </c>
    </row>
    <row r="55" spans="2:49" x14ac:dyDescent="0.25">
      <c r="B55" t="s">
        <v>384</v>
      </c>
      <c r="C55">
        <v>413.74764240035898</v>
      </c>
      <c r="D55">
        <v>420.39049462956399</v>
      </c>
      <c r="E55">
        <v>426.96116549999999</v>
      </c>
      <c r="F55">
        <v>440.64774569999997</v>
      </c>
      <c r="G55">
        <v>423.10444000000001</v>
      </c>
      <c r="H55">
        <v>461.4109512</v>
      </c>
      <c r="I55">
        <v>450.84360129999999</v>
      </c>
      <c r="J55">
        <v>435.0570917</v>
      </c>
      <c r="K55">
        <v>371.36869359999997</v>
      </c>
      <c r="L55">
        <v>353.48555709999999</v>
      </c>
      <c r="M55">
        <v>351.55534820000003</v>
      </c>
      <c r="N55">
        <v>318.30594630000002</v>
      </c>
      <c r="O55">
        <v>333.71707600000002</v>
      </c>
      <c r="P55">
        <v>345.121984</v>
      </c>
      <c r="Q55">
        <v>340.49686109999999</v>
      </c>
      <c r="R55">
        <v>336.93463129999998</v>
      </c>
      <c r="S55">
        <v>265.79622899999998</v>
      </c>
      <c r="T55">
        <v>249.437748</v>
      </c>
      <c r="U55">
        <v>224.2895618</v>
      </c>
      <c r="V55">
        <v>214.9282872</v>
      </c>
      <c r="W55">
        <v>204.2173094</v>
      </c>
      <c r="X55">
        <v>191.19567939999999</v>
      </c>
      <c r="Y55">
        <v>203.16845369999999</v>
      </c>
      <c r="Z55">
        <v>200.87942409999999</v>
      </c>
      <c r="AA55">
        <v>195.42651599999999</v>
      </c>
      <c r="AB55">
        <v>187.74569339999999</v>
      </c>
      <c r="AC55">
        <v>178.95600830000001</v>
      </c>
      <c r="AD55">
        <v>170.22865959999999</v>
      </c>
      <c r="AE55">
        <v>153.9494947</v>
      </c>
      <c r="AF55">
        <v>143.09454339999999</v>
      </c>
      <c r="AG55">
        <v>134.4335418</v>
      </c>
      <c r="AH55">
        <v>121.118374</v>
      </c>
      <c r="AI55">
        <v>118.0470528</v>
      </c>
      <c r="AJ55">
        <v>113.62402539999999</v>
      </c>
      <c r="AK55">
        <v>108.8775356</v>
      </c>
      <c r="AL55">
        <v>104.2307888</v>
      </c>
      <c r="AM55">
        <v>99.728078190000005</v>
      </c>
      <c r="AN55" s="100">
        <v>94.442462169999999</v>
      </c>
      <c r="AO55" s="100">
        <v>89.972513109999994</v>
      </c>
      <c r="AP55" s="100">
        <v>86.109323290000006</v>
      </c>
      <c r="AQ55" s="100">
        <v>82.588687960000001</v>
      </c>
      <c r="AR55" s="100">
        <v>79.344210309999994</v>
      </c>
      <c r="AS55" s="100">
        <v>75.949653819999995</v>
      </c>
      <c r="AT55">
        <v>72.988332830000004</v>
      </c>
      <c r="AU55">
        <v>70.291327559999999</v>
      </c>
      <c r="AV55">
        <v>67.805499260000005</v>
      </c>
      <c r="AW55">
        <v>65.533478900000006</v>
      </c>
    </row>
    <row r="56" spans="2:49" x14ac:dyDescent="0.25">
      <c r="B56" t="s">
        <v>385</v>
      </c>
      <c r="C56">
        <v>137.915880800119</v>
      </c>
      <c r="D56">
        <v>140.13016487652101</v>
      </c>
      <c r="E56">
        <v>142.32038850000001</v>
      </c>
      <c r="F56">
        <v>147.5213559</v>
      </c>
      <c r="G56">
        <v>131.90181100000001</v>
      </c>
      <c r="H56">
        <v>140.75630000000001</v>
      </c>
      <c r="I56">
        <v>138.6665462</v>
      </c>
      <c r="J56">
        <v>130.1519174</v>
      </c>
      <c r="K56">
        <v>109.1051374</v>
      </c>
      <c r="L56">
        <v>99.831395240000006</v>
      </c>
      <c r="M56">
        <v>97.827782900000003</v>
      </c>
      <c r="N56">
        <v>83.82163147</v>
      </c>
      <c r="O56">
        <v>86.691093559999999</v>
      </c>
      <c r="P56">
        <v>97.068486949999894</v>
      </c>
      <c r="Q56">
        <v>92.265471390000002</v>
      </c>
      <c r="R56">
        <v>88.41037618</v>
      </c>
      <c r="S56">
        <v>61.63044292</v>
      </c>
      <c r="T56">
        <v>39.273874429999999</v>
      </c>
      <c r="U56">
        <v>27.156721659999999</v>
      </c>
      <c r="V56">
        <v>22.86952728</v>
      </c>
      <c r="W56">
        <v>20.937444930000002</v>
      </c>
      <c r="X56">
        <v>18.881455150000001</v>
      </c>
      <c r="Y56">
        <v>19.383292019999999</v>
      </c>
      <c r="Z56">
        <v>18.545755809999999</v>
      </c>
      <c r="AA56">
        <v>17.446253639999998</v>
      </c>
      <c r="AB56">
        <v>16.199489549999999</v>
      </c>
      <c r="AC56">
        <v>14.924128899999999</v>
      </c>
      <c r="AD56">
        <v>13.72010496</v>
      </c>
      <c r="AE56">
        <v>11.988587649999999</v>
      </c>
      <c r="AF56">
        <v>10.77527883</v>
      </c>
      <c r="AG56">
        <v>9.7754105920000001</v>
      </c>
      <c r="AH56">
        <v>8.5082957179999994</v>
      </c>
      <c r="AI56">
        <v>8.0188521179999999</v>
      </c>
      <c r="AJ56">
        <v>7.4525185499999997</v>
      </c>
      <c r="AK56">
        <v>6.9078112589999998</v>
      </c>
      <c r="AL56">
        <v>6.3993382749999999</v>
      </c>
      <c r="AM56" s="100">
        <v>5.9288190570000001</v>
      </c>
      <c r="AN56" s="100">
        <v>5.3860950550000002</v>
      </c>
      <c r="AO56" s="100">
        <v>4.9275446389999997</v>
      </c>
      <c r="AP56" s="100">
        <v>4.5359385540000003</v>
      </c>
      <c r="AQ56" s="100">
        <v>4.1910302570000004</v>
      </c>
      <c r="AR56" s="100">
        <v>3.8855276949999999</v>
      </c>
      <c r="AS56">
        <v>3.5956480229999999</v>
      </c>
      <c r="AT56">
        <v>3.347344316</v>
      </c>
      <c r="AU56">
        <v>3.1296655919999998</v>
      </c>
      <c r="AV56">
        <v>2.9379369309999999</v>
      </c>
      <c r="AW56">
        <v>2.7698156200000001</v>
      </c>
    </row>
    <row r="57" spans="2:49" x14ac:dyDescent="0.25">
      <c r="B57" t="s">
        <v>386</v>
      </c>
      <c r="C57">
        <v>34.478970200029899</v>
      </c>
      <c r="D57">
        <v>35.032541219130302</v>
      </c>
      <c r="E57">
        <v>35.580097119999998</v>
      </c>
      <c r="F57">
        <v>37.293427450000003</v>
      </c>
      <c r="G57">
        <v>27.653379229999999</v>
      </c>
      <c r="H57" s="100">
        <v>29.06145278</v>
      </c>
      <c r="I57">
        <v>28.627518869999999</v>
      </c>
      <c r="J57">
        <v>23.65365735</v>
      </c>
      <c r="K57">
        <v>17.966645199999999</v>
      </c>
      <c r="L57">
        <v>12.57914208</v>
      </c>
      <c r="M57">
        <v>11.71475981</v>
      </c>
      <c r="N57">
        <v>12.70461345</v>
      </c>
      <c r="O57">
        <v>12.064391759999999</v>
      </c>
      <c r="P57">
        <v>16.872322130000001</v>
      </c>
      <c r="Q57">
        <v>13.02850059</v>
      </c>
      <c r="R57">
        <v>9.6253597220000007</v>
      </c>
      <c r="S57">
        <v>4.3012831020000002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100">
        <v>0</v>
      </c>
      <c r="AM57" s="100">
        <v>0</v>
      </c>
      <c r="AN57" s="100">
        <v>0</v>
      </c>
      <c r="AO57" s="100">
        <v>0</v>
      </c>
      <c r="AP57" s="100">
        <v>0</v>
      </c>
      <c r="AQ57" s="100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</row>
    <row r="58" spans="2:49" x14ac:dyDescent="0.25">
      <c r="B58" t="s">
        <v>387</v>
      </c>
      <c r="C58" s="100">
        <v>1.1492990066676601</v>
      </c>
      <c r="D58" s="100">
        <v>1.1677513739710099</v>
      </c>
      <c r="E58" s="100">
        <v>2.1795283799999998</v>
      </c>
      <c r="F58" s="100">
        <v>3.5470159610000001</v>
      </c>
      <c r="G58" s="100">
        <v>5.7123384799999997</v>
      </c>
      <c r="H58" s="100">
        <v>9.1532956710000004</v>
      </c>
      <c r="I58">
        <v>12.615337999999999</v>
      </c>
      <c r="J58">
        <v>17.146760090000001</v>
      </c>
      <c r="K58" s="100">
        <v>20.46581909</v>
      </c>
      <c r="L58" s="100">
        <v>26.068456510000001</v>
      </c>
      <c r="M58">
        <v>34.52071342</v>
      </c>
      <c r="N58">
        <v>42.053286890000003</v>
      </c>
      <c r="O58">
        <v>57.29388385</v>
      </c>
      <c r="P58">
        <v>77.334792660000005</v>
      </c>
      <c r="Q58">
        <v>101.82700869999999</v>
      </c>
      <c r="R58">
        <v>131.38200760000001</v>
      </c>
      <c r="S58">
        <v>142.42415170000001</v>
      </c>
      <c r="T58">
        <v>157.17608960000001</v>
      </c>
      <c r="U58">
        <v>197.20988589999999</v>
      </c>
      <c r="V58">
        <v>245.2243259</v>
      </c>
      <c r="W58">
        <v>291.13822720000002</v>
      </c>
      <c r="X58">
        <v>336.905259</v>
      </c>
      <c r="Y58">
        <v>436.40521289999998</v>
      </c>
      <c r="Z58">
        <v>519.20602110000004</v>
      </c>
      <c r="AA58">
        <v>600.30870919999995</v>
      </c>
      <c r="AB58">
        <v>677.02292269999998</v>
      </c>
      <c r="AC58">
        <v>748.55698180000002</v>
      </c>
      <c r="AD58">
        <v>816.71217939999997</v>
      </c>
      <c r="AE58">
        <v>838.45698830000003</v>
      </c>
      <c r="AF58">
        <v>876.08867210000005</v>
      </c>
      <c r="AG58">
        <v>917.71998499999995</v>
      </c>
      <c r="AH58">
        <v>914.71055449999994</v>
      </c>
      <c r="AI58">
        <v>979.21172039999999</v>
      </c>
      <c r="AJ58">
        <v>1029.4204970000001</v>
      </c>
      <c r="AK58">
        <v>1070.8730109999999</v>
      </c>
      <c r="AL58">
        <v>1107.4310760000001</v>
      </c>
      <c r="AM58">
        <v>1139.4611970000001</v>
      </c>
      <c r="AN58">
        <v>1160.249677</v>
      </c>
      <c r="AO58">
        <v>1184.295942</v>
      </c>
      <c r="AP58">
        <v>1210.3840600000001</v>
      </c>
      <c r="AQ58">
        <v>1236.026644</v>
      </c>
      <c r="AR58">
        <v>1260.9108570000001</v>
      </c>
      <c r="AS58">
        <v>1278.593883</v>
      </c>
      <c r="AT58">
        <v>1298.7024260000001</v>
      </c>
      <c r="AU58">
        <v>1319.119929</v>
      </c>
      <c r="AV58">
        <v>1339.3600160000001</v>
      </c>
      <c r="AW58">
        <v>1360.016977</v>
      </c>
    </row>
    <row r="59" spans="2:49" x14ac:dyDescent="0.25">
      <c r="B59" t="s">
        <v>388</v>
      </c>
      <c r="C59" s="100">
        <v>3.4228836395600501E-3</v>
      </c>
      <c r="D59" s="100">
        <v>3.4778391435562701E-3</v>
      </c>
      <c r="E59" s="100">
        <v>6.4911498100000001E-3</v>
      </c>
      <c r="F59" s="100">
        <v>1.54119488E-2</v>
      </c>
      <c r="G59" s="100">
        <v>3.4924568900000001E-2</v>
      </c>
      <c r="H59" s="100">
        <v>7.3495565200000001E-2</v>
      </c>
      <c r="I59" s="100">
        <v>0.1060529248</v>
      </c>
      <c r="J59" s="100">
        <v>0.1602579194</v>
      </c>
      <c r="K59" s="100">
        <v>0.21497964250000001</v>
      </c>
      <c r="L59" s="100">
        <v>0.31394130399999998</v>
      </c>
      <c r="M59">
        <v>0.48953454819999997</v>
      </c>
      <c r="N59">
        <v>0.68173026780000001</v>
      </c>
      <c r="O59">
        <v>1.0259938550000001</v>
      </c>
      <c r="P59">
        <v>0.87839624250000004</v>
      </c>
      <c r="Q59">
        <v>1.3218015890000001</v>
      </c>
      <c r="R59">
        <v>1.9336696250000001</v>
      </c>
      <c r="S59">
        <v>2.3973326799999999</v>
      </c>
      <c r="T59">
        <v>2.9183571609999999</v>
      </c>
      <c r="U59">
        <v>5.9195589750000002</v>
      </c>
      <c r="V59">
        <v>9.1902682969999905</v>
      </c>
      <c r="W59">
        <v>11.485861939999999</v>
      </c>
      <c r="X59">
        <v>13.963598770000001</v>
      </c>
      <c r="Y59">
        <v>18.964647469999999</v>
      </c>
      <c r="Z59">
        <v>23.613767020000001</v>
      </c>
      <c r="AA59">
        <v>28.52583139</v>
      </c>
      <c r="AB59">
        <v>33.560243010000001</v>
      </c>
      <c r="AC59">
        <v>38.653223519999997</v>
      </c>
      <c r="AD59">
        <v>43.875830350000001</v>
      </c>
      <c r="AE59">
        <v>46.81019276</v>
      </c>
      <c r="AF59">
        <v>50.777271140000003</v>
      </c>
      <c r="AG59">
        <v>55.169446219999998</v>
      </c>
      <c r="AH59">
        <v>56.986739989999997</v>
      </c>
      <c r="AI59">
        <v>63.171510939999997</v>
      </c>
      <c r="AJ59">
        <v>68.716918149999998</v>
      </c>
      <c r="AK59">
        <v>73.912037650000002</v>
      </c>
      <c r="AL59">
        <v>78.975268060000005</v>
      </c>
      <c r="AM59">
        <v>83.902950369999999</v>
      </c>
      <c r="AN59">
        <v>88.980237290000005</v>
      </c>
      <c r="AO59">
        <v>94.500252189999998</v>
      </c>
      <c r="AP59">
        <v>100.3964036</v>
      </c>
      <c r="AQ59">
        <v>106.4791627</v>
      </c>
      <c r="AR59">
        <v>112.72188509999999</v>
      </c>
      <c r="AS59">
        <v>118.52635050000001</v>
      </c>
      <c r="AT59">
        <v>124.7506054</v>
      </c>
      <c r="AU59">
        <v>131.21378440000001</v>
      </c>
      <c r="AV59">
        <v>137.8745241</v>
      </c>
      <c r="AW59">
        <v>144.8047655</v>
      </c>
    </row>
    <row r="60" spans="2:49" x14ac:dyDescent="0.25">
      <c r="B60" t="s">
        <v>389</v>
      </c>
      <c r="C60" s="100">
        <v>7.8463024968376607E-3</v>
      </c>
      <c r="D60" s="100">
        <v>7.9722774213828399E-3</v>
      </c>
      <c r="E60" s="100">
        <v>1.48797127E-2</v>
      </c>
      <c r="F60" s="100">
        <v>2.7548263399999998E-2</v>
      </c>
      <c r="G60" s="100">
        <v>5.1272187599999998E-2</v>
      </c>
      <c r="H60" s="100">
        <v>9.4005384900000002E-2</v>
      </c>
      <c r="I60" s="100">
        <v>0.13276147620000001</v>
      </c>
      <c r="J60" s="100">
        <v>0.19125704530000001</v>
      </c>
      <c r="K60" s="100">
        <v>0.24411483549999999</v>
      </c>
      <c r="L60" s="100">
        <v>0.33760571789999999</v>
      </c>
      <c r="M60">
        <v>0.49578100060000002</v>
      </c>
      <c r="N60">
        <v>0.6598524872</v>
      </c>
      <c r="O60">
        <v>0.96214305379999998</v>
      </c>
      <c r="P60">
        <v>0.96640610400000004</v>
      </c>
      <c r="Q60">
        <v>1.3819177540000001</v>
      </c>
      <c r="R60">
        <v>1.933212087</v>
      </c>
      <c r="S60">
        <v>2.2923722409999998</v>
      </c>
      <c r="T60">
        <v>2.7065426050000001</v>
      </c>
      <c r="U60">
        <v>4.818974796</v>
      </c>
      <c r="V60">
        <v>7.0971504129999996</v>
      </c>
      <c r="W60">
        <v>8.7653936889999997</v>
      </c>
      <c r="X60">
        <v>10.53630542</v>
      </c>
      <c r="Y60">
        <v>14.155729839999999</v>
      </c>
      <c r="Z60">
        <v>17.44358231</v>
      </c>
      <c r="AA60">
        <v>20.861908190000001</v>
      </c>
      <c r="AB60">
        <v>24.306835029999998</v>
      </c>
      <c r="AC60">
        <v>27.733086950000001</v>
      </c>
      <c r="AD60">
        <v>31.192174439999999</v>
      </c>
      <c r="AE60">
        <v>32.979982419999999</v>
      </c>
      <c r="AF60">
        <v>35.459691569999997</v>
      </c>
      <c r="AG60">
        <v>38.19186843</v>
      </c>
      <c r="AH60">
        <v>39.110521130000002</v>
      </c>
      <c r="AI60">
        <v>42.985505629999999</v>
      </c>
      <c r="AJ60">
        <v>46.363022960000002</v>
      </c>
      <c r="AK60">
        <v>49.448435310000001</v>
      </c>
      <c r="AL60">
        <v>52.393241670000002</v>
      </c>
      <c r="AM60">
        <v>55.197600139999999</v>
      </c>
      <c r="AN60">
        <v>57.904323580000003</v>
      </c>
      <c r="AO60">
        <v>60.83081722</v>
      </c>
      <c r="AP60">
        <v>63.925142389999998</v>
      </c>
      <c r="AQ60">
        <v>67.059589310000007</v>
      </c>
      <c r="AR60">
        <v>70.213069709999999</v>
      </c>
      <c r="AS60">
        <v>73.012876050000003</v>
      </c>
      <c r="AT60">
        <v>75.989825440000004</v>
      </c>
      <c r="AU60">
        <v>79.025337629999996</v>
      </c>
      <c r="AV60">
        <v>82.088741519999999</v>
      </c>
      <c r="AW60">
        <v>85.216073870000002</v>
      </c>
    </row>
    <row r="61" spans="2:49" x14ac:dyDescent="0.25">
      <c r="B61" t="s">
        <v>390</v>
      </c>
      <c r="C61" s="100">
        <v>3.2122446463563603E-2</v>
      </c>
      <c r="D61" s="100">
        <v>3.2638182731835802E-2</v>
      </c>
      <c r="E61" s="100">
        <v>6.0916944399999999E-2</v>
      </c>
      <c r="F61" s="100">
        <v>0.1005434127</v>
      </c>
      <c r="G61" s="100">
        <v>0.1647779945</v>
      </c>
      <c r="H61" s="100">
        <v>0.2685253695</v>
      </c>
      <c r="I61" s="100">
        <v>0.3712726704</v>
      </c>
      <c r="J61" s="100">
        <v>0.5085905101</v>
      </c>
      <c r="K61" s="100">
        <v>0.61274442870000001</v>
      </c>
      <c r="L61" s="100">
        <v>0.78989675940000004</v>
      </c>
      <c r="M61">
        <v>1.0626961880000001</v>
      </c>
      <c r="N61">
        <v>1.313062704</v>
      </c>
      <c r="O61">
        <v>1.809129134</v>
      </c>
      <c r="P61">
        <v>2.3309942970000002</v>
      </c>
      <c r="Q61">
        <v>3.1073069370000002</v>
      </c>
      <c r="R61">
        <v>4.0600214599999997</v>
      </c>
      <c r="S61">
        <v>4.4656285049999997</v>
      </c>
      <c r="T61">
        <v>4.9840219929999998</v>
      </c>
      <c r="U61">
        <v>6.645984092</v>
      </c>
      <c r="V61">
        <v>8.5002034769999995</v>
      </c>
      <c r="W61">
        <v>10.15302952</v>
      </c>
      <c r="X61">
        <v>11.814442809999999</v>
      </c>
      <c r="Y61">
        <v>15.3806118</v>
      </c>
      <c r="Z61" s="100">
        <v>18.380988909999999</v>
      </c>
      <c r="AA61">
        <v>21.3360974</v>
      </c>
      <c r="AB61">
        <v>24.144530069999998</v>
      </c>
      <c r="AC61">
        <v>26.77183638</v>
      </c>
      <c r="AD61">
        <v>29.276717430000001</v>
      </c>
      <c r="AE61">
        <v>30.10876463</v>
      </c>
      <c r="AF61">
        <v>31.49729511</v>
      </c>
      <c r="AG61">
        <v>33.013886759999998</v>
      </c>
      <c r="AH61">
        <v>32.905766829999997</v>
      </c>
      <c r="AI61">
        <v>35.204571430000001</v>
      </c>
      <c r="AJ61">
        <v>36.963487180000001</v>
      </c>
      <c r="AK61">
        <v>38.378732829999997</v>
      </c>
      <c r="AL61">
        <v>39.58658217</v>
      </c>
      <c r="AM61">
        <v>40.598142070000002</v>
      </c>
      <c r="AN61">
        <v>41.118287680000002</v>
      </c>
      <c r="AO61">
        <v>41.69318681</v>
      </c>
      <c r="AP61">
        <v>42.273363889999999</v>
      </c>
      <c r="AQ61">
        <v>42.765846060000001</v>
      </c>
      <c r="AR61">
        <v>43.155077849999998</v>
      </c>
      <c r="AS61">
        <v>43.218712330000002</v>
      </c>
      <c r="AT61">
        <v>43.282343689999998</v>
      </c>
      <c r="AU61">
        <v>43.268223370000001</v>
      </c>
      <c r="AV61">
        <v>43.155154109999998</v>
      </c>
      <c r="AW61">
        <v>42.956199959999999</v>
      </c>
    </row>
    <row r="62" spans="2:49" x14ac:dyDescent="0.25">
      <c r="B62" t="s">
        <v>391</v>
      </c>
      <c r="C62" s="100">
        <v>0.75461419315223899</v>
      </c>
      <c r="D62" s="100">
        <v>0.76672976811017601</v>
      </c>
      <c r="E62" s="100">
        <v>1.431048874</v>
      </c>
      <c r="F62" s="100">
        <v>2.3289217080000002</v>
      </c>
      <c r="G62" s="100">
        <v>3.7505569730000001</v>
      </c>
      <c r="H62" s="100">
        <v>6.0018043150000002</v>
      </c>
      <c r="I62">
        <v>8.2694265530000006</v>
      </c>
      <c r="J62">
        <v>11.2315375</v>
      </c>
      <c r="K62" s="100">
        <v>13.39339672</v>
      </c>
      <c r="L62" s="100">
        <v>17.039160070000001</v>
      </c>
      <c r="M62">
        <v>22.525370519999999</v>
      </c>
      <c r="N62">
        <v>27.395702150000002</v>
      </c>
      <c r="O62">
        <v>37.272893320000001</v>
      </c>
      <c r="P62">
        <v>50.575885839999998</v>
      </c>
      <c r="Q62">
        <v>66.507675620000001</v>
      </c>
      <c r="R62">
        <v>85.692131090000004</v>
      </c>
      <c r="S62">
        <v>92.73587139</v>
      </c>
      <c r="T62">
        <v>102.1969035</v>
      </c>
      <c r="U62">
        <v>127.00852310000001</v>
      </c>
      <c r="V62">
        <v>156.9197241</v>
      </c>
      <c r="W62">
        <v>185.97915140000001</v>
      </c>
      <c r="X62">
        <v>214.83839900000001</v>
      </c>
      <c r="Y62">
        <v>277.79434450000002</v>
      </c>
      <c r="Z62">
        <v>329.90818289999999</v>
      </c>
      <c r="AA62">
        <v>380.74882079999998</v>
      </c>
      <c r="AB62">
        <v>428.61634980000002</v>
      </c>
      <c r="AC62">
        <v>473.0228396</v>
      </c>
      <c r="AD62">
        <v>515.11849119999999</v>
      </c>
      <c r="AE62">
        <v>527.82259680000004</v>
      </c>
      <c r="AF62">
        <v>550.44197440000005</v>
      </c>
      <c r="AG62">
        <v>575.46115129999998</v>
      </c>
      <c r="AH62">
        <v>572.42353409999998</v>
      </c>
      <c r="AI62">
        <v>611.53883450000001</v>
      </c>
      <c r="AJ62">
        <v>641.56330720000005</v>
      </c>
      <c r="AK62">
        <v>665.99364300000002</v>
      </c>
      <c r="AL62">
        <v>687.25945579999996</v>
      </c>
      <c r="AM62">
        <v>705.60556699999995</v>
      </c>
      <c r="AN62">
        <v>716.42272249999996</v>
      </c>
      <c r="AO62">
        <v>729.13867149999999</v>
      </c>
      <c r="AP62">
        <v>742.98782370000004</v>
      </c>
      <c r="AQ62">
        <v>756.43434200000002</v>
      </c>
      <c r="AR62">
        <v>769.28747039999996</v>
      </c>
      <c r="AS62">
        <v>777.63028210000004</v>
      </c>
      <c r="AT62">
        <v>787.33861339999999</v>
      </c>
      <c r="AU62">
        <v>797.11747409999998</v>
      </c>
      <c r="AV62">
        <v>806.67017350000003</v>
      </c>
      <c r="AW62">
        <v>816.34983009999996</v>
      </c>
    </row>
    <row r="63" spans="2:49" x14ac:dyDescent="0.25">
      <c r="B63" t="s">
        <v>392</v>
      </c>
      <c r="C63" s="100">
        <v>0.29742225840361802</v>
      </c>
      <c r="D63" s="100">
        <v>0.302197468966243</v>
      </c>
      <c r="E63" s="100">
        <v>0.56403098689999998</v>
      </c>
      <c r="F63" s="100">
        <v>0.91529689459999997</v>
      </c>
      <c r="G63" s="100">
        <v>1.468549157</v>
      </c>
      <c r="H63" s="100">
        <v>2.340492282</v>
      </c>
      <c r="I63" s="100">
        <v>3.2221873510000001</v>
      </c>
      <c r="J63" s="100">
        <v>4.3675760529999996</v>
      </c>
      <c r="K63" s="100">
        <v>5.1952905149999999</v>
      </c>
      <c r="L63" s="100">
        <v>6.5875138939999998</v>
      </c>
      <c r="M63">
        <v>8.6680566359999904</v>
      </c>
      <c r="N63">
        <v>10.49531195</v>
      </c>
      <c r="O63">
        <v>14.225795890000001</v>
      </c>
      <c r="P63">
        <v>19.582189119999999</v>
      </c>
      <c r="Q63">
        <v>25.660167170000001</v>
      </c>
      <c r="R63">
        <v>32.936680420000002</v>
      </c>
      <c r="S63">
        <v>35.478488480000003</v>
      </c>
      <c r="T63">
        <v>38.947965619999998</v>
      </c>
      <c r="U63">
        <v>47.166050839999997</v>
      </c>
      <c r="V63">
        <v>57.275843930000001</v>
      </c>
      <c r="W63">
        <v>67.57030906</v>
      </c>
      <c r="X63">
        <v>77.691759250000004</v>
      </c>
      <c r="Y63">
        <v>99.985750400000001</v>
      </c>
      <c r="Z63">
        <v>118.17921320000001</v>
      </c>
      <c r="AA63">
        <v>135.73832189999999</v>
      </c>
      <c r="AB63">
        <v>152.0661145</v>
      </c>
      <c r="AC63">
        <v>167.0048769</v>
      </c>
      <c r="AD63">
        <v>180.97475940000001</v>
      </c>
      <c r="AE63">
        <v>184.51943660000001</v>
      </c>
      <c r="AF63">
        <v>191.46385029999999</v>
      </c>
      <c r="AG63">
        <v>199.15367860000001</v>
      </c>
      <c r="AH63">
        <v>197.0892747</v>
      </c>
      <c r="AI63">
        <v>209.469257</v>
      </c>
      <c r="AJ63">
        <v>218.60762500000001</v>
      </c>
      <c r="AK63">
        <v>225.7391935</v>
      </c>
      <c r="AL63">
        <v>231.7142264</v>
      </c>
      <c r="AM63">
        <v>236.63267579999999</v>
      </c>
      <c r="AN63">
        <v>238.58731159999999</v>
      </c>
      <c r="AO63">
        <v>241.1205334</v>
      </c>
      <c r="AP63">
        <v>243.97025840000001</v>
      </c>
      <c r="AQ63">
        <v>246.6301785</v>
      </c>
      <c r="AR63">
        <v>249.04391889999999</v>
      </c>
      <c r="AS63">
        <v>249.95903430000001</v>
      </c>
      <c r="AT63">
        <v>251.2847658</v>
      </c>
      <c r="AU63">
        <v>252.60453910000001</v>
      </c>
      <c r="AV63">
        <v>253.8278335</v>
      </c>
      <c r="AW63">
        <v>255.06820920000001</v>
      </c>
    </row>
    <row r="64" spans="2:49" x14ac:dyDescent="0.25">
      <c r="B64" t="s">
        <v>393</v>
      </c>
      <c r="C64" s="100">
        <v>4.0548006191711396E-3</v>
      </c>
      <c r="D64">
        <v>4.1199017546743504E-3</v>
      </c>
      <c r="E64">
        <v>7.6895159299999998E-3</v>
      </c>
      <c r="F64">
        <v>8.8259855199999994E-3</v>
      </c>
      <c r="G64">
        <v>6.6033675200000003E-3</v>
      </c>
      <c r="H64" s="100">
        <v>9.1415709700000004E-3</v>
      </c>
      <c r="I64">
        <v>1.2595714100000001E-2</v>
      </c>
      <c r="J64">
        <v>1.71081857E-2</v>
      </c>
      <c r="K64">
        <v>2.0402395199999999E-2</v>
      </c>
      <c r="L64">
        <v>2.5958529500000001E-2</v>
      </c>
      <c r="M64">
        <v>3.4322227900000002E-2</v>
      </c>
      <c r="N64">
        <v>4.1751210599999998E-2</v>
      </c>
      <c r="O64" s="100">
        <v>5.6814670599999999E-2</v>
      </c>
      <c r="P64">
        <v>7.7047030899999897E-2</v>
      </c>
      <c r="Q64" s="100">
        <v>0.10132884440000001</v>
      </c>
      <c r="R64" s="100">
        <v>0.13057649960000001</v>
      </c>
      <c r="S64" s="100">
        <v>0.1413392456</v>
      </c>
      <c r="T64">
        <v>0.15578990649999999</v>
      </c>
      <c r="U64">
        <v>0.19398865600000001</v>
      </c>
      <c r="V64">
        <v>0.24011640919999999</v>
      </c>
      <c r="W64">
        <v>0.28474331310000001</v>
      </c>
      <c r="X64">
        <v>0.32912630879999999</v>
      </c>
      <c r="Y64">
        <v>0.42584494950000001</v>
      </c>
      <c r="Z64">
        <v>0.50607480760000001</v>
      </c>
      <c r="AA64">
        <v>0.5844804938</v>
      </c>
      <c r="AB64">
        <v>0.65845548490000005</v>
      </c>
      <c r="AC64">
        <v>0.72724846440000002</v>
      </c>
      <c r="AD64">
        <v>0.79262634629999995</v>
      </c>
      <c r="AE64">
        <v>0.81288342020000004</v>
      </c>
      <c r="AF64">
        <v>0.84849598100000001</v>
      </c>
      <c r="AG64">
        <v>0.8879165443</v>
      </c>
      <c r="AH64">
        <v>0.88412165700000001</v>
      </c>
      <c r="AI64">
        <v>0.94553555739999995</v>
      </c>
      <c r="AJ64">
        <v>0.99305630190000005</v>
      </c>
      <c r="AK64">
        <v>1.03206317</v>
      </c>
      <c r="AL64">
        <v>1.06630187</v>
      </c>
      <c r="AM64">
        <v>1.096140839</v>
      </c>
      <c r="AN64">
        <v>1.114846679</v>
      </c>
      <c r="AO64">
        <v>1.136672495</v>
      </c>
      <c r="AP64">
        <v>1.160445631</v>
      </c>
      <c r="AQ64">
        <v>1.183780898</v>
      </c>
      <c r="AR64">
        <v>1.2063837129999999</v>
      </c>
      <c r="AS64">
        <v>1.222101181</v>
      </c>
      <c r="AT64">
        <v>1.240148692</v>
      </c>
      <c r="AU64">
        <v>1.258502985</v>
      </c>
      <c r="AV64">
        <v>1.276702147</v>
      </c>
      <c r="AW64">
        <v>1.2953139570000001</v>
      </c>
    </row>
    <row r="65" spans="2:49" x14ac:dyDescent="0.25">
      <c r="B65" t="s">
        <v>394</v>
      </c>
      <c r="C65" s="100">
        <v>4.9816121892674002E-2</v>
      </c>
      <c r="D65" s="100">
        <v>5.0615935843142099E-2</v>
      </c>
      <c r="E65" s="100">
        <v>9.4471195800000005E-2</v>
      </c>
      <c r="F65" s="100">
        <v>0.15046774809999999</v>
      </c>
      <c r="G65" s="100">
        <v>0.23565423150000001</v>
      </c>
      <c r="H65" s="100">
        <v>0.36583118619999999</v>
      </c>
      <c r="I65" s="100">
        <v>0.50104130619999998</v>
      </c>
      <c r="J65" s="100">
        <v>0.67043286999999996</v>
      </c>
      <c r="K65" s="100">
        <v>0.78489054339999997</v>
      </c>
      <c r="L65" s="100">
        <v>0.97438023439999999</v>
      </c>
      <c r="M65" s="100">
        <v>1.2449522989999999</v>
      </c>
      <c r="N65" s="100">
        <v>1.465876124</v>
      </c>
      <c r="O65" s="100">
        <v>1.941113917</v>
      </c>
      <c r="P65" s="100">
        <v>2.9238740249999999</v>
      </c>
      <c r="Q65" s="100">
        <v>3.746810811</v>
      </c>
      <c r="R65" s="100">
        <v>4.6957164330000003</v>
      </c>
      <c r="S65" s="100">
        <v>4.9131191039999997</v>
      </c>
      <c r="T65" s="100">
        <v>5.2665089849999998</v>
      </c>
      <c r="U65" s="100">
        <v>5.4568054640000003</v>
      </c>
      <c r="V65" s="100">
        <v>6.0010193010000004</v>
      </c>
      <c r="W65" s="100">
        <v>6.8997382309999997</v>
      </c>
      <c r="X65" s="100">
        <v>7.731627391</v>
      </c>
      <c r="Y65" s="100">
        <v>9.6982839219999999</v>
      </c>
      <c r="Z65" s="100">
        <v>11.174211919999999</v>
      </c>
      <c r="AA65" s="100">
        <v>12.513249030000001</v>
      </c>
      <c r="AB65" s="100">
        <v>13.67039492</v>
      </c>
      <c r="AC65" s="100">
        <v>14.64387</v>
      </c>
      <c r="AD65" s="100">
        <v>15.481580210000001</v>
      </c>
      <c r="AE65" s="100">
        <v>15.403131650000001</v>
      </c>
      <c r="AF65" s="100">
        <v>15.60009352</v>
      </c>
      <c r="AG65" s="100">
        <v>15.842037149999999</v>
      </c>
      <c r="AH65" s="100">
        <v>15.31059612</v>
      </c>
      <c r="AI65" s="100">
        <v>15.89650537</v>
      </c>
      <c r="AJ65" s="100">
        <v>16.21307981</v>
      </c>
      <c r="AK65" s="100">
        <v>16.368905269999999</v>
      </c>
      <c r="AL65" s="100">
        <v>16.435999760000001</v>
      </c>
      <c r="AM65" s="100">
        <v>16.428120459999999</v>
      </c>
      <c r="AN65" s="100">
        <v>16.121947330000001</v>
      </c>
      <c r="AO65" s="100">
        <v>15.87580797</v>
      </c>
      <c r="AP65" s="100">
        <v>15.67062249</v>
      </c>
      <c r="AQ65" s="100">
        <v>15.47374486</v>
      </c>
      <c r="AR65" s="100">
        <v>15.283051</v>
      </c>
      <c r="AS65" s="100">
        <v>15.02452609</v>
      </c>
      <c r="AT65" s="100">
        <v>14.81612333</v>
      </c>
      <c r="AU65" s="100">
        <v>14.63206727</v>
      </c>
      <c r="AV65" s="100">
        <v>14.466887270000001</v>
      </c>
      <c r="AW65">
        <v>14.326584329999999</v>
      </c>
    </row>
    <row r="66" spans="2:49" x14ac:dyDescent="0.25">
      <c r="B66" t="s">
        <v>395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396</v>
      </c>
      <c r="C67">
        <v>5.2121797950038999</v>
      </c>
      <c r="D67">
        <v>5.29586302754001</v>
      </c>
      <c r="E67">
        <v>5.3808898210000002</v>
      </c>
      <c r="F67">
        <v>5.432611208</v>
      </c>
      <c r="G67">
        <v>4.4744902910000004</v>
      </c>
      <c r="H67">
        <v>3.8791081959999998</v>
      </c>
      <c r="I67">
        <v>3.7528878040000002</v>
      </c>
      <c r="J67">
        <v>3.5759471450000002</v>
      </c>
      <c r="K67">
        <v>3.4473118340000002</v>
      </c>
      <c r="L67">
        <v>3.69831026</v>
      </c>
      <c r="M67">
        <v>3.8040920329999999</v>
      </c>
      <c r="N67">
        <v>3.876392208</v>
      </c>
      <c r="O67">
        <v>2.9741161599999999</v>
      </c>
      <c r="P67">
        <v>2.456974389</v>
      </c>
      <c r="Q67">
        <v>2.1281499049999999</v>
      </c>
      <c r="R67">
        <v>1.920824737</v>
      </c>
      <c r="S67">
        <v>1.7437380060000001</v>
      </c>
      <c r="T67">
        <v>1.759444029</v>
      </c>
      <c r="U67">
        <v>1.7281495170000001</v>
      </c>
      <c r="V67">
        <v>1.7214950680000001</v>
      </c>
      <c r="W67">
        <v>1.6981096769999999</v>
      </c>
      <c r="X67">
        <v>1.6583595959999999</v>
      </c>
      <c r="Y67">
        <v>1.6571935310000001</v>
      </c>
      <c r="Z67">
        <v>1.6802002789999999</v>
      </c>
      <c r="AA67">
        <v>1.70818933</v>
      </c>
      <c r="AB67">
        <v>1.7389341270000001</v>
      </c>
      <c r="AC67">
        <v>1.77323684</v>
      </c>
      <c r="AD67">
        <v>1.7787589070000001</v>
      </c>
      <c r="AE67">
        <v>1.7894184339999999</v>
      </c>
      <c r="AF67">
        <v>1.8014731930000001</v>
      </c>
      <c r="AG67">
        <v>1.8146689410000001</v>
      </c>
      <c r="AH67">
        <v>1.830644468</v>
      </c>
      <c r="AI67">
        <v>1.847998308</v>
      </c>
      <c r="AJ67">
        <v>1.8659242140000001</v>
      </c>
      <c r="AK67">
        <v>1.885681057</v>
      </c>
      <c r="AL67">
        <v>1.906291749</v>
      </c>
      <c r="AM67">
        <v>1.9271722790000001</v>
      </c>
      <c r="AN67">
        <v>1.9222624420000001</v>
      </c>
      <c r="AO67">
        <v>1.9137870589999999</v>
      </c>
      <c r="AP67">
        <v>1.902340235</v>
      </c>
      <c r="AQ67">
        <v>1.889656853</v>
      </c>
      <c r="AR67">
        <v>1.8743752460000001</v>
      </c>
      <c r="AS67">
        <v>1.875079867</v>
      </c>
      <c r="AT67">
        <v>1.8775610920000001</v>
      </c>
      <c r="AU67">
        <v>1.8800657489999999</v>
      </c>
      <c r="AV67">
        <v>1.882240331</v>
      </c>
      <c r="AW67">
        <v>1.88501399</v>
      </c>
    </row>
    <row r="68" spans="2:49" x14ac:dyDescent="0.25">
      <c r="B68" t="s">
        <v>397</v>
      </c>
      <c r="C68">
        <v>0.35839918454870201</v>
      </c>
      <c r="D68">
        <v>0.36415339938413299</v>
      </c>
      <c r="E68">
        <v>0.37</v>
      </c>
      <c r="F68">
        <v>0.36029239759999998</v>
      </c>
      <c r="G68">
        <v>0.34979032739999999</v>
      </c>
      <c r="H68">
        <v>0.33941286040000002</v>
      </c>
      <c r="I68">
        <v>0.33119722550000003</v>
      </c>
      <c r="J68">
        <v>0.32316696150000002</v>
      </c>
      <c r="K68">
        <v>0.31423736019999998</v>
      </c>
      <c r="L68">
        <v>0.30433911499999999</v>
      </c>
      <c r="M68">
        <v>0.29476943119999999</v>
      </c>
      <c r="N68" s="100">
        <v>0.28669986040000001</v>
      </c>
      <c r="O68" s="100">
        <v>0.28118860709999999</v>
      </c>
      <c r="P68" s="100">
        <v>0.27646613489999999</v>
      </c>
      <c r="Q68" s="100">
        <v>0.27100066620000002</v>
      </c>
      <c r="R68" s="100">
        <v>0.2626703581</v>
      </c>
      <c r="S68" s="100">
        <v>0.25363917670000002</v>
      </c>
      <c r="T68" s="100">
        <v>0.24359439050000001</v>
      </c>
      <c r="U68" s="100">
        <v>0.2337033168</v>
      </c>
      <c r="V68" s="100">
        <v>0.22364227049999999</v>
      </c>
      <c r="W68" s="100">
        <v>0.2144403449</v>
      </c>
      <c r="X68" s="100">
        <v>0.2056426817</v>
      </c>
      <c r="Y68" s="100">
        <v>0.1982322262</v>
      </c>
      <c r="Z68" s="100">
        <v>0.19191098740000001</v>
      </c>
      <c r="AA68" s="100">
        <v>0.18623198739999999</v>
      </c>
      <c r="AB68" s="100">
        <v>0.18102532130000001</v>
      </c>
      <c r="AC68" s="100">
        <v>0.1761835561</v>
      </c>
      <c r="AD68">
        <v>0.17164915080000001</v>
      </c>
      <c r="AE68">
        <v>0.16737361819999999</v>
      </c>
      <c r="AF68">
        <v>0.16330952479999999</v>
      </c>
      <c r="AG68">
        <v>0.1594227762</v>
      </c>
      <c r="AH68">
        <v>0.1556975783</v>
      </c>
      <c r="AI68">
        <v>0.15210880020000001</v>
      </c>
      <c r="AJ68">
        <v>0.14863622300000001</v>
      </c>
      <c r="AK68">
        <v>0.1452689268</v>
      </c>
      <c r="AL68">
        <v>0.14199507959999999</v>
      </c>
      <c r="AM68">
        <v>0.1388057288</v>
      </c>
      <c r="AN68">
        <v>0.1356763027</v>
      </c>
      <c r="AO68" s="100">
        <v>0.1325589385</v>
      </c>
      <c r="AP68" s="100">
        <v>0.1294365334</v>
      </c>
      <c r="AQ68" s="100">
        <v>0.12630704209999999</v>
      </c>
      <c r="AR68" s="100">
        <v>0.12317024729999999</v>
      </c>
      <c r="AS68" s="100">
        <v>0.1200272518</v>
      </c>
      <c r="AT68" s="100">
        <v>0.116873927</v>
      </c>
      <c r="AU68" s="100">
        <v>0.11371127089999999</v>
      </c>
      <c r="AV68" s="100">
        <v>0.1105453945</v>
      </c>
      <c r="AW68" s="100">
        <v>0.10742526199999999</v>
      </c>
    </row>
    <row r="69" spans="2:49" x14ac:dyDescent="0.25">
      <c r="B69" t="s">
        <v>398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 s="100">
        <v>0</v>
      </c>
      <c r="J69" s="100">
        <v>0</v>
      </c>
      <c r="K69" s="100">
        <v>0</v>
      </c>
      <c r="L69" s="100">
        <v>0</v>
      </c>
      <c r="M69" s="100">
        <v>0</v>
      </c>
      <c r="N69" s="100">
        <v>0</v>
      </c>
      <c r="O69" s="100">
        <v>0</v>
      </c>
      <c r="P69" s="100">
        <v>0</v>
      </c>
      <c r="Q69" s="100">
        <v>0</v>
      </c>
      <c r="R69" s="100">
        <v>0</v>
      </c>
      <c r="S69" s="100">
        <v>0</v>
      </c>
      <c r="T69" s="100">
        <v>0</v>
      </c>
      <c r="U69" s="100">
        <v>0</v>
      </c>
      <c r="V69" s="100">
        <v>0</v>
      </c>
      <c r="W69" s="100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399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400</v>
      </c>
      <c r="C71" s="100">
        <v>0</v>
      </c>
      <c r="D71" s="100">
        <v>0</v>
      </c>
      <c r="E71" s="100">
        <v>0</v>
      </c>
      <c r="F71" s="100">
        <v>0</v>
      </c>
      <c r="G71" s="100">
        <v>0</v>
      </c>
      <c r="H71" s="100">
        <v>0</v>
      </c>
      <c r="I71" s="100">
        <v>0</v>
      </c>
      <c r="J71" s="100">
        <v>0</v>
      </c>
      <c r="K71" s="100">
        <v>0</v>
      </c>
      <c r="L71" s="100">
        <v>0</v>
      </c>
      <c r="M71" s="100">
        <v>0</v>
      </c>
      <c r="N71" s="100">
        <v>0</v>
      </c>
      <c r="O71" s="100">
        <v>0</v>
      </c>
      <c r="P71" s="100">
        <v>0</v>
      </c>
      <c r="Q71" s="100">
        <v>0</v>
      </c>
      <c r="R71" s="100">
        <v>0</v>
      </c>
      <c r="S71" s="100">
        <v>0</v>
      </c>
      <c r="T71" s="100">
        <v>0</v>
      </c>
      <c r="U71" s="100">
        <v>0</v>
      </c>
      <c r="V71" s="100">
        <v>0</v>
      </c>
      <c r="W71" s="100">
        <v>0</v>
      </c>
      <c r="X71" s="100">
        <v>0</v>
      </c>
      <c r="Y71" s="100">
        <v>0</v>
      </c>
      <c r="Z71" s="100">
        <v>0</v>
      </c>
      <c r="AA71" s="100">
        <v>0</v>
      </c>
      <c r="AB71" s="100">
        <v>0</v>
      </c>
      <c r="AC71" s="100">
        <v>0</v>
      </c>
      <c r="AD71" s="100">
        <v>0</v>
      </c>
      <c r="AE71" s="100">
        <v>0</v>
      </c>
      <c r="AF71" s="100">
        <v>0</v>
      </c>
      <c r="AG71" s="100">
        <v>0</v>
      </c>
      <c r="AH71" s="100">
        <v>0</v>
      </c>
      <c r="AI71" s="100">
        <v>0</v>
      </c>
      <c r="AJ71" s="100">
        <v>0</v>
      </c>
      <c r="AK71" s="100">
        <v>0</v>
      </c>
      <c r="AL71" s="100">
        <v>0</v>
      </c>
      <c r="AM71" s="100">
        <v>0</v>
      </c>
      <c r="AN71" s="100">
        <v>0</v>
      </c>
      <c r="AO71" s="100">
        <v>0</v>
      </c>
      <c r="AP71" s="100">
        <v>0</v>
      </c>
      <c r="AQ71" s="100">
        <v>0</v>
      </c>
      <c r="AR71" s="100">
        <v>0</v>
      </c>
      <c r="AS71" s="100">
        <v>0</v>
      </c>
      <c r="AT71" s="100">
        <v>0</v>
      </c>
      <c r="AU71" s="100">
        <v>0</v>
      </c>
      <c r="AV71" s="100">
        <v>0</v>
      </c>
      <c r="AW71">
        <v>0</v>
      </c>
    </row>
    <row r="72" spans="2:49" x14ac:dyDescent="0.25">
      <c r="B72" t="s">
        <v>401</v>
      </c>
      <c r="C72">
        <v>2.1503951072922098</v>
      </c>
      <c r="D72">
        <v>2.1849203963048001</v>
      </c>
      <c r="E72">
        <v>2.2200000000000002</v>
      </c>
      <c r="F72">
        <v>2.2910272439999999</v>
      </c>
      <c r="G72">
        <v>2.1881304359999998</v>
      </c>
      <c r="H72">
        <v>2.313196424</v>
      </c>
      <c r="I72">
        <v>2.3835458470000002</v>
      </c>
      <c r="J72">
        <v>2.25598689</v>
      </c>
      <c r="K72">
        <v>2.1722773790000001</v>
      </c>
      <c r="L72">
        <v>2.1179651179999999</v>
      </c>
      <c r="M72">
        <v>2.2719790889999998</v>
      </c>
      <c r="N72">
        <v>2.4350711280000001</v>
      </c>
      <c r="O72">
        <v>2.5253407239999999</v>
      </c>
      <c r="P72">
        <v>2.539358183</v>
      </c>
      <c r="Q72">
        <v>2.361966512</v>
      </c>
      <c r="R72">
        <v>2.3656129419999998</v>
      </c>
      <c r="S72">
        <v>2.382799313</v>
      </c>
      <c r="T72">
        <v>2.4082370420000001</v>
      </c>
      <c r="U72">
        <v>2.4220929920000001</v>
      </c>
      <c r="V72">
        <v>2.4584521100000001</v>
      </c>
      <c r="W72">
        <v>2.4749035109999999</v>
      </c>
      <c r="X72">
        <v>2.475279021</v>
      </c>
      <c r="Y72">
        <v>2.496650018</v>
      </c>
      <c r="Z72">
        <v>2.5298963250000002</v>
      </c>
      <c r="AA72">
        <v>2.568625183</v>
      </c>
      <c r="AB72">
        <v>2.6087348279999998</v>
      </c>
      <c r="AC72">
        <v>2.6511463000000002</v>
      </c>
      <c r="AD72">
        <v>2.688657869</v>
      </c>
      <c r="AE72">
        <v>2.73029126</v>
      </c>
      <c r="AF72">
        <v>2.7731128799999998</v>
      </c>
      <c r="AG72">
        <v>2.8177978779999999</v>
      </c>
      <c r="AH72">
        <v>2.8677424349999998</v>
      </c>
      <c r="AI72">
        <v>2.9179051789999999</v>
      </c>
      <c r="AJ72">
        <v>2.9714418829999998</v>
      </c>
      <c r="AK72">
        <v>3.0261108800000001</v>
      </c>
      <c r="AL72">
        <v>3.0823793039999998</v>
      </c>
      <c r="AM72">
        <v>3.139560495</v>
      </c>
      <c r="AN72">
        <v>3.1929546910000002</v>
      </c>
      <c r="AO72">
        <v>3.2466473630000001</v>
      </c>
      <c r="AP72">
        <v>3.2993536780000001</v>
      </c>
      <c r="AQ72">
        <v>3.351996255</v>
      </c>
      <c r="AR72">
        <v>3.404098877</v>
      </c>
      <c r="AS72">
        <v>3.4554289929999999</v>
      </c>
      <c r="AT72">
        <v>3.5069189249999999</v>
      </c>
      <c r="AU72">
        <v>3.5591137439999998</v>
      </c>
      <c r="AV72">
        <v>3.611653698</v>
      </c>
      <c r="AW72">
        <v>3.66513</v>
      </c>
    </row>
    <row r="73" spans="2:49" x14ac:dyDescent="0.25">
      <c r="B73" t="s">
        <v>402</v>
      </c>
      <c r="C73">
        <v>17.283948650263198</v>
      </c>
      <c r="D73">
        <v>17.561448036494799</v>
      </c>
      <c r="E73">
        <v>17.843402770000001</v>
      </c>
      <c r="F73">
        <v>18.09025497</v>
      </c>
      <c r="G73">
        <v>16.913583379999999</v>
      </c>
      <c r="H73">
        <v>15.96301502</v>
      </c>
      <c r="I73">
        <v>14.844080399999999</v>
      </c>
      <c r="J73">
        <v>14.731806840000001</v>
      </c>
      <c r="K73">
        <v>13.57349984</v>
      </c>
      <c r="L73">
        <v>13.27912471</v>
      </c>
      <c r="M73">
        <v>13.53553907</v>
      </c>
      <c r="N73">
        <v>14.12919932</v>
      </c>
      <c r="O73">
        <v>13.1776073</v>
      </c>
      <c r="P73">
        <v>11.874275880000001</v>
      </c>
      <c r="Q73">
        <v>10.518267529999999</v>
      </c>
      <c r="R73">
        <v>9.6453651320000002</v>
      </c>
      <c r="S73">
        <v>8.8619693070000007</v>
      </c>
      <c r="T73">
        <v>8.7873024310000005</v>
      </c>
      <c r="U73">
        <v>8.5539416989999904</v>
      </c>
      <c r="V73">
        <v>8.4371301550000002</v>
      </c>
      <c r="W73">
        <v>8.3368710969999995</v>
      </c>
      <c r="X73">
        <v>8.1814847329999996</v>
      </c>
      <c r="Y73">
        <v>8.2506401490000005</v>
      </c>
      <c r="Z73">
        <v>8.4651859460000001</v>
      </c>
      <c r="AA73">
        <v>8.7373931799999998</v>
      </c>
      <c r="AB73">
        <v>9.0525427660000002</v>
      </c>
      <c r="AC73">
        <v>9.4210104670000003</v>
      </c>
      <c r="AD73">
        <v>9.5053204840000003</v>
      </c>
      <c r="AE73">
        <v>9.6144806779999996</v>
      </c>
      <c r="AF73">
        <v>9.7327604860000001</v>
      </c>
      <c r="AG73">
        <v>9.8561025830000002</v>
      </c>
      <c r="AH73">
        <v>9.9967837680000002</v>
      </c>
      <c r="AI73">
        <v>10.14362551</v>
      </c>
      <c r="AJ73">
        <v>10.294167829999999</v>
      </c>
      <c r="AK73">
        <v>10.45451078</v>
      </c>
      <c r="AL73">
        <v>10.619510180000001</v>
      </c>
      <c r="AM73">
        <v>10.78605632</v>
      </c>
      <c r="AN73">
        <v>10.792530599999999</v>
      </c>
      <c r="AO73">
        <v>10.77779434</v>
      </c>
      <c r="AP73">
        <v>10.752732249999999</v>
      </c>
      <c r="AQ73">
        <v>10.72809372</v>
      </c>
      <c r="AR73">
        <v>10.696935610000001</v>
      </c>
      <c r="AS73">
        <v>10.750090439999999</v>
      </c>
      <c r="AT73">
        <v>10.815894220000001</v>
      </c>
      <c r="AU73">
        <v>10.88408637</v>
      </c>
      <c r="AV73">
        <v>10.95264233</v>
      </c>
      <c r="AW73">
        <v>11.030536469999999</v>
      </c>
    </row>
    <row r="74" spans="2:49" x14ac:dyDescent="0.25">
      <c r="B74" t="s">
        <v>403</v>
      </c>
      <c r="C74">
        <v>9.6518912203120095</v>
      </c>
      <c r="D74">
        <v>9.8068554558467902</v>
      </c>
      <c r="E74">
        <v>9.9643076920000002</v>
      </c>
      <c r="F74">
        <v>9.4886315200000002</v>
      </c>
      <c r="G74">
        <v>8.7627787809999997</v>
      </c>
      <c r="H74">
        <v>8.9120600569999997</v>
      </c>
      <c r="I74">
        <v>8.2443078500000002</v>
      </c>
      <c r="J74">
        <v>7.6298226619999996</v>
      </c>
      <c r="K74">
        <v>7.1767839630000001</v>
      </c>
      <c r="L74">
        <v>6.954837532</v>
      </c>
      <c r="M74">
        <v>6.7749890060000002</v>
      </c>
      <c r="N74">
        <v>6.8019244929999996</v>
      </c>
      <c r="O74">
        <v>6.7468889369999996</v>
      </c>
      <c r="P74">
        <v>6.4681826659999997</v>
      </c>
      <c r="Q74">
        <v>6.1418570839999997</v>
      </c>
      <c r="R74">
        <v>6.0602659689999996</v>
      </c>
      <c r="S74">
        <v>5.8187086710000004</v>
      </c>
      <c r="T74">
        <v>5.6318060360000004</v>
      </c>
      <c r="U74">
        <v>5.4348574860000003</v>
      </c>
      <c r="V74">
        <v>5.2193346939999996</v>
      </c>
      <c r="W74">
        <v>5.0390903729999996</v>
      </c>
      <c r="X74">
        <v>4.8476295929999997</v>
      </c>
      <c r="Y74">
        <v>4.73418238</v>
      </c>
      <c r="Z74">
        <v>4.6426447949999998</v>
      </c>
      <c r="AA74">
        <v>4.5611058260000004</v>
      </c>
      <c r="AB74">
        <v>4.4871408319999997</v>
      </c>
      <c r="AC74">
        <v>4.418337019</v>
      </c>
      <c r="AD74">
        <v>4.3528543859999997</v>
      </c>
      <c r="AE74">
        <v>4.29250007</v>
      </c>
      <c r="AF74">
        <v>4.236876724</v>
      </c>
      <c r="AG74">
        <v>4.1814330489999998</v>
      </c>
      <c r="AH74">
        <v>4.1284091739999997</v>
      </c>
      <c r="AI74">
        <v>4.0787753809999998</v>
      </c>
      <c r="AJ74">
        <v>4.0305354099999997</v>
      </c>
      <c r="AK74">
        <v>3.9852070880000001</v>
      </c>
      <c r="AL74">
        <v>3.9416801380000002</v>
      </c>
      <c r="AM74">
        <v>3.9003254799999998</v>
      </c>
      <c r="AN74">
        <v>3.8444848280000001</v>
      </c>
      <c r="AO74">
        <v>3.7875693830000001</v>
      </c>
      <c r="AP74">
        <v>3.7297109179999999</v>
      </c>
      <c r="AQ74">
        <v>3.6703060129999998</v>
      </c>
      <c r="AR74">
        <v>3.6090617800000002</v>
      </c>
      <c r="AS74">
        <v>3.5432444689999998</v>
      </c>
      <c r="AT74">
        <v>3.4763766999999999</v>
      </c>
      <c r="AU74">
        <v>3.4074938889999999</v>
      </c>
      <c r="AV74">
        <v>3.3370602200000001</v>
      </c>
      <c r="AW74">
        <v>3.266697175</v>
      </c>
    </row>
    <row r="75" spans="2:49" x14ac:dyDescent="0.25">
      <c r="B75" t="s">
        <v>404</v>
      </c>
      <c r="C75">
        <v>4.6065844460580001</v>
      </c>
      <c r="D75">
        <v>4.68054464938142</v>
      </c>
      <c r="E75">
        <v>4.7556923080000004</v>
      </c>
      <c r="F75">
        <v>4.8584285280000001</v>
      </c>
      <c r="G75">
        <v>4.674088695</v>
      </c>
      <c r="H75">
        <v>4.6130689909999996</v>
      </c>
      <c r="I75">
        <v>4.5416749269999999</v>
      </c>
      <c r="J75" s="42">
        <v>4.3426200279999998</v>
      </c>
      <c r="K75">
        <v>4.126897316</v>
      </c>
      <c r="L75">
        <v>4.0489182240000003</v>
      </c>
      <c r="M75">
        <v>4.0627365219999998</v>
      </c>
      <c r="N75">
        <v>4.1781674649999996</v>
      </c>
      <c r="O75">
        <v>3.917070549</v>
      </c>
      <c r="P75">
        <v>3.640444644</v>
      </c>
      <c r="Q75">
        <v>3.4042399319999999</v>
      </c>
      <c r="R75">
        <v>3.2198846799999998</v>
      </c>
      <c r="S75">
        <v>3.0142307009999998</v>
      </c>
      <c r="T75">
        <v>3.0092941139999998</v>
      </c>
      <c r="U75">
        <v>3.0128963639999999</v>
      </c>
      <c r="V75">
        <v>3.014477657</v>
      </c>
      <c r="W75">
        <v>2.918623915</v>
      </c>
      <c r="X75">
        <v>2.8147546879999998</v>
      </c>
      <c r="Y75">
        <v>2.724129746</v>
      </c>
      <c r="Z75">
        <v>2.6426242709999999</v>
      </c>
      <c r="AA75">
        <v>2.5674745429999999</v>
      </c>
      <c r="AB75">
        <v>2.4977718879999999</v>
      </c>
      <c r="AC75">
        <v>2.4327475949999999</v>
      </c>
      <c r="AD75">
        <v>2.3715017970000001</v>
      </c>
      <c r="AE75">
        <v>2.3146737640000001</v>
      </c>
      <c r="AF75">
        <v>2.2621250979999998</v>
      </c>
      <c r="AG75">
        <v>2.2119047649999999</v>
      </c>
      <c r="AH75">
        <v>2.1643702550000001</v>
      </c>
      <c r="AI75">
        <v>2.1199206510000002</v>
      </c>
      <c r="AJ75">
        <v>2.077741724</v>
      </c>
      <c r="AK75">
        <v>2.0380681900000002</v>
      </c>
      <c r="AL75">
        <v>2.0004819970000001</v>
      </c>
      <c r="AM75">
        <v>1.9649021550000001</v>
      </c>
      <c r="AN75">
        <v>1.956295911</v>
      </c>
      <c r="AO75">
        <v>1.952640207</v>
      </c>
      <c r="AP75">
        <v>1.949911825</v>
      </c>
      <c r="AQ75">
        <v>1.947178914</v>
      </c>
      <c r="AR75">
        <v>1.9442810319999999</v>
      </c>
      <c r="AS75">
        <v>1.9408811589999999</v>
      </c>
      <c r="AT75">
        <v>1.9372526779999999</v>
      </c>
      <c r="AU75">
        <v>1.9332058969999999</v>
      </c>
      <c r="AV75">
        <v>1.9288109</v>
      </c>
      <c r="AW75">
        <v>1.9240908759999999</v>
      </c>
    </row>
    <row r="76" spans="2:49" x14ac:dyDescent="0.25">
      <c r="B76" t="s">
        <v>405</v>
      </c>
      <c r="C76">
        <v>23.690015269078899</v>
      </c>
      <c r="D76">
        <v>24.070366126976499</v>
      </c>
      <c r="E76">
        <v>24.45682364</v>
      </c>
      <c r="F76">
        <v>24.569576640000001</v>
      </c>
      <c r="G76">
        <v>24.62476624</v>
      </c>
      <c r="H76">
        <v>24.808910600000001</v>
      </c>
      <c r="I76">
        <v>24.945700089999999</v>
      </c>
      <c r="J76">
        <v>25.02410987</v>
      </c>
      <c r="K76">
        <v>24.886852749999999</v>
      </c>
      <c r="L76">
        <v>24.678448320000001</v>
      </c>
      <c r="M76">
        <v>24.476973040000001</v>
      </c>
      <c r="N76">
        <v>24.204593379999999</v>
      </c>
      <c r="O76">
        <v>23.995711620000002</v>
      </c>
      <c r="P76">
        <v>23.974439950000001</v>
      </c>
      <c r="Q76">
        <v>23.954930749999999</v>
      </c>
      <c r="R76">
        <v>23.931245789999998</v>
      </c>
      <c r="S76">
        <v>23.703893010000002</v>
      </c>
      <c r="T76">
        <v>23.358477830000002</v>
      </c>
      <c r="U76">
        <v>22.874597489999999</v>
      </c>
      <c r="V76">
        <v>22.329851189999999</v>
      </c>
      <c r="W76">
        <v>21.78314383</v>
      </c>
      <c r="X76">
        <v>21.22532502</v>
      </c>
      <c r="Y76">
        <v>20.75117212</v>
      </c>
      <c r="Z76">
        <v>20.301458830000001</v>
      </c>
      <c r="AA76">
        <v>19.86257706</v>
      </c>
      <c r="AB76">
        <v>19.425050760000001</v>
      </c>
      <c r="AC76">
        <v>18.984086099999999</v>
      </c>
      <c r="AD76">
        <v>18.539707419999999</v>
      </c>
      <c r="AE76">
        <v>18.061669009999999</v>
      </c>
      <c r="AF76">
        <v>17.57269952</v>
      </c>
      <c r="AG76">
        <v>17.081891089999999</v>
      </c>
      <c r="AH76">
        <v>16.569900910000001</v>
      </c>
      <c r="AI76">
        <v>16.079113150000001</v>
      </c>
      <c r="AJ76">
        <v>15.60273525</v>
      </c>
      <c r="AK76">
        <v>15.13817075</v>
      </c>
      <c r="AL76">
        <v>14.68487829</v>
      </c>
      <c r="AM76">
        <v>14.24252164</v>
      </c>
      <c r="AN76">
        <v>13.802833769999999</v>
      </c>
      <c r="AO76">
        <v>13.369008600000001</v>
      </c>
      <c r="AP76">
        <v>12.943200900000001</v>
      </c>
      <c r="AQ76">
        <v>12.5263556</v>
      </c>
      <c r="AR76">
        <v>12.119097869999999</v>
      </c>
      <c r="AS76">
        <v>11.720125879999999</v>
      </c>
      <c r="AT76">
        <v>11.33082521</v>
      </c>
      <c r="AU76">
        <v>10.95176451</v>
      </c>
      <c r="AV76">
        <v>10.583245440000001</v>
      </c>
      <c r="AW76">
        <v>10.225584700000001</v>
      </c>
    </row>
    <row r="77" spans="2:49" x14ac:dyDescent="0.25">
      <c r="B77" t="s">
        <v>406</v>
      </c>
      <c r="C77">
        <v>20.7498358478441</v>
      </c>
      <c r="D77">
        <v>21.0829811741058</v>
      </c>
      <c r="E77">
        <v>21.430969050000002</v>
      </c>
      <c r="F77">
        <v>21.893866589999998</v>
      </c>
      <c r="G77">
        <v>21.06989355</v>
      </c>
      <c r="H77">
        <v>19.549300970000001</v>
      </c>
      <c r="I77">
        <v>19.93647408</v>
      </c>
      <c r="J77">
        <v>19.389603650000002</v>
      </c>
      <c r="K77">
        <v>19.570679680000001</v>
      </c>
      <c r="L77">
        <v>19.0911285</v>
      </c>
      <c r="M77">
        <v>19.029214899999999</v>
      </c>
      <c r="N77">
        <v>19.036882930000001</v>
      </c>
      <c r="O77">
        <v>18.858384279999999</v>
      </c>
      <c r="P77">
        <v>19.061026399999999</v>
      </c>
      <c r="Q77">
        <v>18.849576240000001</v>
      </c>
      <c r="R77">
        <v>18.727330540000001</v>
      </c>
      <c r="S77">
        <v>18.514659219999999</v>
      </c>
      <c r="T77">
        <v>18.781242410000001</v>
      </c>
      <c r="U77">
        <v>18.823732069999998</v>
      </c>
      <c r="V77">
        <v>19.057821359999998</v>
      </c>
      <c r="W77">
        <v>19.230287820000001</v>
      </c>
      <c r="X77">
        <v>19.20355266</v>
      </c>
      <c r="Y77">
        <v>19.088121210000001</v>
      </c>
      <c r="Z77">
        <v>19.053909789999999</v>
      </c>
      <c r="AA77">
        <v>19.048414600000001</v>
      </c>
      <c r="AB77">
        <v>19.05626861</v>
      </c>
      <c r="AC77">
        <v>19.082478590000001</v>
      </c>
      <c r="AD77">
        <v>18.932460849999998</v>
      </c>
      <c r="AE77">
        <v>18.79984962</v>
      </c>
      <c r="AF77">
        <v>18.680258599999998</v>
      </c>
      <c r="AG77">
        <v>18.56871503</v>
      </c>
      <c r="AH77">
        <v>18.465862950000002</v>
      </c>
      <c r="AI77">
        <v>18.458462669999999</v>
      </c>
      <c r="AJ77">
        <v>18.45424191</v>
      </c>
      <c r="AK77">
        <v>18.45460199</v>
      </c>
      <c r="AL77">
        <v>18.456924820000001</v>
      </c>
      <c r="AM77">
        <v>18.456150579999999</v>
      </c>
      <c r="AN77">
        <v>18.594256300000001</v>
      </c>
      <c r="AO77">
        <v>18.74890736</v>
      </c>
      <c r="AP77">
        <v>18.900315549999998</v>
      </c>
      <c r="AQ77">
        <v>19.052751239999999</v>
      </c>
      <c r="AR77">
        <v>19.199043419999999</v>
      </c>
      <c r="AS77">
        <v>19.45025747</v>
      </c>
      <c r="AT77">
        <v>19.699426630000001</v>
      </c>
      <c r="AU77">
        <v>19.951381980000001</v>
      </c>
      <c r="AV77">
        <v>20.205406360000001</v>
      </c>
      <c r="AW77">
        <v>20.468750790000001</v>
      </c>
    </row>
    <row r="78" spans="2:49" x14ac:dyDescent="0.25">
      <c r="B78" t="s">
        <v>407</v>
      </c>
      <c r="C78">
        <v>0.28090746897060398</v>
      </c>
      <c r="D78">
        <v>0.28541752924702302</v>
      </c>
      <c r="E78">
        <v>0.28999999999999998</v>
      </c>
      <c r="F78">
        <v>0.30085689500000001</v>
      </c>
      <c r="G78">
        <v>0.30304963150000003</v>
      </c>
      <c r="H78">
        <v>0.29505319089999998</v>
      </c>
      <c r="I78">
        <v>0.31078895579999999</v>
      </c>
      <c r="J78">
        <v>0.31378430369999999</v>
      </c>
      <c r="K78">
        <v>0.32086418109999998</v>
      </c>
      <c r="L78">
        <v>0.3123690817</v>
      </c>
      <c r="M78">
        <v>0.32401066499999998</v>
      </c>
      <c r="N78">
        <v>0.31679735799999997</v>
      </c>
      <c r="O78">
        <v>0.30400755340000002</v>
      </c>
      <c r="P78">
        <v>0.30973670450000002</v>
      </c>
      <c r="Q78">
        <v>0.3110836635</v>
      </c>
      <c r="R78">
        <v>0.30939035669999998</v>
      </c>
      <c r="S78">
        <v>0.3127269721</v>
      </c>
      <c r="T78">
        <v>0.31853649369999998</v>
      </c>
      <c r="U78">
        <v>0.32317670399999998</v>
      </c>
      <c r="V78">
        <v>0.3318049186</v>
      </c>
      <c r="W78">
        <v>0.33679057429999998</v>
      </c>
      <c r="X78">
        <v>0.34058496630000001</v>
      </c>
      <c r="Y78">
        <v>0.34291816959999999</v>
      </c>
      <c r="Z78">
        <v>0.34593624830000003</v>
      </c>
      <c r="AA78">
        <v>0.3495187394</v>
      </c>
      <c r="AB78">
        <v>0.35317747469999999</v>
      </c>
      <c r="AC78">
        <v>0.3571546116</v>
      </c>
      <c r="AD78">
        <v>0.36064826249999998</v>
      </c>
      <c r="AE78">
        <v>0.36474108690000001</v>
      </c>
      <c r="AF78">
        <v>0.36897074800000002</v>
      </c>
      <c r="AG78">
        <v>0.37367723790000001</v>
      </c>
      <c r="AH78">
        <v>0.37913934249999998</v>
      </c>
      <c r="AI78">
        <v>0.38474056680000002</v>
      </c>
      <c r="AJ78">
        <v>0.39083721020000001</v>
      </c>
      <c r="AK78">
        <v>0.39693954479999999</v>
      </c>
      <c r="AL78">
        <v>0.40323081129999999</v>
      </c>
      <c r="AM78">
        <v>0.4095368566</v>
      </c>
      <c r="AN78">
        <v>0.41621106860000001</v>
      </c>
      <c r="AO78">
        <v>0.42303823369999999</v>
      </c>
      <c r="AP78">
        <v>0.42969089160000001</v>
      </c>
      <c r="AQ78">
        <v>0.4363206074</v>
      </c>
      <c r="AR78">
        <v>0.44284629060000003</v>
      </c>
      <c r="AS78">
        <v>0.4495039455</v>
      </c>
      <c r="AT78">
        <v>0.4561307926</v>
      </c>
      <c r="AU78">
        <v>0.46290966919999998</v>
      </c>
      <c r="AV78">
        <v>0.46975967549999997</v>
      </c>
      <c r="AW78">
        <v>0.47676713279999999</v>
      </c>
    </row>
    <row r="79" spans="2:49" x14ac:dyDescent="0.25">
      <c r="B79" t="s">
        <v>408</v>
      </c>
      <c r="C79">
        <v>11.323476938849501</v>
      </c>
      <c r="D79">
        <v>11.5052790237851</v>
      </c>
      <c r="E79">
        <v>11.69</v>
      </c>
      <c r="F79">
        <v>11.89879543</v>
      </c>
      <c r="G79">
        <v>11.884581430000001</v>
      </c>
      <c r="H79">
        <v>10.40627252</v>
      </c>
      <c r="I79">
        <v>11.02614281</v>
      </c>
      <c r="J79">
        <v>11.49327368</v>
      </c>
      <c r="K79">
        <v>11.33674121</v>
      </c>
      <c r="L79">
        <v>11.14343949</v>
      </c>
      <c r="M79">
        <v>11.065235789999999</v>
      </c>
      <c r="N79">
        <v>10.84581494</v>
      </c>
      <c r="O79">
        <v>10.0752147</v>
      </c>
      <c r="P79">
        <v>9.8314002239999905</v>
      </c>
      <c r="Q79">
        <v>9.6622395189999999</v>
      </c>
      <c r="R79">
        <v>9.2673775799999998</v>
      </c>
      <c r="S79">
        <v>8.9317724070000004</v>
      </c>
      <c r="T79">
        <v>9.2323890209999995</v>
      </c>
      <c r="U79">
        <v>9.3749915270000006</v>
      </c>
      <c r="V79">
        <v>9.6874869629999996</v>
      </c>
      <c r="W79">
        <v>10.051116589999999</v>
      </c>
      <c r="X79">
        <v>10.42830348</v>
      </c>
      <c r="Y79">
        <v>10.62016976</v>
      </c>
      <c r="Z79">
        <v>10.88602399</v>
      </c>
      <c r="AA79">
        <v>11.19583793</v>
      </c>
      <c r="AB79">
        <v>11.54656192</v>
      </c>
      <c r="AC79">
        <v>11.95676553</v>
      </c>
      <c r="AD79">
        <v>12.04196322</v>
      </c>
      <c r="AE79">
        <v>12.164273959999999</v>
      </c>
      <c r="AF79">
        <v>12.298355920000001</v>
      </c>
      <c r="AG79">
        <v>12.4462107</v>
      </c>
      <c r="AH79">
        <v>12.61584075</v>
      </c>
      <c r="AI79">
        <v>12.80632325</v>
      </c>
      <c r="AJ79">
        <v>13.00697847</v>
      </c>
      <c r="AK79">
        <v>13.21500208</v>
      </c>
      <c r="AL79">
        <v>13.429376019999999</v>
      </c>
      <c r="AM79">
        <v>13.644720380000001</v>
      </c>
      <c r="AN79">
        <v>13.905898820000001</v>
      </c>
      <c r="AO79">
        <v>14.19558075</v>
      </c>
      <c r="AP79">
        <v>14.488178599999999</v>
      </c>
      <c r="AQ79">
        <v>14.789920970000001</v>
      </c>
      <c r="AR79">
        <v>15.09234741</v>
      </c>
      <c r="AS79">
        <v>15.376247599999999</v>
      </c>
      <c r="AT79">
        <v>15.650916629999999</v>
      </c>
      <c r="AU79">
        <v>15.929899900000001</v>
      </c>
      <c r="AV79">
        <v>16.213170600000002</v>
      </c>
      <c r="AW79">
        <v>16.507739860000001</v>
      </c>
    </row>
    <row r="80" spans="2:49" x14ac:dyDescent="0.25">
      <c r="B80" t="s">
        <v>409</v>
      </c>
      <c r="C80">
        <v>12.401465507675301</v>
      </c>
      <c r="D80">
        <v>12.6005750477687</v>
      </c>
      <c r="E80">
        <v>12.802881360000001</v>
      </c>
      <c r="F80">
        <v>12.95566601</v>
      </c>
      <c r="G80">
        <v>13.34142319</v>
      </c>
      <c r="H80">
        <v>13.05453904</v>
      </c>
      <c r="I80">
        <v>13.31706232</v>
      </c>
      <c r="J80">
        <v>13.66777027</v>
      </c>
      <c r="K80">
        <v>13.982993779999999</v>
      </c>
      <c r="L80">
        <v>14.023287160000001</v>
      </c>
      <c r="M80">
        <v>13.963923879999999</v>
      </c>
      <c r="N80">
        <v>13.74589454</v>
      </c>
      <c r="O80">
        <v>13.65601133</v>
      </c>
      <c r="P80">
        <v>13.8648399</v>
      </c>
      <c r="Q80">
        <v>14.263389930000001</v>
      </c>
      <c r="R80">
        <v>14.28077553</v>
      </c>
      <c r="S80">
        <v>14.33528806</v>
      </c>
      <c r="T80">
        <v>14.31912554</v>
      </c>
      <c r="U80">
        <v>14.39713821</v>
      </c>
      <c r="V80">
        <v>14.4853191</v>
      </c>
      <c r="W80">
        <v>14.58498159</v>
      </c>
      <c r="X80">
        <v>14.695700390000001</v>
      </c>
      <c r="Y80">
        <v>14.7826164</v>
      </c>
      <c r="Z80">
        <v>14.89406767</v>
      </c>
      <c r="AA80">
        <v>15.01065039</v>
      </c>
      <c r="AB80">
        <v>15.12558179</v>
      </c>
      <c r="AC80">
        <v>15.238265609999999</v>
      </c>
      <c r="AD80">
        <v>15.350840099999999</v>
      </c>
      <c r="AE80">
        <v>15.46477136</v>
      </c>
      <c r="AF80">
        <v>15.577622440000001</v>
      </c>
      <c r="AG80">
        <v>15.688801979999999</v>
      </c>
      <c r="AH80">
        <v>15.798571219999999</v>
      </c>
      <c r="AI80">
        <v>15.90873577</v>
      </c>
      <c r="AJ80">
        <v>16.014422400000001</v>
      </c>
      <c r="AK80">
        <v>16.11452912</v>
      </c>
      <c r="AL80">
        <v>16.210071159999998</v>
      </c>
      <c r="AM80">
        <v>16.29927056</v>
      </c>
      <c r="AN80">
        <v>16.394463129999998</v>
      </c>
      <c r="AO80">
        <v>16.478649799999999</v>
      </c>
      <c r="AP80">
        <v>16.552166119999999</v>
      </c>
      <c r="AQ80">
        <v>16.61627112</v>
      </c>
      <c r="AR80">
        <v>16.67002527</v>
      </c>
      <c r="AS80">
        <v>16.71830361</v>
      </c>
      <c r="AT80">
        <v>16.756293580000001</v>
      </c>
      <c r="AU80">
        <v>16.784847800000001</v>
      </c>
      <c r="AV80">
        <v>16.803435230000002</v>
      </c>
      <c r="AW80">
        <v>16.823558429999999</v>
      </c>
    </row>
    <row r="81" spans="2:49" x14ac:dyDescent="0.25">
      <c r="B81" t="s">
        <v>410</v>
      </c>
      <c r="C81">
        <v>10.826676236859401</v>
      </c>
      <c r="D81">
        <v>11.000502025829901</v>
      </c>
      <c r="E81">
        <v>11.17711864</v>
      </c>
      <c r="F81">
        <v>11.88783493</v>
      </c>
      <c r="G81">
        <v>12.504639129999999</v>
      </c>
      <c r="H81">
        <v>11.787154080000001</v>
      </c>
      <c r="I81">
        <v>12.31025775</v>
      </c>
      <c r="J81">
        <v>12.87104454</v>
      </c>
      <c r="K81">
        <v>13.217652709999999</v>
      </c>
      <c r="L81">
        <v>13.28064095</v>
      </c>
      <c r="M81">
        <v>13.295464689999999</v>
      </c>
      <c r="N81">
        <v>13.068312840000001</v>
      </c>
      <c r="O81">
        <v>12.451328670000001</v>
      </c>
      <c r="P81">
        <v>12.503448819999999</v>
      </c>
      <c r="Q81">
        <v>12.948171759999999</v>
      </c>
      <c r="R81">
        <v>12.810045179999999</v>
      </c>
      <c r="S81">
        <v>12.634897280000001</v>
      </c>
      <c r="T81">
        <v>12.736727139999999</v>
      </c>
      <c r="U81">
        <v>12.766863130000001</v>
      </c>
      <c r="V81">
        <v>12.803144919999999</v>
      </c>
      <c r="W81">
        <v>13.078122219999999</v>
      </c>
      <c r="X81">
        <v>13.396180899999999</v>
      </c>
      <c r="Y81">
        <v>13.614864430000001</v>
      </c>
      <c r="Z81">
        <v>13.79315579</v>
      </c>
      <c r="AA81">
        <v>13.94115934</v>
      </c>
      <c r="AB81">
        <v>14.06024631</v>
      </c>
      <c r="AC81">
        <v>14.15686979</v>
      </c>
      <c r="AD81">
        <v>14.236272080000001</v>
      </c>
      <c r="AE81">
        <v>14.302970910000001</v>
      </c>
      <c r="AF81">
        <v>14.356875479999999</v>
      </c>
      <c r="AG81">
        <v>14.4000228</v>
      </c>
      <c r="AH81">
        <v>14.43149425</v>
      </c>
      <c r="AI81">
        <v>14.45688313</v>
      </c>
      <c r="AJ81">
        <v>14.47266634</v>
      </c>
      <c r="AK81">
        <v>14.475275310000001</v>
      </c>
      <c r="AL81">
        <v>14.46802527</v>
      </c>
      <c r="AM81">
        <v>14.45053961</v>
      </c>
      <c r="AN81">
        <v>14.315929799999999</v>
      </c>
      <c r="AO81">
        <v>14.155714680000001</v>
      </c>
      <c r="AP81">
        <v>13.98936898</v>
      </c>
      <c r="AQ81">
        <v>13.821597690000001</v>
      </c>
      <c r="AR81">
        <v>13.65306545</v>
      </c>
      <c r="AS81">
        <v>13.486661339999999</v>
      </c>
      <c r="AT81">
        <v>13.31900551</v>
      </c>
      <c r="AU81">
        <v>13.152783429999999</v>
      </c>
      <c r="AV81">
        <v>12.98743483</v>
      </c>
      <c r="AW81">
        <v>12.82293851</v>
      </c>
    </row>
    <row r="82" spans="2:49" x14ac:dyDescent="0.25">
      <c r="B82" t="s">
        <v>411</v>
      </c>
      <c r="C82">
        <v>4.42659733299524E-4</v>
      </c>
      <c r="D82">
        <v>4.4976677849999601E-4</v>
      </c>
      <c r="E82">
        <v>4.5698792999999998E-4</v>
      </c>
      <c r="F82">
        <v>1.1398147399999999E-3</v>
      </c>
      <c r="G82">
        <v>2.15236507E-3</v>
      </c>
      <c r="H82">
        <v>3.7841784100000001E-3</v>
      </c>
      <c r="I82">
        <v>5.9827465100000003E-3</v>
      </c>
      <c r="J82">
        <v>8.8572469200000007E-3</v>
      </c>
      <c r="K82">
        <v>1.2199120799999999E-2</v>
      </c>
      <c r="L82">
        <v>1.6432146200000001E-2</v>
      </c>
      <c r="M82">
        <v>2.2070194800000002E-2</v>
      </c>
      <c r="N82">
        <v>2.8847076900000001E-2</v>
      </c>
      <c r="O82">
        <v>3.82021071E-2</v>
      </c>
      <c r="P82">
        <v>5.0413027499999999E-2</v>
      </c>
      <c r="Q82">
        <v>6.6148947700000002E-2</v>
      </c>
      <c r="R82">
        <v>8.6155696599999998E-2</v>
      </c>
      <c r="S82">
        <v>0.10933758909999999</v>
      </c>
      <c r="T82">
        <v>0.13474451069999999</v>
      </c>
      <c r="U82">
        <v>0.16640856919999999</v>
      </c>
      <c r="V82">
        <v>0.20584369229999999</v>
      </c>
      <c r="W82">
        <v>0.25294146239999998</v>
      </c>
      <c r="X82">
        <v>0.30752028050000002</v>
      </c>
      <c r="Y82">
        <v>0.37558083850000001</v>
      </c>
      <c r="Z82">
        <v>0.45597453380000003</v>
      </c>
      <c r="AA82">
        <v>0.54763711209999999</v>
      </c>
      <c r="AB82">
        <v>0.64903596819999998</v>
      </c>
      <c r="AC82">
        <v>0.75857269439999997</v>
      </c>
      <c r="AD82">
        <v>0.87516827799999997</v>
      </c>
      <c r="AE82">
        <v>0.99514899629999998</v>
      </c>
      <c r="AF82">
        <v>1.117231273</v>
      </c>
      <c r="AG82">
        <v>1.242188721</v>
      </c>
      <c r="AH82">
        <v>1.3689307310000001</v>
      </c>
      <c r="AI82">
        <v>1.49611257</v>
      </c>
      <c r="AJ82">
        <v>1.6279363819999999</v>
      </c>
      <c r="AK82">
        <v>1.7624533819999999</v>
      </c>
      <c r="AL82">
        <v>1.8985912300000001</v>
      </c>
      <c r="AM82">
        <v>2.0353942639999998</v>
      </c>
      <c r="AN82">
        <v>2.1719902339999999</v>
      </c>
      <c r="AO82">
        <v>2.3072014190000001</v>
      </c>
      <c r="AP82">
        <v>2.4414880019999998</v>
      </c>
      <c r="AQ82">
        <v>2.5747595140000001</v>
      </c>
      <c r="AR82">
        <v>2.7068603229999999</v>
      </c>
      <c r="AS82">
        <v>2.8377490719999998</v>
      </c>
      <c r="AT82">
        <v>2.966641214</v>
      </c>
      <c r="AU82">
        <v>3.093653475</v>
      </c>
      <c r="AV82">
        <v>3.2187901179999998</v>
      </c>
      <c r="AW82">
        <v>3.3421878139999999</v>
      </c>
    </row>
    <row r="83" spans="2:49" x14ac:dyDescent="0.25">
      <c r="B83" t="s">
        <v>412</v>
      </c>
      <c r="C83">
        <v>1.1996237928359601</v>
      </c>
      <c r="D83">
        <v>1.2188841408592499</v>
      </c>
      <c r="E83">
        <v>1.2389111850000001</v>
      </c>
      <c r="F83">
        <v>1.2858383259999999</v>
      </c>
      <c r="G83">
        <v>1.2630045640000001</v>
      </c>
      <c r="H83">
        <v>1.1171138140000001</v>
      </c>
      <c r="I83">
        <v>1.1710829760000001</v>
      </c>
      <c r="J83">
        <v>1.1860427099999999</v>
      </c>
      <c r="K83">
        <v>1.2027002449999999</v>
      </c>
      <c r="L83">
        <v>1.2016877939999999</v>
      </c>
      <c r="M83">
        <v>1.202136927</v>
      </c>
      <c r="N83">
        <v>1.190053209</v>
      </c>
      <c r="O83">
        <v>1.18442161</v>
      </c>
      <c r="P83">
        <v>1.2473014520000001</v>
      </c>
      <c r="Q83">
        <v>1.279879497</v>
      </c>
      <c r="R83">
        <v>1.317269383</v>
      </c>
      <c r="S83">
        <v>1.32128416</v>
      </c>
      <c r="T83">
        <v>1.343507867</v>
      </c>
      <c r="U83">
        <v>1.3656464269999999</v>
      </c>
      <c r="V83">
        <v>1.3959778540000001</v>
      </c>
      <c r="W83">
        <v>1.415158154</v>
      </c>
      <c r="X83">
        <v>1.454353714</v>
      </c>
      <c r="Y83">
        <v>1.50657603</v>
      </c>
      <c r="Z83">
        <v>1.5587008760000001</v>
      </c>
      <c r="AA83">
        <v>1.6133379269999999</v>
      </c>
      <c r="AB83">
        <v>1.668989574</v>
      </c>
      <c r="AC83">
        <v>1.7266274349999999</v>
      </c>
      <c r="AD83">
        <v>1.7996029389999999</v>
      </c>
      <c r="AE83">
        <v>1.8720212650000001</v>
      </c>
      <c r="AF83">
        <v>1.948347206</v>
      </c>
      <c r="AG83">
        <v>2.0278985920000001</v>
      </c>
      <c r="AH83">
        <v>2.107928147</v>
      </c>
      <c r="AI83">
        <v>2.1837007019999999</v>
      </c>
      <c r="AJ83">
        <v>2.2612517360000002</v>
      </c>
      <c r="AK83">
        <v>2.3403481739999998</v>
      </c>
      <c r="AL83">
        <v>2.4216451229999998</v>
      </c>
      <c r="AM83">
        <v>2.5044701379999998</v>
      </c>
      <c r="AN83">
        <v>2.5533742579999998</v>
      </c>
      <c r="AO83">
        <v>2.605343629</v>
      </c>
      <c r="AP83">
        <v>2.6579333489999999</v>
      </c>
      <c r="AQ83">
        <v>2.7117283599999999</v>
      </c>
      <c r="AR83">
        <v>2.765855094</v>
      </c>
      <c r="AS83">
        <v>2.7952989349999999</v>
      </c>
      <c r="AT83">
        <v>2.8246615940000002</v>
      </c>
      <c r="AU83">
        <v>2.8545485620000002</v>
      </c>
      <c r="AV83">
        <v>2.8847528520000001</v>
      </c>
      <c r="AW83">
        <v>2.9162090740000002</v>
      </c>
    </row>
    <row r="84" spans="2:49" x14ac:dyDescent="0.25">
      <c r="B84" t="s">
        <v>413</v>
      </c>
      <c r="C84">
        <v>0.33902625565417799</v>
      </c>
      <c r="D84">
        <v>0.34446943184985501</v>
      </c>
      <c r="E84">
        <v>0.35</v>
      </c>
      <c r="F84">
        <v>0.36563395599999998</v>
      </c>
      <c r="G84">
        <v>0.35807522879999998</v>
      </c>
      <c r="H84">
        <v>0.36208384119999998</v>
      </c>
      <c r="I84">
        <v>0.38703054580000001</v>
      </c>
      <c r="J84">
        <v>0.38351683879999998</v>
      </c>
      <c r="K84">
        <v>0.37826587220000002</v>
      </c>
      <c r="L84">
        <v>0.36754061310000002</v>
      </c>
      <c r="M84">
        <v>0.38890079900000002</v>
      </c>
      <c r="N84">
        <v>0.39829351559999998</v>
      </c>
      <c r="O84">
        <v>0.39918242409999999</v>
      </c>
      <c r="P84">
        <v>0.4045395436</v>
      </c>
      <c r="Q84">
        <v>0.38174777970000001</v>
      </c>
      <c r="R84">
        <v>0.37289790649999999</v>
      </c>
      <c r="S84">
        <v>0.3740642951</v>
      </c>
      <c r="T84">
        <v>0.37983786809999998</v>
      </c>
      <c r="U84">
        <v>0.38595434169999998</v>
      </c>
      <c r="V84">
        <v>0.3965511645</v>
      </c>
      <c r="W84">
        <v>0.40071253449999999</v>
      </c>
      <c r="X84">
        <v>0.4025480293</v>
      </c>
      <c r="Y84">
        <v>0.40538328010000002</v>
      </c>
      <c r="Z84">
        <v>0.40927118229999998</v>
      </c>
      <c r="AA84">
        <v>0.41404797879999999</v>
      </c>
      <c r="AB84">
        <v>0.41928969510000003</v>
      </c>
      <c r="AC84">
        <v>0.4250644898</v>
      </c>
      <c r="AD84">
        <v>0.43027687310000001</v>
      </c>
      <c r="AE84">
        <v>0.43584431870000001</v>
      </c>
      <c r="AF84">
        <v>0.44127415489999999</v>
      </c>
      <c r="AG84">
        <v>0.44721987010000003</v>
      </c>
      <c r="AH84">
        <v>0.4540349528</v>
      </c>
      <c r="AI84">
        <v>0.4604779161</v>
      </c>
      <c r="AJ84">
        <v>0.46742335029999998</v>
      </c>
      <c r="AK84">
        <v>0.47452628349999998</v>
      </c>
      <c r="AL84">
        <v>0.48186822309999999</v>
      </c>
      <c r="AM84">
        <v>0.48930281149999999</v>
      </c>
      <c r="AN84">
        <v>0.49719330880000001</v>
      </c>
      <c r="AO84">
        <v>0.50552030550000004</v>
      </c>
      <c r="AP84">
        <v>0.51374983679999997</v>
      </c>
      <c r="AQ84">
        <v>0.52200426970000002</v>
      </c>
      <c r="AR84">
        <v>0.5301905267</v>
      </c>
      <c r="AS84">
        <v>0.53846275899999996</v>
      </c>
      <c r="AT84">
        <v>0.54684887360000001</v>
      </c>
      <c r="AU84">
        <v>0.55535874829999998</v>
      </c>
      <c r="AV84">
        <v>0.56392854550000004</v>
      </c>
      <c r="AW84">
        <v>0.57265893489999997</v>
      </c>
    </row>
    <row r="85" spans="2:49" x14ac:dyDescent="0.25">
      <c r="B85" t="s">
        <v>414</v>
      </c>
      <c r="C85">
        <v>12.8442518570697</v>
      </c>
      <c r="D85">
        <v>13.0504704752259</v>
      </c>
      <c r="E85">
        <v>13.26</v>
      </c>
      <c r="F85">
        <v>13.635192719999999</v>
      </c>
      <c r="G85">
        <v>13.224408889999999</v>
      </c>
      <c r="H85">
        <v>12.17889798</v>
      </c>
      <c r="I85">
        <v>12.74901554</v>
      </c>
      <c r="J85">
        <v>13.028003549999999</v>
      </c>
      <c r="K85">
        <v>12.436908819999999</v>
      </c>
      <c r="L85">
        <v>12.23394994</v>
      </c>
      <c r="M85">
        <v>12.417664050000001</v>
      </c>
      <c r="N85">
        <v>12.739125980000001</v>
      </c>
      <c r="O85">
        <v>13.067225929999999</v>
      </c>
      <c r="P85">
        <v>13.41604025</v>
      </c>
      <c r="Q85">
        <v>13.124332389999999</v>
      </c>
      <c r="R85">
        <v>13.049598250000001</v>
      </c>
      <c r="S85">
        <v>13.09735244</v>
      </c>
      <c r="T85">
        <v>13.4650502</v>
      </c>
      <c r="U85">
        <v>13.50532789</v>
      </c>
      <c r="V85">
        <v>13.738700189999999</v>
      </c>
      <c r="W85">
        <v>13.827015189999999</v>
      </c>
      <c r="X85">
        <v>13.81736327</v>
      </c>
      <c r="Y85">
        <v>13.92640681</v>
      </c>
      <c r="Z85">
        <v>14.203129029999999</v>
      </c>
      <c r="AA85">
        <v>14.55291819</v>
      </c>
      <c r="AB85">
        <v>14.96800459</v>
      </c>
      <c r="AC85">
        <v>15.462084279999999</v>
      </c>
      <c r="AD85">
        <v>15.5681969</v>
      </c>
      <c r="AE85" s="100">
        <v>15.70896443</v>
      </c>
      <c r="AF85" s="100">
        <v>15.8535328</v>
      </c>
      <c r="AG85">
        <v>16.014922559999999</v>
      </c>
      <c r="AH85">
        <v>16.20438223</v>
      </c>
      <c r="AI85">
        <v>16.390715520000001</v>
      </c>
      <c r="AJ85" s="100">
        <v>16.583827450000001</v>
      </c>
      <c r="AK85">
        <v>16.7899508</v>
      </c>
      <c r="AL85">
        <v>17.00362269</v>
      </c>
      <c r="AM85">
        <v>17.21977051</v>
      </c>
      <c r="AN85">
        <v>17.37421522</v>
      </c>
      <c r="AO85">
        <v>17.53891453</v>
      </c>
      <c r="AP85">
        <v>17.692598220000001</v>
      </c>
      <c r="AQ85">
        <v>17.843936859999999</v>
      </c>
      <c r="AR85">
        <v>17.982162580000001</v>
      </c>
      <c r="AS85">
        <v>18.168947240000001</v>
      </c>
      <c r="AT85">
        <v>18.359785800000001</v>
      </c>
      <c r="AU85">
        <v>18.55214629</v>
      </c>
      <c r="AV85">
        <v>18.744402619999999</v>
      </c>
      <c r="AW85">
        <v>18.946588160000001</v>
      </c>
    </row>
    <row r="86" spans="2:49" x14ac:dyDescent="0.25">
      <c r="B86" t="s">
        <v>415</v>
      </c>
      <c r="C86" s="100">
        <v>17.113958899133198</v>
      </c>
      <c r="D86">
        <v>17.388729044925601</v>
      </c>
      <c r="E86">
        <v>17.667910710000001</v>
      </c>
      <c r="F86">
        <v>17.71000639</v>
      </c>
      <c r="G86" s="100">
        <v>17.47104706</v>
      </c>
      <c r="H86">
        <v>17.334980470000001</v>
      </c>
      <c r="I86">
        <v>17.581939460000001</v>
      </c>
      <c r="J86">
        <v>17.4736926</v>
      </c>
      <c r="K86" s="100">
        <v>17.019610180000001</v>
      </c>
      <c r="L86" s="100">
        <v>16.753352830000001</v>
      </c>
      <c r="M86" s="100">
        <v>16.70165751</v>
      </c>
      <c r="N86">
        <v>16.818088110000001</v>
      </c>
      <c r="O86">
        <v>17.076298090000002</v>
      </c>
      <c r="P86">
        <v>16.983465160000002</v>
      </c>
      <c r="Q86">
        <v>16.30998408</v>
      </c>
      <c r="R86">
        <v>15.79359915</v>
      </c>
      <c r="S86">
        <v>15.37916025</v>
      </c>
      <c r="T86">
        <v>14.86745621</v>
      </c>
      <c r="U86">
        <v>14.55215585</v>
      </c>
      <c r="V86">
        <v>14.206951200000001</v>
      </c>
      <c r="W86">
        <v>13.858658760000001</v>
      </c>
      <c r="X86">
        <v>13.53491753</v>
      </c>
      <c r="Y86">
        <v>13.31786206</v>
      </c>
      <c r="Z86">
        <v>13.14402505</v>
      </c>
      <c r="AA86">
        <v>13.00262405</v>
      </c>
      <c r="AB86">
        <v>12.887244689999999</v>
      </c>
      <c r="AC86">
        <v>12.78620375</v>
      </c>
      <c r="AD86">
        <v>12.70014342</v>
      </c>
      <c r="AE86">
        <v>12.6126892</v>
      </c>
      <c r="AF86">
        <v>12.524563000000001</v>
      </c>
      <c r="AG86">
        <v>12.4427968</v>
      </c>
      <c r="AH86">
        <v>12.364549540000001</v>
      </c>
      <c r="AI86">
        <v>12.27460831</v>
      </c>
      <c r="AJ86">
        <v>12.186782600000001</v>
      </c>
      <c r="AK86">
        <v>12.102883820000001</v>
      </c>
      <c r="AL86">
        <v>12.01892451</v>
      </c>
      <c r="AM86">
        <v>11.935708269999999</v>
      </c>
      <c r="AN86">
        <v>11.842675959999999</v>
      </c>
      <c r="AO86">
        <v>11.74853036</v>
      </c>
      <c r="AP86">
        <v>11.647975779999999</v>
      </c>
      <c r="AQ86">
        <v>11.540718</v>
      </c>
      <c r="AR86">
        <v>11.426941960000001</v>
      </c>
      <c r="AS86">
        <v>11.298755180000001</v>
      </c>
      <c r="AT86">
        <v>11.162571570000001</v>
      </c>
      <c r="AU86">
        <v>11.01672844</v>
      </c>
      <c r="AV86">
        <v>10.86309204</v>
      </c>
      <c r="AW86">
        <v>10.706951310000001</v>
      </c>
    </row>
    <row r="87" spans="2:49" x14ac:dyDescent="0.25">
      <c r="B87" t="s">
        <v>416</v>
      </c>
      <c r="C87" s="100">
        <v>5.6395460874857797</v>
      </c>
      <c r="D87" s="100">
        <v>5.7300908240832298</v>
      </c>
      <c r="E87" s="100">
        <v>5.8220892859999998</v>
      </c>
      <c r="F87">
        <v>6.3649048800000001</v>
      </c>
      <c r="G87">
        <v>6.7071242209999999</v>
      </c>
      <c r="H87">
        <v>7.0442581080000002</v>
      </c>
      <c r="I87">
        <v>7.7511234450000002</v>
      </c>
      <c r="J87">
        <v>8.2281112029999903</v>
      </c>
      <c r="K87">
        <v>8.4391064339999904</v>
      </c>
      <c r="L87">
        <v>8.9031037919999996</v>
      </c>
      <c r="M87">
        <v>9.7320375200000004</v>
      </c>
      <c r="N87">
        <v>11.0733297</v>
      </c>
      <c r="O87">
        <v>11.58103931</v>
      </c>
      <c r="P87">
        <v>11.40325095</v>
      </c>
      <c r="Q87">
        <v>10.44874431</v>
      </c>
      <c r="R87">
        <v>9.7968948910000009</v>
      </c>
      <c r="S87">
        <v>9.3728534789999998</v>
      </c>
      <c r="T87">
        <v>9.2884151470000003</v>
      </c>
      <c r="U87">
        <v>9.2311978989999997</v>
      </c>
      <c r="V87">
        <v>9.1813714649999998</v>
      </c>
      <c r="W87">
        <v>9.1859253560000003</v>
      </c>
      <c r="X87">
        <v>9.1979005409999903</v>
      </c>
      <c r="Y87">
        <v>9.2301899840000008</v>
      </c>
      <c r="Z87">
        <v>9.2469959349999904</v>
      </c>
      <c r="AA87">
        <v>9.2558549039999996</v>
      </c>
      <c r="AB87">
        <v>9.2611403180000007</v>
      </c>
      <c r="AC87">
        <v>9.2604014019999994</v>
      </c>
      <c r="AD87">
        <v>9.2537215980000003</v>
      </c>
      <c r="AE87">
        <v>9.2310293649999995</v>
      </c>
      <c r="AF87">
        <v>9.1932991830000006</v>
      </c>
      <c r="AG87">
        <v>9.1520934339999904</v>
      </c>
      <c r="AH87">
        <v>9.1058185690000002</v>
      </c>
      <c r="AI87">
        <v>9.0449922740000002</v>
      </c>
      <c r="AJ87">
        <v>8.9795209440000008</v>
      </c>
      <c r="AK87">
        <v>8.9117865950000006</v>
      </c>
      <c r="AL87">
        <v>8.8408747129999998</v>
      </c>
      <c r="AM87">
        <v>8.7677531099999904</v>
      </c>
      <c r="AN87">
        <v>8.6399812950000001</v>
      </c>
      <c r="AO87">
        <v>8.5069616949999904</v>
      </c>
      <c r="AP87">
        <v>8.3744945000000008</v>
      </c>
      <c r="AQ87">
        <v>8.2437229989999903</v>
      </c>
      <c r="AR87">
        <v>8.1150125509999995</v>
      </c>
      <c r="AS87">
        <v>7.9873831639999997</v>
      </c>
      <c r="AT87">
        <v>7.8628446329999999</v>
      </c>
      <c r="AU87" s="100">
        <v>7.7396486229999999</v>
      </c>
      <c r="AV87" s="100">
        <v>7.6179416800000004</v>
      </c>
      <c r="AW87">
        <v>7.49758792</v>
      </c>
    </row>
    <row r="88" spans="2:49" x14ac:dyDescent="0.25">
      <c r="B88" t="s">
        <v>417</v>
      </c>
      <c r="C88" s="100">
        <v>1.0609788529198101E-6</v>
      </c>
      <c r="D88" s="100">
        <v>1.0780132115867701E-6</v>
      </c>
      <c r="E88" s="100">
        <v>1.0953210600000001E-6</v>
      </c>
      <c r="F88" s="100">
        <v>1.1757837900000001E-6</v>
      </c>
      <c r="G88" s="100">
        <v>2.2540386300000001E-6</v>
      </c>
      <c r="H88" s="100">
        <v>3.33755796E-6</v>
      </c>
      <c r="I88" s="100">
        <v>4.3788190999999997E-6</v>
      </c>
      <c r="J88" s="100">
        <v>5.7707407899999996E-6</v>
      </c>
      <c r="K88" s="100">
        <v>7.1292652200000001E-6</v>
      </c>
      <c r="L88" s="100">
        <v>8.3802677300000005E-6</v>
      </c>
      <c r="M88" s="100">
        <v>9.5977691299999994E-6</v>
      </c>
      <c r="N88" s="100">
        <v>1.04011127E-5</v>
      </c>
      <c r="O88" s="100">
        <v>1.1140251899999999E-5</v>
      </c>
      <c r="P88" s="100">
        <v>1.17463299E-5</v>
      </c>
      <c r="Q88" s="100">
        <v>1.2967092399999999E-5</v>
      </c>
      <c r="R88" s="100">
        <v>1.4270477E-5</v>
      </c>
      <c r="S88" s="100">
        <v>1.59216087E-5</v>
      </c>
      <c r="T88" s="100">
        <v>1.7085098200000001E-5</v>
      </c>
      <c r="U88" s="100">
        <v>1.8890474900000002E-5</v>
      </c>
      <c r="V88" s="100">
        <v>2.0967450199999998E-5</v>
      </c>
      <c r="W88" s="100">
        <v>2.29677751E-5</v>
      </c>
      <c r="X88" s="100">
        <v>2.48489206E-5</v>
      </c>
      <c r="Y88" s="100">
        <v>2.69832071E-5</v>
      </c>
      <c r="Z88" s="100">
        <v>2.9108128300000001E-5</v>
      </c>
      <c r="AA88" s="100">
        <v>3.1166142400000001E-5</v>
      </c>
      <c r="AB88" s="100">
        <v>3.3112784599999998E-5</v>
      </c>
      <c r="AC88" s="100">
        <v>3.4922012000000002E-5</v>
      </c>
      <c r="AD88" s="100">
        <v>3.6591635E-5</v>
      </c>
      <c r="AE88" s="100">
        <v>3.7947149999999998E-5</v>
      </c>
      <c r="AF88" s="100">
        <v>3.9106691200000001E-5</v>
      </c>
      <c r="AG88" s="100">
        <v>4.0123936599999999E-5</v>
      </c>
      <c r="AH88" s="100">
        <v>4.0873254899999999E-5</v>
      </c>
      <c r="AI88" s="100">
        <v>4.1617779999999998E-5</v>
      </c>
      <c r="AJ88" s="100">
        <v>4.2322507300000001E-5</v>
      </c>
      <c r="AK88" s="100">
        <v>4.29692024E-5</v>
      </c>
      <c r="AL88" s="100">
        <v>4.3556742799999997E-5</v>
      </c>
      <c r="AM88" s="100">
        <v>4.4084744800000002E-5</v>
      </c>
      <c r="AN88" s="100">
        <v>4.4551926499999999E-5</v>
      </c>
      <c r="AO88" s="100">
        <v>4.4978430900000003E-5</v>
      </c>
      <c r="AP88" s="100">
        <v>4.5377972800000001E-5</v>
      </c>
      <c r="AQ88" s="100">
        <v>4.5756777799999999E-5</v>
      </c>
      <c r="AR88" s="100">
        <v>4.6119569300000001E-5</v>
      </c>
      <c r="AS88" s="100">
        <v>4.6457175399999998E-5</v>
      </c>
      <c r="AT88" s="100">
        <v>4.6781789999999999E-5</v>
      </c>
      <c r="AU88" s="100">
        <v>4.7099118899999998E-5</v>
      </c>
      <c r="AV88" s="100">
        <v>4.7412809399999999E-5</v>
      </c>
      <c r="AW88" s="100">
        <v>4.7727803400000002E-5</v>
      </c>
    </row>
    <row r="89" spans="2:49" x14ac:dyDescent="0.25">
      <c r="B89" t="s">
        <v>418</v>
      </c>
      <c r="C89">
        <v>0.26347077198670499</v>
      </c>
      <c r="D89">
        <v>0.26770088045298701</v>
      </c>
      <c r="E89">
        <v>0.27206078020000002</v>
      </c>
      <c r="F89">
        <v>0.30133057190000001</v>
      </c>
      <c r="G89">
        <v>0.29310632720000002</v>
      </c>
      <c r="H89">
        <v>0.2428313829</v>
      </c>
      <c r="I89">
        <v>0.2470397952</v>
      </c>
      <c r="J89">
        <v>0.2414812882</v>
      </c>
      <c r="K89">
        <v>0.26134420670000003</v>
      </c>
      <c r="L89">
        <v>0.25733040190000001</v>
      </c>
      <c r="M89">
        <v>0.2496991174</v>
      </c>
      <c r="N89">
        <v>0.2441534853</v>
      </c>
      <c r="O89">
        <v>0.2325130295</v>
      </c>
      <c r="P89">
        <v>0.23832326979999999</v>
      </c>
      <c r="Q89">
        <v>0.2437675138</v>
      </c>
      <c r="R89">
        <v>0.25265227080000002</v>
      </c>
      <c r="S89">
        <v>0.26811671860000003</v>
      </c>
      <c r="T89">
        <v>0.32832053770000003</v>
      </c>
      <c r="U89">
        <v>0.37697900359999997</v>
      </c>
      <c r="V89">
        <v>0.41990396149999998</v>
      </c>
      <c r="W89">
        <v>0.45136389869999999</v>
      </c>
      <c r="X89">
        <v>0.58133908359999997</v>
      </c>
      <c r="Y89">
        <v>0.72346233319999997</v>
      </c>
      <c r="Z89">
        <v>0.87093090049999999</v>
      </c>
      <c r="AA89">
        <v>1.0228682600000001</v>
      </c>
      <c r="AB89">
        <v>1.179059021</v>
      </c>
      <c r="AC89">
        <v>1.3402763090000001</v>
      </c>
      <c r="AD89">
        <v>1.527665088</v>
      </c>
      <c r="AE89">
        <v>1.719022193</v>
      </c>
      <c r="AF89">
        <v>1.915238394</v>
      </c>
      <c r="AG89">
        <v>2.1162965269999998</v>
      </c>
      <c r="AH89">
        <v>2.3221042829999998</v>
      </c>
      <c r="AI89">
        <v>2.4848416499999999</v>
      </c>
      <c r="AJ89">
        <v>2.6516038229999999</v>
      </c>
      <c r="AK89">
        <v>2.823163278</v>
      </c>
      <c r="AL89">
        <v>2.999342655</v>
      </c>
      <c r="AM89">
        <v>3.179514003</v>
      </c>
      <c r="AN89">
        <v>3.2699824290000001</v>
      </c>
      <c r="AO89">
        <v>3.3651357329999998</v>
      </c>
      <c r="AP89">
        <v>3.4616211649999999</v>
      </c>
      <c r="AQ89">
        <v>3.5603954409999998</v>
      </c>
      <c r="AR89">
        <v>3.6599146409999999</v>
      </c>
      <c r="AS89">
        <v>3.7082392180000001</v>
      </c>
      <c r="AT89">
        <v>3.756286271</v>
      </c>
      <c r="AU89">
        <v>3.8049433229999998</v>
      </c>
      <c r="AV89">
        <v>3.8540906060000002</v>
      </c>
      <c r="AW89">
        <v>3.9051210260000002</v>
      </c>
    </row>
    <row r="90" spans="2:49" x14ac:dyDescent="0.25">
      <c r="B90" t="s">
        <v>419</v>
      </c>
      <c r="C90">
        <v>2318131524.4374599</v>
      </c>
      <c r="D90">
        <v>2355349875.8831902</v>
      </c>
      <c r="E90" s="100">
        <v>2393165780</v>
      </c>
      <c r="F90" s="100">
        <v>2417743066</v>
      </c>
      <c r="G90" s="100">
        <v>2442572755</v>
      </c>
      <c r="H90">
        <v>2467657440</v>
      </c>
      <c r="I90" s="100">
        <v>2492999739</v>
      </c>
      <c r="J90" s="100">
        <v>2518602297</v>
      </c>
      <c r="K90" s="100">
        <v>2544467789</v>
      </c>
      <c r="L90" s="100">
        <v>2570598913</v>
      </c>
      <c r="M90" s="10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2894524521</v>
      </c>
      <c r="X90" s="100">
        <v>2924411523</v>
      </c>
      <c r="Y90">
        <v>2953544095</v>
      </c>
      <c r="Z90">
        <v>2981851909</v>
      </c>
      <c r="AA90">
        <v>3009484025</v>
      </c>
      <c r="AB90">
        <v>3036284686</v>
      </c>
      <c r="AC90">
        <v>3062184172</v>
      </c>
      <c r="AD90">
        <v>3087964217</v>
      </c>
      <c r="AE90">
        <v>3113483048</v>
      </c>
      <c r="AF90">
        <v>3138686341</v>
      </c>
      <c r="AG90">
        <v>3163564425</v>
      </c>
      <c r="AH90">
        <v>3188384924</v>
      </c>
      <c r="AI90">
        <v>3212818008</v>
      </c>
      <c r="AJ90">
        <v>3236712515</v>
      </c>
      <c r="AK90">
        <v>3260337894</v>
      </c>
      <c r="AL90">
        <v>3283638812</v>
      </c>
      <c r="AM90">
        <v>3306510935</v>
      </c>
      <c r="AN90">
        <v>3328474335</v>
      </c>
      <c r="AO90">
        <v>3349315510</v>
      </c>
      <c r="AP90">
        <v>3369011741</v>
      </c>
      <c r="AQ90">
        <v>3387834688</v>
      </c>
      <c r="AR90">
        <v>3405571666</v>
      </c>
      <c r="AS90">
        <v>3422253727</v>
      </c>
      <c r="AT90">
        <v>3438013091</v>
      </c>
      <c r="AU90">
        <v>3452736286</v>
      </c>
      <c r="AV90">
        <v>3466409026</v>
      </c>
      <c r="AW90">
        <v>3479017918</v>
      </c>
    </row>
    <row r="91" spans="2:49" x14ac:dyDescent="0.25">
      <c r="B91" t="s">
        <v>420</v>
      </c>
      <c r="C91" s="100">
        <v>640398.31806251395</v>
      </c>
      <c r="D91">
        <v>650680.12020171306</v>
      </c>
      <c r="E91">
        <v>661127</v>
      </c>
      <c r="F91">
        <v>1660156.2679999999</v>
      </c>
      <c r="G91" s="100">
        <v>3789924.5449999999</v>
      </c>
      <c r="H91">
        <v>5952777.7549999999</v>
      </c>
      <c r="I91">
        <v>7618992.4689999996</v>
      </c>
      <c r="J91">
        <v>9114755.409</v>
      </c>
      <c r="K91" s="100">
        <v>10784923.720000001</v>
      </c>
      <c r="L91" s="100">
        <v>12431719.199999999</v>
      </c>
      <c r="M91">
        <v>14261448.27</v>
      </c>
      <c r="N91" s="100">
        <v>16200448.380000001</v>
      </c>
      <c r="O91">
        <v>18103818.379999999</v>
      </c>
      <c r="P91">
        <v>20632973.399999999</v>
      </c>
      <c r="Q91">
        <v>24460773.640000001</v>
      </c>
      <c r="R91">
        <v>30040949.77</v>
      </c>
      <c r="S91">
        <v>37439901.039999999</v>
      </c>
      <c r="T91">
        <v>45265623.859999999</v>
      </c>
      <c r="U91">
        <v>54825329.340000004</v>
      </c>
      <c r="V91">
        <v>64559826.5</v>
      </c>
      <c r="W91">
        <v>73846387.439999998</v>
      </c>
      <c r="X91">
        <v>81701791.920000002</v>
      </c>
      <c r="Y91">
        <v>88352486.269999996</v>
      </c>
      <c r="Z91">
        <v>93299885.609999999</v>
      </c>
      <c r="AA91">
        <v>98167328.400000006</v>
      </c>
      <c r="AB91">
        <v>103140485.8</v>
      </c>
      <c r="AC91">
        <v>108334629.7</v>
      </c>
      <c r="AD91">
        <v>113865711.40000001</v>
      </c>
      <c r="AE91">
        <v>119756816.5</v>
      </c>
      <c r="AF91">
        <v>126040229.90000001</v>
      </c>
      <c r="AG91">
        <v>132739742.09999999</v>
      </c>
      <c r="AH91">
        <v>139881929.90000001</v>
      </c>
      <c r="AI91" s="100">
        <v>147453348.30000001</v>
      </c>
      <c r="AJ91">
        <v>155448733.5</v>
      </c>
      <c r="AK91">
        <v>163923644.40000001</v>
      </c>
      <c r="AL91" s="100">
        <v>172915645.19999999</v>
      </c>
      <c r="AM91">
        <v>182450791.09999999</v>
      </c>
      <c r="AN91">
        <v>192507127.90000001</v>
      </c>
      <c r="AO91">
        <v>203103275.69999999</v>
      </c>
      <c r="AP91">
        <v>214272947.40000001</v>
      </c>
      <c r="AQ91">
        <v>226098395.40000001</v>
      </c>
      <c r="AR91" s="100">
        <v>238567327.09999999</v>
      </c>
      <c r="AS91">
        <v>251707540.09999999</v>
      </c>
      <c r="AT91">
        <v>265577681.19999999</v>
      </c>
      <c r="AU91">
        <v>280174703.69999999</v>
      </c>
      <c r="AV91">
        <v>295493330.89999998</v>
      </c>
      <c r="AW91">
        <v>311518043.89999998</v>
      </c>
    </row>
    <row r="92" spans="2:49" x14ac:dyDescent="0.25">
      <c r="B92" t="s">
        <v>421</v>
      </c>
      <c r="C92" s="100">
        <v>41062689.603059798</v>
      </c>
      <c r="D92">
        <v>41721964.366740197</v>
      </c>
      <c r="E92">
        <v>42391824</v>
      </c>
      <c r="F92">
        <v>47466470.539999999</v>
      </c>
      <c r="G92" s="100">
        <v>54396446.799999997</v>
      </c>
      <c r="H92">
        <v>61336958.5</v>
      </c>
      <c r="I92">
        <v>66925881.18</v>
      </c>
      <c r="J92">
        <v>72321007.75</v>
      </c>
      <c r="K92" s="100">
        <v>78146280.620000005</v>
      </c>
      <c r="L92" s="100">
        <v>84735270.120000005</v>
      </c>
      <c r="M92">
        <v>91885239.099999994</v>
      </c>
      <c r="N92">
        <v>99005000.189999998</v>
      </c>
      <c r="O92">
        <v>105223453.90000001</v>
      </c>
      <c r="P92">
        <v>113408047</v>
      </c>
      <c r="Q92">
        <v>123776047.59999999</v>
      </c>
      <c r="R92">
        <v>139786061.09999999</v>
      </c>
      <c r="S92">
        <v>157930829.30000001</v>
      </c>
      <c r="T92">
        <v>179559658.5</v>
      </c>
      <c r="U92">
        <v>201701971.19999999</v>
      </c>
      <c r="V92">
        <v>225941903.30000001</v>
      </c>
      <c r="W92">
        <v>248626422.59999999</v>
      </c>
      <c r="X92">
        <v>271112927.10000002</v>
      </c>
      <c r="Y92">
        <v>289528496.19999999</v>
      </c>
      <c r="Z92">
        <v>304903086.5</v>
      </c>
      <c r="AA92">
        <v>319400209.19999999</v>
      </c>
      <c r="AB92">
        <v>333612220.69999999</v>
      </c>
      <c r="AC92">
        <v>347853559</v>
      </c>
      <c r="AD92">
        <v>362349786.30000001</v>
      </c>
      <c r="AE92">
        <v>377131433.80000001</v>
      </c>
      <c r="AF92">
        <v>392243241.80000001</v>
      </c>
      <c r="AG92">
        <v>407699975.30000001</v>
      </c>
      <c r="AH92">
        <v>423501501.80000001</v>
      </c>
      <c r="AI92">
        <v>439597227.10000002</v>
      </c>
      <c r="AJ92">
        <v>455948441.30000001</v>
      </c>
      <c r="AK92">
        <v>472610477.5</v>
      </c>
      <c r="AL92">
        <v>489609709.10000002</v>
      </c>
      <c r="AM92">
        <v>506946526.10000002</v>
      </c>
      <c r="AN92">
        <v>524556746.10000002</v>
      </c>
      <c r="AO92">
        <v>542454529</v>
      </c>
      <c r="AP92">
        <v>560646360.39999998</v>
      </c>
      <c r="AQ92">
        <v>579191555.70000005</v>
      </c>
      <c r="AR92">
        <v>598006070.5</v>
      </c>
      <c r="AS92">
        <v>617060993.10000002</v>
      </c>
      <c r="AT92">
        <v>636369967.39999998</v>
      </c>
      <c r="AU92">
        <v>655853645.79999995</v>
      </c>
      <c r="AV92">
        <v>675432140.89999998</v>
      </c>
      <c r="AW92">
        <v>695015542.10000002</v>
      </c>
    </row>
    <row r="93" spans="2:49" x14ac:dyDescent="0.25">
      <c r="B93" t="s">
        <v>422</v>
      </c>
      <c r="C93" s="100">
        <v>291506404.18067801</v>
      </c>
      <c r="D93" s="100">
        <v>296186633.79021603</v>
      </c>
      <c r="E93" s="100">
        <v>300942006</v>
      </c>
      <c r="F93" s="100">
        <v>329162148.80000001</v>
      </c>
      <c r="G93">
        <v>358878480.10000002</v>
      </c>
      <c r="H93">
        <v>388767724.89999998</v>
      </c>
      <c r="I93">
        <v>414859287.39999998</v>
      </c>
      <c r="J93">
        <v>441301233.80000001</v>
      </c>
      <c r="K93" s="100">
        <v>470070016.89999998</v>
      </c>
      <c r="L93" s="100">
        <v>501636874.19999999</v>
      </c>
      <c r="M93">
        <v>533048082.89999998</v>
      </c>
      <c r="N93">
        <v>561660771.10000002</v>
      </c>
      <c r="O93">
        <v>586422232.20000005</v>
      </c>
      <c r="P93">
        <v>609434356.5</v>
      </c>
      <c r="Q93">
        <v>633526808.70000005</v>
      </c>
      <c r="R93">
        <v>662866087.79999995</v>
      </c>
      <c r="S93">
        <v>692537708.20000005</v>
      </c>
      <c r="T93">
        <v>724553029.10000002</v>
      </c>
      <c r="U93">
        <v>755007331.39999998</v>
      </c>
      <c r="V93">
        <v>787113657.5</v>
      </c>
      <c r="W93">
        <v>817794191.10000002</v>
      </c>
      <c r="X93">
        <v>848652898.89999998</v>
      </c>
      <c r="Y93">
        <v>876933066.79999995</v>
      </c>
      <c r="Z93">
        <v>904169175.89999998</v>
      </c>
      <c r="AA93">
        <v>929751485.70000005</v>
      </c>
      <c r="AB93">
        <v>953849715.10000002</v>
      </c>
      <c r="AC93">
        <v>976584168.20000005</v>
      </c>
      <c r="AD93">
        <v>998338478</v>
      </c>
      <c r="AE93">
        <v>1019142999</v>
      </c>
      <c r="AF93">
        <v>1039056276</v>
      </c>
      <c r="AG93">
        <v>1058134427</v>
      </c>
      <c r="AH93">
        <v>1076518427</v>
      </c>
      <c r="AI93">
        <v>1094134034</v>
      </c>
      <c r="AJ93">
        <v>1110966893</v>
      </c>
      <c r="AK93">
        <v>1127121427</v>
      </c>
      <c r="AL93">
        <v>1142568996</v>
      </c>
      <c r="AM93">
        <v>1157260293</v>
      </c>
      <c r="AN93">
        <v>1171055755</v>
      </c>
      <c r="AO93">
        <v>1183984984</v>
      </c>
      <c r="AP93">
        <v>1196057936</v>
      </c>
      <c r="AQ93">
        <v>1207339207</v>
      </c>
      <c r="AR93">
        <v>1217727191</v>
      </c>
      <c r="AS93">
        <v>1227201886</v>
      </c>
      <c r="AT93">
        <v>1235786424</v>
      </c>
      <c r="AU93">
        <v>1243411410</v>
      </c>
      <c r="AV93">
        <v>1250044703</v>
      </c>
      <c r="AW93">
        <v>1255656693</v>
      </c>
    </row>
    <row r="94" spans="2:49" x14ac:dyDescent="0.25">
      <c r="B94" t="s">
        <v>423</v>
      </c>
      <c r="C94" s="100">
        <v>640671991.67983496</v>
      </c>
      <c r="D94" s="100">
        <v>650958187.73748195</v>
      </c>
      <c r="E94" s="100">
        <v>661409532</v>
      </c>
      <c r="F94" s="100">
        <v>680127509.10000002</v>
      </c>
      <c r="G94" s="100">
        <v>698578049.5</v>
      </c>
      <c r="H94" s="100">
        <v>717229466</v>
      </c>
      <c r="I94" s="100">
        <v>733824133.70000005</v>
      </c>
      <c r="J94" s="100">
        <v>750686868.5</v>
      </c>
      <c r="K94" s="100">
        <v>769147762</v>
      </c>
      <c r="L94" s="100">
        <v>788850348.79999995</v>
      </c>
      <c r="M94" s="100">
        <v>807610416.20000005</v>
      </c>
      <c r="N94" s="100">
        <v>823848229.10000002</v>
      </c>
      <c r="O94" s="100">
        <v>838552492.70000005</v>
      </c>
      <c r="P94" s="100">
        <v>849725398.70000005</v>
      </c>
      <c r="Q94" s="100">
        <v>860152695.5</v>
      </c>
      <c r="R94" s="100">
        <v>868926606.5</v>
      </c>
      <c r="S94">
        <v>876640099.39999998</v>
      </c>
      <c r="T94">
        <v>882259988.79999995</v>
      </c>
      <c r="U94">
        <v>886825985.89999998</v>
      </c>
      <c r="V94">
        <v>890803366.39999998</v>
      </c>
      <c r="W94">
        <v>895157070.60000002</v>
      </c>
      <c r="X94">
        <v>898735827</v>
      </c>
      <c r="Y94">
        <v>903952114.39999998</v>
      </c>
      <c r="Z94">
        <v>909505987.79999995</v>
      </c>
      <c r="AA94" s="100">
        <v>914499800.20000005</v>
      </c>
      <c r="AB94" s="100">
        <v>918481858.20000005</v>
      </c>
      <c r="AC94" s="100">
        <v>921244125.60000002</v>
      </c>
      <c r="AD94" s="100">
        <v>923108570</v>
      </c>
      <c r="AE94" s="100">
        <v>924024604.10000002</v>
      </c>
      <c r="AF94" s="100">
        <v>923982659.20000005</v>
      </c>
      <c r="AG94" s="100">
        <v>923008712.20000005</v>
      </c>
      <c r="AH94" s="100">
        <v>921275033.20000005</v>
      </c>
      <c r="AI94" s="100">
        <v>918667694.70000005</v>
      </c>
      <c r="AJ94" s="100">
        <v>915163486.89999998</v>
      </c>
      <c r="AK94" s="100">
        <v>910867763.29999995</v>
      </c>
      <c r="AL94" s="100">
        <v>905725432</v>
      </c>
      <c r="AM94" s="100">
        <v>899677112.29999995</v>
      </c>
      <c r="AN94" s="100">
        <v>892547678.10000002</v>
      </c>
      <c r="AO94" s="100">
        <v>884267998.10000002</v>
      </c>
      <c r="AP94" s="100">
        <v>874841173.29999995</v>
      </c>
      <c r="AQ94" s="100">
        <v>864349906.79999995</v>
      </c>
      <c r="AR94" s="100">
        <v>852771224.70000005</v>
      </c>
      <c r="AS94" s="100">
        <v>840153776.5</v>
      </c>
      <c r="AT94" s="100">
        <v>826558563.60000002</v>
      </c>
      <c r="AU94" s="100">
        <v>812018460.60000002</v>
      </c>
      <c r="AV94" s="100">
        <v>796612368.60000002</v>
      </c>
      <c r="AW94">
        <v>781826754.39999998</v>
      </c>
    </row>
    <row r="95" spans="2:49" x14ac:dyDescent="0.25">
      <c r="B95" t="s">
        <v>424</v>
      </c>
      <c r="C95">
        <v>762047427.55376601</v>
      </c>
      <c r="D95">
        <v>774282345.494367</v>
      </c>
      <c r="E95">
        <v>786713699</v>
      </c>
      <c r="F95">
        <v>773361441.29999995</v>
      </c>
      <c r="G95" s="100">
        <v>757786698.10000002</v>
      </c>
      <c r="H95" s="100">
        <v>742083547.5</v>
      </c>
      <c r="I95" s="100">
        <v>730559392.70000005</v>
      </c>
      <c r="J95" s="100">
        <v>718915729.29999995</v>
      </c>
      <c r="K95" s="100">
        <v>705000890.60000002</v>
      </c>
      <c r="L95" s="100">
        <v>688569863.20000005</v>
      </c>
      <c r="M95" s="100">
        <v>672287367</v>
      </c>
      <c r="N95">
        <v>658764470.39999998</v>
      </c>
      <c r="O95">
        <v>650525631.89999998</v>
      </c>
      <c r="P95">
        <v>643640984.39999998</v>
      </c>
      <c r="Q95">
        <v>634747305.79999995</v>
      </c>
      <c r="R95">
        <v>618846399.79999995</v>
      </c>
      <c r="S95">
        <v>601054858</v>
      </c>
      <c r="T95">
        <v>580271819.20000005</v>
      </c>
      <c r="U95">
        <v>559527318.79999995</v>
      </c>
      <c r="V95">
        <v>537712691.5</v>
      </c>
      <c r="W95">
        <v>517579580.39999998</v>
      </c>
      <c r="X95">
        <v>498133917.39999998</v>
      </c>
      <c r="Y95">
        <v>481849667.39999998</v>
      </c>
      <c r="Z95">
        <v>468294365.60000002</v>
      </c>
      <c r="AA95">
        <v>456078824.10000002</v>
      </c>
      <c r="AB95">
        <v>444824420.5</v>
      </c>
      <c r="AC95">
        <v>434298905.30000001</v>
      </c>
      <c r="AD95">
        <v>424358634.60000002</v>
      </c>
      <c r="AE95">
        <v>414913596.69999999</v>
      </c>
      <c r="AF95">
        <v>405869817</v>
      </c>
      <c r="AG95" s="100">
        <v>397160965.60000002</v>
      </c>
      <c r="AH95" s="100">
        <v>388753952.39999998</v>
      </c>
      <c r="AI95">
        <v>380610498.10000002</v>
      </c>
      <c r="AJ95" s="100">
        <v>372696386.69999999</v>
      </c>
      <c r="AK95" s="100">
        <v>364985573.19999999</v>
      </c>
      <c r="AL95">
        <v>357459243.60000002</v>
      </c>
      <c r="AM95">
        <v>350106250.89999998</v>
      </c>
      <c r="AN95" s="100">
        <v>342884225.39999998</v>
      </c>
      <c r="AO95" s="100">
        <v>335681717.60000002</v>
      </c>
      <c r="AP95" s="100">
        <v>328458280</v>
      </c>
      <c r="AQ95" s="100">
        <v>321205292.89999998</v>
      </c>
      <c r="AR95" s="100">
        <v>313928268.69999999</v>
      </c>
      <c r="AS95">
        <v>306630222.69999999</v>
      </c>
      <c r="AT95">
        <v>299298836.89999998</v>
      </c>
      <c r="AU95">
        <v>291937919.5</v>
      </c>
      <c r="AV95">
        <v>284562267.69999999</v>
      </c>
      <c r="AW95">
        <v>277190298.19999999</v>
      </c>
    </row>
    <row r="96" spans="2:49" x14ac:dyDescent="0.25">
      <c r="B96" t="s">
        <v>425</v>
      </c>
      <c r="C96">
        <v>399231640.45290101</v>
      </c>
      <c r="D96">
        <v>405641433.57550502</v>
      </c>
      <c r="E96">
        <v>412154138</v>
      </c>
      <c r="F96">
        <v>405925438.30000001</v>
      </c>
      <c r="G96" s="100">
        <v>398111301.60000002</v>
      </c>
      <c r="H96" s="100">
        <v>390006259.30000001</v>
      </c>
      <c r="I96" s="100">
        <v>384280844.19999999</v>
      </c>
      <c r="J96" s="100">
        <v>378395890.69999999</v>
      </c>
      <c r="K96" s="100">
        <v>370832390.39999998</v>
      </c>
      <c r="L96" s="100">
        <v>361645052.19999999</v>
      </c>
      <c r="M96">
        <v>352540080.80000001</v>
      </c>
      <c r="N96">
        <v>345189388.10000002</v>
      </c>
      <c r="O96">
        <v>341087045.10000002</v>
      </c>
      <c r="P96">
        <v>338118264.30000001</v>
      </c>
      <c r="Q96">
        <v>333909561.60000002</v>
      </c>
      <c r="R96">
        <v>325706217.60000002</v>
      </c>
      <c r="S96">
        <v>316217771.39999998</v>
      </c>
      <c r="T96">
        <v>305237557.10000002</v>
      </c>
      <c r="U96">
        <v>294039697.89999998</v>
      </c>
      <c r="V96">
        <v>282365215.60000002</v>
      </c>
      <c r="W96">
        <v>271534218.69999999</v>
      </c>
      <c r="X96">
        <v>261078221.40000001</v>
      </c>
      <c r="Y96">
        <v>252219206.80000001</v>
      </c>
      <c r="Z96">
        <v>244751279.09999999</v>
      </c>
      <c r="AA96">
        <v>238058643.5</v>
      </c>
      <c r="AB96">
        <v>231946079.59999999</v>
      </c>
      <c r="AC96">
        <v>226285912.80000001</v>
      </c>
      <c r="AD96">
        <v>220992630.19999999</v>
      </c>
      <c r="AE96">
        <v>216007702.90000001</v>
      </c>
      <c r="AF96">
        <v>211270425.09999999</v>
      </c>
      <c r="AG96">
        <v>206736388.69999999</v>
      </c>
      <c r="AH96">
        <v>202379856</v>
      </c>
      <c r="AI96">
        <v>198174168.19999999</v>
      </c>
      <c r="AJ96">
        <v>194095510.69999999</v>
      </c>
      <c r="AK96">
        <v>190127348.80000001</v>
      </c>
      <c r="AL96">
        <v>186259579</v>
      </c>
      <c r="AM96">
        <v>182486634.19999999</v>
      </c>
      <c r="AN96">
        <v>178780305.40000001</v>
      </c>
      <c r="AO96">
        <v>175060584.09999999</v>
      </c>
      <c r="AP96">
        <v>171298067.19999999</v>
      </c>
      <c r="AQ96">
        <v>167486754.59999999</v>
      </c>
      <c r="AR96">
        <v>163630500.90000001</v>
      </c>
      <c r="AS96">
        <v>159731177.40000001</v>
      </c>
      <c r="AT96">
        <v>155779600</v>
      </c>
      <c r="AU96">
        <v>151778601.80000001</v>
      </c>
      <c r="AV96">
        <v>147737941.19999999</v>
      </c>
      <c r="AW96">
        <v>143670119.5</v>
      </c>
    </row>
    <row r="97" spans="2:49" x14ac:dyDescent="0.25">
      <c r="B97" t="s">
        <v>426</v>
      </c>
      <c r="C97">
        <v>182970972.649156</v>
      </c>
      <c r="D97" s="100">
        <v>185908630.79867601</v>
      </c>
      <c r="E97" s="100">
        <v>188893454</v>
      </c>
      <c r="F97" s="100">
        <v>180039901.59999999</v>
      </c>
      <c r="G97">
        <v>171031854.5</v>
      </c>
      <c r="H97">
        <v>162280705.80000001</v>
      </c>
      <c r="I97" s="100">
        <v>154931207</v>
      </c>
      <c r="J97" s="100">
        <v>147866811.90000001</v>
      </c>
      <c r="K97" s="100">
        <v>140485524.40000001</v>
      </c>
      <c r="L97" s="100">
        <v>132729785.09999999</v>
      </c>
      <c r="M97">
        <v>125365763.90000001</v>
      </c>
      <c r="N97">
        <v>119000692.7</v>
      </c>
      <c r="O97" s="100">
        <v>114073771.7</v>
      </c>
      <c r="P97">
        <v>109698242.90000001</v>
      </c>
      <c r="Q97">
        <v>105109319.7</v>
      </c>
      <c r="R97">
        <v>99294802.900000006</v>
      </c>
      <c r="S97">
        <v>93330572.260000005</v>
      </c>
      <c r="T97">
        <v>87081894.730000004</v>
      </c>
      <c r="U97">
        <v>81129942.409999996</v>
      </c>
      <c r="V97">
        <v>75286528.640000001</v>
      </c>
      <c r="W97">
        <v>69986650.239999995</v>
      </c>
      <c r="X97">
        <v>64995939.079999998</v>
      </c>
      <c r="Y97">
        <v>60709057.259999998</v>
      </c>
      <c r="Z97">
        <v>56928128.770000003</v>
      </c>
      <c r="AA97">
        <v>53527733.859999999</v>
      </c>
      <c r="AB97">
        <v>50429906.149999999</v>
      </c>
      <c r="AC97">
        <v>47582871.740000002</v>
      </c>
      <c r="AD97">
        <v>44950406.759999998</v>
      </c>
      <c r="AE97">
        <v>42505894.950000003</v>
      </c>
      <c r="AF97">
        <v>40223692.159999996</v>
      </c>
      <c r="AG97">
        <v>38084213.710000001</v>
      </c>
      <c r="AH97">
        <v>36074224.359999999</v>
      </c>
      <c r="AI97">
        <v>34181037.640000001</v>
      </c>
      <c r="AJ97">
        <v>32393063.41</v>
      </c>
      <c r="AK97">
        <v>30701659.350000001</v>
      </c>
      <c r="AL97">
        <v>29100207.100000001</v>
      </c>
      <c r="AM97">
        <v>27583326.940000001</v>
      </c>
      <c r="AN97">
        <v>26142497.09</v>
      </c>
      <c r="AO97">
        <v>24762421.640000001</v>
      </c>
      <c r="AP97">
        <v>23436976.18</v>
      </c>
      <c r="AQ97">
        <v>22163575.300000001</v>
      </c>
      <c r="AR97">
        <v>20941083.289999999</v>
      </c>
      <c r="AS97">
        <v>19768131.34</v>
      </c>
      <c r="AT97">
        <v>18642017.84</v>
      </c>
      <c r="AU97">
        <v>17561544.050000001</v>
      </c>
      <c r="AV97">
        <v>16526273.039999999</v>
      </c>
      <c r="AW97">
        <v>15536004.16</v>
      </c>
    </row>
    <row r="98" spans="2:49" x14ac:dyDescent="0.25">
      <c r="B98" s="62" t="s">
        <v>427</v>
      </c>
      <c r="C98">
        <v>651205.12405279896</v>
      </c>
      <c r="D98">
        <v>661660.432957732</v>
      </c>
      <c r="E98">
        <v>672283.60519999999</v>
      </c>
      <c r="F98">
        <v>690924.66559999995</v>
      </c>
      <c r="G98">
        <v>678581.71100000001</v>
      </c>
      <c r="H98">
        <v>619435.65870000003</v>
      </c>
      <c r="I98">
        <v>636180.69220000005</v>
      </c>
      <c r="J98">
        <v>653802.57869999995</v>
      </c>
      <c r="K98">
        <v>644454.95090000005</v>
      </c>
      <c r="L98">
        <v>636957.33299999998</v>
      </c>
      <c r="M98">
        <v>640329.71609999996</v>
      </c>
      <c r="N98">
        <v>649163.82010000001</v>
      </c>
      <c r="O98">
        <v>659683.12349999999</v>
      </c>
      <c r="P98">
        <v>687399.4203</v>
      </c>
      <c r="Q98">
        <v>700150.70160000003</v>
      </c>
      <c r="R98">
        <v>714944.25320000004</v>
      </c>
      <c r="S98">
        <v>716399.62800000003</v>
      </c>
      <c r="T98">
        <v>739751.7977</v>
      </c>
      <c r="U98">
        <v>744349.09080000001</v>
      </c>
      <c r="V98">
        <v>758542.38809999998</v>
      </c>
      <c r="W98">
        <v>810411.61320000002</v>
      </c>
      <c r="X98">
        <v>869436.99750000006</v>
      </c>
      <c r="Y98">
        <v>934857.33609999996</v>
      </c>
      <c r="Z98">
        <v>1018001.449</v>
      </c>
      <c r="AA98">
        <v>1117752.588</v>
      </c>
      <c r="AB98">
        <v>1236083.8049999999</v>
      </c>
      <c r="AC98">
        <v>1376660.5190000001</v>
      </c>
      <c r="AD98">
        <v>1385777.0649999999</v>
      </c>
      <c r="AE98">
        <v>1398207.973</v>
      </c>
      <c r="AF98">
        <v>1411478.102</v>
      </c>
      <c r="AG98">
        <v>1425787.5889999999</v>
      </c>
      <c r="AH98">
        <v>1442323.004</v>
      </c>
      <c r="AI98">
        <v>1459870.05</v>
      </c>
      <c r="AJ98">
        <v>1478417.398</v>
      </c>
      <c r="AK98">
        <v>1498034.0919999999</v>
      </c>
      <c r="AL98">
        <v>1518379.7120000001</v>
      </c>
      <c r="AM98">
        <v>1539032.74</v>
      </c>
      <c r="AN98">
        <v>1559597.7949999999</v>
      </c>
      <c r="AO98">
        <v>1581624.334</v>
      </c>
      <c r="AP98">
        <v>1603478.7420000001</v>
      </c>
      <c r="AQ98">
        <v>1625626.5419999999</v>
      </c>
      <c r="AR98">
        <v>1647344.861</v>
      </c>
      <c r="AS98">
        <v>1669602.6140000001</v>
      </c>
      <c r="AT98">
        <v>1691645.8019999999</v>
      </c>
      <c r="AU98">
        <v>1713942.1910000001</v>
      </c>
      <c r="AV98">
        <v>1736429.325</v>
      </c>
      <c r="AW98">
        <v>1759698.395</v>
      </c>
    </row>
    <row r="99" spans="2:49" x14ac:dyDescent="0.25">
      <c r="B99" t="s">
        <v>428</v>
      </c>
      <c r="C99">
        <v>11699515.674308199</v>
      </c>
      <c r="D99">
        <v>11887355.182774801</v>
      </c>
      <c r="E99">
        <v>12078210.52</v>
      </c>
      <c r="F99">
        <v>12394208.23</v>
      </c>
      <c r="G99">
        <v>12130936.02</v>
      </c>
      <c r="H99">
        <v>11018218.310000001</v>
      </c>
      <c r="I99">
        <v>11233802.220000001</v>
      </c>
      <c r="J99">
        <v>11656711.98</v>
      </c>
      <c r="K99">
        <v>11446952.24</v>
      </c>
      <c r="L99">
        <v>11263843.59</v>
      </c>
      <c r="M99">
        <v>11300821.92</v>
      </c>
      <c r="N99">
        <v>11409654.07</v>
      </c>
      <c r="O99">
        <v>11619492.98</v>
      </c>
      <c r="P99">
        <v>12136393.41</v>
      </c>
      <c r="Q99">
        <v>12362443.25</v>
      </c>
      <c r="R99">
        <v>12640256.91</v>
      </c>
      <c r="S99">
        <v>12674968.26</v>
      </c>
      <c r="T99">
        <v>13198326.800000001</v>
      </c>
      <c r="U99">
        <v>13195238.460000001</v>
      </c>
      <c r="V99">
        <v>13525289</v>
      </c>
      <c r="W99">
        <v>13547260.310000001</v>
      </c>
      <c r="X99">
        <v>13537175.539999999</v>
      </c>
      <c r="Y99">
        <v>13296152.560000001</v>
      </c>
      <c r="Z99">
        <v>13231536.699999999</v>
      </c>
      <c r="AA99">
        <v>13230225.43</v>
      </c>
      <c r="AB99">
        <v>13258597.09</v>
      </c>
      <c r="AC99">
        <v>13319675.300000001</v>
      </c>
      <c r="AD99">
        <v>13329874.609999999</v>
      </c>
      <c r="AE99" s="100">
        <v>13376675.98</v>
      </c>
      <c r="AF99" s="100">
        <v>13432377.83</v>
      </c>
      <c r="AG99">
        <v>13498192.369999999</v>
      </c>
      <c r="AH99">
        <v>13595512.4</v>
      </c>
      <c r="AI99">
        <v>13691046.880000001</v>
      </c>
      <c r="AJ99" s="100">
        <v>13780873.029999999</v>
      </c>
      <c r="AK99">
        <v>13895316.289999999</v>
      </c>
      <c r="AL99">
        <v>14012081.59</v>
      </c>
      <c r="AM99">
        <v>14124169.810000001</v>
      </c>
      <c r="AN99">
        <v>14206142.529999999</v>
      </c>
      <c r="AO99">
        <v>14305131.57</v>
      </c>
      <c r="AP99">
        <v>14401403.289999999</v>
      </c>
      <c r="AQ99">
        <v>14514235.99</v>
      </c>
      <c r="AR99">
        <v>14609707.119999999</v>
      </c>
      <c r="AS99">
        <v>14715203.49</v>
      </c>
      <c r="AT99">
        <v>14818636.810000001</v>
      </c>
      <c r="AU99">
        <v>14917336.359999999</v>
      </c>
      <c r="AV99">
        <v>15015847.33</v>
      </c>
      <c r="AW99">
        <v>15169288</v>
      </c>
    </row>
    <row r="100" spans="2:49" x14ac:dyDescent="0.25">
      <c r="B100" t="s">
        <v>429</v>
      </c>
      <c r="C100">
        <v>12350720.798361</v>
      </c>
      <c r="D100">
        <v>12549015.615732601</v>
      </c>
      <c r="E100">
        <v>12750494.119999999</v>
      </c>
      <c r="F100">
        <v>13085132.9</v>
      </c>
      <c r="G100" s="100">
        <v>12809517.73</v>
      </c>
      <c r="H100">
        <v>11637653.970000001</v>
      </c>
      <c r="I100">
        <v>11869982.91</v>
      </c>
      <c r="J100">
        <v>12310514.560000001</v>
      </c>
      <c r="K100" s="100">
        <v>12091407.189999999</v>
      </c>
      <c r="L100" s="100">
        <v>11900800.92</v>
      </c>
      <c r="M100" s="100">
        <v>11941151.640000001</v>
      </c>
      <c r="N100">
        <v>12058817.890000001</v>
      </c>
      <c r="O100">
        <v>12279176.1</v>
      </c>
      <c r="P100">
        <v>12823792.83</v>
      </c>
      <c r="Q100">
        <v>13062593.949999999</v>
      </c>
      <c r="R100">
        <v>13355201.16</v>
      </c>
      <c r="S100">
        <v>13391367.880000001</v>
      </c>
      <c r="T100">
        <v>13938078.59</v>
      </c>
      <c r="U100">
        <v>13939587.560000001</v>
      </c>
      <c r="V100">
        <v>14283831.390000001</v>
      </c>
      <c r="W100">
        <v>14357671.92</v>
      </c>
      <c r="X100">
        <v>14406612.539999999</v>
      </c>
      <c r="Y100">
        <v>14231009.9</v>
      </c>
      <c r="Z100">
        <v>14249538.15</v>
      </c>
      <c r="AA100">
        <v>14347978.02</v>
      </c>
      <c r="AB100">
        <v>14494680.9</v>
      </c>
      <c r="AC100">
        <v>14696335.82</v>
      </c>
      <c r="AD100">
        <v>14715651.68</v>
      </c>
      <c r="AE100">
        <v>14774883.949999999</v>
      </c>
      <c r="AF100">
        <v>14843855.93</v>
      </c>
      <c r="AG100">
        <v>14923979.960000001</v>
      </c>
      <c r="AH100">
        <v>15037835.4</v>
      </c>
      <c r="AI100">
        <v>15150916.93</v>
      </c>
      <c r="AJ100">
        <v>15259290.43</v>
      </c>
      <c r="AK100">
        <v>15393350.380000001</v>
      </c>
      <c r="AL100">
        <v>15530461.300000001</v>
      </c>
      <c r="AM100">
        <v>15663202.550000001</v>
      </c>
      <c r="AN100">
        <v>15765740.32</v>
      </c>
      <c r="AO100">
        <v>15886755.9</v>
      </c>
      <c r="AP100">
        <v>16004882.029999999</v>
      </c>
      <c r="AQ100">
        <v>16139862.529999999</v>
      </c>
      <c r="AR100">
        <v>16257051.98</v>
      </c>
      <c r="AS100">
        <v>16384806.1</v>
      </c>
      <c r="AT100">
        <v>16510282.609999999</v>
      </c>
      <c r="AU100">
        <v>16631278.550000001</v>
      </c>
      <c r="AV100">
        <v>16752276.66</v>
      </c>
      <c r="AW100">
        <v>16928986.390000001</v>
      </c>
    </row>
    <row r="101" spans="2:49" x14ac:dyDescent="0.25">
      <c r="B101" t="s">
        <v>430</v>
      </c>
      <c r="C101" s="100">
        <v>144913116.15770999</v>
      </c>
      <c r="D101" s="100">
        <v>147239743.11109701</v>
      </c>
      <c r="E101" s="100">
        <v>149603724.80000001</v>
      </c>
      <c r="F101">
        <v>146894162</v>
      </c>
      <c r="G101">
        <v>142667718.59999999</v>
      </c>
      <c r="H101">
        <v>141882421.09999999</v>
      </c>
      <c r="I101">
        <v>139197954.80000001</v>
      </c>
      <c r="J101">
        <v>135839709.90000001</v>
      </c>
      <c r="K101">
        <v>131730805.3</v>
      </c>
      <c r="L101">
        <v>128545789.3</v>
      </c>
      <c r="M101">
        <v>125954703.5</v>
      </c>
      <c r="N101">
        <v>124111042.5</v>
      </c>
      <c r="O101">
        <v>123529351.09999999</v>
      </c>
      <c r="P101">
        <v>122246462.2</v>
      </c>
      <c r="Q101">
        <v>119853128.8</v>
      </c>
      <c r="R101">
        <v>118451422</v>
      </c>
      <c r="S101">
        <v>116110120.3</v>
      </c>
      <c r="T101">
        <v>112384226.7</v>
      </c>
      <c r="U101">
        <v>108567841.2</v>
      </c>
      <c r="V101">
        <v>104504812.7</v>
      </c>
      <c r="W101">
        <v>102623141.90000001</v>
      </c>
      <c r="X101">
        <v>100611162.5</v>
      </c>
      <c r="Y101">
        <v>98257487.900000006</v>
      </c>
      <c r="Z101">
        <v>96120793.200000003</v>
      </c>
      <c r="AA101">
        <v>94104197.230000004</v>
      </c>
      <c r="AB101">
        <v>92153195.620000005</v>
      </c>
      <c r="AC101">
        <v>90233790.849999994</v>
      </c>
      <c r="AD101">
        <v>88374287.930000007</v>
      </c>
      <c r="AE101">
        <v>86431491.760000005</v>
      </c>
      <c r="AF101">
        <v>84473489.189999998</v>
      </c>
      <c r="AG101">
        <v>82519238.819999903</v>
      </c>
      <c r="AH101">
        <v>80517774.890000001</v>
      </c>
      <c r="AI101">
        <v>78668971.579999998</v>
      </c>
      <c r="AJ101">
        <v>76872629.150000006</v>
      </c>
      <c r="AK101">
        <v>75127983.430000007</v>
      </c>
      <c r="AL101">
        <v>73423158.230000004</v>
      </c>
      <c r="AM101">
        <v>71760523.239999995</v>
      </c>
      <c r="AN101">
        <v>70017691.340000004</v>
      </c>
      <c r="AO101">
        <v>68289654.469999999</v>
      </c>
      <c r="AP101">
        <v>66575952.960000001</v>
      </c>
      <c r="AQ101">
        <v>64877359.380000003</v>
      </c>
      <c r="AR101">
        <v>63195285.590000004</v>
      </c>
      <c r="AS101">
        <v>61502764.189999998</v>
      </c>
      <c r="AT101">
        <v>59827758.560000002</v>
      </c>
      <c r="AU101" s="100">
        <v>58167072.579999998</v>
      </c>
      <c r="AV101" s="100">
        <v>56525759.340000004</v>
      </c>
      <c r="AW101">
        <v>54916968.590000004</v>
      </c>
    </row>
    <row r="102" spans="2:49" x14ac:dyDescent="0.25">
      <c r="B102" t="s">
        <v>431</v>
      </c>
      <c r="C102" s="100">
        <v>1098851.8998263199</v>
      </c>
      <c r="D102" s="100">
        <v>1116494.32251175</v>
      </c>
      <c r="E102" s="100">
        <v>1134420</v>
      </c>
      <c r="F102" s="100">
        <v>1104656.4909999999</v>
      </c>
      <c r="G102" s="100">
        <v>1072457.1440000001</v>
      </c>
      <c r="H102" s="100">
        <v>1040639.83</v>
      </c>
      <c r="I102">
        <v>1015450.693</v>
      </c>
      <c r="J102" s="100">
        <v>990829.90390000003</v>
      </c>
      <c r="K102" s="100">
        <v>963451.74639999995</v>
      </c>
      <c r="L102" s="100">
        <v>933103.72660000005</v>
      </c>
      <c r="M102" s="100">
        <v>903763.07620000001</v>
      </c>
      <c r="N102" s="100">
        <v>879021.772</v>
      </c>
      <c r="O102">
        <v>862124.26950000005</v>
      </c>
      <c r="P102">
        <v>847645.16969999997</v>
      </c>
      <c r="Q102">
        <v>830888.04240000003</v>
      </c>
      <c r="R102">
        <v>805347.31799999997</v>
      </c>
      <c r="S102">
        <v>777657.71589999995</v>
      </c>
      <c r="T102">
        <v>746860.40119999996</v>
      </c>
      <c r="U102">
        <v>716534.36919999996</v>
      </c>
      <c r="V102">
        <v>685687.20120000001</v>
      </c>
      <c r="W102">
        <v>657474.09739999997</v>
      </c>
      <c r="X102">
        <v>630500.46219999995</v>
      </c>
      <c r="Y102">
        <v>607780.00549999997</v>
      </c>
      <c r="Z102">
        <v>588399.08739999996</v>
      </c>
      <c r="AA102">
        <v>570987.27339999995</v>
      </c>
      <c r="AB102">
        <v>555023.63500000001</v>
      </c>
      <c r="AC102">
        <v>540178.7831</v>
      </c>
      <c r="AD102">
        <v>526276.29650000005</v>
      </c>
      <c r="AE102">
        <v>513167.5135</v>
      </c>
      <c r="AF102">
        <v>500707.00309999997</v>
      </c>
      <c r="AG102">
        <v>488790.23180000001</v>
      </c>
      <c r="AH102">
        <v>477368.77519999997</v>
      </c>
      <c r="AI102">
        <v>466365.58149999997</v>
      </c>
      <c r="AJ102">
        <v>455718.65990000003</v>
      </c>
      <c r="AK102">
        <v>445394.5295</v>
      </c>
      <c r="AL102">
        <v>435356.91409999999</v>
      </c>
      <c r="AM102">
        <v>425578.36459999997</v>
      </c>
      <c r="AN102">
        <v>415983.5441</v>
      </c>
      <c r="AO102">
        <v>406425.70529999997</v>
      </c>
      <c r="AP102">
        <v>396852.41139999998</v>
      </c>
      <c r="AQ102">
        <v>387257.391</v>
      </c>
      <c r="AR102">
        <v>377639.97830000002</v>
      </c>
      <c r="AS102">
        <v>368003.55410000001</v>
      </c>
      <c r="AT102">
        <v>358335.46019999997</v>
      </c>
      <c r="AU102">
        <v>348638.75650000002</v>
      </c>
      <c r="AV102">
        <v>338932.17950000003</v>
      </c>
      <c r="AW102">
        <v>329365.85320000001</v>
      </c>
    </row>
    <row r="103" spans="2:49" x14ac:dyDescent="0.25">
      <c r="B103" t="s">
        <v>432</v>
      </c>
      <c r="C103">
        <v>1098851.8998263199</v>
      </c>
      <c r="D103">
        <v>1116494.32251175</v>
      </c>
      <c r="E103">
        <v>1134420</v>
      </c>
      <c r="F103">
        <v>1104656.4909999999</v>
      </c>
      <c r="G103">
        <v>1072457.1440000001</v>
      </c>
      <c r="H103">
        <v>1040639.83</v>
      </c>
      <c r="I103">
        <v>1015450.693</v>
      </c>
      <c r="J103">
        <v>990829.90390000003</v>
      </c>
      <c r="K103">
        <v>963451.74639999995</v>
      </c>
      <c r="L103">
        <v>933103.72660000005</v>
      </c>
      <c r="M103">
        <v>903763.07620000001</v>
      </c>
      <c r="N103">
        <v>879021.772</v>
      </c>
      <c r="O103">
        <v>862124.26950000005</v>
      </c>
      <c r="P103">
        <v>847645.16969999997</v>
      </c>
      <c r="Q103">
        <v>830888.04240000003</v>
      </c>
      <c r="R103">
        <v>805347.31799999997</v>
      </c>
      <c r="S103">
        <v>777657.71589999995</v>
      </c>
      <c r="T103">
        <v>746860.40119999996</v>
      </c>
      <c r="U103">
        <v>716534.36919999996</v>
      </c>
      <c r="V103">
        <v>685687.20120000001</v>
      </c>
      <c r="W103">
        <v>657474.09739999997</v>
      </c>
      <c r="X103">
        <v>630500.46219999995</v>
      </c>
      <c r="Y103">
        <v>607780.00549999997</v>
      </c>
      <c r="Z103">
        <v>588399.08739999996</v>
      </c>
      <c r="AA103">
        <v>570987.27339999995</v>
      </c>
      <c r="AB103">
        <v>555023.63500000001</v>
      </c>
      <c r="AC103">
        <v>540178.7831</v>
      </c>
      <c r="AD103">
        <v>526276.29650000005</v>
      </c>
      <c r="AE103">
        <v>513167.5135</v>
      </c>
      <c r="AF103">
        <v>500707.00309999997</v>
      </c>
      <c r="AG103">
        <v>488790.23180000001</v>
      </c>
      <c r="AH103">
        <v>477368.77519999997</v>
      </c>
      <c r="AI103">
        <v>466365.58149999997</v>
      </c>
      <c r="AJ103">
        <v>455718.65990000003</v>
      </c>
      <c r="AK103">
        <v>445394.5295</v>
      </c>
      <c r="AL103">
        <v>435356.91409999999</v>
      </c>
      <c r="AM103">
        <v>425578.36459999997</v>
      </c>
      <c r="AN103">
        <v>415983.5441</v>
      </c>
      <c r="AO103">
        <v>406425.70529999997</v>
      </c>
      <c r="AP103">
        <v>396852.41139999998</v>
      </c>
      <c r="AQ103">
        <v>387257.391</v>
      </c>
      <c r="AR103">
        <v>377639.97830000002</v>
      </c>
      <c r="AS103">
        <v>368003.55410000001</v>
      </c>
      <c r="AT103">
        <v>358335.46019999997</v>
      </c>
      <c r="AU103">
        <v>348638.75650000002</v>
      </c>
      <c r="AV103">
        <v>338932.17950000003</v>
      </c>
      <c r="AW103">
        <v>329365.85320000001</v>
      </c>
    </row>
    <row r="104" spans="2:49" x14ac:dyDescent="0.25">
      <c r="B104" t="s">
        <v>433</v>
      </c>
      <c r="C104" s="100">
        <v>105875266.531468</v>
      </c>
      <c r="D104">
        <v>107575128.18195701</v>
      </c>
      <c r="E104">
        <v>109302281.7</v>
      </c>
      <c r="F104">
        <v>107705880.8</v>
      </c>
      <c r="G104" s="100">
        <v>105151540.90000001</v>
      </c>
      <c r="H104">
        <v>105765677.40000001</v>
      </c>
      <c r="I104">
        <v>103672979</v>
      </c>
      <c r="J104">
        <v>101579775</v>
      </c>
      <c r="K104" s="100">
        <v>99334032.939999998</v>
      </c>
      <c r="L104" s="100">
        <v>97598496.659999996</v>
      </c>
      <c r="M104">
        <v>96026178.129999995</v>
      </c>
      <c r="N104" s="100">
        <v>94880919.730000004</v>
      </c>
      <c r="O104">
        <v>94003127.510000005</v>
      </c>
      <c r="P104">
        <v>93011941.049999997</v>
      </c>
      <c r="Q104">
        <v>91877418.299999997</v>
      </c>
      <c r="R104">
        <v>91473157.030000001</v>
      </c>
      <c r="S104">
        <v>89955679.219999999</v>
      </c>
      <c r="T104">
        <v>88096915.640000001</v>
      </c>
      <c r="U104">
        <v>85804263.579999998</v>
      </c>
      <c r="V104">
        <v>83289174.709999904</v>
      </c>
      <c r="W104">
        <v>80878614.620000005</v>
      </c>
      <c r="X104">
        <v>78403714.930000007</v>
      </c>
      <c r="Y104">
        <v>76636997.060000002</v>
      </c>
      <c r="Z104">
        <v>75009659.359999999</v>
      </c>
      <c r="AA104">
        <v>73444964.599999994</v>
      </c>
      <c r="AB104">
        <v>71905708.549999997</v>
      </c>
      <c r="AC104">
        <v>70371609.129999995</v>
      </c>
      <c r="AD104">
        <v>68842180.019999996</v>
      </c>
      <c r="AE104">
        <v>67226979.260000005</v>
      </c>
      <c r="AF104">
        <v>65593156.340000004</v>
      </c>
      <c r="AG104">
        <v>63953790.280000001</v>
      </c>
      <c r="AH104">
        <v>62258013.359999999</v>
      </c>
      <c r="AI104" s="100">
        <v>60630804.5</v>
      </c>
      <c r="AJ104">
        <v>59051134.299999997</v>
      </c>
      <c r="AK104">
        <v>57515754.799999997</v>
      </c>
      <c r="AL104" s="100">
        <v>56020313.310000002</v>
      </c>
      <c r="AM104">
        <v>54564293.039999999</v>
      </c>
      <c r="AN104">
        <v>53061636.659999996</v>
      </c>
      <c r="AO104">
        <v>51573603.579999998</v>
      </c>
      <c r="AP104">
        <v>50107068.340000004</v>
      </c>
      <c r="AQ104">
        <v>48663054.509999998</v>
      </c>
      <c r="AR104" s="100">
        <v>47242556.770000003</v>
      </c>
      <c r="AS104">
        <v>45831734.310000002</v>
      </c>
      <c r="AT104">
        <v>44447371.600000001</v>
      </c>
      <c r="AU104">
        <v>43088273.979999997</v>
      </c>
      <c r="AV104">
        <v>41756733.039999999</v>
      </c>
      <c r="AW104">
        <v>40458552.369999997</v>
      </c>
    </row>
    <row r="105" spans="2:49" x14ac:dyDescent="0.25">
      <c r="B105" t="s">
        <v>434</v>
      </c>
      <c r="C105" s="100">
        <v>105875266.531468</v>
      </c>
      <c r="D105">
        <v>107575128.18195701</v>
      </c>
      <c r="E105">
        <v>109302281.7</v>
      </c>
      <c r="F105">
        <v>107705880.8</v>
      </c>
      <c r="G105" s="100">
        <v>105151540.90000001</v>
      </c>
      <c r="H105">
        <v>105765677.40000001</v>
      </c>
      <c r="I105">
        <v>103672979</v>
      </c>
      <c r="J105">
        <v>101579775</v>
      </c>
      <c r="K105" s="100">
        <v>99334032.939999998</v>
      </c>
      <c r="L105" s="100">
        <v>97598496.659999996</v>
      </c>
      <c r="M105">
        <v>96026178.129999995</v>
      </c>
      <c r="N105">
        <v>94880919.730000004</v>
      </c>
      <c r="O105">
        <v>94003127.510000005</v>
      </c>
      <c r="P105">
        <v>93011941.049999997</v>
      </c>
      <c r="Q105">
        <v>91877418.299999997</v>
      </c>
      <c r="R105">
        <v>91473157.030000001</v>
      </c>
      <c r="S105">
        <v>89955679.219999999</v>
      </c>
      <c r="T105">
        <v>88096915.640000001</v>
      </c>
      <c r="U105">
        <v>85804263.579999998</v>
      </c>
      <c r="V105">
        <v>83289174.709999904</v>
      </c>
      <c r="W105">
        <v>80878614.620000005</v>
      </c>
      <c r="X105">
        <v>78403714.930000007</v>
      </c>
      <c r="Y105">
        <v>76636997.060000002</v>
      </c>
      <c r="Z105">
        <v>75009659.359999999</v>
      </c>
      <c r="AA105">
        <v>73444964.599999994</v>
      </c>
      <c r="AB105">
        <v>71905708.549999997</v>
      </c>
      <c r="AC105">
        <v>70371609.129999995</v>
      </c>
      <c r="AD105">
        <v>68842180.019999996</v>
      </c>
      <c r="AE105">
        <v>67226979.260000005</v>
      </c>
      <c r="AF105">
        <v>65593156.340000004</v>
      </c>
      <c r="AG105">
        <v>63953790.280000001</v>
      </c>
      <c r="AH105">
        <v>62258013.359999999</v>
      </c>
      <c r="AI105">
        <v>60630804.5</v>
      </c>
      <c r="AJ105">
        <v>59051134.299999997</v>
      </c>
      <c r="AK105">
        <v>57515754.799999997</v>
      </c>
      <c r="AL105">
        <v>56020313.310000002</v>
      </c>
      <c r="AM105">
        <v>54564293.039999999</v>
      </c>
      <c r="AN105">
        <v>53061636.659999996</v>
      </c>
      <c r="AO105">
        <v>51573603.579999998</v>
      </c>
      <c r="AP105">
        <v>50107068.340000004</v>
      </c>
      <c r="AQ105">
        <v>48663054.509999998</v>
      </c>
      <c r="AR105">
        <v>47242556.770000003</v>
      </c>
      <c r="AS105">
        <v>45831734.310000002</v>
      </c>
      <c r="AT105">
        <v>44447371.600000001</v>
      </c>
      <c r="AU105">
        <v>43088273.979999997</v>
      </c>
      <c r="AV105">
        <v>41756733.039999999</v>
      </c>
      <c r="AW105">
        <v>40458552.369999997</v>
      </c>
    </row>
    <row r="106" spans="2:49" x14ac:dyDescent="0.25">
      <c r="B106" t="s">
        <v>435</v>
      </c>
      <c r="C106">
        <v>37938997.726415001</v>
      </c>
      <c r="D106">
        <v>38548120.6066292</v>
      </c>
      <c r="E106">
        <v>39167023.149999999</v>
      </c>
      <c r="F106">
        <v>38083624.710000001</v>
      </c>
      <c r="G106">
        <v>36443720.560000002</v>
      </c>
      <c r="H106">
        <v>35076103.840000004</v>
      </c>
      <c r="I106">
        <v>34509525.149999999</v>
      </c>
      <c r="J106">
        <v>33269105.02</v>
      </c>
      <c r="K106" s="100">
        <v>31433320.609999999</v>
      </c>
      <c r="L106" s="100">
        <v>30014188.940000001</v>
      </c>
      <c r="M106">
        <v>29024762.27</v>
      </c>
      <c r="N106">
        <v>28351100.949999999</v>
      </c>
      <c r="O106">
        <v>28664099.309999999</v>
      </c>
      <c r="P106">
        <v>28386876.02</v>
      </c>
      <c r="Q106">
        <v>27144822.449999999</v>
      </c>
      <c r="R106">
        <v>26172917.68</v>
      </c>
      <c r="S106">
        <v>25376783.379999999</v>
      </c>
      <c r="T106">
        <v>23540450.620000001</v>
      </c>
      <c r="U106">
        <v>22047043.210000001</v>
      </c>
      <c r="V106">
        <v>20529950.75</v>
      </c>
      <c r="W106">
        <v>21087053.190000001</v>
      </c>
      <c r="X106">
        <v>21576947.109999999</v>
      </c>
      <c r="Y106">
        <v>21012710.829999998</v>
      </c>
      <c r="Z106">
        <v>20522734.75</v>
      </c>
      <c r="AA106">
        <v>20088245.359999999</v>
      </c>
      <c r="AB106">
        <v>19692463.43</v>
      </c>
      <c r="AC106">
        <v>19322002.940000001</v>
      </c>
      <c r="AD106">
        <v>19005831.609999999</v>
      </c>
      <c r="AE106">
        <v>18691344.989999998</v>
      </c>
      <c r="AF106">
        <v>18379625.850000001</v>
      </c>
      <c r="AG106">
        <v>18076658.309999999</v>
      </c>
      <c r="AH106">
        <v>17782392.75</v>
      </c>
      <c r="AI106">
        <v>17571801.5</v>
      </c>
      <c r="AJ106">
        <v>17365776.190000001</v>
      </c>
      <c r="AK106">
        <v>17166834.100000001</v>
      </c>
      <c r="AL106">
        <v>16967488</v>
      </c>
      <c r="AM106">
        <v>16770651.84</v>
      </c>
      <c r="AN106">
        <v>16540071.140000001</v>
      </c>
      <c r="AO106">
        <v>16309625.18</v>
      </c>
      <c r="AP106">
        <v>16072032.220000001</v>
      </c>
      <c r="AQ106">
        <v>15827047.48</v>
      </c>
      <c r="AR106">
        <v>15575088.84</v>
      </c>
      <c r="AS106">
        <v>15303026.33</v>
      </c>
      <c r="AT106">
        <v>15022051.5</v>
      </c>
      <c r="AU106">
        <v>14730159.84</v>
      </c>
      <c r="AV106">
        <v>14430094.119999999</v>
      </c>
      <c r="AW106">
        <v>14129050.369999999</v>
      </c>
    </row>
    <row r="107" spans="2:49" x14ac:dyDescent="0.25">
      <c r="B107" t="s">
        <v>436</v>
      </c>
      <c r="C107" s="100">
        <v>37938997.726415001</v>
      </c>
      <c r="D107" s="100">
        <v>38548120.6066292</v>
      </c>
      <c r="E107" s="100">
        <v>39167023.149999999</v>
      </c>
      <c r="F107" s="100">
        <v>38083624.710000001</v>
      </c>
      <c r="G107" s="100">
        <v>36443720.560000002</v>
      </c>
      <c r="H107">
        <v>35076103.840000004</v>
      </c>
      <c r="I107">
        <v>34509525.149999999</v>
      </c>
      <c r="J107">
        <v>33269105.02</v>
      </c>
      <c r="K107" s="100">
        <v>31433320.609999999</v>
      </c>
      <c r="L107" s="100">
        <v>30014188.940000001</v>
      </c>
      <c r="M107">
        <v>29024762.27</v>
      </c>
      <c r="N107">
        <v>28351100.949999999</v>
      </c>
      <c r="O107">
        <v>28664099.309999999</v>
      </c>
      <c r="P107">
        <v>28386876.02</v>
      </c>
      <c r="Q107">
        <v>27144822.449999999</v>
      </c>
      <c r="R107">
        <v>26172917.68</v>
      </c>
      <c r="S107">
        <v>25376783.379999999</v>
      </c>
      <c r="T107">
        <v>23540450.620000001</v>
      </c>
      <c r="U107">
        <v>22047043.210000001</v>
      </c>
      <c r="V107">
        <v>20529950.75</v>
      </c>
      <c r="W107">
        <v>21087053.190000001</v>
      </c>
      <c r="X107">
        <v>21576947.109999999</v>
      </c>
      <c r="Y107">
        <v>21012710.829999998</v>
      </c>
      <c r="Z107">
        <v>20522734.75</v>
      </c>
      <c r="AA107">
        <v>20088245.359999999</v>
      </c>
      <c r="AB107">
        <v>19692463.43</v>
      </c>
      <c r="AC107">
        <v>19322002.940000001</v>
      </c>
      <c r="AD107">
        <v>19005831.609999999</v>
      </c>
      <c r="AE107">
        <v>18691344.989999998</v>
      </c>
      <c r="AF107">
        <v>18379625.850000001</v>
      </c>
      <c r="AG107">
        <v>18076658.309999999</v>
      </c>
      <c r="AH107">
        <v>17782392.75</v>
      </c>
      <c r="AI107">
        <v>17571801.5</v>
      </c>
      <c r="AJ107">
        <v>17365776.190000001</v>
      </c>
      <c r="AK107">
        <v>17166834.100000001</v>
      </c>
      <c r="AL107">
        <v>16967488</v>
      </c>
      <c r="AM107">
        <v>16770651.84</v>
      </c>
      <c r="AN107">
        <v>16540071.140000001</v>
      </c>
      <c r="AO107">
        <v>16309625.18</v>
      </c>
      <c r="AP107">
        <v>16072032.220000001</v>
      </c>
      <c r="AQ107">
        <v>15827047.48</v>
      </c>
      <c r="AR107">
        <v>15575088.84</v>
      </c>
      <c r="AS107">
        <v>15303026.33</v>
      </c>
      <c r="AT107">
        <v>15022051.5</v>
      </c>
      <c r="AU107">
        <v>14730159.84</v>
      </c>
      <c r="AV107">
        <v>14430094.119999999</v>
      </c>
      <c r="AW107">
        <v>14129050.369999999</v>
      </c>
    </row>
    <row r="108" spans="2:49" x14ac:dyDescent="0.25">
      <c r="B108" t="s">
        <v>437</v>
      </c>
      <c r="C108">
        <v>7249974.6999914004</v>
      </c>
      <c r="D108">
        <v>7366375.3888705196</v>
      </c>
      <c r="E108">
        <v>7487365.2489999998</v>
      </c>
      <c r="F108">
        <v>7684075.8810000001</v>
      </c>
      <c r="G108" s="100">
        <v>7307901.6780000003</v>
      </c>
      <c r="H108">
        <v>7640398.9170000004</v>
      </c>
      <c r="I108">
        <v>7848230.2709999997</v>
      </c>
      <c r="J108">
        <v>7411810.7520000003</v>
      </c>
      <c r="K108" s="100">
        <v>7105899.3159999996</v>
      </c>
      <c r="L108" s="100">
        <v>6879993.2050000001</v>
      </c>
      <c r="M108">
        <v>7322522.8779999996</v>
      </c>
      <c r="N108">
        <v>7766208.3669999996</v>
      </c>
      <c r="O108">
        <v>8022482.4560000002</v>
      </c>
      <c r="P108">
        <v>8063509.5279999999</v>
      </c>
      <c r="Q108">
        <v>7500782.2060000002</v>
      </c>
      <c r="R108">
        <v>7487852.2690000003</v>
      </c>
      <c r="S108">
        <v>7530346.7110000001</v>
      </c>
      <c r="T108">
        <v>7569696.2029999997</v>
      </c>
      <c r="U108">
        <v>7574963.8119999999</v>
      </c>
      <c r="V108">
        <v>7650381.2740000002</v>
      </c>
      <c r="W108">
        <v>7715565.659</v>
      </c>
      <c r="X108">
        <v>7729019.9469999997</v>
      </c>
      <c r="Y108">
        <v>7788145.3839999996</v>
      </c>
      <c r="Z108">
        <v>7882821.8219999997</v>
      </c>
      <c r="AA108">
        <v>7994434.4160000002</v>
      </c>
      <c r="AB108">
        <v>8110223.3339999998</v>
      </c>
      <c r="AC108">
        <v>8233211.7719999999</v>
      </c>
      <c r="AD108">
        <v>8342639.2779999999</v>
      </c>
      <c r="AE108">
        <v>8464323.0590000004</v>
      </c>
      <c r="AF108">
        <v>8589129.9680000003</v>
      </c>
      <c r="AG108">
        <v>8719726.6720000003</v>
      </c>
      <c r="AH108">
        <v>8866549.2939999998</v>
      </c>
      <c r="AI108">
        <v>9016230.9759999998</v>
      </c>
      <c r="AJ108">
        <v>9176200.4710000008</v>
      </c>
      <c r="AK108">
        <v>9339536.6569999997</v>
      </c>
      <c r="AL108">
        <v>9507714.5329999998</v>
      </c>
      <c r="AM108">
        <v>9678535.6630000006</v>
      </c>
      <c r="AN108">
        <v>9836230.318</v>
      </c>
      <c r="AO108">
        <v>9995100.2809999995</v>
      </c>
      <c r="AP108">
        <v>10150713.49</v>
      </c>
      <c r="AQ108">
        <v>10305872.48</v>
      </c>
      <c r="AR108">
        <v>10459077.550000001</v>
      </c>
      <c r="AS108">
        <v>10609369.35</v>
      </c>
      <c r="AT108">
        <v>10759945.65</v>
      </c>
      <c r="AU108">
        <v>10912367.76</v>
      </c>
      <c r="AV108">
        <v>11065511.279999999</v>
      </c>
      <c r="AW108">
        <v>11221187.539999999</v>
      </c>
    </row>
    <row r="109" spans="2:49" x14ac:dyDescent="0.25">
      <c r="B109" t="s">
        <v>438</v>
      </c>
      <c r="C109">
        <v>11428306.3019633</v>
      </c>
      <c r="D109">
        <v>11611791.4562317</v>
      </c>
      <c r="E109">
        <v>11800890.689999999</v>
      </c>
      <c r="F109">
        <v>11968213.73</v>
      </c>
      <c r="G109" s="100">
        <v>11270499.09</v>
      </c>
      <c r="H109" s="100">
        <v>11406572.77</v>
      </c>
      <c r="I109" s="100">
        <v>11256321.109999999</v>
      </c>
      <c r="J109" s="100">
        <v>10921776.58</v>
      </c>
      <c r="K109" s="100">
        <v>10221140.189999999</v>
      </c>
      <c r="L109" s="100">
        <v>9932243.9890000001</v>
      </c>
      <c r="M109">
        <v>10023097.66</v>
      </c>
      <c r="N109">
        <v>10174361.67</v>
      </c>
      <c r="O109">
        <v>9457568.1300000008</v>
      </c>
      <c r="P109">
        <v>8717188.3489999995</v>
      </c>
      <c r="Q109">
        <v>7838547.0710000005</v>
      </c>
      <c r="R109">
        <v>7300034.8640000001</v>
      </c>
      <c r="S109">
        <v>7036319.6179999998</v>
      </c>
      <c r="T109">
        <v>6887400.4189999998</v>
      </c>
      <c r="U109">
        <v>6813939.9510000004</v>
      </c>
      <c r="V109">
        <v>6788872.3229999999</v>
      </c>
      <c r="W109">
        <v>7063974.7429999998</v>
      </c>
      <c r="X109">
        <v>7290284.0959999999</v>
      </c>
      <c r="Y109">
        <v>7331053.9110000003</v>
      </c>
      <c r="Z109">
        <v>7388202.6239999998</v>
      </c>
      <c r="AA109">
        <v>7456593.9060000004</v>
      </c>
      <c r="AB109">
        <v>7528702.4670000002</v>
      </c>
      <c r="AC109">
        <v>7606978.7640000004</v>
      </c>
      <c r="AD109">
        <v>7685181.9560000002</v>
      </c>
      <c r="AE109">
        <v>7774821.1699999999</v>
      </c>
      <c r="AF109">
        <v>7868662.6629999997</v>
      </c>
      <c r="AG109">
        <v>7967107.4359999998</v>
      </c>
      <c r="AH109">
        <v>8080464.517</v>
      </c>
      <c r="AI109">
        <v>8215196.4009999996</v>
      </c>
      <c r="AJ109">
        <v>8358935.4409999996</v>
      </c>
      <c r="AK109">
        <v>8507215.1109999996</v>
      </c>
      <c r="AL109">
        <v>8660409.1669999994</v>
      </c>
      <c r="AM109">
        <v>8817189.3859999999</v>
      </c>
      <c r="AN109">
        <v>8968989.5209999997</v>
      </c>
      <c r="AO109">
        <v>9124480.0240000002</v>
      </c>
      <c r="AP109">
        <v>9279066.2510000002</v>
      </c>
      <c r="AQ109">
        <v>9433992.1449999996</v>
      </c>
      <c r="AR109">
        <v>9588378.6879999898</v>
      </c>
      <c r="AS109">
        <v>9742293.2899999898</v>
      </c>
      <c r="AT109">
        <v>9897789.7860000003</v>
      </c>
      <c r="AU109">
        <v>10055167.4</v>
      </c>
      <c r="AV109">
        <v>10213636.93</v>
      </c>
      <c r="AW109">
        <v>10373702.949999999</v>
      </c>
    </row>
    <row r="110" spans="2:49" x14ac:dyDescent="0.25">
      <c r="B110" t="s">
        <v>439</v>
      </c>
      <c r="C110">
        <v>1153294.1412084801</v>
      </c>
      <c r="D110" s="100">
        <v>1171810.6516891399</v>
      </c>
      <c r="E110" s="100">
        <v>1190798.162</v>
      </c>
      <c r="F110" s="100">
        <v>1170677.9569999999</v>
      </c>
      <c r="G110">
        <v>1090052.352</v>
      </c>
      <c r="H110">
        <v>990687.70360000001</v>
      </c>
      <c r="I110" s="100">
        <v>1053111.7220000001</v>
      </c>
      <c r="J110" s="100">
        <v>1010544.5110000001</v>
      </c>
      <c r="K110" s="100">
        <v>943254.11239999998</v>
      </c>
      <c r="L110" s="100">
        <v>917911.53150000004</v>
      </c>
      <c r="M110">
        <v>939826.47970000003</v>
      </c>
      <c r="N110">
        <v>995461.39850000001</v>
      </c>
      <c r="O110">
        <v>934610.81709999999</v>
      </c>
      <c r="P110">
        <v>875211.29070000001</v>
      </c>
      <c r="Q110">
        <v>779065.32149999996</v>
      </c>
      <c r="R110">
        <v>727688.64300000004</v>
      </c>
      <c r="S110">
        <v>646426.45810000005</v>
      </c>
      <c r="T110">
        <v>671856.20239999995</v>
      </c>
      <c r="U110">
        <v>646103.19839999999</v>
      </c>
      <c r="V110">
        <v>637990.43539999996</v>
      </c>
      <c r="W110">
        <v>661486.91689999995</v>
      </c>
      <c r="X110">
        <v>679066.81099999999</v>
      </c>
      <c r="Y110">
        <v>671591.17169999995</v>
      </c>
      <c r="Z110">
        <v>670544.2463</v>
      </c>
      <c r="AA110">
        <v>670503.49930000002</v>
      </c>
      <c r="AB110">
        <v>670813.30779999995</v>
      </c>
      <c r="AC110">
        <v>672264.49029999995</v>
      </c>
      <c r="AD110">
        <v>670938.06299999997</v>
      </c>
      <c r="AE110">
        <v>672962.97270000004</v>
      </c>
      <c r="AF110">
        <v>675452.53220000002</v>
      </c>
      <c r="AG110">
        <v>678866.95389999996</v>
      </c>
      <c r="AH110">
        <v>683867.04839999997</v>
      </c>
      <c r="AI110">
        <v>691942.89280000003</v>
      </c>
      <c r="AJ110">
        <v>700580.24730000005</v>
      </c>
      <c r="AK110">
        <v>709705.67449999996</v>
      </c>
      <c r="AL110">
        <v>719222.44759999996</v>
      </c>
      <c r="AM110">
        <v>728890.44240000006</v>
      </c>
      <c r="AN110">
        <v>737793.28940000001</v>
      </c>
      <c r="AO110">
        <v>747993.00210000004</v>
      </c>
      <c r="AP110">
        <v>757681.83169999998</v>
      </c>
      <c r="AQ110">
        <v>767507.76509999996</v>
      </c>
      <c r="AR110">
        <v>776993.80249999999</v>
      </c>
      <c r="AS110">
        <v>786728.33680000005</v>
      </c>
      <c r="AT110">
        <v>796317.34239999996</v>
      </c>
      <c r="AU110">
        <v>806137.59129999997</v>
      </c>
      <c r="AV110">
        <v>816019.52819999994</v>
      </c>
      <c r="AW110">
        <v>826240.24750000006</v>
      </c>
    </row>
    <row r="111" spans="2:49" x14ac:dyDescent="0.25">
      <c r="B111" t="s">
        <v>440</v>
      </c>
      <c r="C111">
        <v>6211298.5004764497</v>
      </c>
      <c r="D111">
        <v>6311022.9070030199</v>
      </c>
      <c r="E111">
        <v>6414338.9579999996</v>
      </c>
      <c r="F111">
        <v>6439250.3039999995</v>
      </c>
      <c r="G111">
        <v>5823546.1430000002</v>
      </c>
      <c r="H111">
        <v>5200951.6880000001</v>
      </c>
      <c r="I111">
        <v>4564179.1140000001</v>
      </c>
      <c r="J111">
        <v>4791705.9649999999</v>
      </c>
      <c r="K111">
        <v>4282323.9730000002</v>
      </c>
      <c r="L111">
        <v>4079198.2990000001</v>
      </c>
      <c r="M111">
        <v>4147042.3870000001</v>
      </c>
      <c r="N111">
        <v>4212095.0020000003</v>
      </c>
      <c r="O111">
        <v>4000196.9180000001</v>
      </c>
      <c r="P111">
        <v>3702182.9350000001</v>
      </c>
      <c r="Q111">
        <v>3340235.4530000002</v>
      </c>
      <c r="R111">
        <v>3062381.9139999999</v>
      </c>
      <c r="S111" s="100">
        <v>2821499.5989999999</v>
      </c>
      <c r="T111" s="100">
        <v>2709529.929</v>
      </c>
      <c r="U111" s="100">
        <v>2551453.2200000002</v>
      </c>
      <c r="V111" s="100">
        <v>2415607.6379999998</v>
      </c>
      <c r="W111">
        <v>2520174.753</v>
      </c>
      <c r="X111">
        <v>2613673.4530000002</v>
      </c>
      <c r="Y111">
        <v>2798992.6680000001</v>
      </c>
      <c r="Z111">
        <v>3062480.4350000001</v>
      </c>
      <c r="AA111">
        <v>3379360.4950000001</v>
      </c>
      <c r="AB111">
        <v>3750317.094</v>
      </c>
      <c r="AC111">
        <v>4185460.7429999998</v>
      </c>
      <c r="AD111">
        <v>4201812.9589999998</v>
      </c>
      <c r="AE111">
        <v>4226863.9519999996</v>
      </c>
      <c r="AF111">
        <v>4254363.8</v>
      </c>
      <c r="AG111">
        <v>4283632.9589999998</v>
      </c>
      <c r="AH111">
        <v>4319483.7439999999</v>
      </c>
      <c r="AI111">
        <v>4364764.4579999996</v>
      </c>
      <c r="AJ111">
        <v>4412138.8</v>
      </c>
      <c r="AK111">
        <v>4462034.3109999998</v>
      </c>
      <c r="AL111">
        <v>4513475.3669999996</v>
      </c>
      <c r="AM111">
        <v>4565466.5319999997</v>
      </c>
      <c r="AN111">
        <v>4517081.8660000004</v>
      </c>
      <c r="AO111">
        <v>4451096.4929999998</v>
      </c>
      <c r="AP111">
        <v>4377409.6629999997</v>
      </c>
      <c r="AQ111">
        <v>4300602.926</v>
      </c>
      <c r="AR111">
        <v>4219664.051</v>
      </c>
      <c r="AS111">
        <v>4192358.233</v>
      </c>
      <c r="AT111">
        <v>4173353.0819999999</v>
      </c>
      <c r="AU111">
        <v>4155055.3319999999</v>
      </c>
      <c r="AV111">
        <v>4135753.287</v>
      </c>
      <c r="AW111">
        <v>4116529.9040000001</v>
      </c>
    </row>
    <row r="112" spans="2:49" x14ac:dyDescent="0.25">
      <c r="B112" t="s">
        <v>441</v>
      </c>
      <c r="C112" s="100">
        <v>19068539.7330263</v>
      </c>
      <c r="D112">
        <v>19374691.306334</v>
      </c>
      <c r="E112">
        <v>19692663.129999999</v>
      </c>
      <c r="F112">
        <v>19847670.780000001</v>
      </c>
      <c r="G112" s="100">
        <v>18030366.370000001</v>
      </c>
      <c r="H112">
        <v>16040285.49</v>
      </c>
      <c r="I112">
        <v>14755924.470000001</v>
      </c>
      <c r="J112">
        <v>15764852.85</v>
      </c>
      <c r="K112">
        <v>14115562.27</v>
      </c>
      <c r="L112">
        <v>13494442.17</v>
      </c>
      <c r="M112">
        <v>13757263.960000001</v>
      </c>
      <c r="N112">
        <v>13958043.890000001</v>
      </c>
      <c r="O112">
        <v>13344068.859999999</v>
      </c>
      <c r="P112">
        <v>12403470.35</v>
      </c>
      <c r="Q112">
        <v>11202284.109999999</v>
      </c>
      <c r="R112">
        <v>10332155.060000001</v>
      </c>
      <c r="S112" s="100">
        <v>9532503.4330000002</v>
      </c>
      <c r="T112" s="100">
        <v>9391106.7170000002</v>
      </c>
      <c r="U112" s="100">
        <v>8957834.2540000007</v>
      </c>
      <c r="V112" s="100">
        <v>8705063.7770000007</v>
      </c>
      <c r="W112">
        <v>8363289.0130000003</v>
      </c>
      <c r="X112">
        <v>7951780.3569999998</v>
      </c>
      <c r="Y112">
        <v>7732646.9649999999</v>
      </c>
      <c r="Z112">
        <v>7693343.5530000003</v>
      </c>
      <c r="AA112">
        <v>7704907.926</v>
      </c>
      <c r="AB112">
        <v>7734758.5159999998</v>
      </c>
      <c r="AC112">
        <v>7783902.6509999996</v>
      </c>
      <c r="AD112">
        <v>7792077.4500000002</v>
      </c>
      <c r="AE112">
        <v>7820532.5219999999</v>
      </c>
      <c r="AF112">
        <v>7854932.4029999999</v>
      </c>
      <c r="AG112">
        <v>7892970.3389999997</v>
      </c>
      <c r="AH112">
        <v>7949419.926</v>
      </c>
      <c r="AI112">
        <v>8008230.5089999996</v>
      </c>
      <c r="AJ112">
        <v>8062382.5300000003</v>
      </c>
      <c r="AK112">
        <v>8129710.3830000004</v>
      </c>
      <c r="AL112">
        <v>8197590.96</v>
      </c>
      <c r="AM112">
        <v>8262150.659</v>
      </c>
      <c r="AN112">
        <v>8137729.7039999999</v>
      </c>
      <c r="AO112">
        <v>7985601.5039999997</v>
      </c>
      <c r="AP112">
        <v>7819524.6179999998</v>
      </c>
      <c r="AQ112">
        <v>7655372.5159999998</v>
      </c>
      <c r="AR112">
        <v>7476818.3619999997</v>
      </c>
      <c r="AS112">
        <v>7394571.4409999996</v>
      </c>
      <c r="AT112">
        <v>7326817.2800000003</v>
      </c>
      <c r="AU112">
        <v>7257611.2359999996</v>
      </c>
      <c r="AV112">
        <v>7186674.4780000001</v>
      </c>
      <c r="AW112">
        <v>7140085.2609999999</v>
      </c>
    </row>
    <row r="113" spans="2:49" x14ac:dyDescent="0.25">
      <c r="B113" t="s">
        <v>442</v>
      </c>
      <c r="C113">
        <v>14426006.8404216</v>
      </c>
      <c r="D113">
        <v>14657621.046468699</v>
      </c>
      <c r="E113">
        <v>14897820.91</v>
      </c>
      <c r="F113">
        <v>14859935.619999999</v>
      </c>
      <c r="G113">
        <v>13684160.6</v>
      </c>
      <c r="H113">
        <v>12729602.66</v>
      </c>
      <c r="I113">
        <v>11126790.26</v>
      </c>
      <c r="J113">
        <v>10031019.52</v>
      </c>
      <c r="K113">
        <v>9120139.7019999996</v>
      </c>
      <c r="L113">
        <v>8985961.1420000009</v>
      </c>
      <c r="M113">
        <v>8896819.3320000004</v>
      </c>
      <c r="N113">
        <v>9185898.8489999995</v>
      </c>
      <c r="O113">
        <v>8431214.4000000004</v>
      </c>
      <c r="P113">
        <v>7544691.9759999998</v>
      </c>
      <c r="Q113">
        <v>6762710.4450000003</v>
      </c>
      <c r="R113">
        <v>6104068.1900000004</v>
      </c>
      <c r="S113">
        <v>5656339.7390000001</v>
      </c>
      <c r="T113">
        <v>5418835.4100000001</v>
      </c>
      <c r="U113" s="100">
        <v>5071856.801</v>
      </c>
      <c r="V113">
        <v>4763753.2640000004</v>
      </c>
      <c r="W113">
        <v>4836015.176</v>
      </c>
      <c r="X113">
        <v>4870399.93</v>
      </c>
      <c r="Y113">
        <v>5102582.3339999998</v>
      </c>
      <c r="Z113">
        <v>5469583.7920000004</v>
      </c>
      <c r="AA113">
        <v>5914011.2790000001</v>
      </c>
      <c r="AB113">
        <v>6438675.7199999997</v>
      </c>
      <c r="AC113">
        <v>7066268.4709999999</v>
      </c>
      <c r="AD113">
        <v>7054837.4879999999</v>
      </c>
      <c r="AE113">
        <v>7059826.949</v>
      </c>
      <c r="AF113">
        <v>7069824.5899999999</v>
      </c>
      <c r="AG113">
        <v>7082488.2630000003</v>
      </c>
      <c r="AH113">
        <v>7104979.3619999997</v>
      </c>
      <c r="AI113">
        <v>7141266.3439999996</v>
      </c>
      <c r="AJ113">
        <v>7179443.358</v>
      </c>
      <c r="AK113">
        <v>7222438.6059999997</v>
      </c>
      <c r="AL113">
        <v>7267741.0180000002</v>
      </c>
      <c r="AM113">
        <v>7313758.2980000004</v>
      </c>
      <c r="AN113">
        <v>7185297.1189999999</v>
      </c>
      <c r="AO113">
        <v>7030019.9840000002</v>
      </c>
      <c r="AP113">
        <v>6865880.0480000004</v>
      </c>
      <c r="AQ113">
        <v>6700495.9400000004</v>
      </c>
      <c r="AR113">
        <v>6532026.0329999998</v>
      </c>
      <c r="AS113">
        <v>6454424.415</v>
      </c>
      <c r="AT113">
        <v>6391445.7860000003</v>
      </c>
      <c r="AU113">
        <v>6330840.2869999995</v>
      </c>
      <c r="AV113">
        <v>6269956.9840000002</v>
      </c>
      <c r="AW113">
        <v>6209692.1030000001</v>
      </c>
    </row>
    <row r="114" spans="2:49" x14ac:dyDescent="0.25">
      <c r="B114" t="s">
        <v>443</v>
      </c>
      <c r="C114">
        <v>9279692.21316991</v>
      </c>
      <c r="D114">
        <v>9428680.6732538398</v>
      </c>
      <c r="E114">
        <v>9581386.1769999899</v>
      </c>
      <c r="F114">
        <v>9540634.6559999995</v>
      </c>
      <c r="G114">
        <v>9138512.6300000008</v>
      </c>
      <c r="H114">
        <v>8586361.7440000009</v>
      </c>
      <c r="I114">
        <v>8221230.9730000002</v>
      </c>
      <c r="J114">
        <v>7974698.2609999999</v>
      </c>
      <c r="K114">
        <v>7571821.3080000002</v>
      </c>
      <c r="L114">
        <v>7498446.0219999999</v>
      </c>
      <c r="M114">
        <v>7466511.8049999997</v>
      </c>
      <c r="N114">
        <v>7721496.0899999999</v>
      </c>
      <c r="O114">
        <v>7557682.608</v>
      </c>
      <c r="P114">
        <v>7301809.6569999997</v>
      </c>
      <c r="Q114">
        <v>6948908.7460000003</v>
      </c>
      <c r="R114">
        <v>6817227.7470000004</v>
      </c>
      <c r="S114">
        <v>6591304.6730000004</v>
      </c>
      <c r="T114">
        <v>6504893.4220000003</v>
      </c>
      <c r="U114">
        <v>6251725.5480000004</v>
      </c>
      <c r="V114">
        <v>6065826.5810000002</v>
      </c>
      <c r="W114">
        <v>6179222.1289999997</v>
      </c>
      <c r="X114">
        <v>6225835.1260000002</v>
      </c>
      <c r="Y114">
        <v>6211376.216</v>
      </c>
      <c r="Z114">
        <v>6295478.8080000002</v>
      </c>
      <c r="AA114">
        <v>6418642.0350000001</v>
      </c>
      <c r="AB114">
        <v>6572502.2709999997</v>
      </c>
      <c r="AC114">
        <v>6765515.7130000005</v>
      </c>
      <c r="AD114">
        <v>6805201.5029999996</v>
      </c>
      <c r="AE114">
        <v>6861546.8870000001</v>
      </c>
      <c r="AF114">
        <v>6921048.7889999999</v>
      </c>
      <c r="AG114">
        <v>6984668.182</v>
      </c>
      <c r="AH114">
        <v>7058314.1670000004</v>
      </c>
      <c r="AI114">
        <v>7156487.0880000005</v>
      </c>
      <c r="AJ114">
        <v>7258083.3480000002</v>
      </c>
      <c r="AK114">
        <v>7365844.2000000002</v>
      </c>
      <c r="AL114">
        <v>7476828.5609999998</v>
      </c>
      <c r="AM114">
        <v>7589371.9469999997</v>
      </c>
      <c r="AN114">
        <v>7616492.3859999999</v>
      </c>
      <c r="AO114">
        <v>7631916.9129999997</v>
      </c>
      <c r="AP114">
        <v>7636807.9900000002</v>
      </c>
      <c r="AQ114">
        <v>7636236.267</v>
      </c>
      <c r="AR114">
        <v>7626435.7189999996</v>
      </c>
      <c r="AS114">
        <v>7667565.642</v>
      </c>
      <c r="AT114">
        <v>7714463.8119999999</v>
      </c>
      <c r="AU114">
        <v>7761290.3310000002</v>
      </c>
      <c r="AV114">
        <v>7806368.9910000004</v>
      </c>
      <c r="AW114">
        <v>7850385.6890000002</v>
      </c>
    </row>
    <row r="115" spans="2:49" x14ac:dyDescent="0.25">
      <c r="B115" t="s">
        <v>444</v>
      </c>
      <c r="C115">
        <v>10783636.5742715</v>
      </c>
      <c r="D115">
        <v>10956771.347537501</v>
      </c>
      <c r="E115">
        <v>11150446.84</v>
      </c>
      <c r="F115">
        <v>11154234.699999999</v>
      </c>
      <c r="G115">
        <v>11097629.75</v>
      </c>
      <c r="H115">
        <v>10295881.9</v>
      </c>
      <c r="I115">
        <v>10628825.859999999</v>
      </c>
      <c r="J115">
        <v>10705959.27</v>
      </c>
      <c r="K115">
        <v>10463916.529999999</v>
      </c>
      <c r="L115">
        <v>10411166.93</v>
      </c>
      <c r="M115">
        <v>10413555.92</v>
      </c>
      <c r="N115">
        <v>10709979.699999999</v>
      </c>
      <c r="O115">
        <v>10787372.279999999</v>
      </c>
      <c r="P115">
        <v>10930564.41</v>
      </c>
      <c r="Q115">
        <v>10879692.75</v>
      </c>
      <c r="R115">
        <v>11073956.710000001</v>
      </c>
      <c r="S115">
        <v>11048054.08</v>
      </c>
      <c r="T115">
        <v>10922558.189999999</v>
      </c>
      <c r="U115">
        <v>10833142.449999999</v>
      </c>
      <c r="V115">
        <v>10829390.9</v>
      </c>
      <c r="W115">
        <v>11140762.130000001</v>
      </c>
      <c r="X115">
        <v>11399698.460000001</v>
      </c>
      <c r="Y115">
        <v>11488402.140000001</v>
      </c>
      <c r="Z115">
        <v>11615268.99</v>
      </c>
      <c r="AA115">
        <v>11796568.699999999</v>
      </c>
      <c r="AB115">
        <v>12005111.93</v>
      </c>
      <c r="AC115">
        <v>12251420.25</v>
      </c>
      <c r="AD115">
        <v>12315095.75</v>
      </c>
      <c r="AE115">
        <v>12395965.189999999</v>
      </c>
      <c r="AF115">
        <v>12482893.26</v>
      </c>
      <c r="AG115">
        <v>12579243.189999999</v>
      </c>
      <c r="AH115">
        <v>12690700.779999999</v>
      </c>
      <c r="AI115">
        <v>12835260.16</v>
      </c>
      <c r="AJ115">
        <v>12992320.439999999</v>
      </c>
      <c r="AK115">
        <v>13157027.789999999</v>
      </c>
      <c r="AL115">
        <v>13327469.439999999</v>
      </c>
      <c r="AM115">
        <v>13500825.58</v>
      </c>
      <c r="AN115">
        <v>13666146.789999999</v>
      </c>
      <c r="AO115">
        <v>13839873.67</v>
      </c>
      <c r="AP115">
        <v>14011554.91</v>
      </c>
      <c r="AQ115">
        <v>14185233.039999999</v>
      </c>
      <c r="AR115">
        <v>14361982.210000001</v>
      </c>
      <c r="AS115">
        <v>14550063.880000001</v>
      </c>
      <c r="AT115">
        <v>14739159.1</v>
      </c>
      <c r="AU115">
        <v>14930203.810000001</v>
      </c>
      <c r="AV115">
        <v>15122121.369999999</v>
      </c>
      <c r="AW115">
        <v>15314854.76</v>
      </c>
    </row>
    <row r="116" spans="2:49" x14ac:dyDescent="0.25">
      <c r="B116" t="s">
        <v>445</v>
      </c>
      <c r="C116">
        <v>584010.86634464201</v>
      </c>
      <c r="D116">
        <v>593387.34970747295</v>
      </c>
      <c r="E116">
        <v>603045.05370000005</v>
      </c>
      <c r="F116">
        <v>618919.22679999995</v>
      </c>
      <c r="G116">
        <v>586402.06900000002</v>
      </c>
      <c r="H116">
        <v>506936.94949999999</v>
      </c>
      <c r="I116">
        <v>525306.78469999996</v>
      </c>
      <c r="J116">
        <v>526573.75080000004</v>
      </c>
      <c r="K116">
        <v>484789.79220000003</v>
      </c>
      <c r="L116">
        <v>453255.72489999997</v>
      </c>
      <c r="M116">
        <v>444087.56050000002</v>
      </c>
      <c r="N116">
        <v>467216.29960000003</v>
      </c>
      <c r="O116">
        <v>445848.29369999998</v>
      </c>
      <c r="P116">
        <v>427930.42940000002</v>
      </c>
      <c r="Q116">
        <v>397315.48810000002</v>
      </c>
      <c r="R116">
        <v>368110.99530000001</v>
      </c>
      <c r="S116">
        <v>350763.83439999999</v>
      </c>
      <c r="T116">
        <v>350907.56170000002</v>
      </c>
      <c r="U116">
        <v>342386.70319999999</v>
      </c>
      <c r="V116">
        <v>339770.33760000003</v>
      </c>
      <c r="W116">
        <v>348929.78080000001</v>
      </c>
      <c r="X116">
        <v>355427.54399999999</v>
      </c>
      <c r="Y116">
        <v>356737.83789999998</v>
      </c>
      <c r="Z116">
        <v>362930.25780000002</v>
      </c>
      <c r="AA116">
        <v>371282.7893</v>
      </c>
      <c r="AB116">
        <v>381364.56180000002</v>
      </c>
      <c r="AC116">
        <v>393573.89500000002</v>
      </c>
      <c r="AD116">
        <v>395413.89409999998</v>
      </c>
      <c r="AE116">
        <v>398369.08840000001</v>
      </c>
      <c r="AF116">
        <v>401509.59470000002</v>
      </c>
      <c r="AG116">
        <v>405007.82689999999</v>
      </c>
      <c r="AH116">
        <v>409235.28739999997</v>
      </c>
      <c r="AI116">
        <v>414516.71779999998</v>
      </c>
      <c r="AJ116">
        <v>419992.81469999999</v>
      </c>
      <c r="AK116">
        <v>425747.67859999998</v>
      </c>
      <c r="AL116">
        <v>431648.8296</v>
      </c>
      <c r="AM116">
        <v>437564.22970000003</v>
      </c>
      <c r="AN116">
        <v>441315.62050000002</v>
      </c>
      <c r="AO116">
        <v>445106.739</v>
      </c>
      <c r="AP116">
        <v>448471.45270000002</v>
      </c>
      <c r="AQ116">
        <v>451780.88419999997</v>
      </c>
      <c r="AR116">
        <v>454643.07449999999</v>
      </c>
      <c r="AS116">
        <v>458728.70890000003</v>
      </c>
      <c r="AT116">
        <v>462875.58960000001</v>
      </c>
      <c r="AU116">
        <v>467030.19939999998</v>
      </c>
      <c r="AV116">
        <v>471131.65769999998</v>
      </c>
      <c r="AW116">
        <v>475453.85080000001</v>
      </c>
    </row>
    <row r="117" spans="2:49" x14ac:dyDescent="0.25">
      <c r="B117" t="s">
        <v>446</v>
      </c>
      <c r="C117">
        <v>22712835.5539211</v>
      </c>
      <c r="D117">
        <v>23077497.475414101</v>
      </c>
      <c r="E117">
        <v>23460129.43</v>
      </c>
      <c r="F117">
        <v>23541328.149999999</v>
      </c>
      <c r="G117">
        <v>19976547.350000001</v>
      </c>
      <c r="H117">
        <v>16627636.130000001</v>
      </c>
      <c r="I117">
        <v>17076817.620000001</v>
      </c>
      <c r="J117">
        <v>16670787.130000001</v>
      </c>
      <c r="K117">
        <v>15792585.32</v>
      </c>
      <c r="L117">
        <v>16440934.630000001</v>
      </c>
      <c r="M117">
        <v>16799529.079999998</v>
      </c>
      <c r="N117">
        <v>17133870.18</v>
      </c>
      <c r="O117">
        <v>14356825.449999999</v>
      </c>
      <c r="P117">
        <v>13043455.630000001</v>
      </c>
      <c r="Q117">
        <v>11931226.73</v>
      </c>
      <c r="R117">
        <v>11000851.210000001</v>
      </c>
      <c r="S117">
        <v>10340938.42</v>
      </c>
      <c r="T117">
        <v>10512109.109999999</v>
      </c>
      <c r="U117">
        <v>10340365.17</v>
      </c>
      <c r="V117">
        <v>10327409.57</v>
      </c>
      <c r="W117">
        <v>10295106.380000001</v>
      </c>
      <c r="X117">
        <v>10167384.550000001</v>
      </c>
      <c r="Y117">
        <v>10120369.869999999</v>
      </c>
      <c r="Z117">
        <v>10205406.52</v>
      </c>
      <c r="AA117">
        <v>10313921.310000001</v>
      </c>
      <c r="AB117">
        <v>10432894.949999999</v>
      </c>
      <c r="AC117">
        <v>10565941.720000001</v>
      </c>
      <c r="AD117">
        <v>10548870.74</v>
      </c>
      <c r="AE117">
        <v>10562536.76</v>
      </c>
      <c r="AF117">
        <v>10583315.57</v>
      </c>
      <c r="AG117">
        <v>10611947.939999999</v>
      </c>
      <c r="AH117">
        <v>10656905.15</v>
      </c>
      <c r="AI117">
        <v>10714906.66</v>
      </c>
      <c r="AJ117">
        <v>10775975.75</v>
      </c>
      <c r="AK117">
        <v>10846992.1</v>
      </c>
      <c r="AL117">
        <v>10922063.85</v>
      </c>
      <c r="AM117">
        <v>10997773.619999999</v>
      </c>
      <c r="AN117">
        <v>10966173.25</v>
      </c>
      <c r="AO117">
        <v>10924309.960000001</v>
      </c>
      <c r="AP117">
        <v>10868878.48</v>
      </c>
      <c r="AQ117">
        <v>10808840.93</v>
      </c>
      <c r="AR117">
        <v>10735393.99</v>
      </c>
      <c r="AS117">
        <v>10728763.9</v>
      </c>
      <c r="AT117">
        <v>10727813.119999999</v>
      </c>
      <c r="AU117">
        <v>10726683.689999999</v>
      </c>
      <c r="AV117">
        <v>10724057.49</v>
      </c>
      <c r="AW117">
        <v>10725685.550000001</v>
      </c>
    </row>
    <row r="118" spans="2:49" x14ac:dyDescent="0.25">
      <c r="B118" t="s">
        <v>447</v>
      </c>
      <c r="C118">
        <v>611949.61832884501</v>
      </c>
      <c r="D118">
        <v>621774.66739182698</v>
      </c>
      <c r="E118">
        <v>631757.4608</v>
      </c>
      <c r="F118">
        <v>620001.66440000001</v>
      </c>
      <c r="G118">
        <v>558119.06279999996</v>
      </c>
      <c r="H118">
        <v>469065.87079999998</v>
      </c>
      <c r="I118">
        <v>503589.96110000001</v>
      </c>
      <c r="J118">
        <v>487694.12280000001</v>
      </c>
      <c r="K118">
        <v>440256.49040000001</v>
      </c>
      <c r="L118">
        <v>418283.989</v>
      </c>
      <c r="M118">
        <v>417216.86099999998</v>
      </c>
      <c r="N118">
        <v>418266.99599999998</v>
      </c>
      <c r="O118">
        <v>387389.78129999997</v>
      </c>
      <c r="P118">
        <v>374329.95260000002</v>
      </c>
      <c r="Q118">
        <v>333017.3725</v>
      </c>
      <c r="R118">
        <v>306797.23759999999</v>
      </c>
      <c r="S118">
        <v>295617.19079999998</v>
      </c>
      <c r="T118">
        <v>298174.29989999998</v>
      </c>
      <c r="U118">
        <v>286751.38569999998</v>
      </c>
      <c r="V118">
        <v>281556.0969</v>
      </c>
      <c r="W118">
        <v>306964.68050000002</v>
      </c>
      <c r="X118">
        <v>331577.40360000002</v>
      </c>
      <c r="Y118">
        <v>338217.80320000002</v>
      </c>
      <c r="Z118">
        <v>351064.23920000001</v>
      </c>
      <c r="AA118">
        <v>366583.12920000002</v>
      </c>
      <c r="AB118">
        <v>384673.31339999998</v>
      </c>
      <c r="AC118">
        <v>406098.80060000002</v>
      </c>
      <c r="AD118">
        <v>404819.40090000001</v>
      </c>
      <c r="AE118">
        <v>404854.0258</v>
      </c>
      <c r="AF118">
        <v>404945.3848</v>
      </c>
      <c r="AG118">
        <v>405435.00790000003</v>
      </c>
      <c r="AH118">
        <v>406619.01819999999</v>
      </c>
      <c r="AI118">
        <v>410158.40029999998</v>
      </c>
      <c r="AJ118">
        <v>413736.53980000003</v>
      </c>
      <c r="AK118">
        <v>417582.54810000001</v>
      </c>
      <c r="AL118">
        <v>421481.71789999999</v>
      </c>
      <c r="AM118">
        <v>425310.47320000001</v>
      </c>
      <c r="AN118">
        <v>428272.05650000001</v>
      </c>
      <c r="AO118">
        <v>432049.81339999998</v>
      </c>
      <c r="AP118">
        <v>435594.83539999998</v>
      </c>
      <c r="AQ118">
        <v>439251.56449999998</v>
      </c>
      <c r="AR118">
        <v>442575.45890000003</v>
      </c>
      <c r="AS118">
        <v>446069.6237</v>
      </c>
      <c r="AT118">
        <v>449303.26870000002</v>
      </c>
      <c r="AU118">
        <v>452474.1972</v>
      </c>
      <c r="AV118">
        <v>455570.71169999999</v>
      </c>
      <c r="AW118">
        <v>458773.7501</v>
      </c>
    </row>
    <row r="119" spans="2:49" x14ac:dyDescent="0.25">
      <c r="B119" t="s">
        <v>448</v>
      </c>
      <c r="C119">
        <v>18604230.451297902</v>
      </c>
      <c r="D119">
        <v>18902927.3889024</v>
      </c>
      <c r="E119">
        <v>19209702.579999998</v>
      </c>
      <c r="F119">
        <v>19518136.460000001</v>
      </c>
      <c r="G119">
        <v>18322422</v>
      </c>
      <c r="H119">
        <v>16854372.719999999</v>
      </c>
      <c r="I119">
        <v>16985114.949999999</v>
      </c>
      <c r="J119">
        <v>16543292.359999999</v>
      </c>
      <c r="K119">
        <v>15649449.41</v>
      </c>
      <c r="L119">
        <v>15318580.67</v>
      </c>
      <c r="M119">
        <v>15361434.960000001</v>
      </c>
      <c r="N119">
        <v>15733253.960000001</v>
      </c>
      <c r="O119">
        <v>14946270.98</v>
      </c>
      <c r="P119">
        <v>14158815.68</v>
      </c>
      <c r="Q119">
        <v>13142634.310000001</v>
      </c>
      <c r="R119">
        <v>12845870.199999999</v>
      </c>
      <c r="S119">
        <v>12500081.189999999</v>
      </c>
      <c r="T119">
        <v>12640105.050000001</v>
      </c>
      <c r="U119">
        <v>12411566.65</v>
      </c>
      <c r="V119">
        <v>12367107.130000001</v>
      </c>
      <c r="W119">
        <v>12841091.42</v>
      </c>
      <c r="X119">
        <v>13226018.4</v>
      </c>
      <c r="Y119">
        <v>13175437.640000001</v>
      </c>
      <c r="Z119">
        <v>13261452.58</v>
      </c>
      <c r="AA119">
        <v>13370982.33</v>
      </c>
      <c r="AB119">
        <v>13491653.6</v>
      </c>
      <c r="AC119">
        <v>13630344.59</v>
      </c>
      <c r="AD119">
        <v>13693315.24</v>
      </c>
      <c r="AE119">
        <v>13796168.949999999</v>
      </c>
      <c r="AF119">
        <v>13906975.27</v>
      </c>
      <c r="AG119">
        <v>14028754.1</v>
      </c>
      <c r="AH119">
        <v>14172366.51</v>
      </c>
      <c r="AI119">
        <v>14366685.32</v>
      </c>
      <c r="AJ119">
        <v>14566010.029999999</v>
      </c>
      <c r="AK119">
        <v>14775933.970000001</v>
      </c>
      <c r="AL119">
        <v>14992138.57</v>
      </c>
      <c r="AM119">
        <v>15210826.33</v>
      </c>
      <c r="AN119">
        <v>15402200.67</v>
      </c>
      <c r="AO119">
        <v>15620321.439999999</v>
      </c>
      <c r="AP119">
        <v>15834414.35</v>
      </c>
      <c r="AQ119">
        <v>16050869.48</v>
      </c>
      <c r="AR119">
        <v>16261340.42</v>
      </c>
      <c r="AS119">
        <v>16478788.32</v>
      </c>
      <c r="AT119">
        <v>16689457.91</v>
      </c>
      <c r="AU119">
        <v>16901641.370000001</v>
      </c>
      <c r="AV119">
        <v>17114516.5</v>
      </c>
      <c r="AW119">
        <v>17334063.850000001</v>
      </c>
    </row>
    <row r="120" spans="2:49" x14ac:dyDescent="0.25">
      <c r="B120" t="s">
        <v>449</v>
      </c>
      <c r="C120">
        <v>583438.22926562198</v>
      </c>
      <c r="D120">
        <v>592805.51875492395</v>
      </c>
      <c r="E120">
        <v>602323.20449999999</v>
      </c>
      <c r="F120">
        <v>629485.13529999997</v>
      </c>
      <c r="G120">
        <v>616172.81830000004</v>
      </c>
      <c r="H120">
        <v>535443.15020000003</v>
      </c>
      <c r="I120">
        <v>534231.10789999994</v>
      </c>
      <c r="J120">
        <v>544716.26549999998</v>
      </c>
      <c r="K120">
        <v>520825.67910000001</v>
      </c>
      <c r="L120">
        <v>505294.18530000001</v>
      </c>
      <c r="M120">
        <v>470070.69959999999</v>
      </c>
      <c r="N120">
        <v>429817.42290000001</v>
      </c>
      <c r="O120">
        <v>414978.70799999998</v>
      </c>
      <c r="P120">
        <v>414630.50719999999</v>
      </c>
      <c r="Q120">
        <v>399385.97090000001</v>
      </c>
      <c r="R120">
        <v>399866.17790000001</v>
      </c>
      <c r="S120">
        <v>398559.72039999999</v>
      </c>
      <c r="T120">
        <v>402325.4105</v>
      </c>
      <c r="U120">
        <v>390296.12150000001</v>
      </c>
      <c r="V120">
        <v>389272.41499999998</v>
      </c>
      <c r="W120">
        <v>410340.43219999998</v>
      </c>
      <c r="X120">
        <v>428768.636</v>
      </c>
      <c r="Y120">
        <v>416152.54440000001</v>
      </c>
      <c r="Z120">
        <v>409710.23820000002</v>
      </c>
      <c r="AA120">
        <v>405413.68400000001</v>
      </c>
      <c r="AB120">
        <v>401754.28210000001</v>
      </c>
      <c r="AC120">
        <v>398745.4523</v>
      </c>
      <c r="AD120">
        <v>396619.85009999998</v>
      </c>
      <c r="AE120">
        <v>395283.66499999998</v>
      </c>
      <c r="AF120">
        <v>393952.1925</v>
      </c>
      <c r="AG120">
        <v>392963.97859999997</v>
      </c>
      <c r="AH120">
        <v>393027.29</v>
      </c>
      <c r="AI120">
        <v>394504.34399999998</v>
      </c>
      <c r="AJ120">
        <v>395604.67070000002</v>
      </c>
      <c r="AK120">
        <v>397537.99959999998</v>
      </c>
      <c r="AL120">
        <v>399429.84389999998</v>
      </c>
      <c r="AM120">
        <v>401065.05489999999</v>
      </c>
      <c r="AN120">
        <v>400978.18040000001</v>
      </c>
      <c r="AO120">
        <v>401711.32280000002</v>
      </c>
      <c r="AP120">
        <v>402315.52519999997</v>
      </c>
      <c r="AQ120">
        <v>403503.59169999999</v>
      </c>
      <c r="AR120">
        <v>404006.06559999997</v>
      </c>
      <c r="AS120">
        <v>404853.40389999998</v>
      </c>
      <c r="AT120">
        <v>405698.20189999999</v>
      </c>
      <c r="AU120">
        <v>406303.76270000002</v>
      </c>
      <c r="AV120">
        <v>406824.32520000002</v>
      </c>
      <c r="AW120">
        <v>410439.28960000002</v>
      </c>
    </row>
    <row r="121" spans="2:49" x14ac:dyDescent="0.25">
      <c r="B121" t="s">
        <v>450</v>
      </c>
      <c r="C121">
        <v>640997.091904014</v>
      </c>
      <c r="D121">
        <v>651288.50755091803</v>
      </c>
      <c r="E121">
        <v>661996.35600000003</v>
      </c>
      <c r="F121">
        <v>673877.24710000004</v>
      </c>
      <c r="G121">
        <v>633142.1004</v>
      </c>
      <c r="H121">
        <v>620838.0625</v>
      </c>
      <c r="I121">
        <v>628735.12269999995</v>
      </c>
      <c r="J121">
        <v>602888.30660000001</v>
      </c>
      <c r="K121">
        <v>567186.20689999999</v>
      </c>
      <c r="L121">
        <v>571130.90709999995</v>
      </c>
      <c r="M121">
        <v>580377.77850000001</v>
      </c>
      <c r="N121">
        <v>610269.73919999995</v>
      </c>
      <c r="O121">
        <v>645682.50179999997</v>
      </c>
      <c r="P121">
        <v>659351.93720000004</v>
      </c>
      <c r="Q121">
        <v>614214.12600000005</v>
      </c>
      <c r="R121">
        <v>631817.95620000002</v>
      </c>
      <c r="S121">
        <v>629661.08959999995</v>
      </c>
      <c r="T121">
        <v>627921.29489999998</v>
      </c>
      <c r="U121">
        <v>625831.46620000002</v>
      </c>
      <c r="V121">
        <v>627851.32409999997</v>
      </c>
      <c r="W121">
        <v>628253.85820000002</v>
      </c>
      <c r="X121">
        <v>624151.42509999999</v>
      </c>
      <c r="Y121">
        <v>629148.25159999996</v>
      </c>
      <c r="Z121">
        <v>634750.83160000003</v>
      </c>
      <c r="AA121">
        <v>641180.6875</v>
      </c>
      <c r="AB121">
        <v>647470.51599999995</v>
      </c>
      <c r="AC121">
        <v>653943.9253</v>
      </c>
      <c r="AD121">
        <v>658873.68550000002</v>
      </c>
      <c r="AE121">
        <v>662458.44099999999</v>
      </c>
      <c r="AF121">
        <v>667288.62040000001</v>
      </c>
      <c r="AG121">
        <v>672439.96699999995</v>
      </c>
      <c r="AH121">
        <v>676630.18530000001</v>
      </c>
      <c r="AI121">
        <v>683846.57709999999</v>
      </c>
      <c r="AJ121">
        <v>690843.12749999994</v>
      </c>
      <c r="AK121">
        <v>697714.72039999999</v>
      </c>
      <c r="AL121">
        <v>704739.40229999996</v>
      </c>
      <c r="AM121">
        <v>711798.62289999996</v>
      </c>
      <c r="AN121">
        <v>717475.86719999998</v>
      </c>
      <c r="AO121">
        <v>723588.65260000003</v>
      </c>
      <c r="AP121">
        <v>729677.9094</v>
      </c>
      <c r="AQ121">
        <v>735889.43729999999</v>
      </c>
      <c r="AR121">
        <v>742085.16350000002</v>
      </c>
      <c r="AS121">
        <v>747922.06339999998</v>
      </c>
      <c r="AT121">
        <v>753925.64769999997</v>
      </c>
      <c r="AU121">
        <v>759998.94409999996</v>
      </c>
      <c r="AV121">
        <v>766079.52020000003</v>
      </c>
      <c r="AW121">
        <v>772376.77300000004</v>
      </c>
    </row>
    <row r="122" spans="2:49" x14ac:dyDescent="0.25">
      <c r="B122" t="s">
        <v>451</v>
      </c>
      <c r="C122">
        <v>2194958.1052306499</v>
      </c>
      <c r="D122">
        <v>2230198.86758945</v>
      </c>
      <c r="E122">
        <v>2254498.4339999999</v>
      </c>
      <c r="F122">
        <v>2243121.7250000001</v>
      </c>
      <c r="G122">
        <v>2234430.9369999999</v>
      </c>
      <c r="H122">
        <v>2230677.4849999999</v>
      </c>
      <c r="I122">
        <v>2237601.5520000001</v>
      </c>
      <c r="J122">
        <v>2251880.9739999999</v>
      </c>
      <c r="K122">
        <v>2253935.1239999998</v>
      </c>
      <c r="L122">
        <v>2252337.4339999999</v>
      </c>
      <c r="M122">
        <v>2267111.8969999999</v>
      </c>
      <c r="N122">
        <v>2246053.6290000002</v>
      </c>
      <c r="O122">
        <v>2273916.1060000001</v>
      </c>
      <c r="P122">
        <v>2296402.9980000001</v>
      </c>
      <c r="Q122">
        <v>2325321.6329999999</v>
      </c>
      <c r="R122">
        <v>2354858.64</v>
      </c>
      <c r="S122">
        <v>2337997.4219999998</v>
      </c>
      <c r="T122">
        <v>2305092.821</v>
      </c>
      <c r="U122">
        <v>2293551.2590000001</v>
      </c>
      <c r="V122">
        <v>2287515.3450000002</v>
      </c>
      <c r="W122">
        <v>2290209.571</v>
      </c>
      <c r="X122">
        <v>2264161.0989999999</v>
      </c>
      <c r="Y122">
        <v>2250669.1919999998</v>
      </c>
      <c r="Z122">
        <v>2229490.9989999998</v>
      </c>
      <c r="AA122">
        <v>2208058.085</v>
      </c>
      <c r="AB122">
        <v>2185222.9909999999</v>
      </c>
      <c r="AC122">
        <v>2161076.8390000002</v>
      </c>
      <c r="AD122">
        <v>2133554.7080000001</v>
      </c>
      <c r="AE122">
        <v>2098836.9730000002</v>
      </c>
      <c r="AF122">
        <v>2067322.16</v>
      </c>
      <c r="AG122">
        <v>2036756.3219999999</v>
      </c>
      <c r="AH122">
        <v>2000623.6059999999</v>
      </c>
      <c r="AI122">
        <v>1989051.0190000001</v>
      </c>
      <c r="AJ122">
        <v>1976406.0319999999</v>
      </c>
      <c r="AK122">
        <v>1963184.8370000001</v>
      </c>
      <c r="AL122">
        <v>1949780.3419999999</v>
      </c>
      <c r="AM122">
        <v>1935949.405</v>
      </c>
      <c r="AN122">
        <v>1935631.7560000001</v>
      </c>
      <c r="AO122">
        <v>1936007.1459999999</v>
      </c>
      <c r="AP122">
        <v>1936659.723</v>
      </c>
      <c r="AQ122">
        <v>1937327.797</v>
      </c>
      <c r="AR122">
        <v>1937742.047</v>
      </c>
      <c r="AS122">
        <v>1945520.5589999999</v>
      </c>
      <c r="AT122">
        <v>1953554.277</v>
      </c>
      <c r="AU122">
        <v>1961700.1640000001</v>
      </c>
      <c r="AV122">
        <v>1969917.6259999999</v>
      </c>
      <c r="AW122">
        <v>1978566.953</v>
      </c>
    </row>
    <row r="123" spans="2:49" x14ac:dyDescent="0.25">
      <c r="B123" t="s">
        <v>452</v>
      </c>
      <c r="C123">
        <v>48301536.741083004</v>
      </c>
      <c r="D123">
        <v>49077033.537035801</v>
      </c>
      <c r="E123">
        <v>49926423.079999998</v>
      </c>
      <c r="F123">
        <v>49626712.369999997</v>
      </c>
      <c r="G123">
        <v>48651633.020000003</v>
      </c>
      <c r="H123">
        <v>46896151.359999999</v>
      </c>
      <c r="I123">
        <v>46508699.189999998</v>
      </c>
      <c r="J123">
        <v>46212426.829999998</v>
      </c>
      <c r="K123">
        <v>45630500.659999996</v>
      </c>
      <c r="L123">
        <v>44778052.340000004</v>
      </c>
      <c r="M123">
        <v>44307563.149999999</v>
      </c>
      <c r="N123">
        <v>43776629.68</v>
      </c>
      <c r="O123">
        <v>43728333.890000001</v>
      </c>
      <c r="P123">
        <v>43892480.229999997</v>
      </c>
      <c r="Q123">
        <v>43291044.600000001</v>
      </c>
      <c r="R123">
        <v>42707226.939999998</v>
      </c>
      <c r="S123">
        <v>42129922.359999999</v>
      </c>
      <c r="T123">
        <v>43012759.049999997</v>
      </c>
      <c r="U123">
        <v>43056973.380000003</v>
      </c>
      <c r="V123">
        <v>43584199.07</v>
      </c>
      <c r="W123">
        <v>43963296.030000001</v>
      </c>
      <c r="X123">
        <v>43995661.640000001</v>
      </c>
      <c r="Y123">
        <v>43835017.340000004</v>
      </c>
      <c r="Z123">
        <v>43898111.810000002</v>
      </c>
      <c r="AA123">
        <v>44027319.159999996</v>
      </c>
      <c r="AB123">
        <v>44189817.770000003</v>
      </c>
      <c r="AC123">
        <v>44401691.840000004</v>
      </c>
      <c r="AD123">
        <v>44166057.979999997</v>
      </c>
      <c r="AE123">
        <v>43985540.82</v>
      </c>
      <c r="AF123">
        <v>43829102.030000001</v>
      </c>
      <c r="AG123">
        <v>43686014.899999999</v>
      </c>
      <c r="AH123">
        <v>43566168.899999999</v>
      </c>
      <c r="AI123">
        <v>43623620.619999997</v>
      </c>
      <c r="AJ123">
        <v>43684226.780000001</v>
      </c>
      <c r="AK123">
        <v>43757744.399999999</v>
      </c>
      <c r="AL123">
        <v>43834483.390000001</v>
      </c>
      <c r="AM123">
        <v>43902268.57</v>
      </c>
      <c r="AN123">
        <v>44223271.609999999</v>
      </c>
      <c r="AO123">
        <v>44588456.210000001</v>
      </c>
      <c r="AP123">
        <v>44944119.460000001</v>
      </c>
      <c r="AQ123">
        <v>45304559.630000003</v>
      </c>
      <c r="AR123">
        <v>45647443.170000002</v>
      </c>
      <c r="AS123">
        <v>46206615.039999999</v>
      </c>
      <c r="AT123">
        <v>46755997.390000001</v>
      </c>
      <c r="AU123">
        <v>47310067.149999999</v>
      </c>
      <c r="AV123">
        <v>47867525.100000001</v>
      </c>
      <c r="AW123">
        <v>48446715.060000002</v>
      </c>
    </row>
    <row r="124" spans="2:49" x14ac:dyDescent="0.25">
      <c r="B124" t="s">
        <v>453</v>
      </c>
      <c r="C124">
        <v>9397840.0105028208</v>
      </c>
      <c r="D124">
        <v>9548725.3716889191</v>
      </c>
      <c r="E124">
        <v>9705874.77999999</v>
      </c>
      <c r="F124">
        <v>11067732.77</v>
      </c>
      <c r="G124">
        <v>9332572.6689999998</v>
      </c>
      <c r="H124">
        <v>6715739.8890000004</v>
      </c>
      <c r="I124">
        <v>7967040.6969999997</v>
      </c>
      <c r="J124">
        <v>6274870.017</v>
      </c>
      <c r="K124">
        <v>7272420.5650000004</v>
      </c>
      <c r="L124">
        <v>6525298.8949999996</v>
      </c>
      <c r="M124">
        <v>6537556.6660000002</v>
      </c>
      <c r="N124">
        <v>6700608.301</v>
      </c>
      <c r="O124">
        <v>6108126.2309999997</v>
      </c>
      <c r="P124">
        <v>6467436.9500000002</v>
      </c>
      <c r="Q124">
        <v>6352723.9079999998</v>
      </c>
      <c r="R124">
        <v>6464571.8109999998</v>
      </c>
      <c r="S124">
        <v>6452879.8279999997</v>
      </c>
      <c r="T124">
        <v>6356766.4129999997</v>
      </c>
      <c r="U124">
        <v>6387002.9939999999</v>
      </c>
      <c r="V124">
        <v>6463611.6449999996</v>
      </c>
      <c r="W124">
        <v>6514137.8990000002</v>
      </c>
      <c r="X124">
        <v>6539550.5700000003</v>
      </c>
      <c r="Y124">
        <v>6586691.6859999998</v>
      </c>
      <c r="Z124">
        <v>6649201.7759999996</v>
      </c>
      <c r="AA124">
        <v>6718918.4390000002</v>
      </c>
      <c r="AB124">
        <v>6791151.6950000003</v>
      </c>
      <c r="AC124">
        <v>6868017.3779999996</v>
      </c>
      <c r="AD124">
        <v>6936075.8310000002</v>
      </c>
      <c r="AE124">
        <v>7007854.5899999999</v>
      </c>
      <c r="AF124">
        <v>7085461.2539999997</v>
      </c>
      <c r="AG124">
        <v>7168874.2599999998</v>
      </c>
      <c r="AH124">
        <v>7258682.2000000002</v>
      </c>
      <c r="AI124">
        <v>7359233.2929999996</v>
      </c>
      <c r="AJ124">
        <v>7467448.335</v>
      </c>
      <c r="AK124">
        <v>7579908.2429999998</v>
      </c>
      <c r="AL124">
        <v>7696863.5460000001</v>
      </c>
      <c r="AM124">
        <v>7816578.5290000001</v>
      </c>
      <c r="AN124">
        <v>7931694.7390000001</v>
      </c>
      <c r="AO124">
        <v>8053842.6809999999</v>
      </c>
      <c r="AP124">
        <v>8175947.3320000004</v>
      </c>
      <c r="AQ124">
        <v>8297498.9879999999</v>
      </c>
      <c r="AR124">
        <v>8418909.784</v>
      </c>
      <c r="AS124">
        <v>8539888.7349999994</v>
      </c>
      <c r="AT124">
        <v>8661341.6539999899</v>
      </c>
      <c r="AU124">
        <v>8784535.7709999997</v>
      </c>
      <c r="AV124">
        <v>8908831.7420000006</v>
      </c>
      <c r="AW124">
        <v>9036688.2709999997</v>
      </c>
    </row>
    <row r="125" spans="2:49" x14ac:dyDescent="0.25">
      <c r="B125" t="s">
        <v>454</v>
      </c>
      <c r="C125">
        <v>2784044.1169573502</v>
      </c>
      <c r="D125">
        <v>2828742.8457796802</v>
      </c>
      <c r="E125">
        <v>2875233.8760000002</v>
      </c>
      <c r="F125">
        <v>2985549.264</v>
      </c>
      <c r="G125">
        <v>2966163.4449999998</v>
      </c>
      <c r="H125">
        <v>2432524.2039999999</v>
      </c>
      <c r="I125">
        <v>2459650.4360000002</v>
      </c>
      <c r="J125">
        <v>2570671.003</v>
      </c>
      <c r="K125">
        <v>2509999.6880000001</v>
      </c>
      <c r="L125">
        <v>2439224.31</v>
      </c>
      <c r="M125">
        <v>2434943.6329999999</v>
      </c>
      <c r="N125">
        <v>2565456.6120000002</v>
      </c>
      <c r="O125">
        <v>2560456.6549999998</v>
      </c>
      <c r="P125">
        <v>2554990.182</v>
      </c>
      <c r="Q125">
        <v>2632826.9360000002</v>
      </c>
      <c r="R125">
        <v>2665811.7719999999</v>
      </c>
      <c r="S125">
        <v>2627416.9479999999</v>
      </c>
      <c r="T125">
        <v>2580039.4730000002</v>
      </c>
      <c r="U125">
        <v>2551570.6490000002</v>
      </c>
      <c r="V125">
        <v>2524206.7779999999</v>
      </c>
      <c r="W125">
        <v>2522486.8229999999</v>
      </c>
      <c r="X125">
        <v>2505720.8160000001</v>
      </c>
      <c r="Y125">
        <v>2510997.4619999998</v>
      </c>
      <c r="Z125">
        <v>2520553.554</v>
      </c>
      <c r="AA125">
        <v>2540512.7689999999</v>
      </c>
      <c r="AB125">
        <v>2564359.5490000001</v>
      </c>
      <c r="AC125">
        <v>2590133.8870000001</v>
      </c>
      <c r="AD125">
        <v>2613149.2409999999</v>
      </c>
      <c r="AE125">
        <v>2636397.156</v>
      </c>
      <c r="AF125">
        <v>2664454.4130000002</v>
      </c>
      <c r="AG125">
        <v>2695642.8870000001</v>
      </c>
      <c r="AH125">
        <v>2729907.12</v>
      </c>
      <c r="AI125">
        <v>2770200.8560000001</v>
      </c>
      <c r="AJ125">
        <v>2813646.0180000002</v>
      </c>
      <c r="AK125">
        <v>2858347.199</v>
      </c>
      <c r="AL125">
        <v>2905380.28</v>
      </c>
      <c r="AM125">
        <v>2953396.1159999999</v>
      </c>
      <c r="AN125">
        <v>2994241.6880000001</v>
      </c>
      <c r="AO125">
        <v>3034441.977</v>
      </c>
      <c r="AP125">
        <v>3074206.602</v>
      </c>
      <c r="AQ125">
        <v>3113323.145</v>
      </c>
      <c r="AR125">
        <v>3151403.7230000002</v>
      </c>
      <c r="AS125">
        <v>3192278.196</v>
      </c>
      <c r="AT125">
        <v>3234016.2459999998</v>
      </c>
      <c r="AU125">
        <v>3276082.83</v>
      </c>
      <c r="AV125">
        <v>3318252.53</v>
      </c>
      <c r="AW125">
        <v>3361638.3289999999</v>
      </c>
    </row>
    <row r="126" spans="2:49" x14ac:dyDescent="0.25">
      <c r="B126" t="s">
        <v>455</v>
      </c>
      <c r="C126">
        <v>20640520.667746101</v>
      </c>
      <c r="D126">
        <v>20971910.903432399</v>
      </c>
      <c r="E126">
        <v>21313932.760000002</v>
      </c>
      <c r="F126">
        <v>22206969.969999999</v>
      </c>
      <c r="G126">
        <v>21946561.140000001</v>
      </c>
      <c r="H126">
        <v>21680617.129999999</v>
      </c>
      <c r="I126">
        <v>22244065.359999999</v>
      </c>
      <c r="J126">
        <v>22089158.989999998</v>
      </c>
      <c r="K126">
        <v>21448170.710000001</v>
      </c>
      <c r="L126">
        <v>21467673.260000002</v>
      </c>
      <c r="M126">
        <v>22211889.760000002</v>
      </c>
      <c r="N126">
        <v>23793445.989999998</v>
      </c>
      <c r="O126">
        <v>23724534.75</v>
      </c>
      <c r="P126">
        <v>22820726.300000001</v>
      </c>
      <c r="Q126">
        <v>21088588.43</v>
      </c>
      <c r="R126">
        <v>19827775.02</v>
      </c>
      <c r="S126">
        <v>18787404.379999999</v>
      </c>
      <c r="T126">
        <v>18229321.469999999</v>
      </c>
      <c r="U126" s="100">
        <v>17715656.809999999</v>
      </c>
      <c r="V126">
        <v>17201327.579999998</v>
      </c>
      <c r="W126">
        <v>17463053.34</v>
      </c>
      <c r="X126">
        <v>17696751.719999999</v>
      </c>
      <c r="Y126">
        <v>17435692.859999999</v>
      </c>
      <c r="Z126">
        <v>17173619.140000001</v>
      </c>
      <c r="AA126">
        <v>16913992.760000002</v>
      </c>
      <c r="AB126">
        <v>16657440.369999999</v>
      </c>
      <c r="AC126">
        <v>16402892.640000001</v>
      </c>
      <c r="AD126">
        <v>16164193.42</v>
      </c>
      <c r="AE126">
        <v>15917633.279999999</v>
      </c>
      <c r="AF126">
        <v>15664513.43</v>
      </c>
      <c r="AG126">
        <v>15411215.82</v>
      </c>
      <c r="AH126">
        <v>15159307.85</v>
      </c>
      <c r="AI126">
        <v>14950461.199999999</v>
      </c>
      <c r="AJ126">
        <v>14742102.59</v>
      </c>
      <c r="AK126">
        <v>14537324.380000001</v>
      </c>
      <c r="AL126">
        <v>14333466.380000001</v>
      </c>
      <c r="AM126">
        <v>14132316.42</v>
      </c>
      <c r="AN126">
        <v>13921122.26</v>
      </c>
      <c r="AO126">
        <v>13716845.369999999</v>
      </c>
      <c r="AP126">
        <v>13516877.43</v>
      </c>
      <c r="AQ126">
        <v>13320355.939999999</v>
      </c>
      <c r="AR126">
        <v>13127258.74</v>
      </c>
      <c r="AS126">
        <v>12934342.83</v>
      </c>
      <c r="AT126">
        <v>12745478.92</v>
      </c>
      <c r="AU126">
        <v>12558477.699999999</v>
      </c>
      <c r="AV126">
        <v>12373611.539999999</v>
      </c>
      <c r="AW126">
        <v>12190772.439999999</v>
      </c>
    </row>
    <row r="127" spans="2:49" x14ac:dyDescent="0.25">
      <c r="B127" t="s">
        <v>456</v>
      </c>
      <c r="C127">
        <v>261855678.291933</v>
      </c>
      <c r="D127">
        <v>266059855.90652901</v>
      </c>
      <c r="E127">
        <v>270446401.89999998</v>
      </c>
      <c r="F127">
        <v>272042252.10000002</v>
      </c>
      <c r="G127">
        <v>256554250</v>
      </c>
      <c r="H127">
        <v>238145833.59999999</v>
      </c>
      <c r="I127">
        <v>235096015</v>
      </c>
      <c r="J127">
        <v>228483922.90000001</v>
      </c>
      <c r="K127">
        <v>218451403.19999999</v>
      </c>
      <c r="L127">
        <v>212577612.69999999</v>
      </c>
      <c r="M127">
        <v>211676126.59999999</v>
      </c>
      <c r="N127">
        <v>213446120.80000001</v>
      </c>
      <c r="O127">
        <v>204703425.09999999</v>
      </c>
      <c r="P127">
        <v>197148585.40000001</v>
      </c>
      <c r="Q127">
        <v>186061434.69999999</v>
      </c>
      <c r="R127">
        <v>178501096.40000001</v>
      </c>
      <c r="S127">
        <v>171492802.30000001</v>
      </c>
      <c r="T127">
        <v>171041073.09999999</v>
      </c>
      <c r="U127">
        <v>168644951.40000001</v>
      </c>
      <c r="V127">
        <v>167769554.59999999</v>
      </c>
      <c r="W127">
        <v>168585698.69999999</v>
      </c>
      <c r="X127">
        <v>167869899.19999999</v>
      </c>
      <c r="Y127">
        <v>167497679.80000001</v>
      </c>
      <c r="Z127">
        <v>168495488</v>
      </c>
      <c r="AA127">
        <v>169982251</v>
      </c>
      <c r="AB127">
        <v>171810519.69999999</v>
      </c>
      <c r="AC127">
        <v>174028777.40000001</v>
      </c>
      <c r="AD127">
        <v>174012655.5</v>
      </c>
      <c r="AE127">
        <v>174222162.5</v>
      </c>
      <c r="AF127">
        <v>174508627.19999999</v>
      </c>
      <c r="AG127">
        <v>174901528.30000001</v>
      </c>
      <c r="AH127">
        <v>175456326.90000001</v>
      </c>
      <c r="AI127">
        <v>176425925.5</v>
      </c>
      <c r="AJ127">
        <v>177449524.5</v>
      </c>
      <c r="AK127">
        <v>178563579.5</v>
      </c>
      <c r="AL127">
        <v>179750047.80000001</v>
      </c>
      <c r="AM127">
        <v>180945362.30000001</v>
      </c>
      <c r="AN127">
        <v>181627591.19999999</v>
      </c>
      <c r="AO127">
        <v>182322827.90000001</v>
      </c>
      <c r="AP127">
        <v>182942490.30000001</v>
      </c>
      <c r="AQ127">
        <v>183561876.09999999</v>
      </c>
      <c r="AR127">
        <v>184109840.80000001</v>
      </c>
      <c r="AS127">
        <v>186047711.69999999</v>
      </c>
      <c r="AT127">
        <v>188126573.69999999</v>
      </c>
      <c r="AU127">
        <v>190226903.30000001</v>
      </c>
      <c r="AV127">
        <v>192320364.19999999</v>
      </c>
      <c r="AW127">
        <v>194482832</v>
      </c>
    </row>
    <row r="128" spans="2:49" x14ac:dyDescent="0.25">
      <c r="B128" t="s">
        <v>457</v>
      </c>
      <c r="C128">
        <v>5733144.4507061103</v>
      </c>
      <c r="D128">
        <v>5825191.9393003099</v>
      </c>
      <c r="E128">
        <v>5919233.7230000002</v>
      </c>
      <c r="F128">
        <v>6053525.1919999998</v>
      </c>
      <c r="G128">
        <v>6003086.5609999998</v>
      </c>
      <c r="H128">
        <v>6290808.0010000002</v>
      </c>
      <c r="I128">
        <v>6414227.949</v>
      </c>
      <c r="J128">
        <v>6373952.7079999996</v>
      </c>
      <c r="K128">
        <v>6246017.4680000003</v>
      </c>
      <c r="L128">
        <v>6309818.9730000002</v>
      </c>
      <c r="M128">
        <v>6515336.1459999997</v>
      </c>
      <c r="N128">
        <v>6967670.0779999997</v>
      </c>
      <c r="O128">
        <v>7036455.1500000004</v>
      </c>
      <c r="P128">
        <v>6747901.3279999997</v>
      </c>
      <c r="Q128">
        <v>6121807.7560000001</v>
      </c>
      <c r="R128">
        <v>5688631.3710000003</v>
      </c>
      <c r="S128">
        <v>5357163.9160000002</v>
      </c>
      <c r="T128">
        <v>5121868.1830000002</v>
      </c>
      <c r="U128">
        <v>4905286.8159999996</v>
      </c>
      <c r="V128">
        <v>4687526.8710000003</v>
      </c>
      <c r="W128">
        <v>4833942.7850000001</v>
      </c>
      <c r="X128">
        <v>4962523.7240000004</v>
      </c>
      <c r="Y128">
        <v>4864708.2980000004</v>
      </c>
      <c r="Z128">
        <v>4768675.7750000004</v>
      </c>
      <c r="AA128">
        <v>4675395.5130000003</v>
      </c>
      <c r="AB128">
        <v>4584687.6239999998</v>
      </c>
      <c r="AC128">
        <v>4495960.4079999998</v>
      </c>
      <c r="AD128">
        <v>4414549.3109999998</v>
      </c>
      <c r="AE128">
        <v>4331124.165</v>
      </c>
      <c r="AF128">
        <v>4246093.8550000004</v>
      </c>
      <c r="AG128">
        <v>4161693.1540000001</v>
      </c>
      <c r="AH128">
        <v>4078459.06</v>
      </c>
      <c r="AI128">
        <v>4013103.895</v>
      </c>
      <c r="AJ128">
        <v>3948242.0690000001</v>
      </c>
      <c r="AK128">
        <v>3884900.1949999998</v>
      </c>
      <c r="AL128">
        <v>3822058.1970000002</v>
      </c>
      <c r="AM128">
        <v>3760357.88</v>
      </c>
      <c r="AN128">
        <v>3694346.767</v>
      </c>
      <c r="AO128">
        <v>3630528.4010000001</v>
      </c>
      <c r="AP128">
        <v>3568075.9709999999</v>
      </c>
      <c r="AQ128">
        <v>3506723.15</v>
      </c>
      <c r="AR128">
        <v>3446479.2119999998</v>
      </c>
      <c r="AS128">
        <v>3386205.78</v>
      </c>
      <c r="AT128">
        <v>3327271.8139999998</v>
      </c>
      <c r="AU128">
        <v>3268927.656</v>
      </c>
      <c r="AV128">
        <v>3211270.7760000001</v>
      </c>
      <c r="AW128">
        <v>3154268.5260000001</v>
      </c>
    </row>
    <row r="129" spans="2:49" x14ac:dyDescent="0.25">
      <c r="B129" t="s">
        <v>458</v>
      </c>
      <c r="C129">
        <v>746221.21464997705</v>
      </c>
      <c r="D129">
        <v>758202.03762327298</v>
      </c>
      <c r="E129">
        <v>770375.21660000004</v>
      </c>
      <c r="F129">
        <v>784474.19590000005</v>
      </c>
      <c r="G129">
        <v>645006.15590000001</v>
      </c>
      <c r="H129">
        <v>572484.42859999998</v>
      </c>
      <c r="I129">
        <v>365129.63630000001</v>
      </c>
      <c r="J129">
        <v>367291.51659999997</v>
      </c>
      <c r="K129">
        <v>338392.88380000001</v>
      </c>
      <c r="L129">
        <v>333096.17950000003</v>
      </c>
      <c r="M129">
        <v>335516.6471</v>
      </c>
      <c r="N129">
        <v>324235.46889999998</v>
      </c>
      <c r="O129">
        <v>273721.38319999998</v>
      </c>
      <c r="P129">
        <v>233566.3254</v>
      </c>
      <c r="Q129">
        <v>203961.9797</v>
      </c>
      <c r="R129">
        <v>181362.35399999999</v>
      </c>
      <c r="S129">
        <v>160580.77280000001</v>
      </c>
      <c r="T129">
        <v>153705.95869999999</v>
      </c>
      <c r="U129">
        <v>142524.40239999999</v>
      </c>
      <c r="V129">
        <v>134755.73389999999</v>
      </c>
      <c r="W129">
        <v>124404.95970000001</v>
      </c>
      <c r="X129">
        <v>114044.51519999999</v>
      </c>
      <c r="Y129">
        <v>110466.20419999999</v>
      </c>
      <c r="Z129">
        <v>109967.4083</v>
      </c>
      <c r="AA129">
        <v>110268.85</v>
      </c>
      <c r="AB129">
        <v>110834.6737</v>
      </c>
      <c r="AC129">
        <v>111669.1713</v>
      </c>
      <c r="AD129">
        <v>111826.95480000001</v>
      </c>
      <c r="AE129">
        <v>112280.19409999999</v>
      </c>
      <c r="AF129">
        <v>112828.0181</v>
      </c>
      <c r="AG129">
        <v>113427.08130000001</v>
      </c>
      <c r="AH129">
        <v>114288.9957</v>
      </c>
      <c r="AI129">
        <v>115087.27559999999</v>
      </c>
      <c r="AJ129">
        <v>115816.74</v>
      </c>
      <c r="AK129">
        <v>116729.0678</v>
      </c>
      <c r="AL129">
        <v>117649.72319999999</v>
      </c>
      <c r="AM129">
        <v>118519.38430000001</v>
      </c>
      <c r="AN129">
        <v>115876.3815</v>
      </c>
      <c r="AO129">
        <v>112744.8691</v>
      </c>
      <c r="AP129">
        <v>109479.8446</v>
      </c>
      <c r="AQ129">
        <v>106335.12149999999</v>
      </c>
      <c r="AR129">
        <v>103084.1335</v>
      </c>
      <c r="AS129">
        <v>101591.6155</v>
      </c>
      <c r="AT129">
        <v>100390.5459</v>
      </c>
      <c r="AU129">
        <v>99203.126850000001</v>
      </c>
      <c r="AV129">
        <v>98012.389880000002</v>
      </c>
      <c r="AW129">
        <v>97169.318629999994</v>
      </c>
    </row>
    <row r="130" spans="2:49" x14ac:dyDescent="0.25">
      <c r="B130" t="s">
        <v>459</v>
      </c>
      <c r="C130">
        <v>480333.66960581898</v>
      </c>
      <c r="D130">
        <v>488045.58203966799</v>
      </c>
      <c r="E130">
        <v>495881.31170000002</v>
      </c>
      <c r="F130">
        <v>500645.92690000002</v>
      </c>
      <c r="G130">
        <v>416721.52429999999</v>
      </c>
      <c r="H130">
        <v>384917.62400000001</v>
      </c>
      <c r="I130">
        <v>347478.08669999999</v>
      </c>
      <c r="J130">
        <v>311133.40289999999</v>
      </c>
      <c r="K130">
        <v>299667.56510000001</v>
      </c>
      <c r="L130">
        <v>320221.91460000002</v>
      </c>
      <c r="M130">
        <v>320222.34120000002</v>
      </c>
      <c r="N130">
        <v>319677.40990000003</v>
      </c>
      <c r="O130">
        <v>237372.03039999999</v>
      </c>
      <c r="P130">
        <v>181455.03339999999</v>
      </c>
      <c r="Q130">
        <v>152954.6599</v>
      </c>
      <c r="R130">
        <v>135122.31109999999</v>
      </c>
      <c r="S130">
        <v>120532.01149999999</v>
      </c>
      <c r="T130">
        <v>119374.3821</v>
      </c>
      <c r="U130">
        <v>116970.0171</v>
      </c>
      <c r="V130">
        <v>115413.91770000001</v>
      </c>
      <c r="W130">
        <v>119638.5235</v>
      </c>
      <c r="X130">
        <v>122969.9387</v>
      </c>
      <c r="Y130">
        <v>130731.5405</v>
      </c>
      <c r="Z130">
        <v>141450.01759999999</v>
      </c>
      <c r="AA130">
        <v>154154.0895</v>
      </c>
      <c r="AB130">
        <v>169071.6588</v>
      </c>
      <c r="AC130">
        <v>186880.5888</v>
      </c>
      <c r="AD130">
        <v>187957.3573</v>
      </c>
      <c r="AE130">
        <v>189543.34719999999</v>
      </c>
      <c r="AF130">
        <v>191319.9111</v>
      </c>
      <c r="AG130">
        <v>193174.12280000001</v>
      </c>
      <c r="AH130">
        <v>195295.00570000001</v>
      </c>
      <c r="AI130">
        <v>197594.1</v>
      </c>
      <c r="AJ130">
        <v>199971.85550000001</v>
      </c>
      <c r="AK130">
        <v>202481.4816</v>
      </c>
      <c r="AL130">
        <v>205069.95180000001</v>
      </c>
      <c r="AM130">
        <v>207679.7219</v>
      </c>
      <c r="AN130">
        <v>206520.1531</v>
      </c>
      <c r="AO130">
        <v>204603.57339999999</v>
      </c>
      <c r="AP130">
        <v>202257.54620000001</v>
      </c>
      <c r="AQ130">
        <v>199672.5601</v>
      </c>
      <c r="AR130">
        <v>196787.46539999999</v>
      </c>
      <c r="AS130">
        <v>196094.53099999999</v>
      </c>
      <c r="AT130">
        <v>195679.91819999999</v>
      </c>
      <c r="AU130">
        <v>195264.71969999999</v>
      </c>
      <c r="AV130">
        <v>194781.52</v>
      </c>
      <c r="AW130">
        <v>194264.09099999999</v>
      </c>
    </row>
    <row r="131" spans="2:49" x14ac:dyDescent="0.25">
      <c r="B131" t="s">
        <v>460</v>
      </c>
      <c r="C131">
        <v>1469582.3108926199</v>
      </c>
      <c r="D131">
        <v>1493176.93024387</v>
      </c>
      <c r="E131">
        <v>1517150.3689999999</v>
      </c>
      <c r="F131">
        <v>1533010.0689999999</v>
      </c>
      <c r="G131">
        <v>1320713.253</v>
      </c>
      <c r="H131">
        <v>1267817.8330000001</v>
      </c>
      <c r="I131">
        <v>968677.9338</v>
      </c>
      <c r="J131">
        <v>892751.60900000005</v>
      </c>
      <c r="K131">
        <v>888818.23809999996</v>
      </c>
      <c r="L131">
        <v>941393.43779999996</v>
      </c>
      <c r="M131">
        <v>941240.82090000005</v>
      </c>
      <c r="N131">
        <v>942980.99239999999</v>
      </c>
      <c r="O131">
        <v>719248.12410000002</v>
      </c>
      <c r="P131">
        <v>561411.245</v>
      </c>
      <c r="Q131">
        <v>476048.27549999999</v>
      </c>
      <c r="R131">
        <v>430790.88020000001</v>
      </c>
      <c r="S131">
        <v>379926.2022</v>
      </c>
      <c r="T131">
        <v>372296.46350000001</v>
      </c>
      <c r="U131">
        <v>357875.07709999999</v>
      </c>
      <c r="V131">
        <v>346931.34519999998</v>
      </c>
      <c r="W131">
        <v>336944.77439999999</v>
      </c>
      <c r="X131">
        <v>325128.6004</v>
      </c>
      <c r="Y131">
        <v>326088.19400000002</v>
      </c>
      <c r="Z131">
        <v>333210.13909999997</v>
      </c>
      <c r="AA131">
        <v>342539.26120000001</v>
      </c>
      <c r="AB131">
        <v>353548.28580000001</v>
      </c>
      <c r="AC131">
        <v>366724.72240000003</v>
      </c>
      <c r="AD131">
        <v>371177.70850000001</v>
      </c>
      <c r="AE131">
        <v>376690.97989999998</v>
      </c>
      <c r="AF131">
        <v>382561.74609999999</v>
      </c>
      <c r="AG131">
        <v>388642.12689999997</v>
      </c>
      <c r="AH131">
        <v>395297.72279999999</v>
      </c>
      <c r="AI131">
        <v>402460.55709999998</v>
      </c>
      <c r="AJ131">
        <v>409866.0698</v>
      </c>
      <c r="AK131">
        <v>417629.9656</v>
      </c>
      <c r="AL131">
        <v>425624.24229999998</v>
      </c>
      <c r="AM131">
        <v>433722.76990000001</v>
      </c>
      <c r="AN131">
        <v>432800.95449999999</v>
      </c>
      <c r="AO131">
        <v>430195.96299999999</v>
      </c>
      <c r="AP131">
        <v>426817.17950000003</v>
      </c>
      <c r="AQ131">
        <v>423151.20360000001</v>
      </c>
      <c r="AR131">
        <v>419043.76069999998</v>
      </c>
      <c r="AS131">
        <v>420096.49829999998</v>
      </c>
      <c r="AT131">
        <v>421875.01449999999</v>
      </c>
      <c r="AU131">
        <v>423723.4878</v>
      </c>
      <c r="AV131">
        <v>425479.24680000002</v>
      </c>
      <c r="AW131">
        <v>427168.66009999998</v>
      </c>
    </row>
    <row r="132" spans="2:49" x14ac:dyDescent="0.25">
      <c r="B132" t="s">
        <v>461</v>
      </c>
      <c r="C132">
        <v>225722.47732836599</v>
      </c>
      <c r="D132">
        <v>229346.52471387701</v>
      </c>
      <c r="E132">
        <v>233028.7574</v>
      </c>
      <c r="F132">
        <v>236528.13709999999</v>
      </c>
      <c r="G132">
        <v>214026.2457</v>
      </c>
      <c r="H132">
        <v>203967.25279999999</v>
      </c>
      <c r="I132">
        <v>186486.9896</v>
      </c>
      <c r="J132">
        <v>180393.11350000001</v>
      </c>
      <c r="K132">
        <v>182450.728</v>
      </c>
      <c r="L132">
        <v>194143.10680000001</v>
      </c>
      <c r="M132">
        <v>197674.3236</v>
      </c>
      <c r="N132">
        <v>201866.37450000001</v>
      </c>
      <c r="O132">
        <v>169065.14309999999</v>
      </c>
      <c r="P132">
        <v>147323.80669999999</v>
      </c>
      <c r="Q132">
        <v>135444.1269</v>
      </c>
      <c r="R132">
        <v>131583.40340000001</v>
      </c>
      <c r="S132">
        <v>124306.6162</v>
      </c>
      <c r="T132">
        <v>121413.3705</v>
      </c>
      <c r="U132">
        <v>119144.77619999999</v>
      </c>
      <c r="V132">
        <v>117323.7625</v>
      </c>
      <c r="W132">
        <v>114580.85279999999</v>
      </c>
      <c r="X132">
        <v>110699.8891</v>
      </c>
      <c r="Y132">
        <v>111148.4411</v>
      </c>
      <c r="Z132">
        <v>112725.65029999999</v>
      </c>
      <c r="AA132">
        <v>114968.2758</v>
      </c>
      <c r="AB132">
        <v>117521.9792</v>
      </c>
      <c r="AC132">
        <v>120460.3198</v>
      </c>
      <c r="AD132">
        <v>121438.39109999999</v>
      </c>
      <c r="AE132">
        <v>122576.63310000001</v>
      </c>
      <c r="AF132">
        <v>123781.9166</v>
      </c>
      <c r="AG132">
        <v>125064.114</v>
      </c>
      <c r="AH132">
        <v>126491.53320000001</v>
      </c>
      <c r="AI132">
        <v>127981.5717</v>
      </c>
      <c r="AJ132">
        <v>129574.26210000001</v>
      </c>
      <c r="AK132">
        <v>131242.40650000001</v>
      </c>
      <c r="AL132">
        <v>132968.51680000001</v>
      </c>
      <c r="AM132">
        <v>134721.27799999999</v>
      </c>
      <c r="AN132">
        <v>134322.41579999999</v>
      </c>
      <c r="AO132">
        <v>133447.45689999999</v>
      </c>
      <c r="AP132">
        <v>132329.6783</v>
      </c>
      <c r="AQ132">
        <v>131081.31210000001</v>
      </c>
      <c r="AR132">
        <v>129730.1939</v>
      </c>
      <c r="AS132">
        <v>129786.9409</v>
      </c>
      <c r="AT132">
        <v>130066.6281</v>
      </c>
      <c r="AU132">
        <v>130359.50509999999</v>
      </c>
      <c r="AV132">
        <v>130616.3363</v>
      </c>
      <c r="AW132">
        <v>130827.4066</v>
      </c>
    </row>
    <row r="133" spans="2:49" x14ac:dyDescent="0.25">
      <c r="B133" t="s">
        <v>462</v>
      </c>
      <c r="C133">
        <v>20679763.666016001</v>
      </c>
      <c r="D133">
        <v>21011783.9607329</v>
      </c>
      <c r="E133">
        <v>21361250.219999999</v>
      </c>
      <c r="F133">
        <v>21487839.510000002</v>
      </c>
      <c r="G133">
        <v>18163587.039999999</v>
      </c>
      <c r="H133">
        <v>15170761.109999999</v>
      </c>
      <c r="I133">
        <v>15551402.539999999</v>
      </c>
      <c r="J133">
        <v>15181374.539999999</v>
      </c>
      <c r="K133">
        <v>14445182.16</v>
      </c>
      <c r="L133">
        <v>15127786.26</v>
      </c>
      <c r="M133">
        <v>15494305.18</v>
      </c>
      <c r="N133">
        <v>15816590.289999999</v>
      </c>
      <c r="O133">
        <v>13065600.699999999</v>
      </c>
      <c r="P133">
        <v>11708971.24</v>
      </c>
      <c r="Q133">
        <v>10633436.01</v>
      </c>
      <c r="R133">
        <v>9763483.1390000004</v>
      </c>
      <c r="S133">
        <v>9127046.65499999</v>
      </c>
      <c r="T133">
        <v>9321956.1809999999</v>
      </c>
      <c r="U133">
        <v>9222229.6270000003</v>
      </c>
      <c r="V133">
        <v>9265707.6830000002</v>
      </c>
      <c r="W133">
        <v>9204031.8389999997</v>
      </c>
      <c r="X133">
        <v>9065637.3829999994</v>
      </c>
      <c r="Y133">
        <v>9040682.0730000008</v>
      </c>
      <c r="Z133">
        <v>9130693.2530000005</v>
      </c>
      <c r="AA133">
        <v>9241010.4910000004</v>
      </c>
      <c r="AB133">
        <v>9360666.7819999997</v>
      </c>
      <c r="AC133">
        <v>9492984.0309999995</v>
      </c>
      <c r="AD133">
        <v>9489232.398</v>
      </c>
      <c r="AE133">
        <v>9513347.6469999999</v>
      </c>
      <c r="AF133">
        <v>9544085.6439999994</v>
      </c>
      <c r="AG133">
        <v>9581947.1830000002</v>
      </c>
      <c r="AH133">
        <v>9634469.3399999999</v>
      </c>
      <c r="AI133">
        <v>9694466.9859999996</v>
      </c>
      <c r="AJ133">
        <v>9757328.3399999999</v>
      </c>
      <c r="AK133">
        <v>9829129.2780000009</v>
      </c>
      <c r="AL133">
        <v>9904690.8269999996</v>
      </c>
      <c r="AM133">
        <v>9980796.2329999898</v>
      </c>
      <c r="AN133">
        <v>9962849.8839999996</v>
      </c>
      <c r="AO133">
        <v>9935846.4360000007</v>
      </c>
      <c r="AP133">
        <v>9896534.2829999998</v>
      </c>
      <c r="AQ133">
        <v>9853023.4230000004</v>
      </c>
      <c r="AR133">
        <v>9797273.84799999</v>
      </c>
      <c r="AS133">
        <v>9800779.2290000003</v>
      </c>
      <c r="AT133">
        <v>9808989.5020000003</v>
      </c>
      <c r="AU133">
        <v>9816949.6530000009</v>
      </c>
      <c r="AV133">
        <v>9823510.2919999994</v>
      </c>
      <c r="AW133">
        <v>9833967.74599999</v>
      </c>
    </row>
    <row r="134" spans="2:49" x14ac:dyDescent="0.25">
      <c r="B134" t="s">
        <v>463</v>
      </c>
      <c r="C134">
        <v>2009388.6600685499</v>
      </c>
      <c r="D134">
        <v>2041650.04496113</v>
      </c>
      <c r="E134">
        <v>2074429.3970000001</v>
      </c>
      <c r="F134">
        <v>2143126.375</v>
      </c>
      <c r="G134">
        <v>1716630.4029999999</v>
      </c>
      <c r="H134">
        <v>1630985.79</v>
      </c>
      <c r="I134">
        <v>1641281.747</v>
      </c>
      <c r="J134">
        <v>1517039.01</v>
      </c>
      <c r="K134">
        <v>1556164.5719999999</v>
      </c>
      <c r="L134">
        <v>1787262.3570000001</v>
      </c>
      <c r="M134">
        <v>1863850.62</v>
      </c>
      <c r="N134">
        <v>1875577.14</v>
      </c>
      <c r="O134">
        <v>1191733.682</v>
      </c>
      <c r="P134">
        <v>821326.55260000005</v>
      </c>
      <c r="Q134">
        <v>661941.90099999995</v>
      </c>
      <c r="R134">
        <v>599059.65529999998</v>
      </c>
      <c r="S134">
        <v>523855.89689999999</v>
      </c>
      <c r="T134">
        <v>533101.66040000005</v>
      </c>
      <c r="U134">
        <v>536400.1287</v>
      </c>
      <c r="V134">
        <v>550000.25329999998</v>
      </c>
      <c r="W134">
        <v>562111.83479999995</v>
      </c>
      <c r="X134">
        <v>571665.1237</v>
      </c>
      <c r="Y134">
        <v>579502.37970000005</v>
      </c>
      <c r="Z134">
        <v>592593.98919999995</v>
      </c>
      <c r="AA134">
        <v>606377.77509999997</v>
      </c>
      <c r="AB134">
        <v>620626.92619999999</v>
      </c>
      <c r="AC134">
        <v>635779.63679999998</v>
      </c>
      <c r="AD134">
        <v>647009.83640000003</v>
      </c>
      <c r="AE134">
        <v>660561.40119999996</v>
      </c>
      <c r="AF134">
        <v>675043.00699999998</v>
      </c>
      <c r="AG134">
        <v>690212.25080000004</v>
      </c>
      <c r="AH134">
        <v>706689.99679999996</v>
      </c>
      <c r="AI134">
        <v>724520.70360000001</v>
      </c>
      <c r="AJ134">
        <v>742945.21600000001</v>
      </c>
      <c r="AK134">
        <v>762248.04949999996</v>
      </c>
      <c r="AL134">
        <v>782289.10840000003</v>
      </c>
      <c r="AM134">
        <v>802816.07250000001</v>
      </c>
      <c r="AN134">
        <v>822907.54410000006</v>
      </c>
      <c r="AO134">
        <v>844687.21550000005</v>
      </c>
      <c r="AP134">
        <v>866675.13910000003</v>
      </c>
      <c r="AQ134">
        <v>889252.35470000003</v>
      </c>
      <c r="AR134">
        <v>911936.53419999999</v>
      </c>
      <c r="AS134">
        <v>935831.16639999999</v>
      </c>
      <c r="AT134">
        <v>959824.85739999998</v>
      </c>
      <c r="AU134">
        <v>984389.18500000006</v>
      </c>
      <c r="AV134">
        <v>1009488.1139999999</v>
      </c>
      <c r="AW134">
        <v>1035509.213</v>
      </c>
    </row>
    <row r="135" spans="2:49" x14ac:dyDescent="0.25">
      <c r="B135" t="s">
        <v>464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</row>
    <row r="136" spans="2:49" x14ac:dyDescent="0.25">
      <c r="B136" t="s">
        <v>465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</row>
    <row r="137" spans="2:49" x14ac:dyDescent="0.25">
      <c r="B137" t="s">
        <v>466</v>
      </c>
      <c r="C137">
        <v>20174774.421468802</v>
      </c>
      <c r="D137">
        <v>20498686.950521201</v>
      </c>
      <c r="E137">
        <v>20827800</v>
      </c>
      <c r="F137">
        <v>19731024.359999999</v>
      </c>
      <c r="G137">
        <v>18538576.16</v>
      </c>
      <c r="H137">
        <v>16326750.1</v>
      </c>
      <c r="I137">
        <v>15244156.4</v>
      </c>
      <c r="J137">
        <v>14371803.08</v>
      </c>
      <c r="K137">
        <v>13393202.220000001</v>
      </c>
      <c r="L137">
        <v>12282622.58</v>
      </c>
      <c r="M137">
        <v>11223552.91</v>
      </c>
      <c r="N137">
        <v>10124144.560000001</v>
      </c>
      <c r="O137">
        <v>8566901.0800000001</v>
      </c>
      <c r="P137">
        <v>7233433.4780000001</v>
      </c>
      <c r="Q137">
        <v>5969210.9450000003</v>
      </c>
      <c r="R137">
        <v>4514312.8360000001</v>
      </c>
      <c r="S137">
        <v>3020116.801</v>
      </c>
      <c r="T137">
        <v>2776468.6060000001</v>
      </c>
      <c r="U137">
        <v>2628057.5120000001</v>
      </c>
      <c r="V137">
        <v>2498127.872</v>
      </c>
      <c r="W137">
        <v>1721159.3149999999</v>
      </c>
      <c r="X137">
        <v>899901.13280000002</v>
      </c>
      <c r="Y137">
        <v>844386.40549999999</v>
      </c>
      <c r="Z137">
        <v>843480.66379999998</v>
      </c>
      <c r="AA137">
        <v>848352.83120000002</v>
      </c>
      <c r="AB137">
        <v>854571.91489999997</v>
      </c>
      <c r="AC137">
        <v>861136.88</v>
      </c>
      <c r="AD137">
        <v>866180.13529999997</v>
      </c>
      <c r="AE137">
        <v>871220.13069999998</v>
      </c>
      <c r="AF137">
        <v>876237.60560000001</v>
      </c>
      <c r="AG137">
        <v>881295.68240000005</v>
      </c>
      <c r="AH137">
        <v>886487.47939999995</v>
      </c>
      <c r="AI137">
        <v>891953.9963</v>
      </c>
      <c r="AJ137">
        <v>897422.20330000005</v>
      </c>
      <c r="AK137">
        <v>902743.33680000005</v>
      </c>
      <c r="AL137">
        <v>907941.76100000006</v>
      </c>
      <c r="AM137">
        <v>912874.43290000001</v>
      </c>
      <c r="AN137">
        <v>917286.8848</v>
      </c>
      <c r="AO137">
        <v>921404.98340000003</v>
      </c>
      <c r="AP137">
        <v>925150.26780000003</v>
      </c>
      <c r="AQ137">
        <v>928730.64159999997</v>
      </c>
      <c r="AR137">
        <v>931992.33680000005</v>
      </c>
      <c r="AS137">
        <v>935035.56460000004</v>
      </c>
      <c r="AT137">
        <v>937905.62280000001</v>
      </c>
      <c r="AU137">
        <v>940605.98730000004</v>
      </c>
      <c r="AV137">
        <v>943084.95530000003</v>
      </c>
      <c r="AW137">
        <v>945749.7513</v>
      </c>
    </row>
    <row r="138" spans="2:49" x14ac:dyDescent="0.25">
      <c r="B138" t="s">
        <v>467</v>
      </c>
      <c r="C138">
        <v>16278956.881142</v>
      </c>
      <c r="D138">
        <v>16540320.799446501</v>
      </c>
      <c r="E138">
        <v>16805881</v>
      </c>
      <c r="F138">
        <v>16644714.529999999</v>
      </c>
      <c r="G138">
        <v>15782545.49</v>
      </c>
      <c r="H138">
        <v>15119296.220000001</v>
      </c>
      <c r="I138">
        <v>14631404.92</v>
      </c>
      <c r="J138">
        <v>12812086.49</v>
      </c>
      <c r="K138">
        <v>11160297.35</v>
      </c>
      <c r="L138">
        <v>9788827.0260000005</v>
      </c>
      <c r="M138">
        <v>8747065.9790000003</v>
      </c>
      <c r="N138">
        <v>7888992.5710000005</v>
      </c>
      <c r="O138">
        <v>7142972.2410000004</v>
      </c>
      <c r="P138">
        <v>6413971.4309999999</v>
      </c>
      <c r="Q138">
        <v>5655438.1679999996</v>
      </c>
      <c r="R138">
        <v>5017903.2039999999</v>
      </c>
      <c r="S138">
        <v>4375954.7060000002</v>
      </c>
      <c r="T138">
        <v>5146532.858</v>
      </c>
      <c r="U138">
        <v>5853960.6459999997</v>
      </c>
      <c r="V138">
        <v>6563132.2000000002</v>
      </c>
      <c r="W138">
        <v>7957568.2000000002</v>
      </c>
      <c r="X138">
        <v>9259613.5899999999</v>
      </c>
      <c r="Y138">
        <v>9358220.3100000005</v>
      </c>
      <c r="Z138">
        <v>9500209.3629999999</v>
      </c>
      <c r="AA138">
        <v>9659301.2719999999</v>
      </c>
      <c r="AB138">
        <v>9862886.0989999995</v>
      </c>
      <c r="AC138">
        <v>10078833.08</v>
      </c>
      <c r="AD138">
        <v>10173620.279999999</v>
      </c>
      <c r="AE138">
        <v>10268287.9</v>
      </c>
      <c r="AF138">
        <v>10362915.699999999</v>
      </c>
      <c r="AG138">
        <v>10485865.41</v>
      </c>
      <c r="AH138">
        <v>10607426.449999999</v>
      </c>
      <c r="AI138">
        <v>10723159.029999999</v>
      </c>
      <c r="AJ138">
        <v>10841776.07</v>
      </c>
      <c r="AK138">
        <v>10964492.91</v>
      </c>
      <c r="AL138">
        <v>11116103.609999999</v>
      </c>
      <c r="AM138">
        <v>11268258.199999999</v>
      </c>
      <c r="AN138">
        <v>11335828.07</v>
      </c>
      <c r="AO138">
        <v>11402848.960000001</v>
      </c>
      <c r="AP138">
        <v>11466703.85</v>
      </c>
      <c r="AQ138">
        <v>11530787.640000001</v>
      </c>
      <c r="AR138">
        <v>11591880.48</v>
      </c>
      <c r="AS138">
        <v>11599134.25</v>
      </c>
      <c r="AT138">
        <v>11610517.970000001</v>
      </c>
      <c r="AU138">
        <v>11624811.15</v>
      </c>
      <c r="AV138">
        <v>11641515.890000001</v>
      </c>
      <c r="AW138">
        <v>11664981.279999999</v>
      </c>
    </row>
    <row r="139" spans="2:49" x14ac:dyDescent="0.25">
      <c r="B139" t="s">
        <v>468</v>
      </c>
      <c r="C139">
        <v>6501803.9853722304</v>
      </c>
      <c r="D139">
        <v>6606192.55142547</v>
      </c>
      <c r="E139">
        <v>6714977.4309999999</v>
      </c>
      <c r="F139">
        <v>6901370.9289999995</v>
      </c>
      <c r="G139">
        <v>6564351.9380000001</v>
      </c>
      <c r="H139">
        <v>6911060.517</v>
      </c>
      <c r="I139">
        <v>7092008.1670000004</v>
      </c>
      <c r="J139">
        <v>6684913.9639999997</v>
      </c>
      <c r="K139">
        <v>6410443.3109999998</v>
      </c>
      <c r="L139">
        <v>6224509.3109999998</v>
      </c>
      <c r="M139">
        <v>6649732.591</v>
      </c>
      <c r="N139">
        <v>7097820.8940000003</v>
      </c>
      <c r="O139">
        <v>7355448.8260000004</v>
      </c>
      <c r="P139">
        <v>7390402.6849999996</v>
      </c>
      <c r="Q139">
        <v>6868309.6689999998</v>
      </c>
      <c r="R139">
        <v>6872685.8629999999</v>
      </c>
      <c r="S139">
        <v>6915903.449</v>
      </c>
      <c r="T139">
        <v>6970998.0829999996</v>
      </c>
      <c r="U139">
        <v>6992873.4440000001</v>
      </c>
      <c r="V139">
        <v>7079931.2050000001</v>
      </c>
      <c r="W139">
        <v>7108607.2539999997</v>
      </c>
      <c r="X139">
        <v>7090192.8629999999</v>
      </c>
      <c r="Y139">
        <v>7151431.1579999998</v>
      </c>
      <c r="Z139">
        <v>7246687.1189999999</v>
      </c>
      <c r="AA139">
        <v>7357649.6629999997</v>
      </c>
      <c r="AB139">
        <v>7472422.5099999998</v>
      </c>
      <c r="AC139">
        <v>7593777.085</v>
      </c>
      <c r="AD139">
        <v>7701640.7470000004</v>
      </c>
      <c r="AE139">
        <v>7821346.75</v>
      </c>
      <c r="AF139">
        <v>7944495.9060000004</v>
      </c>
      <c r="AG139">
        <v>8072953.7039999999</v>
      </c>
      <c r="AH139">
        <v>8216521.7189999996</v>
      </c>
      <c r="AI139">
        <v>8360013.1710000001</v>
      </c>
      <c r="AJ139">
        <v>8513150.8039999995</v>
      </c>
      <c r="AK139">
        <v>8669509.9609999899</v>
      </c>
      <c r="AL139">
        <v>8830524.2990000006</v>
      </c>
      <c r="AM139">
        <v>8994135.8460000008</v>
      </c>
      <c r="AN139">
        <v>9144967.4989999998</v>
      </c>
      <c r="AO139">
        <v>9296498.9499999899</v>
      </c>
      <c r="AP139">
        <v>9445042.3310000002</v>
      </c>
      <c r="AQ139">
        <v>9593230.4409999996</v>
      </c>
      <c r="AR139">
        <v>9739690.2770000007</v>
      </c>
      <c r="AS139">
        <v>9883375.9979999997</v>
      </c>
      <c r="AT139">
        <v>10027353.060000001</v>
      </c>
      <c r="AU139">
        <v>10173173.460000001</v>
      </c>
      <c r="AV139">
        <v>10319801.369999999</v>
      </c>
      <c r="AW139">
        <v>10468918.34</v>
      </c>
    </row>
    <row r="140" spans="2:49" x14ac:dyDescent="0.25">
      <c r="B140" t="s">
        <v>469</v>
      </c>
      <c r="C140">
        <v>6377150.6112568304</v>
      </c>
      <c r="D140">
        <v>6479537.8270683698</v>
      </c>
      <c r="E140">
        <v>6586237.0690000001</v>
      </c>
      <c r="F140">
        <v>6721261.5470000003</v>
      </c>
      <c r="G140">
        <v>6334091.3169999998</v>
      </c>
      <c r="H140">
        <v>6605855.5930000003</v>
      </c>
      <c r="I140">
        <v>6492238.2989999996</v>
      </c>
      <c r="J140">
        <v>6248764.0590000004</v>
      </c>
      <c r="K140">
        <v>5854129.7580000004</v>
      </c>
      <c r="L140">
        <v>5760258.9649999999</v>
      </c>
      <c r="M140">
        <v>5868807.0669999998</v>
      </c>
      <c r="N140">
        <v>6072799.227</v>
      </c>
      <c r="O140">
        <v>5382095.8090000004</v>
      </c>
      <c r="P140">
        <v>4642318.7929999996</v>
      </c>
      <c r="Q140">
        <v>3947513.4279999998</v>
      </c>
      <c r="R140">
        <v>3544002.4350000001</v>
      </c>
      <c r="S140">
        <v>3270199.9109999998</v>
      </c>
      <c r="T140">
        <v>3244908.017</v>
      </c>
      <c r="U140">
        <v>3276591.0090000001</v>
      </c>
      <c r="V140">
        <v>3338248.35</v>
      </c>
      <c r="W140">
        <v>3398434.8330000001</v>
      </c>
      <c r="X140">
        <v>3438773.3689999999</v>
      </c>
      <c r="Y140">
        <v>3495547.9419999998</v>
      </c>
      <c r="Z140">
        <v>3561924.051</v>
      </c>
      <c r="AA140">
        <v>3633490.3640000001</v>
      </c>
      <c r="AB140">
        <v>3706537.0929999999</v>
      </c>
      <c r="AC140">
        <v>3782418.3629999999</v>
      </c>
      <c r="AD140">
        <v>3855265.639</v>
      </c>
      <c r="AE140">
        <v>3936084.9920000001</v>
      </c>
      <c r="AF140">
        <v>4021530.1</v>
      </c>
      <c r="AG140">
        <v>4109325.9470000002</v>
      </c>
      <c r="AH140">
        <v>4205401.7750000004</v>
      </c>
      <c r="AI140">
        <v>4304457.1260000002</v>
      </c>
      <c r="AJ140">
        <v>4409012.9519999996</v>
      </c>
      <c r="AK140">
        <v>4516744.0990000004</v>
      </c>
      <c r="AL140">
        <v>4628128.0930000003</v>
      </c>
      <c r="AM140">
        <v>4742329.2379999999</v>
      </c>
      <c r="AN140">
        <v>4854144.12</v>
      </c>
      <c r="AO140">
        <v>4967299.1270000003</v>
      </c>
      <c r="AP140">
        <v>5080624.5530000003</v>
      </c>
      <c r="AQ140">
        <v>5194895.9529999997</v>
      </c>
      <c r="AR140">
        <v>5309615.6529999999</v>
      </c>
      <c r="AS140">
        <v>5424931.9730000002</v>
      </c>
      <c r="AT140">
        <v>5541722.4040000001</v>
      </c>
      <c r="AU140">
        <v>5660428.3279999997</v>
      </c>
      <c r="AV140">
        <v>5780646.9110000003</v>
      </c>
      <c r="AW140">
        <v>5902687.6710000001</v>
      </c>
    </row>
    <row r="141" spans="2:49" x14ac:dyDescent="0.25">
      <c r="B141" t="s">
        <v>470</v>
      </c>
      <c r="C141">
        <v>415184.68418409303</v>
      </c>
      <c r="D141">
        <v>421850.60858395998</v>
      </c>
      <c r="E141">
        <v>428797.26770000003</v>
      </c>
      <c r="F141">
        <v>425368.52389999997</v>
      </c>
      <c r="G141">
        <v>396515.31829999998</v>
      </c>
      <c r="H141">
        <v>376505.25760000001</v>
      </c>
      <c r="I141">
        <v>397856.26640000002</v>
      </c>
      <c r="J141">
        <v>377316.55670000002</v>
      </c>
      <c r="K141">
        <v>352748.68810000003</v>
      </c>
      <c r="L141">
        <v>349629.80619999999</v>
      </c>
      <c r="M141">
        <v>367092.62050000002</v>
      </c>
      <c r="N141">
        <v>406269.24440000003</v>
      </c>
      <c r="O141">
        <v>360534.2513</v>
      </c>
      <c r="P141">
        <v>309353.35700000002</v>
      </c>
      <c r="Q141">
        <v>256675.72229999999</v>
      </c>
      <c r="R141">
        <v>227273.85389999999</v>
      </c>
      <c r="S141">
        <v>189059.36670000001</v>
      </c>
      <c r="T141">
        <v>199875.76579999999</v>
      </c>
      <c r="U141">
        <v>197390.9615</v>
      </c>
      <c r="V141">
        <v>200764.07949999999</v>
      </c>
      <c r="W141">
        <v>201733.87450000001</v>
      </c>
      <c r="X141">
        <v>201217.4999</v>
      </c>
      <c r="Y141">
        <v>201774.15729999999</v>
      </c>
      <c r="Z141">
        <v>204466.39970000001</v>
      </c>
      <c r="AA141">
        <v>207438.82060000001</v>
      </c>
      <c r="AB141">
        <v>210461.8585</v>
      </c>
      <c r="AC141">
        <v>213801.87270000001</v>
      </c>
      <c r="AD141">
        <v>215965.3536</v>
      </c>
      <c r="AE141">
        <v>219358.9878</v>
      </c>
      <c r="AF141">
        <v>223076.51550000001</v>
      </c>
      <c r="AG141">
        <v>227075.38889999999</v>
      </c>
      <c r="AH141">
        <v>231631.01500000001</v>
      </c>
      <c r="AI141">
        <v>236586.7452</v>
      </c>
      <c r="AJ141">
        <v>241778.68210000001</v>
      </c>
      <c r="AK141">
        <v>247187.67569999999</v>
      </c>
      <c r="AL141">
        <v>252802.02129999999</v>
      </c>
      <c r="AM141">
        <v>258527.3524</v>
      </c>
      <c r="AN141">
        <v>263934.8688</v>
      </c>
      <c r="AO141">
        <v>269736.75819999998</v>
      </c>
      <c r="AP141">
        <v>275393.20899999997</v>
      </c>
      <c r="AQ141">
        <v>281144.81410000002</v>
      </c>
      <c r="AR141">
        <v>286818.9632</v>
      </c>
      <c r="AS141">
        <v>292616.55849999998</v>
      </c>
      <c r="AT141">
        <v>298390.03149999998</v>
      </c>
      <c r="AU141">
        <v>304305.18540000002</v>
      </c>
      <c r="AV141">
        <v>310302.57510000002</v>
      </c>
      <c r="AW141">
        <v>316490.24839999998</v>
      </c>
    </row>
    <row r="142" spans="2:49" x14ac:dyDescent="0.25">
      <c r="B142" t="s">
        <v>471</v>
      </c>
      <c r="C142">
        <v>4757556.1935294</v>
      </c>
      <c r="D142">
        <v>4833940.2970916703</v>
      </c>
      <c r="E142">
        <v>4913541.3090000004</v>
      </c>
      <c r="F142">
        <v>4948860.176</v>
      </c>
      <c r="G142">
        <v>4477536.3830000004</v>
      </c>
      <c r="H142">
        <v>4061978.5660000001</v>
      </c>
      <c r="I142">
        <v>3413104.4029999999</v>
      </c>
      <c r="J142">
        <v>3546162.3119999999</v>
      </c>
      <c r="K142">
        <v>3174686.997</v>
      </c>
      <c r="L142">
        <v>3043664.5929999999</v>
      </c>
      <c r="M142">
        <v>3109078.6639999999</v>
      </c>
      <c r="N142">
        <v>3184074.344</v>
      </c>
      <c r="O142">
        <v>2921352.0729999999</v>
      </c>
      <c r="P142">
        <v>2582814.0860000001</v>
      </c>
      <c r="Q142">
        <v>2238975.0550000002</v>
      </c>
      <c r="R142">
        <v>1983627.946</v>
      </c>
      <c r="S142">
        <v>1758374.2579999999</v>
      </c>
      <c r="T142">
        <v>1676413.0220000001</v>
      </c>
      <c r="U142">
        <v>1568282.8970000001</v>
      </c>
      <c r="V142">
        <v>1472612.53</v>
      </c>
      <c r="W142">
        <v>1472213.1740000001</v>
      </c>
      <c r="X142">
        <v>1463585.483</v>
      </c>
      <c r="Y142">
        <v>1569797.9580000001</v>
      </c>
      <c r="Z142">
        <v>1727347.2990000001</v>
      </c>
      <c r="AA142">
        <v>1917905.9350000001</v>
      </c>
      <c r="AB142">
        <v>2141331.4739999999</v>
      </c>
      <c r="AC142">
        <v>2403628.4410000001</v>
      </c>
      <c r="AD142">
        <v>2422992.7259999998</v>
      </c>
      <c r="AE142">
        <v>2447683.233</v>
      </c>
      <c r="AF142">
        <v>2474453.4130000002</v>
      </c>
      <c r="AG142">
        <v>2501968.284</v>
      </c>
      <c r="AH142">
        <v>2533300.3289999999</v>
      </c>
      <c r="AI142">
        <v>2565463.17</v>
      </c>
      <c r="AJ142">
        <v>2598904.929</v>
      </c>
      <c r="AK142">
        <v>2633844.73</v>
      </c>
      <c r="AL142">
        <v>2669830.37</v>
      </c>
      <c r="AM142">
        <v>2706168.2829999998</v>
      </c>
      <c r="AN142">
        <v>2660681.11</v>
      </c>
      <c r="AO142">
        <v>2599980.8730000001</v>
      </c>
      <c r="AP142">
        <v>2534263</v>
      </c>
      <c r="AQ142">
        <v>2467155.7549999999</v>
      </c>
      <c r="AR142">
        <v>2398372.355</v>
      </c>
      <c r="AS142">
        <v>2372475.19</v>
      </c>
      <c r="AT142">
        <v>2353607.0589999999</v>
      </c>
      <c r="AU142">
        <v>2335615.1379999998</v>
      </c>
      <c r="AV142">
        <v>2317175.11</v>
      </c>
      <c r="AW142">
        <v>2298819.9470000002</v>
      </c>
    </row>
    <row r="143" spans="2:49" x14ac:dyDescent="0.25">
      <c r="B143" t="s">
        <v>472</v>
      </c>
      <c r="C143">
        <v>16503281.675133999</v>
      </c>
      <c r="D143">
        <v>16768247.200565999</v>
      </c>
      <c r="E143">
        <v>17044371.719999999</v>
      </c>
      <c r="F143">
        <v>17195232.620000001</v>
      </c>
      <c r="G143">
        <v>15684242.49</v>
      </c>
      <c r="H143">
        <v>14046912.92</v>
      </c>
      <c r="I143">
        <v>12924651.26</v>
      </c>
      <c r="J143">
        <v>13784175.960000001</v>
      </c>
      <c r="K143">
        <v>12340575.140000001</v>
      </c>
      <c r="L143">
        <v>11821468.17</v>
      </c>
      <c r="M143">
        <v>12083594.109999999</v>
      </c>
      <c r="N143">
        <v>12326190.65</v>
      </c>
      <c r="O143">
        <v>11666355.550000001</v>
      </c>
      <c r="P143">
        <v>10665368.039999999</v>
      </c>
      <c r="Q143">
        <v>9479106.818</v>
      </c>
      <c r="R143">
        <v>8631765.568</v>
      </c>
      <c r="S143">
        <v>7844973.4539999999</v>
      </c>
      <c r="T143">
        <v>7729180.523</v>
      </c>
      <c r="U143">
        <v>7378463.6679999996</v>
      </c>
      <c r="V143">
        <v>7171880.5750000002</v>
      </c>
      <c r="W143">
        <v>6789724.0439999998</v>
      </c>
      <c r="X143">
        <v>6358356.7379999999</v>
      </c>
      <c r="Y143">
        <v>6190328.0300000003</v>
      </c>
      <c r="Z143">
        <v>6174555.4139999999</v>
      </c>
      <c r="AA143">
        <v>6200665.2620000001</v>
      </c>
      <c r="AB143">
        <v>6241318.2089999998</v>
      </c>
      <c r="AC143">
        <v>6297202.8569999998</v>
      </c>
      <c r="AD143">
        <v>6316909.3200000003</v>
      </c>
      <c r="AE143">
        <v>6353531.0190000003</v>
      </c>
      <c r="AF143">
        <v>6395657.591</v>
      </c>
      <c r="AG143">
        <v>6440285.2719999999</v>
      </c>
      <c r="AH143">
        <v>6499800.3049999997</v>
      </c>
      <c r="AI143">
        <v>6556251.6009999998</v>
      </c>
      <c r="AJ143">
        <v>6608843.4560000002</v>
      </c>
      <c r="AK143">
        <v>6672203.7400000002</v>
      </c>
      <c r="AL143">
        <v>6736107.7479999997</v>
      </c>
      <c r="AM143">
        <v>6797253.8119999999</v>
      </c>
      <c r="AN143">
        <v>6683999.7209999999</v>
      </c>
      <c r="AO143">
        <v>6543327.2139999997</v>
      </c>
      <c r="AP143">
        <v>6390222.8530000001</v>
      </c>
      <c r="AQ143">
        <v>6238451.4050000003</v>
      </c>
      <c r="AR143">
        <v>6074983.8720000004</v>
      </c>
      <c r="AS143">
        <v>6000424.9139999999</v>
      </c>
      <c r="AT143">
        <v>5939541.068</v>
      </c>
      <c r="AU143">
        <v>5877791.6900000004</v>
      </c>
      <c r="AV143">
        <v>5814647.625</v>
      </c>
      <c r="AW143">
        <v>5771149.7759999996</v>
      </c>
    </row>
    <row r="144" spans="2:49" x14ac:dyDescent="0.25">
      <c r="B144" t="s">
        <v>473</v>
      </c>
      <c r="C144">
        <v>11632594.838881901</v>
      </c>
      <c r="D144">
        <v>11819359.911689499</v>
      </c>
      <c r="E144">
        <v>12013990.58</v>
      </c>
      <c r="F144">
        <v>12006363.449999999</v>
      </c>
      <c r="G144">
        <v>11095798.16</v>
      </c>
      <c r="H144">
        <v>10439051.210000001</v>
      </c>
      <c r="I144">
        <v>8795151.6339999996</v>
      </c>
      <c r="J144">
        <v>7864554.0120000001</v>
      </c>
      <c r="K144">
        <v>7146953.7319999998</v>
      </c>
      <c r="L144">
        <v>7055104.7829999998</v>
      </c>
      <c r="M144">
        <v>7005347.0240000002</v>
      </c>
      <c r="N144">
        <v>7282028.8459999999</v>
      </c>
      <c r="O144">
        <v>6552370.4500000002</v>
      </c>
      <c r="P144">
        <v>5683224.4560000002</v>
      </c>
      <c r="Q144">
        <v>4944303.523</v>
      </c>
      <c r="R144">
        <v>4340479.4359999998</v>
      </c>
      <c r="S144">
        <v>3897245.7949999999</v>
      </c>
      <c r="T144">
        <v>3698512.554</v>
      </c>
      <c r="U144">
        <v>3428083.5159999998</v>
      </c>
      <c r="V144">
        <v>3182498.9589999998</v>
      </c>
      <c r="W144">
        <v>3101002.179</v>
      </c>
      <c r="X144">
        <v>2992485.1660000002</v>
      </c>
      <c r="Y144">
        <v>3133834.997</v>
      </c>
      <c r="Z144">
        <v>3374153.3679999998</v>
      </c>
      <c r="AA144">
        <v>3667134.736</v>
      </c>
      <c r="AB144">
        <v>4012816.145</v>
      </c>
      <c r="AC144">
        <v>4425508.4780000001</v>
      </c>
      <c r="AD144">
        <v>4433206.8119999999</v>
      </c>
      <c r="AE144">
        <v>4451494.3229999999</v>
      </c>
      <c r="AF144">
        <v>4473804.0429999996</v>
      </c>
      <c r="AG144">
        <v>4497101.7589999996</v>
      </c>
      <c r="AH144">
        <v>4526407.7529999996</v>
      </c>
      <c r="AI144">
        <v>4556963.5010000002</v>
      </c>
      <c r="AJ144">
        <v>4588552.2699999996</v>
      </c>
      <c r="AK144">
        <v>4623122.0180000002</v>
      </c>
      <c r="AL144">
        <v>4659274.1449999996</v>
      </c>
      <c r="AM144">
        <v>4695832.6809999999</v>
      </c>
      <c r="AN144">
        <v>4580428.6919999998</v>
      </c>
      <c r="AO144">
        <v>4439963.5130000003</v>
      </c>
      <c r="AP144">
        <v>4293551.7889999999</v>
      </c>
      <c r="AQ144">
        <v>4147617.6310000001</v>
      </c>
      <c r="AR144">
        <v>4001487.1839999999</v>
      </c>
      <c r="AS144">
        <v>3933360.73</v>
      </c>
      <c r="AT144">
        <v>3878519.1540000001</v>
      </c>
      <c r="AU144">
        <v>3826160.273</v>
      </c>
      <c r="AV144">
        <v>3774029.1549999998</v>
      </c>
      <c r="AW144">
        <v>3722523.9980000001</v>
      </c>
    </row>
    <row r="145" spans="2:49" x14ac:dyDescent="0.25">
      <c r="B145" t="s">
        <v>474</v>
      </c>
      <c r="C145">
        <v>3166830.51938263</v>
      </c>
      <c r="D145">
        <v>3217675.0077116699</v>
      </c>
      <c r="E145">
        <v>3270660.8059999999</v>
      </c>
      <c r="F145">
        <v>3286519.8569999998</v>
      </c>
      <c r="G145">
        <v>3223525.23</v>
      </c>
      <c r="H145">
        <v>3123332.9759999998</v>
      </c>
      <c r="I145">
        <v>3027840.1949999998</v>
      </c>
      <c r="J145">
        <v>2941230.0359999998</v>
      </c>
      <c r="K145">
        <v>2797639.03</v>
      </c>
      <c r="L145">
        <v>2791879.2850000001</v>
      </c>
      <c r="M145">
        <v>2821047.622</v>
      </c>
      <c r="N145">
        <v>3003970</v>
      </c>
      <c r="O145">
        <v>2933507.5660000001</v>
      </c>
      <c r="P145">
        <v>2759053.872</v>
      </c>
      <c r="Q145">
        <v>2550546.8229999999</v>
      </c>
      <c r="R145">
        <v>2460625.176</v>
      </c>
      <c r="S145">
        <v>2332134.9700000002</v>
      </c>
      <c r="T145">
        <v>2338956.0040000002</v>
      </c>
      <c r="U145">
        <v>2290093.8169999998</v>
      </c>
      <c r="V145">
        <v>2264989.2140000002</v>
      </c>
      <c r="W145">
        <v>2229966.699</v>
      </c>
      <c r="X145">
        <v>2176816.2030000002</v>
      </c>
      <c r="Y145">
        <v>2186046.7000000002</v>
      </c>
      <c r="Z145">
        <v>2232278.679</v>
      </c>
      <c r="AA145">
        <v>2293301.1260000002</v>
      </c>
      <c r="AB145">
        <v>2366318.0109999999</v>
      </c>
      <c r="AC145">
        <v>2454388.827</v>
      </c>
      <c r="AD145">
        <v>2484670.2170000002</v>
      </c>
      <c r="AE145">
        <v>2521536.6060000001</v>
      </c>
      <c r="AF145">
        <v>2560218.4160000002</v>
      </c>
      <c r="AG145">
        <v>2600721.8539999998</v>
      </c>
      <c r="AH145">
        <v>2645226.247</v>
      </c>
      <c r="AI145">
        <v>2691656.0830000001</v>
      </c>
      <c r="AJ145">
        <v>2739630.8790000002</v>
      </c>
      <c r="AK145">
        <v>2790149.7629999998</v>
      </c>
      <c r="AL145">
        <v>2842277.841</v>
      </c>
      <c r="AM145">
        <v>2895222.6460000002</v>
      </c>
      <c r="AN145">
        <v>2909046.65</v>
      </c>
      <c r="AO145">
        <v>2916124.33</v>
      </c>
      <c r="AP145">
        <v>2918394.9920000001</v>
      </c>
      <c r="AQ145">
        <v>2918058.0210000002</v>
      </c>
      <c r="AR145">
        <v>2913797.39</v>
      </c>
      <c r="AS145">
        <v>2933318.1940000001</v>
      </c>
      <c r="AT145">
        <v>2955822.5729999999</v>
      </c>
      <c r="AU145">
        <v>2978437.361</v>
      </c>
      <c r="AV145">
        <v>3000392.88</v>
      </c>
      <c r="AW145">
        <v>3021919.5</v>
      </c>
    </row>
    <row r="146" spans="2:49" x14ac:dyDescent="0.25">
      <c r="B146" t="s">
        <v>475</v>
      </c>
      <c r="C146">
        <v>6723975.7599636996</v>
      </c>
      <c r="D146">
        <v>6831931.3657214995</v>
      </c>
      <c r="E146">
        <v>6945716.915</v>
      </c>
      <c r="F146">
        <v>7002605.2960000001</v>
      </c>
      <c r="G146">
        <v>7028032.2989999996</v>
      </c>
      <c r="H146">
        <v>6606898.4730000002</v>
      </c>
      <c r="I146">
        <v>6867141.7910000002</v>
      </c>
      <c r="J146">
        <v>6942185.6509999996</v>
      </c>
      <c r="K146">
        <v>6822522.5530000003</v>
      </c>
      <c r="L146">
        <v>6838032.8530000001</v>
      </c>
      <c r="M146">
        <v>6896280.9649999999</v>
      </c>
      <c r="N146">
        <v>7188688.2539999997</v>
      </c>
      <c r="O146">
        <v>7193589.4280000003</v>
      </c>
      <c r="P146">
        <v>7195647.8039999995</v>
      </c>
      <c r="Q146">
        <v>7073357.2120000003</v>
      </c>
      <c r="R146">
        <v>7139718.0889999997</v>
      </c>
      <c r="S146">
        <v>7061850.409</v>
      </c>
      <c r="T146">
        <v>7074628.5599999996</v>
      </c>
      <c r="U146">
        <v>7125221.6979999999</v>
      </c>
      <c r="V146">
        <v>7239394.4220000003</v>
      </c>
      <c r="W146">
        <v>7333162.1550000003</v>
      </c>
      <c r="X146">
        <v>7397010.8099999996</v>
      </c>
      <c r="Y146">
        <v>7490337.773</v>
      </c>
      <c r="Z146">
        <v>7608432.3720000004</v>
      </c>
      <c r="AA146">
        <v>7762657.3650000002</v>
      </c>
      <c r="AB146">
        <v>7936175.6579999998</v>
      </c>
      <c r="AC146">
        <v>8135819.0029999996</v>
      </c>
      <c r="AD146">
        <v>8210501.9029999999</v>
      </c>
      <c r="AE146">
        <v>8297444.5149999997</v>
      </c>
      <c r="AF146">
        <v>8389475.1710000001</v>
      </c>
      <c r="AG146">
        <v>8488321.4189999998</v>
      </c>
      <c r="AH146">
        <v>8597686.0289999899</v>
      </c>
      <c r="AI146">
        <v>8715486.5109999999</v>
      </c>
      <c r="AJ146">
        <v>8842069.3460000008</v>
      </c>
      <c r="AK146">
        <v>8974256.3859999999</v>
      </c>
      <c r="AL146">
        <v>9111086.5999999996</v>
      </c>
      <c r="AM146">
        <v>9250380.6600000001</v>
      </c>
      <c r="AN146">
        <v>9387988.7249999996</v>
      </c>
      <c r="AO146">
        <v>9531516.0930000003</v>
      </c>
      <c r="AP146">
        <v>9674145.4600000009</v>
      </c>
      <c r="AQ146">
        <v>9818641.5930000003</v>
      </c>
      <c r="AR146">
        <v>9965786.784</v>
      </c>
      <c r="AS146">
        <v>10121122.32</v>
      </c>
      <c r="AT146">
        <v>10277567.460000001</v>
      </c>
      <c r="AU146">
        <v>10435960.880000001</v>
      </c>
      <c r="AV146">
        <v>10595602.51</v>
      </c>
      <c r="AW146">
        <v>10756455.77</v>
      </c>
    </row>
    <row r="147" spans="2:49" x14ac:dyDescent="0.25">
      <c r="B147" t="s">
        <v>476</v>
      </c>
      <c r="C147">
        <v>312332.22295347298</v>
      </c>
      <c r="D147">
        <v>317346.817819711</v>
      </c>
      <c r="E147">
        <v>322572.6018</v>
      </c>
      <c r="F147">
        <v>334150.48820000002</v>
      </c>
      <c r="G147">
        <v>321422.00579999998</v>
      </c>
      <c r="H147">
        <v>280382.15669999999</v>
      </c>
      <c r="I147">
        <v>293042.0036</v>
      </c>
      <c r="J147">
        <v>296995.23269999999</v>
      </c>
      <c r="K147">
        <v>277760.40179999999</v>
      </c>
      <c r="L147">
        <v>262774.31579999998</v>
      </c>
      <c r="M147">
        <v>258763.51360000001</v>
      </c>
      <c r="N147">
        <v>272880.3786</v>
      </c>
      <c r="O147">
        <v>251030.965</v>
      </c>
      <c r="P147">
        <v>232507.31779999999</v>
      </c>
      <c r="Q147">
        <v>211487.78419999999</v>
      </c>
      <c r="R147">
        <v>192574.83360000001</v>
      </c>
      <c r="S147">
        <v>179811.60819999999</v>
      </c>
      <c r="T147">
        <v>183760.41260000001</v>
      </c>
      <c r="U147">
        <v>183954.53210000001</v>
      </c>
      <c r="V147">
        <v>187647.03690000001</v>
      </c>
      <c r="W147">
        <v>190137.986</v>
      </c>
      <c r="X147">
        <v>191935.04610000001</v>
      </c>
      <c r="Y147">
        <v>194414.8823</v>
      </c>
      <c r="Z147">
        <v>199289.38029999999</v>
      </c>
      <c r="AA147">
        <v>205313.28940000001</v>
      </c>
      <c r="AB147">
        <v>212317.3616</v>
      </c>
      <c r="AC147">
        <v>220558.08199999999</v>
      </c>
      <c r="AD147">
        <v>222901.74230000001</v>
      </c>
      <c r="AE147">
        <v>225943.7611</v>
      </c>
      <c r="AF147">
        <v>229162.2703</v>
      </c>
      <c r="AG147">
        <v>232608.4111</v>
      </c>
      <c r="AH147">
        <v>236490.82709999999</v>
      </c>
      <c r="AI147">
        <v>240561.22570000001</v>
      </c>
      <c r="AJ147">
        <v>244775.07449999999</v>
      </c>
      <c r="AK147">
        <v>249156.90950000001</v>
      </c>
      <c r="AL147">
        <v>253652.64060000001</v>
      </c>
      <c r="AM147">
        <v>258169.13089999999</v>
      </c>
      <c r="AN147">
        <v>262037.717</v>
      </c>
      <c r="AO147">
        <v>266042.50270000001</v>
      </c>
      <c r="AP147">
        <v>269855.09460000001</v>
      </c>
      <c r="AQ147">
        <v>273686.97070000001</v>
      </c>
      <c r="AR147">
        <v>277295.7071</v>
      </c>
      <c r="AS147">
        <v>281312.68890000001</v>
      </c>
      <c r="AT147">
        <v>285303.57679999998</v>
      </c>
      <c r="AU147">
        <v>289314.37540000002</v>
      </c>
      <c r="AV147">
        <v>293316.86040000001</v>
      </c>
      <c r="AW147">
        <v>297485.83620000002</v>
      </c>
    </row>
    <row r="148" spans="2:49" x14ac:dyDescent="0.25">
      <c r="B148" t="s">
        <v>477</v>
      </c>
      <c r="C148">
        <v>7845653.0561234802</v>
      </c>
      <c r="D148">
        <v>7971617.5536879301</v>
      </c>
      <c r="E148">
        <v>8102887.0319999997</v>
      </c>
      <c r="F148">
        <v>8277401.5549999997</v>
      </c>
      <c r="G148">
        <v>7916728.0549999997</v>
      </c>
      <c r="H148">
        <v>7525633.2230000002</v>
      </c>
      <c r="I148">
        <v>7546317.7800000003</v>
      </c>
      <c r="J148">
        <v>7317465.1100000003</v>
      </c>
      <c r="K148">
        <v>6871429.1459999997</v>
      </c>
      <c r="L148">
        <v>6697806.3320000004</v>
      </c>
      <c r="M148">
        <v>6837477.9809999997</v>
      </c>
      <c r="N148">
        <v>7291882.1679999996</v>
      </c>
      <c r="O148">
        <v>6956601.3039999995</v>
      </c>
      <c r="P148">
        <v>6332660.6919999998</v>
      </c>
      <c r="Q148">
        <v>5647726.9970000004</v>
      </c>
      <c r="R148">
        <v>5323003.0729999999</v>
      </c>
      <c r="S148">
        <v>4949507.875</v>
      </c>
      <c r="T148">
        <v>5065546.602</v>
      </c>
      <c r="U148">
        <v>5067856.7479999997</v>
      </c>
      <c r="V148">
        <v>5155733.4740000004</v>
      </c>
      <c r="W148">
        <v>5225123.6129999999</v>
      </c>
      <c r="X148">
        <v>5266312.3530000001</v>
      </c>
      <c r="Y148">
        <v>5298680.76</v>
      </c>
      <c r="Z148">
        <v>5388604.6909999996</v>
      </c>
      <c r="AA148">
        <v>5487933.4900000002</v>
      </c>
      <c r="AB148">
        <v>5591445.4450000003</v>
      </c>
      <c r="AC148">
        <v>5702218.1390000004</v>
      </c>
      <c r="AD148">
        <v>5775973.4500000002</v>
      </c>
      <c r="AE148">
        <v>5869581.8499999996</v>
      </c>
      <c r="AF148">
        <v>5970003.9249999998</v>
      </c>
      <c r="AG148">
        <v>6074770.5990000004</v>
      </c>
      <c r="AH148">
        <v>6189467.3159999996</v>
      </c>
      <c r="AI148">
        <v>6313441.0199999996</v>
      </c>
      <c r="AJ148">
        <v>6440494.5190000003</v>
      </c>
      <c r="AK148">
        <v>6573055.1119999997</v>
      </c>
      <c r="AL148">
        <v>6709577.7379999999</v>
      </c>
      <c r="AM148">
        <v>6848173.7589999996</v>
      </c>
      <c r="AN148">
        <v>6973326.6169999996</v>
      </c>
      <c r="AO148">
        <v>7108984.5719999997</v>
      </c>
      <c r="AP148">
        <v>7243314.0710000005</v>
      </c>
      <c r="AQ148">
        <v>7379368.9800000004</v>
      </c>
      <c r="AR148">
        <v>7513327.1299999999</v>
      </c>
      <c r="AS148">
        <v>7650896.4890000001</v>
      </c>
      <c r="AT148">
        <v>7785648.25</v>
      </c>
      <c r="AU148">
        <v>7921880.5180000002</v>
      </c>
      <c r="AV148">
        <v>8059265.6689999998</v>
      </c>
      <c r="AW148">
        <v>8200643.2400000002</v>
      </c>
    </row>
    <row r="149" spans="2:49" x14ac:dyDescent="0.25">
      <c r="B149" t="s">
        <v>478</v>
      </c>
      <c r="C149">
        <v>3.3990718667427999</v>
      </c>
      <c r="D149">
        <v>3.4536450650243098</v>
      </c>
      <c r="E149">
        <v>3.5105166080000001</v>
      </c>
      <c r="F149">
        <v>3.7209620729999999</v>
      </c>
      <c r="G149">
        <v>3.646921716</v>
      </c>
      <c r="H149">
        <v>3.4013469879999998</v>
      </c>
      <c r="I149">
        <v>3.3588140590000002</v>
      </c>
      <c r="J149">
        <v>3.3584961780000002</v>
      </c>
      <c r="K149">
        <v>3.2185974900000001</v>
      </c>
      <c r="L149">
        <v>3.2169019419999998</v>
      </c>
      <c r="M149">
        <v>3.221794305</v>
      </c>
      <c r="N149">
        <v>3.3023129240000002</v>
      </c>
      <c r="O149">
        <v>3.4845858490000001</v>
      </c>
      <c r="P149">
        <v>3.6204592720000002</v>
      </c>
      <c r="Q149">
        <v>3.6150609039999999</v>
      </c>
      <c r="R149">
        <v>3.735917599</v>
      </c>
      <c r="S149">
        <v>3.7359376150000001</v>
      </c>
      <c r="T149">
        <v>3.8687630909999999</v>
      </c>
      <c r="U149">
        <v>3.8355487780000002</v>
      </c>
      <c r="V149">
        <v>3.9167917289999998</v>
      </c>
      <c r="W149">
        <v>3.8926953800000001</v>
      </c>
      <c r="X149">
        <v>3.85774135</v>
      </c>
      <c r="Y149">
        <v>3.7715168800000001</v>
      </c>
      <c r="Z149">
        <v>3.747514174</v>
      </c>
      <c r="AA149">
        <v>3.744041159</v>
      </c>
      <c r="AB149">
        <v>3.7462383899999998</v>
      </c>
      <c r="AC149">
        <v>3.754007841</v>
      </c>
      <c r="AD149">
        <v>3.764586478</v>
      </c>
      <c r="AE149">
        <v>3.7851601010000002</v>
      </c>
      <c r="AF149">
        <v>3.8086068310000001</v>
      </c>
      <c r="AG149">
        <v>3.8348192860000001</v>
      </c>
      <c r="AH149">
        <v>3.8716476719999999</v>
      </c>
      <c r="AI149">
        <v>3.9058202660000001</v>
      </c>
      <c r="AJ149">
        <v>3.936720174</v>
      </c>
      <c r="AK149">
        <v>3.9765223110000001</v>
      </c>
      <c r="AL149">
        <v>4.0166248009999999</v>
      </c>
      <c r="AM149">
        <v>4.0546924820000001</v>
      </c>
      <c r="AN149">
        <v>4.0691001680000003</v>
      </c>
      <c r="AO149">
        <v>4.0892508760000004</v>
      </c>
      <c r="AP149">
        <v>4.1080453109999997</v>
      </c>
      <c r="AQ149">
        <v>4.1329782579999996</v>
      </c>
      <c r="AR149">
        <v>4.1511281589999998</v>
      </c>
      <c r="AS149">
        <v>4.1713092080000003</v>
      </c>
      <c r="AT149">
        <v>4.1912257559999997</v>
      </c>
      <c r="AU149">
        <v>4.2090490440000004</v>
      </c>
      <c r="AV149">
        <v>4.2264788639999997</v>
      </c>
      <c r="AW149">
        <v>4.2772366240000004</v>
      </c>
    </row>
    <row r="150" spans="2:49" x14ac:dyDescent="0.25">
      <c r="B150" t="s">
        <v>479</v>
      </c>
      <c r="C150">
        <v>600391.80946004798</v>
      </c>
      <c r="D150">
        <v>610031.29416316305</v>
      </c>
      <c r="E150">
        <v>620076.74470000004</v>
      </c>
      <c r="F150">
        <v>631766.25730000006</v>
      </c>
      <c r="G150">
        <v>593643.56770000001</v>
      </c>
      <c r="H150">
        <v>584559.76569999999</v>
      </c>
      <c r="I150">
        <v>591665.53630000004</v>
      </c>
      <c r="J150">
        <v>566710.75439999998</v>
      </c>
      <c r="K150">
        <v>533232.41839999997</v>
      </c>
      <c r="L150">
        <v>537875.47080000001</v>
      </c>
      <c r="M150">
        <v>547048.23120000004</v>
      </c>
      <c r="N150">
        <v>576428.60479999997</v>
      </c>
      <c r="O150">
        <v>609700.8101</v>
      </c>
      <c r="P150">
        <v>621206.78040000005</v>
      </c>
      <c r="Q150">
        <v>576965.33600000001</v>
      </c>
      <c r="R150">
        <v>594346.60190000001</v>
      </c>
      <c r="S150">
        <v>592691.55460000003</v>
      </c>
      <c r="T150">
        <v>592440.72320000001</v>
      </c>
      <c r="U150">
        <v>591728.47979999997</v>
      </c>
      <c r="V150">
        <v>594894.75410000002</v>
      </c>
      <c r="W150">
        <v>593482.00529999996</v>
      </c>
      <c r="X150">
        <v>587842.68629999994</v>
      </c>
      <c r="Y150">
        <v>593044.03229999996</v>
      </c>
      <c r="Z150">
        <v>598887.65709999995</v>
      </c>
      <c r="AA150">
        <v>605515.75230000005</v>
      </c>
      <c r="AB150">
        <v>612004.54779999994</v>
      </c>
      <c r="AC150">
        <v>618657.54180000001</v>
      </c>
      <c r="AD150">
        <v>623785.21510000003</v>
      </c>
      <c r="AE150">
        <v>627659.63</v>
      </c>
      <c r="AF150">
        <v>632743.89099999995</v>
      </c>
      <c r="AG150">
        <v>638121.19339999999</v>
      </c>
      <c r="AH150">
        <v>642579.04189999995</v>
      </c>
      <c r="AI150">
        <v>649758.85849999997</v>
      </c>
      <c r="AJ150">
        <v>656726.91229999997</v>
      </c>
      <c r="AK150">
        <v>663577.29350000003</v>
      </c>
      <c r="AL150">
        <v>670578.50419999997</v>
      </c>
      <c r="AM150">
        <v>677616.36069999996</v>
      </c>
      <c r="AN150">
        <v>683307.32640000002</v>
      </c>
      <c r="AO150">
        <v>689390.17709999997</v>
      </c>
      <c r="AP150">
        <v>695449.93770000001</v>
      </c>
      <c r="AQ150">
        <v>701626.50459999999</v>
      </c>
      <c r="AR150">
        <v>707789.86620000005</v>
      </c>
      <c r="AS150">
        <v>713603.13919999998</v>
      </c>
      <c r="AT150">
        <v>719573.23100000003</v>
      </c>
      <c r="AU150">
        <v>725612.3909</v>
      </c>
      <c r="AV150">
        <v>731661.71880000003</v>
      </c>
      <c r="AW150">
        <v>737920.99580000003</v>
      </c>
    </row>
    <row r="151" spans="2:49" x14ac:dyDescent="0.25">
      <c r="B151" t="s">
        <v>480</v>
      </c>
      <c r="C151">
        <v>2139866.37253871</v>
      </c>
      <c r="D151">
        <v>2174222.6193092102</v>
      </c>
      <c r="E151">
        <v>2197623.4389999998</v>
      </c>
      <c r="F151">
        <v>2183234.6179999998</v>
      </c>
      <c r="G151">
        <v>2173371.6159999999</v>
      </c>
      <c r="H151">
        <v>2169368.4360000002</v>
      </c>
      <c r="I151">
        <v>2173396.5789999999</v>
      </c>
      <c r="J151">
        <v>2185578.9339999999</v>
      </c>
      <c r="K151">
        <v>2186242.9550000001</v>
      </c>
      <c r="L151">
        <v>2182862.5419999999</v>
      </c>
      <c r="M151">
        <v>2195755.1069999998</v>
      </c>
      <c r="N151">
        <v>2173743.87</v>
      </c>
      <c r="O151">
        <v>2202181.4789999998</v>
      </c>
      <c r="P151">
        <v>2221848.773</v>
      </c>
      <c r="Q151">
        <v>2248783.4279999998</v>
      </c>
      <c r="R151">
        <v>2271241.0970000001</v>
      </c>
      <c r="S151">
        <v>2239213.1170000001</v>
      </c>
      <c r="T151">
        <v>2196118.3420000002</v>
      </c>
      <c r="U151">
        <v>2177588.7579999999</v>
      </c>
      <c r="V151">
        <v>2167578.307</v>
      </c>
      <c r="W151">
        <v>2156094.9040000001</v>
      </c>
      <c r="X151">
        <v>2092816.5120000001</v>
      </c>
      <c r="Y151">
        <v>2056477.1189999999</v>
      </c>
      <c r="Z151">
        <v>2013254.557</v>
      </c>
      <c r="AA151">
        <v>1970008.027</v>
      </c>
      <c r="AB151">
        <v>1925773.6740000001</v>
      </c>
      <c r="AC151">
        <v>1880607.361</v>
      </c>
      <c r="AD151">
        <v>1830190.4609999999</v>
      </c>
      <c r="AE151">
        <v>1773869.4029999999</v>
      </c>
      <c r="AF151">
        <v>1720549.031</v>
      </c>
      <c r="AG151">
        <v>1668301.06</v>
      </c>
      <c r="AH151">
        <v>1611748.6270000001</v>
      </c>
      <c r="AI151">
        <v>1582537.145</v>
      </c>
      <c r="AJ151">
        <v>1552351.061</v>
      </c>
      <c r="AK151">
        <v>1521595.882</v>
      </c>
      <c r="AL151">
        <v>1490618.3459999999</v>
      </c>
      <c r="AM151">
        <v>1459190.4779999999</v>
      </c>
      <c r="AN151">
        <v>1450314.912</v>
      </c>
      <c r="AO151">
        <v>1441936.2439999999</v>
      </c>
      <c r="AP151">
        <v>1433735.2339999999</v>
      </c>
      <c r="AQ151">
        <v>1425513.442</v>
      </c>
      <c r="AR151">
        <v>1417071.4739999999</v>
      </c>
      <c r="AS151">
        <v>1425057.8729999999</v>
      </c>
      <c r="AT151">
        <v>1433265.2560000001</v>
      </c>
      <c r="AU151">
        <v>1441589.7390000001</v>
      </c>
      <c r="AV151">
        <v>1450002.173</v>
      </c>
      <c r="AW151">
        <v>1458768.787</v>
      </c>
    </row>
    <row r="152" spans="2:49" x14ac:dyDescent="0.25">
      <c r="B152" t="s">
        <v>481</v>
      </c>
      <c r="C152">
        <v>48247577.676067904</v>
      </c>
      <c r="D152">
        <v>49022208.141778298</v>
      </c>
      <c r="E152">
        <v>49870580.920000002</v>
      </c>
      <c r="F152">
        <v>49562793.289999999</v>
      </c>
      <c r="G152">
        <v>48581186.82</v>
      </c>
      <c r="H152">
        <v>46820522.960000001</v>
      </c>
      <c r="I152">
        <v>46425881.689999998</v>
      </c>
      <c r="J152">
        <v>46123496.25</v>
      </c>
      <c r="K152">
        <v>45536623.009999998</v>
      </c>
      <c r="L152">
        <v>44679940.469999999</v>
      </c>
      <c r="M152">
        <v>44206877.18</v>
      </c>
      <c r="N152">
        <v>43675773.890000001</v>
      </c>
      <c r="O152">
        <v>43617601.579999998</v>
      </c>
      <c r="P152">
        <v>43770002.789999999</v>
      </c>
      <c r="Q152">
        <v>43156082.390000001</v>
      </c>
      <c r="R152">
        <v>42557723.299999997</v>
      </c>
      <c r="S152">
        <v>41962990.600000001</v>
      </c>
      <c r="T152">
        <v>42765148.590000004</v>
      </c>
      <c r="U152">
        <v>42754497.340000004</v>
      </c>
      <c r="V152">
        <v>43241016.719999999</v>
      </c>
      <c r="W152">
        <v>43555012.240000002</v>
      </c>
      <c r="X152">
        <v>43384529.859999999</v>
      </c>
      <c r="Y152">
        <v>43031303.82</v>
      </c>
      <c r="Z152">
        <v>42898776.229999997</v>
      </c>
      <c r="AA152">
        <v>42830605.689999998</v>
      </c>
      <c r="AB152">
        <v>42794449.399999999</v>
      </c>
      <c r="AC152">
        <v>42805101.350000001</v>
      </c>
      <c r="AD152">
        <v>42333051.039999999</v>
      </c>
      <c r="AE152">
        <v>41914164</v>
      </c>
      <c r="AF152">
        <v>41517938.869999997</v>
      </c>
      <c r="AG152">
        <v>41134221.979999997</v>
      </c>
      <c r="AH152">
        <v>40771399.740000002</v>
      </c>
      <c r="AI152">
        <v>40631101.280000001</v>
      </c>
      <c r="AJ152">
        <v>40490261.399999999</v>
      </c>
      <c r="AK152">
        <v>40357689.619999997</v>
      </c>
      <c r="AL152">
        <v>40224541.579999998</v>
      </c>
      <c r="AM152">
        <v>40079156.420000002</v>
      </c>
      <c r="AN152">
        <v>40309490.850000001</v>
      </c>
      <c r="AO152">
        <v>40579129.140000001</v>
      </c>
      <c r="AP152">
        <v>40839078.82</v>
      </c>
      <c r="AQ152">
        <v>41102345.25</v>
      </c>
      <c r="AR152">
        <v>41348670.009999998</v>
      </c>
      <c r="AS152">
        <v>41874532.350000001</v>
      </c>
      <c r="AT152">
        <v>42392138.539999999</v>
      </c>
      <c r="AU152">
        <v>42914614.350000001</v>
      </c>
      <c r="AV152">
        <v>43440792.979999997</v>
      </c>
      <c r="AW152">
        <v>43987340.509999998</v>
      </c>
    </row>
    <row r="153" spans="2:49" x14ac:dyDescent="0.25">
      <c r="B153" t="s">
        <v>482</v>
      </c>
      <c r="C153">
        <v>9181601.5739378203</v>
      </c>
      <c r="D153">
        <v>9329015.1570805702</v>
      </c>
      <c r="E153">
        <v>9482637.0470000003</v>
      </c>
      <c r="F153">
        <v>10816659.67</v>
      </c>
      <c r="G153">
        <v>9121210.25699999</v>
      </c>
      <c r="H153">
        <v>6573689.6730000004</v>
      </c>
      <c r="I153">
        <v>7796919.1859999998</v>
      </c>
      <c r="J153">
        <v>6138379.1789999995</v>
      </c>
      <c r="K153">
        <v>7114616.1380000003</v>
      </c>
      <c r="L153">
        <v>6387738.1050000004</v>
      </c>
      <c r="M153">
        <v>6426691.5190000003</v>
      </c>
      <c r="N153">
        <v>6610711.0060000001</v>
      </c>
      <c r="O153">
        <v>6039962.0489999996</v>
      </c>
      <c r="P153">
        <v>6402310.8150000004</v>
      </c>
      <c r="Q153">
        <v>6293993.6310000001</v>
      </c>
      <c r="R153">
        <v>6406355.9900000002</v>
      </c>
      <c r="S153">
        <v>6394677.2259999998</v>
      </c>
      <c r="T153">
        <v>6300024.1639999999</v>
      </c>
      <c r="U153">
        <v>6330371.5779999997</v>
      </c>
      <c r="V153">
        <v>6406713.1179999998</v>
      </c>
      <c r="W153">
        <v>6453948.4869999997</v>
      </c>
      <c r="X153">
        <v>6476773.2439999999</v>
      </c>
      <c r="Y153">
        <v>6523816.5290000001</v>
      </c>
      <c r="Z153">
        <v>6585923.0199999996</v>
      </c>
      <c r="AA153">
        <v>6655138.1830000002</v>
      </c>
      <c r="AB153">
        <v>6726847.2850000001</v>
      </c>
      <c r="AC153">
        <v>6803146.517</v>
      </c>
      <c r="AD153">
        <v>6870663.8289999999</v>
      </c>
      <c r="AE153">
        <v>6941897.7170000002</v>
      </c>
      <c r="AF153">
        <v>7018933.8329999996</v>
      </c>
      <c r="AG153">
        <v>7101724.5769999996</v>
      </c>
      <c r="AH153">
        <v>7190853.6900000004</v>
      </c>
      <c r="AI153">
        <v>7290417.1550000003</v>
      </c>
      <c r="AJ153">
        <v>7397600.432</v>
      </c>
      <c r="AK153">
        <v>7508994.9069999997</v>
      </c>
      <c r="AL153">
        <v>7624848.3119999999</v>
      </c>
      <c r="AM153">
        <v>7743439.9050000003</v>
      </c>
      <c r="AN153">
        <v>7857392.568</v>
      </c>
      <c r="AO153">
        <v>7978267.7920000004</v>
      </c>
      <c r="AP153">
        <v>8099092.9330000002</v>
      </c>
      <c r="AQ153">
        <v>8219365.3789999997</v>
      </c>
      <c r="AR153">
        <v>8339497.8449999997</v>
      </c>
      <c r="AS153">
        <v>8459176.77999999</v>
      </c>
      <c r="AT153">
        <v>8579318.4820000008</v>
      </c>
      <c r="AU153">
        <v>8701187.1830000002</v>
      </c>
      <c r="AV153">
        <v>8824151.00699999</v>
      </c>
      <c r="AW153">
        <v>8950643.852</v>
      </c>
    </row>
    <row r="154" spans="2:49" x14ac:dyDescent="0.25">
      <c r="B154" t="s">
        <v>483</v>
      </c>
      <c r="C154">
        <v>2568505.4482754301</v>
      </c>
      <c r="D154">
        <v>2609743.6340541099</v>
      </c>
      <c r="E154">
        <v>2652718.5619999999</v>
      </c>
      <c r="F154">
        <v>2757487.4989999998</v>
      </c>
      <c r="G154">
        <v>2739889.2760000001</v>
      </c>
      <c r="H154">
        <v>2258659.659</v>
      </c>
      <c r="I154">
        <v>2331170.9509999999</v>
      </c>
      <c r="J154">
        <v>2440881.6209999998</v>
      </c>
      <c r="K154">
        <v>2382836.59</v>
      </c>
      <c r="L154">
        <v>2318695.8829999999</v>
      </c>
      <c r="M154">
        <v>2319206.807</v>
      </c>
      <c r="N154">
        <v>2452639.7990000001</v>
      </c>
      <c r="O154">
        <v>2458540.31</v>
      </c>
      <c r="P154">
        <v>2458750.8840000001</v>
      </c>
      <c r="Q154">
        <v>2536436.9890000001</v>
      </c>
      <c r="R154">
        <v>2577821.8879999998</v>
      </c>
      <c r="S154">
        <v>2547892.8670000001</v>
      </c>
      <c r="T154">
        <v>2511350.4130000002</v>
      </c>
      <c r="U154">
        <v>2492189.6919999998</v>
      </c>
      <c r="V154">
        <v>2473137.5350000001</v>
      </c>
      <c r="W154">
        <v>2476166.6320000002</v>
      </c>
      <c r="X154">
        <v>2464722.1469999999</v>
      </c>
      <c r="Y154">
        <v>2471578.15</v>
      </c>
      <c r="Z154">
        <v>2481570.0269999998</v>
      </c>
      <c r="AA154">
        <v>2501602.0750000002</v>
      </c>
      <c r="AB154">
        <v>2525426.753</v>
      </c>
      <c r="AC154">
        <v>2551141.3689999999</v>
      </c>
      <c r="AD154">
        <v>2574204.7080000001</v>
      </c>
      <c r="AE154">
        <v>2597521.6510000001</v>
      </c>
      <c r="AF154">
        <v>2625592.4350000001</v>
      </c>
      <c r="AG154">
        <v>2656754.4950000001</v>
      </c>
      <c r="AH154">
        <v>2690947.1809999999</v>
      </c>
      <c r="AI154">
        <v>2731040.1310000001</v>
      </c>
      <c r="AJ154">
        <v>2774275.7609999999</v>
      </c>
      <c r="AK154">
        <v>2818761.429</v>
      </c>
      <c r="AL154">
        <v>2865554.39</v>
      </c>
      <c r="AM154">
        <v>2913324.0279999999</v>
      </c>
      <c r="AN154">
        <v>2955455.0269999998</v>
      </c>
      <c r="AO154">
        <v>2997180.3309999998</v>
      </c>
      <c r="AP154">
        <v>3038476.4739999999</v>
      </c>
      <c r="AQ154">
        <v>3079084.2069999999</v>
      </c>
      <c r="AR154">
        <v>3118611.5320000001</v>
      </c>
      <c r="AS154">
        <v>3160145.6150000002</v>
      </c>
      <c r="AT154">
        <v>3202386.179</v>
      </c>
      <c r="AU154">
        <v>3244920.7960000001</v>
      </c>
      <c r="AV154">
        <v>3287548.7439999999</v>
      </c>
      <c r="AW154">
        <v>3331377.7110000001</v>
      </c>
    </row>
    <row r="155" spans="2:49" x14ac:dyDescent="0.25">
      <c r="B155" t="s">
        <v>484</v>
      </c>
      <c r="C155">
        <v>12693844.6626458</v>
      </c>
      <c r="D155">
        <v>12897648.444645001</v>
      </c>
      <c r="E155">
        <v>13110035.4</v>
      </c>
      <c r="F155">
        <v>13384163.49</v>
      </c>
      <c r="G155">
        <v>12847614.26</v>
      </c>
      <c r="H155">
        <v>12577518.83</v>
      </c>
      <c r="I155">
        <v>12375387.73</v>
      </c>
      <c r="J155">
        <v>11813000.970000001</v>
      </c>
      <c r="K155">
        <v>11189101.960000001</v>
      </c>
      <c r="L155">
        <v>10941464.369999999</v>
      </c>
      <c r="M155">
        <v>10956638</v>
      </c>
      <c r="N155">
        <v>11249774.119999999</v>
      </c>
      <c r="O155">
        <v>10559073.84</v>
      </c>
      <c r="P155">
        <v>9820323.1630000006</v>
      </c>
      <c r="Q155">
        <v>9182421.2640000004</v>
      </c>
      <c r="R155">
        <v>8684028.3910000008</v>
      </c>
      <c r="S155">
        <v>8129100.4500000002</v>
      </c>
      <c r="T155">
        <v>8093697.4400000004</v>
      </c>
      <c r="U155">
        <v>8081004.574</v>
      </c>
      <c r="V155">
        <v>8063704.4879999999</v>
      </c>
      <c r="W155">
        <v>7794569.2860000003</v>
      </c>
      <c r="X155">
        <v>7504733.9069999997</v>
      </c>
      <c r="Y155">
        <v>7270397.0489999996</v>
      </c>
      <c r="Z155">
        <v>7059022.5199999996</v>
      </c>
      <c r="AA155">
        <v>6863635.4510000004</v>
      </c>
      <c r="AB155">
        <v>6681884.9589999998</v>
      </c>
      <c r="AC155">
        <v>6511983.0549999997</v>
      </c>
      <c r="AD155">
        <v>6352113.176</v>
      </c>
      <c r="AE155">
        <v>6203502.7450000001</v>
      </c>
      <c r="AF155">
        <v>6065850.9699999997</v>
      </c>
      <c r="AG155">
        <v>5934091.4330000002</v>
      </c>
      <c r="AH155">
        <v>5809231.1560000004</v>
      </c>
      <c r="AI155">
        <v>5691800.8480000002</v>
      </c>
      <c r="AJ155">
        <v>5580226.2369999997</v>
      </c>
      <c r="AK155">
        <v>5475147.1299999999</v>
      </c>
      <c r="AL155">
        <v>5375538.1770000001</v>
      </c>
      <c r="AM155">
        <v>5281142.176</v>
      </c>
      <c r="AN155">
        <v>5256133.3310000002</v>
      </c>
      <c r="AO155">
        <v>5244022.5990000004</v>
      </c>
      <c r="AP155">
        <v>5234277.6519999998</v>
      </c>
      <c r="AQ155">
        <v>5224453.2819999997</v>
      </c>
      <c r="AR155">
        <v>5214131.159</v>
      </c>
      <c r="AS155">
        <v>5202209.49</v>
      </c>
      <c r="AT155">
        <v>5189643.8360000001</v>
      </c>
      <c r="AU155">
        <v>5175935.4709999999</v>
      </c>
      <c r="AV155">
        <v>5161269.574</v>
      </c>
      <c r="AW155">
        <v>5145706.2740000002</v>
      </c>
    </row>
    <row r="156" spans="2:49" x14ac:dyDescent="0.25">
      <c r="B156" t="s">
        <v>485</v>
      </c>
      <c r="C156">
        <v>1234344.16589374</v>
      </c>
      <c r="D156">
        <v>1254161.9607370901</v>
      </c>
      <c r="E156">
        <v>1274814.3799999999</v>
      </c>
      <c r="F156">
        <v>1251113.1059999999</v>
      </c>
      <c r="G156">
        <v>1174567.723</v>
      </c>
      <c r="H156">
        <v>1204794.9550000001</v>
      </c>
      <c r="I156">
        <v>1137922.997</v>
      </c>
      <c r="J156">
        <v>1054999.8959999999</v>
      </c>
      <c r="K156">
        <v>989472.25719999999</v>
      </c>
      <c r="L156">
        <v>957942.73959999997</v>
      </c>
      <c r="M156">
        <v>934365.5649</v>
      </c>
      <c r="N156">
        <v>928878.07689999999</v>
      </c>
      <c r="O156">
        <v>850005.21479999996</v>
      </c>
      <c r="P156">
        <v>774618.5233</v>
      </c>
      <c r="Q156">
        <v>716692.00679999997</v>
      </c>
      <c r="R156">
        <v>670526.41810000001</v>
      </c>
      <c r="S156">
        <v>619487.1398</v>
      </c>
      <c r="T156">
        <v>617149.18059999996</v>
      </c>
      <c r="U156">
        <v>617589.18059999996</v>
      </c>
      <c r="V156">
        <v>617487.36329999997</v>
      </c>
      <c r="W156">
        <v>588525.66850000003</v>
      </c>
      <c r="X156">
        <v>557853.55590000004</v>
      </c>
      <c r="Y156">
        <v>532629.48899999994</v>
      </c>
      <c r="Z156">
        <v>510564.848</v>
      </c>
      <c r="AA156">
        <v>490718.283</v>
      </c>
      <c r="AB156">
        <v>472696.90120000002</v>
      </c>
      <c r="AC156">
        <v>456226.48499999999</v>
      </c>
      <c r="AD156">
        <v>441036.32929999998</v>
      </c>
      <c r="AE156">
        <v>427242.62089999998</v>
      </c>
      <c r="AF156">
        <v>414752.00429999997</v>
      </c>
      <c r="AG156">
        <v>402986.50329999998</v>
      </c>
      <c r="AH156">
        <v>392021.43410000001</v>
      </c>
      <c r="AI156">
        <v>381927.8983</v>
      </c>
      <c r="AJ156">
        <v>372482.6911</v>
      </c>
      <c r="AK156">
        <v>363717.72840000002</v>
      </c>
      <c r="AL156">
        <v>355523.16960000002</v>
      </c>
      <c r="AM156">
        <v>347861.29100000003</v>
      </c>
      <c r="AN156">
        <v>346909.6986</v>
      </c>
      <c r="AO156">
        <v>347196.77360000001</v>
      </c>
      <c r="AP156">
        <v>347724.61940000003</v>
      </c>
      <c r="AQ156">
        <v>348266.5576</v>
      </c>
      <c r="AR156">
        <v>348778.65639999998</v>
      </c>
      <c r="AS156">
        <v>349187.54430000001</v>
      </c>
      <c r="AT156">
        <v>349553.67239999998</v>
      </c>
      <c r="AU156">
        <v>349833.11619999999</v>
      </c>
      <c r="AV156">
        <v>350041.04190000001</v>
      </c>
      <c r="AW156">
        <v>350183.43890000001</v>
      </c>
    </row>
    <row r="157" spans="2:49" x14ac:dyDescent="0.25">
      <c r="B157" t="s">
        <v>486</v>
      </c>
      <c r="C157">
        <v>16278955.912495499</v>
      </c>
      <c r="D157">
        <v>16540319.8152481</v>
      </c>
      <c r="E157">
        <v>16805880</v>
      </c>
      <c r="F157">
        <v>16644713.550000001</v>
      </c>
      <c r="G157">
        <v>15782544.560000001</v>
      </c>
      <c r="H157">
        <v>15119295.34</v>
      </c>
      <c r="I157">
        <v>14631404.07</v>
      </c>
      <c r="J157">
        <v>12812085.689999999</v>
      </c>
      <c r="K157">
        <v>11160296.59</v>
      </c>
      <c r="L157">
        <v>9788826.3000000007</v>
      </c>
      <c r="M157">
        <v>8747065.2789999899</v>
      </c>
      <c r="N157">
        <v>7888991.8880000003</v>
      </c>
      <c r="O157">
        <v>7142971.5710000005</v>
      </c>
      <c r="P157">
        <v>6413970.7769999998</v>
      </c>
      <c r="Q157">
        <v>5655437.5350000001</v>
      </c>
      <c r="R157">
        <v>5017902.5810000002</v>
      </c>
      <c r="S157">
        <v>4375954.1100000003</v>
      </c>
      <c r="T157">
        <v>5146532.2939999998</v>
      </c>
      <c r="U157">
        <v>5853960.1150000002</v>
      </c>
      <c r="V157">
        <v>6563131.7019999996</v>
      </c>
      <c r="W157">
        <v>7957567.6859999998</v>
      </c>
      <c r="X157">
        <v>9259613.0649999995</v>
      </c>
      <c r="Y157">
        <v>9358219.8000000007</v>
      </c>
      <c r="Z157">
        <v>9500208.8670000006</v>
      </c>
      <c r="AA157">
        <v>9659300.7870000005</v>
      </c>
      <c r="AB157">
        <v>9862885.6260000002</v>
      </c>
      <c r="AC157">
        <v>10078832.619999999</v>
      </c>
      <c r="AD157">
        <v>10173619.83</v>
      </c>
      <c r="AE157">
        <v>10268287.460000001</v>
      </c>
      <c r="AF157">
        <v>10362915.27</v>
      </c>
      <c r="AG157">
        <v>10485865</v>
      </c>
      <c r="AH157">
        <v>10607426.039999999</v>
      </c>
      <c r="AI157">
        <v>10723158.630000001</v>
      </c>
      <c r="AJ157">
        <v>10841775.68</v>
      </c>
      <c r="AK157">
        <v>10964492.529999999</v>
      </c>
      <c r="AL157">
        <v>11116103.24</v>
      </c>
      <c r="AM157">
        <v>11268257.84</v>
      </c>
      <c r="AN157">
        <v>11335827.710000001</v>
      </c>
      <c r="AO157">
        <v>11402848.6</v>
      </c>
      <c r="AP157">
        <v>11466703.51</v>
      </c>
      <c r="AQ157">
        <v>11530787.300000001</v>
      </c>
      <c r="AR157">
        <v>11591880.130000001</v>
      </c>
      <c r="AS157">
        <v>11599133.9</v>
      </c>
      <c r="AT157">
        <v>11610517.630000001</v>
      </c>
      <c r="AU157">
        <v>11624810.800000001</v>
      </c>
      <c r="AV157">
        <v>11641515.539999999</v>
      </c>
      <c r="AW157">
        <v>11664980.939999999</v>
      </c>
    </row>
    <row r="158" spans="2:49" x14ac:dyDescent="0.25">
      <c r="B158" t="s">
        <v>487</v>
      </c>
      <c r="C158">
        <v>4315668.6239754204</v>
      </c>
      <c r="D158">
        <v>4384958.0796759203</v>
      </c>
      <c r="E158">
        <v>4455360</v>
      </c>
      <c r="F158">
        <v>4313273.7060000002</v>
      </c>
      <c r="G158">
        <v>4152618.2250000001</v>
      </c>
      <c r="H158">
        <v>3748394.8369999998</v>
      </c>
      <c r="I158">
        <v>3587154.1009999998</v>
      </c>
      <c r="J158">
        <v>3466166.591</v>
      </c>
      <c r="K158">
        <v>3310582.875</v>
      </c>
      <c r="L158">
        <v>3111602.5619999999</v>
      </c>
      <c r="M158">
        <v>2913992.7379999999</v>
      </c>
      <c r="N158">
        <v>2693856.2009999999</v>
      </c>
      <c r="O158">
        <v>2359694.2620000001</v>
      </c>
      <c r="P158">
        <v>2087315.6680000001</v>
      </c>
      <c r="Q158">
        <v>1840596.2109999999</v>
      </c>
      <c r="R158">
        <v>1541836.9040000001</v>
      </c>
      <c r="S158">
        <v>1234069.7250000001</v>
      </c>
      <c r="T158">
        <v>1538717.899</v>
      </c>
      <c r="U158">
        <v>1905269.6910000001</v>
      </c>
      <c r="V158">
        <v>2288070.7319999998</v>
      </c>
      <c r="W158">
        <v>2462228.298</v>
      </c>
      <c r="X158">
        <v>2614686.665</v>
      </c>
      <c r="Y158">
        <v>2622110.0890000002</v>
      </c>
      <c r="Z158">
        <v>2615468.0610000002</v>
      </c>
      <c r="AA158">
        <v>2608244.5359999998</v>
      </c>
      <c r="AB158">
        <v>2603509.7560000001</v>
      </c>
      <c r="AC158">
        <v>2599811.1549999998</v>
      </c>
      <c r="AD158">
        <v>2637500.1579999998</v>
      </c>
      <c r="AE158">
        <v>2679989.0010000002</v>
      </c>
      <c r="AF158">
        <v>2722863.0260000001</v>
      </c>
      <c r="AG158">
        <v>2767242.642</v>
      </c>
      <c r="AH158">
        <v>2812118.3339999998</v>
      </c>
      <c r="AI158">
        <v>2800874.497</v>
      </c>
      <c r="AJ158">
        <v>2784034.5469999998</v>
      </c>
      <c r="AK158">
        <v>2766557.6120000002</v>
      </c>
      <c r="AL158">
        <v>2747850.4530000002</v>
      </c>
      <c r="AM158">
        <v>2728617.9330000002</v>
      </c>
      <c r="AN158">
        <v>2763527.838</v>
      </c>
      <c r="AO158">
        <v>2803425.3220000002</v>
      </c>
      <c r="AP158">
        <v>2842716.6150000002</v>
      </c>
      <c r="AQ158">
        <v>2881438.531</v>
      </c>
      <c r="AR158">
        <v>2919029.196</v>
      </c>
      <c r="AS158">
        <v>2939025.9939999999</v>
      </c>
      <c r="AT158">
        <v>2956736.9920000001</v>
      </c>
      <c r="AU158">
        <v>2973768.4139999999</v>
      </c>
      <c r="AV158">
        <v>2990115.165</v>
      </c>
      <c r="AW158">
        <v>3007077.2110000001</v>
      </c>
    </row>
    <row r="159" spans="2:49" x14ac:dyDescent="0.25">
      <c r="B159" t="s">
        <v>488</v>
      </c>
      <c r="C159">
        <v>4315668.6239754204</v>
      </c>
      <c r="D159">
        <v>4384958.0796759203</v>
      </c>
      <c r="E159">
        <v>4455360</v>
      </c>
      <c r="F159">
        <v>4313273.7060000002</v>
      </c>
      <c r="G159">
        <v>4152618.2250000001</v>
      </c>
      <c r="H159">
        <v>3748394.8369999998</v>
      </c>
      <c r="I159">
        <v>3587154.1009999998</v>
      </c>
      <c r="J159">
        <v>3466166.591</v>
      </c>
      <c r="K159">
        <v>3310582.875</v>
      </c>
      <c r="L159">
        <v>3111602.5619999999</v>
      </c>
      <c r="M159">
        <v>2913992.7379999999</v>
      </c>
      <c r="N159">
        <v>2693856.2009999999</v>
      </c>
      <c r="O159">
        <v>2359694.2620000001</v>
      </c>
      <c r="P159">
        <v>2087315.6680000001</v>
      </c>
      <c r="Q159">
        <v>1840596.2109999999</v>
      </c>
      <c r="R159">
        <v>1541836.9040000001</v>
      </c>
      <c r="S159">
        <v>1234069.7250000001</v>
      </c>
      <c r="T159">
        <v>1538717.899</v>
      </c>
      <c r="U159">
        <v>1905269.6910000001</v>
      </c>
      <c r="V159">
        <v>2288070.7319999998</v>
      </c>
      <c r="W159">
        <v>2462228.298</v>
      </c>
      <c r="X159">
        <v>2614686.665</v>
      </c>
      <c r="Y159">
        <v>2622110.0890000002</v>
      </c>
      <c r="Z159">
        <v>2615468.0610000002</v>
      </c>
      <c r="AA159">
        <v>2608244.5359999998</v>
      </c>
      <c r="AB159">
        <v>2603509.7560000001</v>
      </c>
      <c r="AC159">
        <v>2599811.1549999998</v>
      </c>
      <c r="AD159">
        <v>2637500.1579999998</v>
      </c>
      <c r="AE159">
        <v>2679989.0010000002</v>
      </c>
      <c r="AF159">
        <v>2722863.0260000001</v>
      </c>
      <c r="AG159">
        <v>2767242.642</v>
      </c>
      <c r="AH159">
        <v>2812118.3339999998</v>
      </c>
      <c r="AI159">
        <v>2800874.497</v>
      </c>
      <c r="AJ159">
        <v>2784034.5469999998</v>
      </c>
      <c r="AK159">
        <v>2766557.6120000002</v>
      </c>
      <c r="AL159">
        <v>2747850.4530000002</v>
      </c>
      <c r="AM159">
        <v>2728617.9330000002</v>
      </c>
      <c r="AN159">
        <v>2763527.838</v>
      </c>
      <c r="AO159">
        <v>2803425.3220000002</v>
      </c>
      <c r="AP159">
        <v>2842716.6150000002</v>
      </c>
      <c r="AQ159">
        <v>2881438.531</v>
      </c>
      <c r="AR159">
        <v>2919029.196</v>
      </c>
      <c r="AS159">
        <v>2939025.9939999999</v>
      </c>
      <c r="AT159">
        <v>2956736.9920000001</v>
      </c>
      <c r="AU159">
        <v>2973768.4139999999</v>
      </c>
      <c r="AV159">
        <v>2990115.165</v>
      </c>
      <c r="AW159">
        <v>3007077.2110000001</v>
      </c>
    </row>
    <row r="160" spans="2:49" x14ac:dyDescent="0.25">
      <c r="B160" t="s">
        <v>489</v>
      </c>
      <c r="C160">
        <v>8232235.5397947598</v>
      </c>
      <c r="D160">
        <v>8364406.7441781899</v>
      </c>
      <c r="E160">
        <v>8498700</v>
      </c>
      <c r="F160">
        <v>8426247.3890000004</v>
      </c>
      <c r="G160">
        <v>8351841.4780000001</v>
      </c>
      <c r="H160">
        <v>7765257.2599999998</v>
      </c>
      <c r="I160">
        <v>7654431.6859999998</v>
      </c>
      <c r="J160">
        <v>7618092.4400000004</v>
      </c>
      <c r="K160">
        <v>7494046.0180000002</v>
      </c>
      <c r="L160">
        <v>7254273.943</v>
      </c>
      <c r="M160">
        <v>6996499.4529999997</v>
      </c>
      <c r="N160">
        <v>6660937.6890000002</v>
      </c>
      <c r="O160">
        <v>6982202.8710000003</v>
      </c>
      <c r="P160">
        <v>7565774.1109999996</v>
      </c>
      <c r="Q160">
        <v>8319074.4390000002</v>
      </c>
      <c r="R160">
        <v>8911089.0899999999</v>
      </c>
      <c r="S160">
        <v>9483245.2440000009</v>
      </c>
      <c r="T160">
        <v>8778951.9110000003</v>
      </c>
      <c r="U160">
        <v>7983647.7029999997</v>
      </c>
      <c r="V160">
        <v>7235878.2850000001</v>
      </c>
      <c r="W160">
        <v>5288382.9759999998</v>
      </c>
      <c r="X160">
        <v>2968794.6009999998</v>
      </c>
      <c r="Y160">
        <v>2762041.0580000002</v>
      </c>
      <c r="Z160">
        <v>2729094.5320000001</v>
      </c>
      <c r="AA160">
        <v>2714302.2659999998</v>
      </c>
      <c r="AB160">
        <v>2702870.4509999999</v>
      </c>
      <c r="AC160">
        <v>2692300.156</v>
      </c>
      <c r="AD160">
        <v>2680556.7450000001</v>
      </c>
      <c r="AE160">
        <v>2668839.304</v>
      </c>
      <c r="AF160">
        <v>2657092.7239999999</v>
      </c>
      <c r="AG160">
        <v>2644916.8480000002</v>
      </c>
      <c r="AH160">
        <v>2633151.8450000002</v>
      </c>
      <c r="AI160">
        <v>2636234.9980000001</v>
      </c>
      <c r="AJ160">
        <v>2639287.0550000002</v>
      </c>
      <c r="AK160">
        <v>2641908.1030000001</v>
      </c>
      <c r="AL160">
        <v>2643900.3160000001</v>
      </c>
      <c r="AM160">
        <v>2645114.4750000001</v>
      </c>
      <c r="AN160">
        <v>2641387.5630000001</v>
      </c>
      <c r="AO160">
        <v>2636749.7940000002</v>
      </c>
      <c r="AP160">
        <v>2630987.5639999998</v>
      </c>
      <c r="AQ160">
        <v>2624702.2289999998</v>
      </c>
      <c r="AR160">
        <v>2617465.1379999998</v>
      </c>
      <c r="AS160">
        <v>3469973.571</v>
      </c>
      <c r="AT160">
        <v>4419832.2139999997</v>
      </c>
      <c r="AU160">
        <v>5371239.3250000002</v>
      </c>
      <c r="AV160">
        <v>6309844.5650000004</v>
      </c>
      <c r="AW160">
        <v>7236384.7110000001</v>
      </c>
    </row>
    <row r="161" spans="2:49" x14ac:dyDescent="0.25">
      <c r="B161" t="s">
        <v>490</v>
      </c>
      <c r="C161">
        <v>20174774.421468802</v>
      </c>
      <c r="D161">
        <v>20498686.950521201</v>
      </c>
      <c r="E161">
        <v>20827800</v>
      </c>
      <c r="F161">
        <v>19731024.359999999</v>
      </c>
      <c r="G161">
        <v>18538576.16</v>
      </c>
      <c r="H161">
        <v>16326750.1</v>
      </c>
      <c r="I161">
        <v>15244156.4</v>
      </c>
      <c r="J161">
        <v>14371803.08</v>
      </c>
      <c r="K161">
        <v>13393202.220000001</v>
      </c>
      <c r="L161">
        <v>12282622.58</v>
      </c>
      <c r="M161">
        <v>11223552.91</v>
      </c>
      <c r="N161">
        <v>10124144.560000001</v>
      </c>
      <c r="O161">
        <v>8566901.0800000001</v>
      </c>
      <c r="P161">
        <v>7233433.4780000001</v>
      </c>
      <c r="Q161">
        <v>5969210.9450000003</v>
      </c>
      <c r="R161">
        <v>4514312.8360000001</v>
      </c>
      <c r="S161">
        <v>3020116.801</v>
      </c>
      <c r="T161">
        <v>2776468.6060000001</v>
      </c>
      <c r="U161">
        <v>2628057.5120000001</v>
      </c>
      <c r="V161">
        <v>2498127.872</v>
      </c>
      <c r="W161">
        <v>1721159.3149999999</v>
      </c>
      <c r="X161">
        <v>899901.13280000002</v>
      </c>
      <c r="Y161">
        <v>844386.40549999999</v>
      </c>
      <c r="Z161">
        <v>843480.66379999998</v>
      </c>
      <c r="AA161">
        <v>848352.83120000002</v>
      </c>
      <c r="AB161">
        <v>854571.91489999997</v>
      </c>
      <c r="AC161">
        <v>861136.88</v>
      </c>
      <c r="AD161">
        <v>866180.13529999997</v>
      </c>
      <c r="AE161">
        <v>871220.13069999998</v>
      </c>
      <c r="AF161">
        <v>876237.60560000001</v>
      </c>
      <c r="AG161">
        <v>881295.68240000005</v>
      </c>
      <c r="AH161">
        <v>886487.47939999995</v>
      </c>
      <c r="AI161">
        <v>891953.9963</v>
      </c>
      <c r="AJ161">
        <v>897422.20330000005</v>
      </c>
      <c r="AK161">
        <v>902743.33680000005</v>
      </c>
      <c r="AL161">
        <v>907941.76100000006</v>
      </c>
      <c r="AM161">
        <v>912874.43290000001</v>
      </c>
      <c r="AN161">
        <v>917286.8848</v>
      </c>
      <c r="AO161">
        <v>921404.98340000003</v>
      </c>
      <c r="AP161">
        <v>925150.26780000003</v>
      </c>
      <c r="AQ161">
        <v>928730.64159999997</v>
      </c>
      <c r="AR161">
        <v>931992.33680000005</v>
      </c>
      <c r="AS161">
        <v>935035.56460000004</v>
      </c>
      <c r="AT161">
        <v>937905.62280000001</v>
      </c>
      <c r="AU161">
        <v>940605.98730000004</v>
      </c>
      <c r="AV161">
        <v>943084.95530000003</v>
      </c>
      <c r="AW161">
        <v>945749.7513</v>
      </c>
    </row>
    <row r="162" spans="2:49" x14ac:dyDescent="0.25">
      <c r="B162" t="s">
        <v>491</v>
      </c>
      <c r="C162">
        <v>463787.91773491597</v>
      </c>
      <c r="D162">
        <v>471234.182770602</v>
      </c>
      <c r="E162">
        <v>478800</v>
      </c>
      <c r="F162">
        <v>476939.26890000002</v>
      </c>
      <c r="G162">
        <v>458746.83319999999</v>
      </c>
      <c r="H162">
        <v>434581.32209999999</v>
      </c>
      <c r="I162">
        <v>439173.40720000002</v>
      </c>
      <c r="J162">
        <v>454494.11170000001</v>
      </c>
      <c r="K162">
        <v>453080.23460000003</v>
      </c>
      <c r="L162">
        <v>461038.01520000002</v>
      </c>
      <c r="M162">
        <v>481256.92310000001</v>
      </c>
      <c r="N162">
        <v>512085.9301</v>
      </c>
      <c r="O162">
        <v>487639.63890000002</v>
      </c>
      <c r="P162">
        <v>451010.11709999997</v>
      </c>
      <c r="Q162">
        <v>394781.6067</v>
      </c>
      <c r="R162">
        <v>348399.59659999999</v>
      </c>
      <c r="S162">
        <v>308215.23060000001</v>
      </c>
      <c r="T162">
        <v>287135.19469999999</v>
      </c>
      <c r="U162">
        <v>265757.2133</v>
      </c>
      <c r="V162">
        <v>246105.16010000001</v>
      </c>
      <c r="W162">
        <v>258056.36809999999</v>
      </c>
      <c r="X162">
        <v>269447.44790000003</v>
      </c>
      <c r="Y162">
        <v>266290.34940000001</v>
      </c>
      <c r="Z162">
        <v>264543.42180000001</v>
      </c>
      <c r="AA162">
        <v>263467.1507</v>
      </c>
      <c r="AB162">
        <v>263085.60230000003</v>
      </c>
      <c r="AC162">
        <v>263251.86709999997</v>
      </c>
      <c r="AD162">
        <v>261520.44399999999</v>
      </c>
      <c r="AE162">
        <v>259925.57079999999</v>
      </c>
      <c r="AF162">
        <v>258276.3597</v>
      </c>
      <c r="AG162">
        <v>256757.56950000001</v>
      </c>
      <c r="AH162">
        <v>255431.7531</v>
      </c>
      <c r="AI162">
        <v>254035.28049999999</v>
      </c>
      <c r="AJ162">
        <v>252685.24679999999</v>
      </c>
      <c r="AK162">
        <v>251446.4933</v>
      </c>
      <c r="AL162">
        <v>250265.8069</v>
      </c>
      <c r="AM162">
        <v>249103.54089999999</v>
      </c>
      <c r="AN162">
        <v>247075.39920000001</v>
      </c>
      <c r="AO162">
        <v>245107.29449999999</v>
      </c>
      <c r="AP162">
        <v>243054.0815</v>
      </c>
      <c r="AQ162">
        <v>240979.47320000001</v>
      </c>
      <c r="AR162">
        <v>238816.3939</v>
      </c>
      <c r="AS162">
        <v>237190.6342</v>
      </c>
      <c r="AT162">
        <v>235555.01019999999</v>
      </c>
      <c r="AU162">
        <v>233881.2923</v>
      </c>
      <c r="AV162">
        <v>232171.2738</v>
      </c>
      <c r="AW162">
        <v>230517.96119999999</v>
      </c>
    </row>
    <row r="163" spans="2:49" x14ac:dyDescent="0.25">
      <c r="B163" t="s">
        <v>492</v>
      </c>
      <c r="C163">
        <v>748170.71461916296</v>
      </c>
      <c r="D163">
        <v>760182.83744504896</v>
      </c>
      <c r="E163">
        <v>772387.81880000001</v>
      </c>
      <c r="F163">
        <v>782704.95160000003</v>
      </c>
      <c r="G163">
        <v>743549.7402</v>
      </c>
      <c r="H163">
        <v>729338.40049999999</v>
      </c>
      <c r="I163">
        <v>756222.10349999997</v>
      </c>
      <c r="J163">
        <v>726896.78810000001</v>
      </c>
      <c r="K163">
        <v>695456.00509999995</v>
      </c>
      <c r="L163">
        <v>655483.89379999996</v>
      </c>
      <c r="M163">
        <v>672790.28740000003</v>
      </c>
      <c r="N163">
        <v>668387.47340000002</v>
      </c>
      <c r="O163">
        <v>667033.62950000004</v>
      </c>
      <c r="P163">
        <v>673106.84299999999</v>
      </c>
      <c r="Q163">
        <v>632472.53670000006</v>
      </c>
      <c r="R163">
        <v>615166.40579999995</v>
      </c>
      <c r="S163">
        <v>614443.26240000001</v>
      </c>
      <c r="T163">
        <v>598698.12</v>
      </c>
      <c r="U163">
        <v>582090.36780000001</v>
      </c>
      <c r="V163">
        <v>570450.06889999995</v>
      </c>
      <c r="W163">
        <v>606958.40500000003</v>
      </c>
      <c r="X163">
        <v>638827.08400000003</v>
      </c>
      <c r="Y163">
        <v>636714.22640000004</v>
      </c>
      <c r="Z163">
        <v>636134.70259999996</v>
      </c>
      <c r="AA163">
        <v>636784.75309999997</v>
      </c>
      <c r="AB163">
        <v>637800.82380000001</v>
      </c>
      <c r="AC163">
        <v>639434.68729999999</v>
      </c>
      <c r="AD163">
        <v>640998.53079999995</v>
      </c>
      <c r="AE163">
        <v>642976.30960000004</v>
      </c>
      <c r="AF163">
        <v>644634.06270000001</v>
      </c>
      <c r="AG163">
        <v>646772.96829999995</v>
      </c>
      <c r="AH163">
        <v>650027.57530000003</v>
      </c>
      <c r="AI163">
        <v>656217.80550000002</v>
      </c>
      <c r="AJ163">
        <v>663049.66669999994</v>
      </c>
      <c r="AK163">
        <v>670026.69510000001</v>
      </c>
      <c r="AL163">
        <v>677190.23450000002</v>
      </c>
      <c r="AM163">
        <v>684399.81660000002</v>
      </c>
      <c r="AN163">
        <v>691262.81900000002</v>
      </c>
      <c r="AO163">
        <v>698601.33100000001</v>
      </c>
      <c r="AP163">
        <v>705671.16209999996</v>
      </c>
      <c r="AQ163">
        <v>712642.04099999997</v>
      </c>
      <c r="AR163">
        <v>719387.27529999998</v>
      </c>
      <c r="AS163">
        <v>725993.35080000001</v>
      </c>
      <c r="AT163">
        <v>732592.59010000003</v>
      </c>
      <c r="AU163">
        <v>739194.29379999998</v>
      </c>
      <c r="AV163">
        <v>745709.91440000001</v>
      </c>
      <c r="AW163">
        <v>752269.1997</v>
      </c>
    </row>
    <row r="164" spans="2:49" x14ac:dyDescent="0.25">
      <c r="B164" s="247" t="s">
        <v>493</v>
      </c>
      <c r="C164">
        <v>5051155.6907064496</v>
      </c>
      <c r="D164">
        <v>5132253.62916335</v>
      </c>
      <c r="E164">
        <v>5214653.6210000003</v>
      </c>
      <c r="F164">
        <v>5246952.18</v>
      </c>
      <c r="G164">
        <v>4936407.7699999996</v>
      </c>
      <c r="H164">
        <v>4800717.1739999996</v>
      </c>
      <c r="I164">
        <v>4764082.8159999996</v>
      </c>
      <c r="J164">
        <v>4673012.517</v>
      </c>
      <c r="K164">
        <v>4367010.4359999998</v>
      </c>
      <c r="L164">
        <v>4171985.023</v>
      </c>
      <c r="M164">
        <v>4154290.588</v>
      </c>
      <c r="N164">
        <v>4101562.446</v>
      </c>
      <c r="O164">
        <v>4075472.321</v>
      </c>
      <c r="P164">
        <v>4074869.557</v>
      </c>
      <c r="Q164">
        <v>3891033.6430000002</v>
      </c>
      <c r="R164">
        <v>3756032.429</v>
      </c>
      <c r="S164">
        <v>3766119.7069999999</v>
      </c>
      <c r="T164">
        <v>3642492.4010000001</v>
      </c>
      <c r="U164">
        <v>3537348.9410000001</v>
      </c>
      <c r="V164">
        <v>3450623.9730000002</v>
      </c>
      <c r="W164">
        <v>3665539.909</v>
      </c>
      <c r="X164">
        <v>3851510.7259999998</v>
      </c>
      <c r="Y164">
        <v>3835505.969</v>
      </c>
      <c r="Z164">
        <v>3826278.574</v>
      </c>
      <c r="AA164">
        <v>3823103.5419999999</v>
      </c>
      <c r="AB164">
        <v>3822165.3739999998</v>
      </c>
      <c r="AC164">
        <v>3824560.4</v>
      </c>
      <c r="AD164">
        <v>3829916.3169999998</v>
      </c>
      <c r="AE164">
        <v>3838736.1779999998</v>
      </c>
      <c r="AF164">
        <v>3847132.5630000001</v>
      </c>
      <c r="AG164">
        <v>3857781.4890000001</v>
      </c>
      <c r="AH164">
        <v>3875062.7420000001</v>
      </c>
      <c r="AI164">
        <v>3910739.2749999999</v>
      </c>
      <c r="AJ164">
        <v>3949922.49</v>
      </c>
      <c r="AK164">
        <v>3990471.0120000001</v>
      </c>
      <c r="AL164">
        <v>4032281.0729999999</v>
      </c>
      <c r="AM164">
        <v>4074860.148</v>
      </c>
      <c r="AN164">
        <v>4114845.4</v>
      </c>
      <c r="AO164">
        <v>4157180.8969999999</v>
      </c>
      <c r="AP164">
        <v>4198441.6979999999</v>
      </c>
      <c r="AQ164">
        <v>4239096.1919999998</v>
      </c>
      <c r="AR164">
        <v>4278763.0350000001</v>
      </c>
      <c r="AS164">
        <v>4317361.3169999998</v>
      </c>
      <c r="AT164">
        <v>4356067.3820000002</v>
      </c>
      <c r="AU164">
        <v>4394739.0719999997</v>
      </c>
      <c r="AV164">
        <v>4432990.0159999998</v>
      </c>
      <c r="AW164">
        <v>4471015.2779999999</v>
      </c>
    </row>
    <row r="165" spans="2:49" x14ac:dyDescent="0.25">
      <c r="B165" s="247" t="s">
        <v>494</v>
      </c>
      <c r="C165">
        <v>738109.45702439197</v>
      </c>
      <c r="D165">
        <v>749960.04310518701</v>
      </c>
      <c r="E165">
        <v>762000.89419999998</v>
      </c>
      <c r="F165">
        <v>745309.4327</v>
      </c>
      <c r="G165">
        <v>693537.03390000004</v>
      </c>
      <c r="H165">
        <v>614182.44590000005</v>
      </c>
      <c r="I165">
        <v>655255.45519999997</v>
      </c>
      <c r="J165">
        <v>633227.95400000003</v>
      </c>
      <c r="K165">
        <v>590505.42440000002</v>
      </c>
      <c r="L165">
        <v>568281.72530000005</v>
      </c>
      <c r="M165">
        <v>572733.85919999995</v>
      </c>
      <c r="N165">
        <v>589192.15410000004</v>
      </c>
      <c r="O165">
        <v>574076.56590000005</v>
      </c>
      <c r="P165">
        <v>565857.93370000005</v>
      </c>
      <c r="Q165">
        <v>522389.5992</v>
      </c>
      <c r="R165">
        <v>500414.78909999999</v>
      </c>
      <c r="S165">
        <v>457367.09129999997</v>
      </c>
      <c r="T165">
        <v>471980.43660000002</v>
      </c>
      <c r="U165">
        <v>448712.23690000002</v>
      </c>
      <c r="V165">
        <v>437226.35590000002</v>
      </c>
      <c r="W165">
        <v>459753.04239999998</v>
      </c>
      <c r="X165">
        <v>477849.31109999999</v>
      </c>
      <c r="Y165">
        <v>469817.01439999999</v>
      </c>
      <c r="Z165">
        <v>466077.84659999999</v>
      </c>
      <c r="AA165">
        <v>463064.67879999999</v>
      </c>
      <c r="AB165">
        <v>460351.44929999998</v>
      </c>
      <c r="AC165">
        <v>458462.6176</v>
      </c>
      <c r="AD165">
        <v>454972.70939999999</v>
      </c>
      <c r="AE165">
        <v>453603.98499999999</v>
      </c>
      <c r="AF165">
        <v>452376.01669999998</v>
      </c>
      <c r="AG165">
        <v>451791.56510000001</v>
      </c>
      <c r="AH165">
        <v>452236.03340000001</v>
      </c>
      <c r="AI165">
        <v>455356.14769999997</v>
      </c>
      <c r="AJ165">
        <v>458801.56520000001</v>
      </c>
      <c r="AK165">
        <v>462517.99890000001</v>
      </c>
      <c r="AL165">
        <v>466420.42619999999</v>
      </c>
      <c r="AM165">
        <v>470363.09009999997</v>
      </c>
      <c r="AN165">
        <v>473858.42070000002</v>
      </c>
      <c r="AO165">
        <v>478256.2439</v>
      </c>
      <c r="AP165">
        <v>482288.62270000001</v>
      </c>
      <c r="AQ165">
        <v>486362.951</v>
      </c>
      <c r="AR165">
        <v>490174.8394</v>
      </c>
      <c r="AS165">
        <v>494111.77830000001</v>
      </c>
      <c r="AT165">
        <v>497927.31089999998</v>
      </c>
      <c r="AU165">
        <v>501832.40590000001</v>
      </c>
      <c r="AV165">
        <v>505716.95299999998</v>
      </c>
      <c r="AW165">
        <v>509749.99900000001</v>
      </c>
    </row>
    <row r="166" spans="2:49" x14ac:dyDescent="0.25">
      <c r="B166" s="247" t="s">
        <v>495</v>
      </c>
      <c r="C166">
        <v>1453742.3069470399</v>
      </c>
      <c r="D166">
        <v>1477082.6099113501</v>
      </c>
      <c r="E166">
        <v>1500797.649</v>
      </c>
      <c r="F166">
        <v>1490390.129</v>
      </c>
      <c r="G166">
        <v>1346009.76</v>
      </c>
      <c r="H166">
        <v>1138973.1229999999</v>
      </c>
      <c r="I166">
        <v>1151074.7109999999</v>
      </c>
      <c r="J166">
        <v>1245543.6529999999</v>
      </c>
      <c r="K166">
        <v>1107636.976</v>
      </c>
      <c r="L166">
        <v>1035533.705</v>
      </c>
      <c r="M166">
        <v>1037963.723</v>
      </c>
      <c r="N166">
        <v>1028020.6580000001</v>
      </c>
      <c r="O166">
        <v>1078844.845</v>
      </c>
      <c r="P166">
        <v>1119368.8489999999</v>
      </c>
      <c r="Q166">
        <v>1101260.398</v>
      </c>
      <c r="R166">
        <v>1078753.9669999999</v>
      </c>
      <c r="S166">
        <v>1063125.341</v>
      </c>
      <c r="T166">
        <v>1033116.9080000001</v>
      </c>
      <c r="U166">
        <v>983170.32270000002</v>
      </c>
      <c r="V166">
        <v>942995.10739999998</v>
      </c>
      <c r="W166">
        <v>1047961.579</v>
      </c>
      <c r="X166">
        <v>1150087.97</v>
      </c>
      <c r="Y166">
        <v>1229194.7109999999</v>
      </c>
      <c r="Z166">
        <v>1335133.1359999999</v>
      </c>
      <c r="AA166">
        <v>1461454.56</v>
      </c>
      <c r="AB166">
        <v>1608985.62</v>
      </c>
      <c r="AC166">
        <v>1781832.3019999999</v>
      </c>
      <c r="AD166">
        <v>1778820.2320000001</v>
      </c>
      <c r="AE166">
        <v>1779180.7180000001</v>
      </c>
      <c r="AF166">
        <v>1779910.388</v>
      </c>
      <c r="AG166">
        <v>1781664.675</v>
      </c>
      <c r="AH166">
        <v>1786183.415</v>
      </c>
      <c r="AI166">
        <v>1799301.2879999999</v>
      </c>
      <c r="AJ166">
        <v>1813233.871</v>
      </c>
      <c r="AK166">
        <v>1828189.581</v>
      </c>
      <c r="AL166">
        <v>1843644.996</v>
      </c>
      <c r="AM166">
        <v>1859298.2490000001</v>
      </c>
      <c r="AN166">
        <v>1856400.7560000001</v>
      </c>
      <c r="AO166">
        <v>1851115.62</v>
      </c>
      <c r="AP166">
        <v>1843146.6640000001</v>
      </c>
      <c r="AQ166">
        <v>1833447.1710000001</v>
      </c>
      <c r="AR166">
        <v>1821291.6950000001</v>
      </c>
      <c r="AS166">
        <v>1819883.0430000001</v>
      </c>
      <c r="AT166">
        <v>1819746.023</v>
      </c>
      <c r="AU166">
        <v>1819440.1939999999</v>
      </c>
      <c r="AV166">
        <v>1818578.1769999999</v>
      </c>
      <c r="AW166">
        <v>1817709.9580000001</v>
      </c>
    </row>
    <row r="167" spans="2:49" x14ac:dyDescent="0.25">
      <c r="B167" s="247" t="s">
        <v>496</v>
      </c>
      <c r="C167">
        <v>1819036.8432423901</v>
      </c>
      <c r="D167">
        <v>1848242.0681447799</v>
      </c>
      <c r="E167">
        <v>1877916.192</v>
      </c>
      <c r="F167">
        <v>1867963.966</v>
      </c>
      <c r="G167">
        <v>1701117.7169999999</v>
      </c>
      <c r="H167">
        <v>1420888.1340000001</v>
      </c>
      <c r="I167">
        <v>1466143.57</v>
      </c>
      <c r="J167">
        <v>1613385.38</v>
      </c>
      <c r="K167">
        <v>1436594.246</v>
      </c>
      <c r="L167">
        <v>1339877.8189999999</v>
      </c>
      <c r="M167">
        <v>1338153.2</v>
      </c>
      <c r="N167">
        <v>1307617.764</v>
      </c>
      <c r="O167">
        <v>1403991.926</v>
      </c>
      <c r="P167">
        <v>1504535.9879999999</v>
      </c>
      <c r="Q167">
        <v>1519215.311</v>
      </c>
      <c r="R167">
        <v>1519027.1429999999</v>
      </c>
      <c r="S167">
        <v>1526949.206</v>
      </c>
      <c r="T167">
        <v>1508220.2350000001</v>
      </c>
      <c r="U167">
        <v>1436846.183</v>
      </c>
      <c r="V167">
        <v>1398427.4680000001</v>
      </c>
      <c r="W167">
        <v>1449160.0090000001</v>
      </c>
      <c r="X167">
        <v>1479379.105</v>
      </c>
      <c r="Y167">
        <v>1431852.7309999999</v>
      </c>
      <c r="Z167">
        <v>1408820.7309999999</v>
      </c>
      <c r="AA167">
        <v>1393973.8130000001</v>
      </c>
      <c r="AB167">
        <v>1382605.6329999999</v>
      </c>
      <c r="AC167">
        <v>1375030.6229999999</v>
      </c>
      <c r="AD167">
        <v>1363341.176</v>
      </c>
      <c r="AE167">
        <v>1354721.3089999999</v>
      </c>
      <c r="AF167">
        <v>1346446.794</v>
      </c>
      <c r="AG167">
        <v>1339257.986</v>
      </c>
      <c r="AH167">
        <v>1335330.625</v>
      </c>
      <c r="AI167">
        <v>1336891.632</v>
      </c>
      <c r="AJ167">
        <v>1337722.334</v>
      </c>
      <c r="AK167">
        <v>1340777.575</v>
      </c>
      <c r="AL167">
        <v>1343833.4879999999</v>
      </c>
      <c r="AM167">
        <v>1346377.463</v>
      </c>
      <c r="AN167">
        <v>1337853.601</v>
      </c>
      <c r="AO167">
        <v>1329529.42</v>
      </c>
      <c r="AP167">
        <v>1319821.92</v>
      </c>
      <c r="AQ167">
        <v>1310585.9890000001</v>
      </c>
      <c r="AR167">
        <v>1298750.3559999999</v>
      </c>
      <c r="AS167">
        <v>1292554.9110000001</v>
      </c>
      <c r="AT167">
        <v>1286885.665</v>
      </c>
      <c r="AU167">
        <v>1280616.419</v>
      </c>
      <c r="AV167">
        <v>1274014.463</v>
      </c>
      <c r="AW167">
        <v>1271766.166</v>
      </c>
    </row>
    <row r="168" spans="2:49" x14ac:dyDescent="0.25">
      <c r="B168" s="247" t="s">
        <v>497</v>
      </c>
      <c r="C168">
        <v>2313078.33193391</v>
      </c>
      <c r="D168">
        <v>2350215.5527395001</v>
      </c>
      <c r="E168">
        <v>2387949.0240000002</v>
      </c>
      <c r="F168">
        <v>2352926.236</v>
      </c>
      <c r="G168">
        <v>2171640.9130000002</v>
      </c>
      <c r="H168">
        <v>1905633.8259999999</v>
      </c>
      <c r="I168">
        <v>1984160.537</v>
      </c>
      <c r="J168">
        <v>1855332.1070000001</v>
      </c>
      <c r="K168">
        <v>1673518.405</v>
      </c>
      <c r="L168">
        <v>1610634.4439999999</v>
      </c>
      <c r="M168">
        <v>1571249.9669999999</v>
      </c>
      <c r="N168">
        <v>1584192.5930000001</v>
      </c>
      <c r="O168">
        <v>1641471.92</v>
      </c>
      <c r="P168">
        <v>1680012.487</v>
      </c>
      <c r="Q168">
        <v>1665452.2620000001</v>
      </c>
      <c r="R168">
        <v>1628466.443</v>
      </c>
      <c r="S168">
        <v>1638561.933</v>
      </c>
      <c r="T168">
        <v>1600948.4739999999</v>
      </c>
      <c r="U168">
        <v>1526803.267</v>
      </c>
      <c r="V168">
        <v>1465840.388</v>
      </c>
      <c r="W168">
        <v>1615374.4739999999</v>
      </c>
      <c r="X168">
        <v>1754944.825</v>
      </c>
      <c r="Y168">
        <v>1838015.7960000001</v>
      </c>
      <c r="Z168">
        <v>1953980.406</v>
      </c>
      <c r="AA168">
        <v>2092722.453</v>
      </c>
      <c r="AB168">
        <v>2256787.9160000002</v>
      </c>
      <c r="AC168">
        <v>2453879.4040000001</v>
      </c>
      <c r="AD168">
        <v>2433673.3190000001</v>
      </c>
      <c r="AE168">
        <v>2418789.2779999999</v>
      </c>
      <c r="AF168">
        <v>2404700.6359999999</v>
      </c>
      <c r="AG168">
        <v>2392212.3820000002</v>
      </c>
      <c r="AH168">
        <v>2383276.6039999998</v>
      </c>
      <c r="AI168">
        <v>2386708.7429999998</v>
      </c>
      <c r="AJ168">
        <v>2390919.233</v>
      </c>
      <c r="AK168">
        <v>2396835.1060000001</v>
      </c>
      <c r="AL168">
        <v>2403396.9210000001</v>
      </c>
      <c r="AM168">
        <v>2410245.8960000002</v>
      </c>
      <c r="AN168">
        <v>2398348.2740000002</v>
      </c>
      <c r="AO168">
        <v>2385452.898</v>
      </c>
      <c r="AP168">
        <v>2370070.713</v>
      </c>
      <c r="AQ168">
        <v>2353205.7489999998</v>
      </c>
      <c r="AR168">
        <v>2333751.3840000001</v>
      </c>
      <c r="AS168">
        <v>2324969.1529999999</v>
      </c>
      <c r="AT168">
        <v>2317246.7140000002</v>
      </c>
      <c r="AU168">
        <v>2309415.2940000002</v>
      </c>
      <c r="AV168">
        <v>2301146.31</v>
      </c>
      <c r="AW168">
        <v>2292904.014</v>
      </c>
    </row>
    <row r="169" spans="2:49" x14ac:dyDescent="0.25">
      <c r="B169" s="247" t="s">
        <v>498</v>
      </c>
      <c r="C169">
        <v>4643279.3828946501</v>
      </c>
      <c r="D169">
        <v>4717828.7352982899</v>
      </c>
      <c r="E169">
        <v>4793575.0020000003</v>
      </c>
      <c r="F169">
        <v>4721104.7300000004</v>
      </c>
      <c r="G169">
        <v>4594274.1469999999</v>
      </c>
      <c r="H169">
        <v>4195210.9349999996</v>
      </c>
      <c r="I169">
        <v>4224712.8449999997</v>
      </c>
      <c r="J169">
        <v>4140716.6159999999</v>
      </c>
      <c r="K169">
        <v>3885364.0389999999</v>
      </c>
      <c r="L169">
        <v>3765173.2990000001</v>
      </c>
      <c r="M169">
        <v>3704223.361</v>
      </c>
      <c r="N169">
        <v>3774545.0970000001</v>
      </c>
      <c r="O169">
        <v>3904926.9180000001</v>
      </c>
      <c r="P169">
        <v>3981344.54</v>
      </c>
      <c r="Q169">
        <v>3922313.648</v>
      </c>
      <c r="R169">
        <v>3925811.6910000001</v>
      </c>
      <c r="S169">
        <v>3879243.5</v>
      </c>
      <c r="T169">
        <v>3793640.9539999999</v>
      </c>
      <c r="U169">
        <v>3603756.6540000001</v>
      </c>
      <c r="V169">
        <v>3453906.0219999999</v>
      </c>
      <c r="W169">
        <v>3612310.656</v>
      </c>
      <c r="X169">
        <v>3723890.3220000002</v>
      </c>
      <c r="Y169">
        <v>3699241.3220000002</v>
      </c>
      <c r="Z169">
        <v>3729989.99</v>
      </c>
      <c r="AA169">
        <v>3782801.648</v>
      </c>
      <c r="AB169">
        <v>3852635.9739999999</v>
      </c>
      <c r="AC169">
        <v>3944402.1630000002</v>
      </c>
      <c r="AD169">
        <v>3949353.577</v>
      </c>
      <c r="AE169">
        <v>3963319.301</v>
      </c>
      <c r="AF169">
        <v>3978268.6269999999</v>
      </c>
      <c r="AG169">
        <v>3995304.2009999999</v>
      </c>
      <c r="AH169">
        <v>4017790.1970000002</v>
      </c>
      <c r="AI169">
        <v>4062370.4479999999</v>
      </c>
      <c r="AJ169">
        <v>4108586.3990000002</v>
      </c>
      <c r="AK169">
        <v>4158064.4709999999</v>
      </c>
      <c r="AL169">
        <v>4208926.4780000001</v>
      </c>
      <c r="AM169">
        <v>4260426.5310000004</v>
      </c>
      <c r="AN169">
        <v>4274644.7810000004</v>
      </c>
      <c r="AO169">
        <v>4285596.62</v>
      </c>
      <c r="AP169">
        <v>4291595.818</v>
      </c>
      <c r="AQ169">
        <v>4295027.0429999996</v>
      </c>
      <c r="AR169">
        <v>4293594.568</v>
      </c>
      <c r="AS169">
        <v>4314150.95</v>
      </c>
      <c r="AT169">
        <v>4336766.2249999996</v>
      </c>
      <c r="AU169">
        <v>4359129.4819999998</v>
      </c>
      <c r="AV169">
        <v>4380496.8650000002</v>
      </c>
      <c r="AW169">
        <v>4401297.5290000001</v>
      </c>
    </row>
    <row r="170" spans="2:49" x14ac:dyDescent="0.25">
      <c r="B170" s="247" t="s">
        <v>499</v>
      </c>
      <c r="C170">
        <v>3833938.33697946</v>
      </c>
      <c r="D170">
        <v>3895493.45710216</v>
      </c>
      <c r="E170">
        <v>3971701.1690000002</v>
      </c>
      <c r="F170">
        <v>3915101.2650000001</v>
      </c>
      <c r="G170">
        <v>3855571.2069999999</v>
      </c>
      <c r="H170">
        <v>3485016.179</v>
      </c>
      <c r="I170">
        <v>3575197.0839999998</v>
      </c>
      <c r="J170">
        <v>3583380.5040000002</v>
      </c>
      <c r="K170">
        <v>3458943.2489999998</v>
      </c>
      <c r="L170">
        <v>3378990.9739999999</v>
      </c>
      <c r="M170">
        <v>3319600.628</v>
      </c>
      <c r="N170">
        <v>3319425.0759999999</v>
      </c>
      <c r="O170">
        <v>3424717.7110000001</v>
      </c>
      <c r="P170">
        <v>3587592.7969999998</v>
      </c>
      <c r="Q170">
        <v>3670891.412</v>
      </c>
      <c r="R170">
        <v>3802655.2179999999</v>
      </c>
      <c r="S170">
        <v>3861897.0589999999</v>
      </c>
      <c r="T170">
        <v>3726516.2579999999</v>
      </c>
      <c r="U170">
        <v>3588775.9739999999</v>
      </c>
      <c r="V170">
        <v>3472672.713</v>
      </c>
      <c r="W170">
        <v>3693019.122</v>
      </c>
      <c r="X170">
        <v>3891987.7659999998</v>
      </c>
      <c r="Y170">
        <v>3886915.9210000001</v>
      </c>
      <c r="Z170">
        <v>3894110.9709999999</v>
      </c>
      <c r="AA170">
        <v>3918943.0619999999</v>
      </c>
      <c r="AB170">
        <v>3951414.2949999999</v>
      </c>
      <c r="AC170">
        <v>3995140.923</v>
      </c>
      <c r="AD170">
        <v>3983155.4539999999</v>
      </c>
      <c r="AE170">
        <v>3975944.0449999999</v>
      </c>
      <c r="AF170">
        <v>3969636.17</v>
      </c>
      <c r="AG170">
        <v>3965857.656</v>
      </c>
      <c r="AH170">
        <v>3966523.2209999999</v>
      </c>
      <c r="AI170">
        <v>3991792.0780000002</v>
      </c>
      <c r="AJ170">
        <v>4020676.827</v>
      </c>
      <c r="AK170">
        <v>4051528.9959999998</v>
      </c>
      <c r="AL170">
        <v>4083414.321</v>
      </c>
      <c r="AM170">
        <v>4115723.639</v>
      </c>
      <c r="AN170">
        <v>4143835.648</v>
      </c>
      <c r="AO170">
        <v>4174910.125</v>
      </c>
      <c r="AP170">
        <v>4205079.767</v>
      </c>
      <c r="AQ170">
        <v>4235510.1359999999</v>
      </c>
      <c r="AR170">
        <v>4266465.2319999998</v>
      </c>
      <c r="AS170">
        <v>4299154.6169999996</v>
      </c>
      <c r="AT170">
        <v>4331525.0039999997</v>
      </c>
      <c r="AU170">
        <v>4363883.43</v>
      </c>
      <c r="AV170">
        <v>4395902.5279999999</v>
      </c>
      <c r="AW170">
        <v>4427571.585</v>
      </c>
    </row>
    <row r="171" spans="2:49" x14ac:dyDescent="0.25">
      <c r="B171" s="247" t="s">
        <v>500</v>
      </c>
      <c r="C171">
        <v>271678.64339116903</v>
      </c>
      <c r="D171">
        <v>276040.53188776103</v>
      </c>
      <c r="E171">
        <v>280472.45189999999</v>
      </c>
      <c r="F171">
        <v>284768.73849999998</v>
      </c>
      <c r="G171">
        <v>264980.06329999998</v>
      </c>
      <c r="H171">
        <v>226554.7928</v>
      </c>
      <c r="I171">
        <v>232264.78109999999</v>
      </c>
      <c r="J171">
        <v>229578.51809999999</v>
      </c>
      <c r="K171">
        <v>207029.3904</v>
      </c>
      <c r="L171">
        <v>190481.40909999999</v>
      </c>
      <c r="M171">
        <v>185324.04689999999</v>
      </c>
      <c r="N171">
        <v>194335.921</v>
      </c>
      <c r="O171">
        <v>194817.32860000001</v>
      </c>
      <c r="P171">
        <v>195423.1116</v>
      </c>
      <c r="Q171">
        <v>185827.70389999999</v>
      </c>
      <c r="R171">
        <v>175536.1617</v>
      </c>
      <c r="S171">
        <v>170952.22630000001</v>
      </c>
      <c r="T171">
        <v>167147.14910000001</v>
      </c>
      <c r="U171">
        <v>158432.17110000001</v>
      </c>
      <c r="V171">
        <v>152123.30069999999</v>
      </c>
      <c r="W171">
        <v>158791.7948</v>
      </c>
      <c r="X171">
        <v>163492.49789999999</v>
      </c>
      <c r="Y171">
        <v>162322.95559999999</v>
      </c>
      <c r="Z171">
        <v>163640.8775</v>
      </c>
      <c r="AA171">
        <v>165969.4999</v>
      </c>
      <c r="AB171">
        <v>169047.20009999999</v>
      </c>
      <c r="AC171">
        <v>173015.81289999999</v>
      </c>
      <c r="AD171">
        <v>172512.15179999999</v>
      </c>
      <c r="AE171">
        <v>172425.3272</v>
      </c>
      <c r="AF171">
        <v>172347.32440000001</v>
      </c>
      <c r="AG171">
        <v>172399.41579999999</v>
      </c>
      <c r="AH171">
        <v>172744.46030000001</v>
      </c>
      <c r="AI171">
        <v>173955.4921</v>
      </c>
      <c r="AJ171">
        <v>175217.7402</v>
      </c>
      <c r="AK171">
        <v>176590.7691</v>
      </c>
      <c r="AL171">
        <v>177996.18900000001</v>
      </c>
      <c r="AM171">
        <v>179395.09890000001</v>
      </c>
      <c r="AN171">
        <v>179277.90349999999</v>
      </c>
      <c r="AO171">
        <v>179064.23629999999</v>
      </c>
      <c r="AP171">
        <v>178616.35810000001</v>
      </c>
      <c r="AQ171">
        <v>178093.9135</v>
      </c>
      <c r="AR171">
        <v>177347.36730000001</v>
      </c>
      <c r="AS171">
        <v>177416.02</v>
      </c>
      <c r="AT171">
        <v>177572.0128</v>
      </c>
      <c r="AU171">
        <v>177715.82399999999</v>
      </c>
      <c r="AV171">
        <v>177814.79740000001</v>
      </c>
      <c r="AW171">
        <v>177968.0147</v>
      </c>
    </row>
    <row r="172" spans="2:49" x14ac:dyDescent="0.25">
      <c r="B172" s="247" t="s">
        <v>501</v>
      </c>
      <c r="C172">
        <v>2033071.8879050901</v>
      </c>
      <c r="D172">
        <v>2065713.51468114</v>
      </c>
      <c r="E172">
        <v>2098879.213</v>
      </c>
      <c r="F172">
        <v>2053488.6410000001</v>
      </c>
      <c r="G172">
        <v>1812960.31</v>
      </c>
      <c r="H172">
        <v>1456875.027</v>
      </c>
      <c r="I172">
        <v>1525415.078</v>
      </c>
      <c r="J172">
        <v>1489412.59</v>
      </c>
      <c r="K172">
        <v>1347403.1629999999</v>
      </c>
      <c r="L172">
        <v>1313148.372</v>
      </c>
      <c r="M172">
        <v>1305223.902</v>
      </c>
      <c r="N172">
        <v>1317279.892</v>
      </c>
      <c r="O172">
        <v>1291224.7439999999</v>
      </c>
      <c r="P172">
        <v>1334484.395</v>
      </c>
      <c r="Q172">
        <v>1297790.7180000001</v>
      </c>
      <c r="R172">
        <v>1237368.0660000001</v>
      </c>
      <c r="S172">
        <v>1213891.77</v>
      </c>
      <c r="T172">
        <v>1190152.929</v>
      </c>
      <c r="U172">
        <v>1118135.5449999999</v>
      </c>
      <c r="V172">
        <v>1061701.885</v>
      </c>
      <c r="W172">
        <v>1091074.5419999999</v>
      </c>
      <c r="X172">
        <v>1101747.172</v>
      </c>
      <c r="Y172">
        <v>1079687.7930000001</v>
      </c>
      <c r="Z172">
        <v>1074713.264</v>
      </c>
      <c r="AA172">
        <v>1072910.8219999999</v>
      </c>
      <c r="AB172">
        <v>1072228.1669999999</v>
      </c>
      <c r="AC172">
        <v>1072957.6880000001</v>
      </c>
      <c r="AD172">
        <v>1059638.3470000001</v>
      </c>
      <c r="AE172">
        <v>1049189.1140000001</v>
      </c>
      <c r="AF172">
        <v>1039229.93</v>
      </c>
      <c r="AG172">
        <v>1030000.757</v>
      </c>
      <c r="AH172">
        <v>1022435.813</v>
      </c>
      <c r="AI172">
        <v>1020439.67</v>
      </c>
      <c r="AJ172">
        <v>1018647.41</v>
      </c>
      <c r="AK172">
        <v>1017862.827</v>
      </c>
      <c r="AL172">
        <v>1017373.023</v>
      </c>
      <c r="AM172">
        <v>1016977.388</v>
      </c>
      <c r="AN172">
        <v>1003323.371</v>
      </c>
      <c r="AO172">
        <v>988463.52630000003</v>
      </c>
      <c r="AP172">
        <v>972344.20050000004</v>
      </c>
      <c r="AQ172">
        <v>955817.50179999997</v>
      </c>
      <c r="AR172">
        <v>938120.14450000005</v>
      </c>
      <c r="AS172">
        <v>927984.66729999997</v>
      </c>
      <c r="AT172">
        <v>918823.62100000004</v>
      </c>
      <c r="AU172">
        <v>909734.03610000003</v>
      </c>
      <c r="AV172">
        <v>900547.19429999997</v>
      </c>
      <c r="AW172">
        <v>891717.80420000001</v>
      </c>
    </row>
    <row r="173" spans="2:49" x14ac:dyDescent="0.25">
      <c r="B173" s="247" t="s">
        <v>502</v>
      </c>
      <c r="C173">
        <v>611949.61832884501</v>
      </c>
      <c r="D173">
        <v>621774.66739182698</v>
      </c>
      <c r="E173">
        <v>631757.4608</v>
      </c>
      <c r="F173">
        <v>620001.66440000001</v>
      </c>
      <c r="G173">
        <v>558119.06279999996</v>
      </c>
      <c r="H173">
        <v>469065.87079999998</v>
      </c>
      <c r="I173">
        <v>503589.96110000001</v>
      </c>
      <c r="J173">
        <v>487694.12280000001</v>
      </c>
      <c r="K173">
        <v>440256.49040000001</v>
      </c>
      <c r="L173">
        <v>418283.989</v>
      </c>
      <c r="M173">
        <v>417216.86099999998</v>
      </c>
      <c r="N173">
        <v>418266.99599999998</v>
      </c>
      <c r="O173">
        <v>387389.78129999997</v>
      </c>
      <c r="P173">
        <v>374329.95260000002</v>
      </c>
      <c r="Q173">
        <v>333017.3725</v>
      </c>
      <c r="R173">
        <v>306797.23759999999</v>
      </c>
      <c r="S173">
        <v>295617.19079999998</v>
      </c>
      <c r="T173">
        <v>298174.29989999998</v>
      </c>
      <c r="U173">
        <v>286751.38569999998</v>
      </c>
      <c r="V173">
        <v>281556.0969</v>
      </c>
      <c r="W173">
        <v>306964.68050000002</v>
      </c>
      <c r="X173">
        <v>331577.40360000002</v>
      </c>
      <c r="Y173">
        <v>338217.80320000002</v>
      </c>
      <c r="Z173">
        <v>351064.23920000001</v>
      </c>
      <c r="AA173">
        <v>366583.12920000002</v>
      </c>
      <c r="AB173">
        <v>384673.31339999998</v>
      </c>
      <c r="AC173">
        <v>406098.80060000002</v>
      </c>
      <c r="AD173">
        <v>404819.40090000001</v>
      </c>
      <c r="AE173">
        <v>404854.0258</v>
      </c>
      <c r="AF173">
        <v>404945.3848</v>
      </c>
      <c r="AG173">
        <v>405435.00790000003</v>
      </c>
      <c r="AH173">
        <v>406619.01819999999</v>
      </c>
      <c r="AI173">
        <v>410158.40029999998</v>
      </c>
      <c r="AJ173">
        <v>413736.53980000003</v>
      </c>
      <c r="AK173">
        <v>417582.54810000001</v>
      </c>
      <c r="AL173">
        <v>421481.71789999999</v>
      </c>
      <c r="AM173">
        <v>425310.47320000001</v>
      </c>
      <c r="AN173">
        <v>428272.05650000001</v>
      </c>
      <c r="AO173">
        <v>432049.81339999998</v>
      </c>
      <c r="AP173">
        <v>435594.83539999998</v>
      </c>
      <c r="AQ173">
        <v>439251.56449999998</v>
      </c>
      <c r="AR173">
        <v>442575.45890000003</v>
      </c>
      <c r="AS173">
        <v>446069.6237</v>
      </c>
      <c r="AT173">
        <v>449303.26870000002</v>
      </c>
      <c r="AU173">
        <v>452474.1972</v>
      </c>
      <c r="AV173">
        <v>455570.71169999999</v>
      </c>
      <c r="AW173">
        <v>458773.7501</v>
      </c>
    </row>
    <row r="174" spans="2:49" x14ac:dyDescent="0.25">
      <c r="B174" s="247" t="s">
        <v>503</v>
      </c>
      <c r="C174">
        <v>8749188.7351059392</v>
      </c>
      <c r="D174">
        <v>8889659.7902533505</v>
      </c>
      <c r="E174">
        <v>9032386.1539999899</v>
      </c>
      <c r="F174">
        <v>9097608.534</v>
      </c>
      <c r="G174">
        <v>8689063.5419999994</v>
      </c>
      <c r="H174">
        <v>7697753.7120000003</v>
      </c>
      <c r="I174">
        <v>7797515.4210000001</v>
      </c>
      <c r="J174">
        <v>7708788.2369999997</v>
      </c>
      <c r="K174">
        <v>7221855.6900000004</v>
      </c>
      <c r="L174">
        <v>6833511.9780000001</v>
      </c>
      <c r="M174">
        <v>6660106.3550000004</v>
      </c>
      <c r="N174">
        <v>6565794.6529999999</v>
      </c>
      <c r="O174">
        <v>6797935.9939999999</v>
      </c>
      <c r="P174">
        <v>7004828.432</v>
      </c>
      <c r="Q174">
        <v>6832965.4129999997</v>
      </c>
      <c r="R174">
        <v>6923807.4730000002</v>
      </c>
      <c r="S174">
        <v>7026717.4170000004</v>
      </c>
      <c r="T174">
        <v>7041456.7869999995</v>
      </c>
      <c r="U174">
        <v>6807309.7699999996</v>
      </c>
      <c r="V174">
        <v>6661373.4019999998</v>
      </c>
      <c r="W174">
        <v>7053855.9740000004</v>
      </c>
      <c r="X174">
        <v>7388040.9220000003</v>
      </c>
      <c r="Y174">
        <v>7297254.4960000003</v>
      </c>
      <c r="Z174">
        <v>7280253.9019999998</v>
      </c>
      <c r="AA174">
        <v>7276671.0619999999</v>
      </c>
      <c r="AB174">
        <v>7279581.2309999997</v>
      </c>
      <c r="AC174">
        <v>7292346.8119999999</v>
      </c>
      <c r="AD174">
        <v>7270331.9570000004</v>
      </c>
      <c r="AE174">
        <v>7266025.6969999997</v>
      </c>
      <c r="AF174">
        <v>7261928.3360000001</v>
      </c>
      <c r="AG174">
        <v>7263771.2539999997</v>
      </c>
      <c r="AH174">
        <v>7276209.1979999999</v>
      </c>
      <c r="AI174">
        <v>7328723.5930000003</v>
      </c>
      <c r="AJ174">
        <v>7382570.2960000001</v>
      </c>
      <c r="AK174">
        <v>7440630.8109999998</v>
      </c>
      <c r="AL174">
        <v>7500271.7209999999</v>
      </c>
      <c r="AM174">
        <v>7559836.4979999997</v>
      </c>
      <c r="AN174">
        <v>7605966.5080000004</v>
      </c>
      <c r="AO174">
        <v>7666649.6540000001</v>
      </c>
      <c r="AP174">
        <v>7724425.1399999997</v>
      </c>
      <c r="AQ174">
        <v>7782248.1469999999</v>
      </c>
      <c r="AR174">
        <v>7836076.7539999997</v>
      </c>
      <c r="AS174">
        <v>7892060.6610000003</v>
      </c>
      <c r="AT174">
        <v>7943984.7999999998</v>
      </c>
      <c r="AU174">
        <v>7995371.6670000004</v>
      </c>
      <c r="AV174">
        <v>8045762.7149999999</v>
      </c>
      <c r="AW174">
        <v>8097911.4009999996</v>
      </c>
    </row>
    <row r="175" spans="2:49" x14ac:dyDescent="0.25">
      <c r="B175" s="247" t="s">
        <v>504</v>
      </c>
      <c r="C175">
        <v>583434.83019375498</v>
      </c>
      <c r="D175">
        <v>592802.06510985899</v>
      </c>
      <c r="E175">
        <v>602319.69400000002</v>
      </c>
      <c r="F175">
        <v>629481.41429999995</v>
      </c>
      <c r="G175">
        <v>616169.17139999999</v>
      </c>
      <c r="H175">
        <v>535439.74879999994</v>
      </c>
      <c r="I175">
        <v>534227.74910000002</v>
      </c>
      <c r="J175">
        <v>544712.90700000001</v>
      </c>
      <c r="K175">
        <v>520822.46049999999</v>
      </c>
      <c r="L175">
        <v>505290.96840000001</v>
      </c>
      <c r="M175">
        <v>470067.47779999999</v>
      </c>
      <c r="N175">
        <v>429814.12060000002</v>
      </c>
      <c r="O175">
        <v>414975.22350000002</v>
      </c>
      <c r="P175">
        <v>414626.88669999997</v>
      </c>
      <c r="Q175">
        <v>399382.35580000002</v>
      </c>
      <c r="R175">
        <v>399862.44199999998</v>
      </c>
      <c r="S175">
        <v>398555.98440000002</v>
      </c>
      <c r="T175">
        <v>402321.54180000001</v>
      </c>
      <c r="U175">
        <v>390292.28590000002</v>
      </c>
      <c r="V175">
        <v>389268.49819999997</v>
      </c>
      <c r="W175">
        <v>410336.53950000001</v>
      </c>
      <c r="X175">
        <v>428764.7782</v>
      </c>
      <c r="Y175">
        <v>416148.77289999998</v>
      </c>
      <c r="Z175">
        <v>409706.49070000002</v>
      </c>
      <c r="AA175">
        <v>405409.94</v>
      </c>
      <c r="AB175">
        <v>401750.53580000001</v>
      </c>
      <c r="AC175">
        <v>398741.69819999998</v>
      </c>
      <c r="AD175">
        <v>396616.08549999999</v>
      </c>
      <c r="AE175">
        <v>395279.8799</v>
      </c>
      <c r="AF175">
        <v>393948.38390000002</v>
      </c>
      <c r="AG175">
        <v>392960.14380000002</v>
      </c>
      <c r="AH175">
        <v>393023.41830000002</v>
      </c>
      <c r="AI175">
        <v>394500.43819999998</v>
      </c>
      <c r="AJ175">
        <v>395600.734</v>
      </c>
      <c r="AK175">
        <v>397534.02309999999</v>
      </c>
      <c r="AL175">
        <v>399425.8272</v>
      </c>
      <c r="AM175">
        <v>401061.00020000001</v>
      </c>
      <c r="AN175">
        <v>400974.11129999999</v>
      </c>
      <c r="AO175">
        <v>401707.23359999998</v>
      </c>
      <c r="AP175">
        <v>402311.41720000003</v>
      </c>
      <c r="AQ175">
        <v>403499.45870000002</v>
      </c>
      <c r="AR175">
        <v>404001.91450000001</v>
      </c>
      <c r="AS175">
        <v>404849.23259999999</v>
      </c>
      <c r="AT175">
        <v>405694.01059999998</v>
      </c>
      <c r="AU175">
        <v>406299.55359999998</v>
      </c>
      <c r="AV175">
        <v>406820.09869999997</v>
      </c>
      <c r="AW175">
        <v>410435.01240000001</v>
      </c>
    </row>
    <row r="176" spans="2:49" x14ac:dyDescent="0.25">
      <c r="B176" s="247" t="s">
        <v>505</v>
      </c>
      <c r="C176">
        <v>40605.282443966003</v>
      </c>
      <c r="D176">
        <v>41257.2133877546</v>
      </c>
      <c r="E176">
        <v>41919.611290000001</v>
      </c>
      <c r="F176">
        <v>42110.989759999997</v>
      </c>
      <c r="G176">
        <v>39498.532679999997</v>
      </c>
      <c r="H176">
        <v>36278.296770000001</v>
      </c>
      <c r="I176">
        <v>37069.5864</v>
      </c>
      <c r="J176">
        <v>36177.55229</v>
      </c>
      <c r="K176">
        <v>33953.788489999999</v>
      </c>
      <c r="L176">
        <v>33255.43621</v>
      </c>
      <c r="M176">
        <v>33329.54737</v>
      </c>
      <c r="N176">
        <v>33841.134400000003</v>
      </c>
      <c r="O176">
        <v>35981.691749999998</v>
      </c>
      <c r="P176">
        <v>38145.156819999997</v>
      </c>
      <c r="Q176">
        <v>37248.789989999997</v>
      </c>
      <c r="R176">
        <v>37471.354379999997</v>
      </c>
      <c r="S176">
        <v>36969.535060000002</v>
      </c>
      <c r="T176">
        <v>35480.571680000001</v>
      </c>
      <c r="U176">
        <v>34102.986440000001</v>
      </c>
      <c r="V176">
        <v>32956.569909999998</v>
      </c>
      <c r="W176">
        <v>34771.852910000001</v>
      </c>
      <c r="X176">
        <v>36308.738810000003</v>
      </c>
      <c r="Y176">
        <v>36104.219319999997</v>
      </c>
      <c r="Z176">
        <v>35863.17452</v>
      </c>
      <c r="AA176">
        <v>35664.935160000001</v>
      </c>
      <c r="AB176">
        <v>35465.968280000001</v>
      </c>
      <c r="AC176">
        <v>35286.383459999997</v>
      </c>
      <c r="AD176">
        <v>35088.47034</v>
      </c>
      <c r="AE176">
        <v>34798.810980000002</v>
      </c>
      <c r="AF176">
        <v>34544.729420000003</v>
      </c>
      <c r="AG176">
        <v>34318.773589999997</v>
      </c>
      <c r="AH176">
        <v>34051.143459999999</v>
      </c>
      <c r="AI176">
        <v>34087.718589999997</v>
      </c>
      <c r="AJ176">
        <v>34116.215270000001</v>
      </c>
      <c r="AK176">
        <v>34137.426829999997</v>
      </c>
      <c r="AL176">
        <v>34160.898150000001</v>
      </c>
      <c r="AM176">
        <v>34182.262179999998</v>
      </c>
      <c r="AN176">
        <v>34168.540710000001</v>
      </c>
      <c r="AO176">
        <v>34198.475429999999</v>
      </c>
      <c r="AP176">
        <v>34227.971729999997</v>
      </c>
      <c r="AQ176">
        <v>34262.932699999998</v>
      </c>
      <c r="AR176">
        <v>34295.297359999997</v>
      </c>
      <c r="AS176">
        <v>34318.924189999998</v>
      </c>
      <c r="AT176">
        <v>34352.416640000003</v>
      </c>
      <c r="AU176">
        <v>34386.553180000003</v>
      </c>
      <c r="AV176">
        <v>34417.801440000003</v>
      </c>
      <c r="AW176">
        <v>34455.777260000003</v>
      </c>
    </row>
    <row r="177" spans="2:49" x14ac:dyDescent="0.25">
      <c r="B177" s="247" t="s">
        <v>506</v>
      </c>
      <c r="C177">
        <v>55091.732691944802</v>
      </c>
      <c r="D177">
        <v>55976.248280239903</v>
      </c>
      <c r="E177">
        <v>56874.995009999999</v>
      </c>
      <c r="F177">
        <v>59887.106699999997</v>
      </c>
      <c r="G177">
        <v>61059.321409999997</v>
      </c>
      <c r="H177">
        <v>61309.049030000002</v>
      </c>
      <c r="I177">
        <v>64204.973100000003</v>
      </c>
      <c r="J177">
        <v>66302.040080000006</v>
      </c>
      <c r="K177">
        <v>67692.169200000004</v>
      </c>
      <c r="L177">
        <v>69474.892099999997</v>
      </c>
      <c r="M177">
        <v>71356.789879999997</v>
      </c>
      <c r="N177">
        <v>72309.758560000002</v>
      </c>
      <c r="O177">
        <v>71734.626659999994</v>
      </c>
      <c r="P177">
        <v>74554.225680000003</v>
      </c>
      <c r="Q177">
        <v>76538.205040000001</v>
      </c>
      <c r="R177">
        <v>83617.542509999999</v>
      </c>
      <c r="S177">
        <v>98784.305089999994</v>
      </c>
      <c r="T177">
        <v>108974.4797</v>
      </c>
      <c r="U177">
        <v>115962.5012</v>
      </c>
      <c r="V177">
        <v>119937.0387</v>
      </c>
      <c r="W177">
        <v>134114.6666</v>
      </c>
      <c r="X177">
        <v>171344.5871</v>
      </c>
      <c r="Y177">
        <v>194192.07389999999</v>
      </c>
      <c r="Z177">
        <v>216236.4424</v>
      </c>
      <c r="AA177">
        <v>238050.05790000001</v>
      </c>
      <c r="AB177">
        <v>259449.31779999999</v>
      </c>
      <c r="AC177">
        <v>280469.478</v>
      </c>
      <c r="AD177">
        <v>303364.24690000003</v>
      </c>
      <c r="AE177">
        <v>324967.56969999999</v>
      </c>
      <c r="AF177">
        <v>346773.1286</v>
      </c>
      <c r="AG177">
        <v>368455.26199999999</v>
      </c>
      <c r="AH177">
        <v>388874.9792</v>
      </c>
      <c r="AI177">
        <v>406513.87349999999</v>
      </c>
      <c r="AJ177">
        <v>424054.97110000002</v>
      </c>
      <c r="AK177">
        <v>441588.95520000003</v>
      </c>
      <c r="AL177">
        <v>459161.99609999999</v>
      </c>
      <c r="AM177">
        <v>476758.92719999998</v>
      </c>
      <c r="AN177">
        <v>485316.84389999998</v>
      </c>
      <c r="AO177">
        <v>494070.90179999999</v>
      </c>
      <c r="AP177">
        <v>502924.48830000003</v>
      </c>
      <c r="AQ177">
        <v>511814.35509999999</v>
      </c>
      <c r="AR177">
        <v>520670.5736</v>
      </c>
      <c r="AS177">
        <v>520462.68530000001</v>
      </c>
      <c r="AT177">
        <v>520289.02130000002</v>
      </c>
      <c r="AU177">
        <v>520110.42479999998</v>
      </c>
      <c r="AV177">
        <v>519915.45199999999</v>
      </c>
      <c r="AW177">
        <v>519798.16609999997</v>
      </c>
    </row>
    <row r="178" spans="2:49" x14ac:dyDescent="0.25">
      <c r="B178" s="247" t="s">
        <v>507</v>
      </c>
      <c r="C178">
        <v>53959.065015136701</v>
      </c>
      <c r="D178">
        <v>54825.395257508797</v>
      </c>
      <c r="E178">
        <v>55842.152979999999</v>
      </c>
      <c r="F178">
        <v>63919.083659999997</v>
      </c>
      <c r="G178">
        <v>70446.196280000004</v>
      </c>
      <c r="H178">
        <v>75628.399300000005</v>
      </c>
      <c r="I178">
        <v>82817.493170000002</v>
      </c>
      <c r="J178">
        <v>88930.581619999997</v>
      </c>
      <c r="K178">
        <v>93877.652059999906</v>
      </c>
      <c r="L178">
        <v>98111.869070000001</v>
      </c>
      <c r="M178">
        <v>100685.96490000001</v>
      </c>
      <c r="N178">
        <v>100855.7821</v>
      </c>
      <c r="O178">
        <v>110732.3091</v>
      </c>
      <c r="P178">
        <v>122477.4405</v>
      </c>
      <c r="Q178">
        <v>134962.20989999999</v>
      </c>
      <c r="R178">
        <v>149503.63329999999</v>
      </c>
      <c r="S178">
        <v>166931.76199999999</v>
      </c>
      <c r="T178">
        <v>247610.45879999999</v>
      </c>
      <c r="U178">
        <v>302476.03950000001</v>
      </c>
      <c r="V178">
        <v>343182.34940000001</v>
      </c>
      <c r="W178">
        <v>408283.7942</v>
      </c>
      <c r="X178">
        <v>611131.77690000006</v>
      </c>
      <c r="Y178">
        <v>803713.52729999996</v>
      </c>
      <c r="Z178">
        <v>999335.58360000001</v>
      </c>
      <c r="AA178">
        <v>1196713.4680000001</v>
      </c>
      <c r="AB178">
        <v>1395368.3689999999</v>
      </c>
      <c r="AC178">
        <v>1596590.4939999999</v>
      </c>
      <c r="AD178">
        <v>1833006.9450000001</v>
      </c>
      <c r="AE178">
        <v>2071376.8149999999</v>
      </c>
      <c r="AF178">
        <v>2311163.1669999999</v>
      </c>
      <c r="AG178">
        <v>2551792.9249999998</v>
      </c>
      <c r="AH178">
        <v>2794769.1660000002</v>
      </c>
      <c r="AI178">
        <v>2992519.3429999999</v>
      </c>
      <c r="AJ178">
        <v>3193965.3859999999</v>
      </c>
      <c r="AK178">
        <v>3400054.781</v>
      </c>
      <c r="AL178">
        <v>3609941.81</v>
      </c>
      <c r="AM178">
        <v>3823112.142</v>
      </c>
      <c r="AN178">
        <v>3913780.7570000002</v>
      </c>
      <c r="AO178">
        <v>4009327.07</v>
      </c>
      <c r="AP178">
        <v>4105040.6409999998</v>
      </c>
      <c r="AQ178">
        <v>4202214.3810000001</v>
      </c>
      <c r="AR178">
        <v>4298773.1639999999</v>
      </c>
      <c r="AS178">
        <v>4332082.6940000001</v>
      </c>
      <c r="AT178">
        <v>4363858.8490000004</v>
      </c>
      <c r="AU178">
        <v>4395452.807</v>
      </c>
      <c r="AV178">
        <v>4426732.1210000003</v>
      </c>
      <c r="AW178">
        <v>4459374.5460000001</v>
      </c>
    </row>
    <row r="179" spans="2:49" x14ac:dyDescent="0.25">
      <c r="B179" s="247" t="s">
        <v>508</v>
      </c>
      <c r="C179">
        <v>216238.436565001</v>
      </c>
      <c r="D179">
        <v>219710.21460835601</v>
      </c>
      <c r="E179">
        <v>223237.73319999999</v>
      </c>
      <c r="F179">
        <v>251073.09880000001</v>
      </c>
      <c r="G179">
        <v>211362.41200000001</v>
      </c>
      <c r="H179">
        <v>142050.2162</v>
      </c>
      <c r="I179">
        <v>170121.51060000001</v>
      </c>
      <c r="J179">
        <v>136490.83790000001</v>
      </c>
      <c r="K179">
        <v>157804.4264</v>
      </c>
      <c r="L179">
        <v>137560.7904</v>
      </c>
      <c r="M179">
        <v>110865.1479</v>
      </c>
      <c r="N179">
        <v>89897.295490000004</v>
      </c>
      <c r="O179">
        <v>68164.182629999996</v>
      </c>
      <c r="P179">
        <v>65126.135869999998</v>
      </c>
      <c r="Q179">
        <v>58730.277249999999</v>
      </c>
      <c r="R179">
        <v>58215.821660000001</v>
      </c>
      <c r="S179">
        <v>58202.60252</v>
      </c>
      <c r="T179">
        <v>56742.249129999997</v>
      </c>
      <c r="U179">
        <v>56631.416740000001</v>
      </c>
      <c r="V179">
        <v>56898.527159999998</v>
      </c>
      <c r="W179">
        <v>60189.41229</v>
      </c>
      <c r="X179">
        <v>62777.326009999997</v>
      </c>
      <c r="Y179">
        <v>62875.156560000003</v>
      </c>
      <c r="Z179">
        <v>63278.755709999998</v>
      </c>
      <c r="AA179">
        <v>63780.256260000002</v>
      </c>
      <c r="AB179">
        <v>64304.41</v>
      </c>
      <c r="AC179">
        <v>64870.861779999999</v>
      </c>
      <c r="AD179">
        <v>65412.002009999997</v>
      </c>
      <c r="AE179">
        <v>65956.873009999996</v>
      </c>
      <c r="AF179">
        <v>66527.421329999997</v>
      </c>
      <c r="AG179">
        <v>67149.683340000003</v>
      </c>
      <c r="AH179">
        <v>67828.509869999994</v>
      </c>
      <c r="AI179">
        <v>68816.137950000004</v>
      </c>
      <c r="AJ179">
        <v>69847.903900000005</v>
      </c>
      <c r="AK179">
        <v>70913.336110000004</v>
      </c>
      <c r="AL179">
        <v>72015.234589999905</v>
      </c>
      <c r="AM179">
        <v>73138.624429999996</v>
      </c>
      <c r="AN179">
        <v>74302.170299999998</v>
      </c>
      <c r="AO179">
        <v>75574.888449999999</v>
      </c>
      <c r="AP179">
        <v>76854.398759999996</v>
      </c>
      <c r="AQ179">
        <v>78133.608179999996</v>
      </c>
      <c r="AR179">
        <v>79411.938399999999</v>
      </c>
      <c r="AS179">
        <v>80711.955230000007</v>
      </c>
      <c r="AT179">
        <v>82023.172099999996</v>
      </c>
      <c r="AU179">
        <v>83348.58743</v>
      </c>
      <c r="AV179">
        <v>84680.735119999998</v>
      </c>
      <c r="AW179">
        <v>86044.418449999997</v>
      </c>
    </row>
    <row r="180" spans="2:49" x14ac:dyDescent="0.25">
      <c r="B180" s="247" t="s">
        <v>509</v>
      </c>
      <c r="C180">
        <v>215538.66868192199</v>
      </c>
      <c r="D180">
        <v>218999.21172556799</v>
      </c>
      <c r="E180">
        <v>222515.3149</v>
      </c>
      <c r="F180">
        <v>228061.76500000001</v>
      </c>
      <c r="G180">
        <v>226274.16930000001</v>
      </c>
      <c r="H180">
        <v>173864.54449999999</v>
      </c>
      <c r="I180">
        <v>128479.4841</v>
      </c>
      <c r="J180">
        <v>129789.3815</v>
      </c>
      <c r="K180">
        <v>127163.098</v>
      </c>
      <c r="L180">
        <v>120528.4277</v>
      </c>
      <c r="M180">
        <v>115736.8256</v>
      </c>
      <c r="N180">
        <v>112816.8128</v>
      </c>
      <c r="O180">
        <v>101916.345</v>
      </c>
      <c r="P180">
        <v>96239.298379999906</v>
      </c>
      <c r="Q180">
        <v>96389.946920000002</v>
      </c>
      <c r="R180">
        <v>87989.883470000001</v>
      </c>
      <c r="S180">
        <v>79524.08124</v>
      </c>
      <c r="T180">
        <v>68689.060280000005</v>
      </c>
      <c r="U180">
        <v>59380.957840000003</v>
      </c>
      <c r="V180">
        <v>51069.242919999997</v>
      </c>
      <c r="W180">
        <v>46320.190190000001</v>
      </c>
      <c r="X180">
        <v>40998.668530000003</v>
      </c>
      <c r="Y180">
        <v>39419.311979999999</v>
      </c>
      <c r="Z180">
        <v>38983.526689999999</v>
      </c>
      <c r="AA180">
        <v>38910.694259999997</v>
      </c>
      <c r="AB180">
        <v>38932.796069999997</v>
      </c>
      <c r="AC180">
        <v>38992.518069999998</v>
      </c>
      <c r="AD180">
        <v>38944.533530000001</v>
      </c>
      <c r="AE180">
        <v>38875.504489999999</v>
      </c>
      <c r="AF180">
        <v>38861.977930000001</v>
      </c>
      <c r="AG180">
        <v>38888.391250000001</v>
      </c>
      <c r="AH180">
        <v>38959.939039999997</v>
      </c>
      <c r="AI180">
        <v>39160.724730000002</v>
      </c>
      <c r="AJ180">
        <v>39370.256780000003</v>
      </c>
      <c r="AK180">
        <v>39585.770080000002</v>
      </c>
      <c r="AL180">
        <v>39825.890249999997</v>
      </c>
      <c r="AM180">
        <v>40072.088199999998</v>
      </c>
      <c r="AN180">
        <v>38786.661240000001</v>
      </c>
      <c r="AO180">
        <v>37261.646399999998</v>
      </c>
      <c r="AP180">
        <v>35730.127619999999</v>
      </c>
      <c r="AQ180">
        <v>34238.938390000003</v>
      </c>
      <c r="AR180">
        <v>32792.191010000002</v>
      </c>
      <c r="AS180">
        <v>32132.581460000001</v>
      </c>
      <c r="AT180">
        <v>31630.067419999999</v>
      </c>
      <c r="AU180">
        <v>31162.034370000001</v>
      </c>
      <c r="AV180">
        <v>30703.785309999999</v>
      </c>
      <c r="AW180">
        <v>30260.61765</v>
      </c>
    </row>
    <row r="181" spans="2:49" x14ac:dyDescent="0.25">
      <c r="B181" s="247" t="s">
        <v>510</v>
      </c>
      <c r="C181">
        <v>7946676.0051002903</v>
      </c>
      <c r="D181">
        <v>8074262.4587873695</v>
      </c>
      <c r="E181">
        <v>8203897.3540000003</v>
      </c>
      <c r="F181">
        <v>8822806.4790000003</v>
      </c>
      <c r="G181">
        <v>9098946.8770000003</v>
      </c>
      <c r="H181">
        <v>9103098.3049999997</v>
      </c>
      <c r="I181">
        <v>9868677.6309999898</v>
      </c>
      <c r="J181">
        <v>10276158.02</v>
      </c>
      <c r="K181">
        <v>10259068.75</v>
      </c>
      <c r="L181">
        <v>10526208.890000001</v>
      </c>
      <c r="M181">
        <v>11255251.76</v>
      </c>
      <c r="N181">
        <v>12543671.869999999</v>
      </c>
      <c r="O181">
        <v>13165460.91</v>
      </c>
      <c r="P181">
        <v>13000403.140000001</v>
      </c>
      <c r="Q181">
        <v>11906167.17</v>
      </c>
      <c r="R181">
        <v>11143746.630000001</v>
      </c>
      <c r="S181">
        <v>10658303.93</v>
      </c>
      <c r="T181">
        <v>10135624.029999999</v>
      </c>
      <c r="U181">
        <v>9634652.2390000001</v>
      </c>
      <c r="V181">
        <v>9137623.0960000008</v>
      </c>
      <c r="W181">
        <v>9668484.0519999899</v>
      </c>
      <c r="X181">
        <v>10192017.82</v>
      </c>
      <c r="Y181">
        <v>10165295.810000001</v>
      </c>
      <c r="Z181">
        <v>10114596.619999999</v>
      </c>
      <c r="AA181">
        <v>10050357.310000001</v>
      </c>
      <c r="AB181">
        <v>9975555.4130000006</v>
      </c>
      <c r="AC181">
        <v>9890909.5850000009</v>
      </c>
      <c r="AD181">
        <v>9812080.2479999997</v>
      </c>
      <c r="AE181">
        <v>9714130.5309999995</v>
      </c>
      <c r="AF181">
        <v>9598662.4590000007</v>
      </c>
      <c r="AG181">
        <v>9477124.3839999996</v>
      </c>
      <c r="AH181">
        <v>9350076.6980000008</v>
      </c>
      <c r="AI181">
        <v>9258660.352</v>
      </c>
      <c r="AJ181">
        <v>9161876.3560000006</v>
      </c>
      <c r="AK181">
        <v>9062177.2479999997</v>
      </c>
      <c r="AL181">
        <v>8957928.2029999997</v>
      </c>
      <c r="AM181">
        <v>8851174.2479999997</v>
      </c>
      <c r="AN181">
        <v>8664988.9250000007</v>
      </c>
      <c r="AO181">
        <v>8472822.7719999999</v>
      </c>
      <c r="AP181">
        <v>8282599.7759999996</v>
      </c>
      <c r="AQ181">
        <v>8095902.6600000001</v>
      </c>
      <c r="AR181">
        <v>7913127.5789999999</v>
      </c>
      <c r="AS181">
        <v>7732133.3370000003</v>
      </c>
      <c r="AT181">
        <v>7555835.0810000002</v>
      </c>
      <c r="AU181">
        <v>7382542.2240000004</v>
      </c>
      <c r="AV181">
        <v>7212341.9680000003</v>
      </c>
      <c r="AW181">
        <v>7045066.1629999997</v>
      </c>
    </row>
    <row r="182" spans="2:49" x14ac:dyDescent="0.25">
      <c r="B182" s="247" t="s">
        <v>511</v>
      </c>
      <c r="C182">
        <v>4498800.2848123703</v>
      </c>
      <c r="D182">
        <v>4571029.97856321</v>
      </c>
      <c r="E182">
        <v>4644419.3430000003</v>
      </c>
      <c r="F182">
        <v>4802412.0860000001</v>
      </c>
      <c r="G182">
        <v>4828518.8380000005</v>
      </c>
      <c r="H182">
        <v>5086013.0460000001</v>
      </c>
      <c r="I182">
        <v>5276304.9519999996</v>
      </c>
      <c r="J182">
        <v>5318952.8130000001</v>
      </c>
      <c r="K182">
        <v>5256545.2110000001</v>
      </c>
      <c r="L182">
        <v>5351876.233</v>
      </c>
      <c r="M182">
        <v>5580970.5810000002</v>
      </c>
      <c r="N182">
        <v>6038792.0010000002</v>
      </c>
      <c r="O182">
        <v>6186449.9349999996</v>
      </c>
      <c r="P182">
        <v>5973282.8049999997</v>
      </c>
      <c r="Q182">
        <v>5405115.75</v>
      </c>
      <c r="R182">
        <v>5018104.9529999997</v>
      </c>
      <c r="S182">
        <v>4737676.7759999996</v>
      </c>
      <c r="T182">
        <v>4504719.0020000003</v>
      </c>
      <c r="U182">
        <v>4287697.6349999998</v>
      </c>
      <c r="V182">
        <v>4070039.5070000002</v>
      </c>
      <c r="W182">
        <v>4245417.1160000004</v>
      </c>
      <c r="X182">
        <v>4404670.1689999998</v>
      </c>
      <c r="Y182">
        <v>4332078.8090000004</v>
      </c>
      <c r="Z182">
        <v>4258110.9270000001</v>
      </c>
      <c r="AA182">
        <v>4184677.23</v>
      </c>
      <c r="AB182">
        <v>4111990.7230000002</v>
      </c>
      <c r="AC182">
        <v>4039733.923</v>
      </c>
      <c r="AD182">
        <v>3973512.9810000001</v>
      </c>
      <c r="AE182">
        <v>3903881.5440000002</v>
      </c>
      <c r="AF182">
        <v>3831341.8509999998</v>
      </c>
      <c r="AG182">
        <v>3758706.6510000001</v>
      </c>
      <c r="AH182">
        <v>3686437.6260000002</v>
      </c>
      <c r="AI182">
        <v>3631175.997</v>
      </c>
      <c r="AJ182">
        <v>3575759.378</v>
      </c>
      <c r="AK182">
        <v>3521182.4670000002</v>
      </c>
      <c r="AL182">
        <v>3466535.0269999998</v>
      </c>
      <c r="AM182">
        <v>3412496.5890000002</v>
      </c>
      <c r="AN182">
        <v>3347437.0690000001</v>
      </c>
      <c r="AO182">
        <v>3283331.6269999999</v>
      </c>
      <c r="AP182">
        <v>3220351.3509999998</v>
      </c>
      <c r="AQ182">
        <v>3158456.5929999999</v>
      </c>
      <c r="AR182">
        <v>3097700.5550000002</v>
      </c>
      <c r="AS182">
        <v>3037018.236</v>
      </c>
      <c r="AT182">
        <v>2977718.142</v>
      </c>
      <c r="AU182">
        <v>2919094.54</v>
      </c>
      <c r="AV182">
        <v>2861229.7349999999</v>
      </c>
      <c r="AW182">
        <v>2804085.0869999998</v>
      </c>
    </row>
    <row r="183" spans="2:49" x14ac:dyDescent="0.25">
      <c r="B183" t="s">
        <v>512</v>
      </c>
      <c r="C183">
        <v>0.96864644472622397</v>
      </c>
      <c r="D183">
        <v>0.984198376713873</v>
      </c>
      <c r="E183">
        <v>1</v>
      </c>
      <c r="F183">
        <v>0.97504138699999998</v>
      </c>
      <c r="G183">
        <v>0.92428013149999999</v>
      </c>
      <c r="H183">
        <v>0.8771725829</v>
      </c>
      <c r="I183">
        <v>0.84541787690000003</v>
      </c>
      <c r="J183">
        <v>0.80492580010000003</v>
      </c>
      <c r="K183">
        <v>0.76067158530000001</v>
      </c>
      <c r="L183">
        <v>0.72564365929999997</v>
      </c>
      <c r="M183">
        <v>0.69994983099999997</v>
      </c>
      <c r="N183">
        <v>0.68305752310000001</v>
      </c>
      <c r="O183">
        <v>0.66970182509999998</v>
      </c>
      <c r="P183">
        <v>0.65392360709999997</v>
      </c>
      <c r="Q183">
        <v>0.63340307419999997</v>
      </c>
      <c r="R183">
        <v>0.62236082120000003</v>
      </c>
      <c r="S183">
        <v>0.59591788349999997</v>
      </c>
      <c r="T183">
        <v>0.56404369639999996</v>
      </c>
      <c r="U183">
        <v>0.53016719099999998</v>
      </c>
      <c r="V183">
        <v>0.49765869680000002</v>
      </c>
      <c r="W183">
        <v>0.51325330889999998</v>
      </c>
      <c r="X183">
        <v>0.52554265219999996</v>
      </c>
      <c r="Y183">
        <v>0.50980507060000002</v>
      </c>
      <c r="Z183">
        <v>0.4965303184</v>
      </c>
      <c r="AA183">
        <v>0.48457831839999999</v>
      </c>
      <c r="AB183">
        <v>0.47324184590000001</v>
      </c>
      <c r="AC183">
        <v>0.46257637109999999</v>
      </c>
      <c r="AD183">
        <v>0.450582659</v>
      </c>
      <c r="AE183">
        <v>0.43881349009999998</v>
      </c>
      <c r="AF183">
        <v>0.42737374830000002</v>
      </c>
      <c r="AG183">
        <v>0.41611702779999998</v>
      </c>
      <c r="AH183">
        <v>0.40517953800000001</v>
      </c>
      <c r="AI183">
        <v>0.39695482589999997</v>
      </c>
      <c r="AJ183">
        <v>0.38885769399999998</v>
      </c>
      <c r="AK183">
        <v>0.38104642160000002</v>
      </c>
      <c r="AL183">
        <v>0.37339722809999998</v>
      </c>
      <c r="AM183">
        <v>0.36590203739999999</v>
      </c>
      <c r="AN183">
        <v>0.35836421299999999</v>
      </c>
      <c r="AO183">
        <v>0.35111688749999997</v>
      </c>
      <c r="AP183">
        <v>0.34454506680000002</v>
      </c>
      <c r="AQ183">
        <v>0.34361132160000002</v>
      </c>
      <c r="AR183">
        <v>0.34353019889999997</v>
      </c>
      <c r="AS183">
        <v>0.34383199809999998</v>
      </c>
      <c r="AT183">
        <v>0.34415587959999999</v>
      </c>
      <c r="AU183">
        <v>0.34444451599999998</v>
      </c>
      <c r="AV183">
        <v>0.34469297069999999</v>
      </c>
      <c r="AW183">
        <v>0.34511583530000001</v>
      </c>
    </row>
    <row r="184" spans="2:49" x14ac:dyDescent="0.25">
      <c r="B184" t="s">
        <v>513</v>
      </c>
      <c r="C184">
        <v>8232235.5397947598</v>
      </c>
      <c r="D184">
        <v>8364406.7441781899</v>
      </c>
      <c r="E184">
        <v>8498700</v>
      </c>
      <c r="F184">
        <v>8426247.3890000004</v>
      </c>
      <c r="G184">
        <v>8351841.4780000001</v>
      </c>
      <c r="H184">
        <v>7765257.2599999998</v>
      </c>
      <c r="I184">
        <v>7654431.6859999998</v>
      </c>
      <c r="J184">
        <v>7618092.4400000004</v>
      </c>
      <c r="K184">
        <v>7494046.0180000002</v>
      </c>
      <c r="L184">
        <v>7254273.943</v>
      </c>
      <c r="M184">
        <v>6996499.4529999997</v>
      </c>
      <c r="N184">
        <v>6660937.6890000002</v>
      </c>
      <c r="O184">
        <v>6982202.8710000003</v>
      </c>
      <c r="P184">
        <v>7565774.1109999996</v>
      </c>
      <c r="Q184">
        <v>8319074.4390000002</v>
      </c>
      <c r="R184">
        <v>8911089.0899999999</v>
      </c>
      <c r="S184">
        <v>9483245.2440000009</v>
      </c>
      <c r="T184">
        <v>8778951.9110000003</v>
      </c>
      <c r="U184">
        <v>7983647.7029999997</v>
      </c>
      <c r="V184">
        <v>7235878.2850000001</v>
      </c>
      <c r="W184">
        <v>5288382.9759999998</v>
      </c>
      <c r="X184">
        <v>2968794.6009999998</v>
      </c>
      <c r="Y184">
        <v>2762041.0580000002</v>
      </c>
      <c r="Z184">
        <v>2729094.5320000001</v>
      </c>
      <c r="AA184">
        <v>2714302.2659999998</v>
      </c>
      <c r="AB184">
        <v>2702870.4509999999</v>
      </c>
      <c r="AC184">
        <v>2692300.156</v>
      </c>
      <c r="AD184">
        <v>2680556.7450000001</v>
      </c>
      <c r="AE184">
        <v>2668839.304</v>
      </c>
      <c r="AF184">
        <v>2657092.7239999999</v>
      </c>
      <c r="AG184">
        <v>2644916.8480000002</v>
      </c>
      <c r="AH184">
        <v>2633151.8450000002</v>
      </c>
      <c r="AI184">
        <v>2636234.9980000001</v>
      </c>
      <c r="AJ184">
        <v>2639287.0550000002</v>
      </c>
      <c r="AK184">
        <v>2641908.1030000001</v>
      </c>
      <c r="AL184">
        <v>2643900.3160000001</v>
      </c>
      <c r="AM184">
        <v>2645114.4750000001</v>
      </c>
      <c r="AN184">
        <v>2641387.5630000001</v>
      </c>
      <c r="AO184">
        <v>2636749.7940000002</v>
      </c>
      <c r="AP184">
        <v>2630987.5639999998</v>
      </c>
      <c r="AQ184">
        <v>2624702.2289999998</v>
      </c>
      <c r="AR184">
        <v>2617465.1379999998</v>
      </c>
      <c r="AS184">
        <v>3469973.571</v>
      </c>
      <c r="AT184">
        <v>4419832.2139999997</v>
      </c>
      <c r="AU184">
        <v>5371239.3250000002</v>
      </c>
      <c r="AV184">
        <v>6309844.5650000004</v>
      </c>
      <c r="AW184">
        <v>7236384.7110000001</v>
      </c>
    </row>
    <row r="185" spans="2:49" x14ac:dyDescent="0.25">
      <c r="B185" t="s">
        <v>514</v>
      </c>
      <c r="C185">
        <v>463787.91773491597</v>
      </c>
      <c r="D185">
        <v>471234.182770602</v>
      </c>
      <c r="E185">
        <v>478800</v>
      </c>
      <c r="F185">
        <v>476939.26890000002</v>
      </c>
      <c r="G185">
        <v>458746.83319999999</v>
      </c>
      <c r="H185">
        <v>434581.32209999999</v>
      </c>
      <c r="I185">
        <v>439173.40720000002</v>
      </c>
      <c r="J185">
        <v>454494.11170000001</v>
      </c>
      <c r="K185">
        <v>453080.23460000003</v>
      </c>
      <c r="L185">
        <v>461038.01520000002</v>
      </c>
      <c r="M185">
        <v>481256.92310000001</v>
      </c>
      <c r="N185">
        <v>512085.9301</v>
      </c>
      <c r="O185">
        <v>487639.63890000002</v>
      </c>
      <c r="P185">
        <v>451010.11709999997</v>
      </c>
      <c r="Q185">
        <v>394781.6067</v>
      </c>
      <c r="R185">
        <v>348399.59659999999</v>
      </c>
      <c r="S185">
        <v>308215.23060000001</v>
      </c>
      <c r="T185">
        <v>287135.19469999999</v>
      </c>
      <c r="U185">
        <v>265757.2133</v>
      </c>
      <c r="V185">
        <v>246105.16010000001</v>
      </c>
      <c r="W185">
        <v>258056.36809999999</v>
      </c>
      <c r="X185">
        <v>269447.44790000003</v>
      </c>
      <c r="Y185">
        <v>266290.34940000001</v>
      </c>
      <c r="Z185">
        <v>264543.42180000001</v>
      </c>
      <c r="AA185">
        <v>263467.1507</v>
      </c>
      <c r="AB185">
        <v>263085.60230000003</v>
      </c>
      <c r="AC185">
        <v>263251.86709999997</v>
      </c>
      <c r="AD185">
        <v>261520.44399999999</v>
      </c>
      <c r="AE185">
        <v>259925.57079999999</v>
      </c>
      <c r="AF185">
        <v>258276.3597</v>
      </c>
      <c r="AG185">
        <v>256757.56950000001</v>
      </c>
      <c r="AH185">
        <v>255431.7531</v>
      </c>
      <c r="AI185">
        <v>254035.28049999999</v>
      </c>
      <c r="AJ185">
        <v>252685.24679999999</v>
      </c>
      <c r="AK185">
        <v>251446.4933</v>
      </c>
      <c r="AL185">
        <v>250265.8069</v>
      </c>
      <c r="AM185">
        <v>249103.54089999999</v>
      </c>
      <c r="AN185">
        <v>247075.39920000001</v>
      </c>
      <c r="AO185">
        <v>245107.29449999999</v>
      </c>
      <c r="AP185">
        <v>243054.0815</v>
      </c>
      <c r="AQ185">
        <v>240979.47320000001</v>
      </c>
      <c r="AR185">
        <v>238816.3939</v>
      </c>
      <c r="AS185">
        <v>237190.6342</v>
      </c>
      <c r="AT185">
        <v>235555.01019999999</v>
      </c>
      <c r="AU185">
        <v>233881.2923</v>
      </c>
      <c r="AV185">
        <v>232171.2738</v>
      </c>
      <c r="AW185">
        <v>230517.96119999999</v>
      </c>
    </row>
    <row r="186" spans="2:49" x14ac:dyDescent="0.25">
      <c r="B186" t="s">
        <v>515</v>
      </c>
      <c r="C186">
        <v>247860837.32111701</v>
      </c>
      <c r="D186">
        <v>251840323.237167</v>
      </c>
      <c r="E186">
        <v>255969215.90000001</v>
      </c>
      <c r="F186">
        <v>257546920.09999999</v>
      </c>
      <c r="G186">
        <v>242458952.80000001</v>
      </c>
      <c r="H186">
        <v>225642356.09999999</v>
      </c>
      <c r="I186">
        <v>221953639.80000001</v>
      </c>
      <c r="J186">
        <v>215159772.19999999</v>
      </c>
      <c r="K186">
        <v>205556037.19999999</v>
      </c>
      <c r="L186">
        <v>199759714.30000001</v>
      </c>
      <c r="M186">
        <v>198854774.90000001</v>
      </c>
      <c r="N186">
        <v>200374040</v>
      </c>
      <c r="O186">
        <v>191753027.5</v>
      </c>
      <c r="P186">
        <v>183963148.19999999</v>
      </c>
      <c r="Q186">
        <v>172948992.69999999</v>
      </c>
      <c r="R186">
        <v>165395345.80000001</v>
      </c>
      <c r="S186">
        <v>158484469.19999999</v>
      </c>
      <c r="T186">
        <v>158028722.80000001</v>
      </c>
      <c r="U186">
        <v>155724911.90000001</v>
      </c>
      <c r="V186">
        <v>154804948.09999999</v>
      </c>
      <c r="W186">
        <v>155300328.80000001</v>
      </c>
      <c r="X186">
        <v>154326064</v>
      </c>
      <c r="Y186">
        <v>153889590.90000001</v>
      </c>
      <c r="Z186">
        <v>154754755.5</v>
      </c>
      <c r="AA186">
        <v>156055546</v>
      </c>
      <c r="AB186">
        <v>157671527.09999999</v>
      </c>
      <c r="AC186">
        <v>159640143.90000001</v>
      </c>
      <c r="AD186">
        <v>159583916</v>
      </c>
      <c r="AE186">
        <v>159726830.09999999</v>
      </c>
      <c r="AF186">
        <v>159938931.59999999</v>
      </c>
      <c r="AG186">
        <v>160245631.30000001</v>
      </c>
      <c r="AH186">
        <v>160695144.90000001</v>
      </c>
      <c r="AI186">
        <v>161524312</v>
      </c>
      <c r="AJ186">
        <v>162395205.09999999</v>
      </c>
      <c r="AK186">
        <v>163346932.40000001</v>
      </c>
      <c r="AL186">
        <v>164364840.90000001</v>
      </c>
      <c r="AM186">
        <v>165389202.69999999</v>
      </c>
      <c r="AN186">
        <v>165915039.5</v>
      </c>
      <c r="AO186">
        <v>166442611.69999999</v>
      </c>
      <c r="AP186">
        <v>166898056.19999999</v>
      </c>
      <c r="AQ186">
        <v>167350640.09999999</v>
      </c>
      <c r="AR186">
        <v>167731825.30000001</v>
      </c>
      <c r="AS186">
        <v>169487374.40000001</v>
      </c>
      <c r="AT186">
        <v>171384176.30000001</v>
      </c>
      <c r="AU186">
        <v>173300497.30000001</v>
      </c>
      <c r="AV186">
        <v>175208982.90000001</v>
      </c>
      <c r="AW186">
        <v>177183172.90000001</v>
      </c>
    </row>
    <row r="187" spans="2:49" x14ac:dyDescent="0.25">
      <c r="B187" t="s">
        <v>516</v>
      </c>
      <c r="C187">
        <v>41023493.601484403</v>
      </c>
      <c r="D187">
        <v>41682139.060681202</v>
      </c>
      <c r="E187">
        <v>42351359.289999999</v>
      </c>
      <c r="F187">
        <v>41461469.189999998</v>
      </c>
      <c r="G187">
        <v>36436537.329999998</v>
      </c>
      <c r="H187">
        <v>31843182.890000001</v>
      </c>
      <c r="I187">
        <v>30255707.609999999</v>
      </c>
      <c r="J187">
        <v>28675591.66</v>
      </c>
      <c r="K187">
        <v>27182449.550000001</v>
      </c>
      <c r="L187">
        <v>27075863.620000001</v>
      </c>
      <c r="M187">
        <v>26439921.039999999</v>
      </c>
      <c r="N187">
        <v>25629713.399999999</v>
      </c>
      <c r="O187">
        <v>20463365.719999999</v>
      </c>
      <c r="P187">
        <v>17061331.039999999</v>
      </c>
      <c r="Q187">
        <v>14481810.57</v>
      </c>
      <c r="R187">
        <v>12197611.779999999</v>
      </c>
      <c r="S187">
        <v>9995068.8239999898</v>
      </c>
      <c r="T187">
        <v>9814244.72299999</v>
      </c>
      <c r="U187">
        <v>9540655.5789999999</v>
      </c>
      <c r="V187">
        <v>9384108.1449999996</v>
      </c>
      <c r="W187">
        <v>8513598.0219999999</v>
      </c>
      <c r="X187">
        <v>7533339.5180000002</v>
      </c>
      <c r="Y187">
        <v>7473160.5310000004</v>
      </c>
      <c r="Z187">
        <v>7564281.7800000003</v>
      </c>
      <c r="AA187">
        <v>7681110.1500000004</v>
      </c>
      <c r="AB187">
        <v>7810308.4220000003</v>
      </c>
      <c r="AC187">
        <v>7954084.2400000002</v>
      </c>
      <c r="AD187">
        <v>7981215.7620000001</v>
      </c>
      <c r="AE187">
        <v>8028893.8669999996</v>
      </c>
      <c r="AF187">
        <v>8082130.3779999996</v>
      </c>
      <c r="AG187">
        <v>8139971.4460000005</v>
      </c>
      <c r="AH187">
        <v>8209065.352</v>
      </c>
      <c r="AI187">
        <v>8283947.2290000003</v>
      </c>
      <c r="AJ187">
        <v>8361119.0590000004</v>
      </c>
      <c r="AK187">
        <v>8445467.5649999995</v>
      </c>
      <c r="AL187">
        <v>8533108.7579999994</v>
      </c>
      <c r="AM187">
        <v>8621563.5490000006</v>
      </c>
      <c r="AN187">
        <v>8606336.6530000009</v>
      </c>
      <c r="AO187">
        <v>8576553.2180000003</v>
      </c>
      <c r="AP187">
        <v>8534511.2080000006</v>
      </c>
      <c r="AQ187">
        <v>8487358.0539999995</v>
      </c>
      <c r="AR187">
        <v>8429493.3200000003</v>
      </c>
      <c r="AS187">
        <v>8435355.0309999995</v>
      </c>
      <c r="AT187">
        <v>8448149.9890000001</v>
      </c>
      <c r="AU187">
        <v>8460868.9839999899</v>
      </c>
      <c r="AV187">
        <v>8472046.2809999995</v>
      </c>
      <c r="AW187">
        <v>8485805.7129999995</v>
      </c>
    </row>
    <row r="188" spans="2:49" x14ac:dyDescent="0.25">
      <c r="B188" t="s">
        <v>517</v>
      </c>
      <c r="C188">
        <v>156021257.172526</v>
      </c>
      <c r="D188">
        <v>158526228.92293701</v>
      </c>
      <c r="E188">
        <v>161156797.09999999</v>
      </c>
      <c r="F188">
        <v>162940716.30000001</v>
      </c>
      <c r="G188">
        <v>154471444.09999999</v>
      </c>
      <c r="H188">
        <v>145660037.40000001</v>
      </c>
      <c r="I188">
        <v>142310024.30000001</v>
      </c>
      <c r="J188">
        <v>136939331.59999999</v>
      </c>
      <c r="K188">
        <v>130869175.8</v>
      </c>
      <c r="L188">
        <v>126157612.90000001</v>
      </c>
      <c r="M188">
        <v>125513809.5</v>
      </c>
      <c r="N188">
        <v>126532847</v>
      </c>
      <c r="O188">
        <v>121577017</v>
      </c>
      <c r="P188">
        <v>116518963.59999999</v>
      </c>
      <c r="Q188">
        <v>109661553.7</v>
      </c>
      <c r="R188">
        <v>105216620.7</v>
      </c>
      <c r="S188">
        <v>100733208.09999999</v>
      </c>
      <c r="T188">
        <v>102168322.90000001</v>
      </c>
      <c r="U188">
        <v>102493330.2</v>
      </c>
      <c r="V188">
        <v>103793190.7</v>
      </c>
      <c r="W188">
        <v>105092001.59999999</v>
      </c>
      <c r="X188">
        <v>105468821.40000001</v>
      </c>
      <c r="Y188">
        <v>105244229.59999999</v>
      </c>
      <c r="Z188">
        <v>105758215.8</v>
      </c>
      <c r="AA188">
        <v>106570078.5</v>
      </c>
      <c r="AB188">
        <v>107607874.7</v>
      </c>
      <c r="AC188">
        <v>108884235.7</v>
      </c>
      <c r="AD188">
        <v>108765726.3</v>
      </c>
      <c r="AE188">
        <v>108797666.09999999</v>
      </c>
      <c r="AF188">
        <v>108909335.7</v>
      </c>
      <c r="AG188">
        <v>109099866.3</v>
      </c>
      <c r="AH188">
        <v>109387165</v>
      </c>
      <c r="AI188">
        <v>109904863.5</v>
      </c>
      <c r="AJ188">
        <v>110455571.8</v>
      </c>
      <c r="AK188">
        <v>111061189</v>
      </c>
      <c r="AL188">
        <v>111724880.7</v>
      </c>
      <c r="AM188">
        <v>112392371.7</v>
      </c>
      <c r="AN188">
        <v>113014301.40000001</v>
      </c>
      <c r="AO188">
        <v>113641194.5</v>
      </c>
      <c r="AP188">
        <v>114224087.90000001</v>
      </c>
      <c r="AQ188">
        <v>114809329.90000001</v>
      </c>
      <c r="AR188">
        <v>115350853.3</v>
      </c>
      <c r="AS188">
        <v>116353348.90000001</v>
      </c>
      <c r="AT188">
        <v>117386434.2</v>
      </c>
      <c r="AU188">
        <v>118435914.90000001</v>
      </c>
      <c r="AV188">
        <v>119492561.3</v>
      </c>
      <c r="AW188">
        <v>120610063.90000001</v>
      </c>
    </row>
    <row r="189" spans="2:49" x14ac:dyDescent="0.25">
      <c r="B189" t="s">
        <v>518</v>
      </c>
      <c r="C189">
        <v>50816086.547106199</v>
      </c>
      <c r="D189">
        <v>51631955.253548898</v>
      </c>
      <c r="E189">
        <v>52461059.539999999</v>
      </c>
      <c r="F189">
        <v>53144734.670000002</v>
      </c>
      <c r="G189">
        <v>51550971.460000001</v>
      </c>
      <c r="H189">
        <v>48139135.75</v>
      </c>
      <c r="I189">
        <v>49387907.909999996</v>
      </c>
      <c r="J189">
        <v>49544848.979999997</v>
      </c>
      <c r="K189">
        <v>47504411.829999998</v>
      </c>
      <c r="L189">
        <v>46526237.689999998</v>
      </c>
      <c r="M189">
        <v>46901044.299999997</v>
      </c>
      <c r="N189">
        <v>48211479.57</v>
      </c>
      <c r="O189">
        <v>49712644.75</v>
      </c>
      <c r="P189">
        <v>50382853.609999999</v>
      </c>
      <c r="Q189">
        <v>48805628.469999999</v>
      </c>
      <c r="R189">
        <v>47981113.32</v>
      </c>
      <c r="S189">
        <v>47756192.310000002</v>
      </c>
      <c r="T189">
        <v>46046155.25</v>
      </c>
      <c r="U189">
        <v>43690926.200000003</v>
      </c>
      <c r="V189">
        <v>41627649.25</v>
      </c>
      <c r="W189">
        <v>41694729.189999998</v>
      </c>
      <c r="X189">
        <v>41323903.140000001</v>
      </c>
      <c r="Y189">
        <v>41172200.780000001</v>
      </c>
      <c r="Z189">
        <v>41432257.93</v>
      </c>
      <c r="AA189">
        <v>41804357.329999998</v>
      </c>
      <c r="AB189">
        <v>42253343.990000002</v>
      </c>
      <c r="AC189">
        <v>42801823.939999998</v>
      </c>
      <c r="AD189">
        <v>42836973.890000001</v>
      </c>
      <c r="AE189">
        <v>42900270.140000001</v>
      </c>
      <c r="AF189">
        <v>42947465.490000002</v>
      </c>
      <c r="AG189">
        <v>43005793.509999998</v>
      </c>
      <c r="AH189">
        <v>43098914.509999998</v>
      </c>
      <c r="AI189">
        <v>43335501.25</v>
      </c>
      <c r="AJ189">
        <v>43578514.240000002</v>
      </c>
      <c r="AK189">
        <v>43840275.899999999</v>
      </c>
      <c r="AL189">
        <v>44106851.450000003</v>
      </c>
      <c r="AM189">
        <v>44375267.490000002</v>
      </c>
      <c r="AN189">
        <v>44294401.359999999</v>
      </c>
      <c r="AO189">
        <v>44224863.909999996</v>
      </c>
      <c r="AP189">
        <v>44139457.109999999</v>
      </c>
      <c r="AQ189">
        <v>44053952.100000001</v>
      </c>
      <c r="AR189">
        <v>43951478.700000003</v>
      </c>
      <c r="AS189">
        <v>44698670.43</v>
      </c>
      <c r="AT189">
        <v>45549592.07</v>
      </c>
      <c r="AU189">
        <v>46403713.329999998</v>
      </c>
      <c r="AV189">
        <v>47244375.340000004</v>
      </c>
      <c r="AW189">
        <v>48087303.240000002</v>
      </c>
    </row>
    <row r="190" spans="2:49" x14ac:dyDescent="0.25">
      <c r="B190" t="s">
        <v>519</v>
      </c>
      <c r="C190">
        <v>392773953.478827</v>
      </c>
      <c r="D190">
        <v>399080066.34826499</v>
      </c>
      <c r="E190">
        <v>405572940.69999999</v>
      </c>
      <c r="F190">
        <v>404441082.10000002</v>
      </c>
      <c r="G190">
        <v>385126671.5</v>
      </c>
      <c r="H190">
        <v>367524777.19999999</v>
      </c>
      <c r="I190">
        <v>361151594.69999999</v>
      </c>
      <c r="J190">
        <v>350999482.10000002</v>
      </c>
      <c r="K190">
        <v>337286842.5</v>
      </c>
      <c r="L190">
        <v>328305503.60000002</v>
      </c>
      <c r="M190">
        <v>324809478.30000001</v>
      </c>
      <c r="N190">
        <v>324485082.39999998</v>
      </c>
      <c r="O190">
        <v>315282378.60000002</v>
      </c>
      <c r="P190">
        <v>306209610.5</v>
      </c>
      <c r="Q190">
        <v>292802121.5</v>
      </c>
      <c r="R190">
        <v>283846767.80000001</v>
      </c>
      <c r="S190">
        <v>274594589.5</v>
      </c>
      <c r="T190">
        <v>270412949.5</v>
      </c>
      <c r="U190">
        <v>264292753.09999999</v>
      </c>
      <c r="V190">
        <v>259309760.80000001</v>
      </c>
      <c r="W190">
        <v>257923470.69999999</v>
      </c>
      <c r="X190">
        <v>254937226.5</v>
      </c>
      <c r="Y190">
        <v>252147078.80000001</v>
      </c>
      <c r="Z190">
        <v>250875548.69999999</v>
      </c>
      <c r="AA190">
        <v>250159743.30000001</v>
      </c>
      <c r="AB190">
        <v>249824722.69999999</v>
      </c>
      <c r="AC190">
        <v>249873934.69999999</v>
      </c>
      <c r="AD190">
        <v>247958203.90000001</v>
      </c>
      <c r="AE190">
        <v>246158321.80000001</v>
      </c>
      <c r="AF190">
        <v>244412420.80000001</v>
      </c>
      <c r="AG190">
        <v>242764870.09999999</v>
      </c>
      <c r="AH190">
        <v>241212919.80000001</v>
      </c>
      <c r="AI190">
        <v>240193283.59999999</v>
      </c>
      <c r="AJ190">
        <v>239267834.19999999</v>
      </c>
      <c r="AK190">
        <v>238474915.80000001</v>
      </c>
      <c r="AL190">
        <v>237787999.09999999</v>
      </c>
      <c r="AM190">
        <v>237149726</v>
      </c>
      <c r="AN190">
        <v>235932730.80000001</v>
      </c>
      <c r="AO190">
        <v>234732266.09999999</v>
      </c>
      <c r="AP190">
        <v>233474009.19999999</v>
      </c>
      <c r="AQ190">
        <v>232227999.5</v>
      </c>
      <c r="AR190">
        <v>230927110.90000001</v>
      </c>
      <c r="AS190">
        <v>230990138.5</v>
      </c>
      <c r="AT190">
        <v>231211934.80000001</v>
      </c>
      <c r="AU190">
        <v>231467569.80000001</v>
      </c>
      <c r="AV190">
        <v>231734742.30000001</v>
      </c>
      <c r="AW190">
        <v>232100141.5</v>
      </c>
    </row>
    <row r="191" spans="2:49" x14ac:dyDescent="0.25">
      <c r="B191" t="s">
        <v>520</v>
      </c>
      <c r="C191">
        <v>42122345.501310699</v>
      </c>
      <c r="D191">
        <v>42798633.383193001</v>
      </c>
      <c r="E191">
        <v>43485779.289999999</v>
      </c>
      <c r="F191">
        <v>42566125.68</v>
      </c>
      <c r="G191">
        <v>37508994.469999999</v>
      </c>
      <c r="H191">
        <v>32883822.719999999</v>
      </c>
      <c r="I191">
        <v>31271158.309999999</v>
      </c>
      <c r="J191">
        <v>29666421.57</v>
      </c>
      <c r="K191">
        <v>28145901.300000001</v>
      </c>
      <c r="L191">
        <v>28008967.34</v>
      </c>
      <c r="M191">
        <v>27343684.120000001</v>
      </c>
      <c r="N191">
        <v>26508735.170000002</v>
      </c>
      <c r="O191">
        <v>21325489.989999998</v>
      </c>
      <c r="P191">
        <v>17908976.199999999</v>
      </c>
      <c r="Q191">
        <v>15312698.609999999</v>
      </c>
      <c r="R191">
        <v>13002959.1</v>
      </c>
      <c r="S191">
        <v>10772726.539999999</v>
      </c>
      <c r="T191">
        <v>10561105.119999999</v>
      </c>
      <c r="U191">
        <v>10257189.949999999</v>
      </c>
      <c r="V191">
        <v>10069795.35</v>
      </c>
      <c r="W191">
        <v>9171072.1199999899</v>
      </c>
      <c r="X191">
        <v>8163839.9800000004</v>
      </c>
      <c r="Y191">
        <v>8080940.5369999995</v>
      </c>
      <c r="Z191">
        <v>8152680.8669999996</v>
      </c>
      <c r="AA191">
        <v>8252097.4239999996</v>
      </c>
      <c r="AB191">
        <v>8365332.057</v>
      </c>
      <c r="AC191">
        <v>8494263.023</v>
      </c>
      <c r="AD191">
        <v>8507492.0580000002</v>
      </c>
      <c r="AE191">
        <v>8542061.3809999898</v>
      </c>
      <c r="AF191">
        <v>8582837.38199999</v>
      </c>
      <c r="AG191">
        <v>8628761.6769999899</v>
      </c>
      <c r="AH191">
        <v>8686434.1270000003</v>
      </c>
      <c r="AI191">
        <v>8750312.8100000005</v>
      </c>
      <c r="AJ191">
        <v>8816837.7190000005</v>
      </c>
      <c r="AK191">
        <v>8890862.0940000005</v>
      </c>
      <c r="AL191">
        <v>8968465.6720000003</v>
      </c>
      <c r="AM191">
        <v>9047141.9140000008</v>
      </c>
      <c r="AN191">
        <v>9022320.1970000006</v>
      </c>
      <c r="AO191">
        <v>8982978.9230000004</v>
      </c>
      <c r="AP191">
        <v>8931363.6190000009</v>
      </c>
      <c r="AQ191">
        <v>8874615.4450000003</v>
      </c>
      <c r="AR191">
        <v>8807133.2980000004</v>
      </c>
      <c r="AS191">
        <v>8803358.5850000009</v>
      </c>
      <c r="AT191">
        <v>8806485.4489999898</v>
      </c>
      <c r="AU191">
        <v>8809507.7400000002</v>
      </c>
      <c r="AV191">
        <v>8810978.4600000009</v>
      </c>
      <c r="AW191">
        <v>8815171.5659999996</v>
      </c>
    </row>
    <row r="192" spans="2:49" x14ac:dyDescent="0.25">
      <c r="B192" t="s">
        <v>521</v>
      </c>
      <c r="C192">
        <v>261896523.70399499</v>
      </c>
      <c r="D192">
        <v>266101357.10489401</v>
      </c>
      <c r="E192">
        <v>270459078.80000001</v>
      </c>
      <c r="F192">
        <v>270646597.10000002</v>
      </c>
      <c r="G192">
        <v>259622985</v>
      </c>
      <c r="H192">
        <v>251425714.90000001</v>
      </c>
      <c r="I192">
        <v>245983003.30000001</v>
      </c>
      <c r="J192">
        <v>238519106.5</v>
      </c>
      <c r="K192">
        <v>230203208.80000001</v>
      </c>
      <c r="L192">
        <v>223756109.59999999</v>
      </c>
      <c r="M192">
        <v>221539987.69999999</v>
      </c>
      <c r="N192">
        <v>221413766.80000001</v>
      </c>
      <c r="O192">
        <v>215580144.5</v>
      </c>
      <c r="P192">
        <v>209530904.69999999</v>
      </c>
      <c r="Q192">
        <v>201538972</v>
      </c>
      <c r="R192">
        <v>196689777.69999999</v>
      </c>
      <c r="S192">
        <v>190688887.30000001</v>
      </c>
      <c r="T192">
        <v>190265238.5</v>
      </c>
      <c r="U192">
        <v>188297593.69999999</v>
      </c>
      <c r="V192">
        <v>187082365.40000001</v>
      </c>
      <c r="W192">
        <v>185970616.19999999</v>
      </c>
      <c r="X192">
        <v>183872536.30000001</v>
      </c>
      <c r="Y192">
        <v>181881226.69999999</v>
      </c>
      <c r="Z192">
        <v>180767875.19999999</v>
      </c>
      <c r="AA192">
        <v>180015043.09999999</v>
      </c>
      <c r="AB192">
        <v>179513583.19999999</v>
      </c>
      <c r="AC192">
        <v>179255844.80000001</v>
      </c>
      <c r="AD192">
        <v>177607906.30000001</v>
      </c>
      <c r="AE192">
        <v>176024645.30000001</v>
      </c>
      <c r="AF192">
        <v>174502492.09999999</v>
      </c>
      <c r="AG192">
        <v>173053656.59999999</v>
      </c>
      <c r="AH192">
        <v>171645178.40000001</v>
      </c>
      <c r="AI192">
        <v>170535668</v>
      </c>
      <c r="AJ192">
        <v>169506706.09999999</v>
      </c>
      <c r="AK192">
        <v>168576943.80000001</v>
      </c>
      <c r="AL192">
        <v>167745194</v>
      </c>
      <c r="AM192">
        <v>166956664.69999999</v>
      </c>
      <c r="AN192">
        <v>166075938.09999999</v>
      </c>
      <c r="AO192">
        <v>165214798.09999999</v>
      </c>
      <c r="AP192">
        <v>164331156.19999999</v>
      </c>
      <c r="AQ192">
        <v>163472384.40000001</v>
      </c>
      <c r="AR192">
        <v>162593410.09999999</v>
      </c>
      <c r="AS192">
        <v>162185083.19999999</v>
      </c>
      <c r="AT192">
        <v>161833805.80000001</v>
      </c>
      <c r="AU192">
        <v>161524188.90000001</v>
      </c>
      <c r="AV192">
        <v>161249294.30000001</v>
      </c>
      <c r="AW192">
        <v>161068616.30000001</v>
      </c>
    </row>
    <row r="193" spans="2:49" x14ac:dyDescent="0.25">
      <c r="B193" t="s">
        <v>522</v>
      </c>
      <c r="C193">
        <v>88755084.273521304</v>
      </c>
      <c r="D193">
        <v>90180075.860178098</v>
      </c>
      <c r="E193">
        <v>91628082.700000003</v>
      </c>
      <c r="F193">
        <v>91228359.379999995</v>
      </c>
      <c r="G193">
        <v>87994692.019999996</v>
      </c>
      <c r="H193">
        <v>83215239.590000004</v>
      </c>
      <c r="I193">
        <v>83897433.060000002</v>
      </c>
      <c r="J193">
        <v>82813954</v>
      </c>
      <c r="K193">
        <v>78937732.439999998</v>
      </c>
      <c r="L193">
        <v>76540426.620000005</v>
      </c>
      <c r="M193">
        <v>75925806.569999903</v>
      </c>
      <c r="N193">
        <v>76562580.519999996</v>
      </c>
      <c r="O193">
        <v>78376744.069999903</v>
      </c>
      <c r="P193">
        <v>78769729.629999995</v>
      </c>
      <c r="Q193">
        <v>75950450.920000002</v>
      </c>
      <c r="R193">
        <v>74154031</v>
      </c>
      <c r="S193">
        <v>73132975.680000007</v>
      </c>
      <c r="T193">
        <v>69586605.870000005</v>
      </c>
      <c r="U193">
        <v>65737969.409999996</v>
      </c>
      <c r="V193">
        <v>62157599.990000002</v>
      </c>
      <c r="W193">
        <v>62781782.380000003</v>
      </c>
      <c r="X193">
        <v>62900850.25</v>
      </c>
      <c r="Y193">
        <v>62184911.600000001</v>
      </c>
      <c r="Z193">
        <v>61954992.670000002</v>
      </c>
      <c r="AA193">
        <v>61892602.689999998</v>
      </c>
      <c r="AB193">
        <v>61945807.420000002</v>
      </c>
      <c r="AC193">
        <v>62123826.880000003</v>
      </c>
      <c r="AD193">
        <v>61842805.5</v>
      </c>
      <c r="AE193">
        <v>61591615.119999997</v>
      </c>
      <c r="AF193">
        <v>61327091.340000004</v>
      </c>
      <c r="AG193">
        <v>61082451.82</v>
      </c>
      <c r="AH193">
        <v>60881307.270000003</v>
      </c>
      <c r="AI193">
        <v>60907302.75</v>
      </c>
      <c r="AJ193">
        <v>60944290.420000002</v>
      </c>
      <c r="AK193">
        <v>61007110</v>
      </c>
      <c r="AL193">
        <v>61074339.450000003</v>
      </c>
      <c r="AM193">
        <v>61145919.329999998</v>
      </c>
      <c r="AN193">
        <v>60834472.5</v>
      </c>
      <c r="AO193">
        <v>60534489.090000004</v>
      </c>
      <c r="AP193">
        <v>60211489.32</v>
      </c>
      <c r="AQ193">
        <v>59880999.57</v>
      </c>
      <c r="AR193">
        <v>59526567.539999999</v>
      </c>
      <c r="AS193">
        <v>60001696.759999998</v>
      </c>
      <c r="AT193">
        <v>60571643.57</v>
      </c>
      <c r="AU193">
        <v>61133873.159999996</v>
      </c>
      <c r="AV193">
        <v>61674469.460000001</v>
      </c>
      <c r="AW193">
        <v>62216353.609999999</v>
      </c>
    </row>
    <row r="194" spans="2:49" x14ac:dyDescent="0.25">
      <c r="B194" t="s">
        <v>523</v>
      </c>
      <c r="C194">
        <v>419119515.24800497</v>
      </c>
      <c r="D194">
        <v>425848614.63336003</v>
      </c>
      <c r="E194">
        <v>432800620.80000001</v>
      </c>
      <c r="F194">
        <v>432021546.89999998</v>
      </c>
      <c r="G194">
        <v>412031486.30000001</v>
      </c>
      <c r="H194">
        <v>391665908.69999999</v>
      </c>
      <c r="I194">
        <v>386163952.80000001</v>
      </c>
      <c r="J194">
        <v>376634147.39999998</v>
      </c>
      <c r="K194">
        <v>362273615.69999999</v>
      </c>
      <c r="L194">
        <v>353024203</v>
      </c>
      <c r="M194">
        <v>349571981.69999999</v>
      </c>
      <c r="N194">
        <v>349615981.19999999</v>
      </c>
      <c r="O194">
        <v>340511952.30000001</v>
      </c>
      <c r="P194">
        <v>332218840.5</v>
      </c>
      <c r="Q194">
        <v>318977157.5</v>
      </c>
      <c r="R194">
        <v>310307719.5</v>
      </c>
      <c r="S194">
        <v>300994290.5</v>
      </c>
      <c r="T194">
        <v>297363378.30000001</v>
      </c>
      <c r="U194">
        <v>291152380.10000002</v>
      </c>
      <c r="V194">
        <v>286558198.69999999</v>
      </c>
      <c r="W194">
        <v>285566512.5</v>
      </c>
      <c r="X194">
        <v>282887674.19999999</v>
      </c>
      <c r="Y194">
        <v>279986177.60000002</v>
      </c>
      <c r="Z194">
        <v>278865819.39999998</v>
      </c>
      <c r="AA194">
        <v>278434426.19999999</v>
      </c>
      <c r="AB194">
        <v>278458396.19999999</v>
      </c>
      <c r="AC194">
        <v>278958904</v>
      </c>
      <c r="AD194">
        <v>277102595.10000002</v>
      </c>
      <c r="AE194">
        <v>275428538.19999999</v>
      </c>
      <c r="AF194">
        <v>273825972.30000001</v>
      </c>
      <c r="AG194">
        <v>272344747.10000002</v>
      </c>
      <c r="AH194">
        <v>271011937.19999999</v>
      </c>
      <c r="AI194">
        <v>270245814</v>
      </c>
      <c r="AJ194">
        <v>269581444.10000002</v>
      </c>
      <c r="AK194">
        <v>269084913.30000001</v>
      </c>
      <c r="AL194">
        <v>268703667.30000001</v>
      </c>
      <c r="AM194">
        <v>268369088.09999999</v>
      </c>
      <c r="AN194">
        <v>267411022.90000001</v>
      </c>
      <c r="AO194">
        <v>266499238.30000001</v>
      </c>
      <c r="AP194">
        <v>265523325.30000001</v>
      </c>
      <c r="AQ194">
        <v>264579098.09999999</v>
      </c>
      <c r="AR194">
        <v>263562178.40000001</v>
      </c>
      <c r="AS194">
        <v>263935282</v>
      </c>
      <c r="AT194">
        <v>264464614.90000001</v>
      </c>
      <c r="AU194">
        <v>265025254.5</v>
      </c>
      <c r="AV194">
        <v>265598400.19999999</v>
      </c>
      <c r="AW194">
        <v>266328787</v>
      </c>
    </row>
    <row r="195" spans="2:49" x14ac:dyDescent="0.25">
      <c r="B195" t="s">
        <v>524</v>
      </c>
      <c r="C195">
        <v>255.88316116441601</v>
      </c>
      <c r="D195">
        <v>259.991448084664</v>
      </c>
      <c r="E195">
        <v>264.99072790000002</v>
      </c>
      <c r="F195">
        <v>272.90203179999997</v>
      </c>
      <c r="G195">
        <v>274.49682109999998</v>
      </c>
      <c r="H195">
        <v>264.93595319999997</v>
      </c>
      <c r="I195">
        <v>273.1476366</v>
      </c>
      <c r="J195">
        <v>274.72309689999997</v>
      </c>
      <c r="K195">
        <v>271.73655680000002</v>
      </c>
      <c r="L195">
        <v>268.61490959999998</v>
      </c>
      <c r="M195">
        <v>267.9214447</v>
      </c>
      <c r="N195">
        <v>266.99913579999998</v>
      </c>
      <c r="O195">
        <v>257.48620970000002</v>
      </c>
      <c r="P195">
        <v>252.39951099999999</v>
      </c>
      <c r="Q195">
        <v>246.6522827</v>
      </c>
      <c r="R195">
        <v>239.01094259999999</v>
      </c>
      <c r="S195">
        <v>231.59822729999999</v>
      </c>
      <c r="T195">
        <v>230.06350789999999</v>
      </c>
      <c r="U195">
        <v>227.4151943</v>
      </c>
      <c r="V195">
        <v>225.83355460000001</v>
      </c>
      <c r="W195">
        <v>234.9963904</v>
      </c>
      <c r="X195">
        <v>244.22444369999999</v>
      </c>
      <c r="Y195">
        <v>245.28145129999999</v>
      </c>
      <c r="Z195">
        <v>247.05471790000001</v>
      </c>
      <c r="AA195">
        <v>249.12184210000001</v>
      </c>
      <c r="AB195">
        <v>251.11732649999999</v>
      </c>
      <c r="AC195">
        <v>253.39872800000001</v>
      </c>
      <c r="AD195">
        <v>250.25941689999999</v>
      </c>
      <c r="AE195">
        <v>247.32795780000001</v>
      </c>
      <c r="AF195">
        <v>244.49187939999999</v>
      </c>
      <c r="AG195">
        <v>241.78472310000001</v>
      </c>
      <c r="AH195">
        <v>239.2231817</v>
      </c>
      <c r="AI195">
        <v>237.0718718</v>
      </c>
      <c r="AJ195">
        <v>234.98827660000001</v>
      </c>
      <c r="AK195">
        <v>232.96211940000001</v>
      </c>
      <c r="AL195">
        <v>231.03946310000001</v>
      </c>
      <c r="AM195">
        <v>229.12573939999999</v>
      </c>
      <c r="AN195">
        <v>227.01109690000001</v>
      </c>
      <c r="AO195">
        <v>224.92399459999999</v>
      </c>
      <c r="AP195">
        <v>222.80845919999999</v>
      </c>
      <c r="AQ195">
        <v>220.7242033</v>
      </c>
      <c r="AR195">
        <v>218.6196794</v>
      </c>
      <c r="AS195">
        <v>217.34149540000001</v>
      </c>
      <c r="AT195">
        <v>216.03208230000001</v>
      </c>
      <c r="AU195">
        <v>214.7200751</v>
      </c>
      <c r="AV195">
        <v>213.40031719999999</v>
      </c>
      <c r="AW195">
        <v>212.15275919999999</v>
      </c>
    </row>
    <row r="196" spans="2:49" x14ac:dyDescent="0.25">
      <c r="B196" t="s">
        <v>525</v>
      </c>
      <c r="C196">
        <v>5.5705789795526002</v>
      </c>
      <c r="D196">
        <v>5.6600164269241402</v>
      </c>
      <c r="E196">
        <v>5.7508898210000003</v>
      </c>
      <c r="F196">
        <v>5.7929036060000003</v>
      </c>
      <c r="G196">
        <v>4.8242806180000004</v>
      </c>
      <c r="H196">
        <v>4.2185210560000002</v>
      </c>
      <c r="I196">
        <v>4.0840850299999998</v>
      </c>
      <c r="J196">
        <v>3.8991141059999999</v>
      </c>
      <c r="K196">
        <v>3.7615491940000001</v>
      </c>
      <c r="L196">
        <v>4.0026493749999998</v>
      </c>
      <c r="M196">
        <v>4.0988614639999996</v>
      </c>
      <c r="N196">
        <v>4.1630920690000002</v>
      </c>
      <c r="O196">
        <v>3.2553047670000002</v>
      </c>
      <c r="P196">
        <v>2.7334405240000001</v>
      </c>
      <c r="Q196">
        <v>2.3991505709999998</v>
      </c>
      <c r="R196">
        <v>2.1834950950000001</v>
      </c>
      <c r="S196">
        <v>1.9973771819999999</v>
      </c>
      <c r="T196">
        <v>2.0030384200000002</v>
      </c>
      <c r="U196">
        <v>1.961852833</v>
      </c>
      <c r="V196">
        <v>1.945137339</v>
      </c>
      <c r="W196">
        <v>1.912550022</v>
      </c>
      <c r="X196">
        <v>1.8640022780000001</v>
      </c>
      <c r="Y196">
        <v>1.855425758</v>
      </c>
      <c r="Z196">
        <v>1.8721112660000001</v>
      </c>
      <c r="AA196">
        <v>1.8944213169999999</v>
      </c>
      <c r="AB196">
        <v>1.919959448</v>
      </c>
      <c r="AC196">
        <v>1.9494203960000001</v>
      </c>
      <c r="AD196">
        <v>1.9504080580000001</v>
      </c>
      <c r="AE196">
        <v>1.9567920519999999</v>
      </c>
      <c r="AF196">
        <v>1.9647827179999999</v>
      </c>
      <c r="AG196">
        <v>1.9740917170000001</v>
      </c>
      <c r="AH196">
        <v>1.9863420460000001</v>
      </c>
      <c r="AI196">
        <v>2.0001071079999999</v>
      </c>
      <c r="AJ196">
        <v>2.0145604370000001</v>
      </c>
      <c r="AK196">
        <v>2.0309499839999998</v>
      </c>
      <c r="AL196">
        <v>2.0482868289999998</v>
      </c>
      <c r="AM196">
        <v>2.0659780080000001</v>
      </c>
      <c r="AN196">
        <v>2.057938745</v>
      </c>
      <c r="AO196">
        <v>2.046345997</v>
      </c>
      <c r="AP196">
        <v>2.0317767679999998</v>
      </c>
      <c r="AQ196">
        <v>2.0159638950000001</v>
      </c>
      <c r="AR196">
        <v>1.9975454930000001</v>
      </c>
      <c r="AS196">
        <v>1.995107118</v>
      </c>
      <c r="AT196">
        <v>1.994435019</v>
      </c>
      <c r="AU196">
        <v>1.99377702</v>
      </c>
      <c r="AV196">
        <v>1.9927857259999999</v>
      </c>
      <c r="AW196">
        <v>1.992439252</v>
      </c>
    </row>
    <row r="197" spans="2:49" x14ac:dyDescent="0.25">
      <c r="B197" t="s">
        <v>526</v>
      </c>
      <c r="C197">
        <v>5.5705789795526002</v>
      </c>
      <c r="D197">
        <v>5.6600164269241402</v>
      </c>
      <c r="E197">
        <v>5.7508898210000003</v>
      </c>
      <c r="F197">
        <v>5.7929036060000003</v>
      </c>
      <c r="G197">
        <v>4.8242806180000004</v>
      </c>
      <c r="H197">
        <v>4.2185210560000002</v>
      </c>
      <c r="I197">
        <v>4.0840850299999998</v>
      </c>
      <c r="J197">
        <v>3.8991141059999999</v>
      </c>
      <c r="K197">
        <v>3.7615491940000001</v>
      </c>
      <c r="L197">
        <v>4.0026493749999998</v>
      </c>
      <c r="M197">
        <v>4.0988614639999996</v>
      </c>
      <c r="N197">
        <v>4.1630920690000002</v>
      </c>
      <c r="O197">
        <v>3.2553047670000002</v>
      </c>
      <c r="P197">
        <v>2.7334405240000001</v>
      </c>
      <c r="Q197">
        <v>2.3991505709999998</v>
      </c>
      <c r="R197">
        <v>2.1834950950000001</v>
      </c>
      <c r="S197">
        <v>1.9973771819999999</v>
      </c>
      <c r="T197">
        <v>2.0030384200000002</v>
      </c>
      <c r="U197">
        <v>1.961852833</v>
      </c>
      <c r="V197">
        <v>1.945137339</v>
      </c>
      <c r="W197">
        <v>1.912550022</v>
      </c>
      <c r="X197">
        <v>1.8640022780000001</v>
      </c>
      <c r="Y197">
        <v>1.855425758</v>
      </c>
      <c r="Z197">
        <v>1.8721112660000001</v>
      </c>
      <c r="AA197">
        <v>1.8944213169999999</v>
      </c>
      <c r="AB197">
        <v>1.919959448</v>
      </c>
      <c r="AC197">
        <v>1.9494203960000001</v>
      </c>
      <c r="AD197">
        <v>1.9504080580000001</v>
      </c>
      <c r="AE197">
        <v>1.9567920519999999</v>
      </c>
      <c r="AF197">
        <v>1.9647827179999999</v>
      </c>
      <c r="AG197">
        <v>1.9740917170000001</v>
      </c>
      <c r="AH197">
        <v>1.9863420460000001</v>
      </c>
      <c r="AI197">
        <v>2.0001071079999999</v>
      </c>
      <c r="AJ197">
        <v>2.0145604370000001</v>
      </c>
      <c r="AK197">
        <v>2.0309499839999998</v>
      </c>
      <c r="AL197">
        <v>2.0482868289999998</v>
      </c>
      <c r="AM197">
        <v>2.0659780080000001</v>
      </c>
      <c r="AN197">
        <v>2.057938745</v>
      </c>
      <c r="AO197">
        <v>2.046345997</v>
      </c>
      <c r="AP197">
        <v>2.0317767679999998</v>
      </c>
      <c r="AQ197">
        <v>2.0159638950000001</v>
      </c>
      <c r="AR197">
        <v>1.9975454930000001</v>
      </c>
      <c r="AS197">
        <v>1.995107118</v>
      </c>
      <c r="AT197">
        <v>1.994435019</v>
      </c>
      <c r="AU197">
        <v>1.99377702</v>
      </c>
      <c r="AV197">
        <v>1.9927857259999999</v>
      </c>
      <c r="AW197">
        <v>1.992439252</v>
      </c>
    </row>
    <row r="198" spans="2:49" x14ac:dyDescent="0.25">
      <c r="B198" t="s">
        <v>527</v>
      </c>
      <c r="C198">
        <v>82.165927612137295</v>
      </c>
      <c r="D198">
        <v>83.485128157272499</v>
      </c>
      <c r="E198">
        <v>84.844832729999894</v>
      </c>
      <c r="F198">
        <v>84.984151789999999</v>
      </c>
      <c r="G198">
        <v>81.496587939999998</v>
      </c>
      <c r="H198">
        <v>78.958339339999995</v>
      </c>
      <c r="I198">
        <v>77.278689249999999</v>
      </c>
      <c r="J198">
        <v>74.976168110000003</v>
      </c>
      <c r="K198">
        <v>72.401349379999999</v>
      </c>
      <c r="L198">
        <v>70.434383159999996</v>
      </c>
      <c r="M198">
        <v>69.838508640000001</v>
      </c>
      <c r="N198">
        <v>69.921276989999996</v>
      </c>
      <c r="O198">
        <v>68.161529740000006</v>
      </c>
      <c r="P198">
        <v>66.311917989999998</v>
      </c>
      <c r="Q198">
        <v>63.820350560000001</v>
      </c>
      <c r="R198">
        <v>62.360073499999999</v>
      </c>
      <c r="S198">
        <v>60.542639219999998</v>
      </c>
      <c r="T198">
        <v>60.302095389999998</v>
      </c>
      <c r="U198">
        <v>59.544291309999998</v>
      </c>
      <c r="V198">
        <v>59.03124468</v>
      </c>
      <c r="W198">
        <v>58.591627559999999</v>
      </c>
      <c r="X198">
        <v>57.840416750000003</v>
      </c>
      <c r="Y198">
        <v>57.208654869999997</v>
      </c>
      <c r="Z198">
        <v>56.865464340000003</v>
      </c>
      <c r="AA198">
        <v>56.639012139999998</v>
      </c>
      <c r="AB198">
        <v>56.491994079999998</v>
      </c>
      <c r="AC198">
        <v>56.423972620000001</v>
      </c>
      <c r="AD198">
        <v>55.891328719999997</v>
      </c>
      <c r="AE198">
        <v>55.379655999999997</v>
      </c>
      <c r="AF198">
        <v>54.888183609999999</v>
      </c>
      <c r="AG198">
        <v>54.41921499</v>
      </c>
      <c r="AH198">
        <v>53.964248509999997</v>
      </c>
      <c r="AI198">
        <v>53.62486938</v>
      </c>
      <c r="AJ198">
        <v>53.312879950000003</v>
      </c>
      <c r="AK198">
        <v>53.032771570000001</v>
      </c>
      <c r="AL198">
        <v>52.78343023</v>
      </c>
      <c r="AM198">
        <v>52.547796859999998</v>
      </c>
      <c r="AN198">
        <v>52.268275989999999</v>
      </c>
      <c r="AO198">
        <v>51.993336040000003</v>
      </c>
      <c r="AP198">
        <v>51.711008749999998</v>
      </c>
      <c r="AQ198">
        <v>51.43666279</v>
      </c>
      <c r="AR198">
        <v>51.155817140000003</v>
      </c>
      <c r="AS198">
        <v>51.037043369999999</v>
      </c>
      <c r="AT198">
        <v>50.937147750000001</v>
      </c>
      <c r="AU198">
        <v>50.850625219999998</v>
      </c>
      <c r="AV198">
        <v>50.775186810000001</v>
      </c>
      <c r="AW198">
        <v>50.729649209999998</v>
      </c>
    </row>
    <row r="199" spans="2:49" x14ac:dyDescent="0.25">
      <c r="B199" t="s">
        <v>528</v>
      </c>
      <c r="C199">
        <v>0.67805251130835598</v>
      </c>
      <c r="D199">
        <v>0.68893886369971102</v>
      </c>
      <c r="E199">
        <v>0.66746531440000001</v>
      </c>
      <c r="F199">
        <v>1.0023106740000001</v>
      </c>
      <c r="G199">
        <v>1.2829736709999999</v>
      </c>
      <c r="H199">
        <v>1.5564776499999999</v>
      </c>
      <c r="I199">
        <v>1.831816892</v>
      </c>
      <c r="J199">
        <v>2.088431843</v>
      </c>
      <c r="K199">
        <v>2.3204771179999999</v>
      </c>
      <c r="L199">
        <v>2.5558089989999999</v>
      </c>
      <c r="M199">
        <v>2.8326030229999999</v>
      </c>
      <c r="N199">
        <v>3.1370651139999999</v>
      </c>
      <c r="O199">
        <v>3.117078394</v>
      </c>
      <c r="P199">
        <v>3.0934184560000002</v>
      </c>
      <c r="Q199">
        <v>3.039593081</v>
      </c>
      <c r="R199">
        <v>3.0350888089999999</v>
      </c>
      <c r="S199">
        <v>3.0141585609999999</v>
      </c>
      <c r="T199">
        <v>3.1567748039999999</v>
      </c>
      <c r="U199">
        <v>3.264118818</v>
      </c>
      <c r="V199">
        <v>3.376398504</v>
      </c>
      <c r="W199">
        <v>3.4835502979999999</v>
      </c>
      <c r="X199">
        <v>3.5749335389999999</v>
      </c>
      <c r="Y199">
        <v>3.5319699820000001</v>
      </c>
      <c r="Z199">
        <v>3.5068862310000002</v>
      </c>
      <c r="AA199">
        <v>3.4890368899999999</v>
      </c>
      <c r="AB199">
        <v>3.4766189110000001</v>
      </c>
      <c r="AC199">
        <v>3.4691424500000001</v>
      </c>
      <c r="AD199">
        <v>3.4297874880000001</v>
      </c>
      <c r="AE199">
        <v>3.3916917679999998</v>
      </c>
      <c r="AF199">
        <v>3.3547915619999999</v>
      </c>
      <c r="AG199">
        <v>3.3191881689999998</v>
      </c>
      <c r="AH199">
        <v>3.2843966349999998</v>
      </c>
      <c r="AI199">
        <v>3.2618467400000002</v>
      </c>
      <c r="AJ199">
        <v>3.2410664709999999</v>
      </c>
      <c r="AK199">
        <v>3.2223303410000002</v>
      </c>
      <c r="AL199">
        <v>3.2045297079999999</v>
      </c>
      <c r="AM199">
        <v>3.1876546970000001</v>
      </c>
      <c r="AN199">
        <v>3.180479176</v>
      </c>
      <c r="AO199">
        <v>3.1739363119999999</v>
      </c>
      <c r="AP199">
        <v>3.167315522</v>
      </c>
      <c r="AQ199">
        <v>3.161578081</v>
      </c>
      <c r="AR199">
        <v>3.1558589850000001</v>
      </c>
      <c r="AS199">
        <v>3.1642321</v>
      </c>
      <c r="AT199">
        <v>3.1740728749999998</v>
      </c>
      <c r="AU199">
        <v>3.1850647300000001</v>
      </c>
      <c r="AV199">
        <v>3.1970876580000001</v>
      </c>
      <c r="AW199">
        <v>3.211355765</v>
      </c>
    </row>
    <row r="200" spans="2:49" x14ac:dyDescent="0.25">
      <c r="B200" t="s">
        <v>529</v>
      </c>
      <c r="C200">
        <v>82.165927612137295</v>
      </c>
      <c r="D200">
        <v>83.485128157272499</v>
      </c>
      <c r="E200">
        <v>84.844832729999894</v>
      </c>
      <c r="F200">
        <v>84.984151789999999</v>
      </c>
      <c r="G200">
        <v>81.496587939999998</v>
      </c>
      <c r="H200">
        <v>78.958339339999995</v>
      </c>
      <c r="I200">
        <v>77.278689249999999</v>
      </c>
      <c r="J200">
        <v>74.976168110000003</v>
      </c>
      <c r="K200">
        <v>72.401349379999999</v>
      </c>
      <c r="L200">
        <v>70.434383159999996</v>
      </c>
      <c r="M200">
        <v>69.838508640000001</v>
      </c>
      <c r="N200">
        <v>69.921276989999996</v>
      </c>
      <c r="O200">
        <v>68.161529740000006</v>
      </c>
      <c r="P200">
        <v>66.311917989999998</v>
      </c>
      <c r="Q200">
        <v>63.820350560000001</v>
      </c>
      <c r="R200">
        <v>62.360073499999999</v>
      </c>
      <c r="S200">
        <v>60.542639219999998</v>
      </c>
      <c r="T200">
        <v>60.302095389999998</v>
      </c>
      <c r="U200">
        <v>59.544291309999998</v>
      </c>
      <c r="V200">
        <v>59.03124468</v>
      </c>
      <c r="W200">
        <v>58.591627559999999</v>
      </c>
      <c r="X200">
        <v>57.840416750000003</v>
      </c>
      <c r="Y200">
        <v>57.208654869999997</v>
      </c>
      <c r="Z200">
        <v>56.865464340000003</v>
      </c>
      <c r="AA200">
        <v>56.639012139999998</v>
      </c>
      <c r="AB200">
        <v>56.491994079999998</v>
      </c>
      <c r="AC200">
        <v>56.423972620000001</v>
      </c>
      <c r="AD200">
        <v>55.891328719999997</v>
      </c>
      <c r="AE200">
        <v>55.379655999999997</v>
      </c>
      <c r="AF200">
        <v>54.888183609999999</v>
      </c>
      <c r="AG200">
        <v>54.41921499</v>
      </c>
      <c r="AH200">
        <v>53.964248509999997</v>
      </c>
      <c r="AI200">
        <v>53.62486938</v>
      </c>
      <c r="AJ200">
        <v>53.312879950000003</v>
      </c>
      <c r="AK200">
        <v>53.032771570000001</v>
      </c>
      <c r="AL200">
        <v>52.78343023</v>
      </c>
      <c r="AM200">
        <v>52.547796859999998</v>
      </c>
      <c r="AN200">
        <v>52.268275989999999</v>
      </c>
      <c r="AO200">
        <v>51.993336040000003</v>
      </c>
      <c r="AP200">
        <v>51.711008749999998</v>
      </c>
      <c r="AQ200">
        <v>51.43666279</v>
      </c>
      <c r="AR200">
        <v>51.155817140000003</v>
      </c>
      <c r="AS200">
        <v>51.037043369999999</v>
      </c>
      <c r="AT200">
        <v>50.937147750000001</v>
      </c>
      <c r="AU200">
        <v>50.850625219999998</v>
      </c>
      <c r="AV200">
        <v>50.775186810000001</v>
      </c>
      <c r="AW200">
        <v>50.729649209999998</v>
      </c>
    </row>
    <row r="201" spans="2:49" x14ac:dyDescent="0.25">
      <c r="B201" t="s">
        <v>530</v>
      </c>
      <c r="C201">
        <v>0.67805251130835598</v>
      </c>
      <c r="D201">
        <v>0.68893886369971102</v>
      </c>
      <c r="E201">
        <v>0.66746531440000001</v>
      </c>
      <c r="F201">
        <v>1.0023106740000001</v>
      </c>
      <c r="G201">
        <v>1.2829736709999999</v>
      </c>
      <c r="H201">
        <v>1.5564776499999999</v>
      </c>
      <c r="I201">
        <v>1.831816892</v>
      </c>
      <c r="J201">
        <v>2.088431843</v>
      </c>
      <c r="K201">
        <v>2.3204771179999999</v>
      </c>
      <c r="L201">
        <v>2.5558089989999999</v>
      </c>
      <c r="M201">
        <v>2.8326030229999999</v>
      </c>
      <c r="N201">
        <v>3.1370651139999999</v>
      </c>
      <c r="O201">
        <v>3.117078394</v>
      </c>
      <c r="P201">
        <v>3.0934184560000002</v>
      </c>
      <c r="Q201">
        <v>3.039593081</v>
      </c>
      <c r="R201">
        <v>3.0350888089999999</v>
      </c>
      <c r="S201">
        <v>3.0141585609999999</v>
      </c>
      <c r="T201">
        <v>3.1567748039999999</v>
      </c>
      <c r="U201">
        <v>3.264118818</v>
      </c>
      <c r="V201">
        <v>3.376398504</v>
      </c>
      <c r="W201">
        <v>3.4835502979999999</v>
      </c>
      <c r="X201">
        <v>3.5749335389999999</v>
      </c>
      <c r="Y201">
        <v>3.5319699820000001</v>
      </c>
      <c r="Z201">
        <v>3.5068862310000002</v>
      </c>
      <c r="AA201">
        <v>3.4890368899999999</v>
      </c>
      <c r="AB201">
        <v>3.4766189110000001</v>
      </c>
      <c r="AC201">
        <v>3.4691424500000001</v>
      </c>
      <c r="AD201">
        <v>3.4297874880000001</v>
      </c>
      <c r="AE201">
        <v>3.3916917679999998</v>
      </c>
      <c r="AF201">
        <v>3.3547915619999999</v>
      </c>
      <c r="AG201">
        <v>3.3191881689999998</v>
      </c>
      <c r="AH201">
        <v>3.2843966349999998</v>
      </c>
      <c r="AI201">
        <v>3.2618467400000002</v>
      </c>
      <c r="AJ201">
        <v>3.2410664709999999</v>
      </c>
      <c r="AK201">
        <v>3.2223303410000002</v>
      </c>
      <c r="AL201">
        <v>3.2045297079999999</v>
      </c>
      <c r="AM201">
        <v>3.1876546970000001</v>
      </c>
      <c r="AN201">
        <v>3.180479176</v>
      </c>
      <c r="AO201">
        <v>3.1739363119999999</v>
      </c>
      <c r="AP201">
        <v>3.167315522</v>
      </c>
      <c r="AQ201">
        <v>3.161578081</v>
      </c>
      <c r="AR201">
        <v>3.1558589850000001</v>
      </c>
      <c r="AS201">
        <v>3.1642321</v>
      </c>
      <c r="AT201">
        <v>3.1740728749999998</v>
      </c>
      <c r="AU201">
        <v>3.1850647300000001</v>
      </c>
      <c r="AV201">
        <v>3.1970876580000001</v>
      </c>
      <c r="AW201">
        <v>3.211355765</v>
      </c>
    </row>
    <row r="202" spans="2:49" x14ac:dyDescent="0.25">
      <c r="B202" t="s">
        <v>531</v>
      </c>
      <c r="C202">
        <v>114.221490567207</v>
      </c>
      <c r="D202">
        <v>116.055353544252</v>
      </c>
      <c r="E202">
        <v>118.4724696</v>
      </c>
      <c r="F202">
        <v>124.23891020000001</v>
      </c>
      <c r="G202">
        <v>129.76024240000001</v>
      </c>
      <c r="H202">
        <v>124.8149148</v>
      </c>
      <c r="I202">
        <v>132.07548779999999</v>
      </c>
      <c r="J202">
        <v>134.55689179999999</v>
      </c>
      <c r="K202">
        <v>134.51933170000001</v>
      </c>
      <c r="L202">
        <v>132.73915529999999</v>
      </c>
      <c r="M202">
        <v>131.04629120000001</v>
      </c>
      <c r="N202">
        <v>127.81524039999999</v>
      </c>
      <c r="O202">
        <v>120.2665207</v>
      </c>
      <c r="P202">
        <v>117.19083379999999</v>
      </c>
      <c r="Q202">
        <v>115.7323811</v>
      </c>
      <c r="R202">
        <v>111.0146191</v>
      </c>
      <c r="S202">
        <v>106.38047779999999</v>
      </c>
      <c r="T202">
        <v>104.78236130000001</v>
      </c>
      <c r="U202">
        <v>102.854612</v>
      </c>
      <c r="V202">
        <v>101.44241359999999</v>
      </c>
      <c r="W202">
        <v>111.0263903</v>
      </c>
      <c r="X202">
        <v>121.1664237</v>
      </c>
      <c r="Y202">
        <v>122.1937552</v>
      </c>
      <c r="Z202">
        <v>123.3801033</v>
      </c>
      <c r="AA202">
        <v>124.6239052</v>
      </c>
      <c r="AB202">
        <v>125.706259</v>
      </c>
      <c r="AC202">
        <v>126.8833229</v>
      </c>
      <c r="AD202">
        <v>123.43323890000001</v>
      </c>
      <c r="AE202">
        <v>120.1442583</v>
      </c>
      <c r="AF202">
        <v>116.9493891</v>
      </c>
      <c r="AG202">
        <v>113.7895125</v>
      </c>
      <c r="AH202">
        <v>110.73403740000001</v>
      </c>
      <c r="AI202">
        <v>107.8809201</v>
      </c>
      <c r="AJ202">
        <v>105.0889937</v>
      </c>
      <c r="AK202">
        <v>102.3361237</v>
      </c>
      <c r="AL202">
        <v>99.581127420000001</v>
      </c>
      <c r="AM202">
        <v>96.85129585</v>
      </c>
      <c r="AN202">
        <v>94.203327340000001</v>
      </c>
      <c r="AO202">
        <v>91.584486490000003</v>
      </c>
      <c r="AP202">
        <v>88.981331069999996</v>
      </c>
      <c r="AQ202">
        <v>86.416501710000006</v>
      </c>
      <c r="AR202">
        <v>83.873811489999994</v>
      </c>
      <c r="AS202">
        <v>81.493132509999995</v>
      </c>
      <c r="AT202">
        <v>79.088117389999894</v>
      </c>
      <c r="AU202">
        <v>76.687948259999999</v>
      </c>
      <c r="AV202">
        <v>74.291253679999997</v>
      </c>
      <c r="AW202">
        <v>71.924978120000006</v>
      </c>
    </row>
    <row r="203" spans="2:49" x14ac:dyDescent="0.25">
      <c r="B203" t="s">
        <v>532</v>
      </c>
      <c r="C203">
        <v>1.2736350545564401</v>
      </c>
      <c r="D203">
        <v>1.2940836773262701</v>
      </c>
      <c r="E203">
        <v>1.3210359060000001</v>
      </c>
      <c r="F203">
        <v>1.3105955549999999</v>
      </c>
      <c r="G203">
        <v>1.2950164159999999</v>
      </c>
      <c r="H203">
        <v>1.1785053560000001</v>
      </c>
      <c r="I203">
        <v>1.1798527459999999</v>
      </c>
      <c r="J203">
        <v>1.112251755</v>
      </c>
      <c r="K203">
        <v>1.029086712</v>
      </c>
      <c r="L203">
        <v>0.94001491670000004</v>
      </c>
      <c r="M203">
        <v>0.8592975196</v>
      </c>
      <c r="N203">
        <v>0.77626997580000001</v>
      </c>
      <c r="O203">
        <v>0.6701341193</v>
      </c>
      <c r="P203">
        <v>0.59016145580000001</v>
      </c>
      <c r="Q203">
        <v>0.51622797300000001</v>
      </c>
      <c r="R203">
        <v>0.42639632719999998</v>
      </c>
      <c r="S203">
        <v>0.33733643070000002</v>
      </c>
      <c r="T203">
        <v>0.44084712999999998</v>
      </c>
      <c r="U203">
        <v>0.5423604648</v>
      </c>
      <c r="V203">
        <v>0.64618376639999997</v>
      </c>
      <c r="W203">
        <v>0.7141707035</v>
      </c>
      <c r="X203">
        <v>0.78577211979999995</v>
      </c>
      <c r="Y203">
        <v>0.78625475850000004</v>
      </c>
      <c r="Z203">
        <v>0.78763385620000004</v>
      </c>
      <c r="AA203">
        <v>0.78924110879999998</v>
      </c>
      <c r="AB203">
        <v>0.78993622529999996</v>
      </c>
      <c r="AC203">
        <v>0.79111703639999997</v>
      </c>
      <c r="AD203">
        <v>0.79527044999999996</v>
      </c>
      <c r="AE203">
        <v>0.79958371949999996</v>
      </c>
      <c r="AF203">
        <v>0.80367199369999998</v>
      </c>
      <c r="AG203">
        <v>0.80842733420000001</v>
      </c>
      <c r="AH203">
        <v>0.81309474270000004</v>
      </c>
      <c r="AI203">
        <v>0.80118855749999995</v>
      </c>
      <c r="AJ203">
        <v>0.78953982219999996</v>
      </c>
      <c r="AK203">
        <v>0.77798710879999999</v>
      </c>
      <c r="AL203">
        <v>0.76649050569999999</v>
      </c>
      <c r="AM203">
        <v>0.75499808089999998</v>
      </c>
      <c r="AN203">
        <v>0.76162748010000003</v>
      </c>
      <c r="AO203">
        <v>0.76802238300000003</v>
      </c>
      <c r="AP203">
        <v>0.77406421349999999</v>
      </c>
      <c r="AQ203">
        <v>0.77994237889999996</v>
      </c>
      <c r="AR203">
        <v>0.78551217699999998</v>
      </c>
      <c r="AS203">
        <v>0.78774382519999997</v>
      </c>
      <c r="AT203">
        <v>0.78962524150000002</v>
      </c>
      <c r="AU203">
        <v>0.79142472129999997</v>
      </c>
      <c r="AV203">
        <v>0.79312201959999995</v>
      </c>
      <c r="AW203">
        <v>0.79500711609999997</v>
      </c>
    </row>
    <row r="204" spans="2:49" x14ac:dyDescent="0.25">
      <c r="B204" t="s">
        <v>533</v>
      </c>
      <c r="C204">
        <v>3.4574974609126801</v>
      </c>
      <c r="D204">
        <v>3.51300870100687</v>
      </c>
      <c r="E204">
        <v>3.5861750790000002</v>
      </c>
      <c r="F204">
        <v>3.7405906080000002</v>
      </c>
      <c r="G204">
        <v>3.8861281010000002</v>
      </c>
      <c r="H204">
        <v>3.7184387409999999</v>
      </c>
      <c r="I204">
        <v>3.914372116</v>
      </c>
      <c r="J204">
        <v>4.0638924310000002</v>
      </c>
      <c r="K204">
        <v>4.1464986469999996</v>
      </c>
      <c r="L204">
        <v>4.181659121</v>
      </c>
      <c r="M204">
        <v>4.2243078409999999</v>
      </c>
      <c r="N204">
        <v>4.2205345779999996</v>
      </c>
      <c r="O204">
        <v>4.4367206640000001</v>
      </c>
      <c r="P204">
        <v>4.8111352610000004</v>
      </c>
      <c r="Q204">
        <v>5.2711713959999997</v>
      </c>
      <c r="R204">
        <v>5.5962835560000004</v>
      </c>
      <c r="S204">
        <v>5.9250073079999996</v>
      </c>
      <c r="T204">
        <v>5.6530765550000002</v>
      </c>
      <c r="U204">
        <v>5.3624927790000001</v>
      </c>
      <c r="V204">
        <v>5.0975789450000004</v>
      </c>
      <c r="W204">
        <v>3.5176650989999998</v>
      </c>
      <c r="X204">
        <v>1.8857347040000001</v>
      </c>
      <c r="Y204">
        <v>1.88547815</v>
      </c>
      <c r="Z204">
        <v>1.887464794</v>
      </c>
      <c r="AA204">
        <v>1.890092678</v>
      </c>
      <c r="AB204">
        <v>1.8913467660000001</v>
      </c>
      <c r="AC204">
        <v>1.8937613470000001</v>
      </c>
      <c r="AD204">
        <v>1.874698931</v>
      </c>
      <c r="AE204">
        <v>1.8567210439999999</v>
      </c>
      <c r="AF204">
        <v>1.8388763699999999</v>
      </c>
      <c r="AG204">
        <v>1.822681336</v>
      </c>
      <c r="AH204">
        <v>1.806877004</v>
      </c>
      <c r="AI204">
        <v>1.794524131</v>
      </c>
      <c r="AJ204">
        <v>1.7822162159999999</v>
      </c>
      <c r="AK204">
        <v>1.7696005020000001</v>
      </c>
      <c r="AL204">
        <v>1.7579070750000001</v>
      </c>
      <c r="AM204">
        <v>1.74570998</v>
      </c>
      <c r="AN204">
        <v>1.7357302379999999</v>
      </c>
      <c r="AO204">
        <v>1.725506811</v>
      </c>
      <c r="AP204">
        <v>1.714780119</v>
      </c>
      <c r="AQ204">
        <v>1.70397789</v>
      </c>
      <c r="AR204">
        <v>1.6927847009999999</v>
      </c>
      <c r="AS204">
        <v>2.309011736</v>
      </c>
      <c r="AT204">
        <v>2.9153474089999998</v>
      </c>
      <c r="AU204">
        <v>3.5122763020000001</v>
      </c>
      <c r="AV204">
        <v>4.0996050070000001</v>
      </c>
      <c r="AW204">
        <v>4.6789126149999998</v>
      </c>
    </row>
    <row r="205" spans="2:49" x14ac:dyDescent="0.25">
      <c r="B205" t="s">
        <v>534</v>
      </c>
      <c r="C205">
        <v>5.0750954082325404</v>
      </c>
      <c r="D205">
        <v>5.1565777065978304</v>
      </c>
      <c r="E205">
        <v>5.2639751380000002</v>
      </c>
      <c r="F205">
        <v>5.0755988429999999</v>
      </c>
      <c r="G205">
        <v>4.8743113249999999</v>
      </c>
      <c r="H205">
        <v>4.3111083990000001</v>
      </c>
      <c r="I205">
        <v>4.1947355030000004</v>
      </c>
      <c r="J205">
        <v>4.1047702160000004</v>
      </c>
      <c r="K205">
        <v>3.9476941189999999</v>
      </c>
      <c r="L205">
        <v>3.7526288129999998</v>
      </c>
      <c r="M205">
        <v>3.5733681119999998</v>
      </c>
      <c r="N205">
        <v>3.3654005489999999</v>
      </c>
      <c r="O205">
        <v>2.7997231720000002</v>
      </c>
      <c r="P205">
        <v>2.3464679180000001</v>
      </c>
      <c r="Q205">
        <v>1.913587275</v>
      </c>
      <c r="R205">
        <v>1.4193570200000001</v>
      </c>
      <c r="S205">
        <v>0.92971506159999995</v>
      </c>
      <c r="T205">
        <v>0.88717850340000004</v>
      </c>
      <c r="U205">
        <v>0.84164294470000001</v>
      </c>
      <c r="V205">
        <v>0.80006491310000005</v>
      </c>
      <c r="W205">
        <v>0.54994670140000002</v>
      </c>
      <c r="X205">
        <v>0.28846520689999999</v>
      </c>
      <c r="Y205">
        <v>0.29082303949999999</v>
      </c>
      <c r="Z205">
        <v>0.29356153530000001</v>
      </c>
      <c r="AA205">
        <v>0.29643889620000002</v>
      </c>
      <c r="AB205">
        <v>0.29891650260000002</v>
      </c>
      <c r="AC205">
        <v>0.30161874399999999</v>
      </c>
      <c r="AD205">
        <v>0.29933833910000002</v>
      </c>
      <c r="AE205">
        <v>0.29723525039999998</v>
      </c>
      <c r="AF205">
        <v>0.29515810710000001</v>
      </c>
      <c r="AG205">
        <v>0.29327985140000001</v>
      </c>
      <c r="AH205">
        <v>0.29146942889999999</v>
      </c>
      <c r="AI205">
        <v>0.29028234260000002</v>
      </c>
      <c r="AJ205">
        <v>0.28910713669999999</v>
      </c>
      <c r="AK205">
        <v>0.28788660020000001</v>
      </c>
      <c r="AL205">
        <v>0.28676638580000002</v>
      </c>
      <c r="AM205">
        <v>0.2855680753</v>
      </c>
      <c r="AN205">
        <v>0.28479553260000001</v>
      </c>
      <c r="AO205">
        <v>0.28398667999999999</v>
      </c>
      <c r="AP205">
        <v>0.2830983695</v>
      </c>
      <c r="AQ205">
        <v>0.28220073099999998</v>
      </c>
      <c r="AR205">
        <v>0.2812413077</v>
      </c>
      <c r="AS205">
        <v>0.2810168824</v>
      </c>
      <c r="AT205">
        <v>0.28067351359999998</v>
      </c>
      <c r="AU205">
        <v>0.2803074626</v>
      </c>
      <c r="AV205">
        <v>0.27991178220000001</v>
      </c>
      <c r="AW205">
        <v>0.27958872159999998</v>
      </c>
    </row>
    <row r="206" spans="2:49" x14ac:dyDescent="0.25">
      <c r="B206" t="s">
        <v>535</v>
      </c>
      <c r="C206">
        <v>0.35516190417563898</v>
      </c>
      <c r="D206">
        <v>0.36086414342755202</v>
      </c>
      <c r="E206">
        <v>0.36837995810000002</v>
      </c>
      <c r="F206">
        <v>0.78372089619999996</v>
      </c>
      <c r="G206">
        <v>1.182544029</v>
      </c>
      <c r="H206">
        <v>1.438749593</v>
      </c>
      <c r="I206">
        <v>1.7888705119999999</v>
      </c>
      <c r="J206">
        <v>2.117163589</v>
      </c>
      <c r="K206">
        <v>2.366903776</v>
      </c>
      <c r="L206">
        <v>2.5271419989999999</v>
      </c>
      <c r="M206">
        <v>2.6138810119999998</v>
      </c>
      <c r="N206">
        <v>2.5769928599999998</v>
      </c>
      <c r="O206">
        <v>2.738370857</v>
      </c>
      <c r="P206">
        <v>2.9985547079999999</v>
      </c>
      <c r="Q206">
        <v>3.3147093559999998</v>
      </c>
      <c r="R206">
        <v>3.5482899680000002</v>
      </c>
      <c r="S206">
        <v>3.7857175349999999</v>
      </c>
      <c r="T206">
        <v>3.962223507</v>
      </c>
      <c r="U206">
        <v>4.125716347</v>
      </c>
      <c r="V206">
        <v>4.3097745569999999</v>
      </c>
      <c r="W206">
        <v>4.9660197589999999</v>
      </c>
      <c r="X206">
        <v>5.6456631509999999</v>
      </c>
      <c r="Y206">
        <v>6.0766968849999996</v>
      </c>
      <c r="Z206">
        <v>6.5234309120000002</v>
      </c>
      <c r="AA206">
        <v>6.9817299630000003</v>
      </c>
      <c r="AB206">
        <v>7.313840624</v>
      </c>
      <c r="AC206">
        <v>7.6564663790000003</v>
      </c>
      <c r="AD206">
        <v>8.0350895290000004</v>
      </c>
      <c r="AE206">
        <v>8.4110305810000003</v>
      </c>
      <c r="AF206">
        <v>8.7808052599999904</v>
      </c>
      <c r="AG206">
        <v>9.164357764</v>
      </c>
      <c r="AH206">
        <v>9.5436276479999904</v>
      </c>
      <c r="AI206">
        <v>9.9446959830000008</v>
      </c>
      <c r="AJ206">
        <v>10.34169822</v>
      </c>
      <c r="AK206">
        <v>10.732723460000001</v>
      </c>
      <c r="AL206">
        <v>11.134927810000001</v>
      </c>
      <c r="AM206">
        <v>11.529738010000001</v>
      </c>
      <c r="AN206">
        <v>11.9366042</v>
      </c>
      <c r="AO206">
        <v>12.338738770000001</v>
      </c>
      <c r="AP206">
        <v>12.73412076</v>
      </c>
      <c r="AQ206">
        <v>13.1257327</v>
      </c>
      <c r="AR206">
        <v>13.51109613</v>
      </c>
      <c r="AS206">
        <v>13.90718676</v>
      </c>
      <c r="AT206">
        <v>14.296281240000001</v>
      </c>
      <c r="AU206">
        <v>14.68291715</v>
      </c>
      <c r="AV206">
        <v>15.06663371</v>
      </c>
      <c r="AW206">
        <v>15.45296538</v>
      </c>
    </row>
    <row r="207" spans="2:49" x14ac:dyDescent="0.25">
      <c r="B207" t="s">
        <v>536</v>
      </c>
      <c r="C207">
        <v>7.99114284395189E-2</v>
      </c>
      <c r="D207">
        <v>8.1194432271199296E-2</v>
      </c>
      <c r="E207">
        <v>8.28854906E-2</v>
      </c>
      <c r="F207">
        <v>0.1130038929</v>
      </c>
      <c r="G207">
        <v>0.1534161403</v>
      </c>
      <c r="H207">
        <v>0.1917832763</v>
      </c>
      <c r="I207">
        <v>0.2636967952</v>
      </c>
      <c r="J207">
        <v>0.36246286709999997</v>
      </c>
      <c r="K207">
        <v>0.4886030569</v>
      </c>
      <c r="L207">
        <v>0.64981480729999996</v>
      </c>
      <c r="M207">
        <v>0.8643696636</v>
      </c>
      <c r="N207">
        <v>1.1356939690000001</v>
      </c>
      <c r="O207">
        <v>1.2068140789999999</v>
      </c>
      <c r="P207">
        <v>1.3214784369999999</v>
      </c>
      <c r="Q207">
        <v>1.4608094119999999</v>
      </c>
      <c r="R207">
        <v>1.5637495850000001</v>
      </c>
      <c r="S207">
        <v>1.668385132</v>
      </c>
      <c r="T207">
        <v>1.722172995</v>
      </c>
      <c r="U207">
        <v>1.770362969</v>
      </c>
      <c r="V207">
        <v>1.8273932429999999</v>
      </c>
      <c r="W207">
        <v>2.0618704669999999</v>
      </c>
      <c r="X207">
        <v>2.304786489</v>
      </c>
      <c r="Y207">
        <v>2.4964967040000001</v>
      </c>
      <c r="Z207">
        <v>2.6949514049999999</v>
      </c>
      <c r="AA207">
        <v>2.8984867510000001</v>
      </c>
      <c r="AB207">
        <v>3.105243132</v>
      </c>
      <c r="AC207">
        <v>3.3176792210000001</v>
      </c>
      <c r="AD207">
        <v>3.7115672810000002</v>
      </c>
      <c r="AE207">
        <v>4.0998504049999998</v>
      </c>
      <c r="AF207">
        <v>4.4812258280000004</v>
      </c>
      <c r="AG207">
        <v>4.8757084669999999</v>
      </c>
      <c r="AH207">
        <v>5.2645579790000001</v>
      </c>
      <c r="AI207">
        <v>5.670846633</v>
      </c>
      <c r="AJ207">
        <v>6.0725582149999999</v>
      </c>
      <c r="AK207">
        <v>6.4686313909999997</v>
      </c>
      <c r="AL207">
        <v>6.8762002290000002</v>
      </c>
      <c r="AM207">
        <v>7.2772258059999997</v>
      </c>
      <c r="AN207">
        <v>7.6913753820000004</v>
      </c>
      <c r="AO207">
        <v>8.1011237840000003</v>
      </c>
      <c r="AP207">
        <v>8.5050986369999997</v>
      </c>
      <c r="AQ207">
        <v>8.9052399589999904</v>
      </c>
      <c r="AR207">
        <v>9.299857587</v>
      </c>
      <c r="AS207">
        <v>9.5167563909999995</v>
      </c>
      <c r="AT207">
        <v>9.7290305410000002</v>
      </c>
      <c r="AU207">
        <v>9.9398151460000008</v>
      </c>
      <c r="AV207">
        <v>10.14881035</v>
      </c>
      <c r="AW207">
        <v>10.35974032</v>
      </c>
    </row>
    <row r="208" spans="2:49" x14ac:dyDescent="0.25">
      <c r="B208" t="s">
        <v>537</v>
      </c>
      <c r="C208">
        <v>4.4799793836545803</v>
      </c>
      <c r="D208">
        <v>4.5519069017495504</v>
      </c>
      <c r="E208">
        <v>4.6467106920000001</v>
      </c>
      <c r="F208">
        <v>4.6107591350000003</v>
      </c>
      <c r="G208">
        <v>4.5562308939999996</v>
      </c>
      <c r="H208">
        <v>4.1461562020000002</v>
      </c>
      <c r="I208">
        <v>4.150357638</v>
      </c>
      <c r="J208">
        <v>4.0702570500000004</v>
      </c>
      <c r="K208">
        <v>3.9221310979999999</v>
      </c>
      <c r="L208">
        <v>3.735137726</v>
      </c>
      <c r="M208">
        <v>3.563126945</v>
      </c>
      <c r="N208">
        <v>3.3620055500000001</v>
      </c>
      <c r="O208">
        <v>3.5773140190000001</v>
      </c>
      <c r="P208">
        <v>3.9224197959999998</v>
      </c>
      <c r="Q208">
        <v>4.3417275130000004</v>
      </c>
      <c r="R208">
        <v>4.6538133430000004</v>
      </c>
      <c r="S208">
        <v>4.9717417130000001</v>
      </c>
      <c r="T208">
        <v>5.182314796</v>
      </c>
      <c r="U208">
        <v>5.3761747800000004</v>
      </c>
      <c r="V208">
        <v>5.5971027160000002</v>
      </c>
      <c r="W208">
        <v>5.7060388660000001</v>
      </c>
      <c r="X208">
        <v>5.8201872479999999</v>
      </c>
      <c r="Y208">
        <v>5.8531684879999997</v>
      </c>
      <c r="Z208">
        <v>5.8936038540000002</v>
      </c>
      <c r="AA208">
        <v>5.936594972</v>
      </c>
      <c r="AB208">
        <v>5.9828073980000003</v>
      </c>
      <c r="AC208">
        <v>6.0334571700000001</v>
      </c>
      <c r="AD208">
        <v>6.0210799970000002</v>
      </c>
      <c r="AE208">
        <v>6.0123775259999999</v>
      </c>
      <c r="AF208">
        <v>6.0043302499999998</v>
      </c>
      <c r="AG208">
        <v>5.9984366219999998</v>
      </c>
      <c r="AH208">
        <v>5.9940678319999998</v>
      </c>
      <c r="AI208">
        <v>5.9972265680000003</v>
      </c>
      <c r="AJ208">
        <v>6.0008090129999996</v>
      </c>
      <c r="AK208">
        <v>6.0036276959999997</v>
      </c>
      <c r="AL208">
        <v>6.0070206339999999</v>
      </c>
      <c r="AM208">
        <v>6.0089308060000004</v>
      </c>
      <c r="AN208">
        <v>6.0111030459999997</v>
      </c>
      <c r="AO208">
        <v>6.0125998510000001</v>
      </c>
      <c r="AP208">
        <v>6.012498441</v>
      </c>
      <c r="AQ208">
        <v>6.0122777789999997</v>
      </c>
      <c r="AR208">
        <v>6.0108154599999999</v>
      </c>
      <c r="AS208">
        <v>6.010859688</v>
      </c>
      <c r="AT208">
        <v>6.0083709909999996</v>
      </c>
      <c r="AU208">
        <v>6.0054055479999997</v>
      </c>
      <c r="AV208">
        <v>6.0018132279999996</v>
      </c>
      <c r="AW208">
        <v>5.9997866860000002</v>
      </c>
    </row>
    <row r="209" spans="2:49" x14ac:dyDescent="0.25">
      <c r="B209" t="s">
        <v>538</v>
      </c>
      <c r="C209">
        <v>1.4169855567767899</v>
      </c>
      <c r="D209">
        <v>1.4397357182278101</v>
      </c>
      <c r="E209">
        <v>1.469721482</v>
      </c>
      <c r="F209">
        <v>1.7343115600000001</v>
      </c>
      <c r="G209">
        <v>2.0381293930000002</v>
      </c>
      <c r="H209">
        <v>2.2056971409999999</v>
      </c>
      <c r="I209">
        <v>2.6257874069999998</v>
      </c>
      <c r="J209">
        <v>2.9306594339999998</v>
      </c>
      <c r="K209">
        <v>3.2085130419999999</v>
      </c>
      <c r="L209">
        <v>3.466189328</v>
      </c>
      <c r="M209">
        <v>3.7455755860000002</v>
      </c>
      <c r="N209">
        <v>3.9980792109999999</v>
      </c>
      <c r="O209">
        <v>3.6382233670000002</v>
      </c>
      <c r="P209">
        <v>3.4176423599999999</v>
      </c>
      <c r="Q209">
        <v>3.2414206669999999</v>
      </c>
      <c r="R209">
        <v>2.9726631100000001</v>
      </c>
      <c r="S209">
        <v>2.7085335769999999</v>
      </c>
      <c r="T209">
        <v>2.8471292990000001</v>
      </c>
      <c r="U209">
        <v>2.9772236319999998</v>
      </c>
      <c r="V209">
        <v>3.123029727</v>
      </c>
      <c r="W209">
        <v>4.0551561899999999</v>
      </c>
      <c r="X209">
        <v>4.8359535610000002</v>
      </c>
      <c r="Y209">
        <v>4.8306171290000002</v>
      </c>
      <c r="Z209">
        <v>4.8120603019999999</v>
      </c>
      <c r="AA209">
        <v>4.7755395610000004</v>
      </c>
      <c r="AB209">
        <v>4.7689206999999998</v>
      </c>
      <c r="AC209">
        <v>4.7489523260000004</v>
      </c>
      <c r="AD209">
        <v>4.6865237569999998</v>
      </c>
      <c r="AE209">
        <v>4.624494178</v>
      </c>
      <c r="AF209">
        <v>4.5605374510000001</v>
      </c>
      <c r="AG209">
        <v>4.5084318899999998</v>
      </c>
      <c r="AH209">
        <v>4.4551855490000003</v>
      </c>
      <c r="AI209">
        <v>4.5190409159999998</v>
      </c>
      <c r="AJ209">
        <v>4.5585879169999997</v>
      </c>
      <c r="AK209">
        <v>4.5733869790000004</v>
      </c>
      <c r="AL209">
        <v>4.6275063809999999</v>
      </c>
      <c r="AM209">
        <v>4.6612659860000001</v>
      </c>
      <c r="AN209">
        <v>4.6434531989999996</v>
      </c>
      <c r="AO209">
        <v>4.6235535629999998</v>
      </c>
      <c r="AP209">
        <v>4.6008872910000003</v>
      </c>
      <c r="AQ209">
        <v>4.5766181460000004</v>
      </c>
      <c r="AR209">
        <v>4.5499174790000003</v>
      </c>
      <c r="AS209">
        <v>4.5505419570000001</v>
      </c>
      <c r="AT209">
        <v>4.5477157979999996</v>
      </c>
      <c r="AU209">
        <v>4.5430031619999998</v>
      </c>
      <c r="AV209">
        <v>4.5362989560000004</v>
      </c>
      <c r="AW209">
        <v>4.5292678630000003</v>
      </c>
    </row>
    <row r="210" spans="2:49" x14ac:dyDescent="0.25">
      <c r="B210" t="s">
        <v>539</v>
      </c>
      <c r="C210">
        <v>114.221490567207</v>
      </c>
      <c r="D210">
        <v>116.055353544252</v>
      </c>
      <c r="E210">
        <v>118.4724696</v>
      </c>
      <c r="F210">
        <v>124.23891020000001</v>
      </c>
      <c r="G210">
        <v>129.76024240000001</v>
      </c>
      <c r="H210">
        <v>124.8149148</v>
      </c>
      <c r="I210">
        <v>132.07548779999999</v>
      </c>
      <c r="J210">
        <v>134.55689179999999</v>
      </c>
      <c r="K210">
        <v>134.51933170000001</v>
      </c>
      <c r="L210">
        <v>132.73915529999999</v>
      </c>
      <c r="M210">
        <v>131.04629120000001</v>
      </c>
      <c r="N210">
        <v>127.81524039999999</v>
      </c>
      <c r="O210">
        <v>120.2665207</v>
      </c>
      <c r="P210">
        <v>117.19083379999999</v>
      </c>
      <c r="Q210">
        <v>115.7323811</v>
      </c>
      <c r="R210">
        <v>111.0146191</v>
      </c>
      <c r="S210">
        <v>106.38047779999999</v>
      </c>
      <c r="T210">
        <v>104.78236130000001</v>
      </c>
      <c r="U210">
        <v>102.854612</v>
      </c>
      <c r="V210">
        <v>101.44241359999999</v>
      </c>
      <c r="W210">
        <v>111.0263903</v>
      </c>
      <c r="X210">
        <v>121.1664237</v>
      </c>
      <c r="Y210">
        <v>122.1937552</v>
      </c>
      <c r="Z210">
        <v>123.3801033</v>
      </c>
      <c r="AA210">
        <v>124.6239052</v>
      </c>
      <c r="AB210">
        <v>125.706259</v>
      </c>
      <c r="AC210">
        <v>126.8833229</v>
      </c>
      <c r="AD210">
        <v>123.43323890000001</v>
      </c>
      <c r="AE210">
        <v>120.1442583</v>
      </c>
      <c r="AF210">
        <v>116.9493891</v>
      </c>
      <c r="AG210">
        <v>113.7895125</v>
      </c>
      <c r="AH210">
        <v>110.73403740000001</v>
      </c>
      <c r="AI210">
        <v>107.8809201</v>
      </c>
      <c r="AJ210">
        <v>105.0889937</v>
      </c>
      <c r="AK210">
        <v>102.3361237</v>
      </c>
      <c r="AL210">
        <v>99.581127420000001</v>
      </c>
      <c r="AM210">
        <v>96.85129585</v>
      </c>
      <c r="AN210">
        <v>94.203327340000001</v>
      </c>
      <c r="AO210">
        <v>91.584486490000003</v>
      </c>
      <c r="AP210">
        <v>88.981331069999996</v>
      </c>
      <c r="AQ210">
        <v>86.416501710000006</v>
      </c>
      <c r="AR210">
        <v>83.873811489999994</v>
      </c>
      <c r="AS210">
        <v>81.493132509999995</v>
      </c>
      <c r="AT210">
        <v>79.088117389999894</v>
      </c>
      <c r="AU210">
        <v>76.687948259999999</v>
      </c>
      <c r="AV210">
        <v>74.291253679999997</v>
      </c>
      <c r="AW210">
        <v>71.924978120000006</v>
      </c>
    </row>
    <row r="211" spans="2:49" x14ac:dyDescent="0.25">
      <c r="B211" t="s">
        <v>540</v>
      </c>
      <c r="C211">
        <v>1.2736350545564401</v>
      </c>
      <c r="D211">
        <v>1.2940836773262701</v>
      </c>
      <c r="E211">
        <v>1.3210359060000001</v>
      </c>
      <c r="F211">
        <v>1.3105955549999999</v>
      </c>
      <c r="G211">
        <v>1.2950164159999999</v>
      </c>
      <c r="H211">
        <v>1.1785053560000001</v>
      </c>
      <c r="I211">
        <v>1.1798527459999999</v>
      </c>
      <c r="J211">
        <v>1.112251755</v>
      </c>
      <c r="K211">
        <v>1.029086712</v>
      </c>
      <c r="L211">
        <v>0.94001491670000004</v>
      </c>
      <c r="M211">
        <v>0.8592975196</v>
      </c>
      <c r="N211">
        <v>0.77626997580000001</v>
      </c>
      <c r="O211">
        <v>0.6701341193</v>
      </c>
      <c r="P211">
        <v>0.59016145580000001</v>
      </c>
      <c r="Q211">
        <v>0.51622797300000001</v>
      </c>
      <c r="R211">
        <v>0.42639632719999998</v>
      </c>
      <c r="S211">
        <v>0.33733643070000002</v>
      </c>
      <c r="T211">
        <v>0.44084712999999998</v>
      </c>
      <c r="U211">
        <v>0.5423604648</v>
      </c>
      <c r="V211">
        <v>0.64618376639999997</v>
      </c>
      <c r="W211">
        <v>0.7141707035</v>
      </c>
      <c r="X211">
        <v>0.78577211979999995</v>
      </c>
      <c r="Y211">
        <v>0.78625475850000004</v>
      </c>
      <c r="Z211">
        <v>0.78763385620000004</v>
      </c>
      <c r="AA211">
        <v>0.78924110879999998</v>
      </c>
      <c r="AB211">
        <v>0.78993622529999996</v>
      </c>
      <c r="AC211">
        <v>0.79111703639999997</v>
      </c>
      <c r="AD211">
        <v>0.79527044999999996</v>
      </c>
      <c r="AE211">
        <v>0.79958371949999996</v>
      </c>
      <c r="AF211">
        <v>0.80367199369999998</v>
      </c>
      <c r="AG211">
        <v>0.80842733420000001</v>
      </c>
      <c r="AH211">
        <v>0.81309474270000004</v>
      </c>
      <c r="AI211">
        <v>0.80118855749999995</v>
      </c>
      <c r="AJ211">
        <v>0.78953982219999996</v>
      </c>
      <c r="AK211">
        <v>0.77798710879999999</v>
      </c>
      <c r="AL211">
        <v>0.76649050569999999</v>
      </c>
      <c r="AM211">
        <v>0.75499808089999998</v>
      </c>
      <c r="AN211">
        <v>0.76162748010000003</v>
      </c>
      <c r="AO211">
        <v>0.76802238300000003</v>
      </c>
      <c r="AP211">
        <v>0.77406421349999999</v>
      </c>
      <c r="AQ211">
        <v>0.77994237889999996</v>
      </c>
      <c r="AR211">
        <v>0.78551217699999998</v>
      </c>
      <c r="AS211">
        <v>0.78774382519999997</v>
      </c>
      <c r="AT211">
        <v>0.78962524150000002</v>
      </c>
      <c r="AU211">
        <v>0.79142472129999997</v>
      </c>
      <c r="AV211">
        <v>0.79312201959999995</v>
      </c>
      <c r="AW211">
        <v>0.79500711609999997</v>
      </c>
    </row>
    <row r="212" spans="2:49" x14ac:dyDescent="0.25">
      <c r="B212" t="s">
        <v>541</v>
      </c>
      <c r="C212">
        <v>3.4574974609126801</v>
      </c>
      <c r="D212">
        <v>3.51300870100687</v>
      </c>
      <c r="E212">
        <v>3.5861750790000002</v>
      </c>
      <c r="F212">
        <v>3.7405906080000002</v>
      </c>
      <c r="G212">
        <v>3.8861281010000002</v>
      </c>
      <c r="H212">
        <v>3.7184387409999999</v>
      </c>
      <c r="I212">
        <v>3.914372116</v>
      </c>
      <c r="J212">
        <v>4.0638924310000002</v>
      </c>
      <c r="K212">
        <v>4.1464986469999996</v>
      </c>
      <c r="L212">
        <v>4.181659121</v>
      </c>
      <c r="M212">
        <v>4.2243078409999999</v>
      </c>
      <c r="N212">
        <v>4.2205345779999996</v>
      </c>
      <c r="O212">
        <v>4.4367206640000001</v>
      </c>
      <c r="P212">
        <v>4.8111352610000004</v>
      </c>
      <c r="Q212">
        <v>5.2711713959999997</v>
      </c>
      <c r="R212">
        <v>5.5962835560000004</v>
      </c>
      <c r="S212">
        <v>5.9250073079999996</v>
      </c>
      <c r="T212">
        <v>5.6530765550000002</v>
      </c>
      <c r="U212">
        <v>5.3624927790000001</v>
      </c>
      <c r="V212">
        <v>5.0975789450000004</v>
      </c>
      <c r="W212">
        <v>3.5176650989999998</v>
      </c>
      <c r="X212">
        <v>1.8857347040000001</v>
      </c>
      <c r="Y212">
        <v>1.88547815</v>
      </c>
      <c r="Z212">
        <v>1.887464794</v>
      </c>
      <c r="AA212">
        <v>1.890092678</v>
      </c>
      <c r="AB212">
        <v>1.8913467660000001</v>
      </c>
      <c r="AC212">
        <v>1.8937613470000001</v>
      </c>
      <c r="AD212">
        <v>1.874698931</v>
      </c>
      <c r="AE212">
        <v>1.8567210439999999</v>
      </c>
      <c r="AF212">
        <v>1.8388763699999999</v>
      </c>
      <c r="AG212">
        <v>1.822681336</v>
      </c>
      <c r="AH212">
        <v>1.806877004</v>
      </c>
      <c r="AI212">
        <v>1.794524131</v>
      </c>
      <c r="AJ212">
        <v>1.7822162159999999</v>
      </c>
      <c r="AK212">
        <v>1.7696005020000001</v>
      </c>
      <c r="AL212">
        <v>1.7579070750000001</v>
      </c>
      <c r="AM212">
        <v>1.74570998</v>
      </c>
      <c r="AN212">
        <v>1.7357302379999999</v>
      </c>
      <c r="AO212">
        <v>1.725506811</v>
      </c>
      <c r="AP212">
        <v>1.714780119</v>
      </c>
      <c r="AQ212">
        <v>1.70397789</v>
      </c>
      <c r="AR212">
        <v>1.6927847009999999</v>
      </c>
      <c r="AS212">
        <v>2.309011736</v>
      </c>
      <c r="AT212">
        <v>2.9153474089999998</v>
      </c>
      <c r="AU212">
        <v>3.5122763020000001</v>
      </c>
      <c r="AV212">
        <v>4.0996050070000001</v>
      </c>
      <c r="AW212">
        <v>4.6789126149999998</v>
      </c>
    </row>
    <row r="213" spans="2:49" x14ac:dyDescent="0.25">
      <c r="B213" t="s">
        <v>542</v>
      </c>
      <c r="C213">
        <v>5.0750954082325404</v>
      </c>
      <c r="D213">
        <v>5.1565777065978304</v>
      </c>
      <c r="E213">
        <v>5.2639751380000002</v>
      </c>
      <c r="F213">
        <v>5.0755988429999999</v>
      </c>
      <c r="G213">
        <v>4.8743113249999999</v>
      </c>
      <c r="H213">
        <v>4.3111083990000001</v>
      </c>
      <c r="I213">
        <v>4.1947355030000004</v>
      </c>
      <c r="J213">
        <v>4.1047702160000004</v>
      </c>
      <c r="K213">
        <v>3.9476941189999999</v>
      </c>
      <c r="L213">
        <v>3.7526288129999998</v>
      </c>
      <c r="M213">
        <v>3.5733681119999998</v>
      </c>
      <c r="N213">
        <v>3.3654005489999999</v>
      </c>
      <c r="O213">
        <v>2.7997231720000002</v>
      </c>
      <c r="P213">
        <v>2.3464679180000001</v>
      </c>
      <c r="Q213">
        <v>1.913587275</v>
      </c>
      <c r="R213">
        <v>1.4193570200000001</v>
      </c>
      <c r="S213">
        <v>0.92971506159999995</v>
      </c>
      <c r="T213">
        <v>0.88717850340000004</v>
      </c>
      <c r="U213">
        <v>0.84164294470000001</v>
      </c>
      <c r="V213">
        <v>0.80006491310000005</v>
      </c>
      <c r="W213">
        <v>0.54994670140000002</v>
      </c>
      <c r="X213">
        <v>0.28846520689999999</v>
      </c>
      <c r="Y213">
        <v>0.29082303949999999</v>
      </c>
      <c r="Z213">
        <v>0.29356153530000001</v>
      </c>
      <c r="AA213">
        <v>0.29643889620000002</v>
      </c>
      <c r="AB213">
        <v>0.29891650260000002</v>
      </c>
      <c r="AC213">
        <v>0.30161874399999999</v>
      </c>
      <c r="AD213">
        <v>0.29933833910000002</v>
      </c>
      <c r="AE213">
        <v>0.29723525039999998</v>
      </c>
      <c r="AF213">
        <v>0.29515810710000001</v>
      </c>
      <c r="AG213">
        <v>0.29327985140000001</v>
      </c>
      <c r="AH213">
        <v>0.29146942889999999</v>
      </c>
      <c r="AI213">
        <v>0.29028234260000002</v>
      </c>
      <c r="AJ213">
        <v>0.28910713669999999</v>
      </c>
      <c r="AK213">
        <v>0.28788660020000001</v>
      </c>
      <c r="AL213">
        <v>0.28676638580000002</v>
      </c>
      <c r="AM213">
        <v>0.2855680753</v>
      </c>
      <c r="AN213">
        <v>0.28479553260000001</v>
      </c>
      <c r="AO213">
        <v>0.28398667999999999</v>
      </c>
      <c r="AP213">
        <v>0.2830983695</v>
      </c>
      <c r="AQ213">
        <v>0.28220073099999998</v>
      </c>
      <c r="AR213">
        <v>0.2812413077</v>
      </c>
      <c r="AS213">
        <v>0.2810168824</v>
      </c>
      <c r="AT213">
        <v>0.28067351359999998</v>
      </c>
      <c r="AU213">
        <v>0.2803074626</v>
      </c>
      <c r="AV213">
        <v>0.27991178220000001</v>
      </c>
      <c r="AW213">
        <v>0.27958872159999998</v>
      </c>
    </row>
    <row r="214" spans="2:49" x14ac:dyDescent="0.25">
      <c r="B214" t="s">
        <v>543</v>
      </c>
      <c r="C214">
        <v>0.35516190417563898</v>
      </c>
      <c r="D214">
        <v>0.36086414342755202</v>
      </c>
      <c r="E214">
        <v>0.36837995810000002</v>
      </c>
      <c r="F214">
        <v>0.78372089619999996</v>
      </c>
      <c r="G214">
        <v>1.182544029</v>
      </c>
      <c r="H214">
        <v>1.438749593</v>
      </c>
      <c r="I214">
        <v>1.7888705119999999</v>
      </c>
      <c r="J214">
        <v>2.117163589</v>
      </c>
      <c r="K214">
        <v>2.366903776</v>
      </c>
      <c r="L214">
        <v>2.5271419989999999</v>
      </c>
      <c r="M214">
        <v>2.6138810119999998</v>
      </c>
      <c r="N214">
        <v>2.5769928599999998</v>
      </c>
      <c r="O214">
        <v>2.738370857</v>
      </c>
      <c r="P214">
        <v>2.9985547079999999</v>
      </c>
      <c r="Q214">
        <v>3.3147093559999998</v>
      </c>
      <c r="R214">
        <v>3.5482899680000002</v>
      </c>
      <c r="S214">
        <v>3.7857175349999999</v>
      </c>
      <c r="T214">
        <v>3.962223507</v>
      </c>
      <c r="U214">
        <v>4.125716347</v>
      </c>
      <c r="V214">
        <v>4.3097745569999999</v>
      </c>
      <c r="W214">
        <v>4.9660197589999999</v>
      </c>
      <c r="X214">
        <v>5.6456631509999999</v>
      </c>
      <c r="Y214">
        <v>6.0766968849999996</v>
      </c>
      <c r="Z214">
        <v>6.5234309120000002</v>
      </c>
      <c r="AA214">
        <v>6.9817299630000003</v>
      </c>
      <c r="AB214">
        <v>7.313840624</v>
      </c>
      <c r="AC214">
        <v>7.6564663790000003</v>
      </c>
      <c r="AD214">
        <v>8.0350895290000004</v>
      </c>
      <c r="AE214">
        <v>8.4110305810000003</v>
      </c>
      <c r="AF214">
        <v>8.7808052599999904</v>
      </c>
      <c r="AG214">
        <v>9.164357764</v>
      </c>
      <c r="AH214">
        <v>9.5436276479999904</v>
      </c>
      <c r="AI214">
        <v>9.9446959830000008</v>
      </c>
      <c r="AJ214">
        <v>10.34169822</v>
      </c>
      <c r="AK214">
        <v>10.732723460000001</v>
      </c>
      <c r="AL214">
        <v>11.134927810000001</v>
      </c>
      <c r="AM214">
        <v>11.529738010000001</v>
      </c>
      <c r="AN214">
        <v>11.9366042</v>
      </c>
      <c r="AO214">
        <v>12.338738770000001</v>
      </c>
      <c r="AP214">
        <v>12.73412076</v>
      </c>
      <c r="AQ214">
        <v>13.1257327</v>
      </c>
      <c r="AR214">
        <v>13.51109613</v>
      </c>
      <c r="AS214">
        <v>13.90718676</v>
      </c>
      <c r="AT214">
        <v>14.296281240000001</v>
      </c>
      <c r="AU214">
        <v>14.68291715</v>
      </c>
      <c r="AV214">
        <v>15.06663371</v>
      </c>
      <c r="AW214">
        <v>15.45296538</v>
      </c>
    </row>
    <row r="215" spans="2:49" x14ac:dyDescent="0.25">
      <c r="B215" t="s">
        <v>544</v>
      </c>
      <c r="C215">
        <v>7.99114284395189E-2</v>
      </c>
      <c r="D215">
        <v>8.1194432271199296E-2</v>
      </c>
      <c r="E215">
        <v>8.28854906E-2</v>
      </c>
      <c r="F215">
        <v>0.1130038929</v>
      </c>
      <c r="G215">
        <v>0.1534161403</v>
      </c>
      <c r="H215">
        <v>0.1917832763</v>
      </c>
      <c r="I215">
        <v>0.2636967952</v>
      </c>
      <c r="J215">
        <v>0.36246286709999997</v>
      </c>
      <c r="K215">
        <v>0.4886030569</v>
      </c>
      <c r="L215">
        <v>0.64981480729999996</v>
      </c>
      <c r="M215">
        <v>0.8643696636</v>
      </c>
      <c r="N215">
        <v>1.1356939690000001</v>
      </c>
      <c r="O215">
        <v>1.2068140789999999</v>
      </c>
      <c r="P215">
        <v>1.3214784369999999</v>
      </c>
      <c r="Q215">
        <v>1.4608094119999999</v>
      </c>
      <c r="R215">
        <v>1.5637495850000001</v>
      </c>
      <c r="S215">
        <v>1.668385132</v>
      </c>
      <c r="T215">
        <v>1.722172995</v>
      </c>
      <c r="U215">
        <v>1.770362969</v>
      </c>
      <c r="V215">
        <v>1.8273932429999999</v>
      </c>
      <c r="W215">
        <v>2.0618704669999999</v>
      </c>
      <c r="X215">
        <v>2.304786489</v>
      </c>
      <c r="Y215">
        <v>2.4964967040000001</v>
      </c>
      <c r="Z215">
        <v>2.6949514049999999</v>
      </c>
      <c r="AA215">
        <v>2.8984867510000001</v>
      </c>
      <c r="AB215">
        <v>3.105243132</v>
      </c>
      <c r="AC215">
        <v>3.3176792210000001</v>
      </c>
      <c r="AD215">
        <v>3.7115672810000002</v>
      </c>
      <c r="AE215">
        <v>4.0998504049999998</v>
      </c>
      <c r="AF215">
        <v>4.4812258280000004</v>
      </c>
      <c r="AG215">
        <v>4.8757084669999999</v>
      </c>
      <c r="AH215">
        <v>5.2645579790000001</v>
      </c>
      <c r="AI215">
        <v>5.670846633</v>
      </c>
      <c r="AJ215">
        <v>6.0725582149999999</v>
      </c>
      <c r="AK215">
        <v>6.4686313909999997</v>
      </c>
      <c r="AL215">
        <v>6.8762002290000002</v>
      </c>
      <c r="AM215">
        <v>7.2772258059999997</v>
      </c>
      <c r="AN215">
        <v>7.6913753820000004</v>
      </c>
      <c r="AO215">
        <v>8.1011237840000003</v>
      </c>
      <c r="AP215">
        <v>8.5050986369999997</v>
      </c>
      <c r="AQ215">
        <v>8.9052399589999904</v>
      </c>
      <c r="AR215">
        <v>9.299857587</v>
      </c>
      <c r="AS215">
        <v>9.5167563909999995</v>
      </c>
      <c r="AT215">
        <v>9.7290305410000002</v>
      </c>
      <c r="AU215">
        <v>9.9398151460000008</v>
      </c>
      <c r="AV215">
        <v>10.14881035</v>
      </c>
      <c r="AW215">
        <v>10.35974032</v>
      </c>
    </row>
    <row r="216" spans="2:49" x14ac:dyDescent="0.25">
      <c r="B216" t="s">
        <v>545</v>
      </c>
      <c r="C216">
        <v>4.4799793836545803</v>
      </c>
      <c r="D216">
        <v>4.5519069017495504</v>
      </c>
      <c r="E216">
        <v>4.6467106920000001</v>
      </c>
      <c r="F216">
        <v>4.6107591350000003</v>
      </c>
      <c r="G216">
        <v>4.5562308939999996</v>
      </c>
      <c r="H216">
        <v>4.1461562020000002</v>
      </c>
      <c r="I216">
        <v>4.150357638</v>
      </c>
      <c r="J216">
        <v>4.0702570500000004</v>
      </c>
      <c r="K216">
        <v>3.9221310979999999</v>
      </c>
      <c r="L216">
        <v>3.735137726</v>
      </c>
      <c r="M216">
        <v>3.563126945</v>
      </c>
      <c r="N216">
        <v>3.3620055500000001</v>
      </c>
      <c r="O216">
        <v>3.5773140190000001</v>
      </c>
      <c r="P216">
        <v>3.9224197959999998</v>
      </c>
      <c r="Q216">
        <v>4.3417275130000004</v>
      </c>
      <c r="R216">
        <v>4.6538133430000004</v>
      </c>
      <c r="S216">
        <v>4.9717417130000001</v>
      </c>
      <c r="T216">
        <v>5.182314796</v>
      </c>
      <c r="U216">
        <v>5.3761747800000004</v>
      </c>
      <c r="V216">
        <v>5.5971027160000002</v>
      </c>
      <c r="W216">
        <v>5.7060388660000001</v>
      </c>
      <c r="X216">
        <v>5.8201872479999999</v>
      </c>
      <c r="Y216">
        <v>5.8531684879999997</v>
      </c>
      <c r="Z216">
        <v>5.8936038540000002</v>
      </c>
      <c r="AA216">
        <v>5.936594972</v>
      </c>
      <c r="AB216">
        <v>5.9828073980000003</v>
      </c>
      <c r="AC216">
        <v>6.0334571700000001</v>
      </c>
      <c r="AD216">
        <v>6.0210799970000002</v>
      </c>
      <c r="AE216">
        <v>6.0123775259999999</v>
      </c>
      <c r="AF216">
        <v>6.0043302499999998</v>
      </c>
      <c r="AG216">
        <v>5.9984366219999998</v>
      </c>
      <c r="AH216">
        <v>5.9940678319999998</v>
      </c>
      <c r="AI216">
        <v>5.9972265680000003</v>
      </c>
      <c r="AJ216">
        <v>6.0008090129999996</v>
      </c>
      <c r="AK216">
        <v>6.0036276959999997</v>
      </c>
      <c r="AL216">
        <v>6.0070206339999999</v>
      </c>
      <c r="AM216">
        <v>6.0089308060000004</v>
      </c>
      <c r="AN216">
        <v>6.0111030459999997</v>
      </c>
      <c r="AO216">
        <v>6.0125998510000001</v>
      </c>
      <c r="AP216">
        <v>6.012498441</v>
      </c>
      <c r="AQ216">
        <v>6.0122777789999997</v>
      </c>
      <c r="AR216">
        <v>6.0108154599999999</v>
      </c>
      <c r="AS216">
        <v>6.010859688</v>
      </c>
      <c r="AT216">
        <v>6.0083709909999996</v>
      </c>
      <c r="AU216">
        <v>6.0054055479999997</v>
      </c>
      <c r="AV216">
        <v>6.0018132279999996</v>
      </c>
      <c r="AW216">
        <v>5.9997866860000002</v>
      </c>
    </row>
    <row r="217" spans="2:49" x14ac:dyDescent="0.25">
      <c r="B217" t="s">
        <v>546</v>
      </c>
      <c r="C217">
        <v>1.4169855567767899</v>
      </c>
      <c r="D217">
        <v>1.4397357182278101</v>
      </c>
      <c r="E217">
        <v>1.469721482</v>
      </c>
      <c r="F217">
        <v>1.7343115600000001</v>
      </c>
      <c r="G217">
        <v>2.0381293930000002</v>
      </c>
      <c r="H217">
        <v>2.2056971409999999</v>
      </c>
      <c r="I217">
        <v>2.6257874069999998</v>
      </c>
      <c r="J217">
        <v>2.9306594339999998</v>
      </c>
      <c r="K217">
        <v>3.2085130419999999</v>
      </c>
      <c r="L217">
        <v>3.466189328</v>
      </c>
      <c r="M217">
        <v>3.7455755860000002</v>
      </c>
      <c r="N217">
        <v>3.9980792109999999</v>
      </c>
      <c r="O217">
        <v>3.6382233670000002</v>
      </c>
      <c r="P217">
        <v>3.4176423599999999</v>
      </c>
      <c r="Q217">
        <v>3.2414206669999999</v>
      </c>
      <c r="R217">
        <v>2.9726631100000001</v>
      </c>
      <c r="S217">
        <v>2.7085335769999999</v>
      </c>
      <c r="T217">
        <v>2.8471292990000001</v>
      </c>
      <c r="U217">
        <v>2.9772236319999998</v>
      </c>
      <c r="V217">
        <v>3.123029727</v>
      </c>
      <c r="W217">
        <v>4.0551561899999999</v>
      </c>
      <c r="X217">
        <v>4.8359535610000002</v>
      </c>
      <c r="Y217">
        <v>4.8306171290000002</v>
      </c>
      <c r="Z217">
        <v>4.8120603019999999</v>
      </c>
      <c r="AA217">
        <v>4.7755395610000004</v>
      </c>
      <c r="AB217">
        <v>4.7689206999999998</v>
      </c>
      <c r="AC217">
        <v>4.7489523260000004</v>
      </c>
      <c r="AD217">
        <v>4.6865237569999998</v>
      </c>
      <c r="AE217">
        <v>4.624494178</v>
      </c>
      <c r="AF217">
        <v>4.5605374510000001</v>
      </c>
      <c r="AG217">
        <v>4.5084318899999998</v>
      </c>
      <c r="AH217">
        <v>4.4551855490000003</v>
      </c>
      <c r="AI217">
        <v>4.5190409159999998</v>
      </c>
      <c r="AJ217">
        <v>4.5585879169999997</v>
      </c>
      <c r="AK217">
        <v>4.5733869790000004</v>
      </c>
      <c r="AL217">
        <v>4.6275063809999999</v>
      </c>
      <c r="AM217">
        <v>4.6612659860000001</v>
      </c>
      <c r="AN217">
        <v>4.6434531989999996</v>
      </c>
      <c r="AO217">
        <v>4.6235535629999998</v>
      </c>
      <c r="AP217">
        <v>4.6008872910000003</v>
      </c>
      <c r="AQ217">
        <v>4.5766181460000004</v>
      </c>
      <c r="AR217">
        <v>4.5499174790000003</v>
      </c>
      <c r="AS217">
        <v>4.5505419570000001</v>
      </c>
      <c r="AT217">
        <v>4.5477157979999996</v>
      </c>
      <c r="AU217">
        <v>4.5430031619999998</v>
      </c>
      <c r="AV217">
        <v>4.5362989560000004</v>
      </c>
      <c r="AW217">
        <v>4.5292678630000003</v>
      </c>
    </row>
    <row r="218" spans="2:49" x14ac:dyDescent="0.25">
      <c r="B218" t="s">
        <v>547</v>
      </c>
      <c r="C218">
        <v>34.067295461021303</v>
      </c>
      <c r="D218">
        <v>34.614256909026899</v>
      </c>
      <c r="E218">
        <v>35.359286990000001</v>
      </c>
      <c r="F218">
        <v>35.221872359999999</v>
      </c>
      <c r="G218">
        <v>33.878364519999998</v>
      </c>
      <c r="H218">
        <v>32.09374622</v>
      </c>
      <c r="I218">
        <v>32.432870809999997</v>
      </c>
      <c r="J218">
        <v>32.024364319999997</v>
      </c>
      <c r="K218">
        <v>30.462066270000001</v>
      </c>
      <c r="L218">
        <v>29.57899415</v>
      </c>
      <c r="M218">
        <v>29.465778879999998</v>
      </c>
      <c r="N218">
        <v>29.923429670000001</v>
      </c>
      <c r="O218">
        <v>30.504248090000001</v>
      </c>
      <c r="P218">
        <v>30.364476580000002</v>
      </c>
      <c r="Q218">
        <v>28.784782660000001</v>
      </c>
      <c r="R218">
        <v>27.714339519999999</v>
      </c>
      <c r="S218">
        <v>26.985209510000001</v>
      </c>
      <c r="T218">
        <v>25.76943254</v>
      </c>
      <c r="U218">
        <v>24.464491089999999</v>
      </c>
      <c r="V218">
        <v>23.254434750000001</v>
      </c>
      <c r="W218">
        <v>24.344782110000001</v>
      </c>
      <c r="X218">
        <v>25.37889946</v>
      </c>
      <c r="Y218">
        <v>25.162554419999999</v>
      </c>
      <c r="Z218">
        <v>25.078501989999999</v>
      </c>
      <c r="AA218">
        <v>25.057699209999999</v>
      </c>
      <c r="AB218">
        <v>25.084742510000002</v>
      </c>
      <c r="AC218">
        <v>25.164295809999999</v>
      </c>
      <c r="AD218">
        <v>25.049814420000001</v>
      </c>
      <c r="AE218">
        <v>24.947975580000001</v>
      </c>
      <c r="AF218">
        <v>24.840497769999999</v>
      </c>
      <c r="AG218">
        <v>24.741684230000001</v>
      </c>
      <c r="AH218">
        <v>24.661126759999998</v>
      </c>
      <c r="AI218">
        <v>24.668749160000001</v>
      </c>
      <c r="AJ218">
        <v>24.68103318</v>
      </c>
      <c r="AK218">
        <v>24.704431710000001</v>
      </c>
      <c r="AL218">
        <v>24.730026970000001</v>
      </c>
      <c r="AM218">
        <v>24.757784990000001</v>
      </c>
      <c r="AN218">
        <v>24.62663169</v>
      </c>
      <c r="AO218">
        <v>24.500733889999999</v>
      </c>
      <c r="AP218">
        <v>24.365586459999999</v>
      </c>
      <c r="AQ218">
        <v>24.22751452</v>
      </c>
      <c r="AR218">
        <v>24.07972929</v>
      </c>
      <c r="AS218">
        <v>23.920298240000001</v>
      </c>
      <c r="AT218">
        <v>23.759812320000002</v>
      </c>
      <c r="AU218">
        <v>23.595422960000001</v>
      </c>
      <c r="AV218">
        <v>23.427308889999999</v>
      </c>
      <c r="AW218">
        <v>23.26485465</v>
      </c>
    </row>
    <row r="219" spans="2:49" x14ac:dyDescent="0.25">
      <c r="B219" t="s">
        <v>548</v>
      </c>
      <c r="C219">
        <v>1.54983431156195</v>
      </c>
      <c r="D219">
        <v>1.57471740274219</v>
      </c>
      <c r="E219">
        <v>1.6086112930000001</v>
      </c>
      <c r="F219">
        <v>2.6319993460000002</v>
      </c>
      <c r="G219">
        <v>3.5168632409999998</v>
      </c>
      <c r="H219">
        <v>4.2494234339999997</v>
      </c>
      <c r="I219">
        <v>5.1915956059999999</v>
      </c>
      <c r="J219">
        <v>5.954783505</v>
      </c>
      <c r="K219">
        <v>6.3789346910000004</v>
      </c>
      <c r="L219">
        <v>6.78537839</v>
      </c>
      <c r="M219">
        <v>7.2052673049999996</v>
      </c>
      <c r="N219">
        <v>7.5694795140000002</v>
      </c>
      <c r="O219">
        <v>7.8581121420000004</v>
      </c>
      <c r="P219">
        <v>7.9646787430000003</v>
      </c>
      <c r="Q219">
        <v>7.6869304310000004</v>
      </c>
      <c r="R219">
        <v>7.5340173960000003</v>
      </c>
      <c r="S219">
        <v>7.466654642</v>
      </c>
      <c r="T219">
        <v>7.6329070290000001</v>
      </c>
      <c r="U219">
        <v>7.7786863789999998</v>
      </c>
      <c r="V219">
        <v>7.9618977400000004</v>
      </c>
      <c r="W219">
        <v>7.9930620960000001</v>
      </c>
      <c r="X219">
        <v>8.0258394319999997</v>
      </c>
      <c r="Y219">
        <v>8.139815338</v>
      </c>
      <c r="Z219">
        <v>8.2985287190000001</v>
      </c>
      <c r="AA219">
        <v>8.4816515979999902</v>
      </c>
      <c r="AB219">
        <v>8.6882989590000008</v>
      </c>
      <c r="AC219">
        <v>8.9186390240000009</v>
      </c>
      <c r="AD219">
        <v>9.0781601750000007</v>
      </c>
      <c r="AE219">
        <v>9.2431261039999999</v>
      </c>
      <c r="AF219">
        <v>9.4069393100000003</v>
      </c>
      <c r="AG219">
        <v>9.5773598920000005</v>
      </c>
      <c r="AH219">
        <v>9.7561367709999995</v>
      </c>
      <c r="AI219">
        <v>9.8263657149999997</v>
      </c>
      <c r="AJ219">
        <v>9.8988365750000007</v>
      </c>
      <c r="AK219">
        <v>9.9761963189999996</v>
      </c>
      <c r="AL219">
        <v>10.05527459</v>
      </c>
      <c r="AM219">
        <v>10.13574358</v>
      </c>
      <c r="AN219">
        <v>10.1878061</v>
      </c>
      <c r="AO219">
        <v>10.24210295</v>
      </c>
      <c r="AP219">
        <v>10.29257658</v>
      </c>
      <c r="AQ219">
        <v>10.34180506</v>
      </c>
      <c r="AR219">
        <v>10.386820609999999</v>
      </c>
      <c r="AS219">
        <v>10.385591229999999</v>
      </c>
      <c r="AT219">
        <v>10.3841147</v>
      </c>
      <c r="AU219">
        <v>10.38113388</v>
      </c>
      <c r="AV219">
        <v>10.376698599999999</v>
      </c>
      <c r="AW219">
        <v>10.37496515</v>
      </c>
    </row>
    <row r="220" spans="2:49" x14ac:dyDescent="0.25">
      <c r="B220" t="s">
        <v>549</v>
      </c>
      <c r="C220">
        <v>0.19372928894524399</v>
      </c>
      <c r="D220">
        <v>0.196839675342774</v>
      </c>
      <c r="E220">
        <v>0.20107641170000001</v>
      </c>
      <c r="F220">
        <v>0.19421123270000001</v>
      </c>
      <c r="G220">
        <v>0.1811292635</v>
      </c>
      <c r="H220">
        <v>0.16637607609999999</v>
      </c>
      <c r="I220">
        <v>0.16302722419999999</v>
      </c>
      <c r="J220">
        <v>0.15586702120000001</v>
      </c>
      <c r="K220">
        <v>0.14354992389999999</v>
      </c>
      <c r="L220">
        <v>0.13494800300000001</v>
      </c>
      <c r="M220">
        <v>0.13013933729999999</v>
      </c>
      <c r="N220">
        <v>0.12793115460000001</v>
      </c>
      <c r="O220">
        <v>0.1971696439</v>
      </c>
      <c r="P220">
        <v>0.26348623630000001</v>
      </c>
      <c r="Q220">
        <v>0.31424161909999998</v>
      </c>
      <c r="R220">
        <v>0.36534359</v>
      </c>
      <c r="S220">
        <v>0.41758033030000002</v>
      </c>
      <c r="T220">
        <v>0.64761603670000001</v>
      </c>
      <c r="U220">
        <v>0.8785540986</v>
      </c>
      <c r="V220">
        <v>1.116703617</v>
      </c>
      <c r="W220">
        <v>0.80826823910000001</v>
      </c>
      <c r="X220">
        <v>0.5191747243</v>
      </c>
      <c r="Y220">
        <v>0.51973709990000005</v>
      </c>
      <c r="Z220">
        <v>0.52308463400000005</v>
      </c>
      <c r="AA220">
        <v>0.52784609549999995</v>
      </c>
      <c r="AB220">
        <v>0.53373708880000004</v>
      </c>
      <c r="AC220">
        <v>0.54089329819999998</v>
      </c>
      <c r="AD220">
        <v>0.56396107819999997</v>
      </c>
      <c r="AE220">
        <v>0.58742394519999996</v>
      </c>
      <c r="AF220">
        <v>0.61087386600000004</v>
      </c>
      <c r="AG220">
        <v>0.63495167669999997</v>
      </c>
      <c r="AH220">
        <v>0.65966278810000001</v>
      </c>
      <c r="AI220">
        <v>0.68860865339999999</v>
      </c>
      <c r="AJ220">
        <v>0.71785141870000002</v>
      </c>
      <c r="AK220">
        <v>0.74760397940000001</v>
      </c>
      <c r="AL220">
        <v>0.77816620759999999</v>
      </c>
      <c r="AM220">
        <v>0.80902033520000005</v>
      </c>
      <c r="AN220">
        <v>0.83337679679999999</v>
      </c>
      <c r="AO220">
        <v>0.85792869439999997</v>
      </c>
      <c r="AP220">
        <v>0.88216975269999998</v>
      </c>
      <c r="AQ220">
        <v>0.90630357029999997</v>
      </c>
      <c r="AR220">
        <v>0.93005725429999997</v>
      </c>
      <c r="AS220">
        <v>0.94911388399999996</v>
      </c>
      <c r="AT220">
        <v>0.96820756230000005</v>
      </c>
      <c r="AU220">
        <v>0.98721766609999995</v>
      </c>
      <c r="AV220">
        <v>1.006140915</v>
      </c>
      <c r="AW220">
        <v>1.025380197</v>
      </c>
    </row>
    <row r="221" spans="2:49" x14ac:dyDescent="0.25">
      <c r="B221" t="s">
        <v>550</v>
      </c>
      <c r="C221">
        <v>0.71679836909740502</v>
      </c>
      <c r="D221">
        <v>0.72830679876826598</v>
      </c>
      <c r="E221">
        <v>0.74398272320000003</v>
      </c>
      <c r="F221">
        <v>0.73322585699999998</v>
      </c>
      <c r="G221">
        <v>0.69777234190000004</v>
      </c>
      <c r="H221">
        <v>0.65399994250000004</v>
      </c>
      <c r="I221">
        <v>0.65389598339999999</v>
      </c>
      <c r="J221">
        <v>0.65175511190000002</v>
      </c>
      <c r="K221">
        <v>0.62689848290000005</v>
      </c>
      <c r="L221">
        <v>0.61666956260000005</v>
      </c>
      <c r="M221">
        <v>0.62353220580000002</v>
      </c>
      <c r="N221">
        <v>0.64403094620000001</v>
      </c>
      <c r="O221">
        <v>0.93154280649999999</v>
      </c>
      <c r="P221">
        <v>1.180450582</v>
      </c>
      <c r="Q221">
        <v>1.3391845710000001</v>
      </c>
      <c r="R221">
        <v>1.4818756070000001</v>
      </c>
      <c r="S221">
        <v>1.6110185420000001</v>
      </c>
      <c r="T221">
        <v>1.6571901229999999</v>
      </c>
      <c r="U221">
        <v>1.6982142570000001</v>
      </c>
      <c r="V221">
        <v>1.746705065</v>
      </c>
      <c r="W221">
        <v>1.3692951470000001</v>
      </c>
      <c r="X221">
        <v>1.0112515310000001</v>
      </c>
      <c r="Y221">
        <v>1.0109719779999999</v>
      </c>
      <c r="Z221">
        <v>1.016095075</v>
      </c>
      <c r="AA221">
        <v>1.023938561</v>
      </c>
      <c r="AB221">
        <v>1.033752038</v>
      </c>
      <c r="AC221">
        <v>1.0459735080000001</v>
      </c>
      <c r="AD221">
        <v>1.0435466959999999</v>
      </c>
      <c r="AE221">
        <v>1.0416623979999999</v>
      </c>
      <c r="AF221">
        <v>1.0395593889999999</v>
      </c>
      <c r="AG221">
        <v>1.0379329420000001</v>
      </c>
      <c r="AH221">
        <v>1.0370937099999999</v>
      </c>
      <c r="AI221">
        <v>1.037666135</v>
      </c>
      <c r="AJ221">
        <v>1.0384380339999999</v>
      </c>
      <c r="AK221">
        <v>1.039681147</v>
      </c>
      <c r="AL221">
        <v>1.0411075809999999</v>
      </c>
      <c r="AM221">
        <v>1.042629732</v>
      </c>
      <c r="AN221">
        <v>1.040984664</v>
      </c>
      <c r="AO221">
        <v>1.039565171</v>
      </c>
      <c r="AP221">
        <v>1.0377560240000001</v>
      </c>
      <c r="AQ221">
        <v>1.0358231760000001</v>
      </c>
      <c r="AR221">
        <v>1.0334738109999999</v>
      </c>
      <c r="AS221">
        <v>1.033879228</v>
      </c>
      <c r="AT221">
        <v>1.034262268</v>
      </c>
      <c r="AU221">
        <v>1.0344976290000001</v>
      </c>
      <c r="AV221">
        <v>1.034590058</v>
      </c>
      <c r="AW221">
        <v>1.0349539480000001</v>
      </c>
    </row>
    <row r="222" spans="2:49" x14ac:dyDescent="0.25">
      <c r="B222" t="s">
        <v>551</v>
      </c>
      <c r="C222">
        <v>0.19372928894524399</v>
      </c>
      <c r="D222">
        <v>0.196839675342774</v>
      </c>
      <c r="E222">
        <v>0.20107641170000001</v>
      </c>
      <c r="F222">
        <v>0.2060068156</v>
      </c>
      <c r="G222">
        <v>0.20379949780000001</v>
      </c>
      <c r="H222">
        <v>0.19856953090000001</v>
      </c>
      <c r="I222">
        <v>0.20639021839999999</v>
      </c>
      <c r="J222">
        <v>0.20931023060000001</v>
      </c>
      <c r="K222">
        <v>0.2044779259</v>
      </c>
      <c r="L222">
        <v>0.20389997430000001</v>
      </c>
      <c r="M222">
        <v>0.20857706100000001</v>
      </c>
      <c r="N222">
        <v>0.21749111339999999</v>
      </c>
      <c r="O222">
        <v>0.25906053299999998</v>
      </c>
      <c r="P222">
        <v>0.29547895140000002</v>
      </c>
      <c r="Q222">
        <v>0.3161676256</v>
      </c>
      <c r="R222">
        <v>0.33953149659999998</v>
      </c>
      <c r="S222">
        <v>0.36519260009999999</v>
      </c>
      <c r="T222">
        <v>0.43273959519999999</v>
      </c>
      <c r="U222">
        <v>0.49983633459999999</v>
      </c>
      <c r="V222">
        <v>0.57014147810000004</v>
      </c>
      <c r="W222">
        <v>0.44830791050000002</v>
      </c>
      <c r="X222">
        <v>0.33417148549999998</v>
      </c>
      <c r="Y222">
        <v>0.33857243149999999</v>
      </c>
      <c r="Z222">
        <v>0.34483060259999998</v>
      </c>
      <c r="AA222">
        <v>0.35209675689999997</v>
      </c>
      <c r="AB222">
        <v>0.3601943829</v>
      </c>
      <c r="AC222">
        <v>0.36926111900000003</v>
      </c>
      <c r="AD222">
        <v>0.36904146869999999</v>
      </c>
      <c r="AE222">
        <v>0.36901419400000002</v>
      </c>
      <c r="AF222">
        <v>0.36891016780000002</v>
      </c>
      <c r="AG222">
        <v>0.36898865359999999</v>
      </c>
      <c r="AH222">
        <v>0.36934882699999999</v>
      </c>
      <c r="AI222">
        <v>0.37014065730000001</v>
      </c>
      <c r="AJ222">
        <v>0.3710061509</v>
      </c>
      <c r="AK222">
        <v>0.37204290000000001</v>
      </c>
      <c r="AL222">
        <v>0.37317154270000003</v>
      </c>
      <c r="AM222">
        <v>0.37433818130000002</v>
      </c>
      <c r="AN222">
        <v>0.37446617580000002</v>
      </c>
      <c r="AO222">
        <v>0.37467517080000001</v>
      </c>
      <c r="AP222">
        <v>0.3747434691</v>
      </c>
      <c r="AQ222">
        <v>0.37476647899999999</v>
      </c>
      <c r="AR222">
        <v>0.37463779200000003</v>
      </c>
      <c r="AS222">
        <v>0.37526581510000001</v>
      </c>
      <c r="AT222">
        <v>0.37588699990000002</v>
      </c>
      <c r="AU222">
        <v>0.37645572059999999</v>
      </c>
      <c r="AV222">
        <v>0.37697350270000002</v>
      </c>
      <c r="AW222">
        <v>0.37759133550000001</v>
      </c>
    </row>
    <row r="223" spans="2:49" x14ac:dyDescent="0.25">
      <c r="B223" t="s">
        <v>552</v>
      </c>
      <c r="C223">
        <v>0.38745857789048899</v>
      </c>
      <c r="D223">
        <v>0.39367935068554899</v>
      </c>
      <c r="E223">
        <v>0.40215282340000003</v>
      </c>
      <c r="F223">
        <v>0.52785940669999998</v>
      </c>
      <c r="G223">
        <v>0.66903134630000005</v>
      </c>
      <c r="H223">
        <v>0.83514646530000003</v>
      </c>
      <c r="I223">
        <v>1.1121050910000001</v>
      </c>
      <c r="J223">
        <v>1.444953446</v>
      </c>
      <c r="K223">
        <v>1.808491662</v>
      </c>
      <c r="L223">
        <v>2.3104359379999999</v>
      </c>
      <c r="M223">
        <v>3.0279589589999998</v>
      </c>
      <c r="N223">
        <v>4.0451221259999999</v>
      </c>
      <c r="O223">
        <v>3.8683426839999999</v>
      </c>
      <c r="P223">
        <v>3.593469174</v>
      </c>
      <c r="Q223">
        <v>3.159846978</v>
      </c>
      <c r="R223">
        <v>2.8020055099999999</v>
      </c>
      <c r="S223">
        <v>2.4914821520000001</v>
      </c>
      <c r="T223">
        <v>2.984409791</v>
      </c>
      <c r="U223">
        <v>3.4745633090000001</v>
      </c>
      <c r="V223">
        <v>3.9873499639999999</v>
      </c>
      <c r="W223">
        <v>3.4476889970000002</v>
      </c>
      <c r="X223">
        <v>2.942768322</v>
      </c>
      <c r="Y223">
        <v>3.1004590510000001</v>
      </c>
      <c r="Z223">
        <v>3.2764050980000001</v>
      </c>
      <c r="AA223">
        <v>3.4641103530000001</v>
      </c>
      <c r="AB223">
        <v>3.6707587629999998</v>
      </c>
      <c r="AC223">
        <v>3.8907546100000001</v>
      </c>
      <c r="AD223">
        <v>4.0265616700000004</v>
      </c>
      <c r="AE223">
        <v>4.1650647520000001</v>
      </c>
      <c r="AF223">
        <v>4.3033465870000001</v>
      </c>
      <c r="AG223">
        <v>4.4504750489999996</v>
      </c>
      <c r="AH223">
        <v>4.6019081489999998</v>
      </c>
      <c r="AI223">
        <v>4.6947929779999997</v>
      </c>
      <c r="AJ223">
        <v>4.7890941700000003</v>
      </c>
      <c r="AK223">
        <v>4.8861440570000001</v>
      </c>
      <c r="AL223">
        <v>4.987523038</v>
      </c>
      <c r="AM223">
        <v>5.0900604219999996</v>
      </c>
      <c r="AN223">
        <v>5.1731211090000002</v>
      </c>
      <c r="AO223">
        <v>5.2573520169999997</v>
      </c>
      <c r="AP223">
        <v>5.3396469560000002</v>
      </c>
      <c r="AQ223">
        <v>5.4212944649999999</v>
      </c>
      <c r="AR223">
        <v>5.5007027009999998</v>
      </c>
      <c r="AS223">
        <v>5.6247146749999999</v>
      </c>
      <c r="AT223">
        <v>5.748980671</v>
      </c>
      <c r="AU223">
        <v>5.8727825259999999</v>
      </c>
      <c r="AV223">
        <v>5.996096273</v>
      </c>
      <c r="AW223">
        <v>6.1213228669999999</v>
      </c>
    </row>
    <row r="224" spans="2:49" x14ac:dyDescent="0.25">
      <c r="B224" t="s">
        <v>553</v>
      </c>
      <c r="C224">
        <v>34.067295461021303</v>
      </c>
      <c r="D224">
        <v>34.614256909026899</v>
      </c>
      <c r="E224">
        <v>35.359286990000001</v>
      </c>
      <c r="F224">
        <v>35.221872359999999</v>
      </c>
      <c r="G224">
        <v>33.878364519999998</v>
      </c>
      <c r="H224">
        <v>32.09374622</v>
      </c>
      <c r="I224">
        <v>32.432870809999997</v>
      </c>
      <c r="J224">
        <v>32.024364319999997</v>
      </c>
      <c r="K224">
        <v>30.462066270000001</v>
      </c>
      <c r="L224">
        <v>29.57899415</v>
      </c>
      <c r="M224">
        <v>29.465778879999998</v>
      </c>
      <c r="N224">
        <v>29.923429670000001</v>
      </c>
      <c r="O224">
        <v>30.504248090000001</v>
      </c>
      <c r="P224">
        <v>30.364476580000002</v>
      </c>
      <c r="Q224">
        <v>28.784782660000001</v>
      </c>
      <c r="R224">
        <v>27.714339519999999</v>
      </c>
      <c r="S224">
        <v>26.985209510000001</v>
      </c>
      <c r="T224">
        <v>25.76943254</v>
      </c>
      <c r="U224">
        <v>24.464491089999999</v>
      </c>
      <c r="V224">
        <v>23.254434750000001</v>
      </c>
      <c r="W224">
        <v>24.344782110000001</v>
      </c>
      <c r="X224">
        <v>25.37889946</v>
      </c>
      <c r="Y224">
        <v>25.162554419999999</v>
      </c>
      <c r="Z224">
        <v>25.078501989999999</v>
      </c>
      <c r="AA224">
        <v>25.057699209999999</v>
      </c>
      <c r="AB224">
        <v>25.084742510000002</v>
      </c>
      <c r="AC224">
        <v>25.164295809999999</v>
      </c>
      <c r="AD224">
        <v>25.049814420000001</v>
      </c>
      <c r="AE224">
        <v>24.947975580000001</v>
      </c>
      <c r="AF224">
        <v>24.840497769999999</v>
      </c>
      <c r="AG224">
        <v>24.741684230000001</v>
      </c>
      <c r="AH224">
        <v>24.661126759999998</v>
      </c>
      <c r="AI224">
        <v>24.668749160000001</v>
      </c>
      <c r="AJ224">
        <v>24.68103318</v>
      </c>
      <c r="AK224">
        <v>24.704431710000001</v>
      </c>
      <c r="AL224">
        <v>24.730026970000001</v>
      </c>
      <c r="AM224">
        <v>24.757784990000001</v>
      </c>
      <c r="AN224">
        <v>24.62663169</v>
      </c>
      <c r="AO224">
        <v>24.500733889999999</v>
      </c>
      <c r="AP224">
        <v>24.365586459999999</v>
      </c>
      <c r="AQ224">
        <v>24.22751452</v>
      </c>
      <c r="AR224">
        <v>24.07972929</v>
      </c>
      <c r="AS224">
        <v>23.920298240000001</v>
      </c>
      <c r="AT224">
        <v>23.759812320000002</v>
      </c>
      <c r="AU224">
        <v>23.595422960000001</v>
      </c>
      <c r="AV224">
        <v>23.427308889999999</v>
      </c>
      <c r="AW224">
        <v>23.26485465</v>
      </c>
    </row>
    <row r="225" spans="2:49" x14ac:dyDescent="0.25">
      <c r="B225" t="s">
        <v>554</v>
      </c>
      <c r="C225">
        <v>1.54983431156195</v>
      </c>
      <c r="D225">
        <v>1.57471740274219</v>
      </c>
      <c r="E225">
        <v>1.6086112930000001</v>
      </c>
      <c r="F225">
        <v>2.6319993460000002</v>
      </c>
      <c r="G225">
        <v>3.5168632409999998</v>
      </c>
      <c r="H225">
        <v>4.2494234339999997</v>
      </c>
      <c r="I225">
        <v>5.1915956059999999</v>
      </c>
      <c r="J225">
        <v>5.954783505</v>
      </c>
      <c r="K225">
        <v>6.3789346910000004</v>
      </c>
      <c r="L225">
        <v>6.78537839</v>
      </c>
      <c r="M225">
        <v>7.2052673049999996</v>
      </c>
      <c r="N225">
        <v>7.5694795140000002</v>
      </c>
      <c r="O225">
        <v>7.8581121420000004</v>
      </c>
      <c r="P225">
        <v>7.9646787430000003</v>
      </c>
      <c r="Q225">
        <v>7.6869304310000004</v>
      </c>
      <c r="R225">
        <v>7.5340173960000003</v>
      </c>
      <c r="S225">
        <v>7.466654642</v>
      </c>
      <c r="T225">
        <v>7.6329070290000001</v>
      </c>
      <c r="U225">
        <v>7.7786863789999998</v>
      </c>
      <c r="V225">
        <v>7.9618977400000004</v>
      </c>
      <c r="W225">
        <v>7.9930620960000001</v>
      </c>
      <c r="X225">
        <v>8.0258394319999997</v>
      </c>
      <c r="Y225">
        <v>8.139815338</v>
      </c>
      <c r="Z225">
        <v>8.2985287190000001</v>
      </c>
      <c r="AA225">
        <v>8.4816515979999902</v>
      </c>
      <c r="AB225">
        <v>8.6882989590000008</v>
      </c>
      <c r="AC225">
        <v>8.9186390240000009</v>
      </c>
      <c r="AD225">
        <v>9.0781601750000007</v>
      </c>
      <c r="AE225">
        <v>9.2431261039999999</v>
      </c>
      <c r="AF225">
        <v>9.4069393100000003</v>
      </c>
      <c r="AG225">
        <v>9.5773598920000005</v>
      </c>
      <c r="AH225">
        <v>9.7561367709999995</v>
      </c>
      <c r="AI225">
        <v>9.8263657149999997</v>
      </c>
      <c r="AJ225">
        <v>9.8988365750000007</v>
      </c>
      <c r="AK225">
        <v>9.9761963189999996</v>
      </c>
      <c r="AL225">
        <v>10.05527459</v>
      </c>
      <c r="AM225">
        <v>10.13574358</v>
      </c>
      <c r="AN225">
        <v>10.1878061</v>
      </c>
      <c r="AO225">
        <v>10.24210295</v>
      </c>
      <c r="AP225">
        <v>10.29257658</v>
      </c>
      <c r="AQ225">
        <v>10.34180506</v>
      </c>
      <c r="AR225">
        <v>10.386820609999999</v>
      </c>
      <c r="AS225">
        <v>10.385591229999999</v>
      </c>
      <c r="AT225">
        <v>10.3841147</v>
      </c>
      <c r="AU225">
        <v>10.38113388</v>
      </c>
      <c r="AV225">
        <v>10.376698599999999</v>
      </c>
      <c r="AW225">
        <v>10.37496515</v>
      </c>
    </row>
    <row r="226" spans="2:49" x14ac:dyDescent="0.25">
      <c r="B226" t="s">
        <v>555</v>
      </c>
      <c r="C226">
        <v>0.19372928894524399</v>
      </c>
      <c r="D226">
        <v>0.196839675342774</v>
      </c>
      <c r="E226">
        <v>0.20107641170000001</v>
      </c>
      <c r="F226">
        <v>0.19421123270000001</v>
      </c>
      <c r="G226">
        <v>0.1811292635</v>
      </c>
      <c r="H226">
        <v>0.16637607609999999</v>
      </c>
      <c r="I226">
        <v>0.16302722419999999</v>
      </c>
      <c r="J226">
        <v>0.15586702120000001</v>
      </c>
      <c r="K226">
        <v>0.14354992389999999</v>
      </c>
      <c r="L226">
        <v>0.13494800300000001</v>
      </c>
      <c r="M226">
        <v>0.13013933729999999</v>
      </c>
      <c r="N226">
        <v>0.12793115460000001</v>
      </c>
      <c r="O226">
        <v>0.1971696439</v>
      </c>
      <c r="P226">
        <v>0.26348623630000001</v>
      </c>
      <c r="Q226">
        <v>0.31424161909999998</v>
      </c>
      <c r="R226">
        <v>0.36534359</v>
      </c>
      <c r="S226">
        <v>0.41758033030000002</v>
      </c>
      <c r="T226">
        <v>0.64761603670000001</v>
      </c>
      <c r="U226">
        <v>0.8785540986</v>
      </c>
      <c r="V226">
        <v>1.116703617</v>
      </c>
      <c r="W226">
        <v>0.80826823910000001</v>
      </c>
      <c r="X226">
        <v>0.5191747243</v>
      </c>
      <c r="Y226">
        <v>0.51973709990000005</v>
      </c>
      <c r="Z226">
        <v>0.52308463400000005</v>
      </c>
      <c r="AA226">
        <v>0.52784609549999995</v>
      </c>
      <c r="AB226">
        <v>0.53373708880000004</v>
      </c>
      <c r="AC226">
        <v>0.54089329819999998</v>
      </c>
      <c r="AD226">
        <v>0.56396107819999997</v>
      </c>
      <c r="AE226">
        <v>0.58742394519999996</v>
      </c>
      <c r="AF226">
        <v>0.61087386600000004</v>
      </c>
      <c r="AG226">
        <v>0.63495167669999997</v>
      </c>
      <c r="AH226">
        <v>0.65966278810000001</v>
      </c>
      <c r="AI226">
        <v>0.68860865339999999</v>
      </c>
      <c r="AJ226">
        <v>0.71785141870000002</v>
      </c>
      <c r="AK226">
        <v>0.74760397940000001</v>
      </c>
      <c r="AL226">
        <v>0.77816620759999999</v>
      </c>
      <c r="AM226">
        <v>0.80902033520000005</v>
      </c>
      <c r="AN226">
        <v>0.83337679679999999</v>
      </c>
      <c r="AO226">
        <v>0.85792869439999997</v>
      </c>
      <c r="AP226">
        <v>0.88216975269999998</v>
      </c>
      <c r="AQ226">
        <v>0.90630357029999997</v>
      </c>
      <c r="AR226">
        <v>0.93005725429999997</v>
      </c>
      <c r="AS226">
        <v>0.94911388399999996</v>
      </c>
      <c r="AT226">
        <v>0.96820756230000005</v>
      </c>
      <c r="AU226">
        <v>0.98721766609999995</v>
      </c>
      <c r="AV226">
        <v>1.006140915</v>
      </c>
      <c r="AW226">
        <v>1.025380197</v>
      </c>
    </row>
    <row r="227" spans="2:49" x14ac:dyDescent="0.25">
      <c r="B227" t="s">
        <v>556</v>
      </c>
      <c r="C227">
        <v>0.71679836909740502</v>
      </c>
      <c r="D227">
        <v>0.72830679876826598</v>
      </c>
      <c r="E227">
        <v>0.74398272320000003</v>
      </c>
      <c r="F227">
        <v>0.73322585699999998</v>
      </c>
      <c r="G227">
        <v>0.69777234190000004</v>
      </c>
      <c r="H227">
        <v>0.65399994250000004</v>
      </c>
      <c r="I227">
        <v>0.65389598339999999</v>
      </c>
      <c r="J227">
        <v>0.65175511190000002</v>
      </c>
      <c r="K227">
        <v>0.62689848290000005</v>
      </c>
      <c r="L227">
        <v>0.61666956260000005</v>
      </c>
      <c r="M227">
        <v>0.62353220580000002</v>
      </c>
      <c r="N227">
        <v>0.64403094620000001</v>
      </c>
      <c r="O227">
        <v>0.93154280649999999</v>
      </c>
      <c r="P227">
        <v>1.180450582</v>
      </c>
      <c r="Q227">
        <v>1.3391845710000001</v>
      </c>
      <c r="R227">
        <v>1.4818756070000001</v>
      </c>
      <c r="S227">
        <v>1.6110185420000001</v>
      </c>
      <c r="T227">
        <v>1.6571901229999999</v>
      </c>
      <c r="U227">
        <v>1.6982142570000001</v>
      </c>
      <c r="V227">
        <v>1.746705065</v>
      </c>
      <c r="W227">
        <v>1.3692951470000001</v>
      </c>
      <c r="X227">
        <v>1.0112515310000001</v>
      </c>
      <c r="Y227">
        <v>1.0109719779999999</v>
      </c>
      <c r="Z227">
        <v>1.016095075</v>
      </c>
      <c r="AA227">
        <v>1.023938561</v>
      </c>
      <c r="AB227">
        <v>1.033752038</v>
      </c>
      <c r="AC227">
        <v>1.0459735080000001</v>
      </c>
      <c r="AD227">
        <v>1.0435466959999999</v>
      </c>
      <c r="AE227">
        <v>1.0416623979999999</v>
      </c>
      <c r="AF227">
        <v>1.0395593889999999</v>
      </c>
      <c r="AG227">
        <v>1.0379329420000001</v>
      </c>
      <c r="AH227">
        <v>1.0370937099999999</v>
      </c>
      <c r="AI227">
        <v>1.037666135</v>
      </c>
      <c r="AJ227">
        <v>1.0384380339999999</v>
      </c>
      <c r="AK227">
        <v>1.039681147</v>
      </c>
      <c r="AL227">
        <v>1.0411075809999999</v>
      </c>
      <c r="AM227">
        <v>1.042629732</v>
      </c>
      <c r="AN227">
        <v>1.040984664</v>
      </c>
      <c r="AO227">
        <v>1.039565171</v>
      </c>
      <c r="AP227">
        <v>1.0377560240000001</v>
      </c>
      <c r="AQ227">
        <v>1.0358231760000001</v>
      </c>
      <c r="AR227">
        <v>1.0334738109999999</v>
      </c>
      <c r="AS227">
        <v>1.033879228</v>
      </c>
      <c r="AT227">
        <v>1.034262268</v>
      </c>
      <c r="AU227">
        <v>1.0344976290000001</v>
      </c>
      <c r="AV227">
        <v>1.034590058</v>
      </c>
      <c r="AW227">
        <v>1.0349539480000001</v>
      </c>
    </row>
    <row r="228" spans="2:49" x14ac:dyDescent="0.25">
      <c r="B228" t="s">
        <v>557</v>
      </c>
      <c r="C228">
        <v>0.19372928894524399</v>
      </c>
      <c r="D228">
        <v>0.196839675342774</v>
      </c>
      <c r="E228">
        <v>0.20107641170000001</v>
      </c>
      <c r="F228">
        <v>0.2060068156</v>
      </c>
      <c r="G228">
        <v>0.20379949780000001</v>
      </c>
      <c r="H228">
        <v>0.19856953090000001</v>
      </c>
      <c r="I228">
        <v>0.20639021839999999</v>
      </c>
      <c r="J228">
        <v>0.20931023060000001</v>
      </c>
      <c r="K228">
        <v>0.2044779259</v>
      </c>
      <c r="L228">
        <v>0.20389997430000001</v>
      </c>
      <c r="M228">
        <v>0.20857706100000001</v>
      </c>
      <c r="N228">
        <v>0.21749111339999999</v>
      </c>
      <c r="O228">
        <v>0.25906053299999998</v>
      </c>
      <c r="P228">
        <v>0.29547895140000002</v>
      </c>
      <c r="Q228">
        <v>0.3161676256</v>
      </c>
      <c r="R228">
        <v>0.33953149659999998</v>
      </c>
      <c r="S228">
        <v>0.36519260009999999</v>
      </c>
      <c r="T228">
        <v>0.43273959519999999</v>
      </c>
      <c r="U228">
        <v>0.49983633459999999</v>
      </c>
      <c r="V228">
        <v>0.57014147810000004</v>
      </c>
      <c r="W228">
        <v>0.44830791050000002</v>
      </c>
      <c r="X228">
        <v>0.33417148549999998</v>
      </c>
      <c r="Y228">
        <v>0.33857243149999999</v>
      </c>
      <c r="Z228">
        <v>0.34483060259999998</v>
      </c>
      <c r="AA228">
        <v>0.35209675689999997</v>
      </c>
      <c r="AB228">
        <v>0.3601943829</v>
      </c>
      <c r="AC228">
        <v>0.36926111900000003</v>
      </c>
      <c r="AD228">
        <v>0.36904146869999999</v>
      </c>
      <c r="AE228">
        <v>0.36901419400000002</v>
      </c>
      <c r="AF228">
        <v>0.36891016780000002</v>
      </c>
      <c r="AG228">
        <v>0.36898865359999999</v>
      </c>
      <c r="AH228">
        <v>0.36934882699999999</v>
      </c>
      <c r="AI228">
        <v>0.37014065730000001</v>
      </c>
      <c r="AJ228">
        <v>0.3710061509</v>
      </c>
      <c r="AK228">
        <v>0.37204290000000001</v>
      </c>
      <c r="AL228">
        <v>0.37317154270000003</v>
      </c>
      <c r="AM228">
        <v>0.37433818130000002</v>
      </c>
      <c r="AN228">
        <v>0.37446617580000002</v>
      </c>
      <c r="AO228">
        <v>0.37467517080000001</v>
      </c>
      <c r="AP228">
        <v>0.3747434691</v>
      </c>
      <c r="AQ228">
        <v>0.37476647899999999</v>
      </c>
      <c r="AR228">
        <v>0.37463779200000003</v>
      </c>
      <c r="AS228">
        <v>0.37526581510000001</v>
      </c>
      <c r="AT228">
        <v>0.37588699990000002</v>
      </c>
      <c r="AU228">
        <v>0.37645572059999999</v>
      </c>
      <c r="AV228">
        <v>0.37697350270000002</v>
      </c>
      <c r="AW228">
        <v>0.37759133550000001</v>
      </c>
    </row>
    <row r="229" spans="2:49" x14ac:dyDescent="0.25">
      <c r="B229" t="s">
        <v>558</v>
      </c>
      <c r="C229">
        <v>0.38745857789048899</v>
      </c>
      <c r="D229">
        <v>0.39367935068554899</v>
      </c>
      <c r="E229">
        <v>0.40215282340000003</v>
      </c>
      <c r="F229">
        <v>0.52785940669999998</v>
      </c>
      <c r="G229">
        <v>0.66903134630000005</v>
      </c>
      <c r="H229">
        <v>0.83514646530000003</v>
      </c>
      <c r="I229">
        <v>1.1121050910000001</v>
      </c>
      <c r="J229">
        <v>1.444953446</v>
      </c>
      <c r="K229">
        <v>1.808491662</v>
      </c>
      <c r="L229">
        <v>2.3104359379999999</v>
      </c>
      <c r="M229">
        <v>3.0279589589999998</v>
      </c>
      <c r="N229">
        <v>4.0451221259999999</v>
      </c>
      <c r="O229">
        <v>3.8683426839999999</v>
      </c>
      <c r="P229">
        <v>3.593469174</v>
      </c>
      <c r="Q229">
        <v>3.159846978</v>
      </c>
      <c r="R229">
        <v>2.8020055099999999</v>
      </c>
      <c r="S229">
        <v>2.4914821520000001</v>
      </c>
      <c r="T229">
        <v>2.984409791</v>
      </c>
      <c r="U229">
        <v>3.4745633090000001</v>
      </c>
      <c r="V229">
        <v>3.9873499639999999</v>
      </c>
      <c r="W229">
        <v>3.4476889970000002</v>
      </c>
      <c r="X229">
        <v>2.942768322</v>
      </c>
      <c r="Y229">
        <v>3.1004590510000001</v>
      </c>
      <c r="Z229">
        <v>3.2764050980000001</v>
      </c>
      <c r="AA229">
        <v>3.4641103530000001</v>
      </c>
      <c r="AB229">
        <v>3.6707587629999998</v>
      </c>
      <c r="AC229">
        <v>3.8907546100000001</v>
      </c>
      <c r="AD229">
        <v>4.0265616700000004</v>
      </c>
      <c r="AE229">
        <v>4.1650647520000001</v>
      </c>
      <c r="AF229">
        <v>4.3033465870000001</v>
      </c>
      <c r="AG229">
        <v>4.4504750489999996</v>
      </c>
      <c r="AH229">
        <v>4.6019081489999998</v>
      </c>
      <c r="AI229">
        <v>4.6947929779999997</v>
      </c>
      <c r="AJ229">
        <v>4.7890941700000003</v>
      </c>
      <c r="AK229">
        <v>4.8861440570000001</v>
      </c>
      <c r="AL229">
        <v>4.987523038</v>
      </c>
      <c r="AM229">
        <v>5.0900604219999996</v>
      </c>
      <c r="AN229">
        <v>5.1731211090000002</v>
      </c>
      <c r="AO229">
        <v>5.2573520169999997</v>
      </c>
      <c r="AP229">
        <v>5.3396469560000002</v>
      </c>
      <c r="AQ229">
        <v>5.4212944649999999</v>
      </c>
      <c r="AR229">
        <v>5.5007027009999998</v>
      </c>
      <c r="AS229">
        <v>5.6247146749999999</v>
      </c>
      <c r="AT229">
        <v>5.748980671</v>
      </c>
      <c r="AU229">
        <v>5.8727825259999999</v>
      </c>
      <c r="AV229">
        <v>5.996096273</v>
      </c>
      <c r="AW229">
        <v>6.1213228669999999</v>
      </c>
    </row>
    <row r="230" spans="2:49" x14ac:dyDescent="0.25">
      <c r="B230" t="s">
        <v>559</v>
      </c>
      <c r="C230">
        <v>1.1905732046364299</v>
      </c>
      <c r="D230">
        <v>1.2096882425386799</v>
      </c>
      <c r="E230">
        <v>1.2321389949999999</v>
      </c>
      <c r="F230">
        <v>1.2387948449999999</v>
      </c>
      <c r="G230">
        <v>1.144680865</v>
      </c>
      <c r="H230">
        <v>0.92862531270000004</v>
      </c>
      <c r="I230">
        <v>1.012226429</v>
      </c>
      <c r="J230">
        <v>1.036548654</v>
      </c>
      <c r="K230">
        <v>0.98035720270000004</v>
      </c>
      <c r="L230">
        <v>0.9776655528</v>
      </c>
      <c r="M230">
        <v>0.98411044989999996</v>
      </c>
      <c r="N230">
        <v>0.99383971000000004</v>
      </c>
      <c r="O230">
        <v>0.94006910690000001</v>
      </c>
      <c r="P230">
        <v>0.95653916100000003</v>
      </c>
      <c r="Q230">
        <v>0.93779683339999997</v>
      </c>
      <c r="R230">
        <v>0.88952569910000001</v>
      </c>
      <c r="S230">
        <v>0.86532403290000004</v>
      </c>
      <c r="T230">
        <v>0.89601797490000001</v>
      </c>
      <c r="U230">
        <v>0.89563649050000005</v>
      </c>
      <c r="V230">
        <v>0.91103810559999998</v>
      </c>
      <c r="W230">
        <v>0.91731851919999996</v>
      </c>
      <c r="X230">
        <v>0.9191767663</v>
      </c>
      <c r="Y230">
        <v>0.91746117670000005</v>
      </c>
      <c r="Z230">
        <v>0.92495983550000005</v>
      </c>
      <c r="AA230">
        <v>0.9341403559</v>
      </c>
      <c r="AB230">
        <v>0.9441334495</v>
      </c>
      <c r="AC230">
        <v>0.95538777740000003</v>
      </c>
      <c r="AD230">
        <v>0.95340175469999999</v>
      </c>
      <c r="AE230">
        <v>0.95433161639999997</v>
      </c>
      <c r="AF230">
        <v>0.95593186760000004</v>
      </c>
      <c r="AG230">
        <v>0.958447779</v>
      </c>
      <c r="AH230">
        <v>0.96248868040000002</v>
      </c>
      <c r="AI230">
        <v>0.96752949030000002</v>
      </c>
      <c r="AJ230">
        <v>0.97295140690000004</v>
      </c>
      <c r="AK230">
        <v>0.97918400530000005</v>
      </c>
      <c r="AL230">
        <v>0.98578134309999998</v>
      </c>
      <c r="AM230">
        <v>0.99239158569999997</v>
      </c>
      <c r="AN230">
        <v>0.99655689120000002</v>
      </c>
      <c r="AO230">
        <v>1.0015943199999999</v>
      </c>
      <c r="AP230">
        <v>1.0061831830000001</v>
      </c>
      <c r="AQ230">
        <v>1.0109721410000001</v>
      </c>
      <c r="AR230">
        <v>1.015088738</v>
      </c>
      <c r="AS230">
        <v>1.0209651289999999</v>
      </c>
      <c r="AT230">
        <v>1.0266455249999999</v>
      </c>
      <c r="AU230">
        <v>1.0324066700000001</v>
      </c>
      <c r="AV230">
        <v>1.038231643</v>
      </c>
      <c r="AW230">
        <v>1.044712619</v>
      </c>
    </row>
    <row r="231" spans="2:49" x14ac:dyDescent="0.25">
      <c r="B231" t="s">
        <v>560</v>
      </c>
      <c r="C231">
        <v>1.7112081308179601</v>
      </c>
      <c r="D231">
        <v>1.7386821308642</v>
      </c>
      <c r="E231">
        <v>1.766998136</v>
      </c>
      <c r="F231">
        <v>1.789005336</v>
      </c>
      <c r="G231">
        <v>1.8070319269999999</v>
      </c>
      <c r="H231">
        <v>1.699659496</v>
      </c>
      <c r="I231">
        <v>1.775210585</v>
      </c>
      <c r="J231">
        <v>1.8066024940000001</v>
      </c>
      <c r="K231">
        <v>1.787470017</v>
      </c>
      <c r="L231">
        <v>1.798614288</v>
      </c>
      <c r="M231">
        <v>1.817839969</v>
      </c>
      <c r="N231">
        <v>1.8945405259999999</v>
      </c>
      <c r="O231">
        <v>1.8930506600000001</v>
      </c>
      <c r="P231">
        <v>1.897521196</v>
      </c>
      <c r="Q231">
        <v>1.872850251</v>
      </c>
      <c r="R231">
        <v>1.893104737</v>
      </c>
      <c r="S231">
        <v>1.8757390430000001</v>
      </c>
      <c r="T231">
        <v>1.885254489</v>
      </c>
      <c r="U231">
        <v>1.904584659</v>
      </c>
      <c r="V231">
        <v>1.9410856569999999</v>
      </c>
      <c r="W231">
        <v>1.972329708</v>
      </c>
      <c r="X231">
        <v>1.9961374789999999</v>
      </c>
      <c r="Y231">
        <v>2.0212350319999999</v>
      </c>
      <c r="Z231">
        <v>2.0527817439999998</v>
      </c>
      <c r="AA231">
        <v>2.094000452</v>
      </c>
      <c r="AB231">
        <v>2.1404017890000002</v>
      </c>
      <c r="AC231">
        <v>2.193825554</v>
      </c>
      <c r="AD231">
        <v>2.2134558430000002</v>
      </c>
      <c r="AE231">
        <v>2.2364200680000001</v>
      </c>
      <c r="AF231">
        <v>2.2607592740000002</v>
      </c>
      <c r="AG231">
        <v>2.2869839120000002</v>
      </c>
      <c r="AH231">
        <v>2.3160421439999999</v>
      </c>
      <c r="AI231">
        <v>2.3476139960000002</v>
      </c>
      <c r="AJ231">
        <v>2.3815666040000001</v>
      </c>
      <c r="AK231">
        <v>2.4169948450000001</v>
      </c>
      <c r="AL231">
        <v>2.4536429399999999</v>
      </c>
      <c r="AM231">
        <v>2.4909320400000001</v>
      </c>
      <c r="AN231">
        <v>2.5285218629999999</v>
      </c>
      <c r="AO231">
        <v>2.5677617179999999</v>
      </c>
      <c r="AP231">
        <v>2.6067932649999999</v>
      </c>
      <c r="AQ231">
        <v>2.646375629</v>
      </c>
      <c r="AR231">
        <v>2.6867185230000001</v>
      </c>
      <c r="AS231">
        <v>2.7294621189999999</v>
      </c>
      <c r="AT231">
        <v>2.7725299489999999</v>
      </c>
      <c r="AU231">
        <v>2.816187218</v>
      </c>
      <c r="AV231">
        <v>2.8602402910000002</v>
      </c>
      <c r="AW231">
        <v>2.9046839119999999</v>
      </c>
    </row>
    <row r="232" spans="2:49" x14ac:dyDescent="0.25">
      <c r="B232" t="s">
        <v>561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</row>
    <row r="233" spans="2:49" x14ac:dyDescent="0.25">
      <c r="B233" t="s">
        <v>562</v>
      </c>
      <c r="C233">
        <v>1.5692072404564801</v>
      </c>
      <c r="D233">
        <v>1.5944013702764701</v>
      </c>
      <c r="E233">
        <v>1.6257077289999999</v>
      </c>
      <c r="F233">
        <v>1.652074963</v>
      </c>
      <c r="G233">
        <v>1.6776396600000001</v>
      </c>
      <c r="H233">
        <v>1.562652749</v>
      </c>
      <c r="I233">
        <v>1.6527549539999999</v>
      </c>
      <c r="J233">
        <v>1.708192494</v>
      </c>
      <c r="K233">
        <v>1.7003025629999999</v>
      </c>
      <c r="L233">
        <v>1.712291526</v>
      </c>
      <c r="M233">
        <v>1.7338054439999999</v>
      </c>
      <c r="N233">
        <v>1.786449027</v>
      </c>
      <c r="O233">
        <v>1.850533481</v>
      </c>
      <c r="P233">
        <v>1.9471026309999999</v>
      </c>
      <c r="Q233">
        <v>2.001547725</v>
      </c>
      <c r="R233">
        <v>2.0824181419999999</v>
      </c>
      <c r="S233">
        <v>2.1241513009999999</v>
      </c>
      <c r="T233">
        <v>2.1361921499999998</v>
      </c>
      <c r="U233">
        <v>2.15011105</v>
      </c>
      <c r="V233">
        <v>2.181427029</v>
      </c>
      <c r="W233">
        <v>2.2032961580000001</v>
      </c>
      <c r="X233">
        <v>2.2164120980000002</v>
      </c>
      <c r="Y233">
        <v>2.2365016039999999</v>
      </c>
      <c r="Z233">
        <v>2.2641544090000001</v>
      </c>
      <c r="AA233">
        <v>2.3027883259999999</v>
      </c>
      <c r="AB233">
        <v>2.3474649400000001</v>
      </c>
      <c r="AC233">
        <v>2.3999290709999999</v>
      </c>
      <c r="AD233">
        <v>2.416115488</v>
      </c>
      <c r="AE233">
        <v>2.4353920630000001</v>
      </c>
      <c r="AF233">
        <v>2.4554513060000001</v>
      </c>
      <c r="AG233">
        <v>2.4779119079999998</v>
      </c>
      <c r="AH233">
        <v>2.5034648320000001</v>
      </c>
      <c r="AI233">
        <v>2.5310351359999999</v>
      </c>
      <c r="AJ233">
        <v>2.5611131870000001</v>
      </c>
      <c r="AK233">
        <v>2.592671717</v>
      </c>
      <c r="AL233">
        <v>2.6254065450000001</v>
      </c>
      <c r="AM233">
        <v>2.658669084</v>
      </c>
      <c r="AN233">
        <v>2.6929844709999999</v>
      </c>
      <c r="AO233">
        <v>2.729636846</v>
      </c>
      <c r="AP233">
        <v>2.7661214479999998</v>
      </c>
      <c r="AQ233">
        <v>2.8032072119999998</v>
      </c>
      <c r="AR233">
        <v>2.841079803</v>
      </c>
      <c r="AS233">
        <v>2.8810573769999999</v>
      </c>
      <c r="AT233">
        <v>2.921398977</v>
      </c>
      <c r="AU233">
        <v>2.962327664</v>
      </c>
      <c r="AV233">
        <v>3.0036338379999998</v>
      </c>
      <c r="AW233">
        <v>3.0453213419999998</v>
      </c>
    </row>
    <row r="234" spans="2:49" x14ac:dyDescent="0.25">
      <c r="B234" t="s">
        <v>563</v>
      </c>
      <c r="C234">
        <v>0.99151022292981705</v>
      </c>
      <c r="D234">
        <v>0.99151022292981705</v>
      </c>
      <c r="E234">
        <v>0.99190344529999996</v>
      </c>
      <c r="F234">
        <v>0.98792117270000002</v>
      </c>
      <c r="G234">
        <v>0.98397089579999997</v>
      </c>
      <c r="H234">
        <v>0.98000906980000002</v>
      </c>
      <c r="I234">
        <v>0.97611328419999999</v>
      </c>
      <c r="J234">
        <v>0.97222111590000004</v>
      </c>
      <c r="K234">
        <v>0.96834034710000005</v>
      </c>
      <c r="L234">
        <v>0.96448738069999995</v>
      </c>
      <c r="M234">
        <v>0.96064149379999997</v>
      </c>
      <c r="N234">
        <v>0.95683752420000001</v>
      </c>
      <c r="O234">
        <v>0.95616789790000001</v>
      </c>
      <c r="P234">
        <v>0.955461703</v>
      </c>
      <c r="Q234">
        <v>0.95470304250000004</v>
      </c>
      <c r="R234">
        <v>0.9539040204</v>
      </c>
      <c r="S234">
        <v>0.95303000120000003</v>
      </c>
      <c r="T234">
        <v>0.95056850910000001</v>
      </c>
      <c r="U234">
        <v>0.94821058260000002</v>
      </c>
      <c r="V234">
        <v>0.94594148690000002</v>
      </c>
      <c r="W234">
        <v>0.94359102269999995</v>
      </c>
      <c r="X234">
        <v>0.94114770280000004</v>
      </c>
      <c r="Y234">
        <v>0.94119864320000002</v>
      </c>
      <c r="Z234">
        <v>0.94124687470000001</v>
      </c>
      <c r="AA234">
        <v>0.94130113059999998</v>
      </c>
      <c r="AB234">
        <v>0.94134062060000001</v>
      </c>
      <c r="AC234">
        <v>0.94138341150000004</v>
      </c>
      <c r="AD234">
        <v>0.94147515869999998</v>
      </c>
      <c r="AE234">
        <v>0.94157280750000005</v>
      </c>
      <c r="AF234">
        <v>0.94167465829999997</v>
      </c>
      <c r="AG234">
        <v>0.94177356079999996</v>
      </c>
      <c r="AH234">
        <v>0.94187845920000002</v>
      </c>
      <c r="AI234">
        <v>0.94190359710000005</v>
      </c>
      <c r="AJ234">
        <v>0.94192930789999996</v>
      </c>
      <c r="AK234">
        <v>0.94195428510000001</v>
      </c>
      <c r="AL234">
        <v>0.94198843499999996</v>
      </c>
      <c r="AM234">
        <v>0.94202203200000001</v>
      </c>
      <c r="AN234">
        <v>0.94186858120000005</v>
      </c>
      <c r="AO234">
        <v>0.94170951270000003</v>
      </c>
      <c r="AP234">
        <v>0.94154305260000004</v>
      </c>
      <c r="AQ234">
        <v>0.94136871889999996</v>
      </c>
      <c r="AR234">
        <v>0.94118706510000005</v>
      </c>
      <c r="AS234">
        <v>0.94095424179999998</v>
      </c>
      <c r="AT234">
        <v>0.94071500090000004</v>
      </c>
      <c r="AU234">
        <v>0.94046967810000004</v>
      </c>
      <c r="AV234">
        <v>0.94021795210000003</v>
      </c>
      <c r="AW234">
        <v>0.9399583561</v>
      </c>
    </row>
    <row r="235" spans="2:49" x14ac:dyDescent="0.25">
      <c r="B235" t="s">
        <v>564</v>
      </c>
      <c r="C235">
        <v>8.4897770701825997E-3</v>
      </c>
      <c r="D235">
        <v>8.4897770701825997E-3</v>
      </c>
      <c r="E235">
        <v>8.0965543399999906E-3</v>
      </c>
      <c r="F235">
        <v>1.2078827699999999E-2</v>
      </c>
      <c r="G235">
        <v>1.6029101600000002E-2</v>
      </c>
      <c r="H235">
        <v>1.99909248E-2</v>
      </c>
      <c r="I235">
        <v>2.38920426E-2</v>
      </c>
      <c r="J235">
        <v>2.7778884E-2</v>
      </c>
      <c r="K235">
        <v>3.1659651800000001E-2</v>
      </c>
      <c r="L235">
        <v>3.5512619299999999E-2</v>
      </c>
      <c r="M235">
        <v>3.9358506199999997E-2</v>
      </c>
      <c r="N235">
        <v>4.3162475899999997E-2</v>
      </c>
      <c r="O235">
        <v>4.3832100899999997E-2</v>
      </c>
      <c r="P235">
        <v>4.4538296300000002E-2</v>
      </c>
      <c r="Q235">
        <v>4.5296960099999999E-2</v>
      </c>
      <c r="R235">
        <v>4.6095979500000002E-2</v>
      </c>
      <c r="S235">
        <v>4.6969996100000001E-2</v>
      </c>
      <c r="T235">
        <v>4.9431490799999998E-2</v>
      </c>
      <c r="U235">
        <v>5.1789460900000001E-2</v>
      </c>
      <c r="V235">
        <v>5.4058574599999999E-2</v>
      </c>
      <c r="W235">
        <v>5.6408973699999997E-2</v>
      </c>
      <c r="X235">
        <v>5.8852297099999999E-2</v>
      </c>
      <c r="Y235">
        <v>5.8801356800000003E-2</v>
      </c>
      <c r="Z235">
        <v>5.8753129100000002E-2</v>
      </c>
      <c r="AA235">
        <v>5.8698871399999998E-2</v>
      </c>
      <c r="AB235">
        <v>5.8659379499999997E-2</v>
      </c>
      <c r="AC235">
        <v>5.86165861E-2</v>
      </c>
      <c r="AD235">
        <v>5.8524843299999997E-2</v>
      </c>
      <c r="AE235">
        <v>5.8427192400000001E-2</v>
      </c>
      <c r="AF235">
        <v>5.8325341599999997E-2</v>
      </c>
      <c r="AG235">
        <v>5.8226439200000001E-2</v>
      </c>
      <c r="AH235">
        <v>5.8121540800000003E-2</v>
      </c>
      <c r="AI235">
        <v>5.8096402900000003E-2</v>
      </c>
      <c r="AJ235">
        <v>5.8070692100000001E-2</v>
      </c>
      <c r="AK235">
        <v>5.8045714800000002E-2</v>
      </c>
      <c r="AL235">
        <v>5.8011565000000001E-2</v>
      </c>
      <c r="AM235">
        <v>5.7977967999999998E-2</v>
      </c>
      <c r="AN235">
        <v>5.8131420400000001E-2</v>
      </c>
      <c r="AO235">
        <v>5.8290489299999998E-2</v>
      </c>
      <c r="AP235">
        <v>5.8456949799999998E-2</v>
      </c>
      <c r="AQ235">
        <v>5.8631283999999999E-2</v>
      </c>
      <c r="AR235">
        <v>5.8812969899999998E-2</v>
      </c>
      <c r="AS235">
        <v>5.9045758199999999E-2</v>
      </c>
      <c r="AT235">
        <v>5.9284999300000002E-2</v>
      </c>
      <c r="AU235">
        <v>5.9530322099999998E-2</v>
      </c>
      <c r="AV235">
        <v>5.9782047400000003E-2</v>
      </c>
      <c r="AW235">
        <v>6.00416436E-2</v>
      </c>
    </row>
    <row r="236" spans="2:49" x14ac:dyDescent="0.25">
      <c r="B236" t="s">
        <v>565</v>
      </c>
      <c r="C236">
        <v>0.79896379760487002</v>
      </c>
      <c r="D236">
        <v>0.79896379760486902</v>
      </c>
      <c r="E236">
        <v>0.79896379760000003</v>
      </c>
      <c r="F236">
        <v>0.79638417930000005</v>
      </c>
      <c r="G236">
        <v>0.79381292469999998</v>
      </c>
      <c r="H236">
        <v>0.79124992159999996</v>
      </c>
      <c r="I236">
        <v>0.78869494490000003</v>
      </c>
      <c r="J236">
        <v>0.78614873760000004</v>
      </c>
      <c r="K236">
        <v>0.78361049890000001</v>
      </c>
      <c r="L236">
        <v>0.78108045660000003</v>
      </c>
      <c r="M236">
        <v>0.77855857679999996</v>
      </c>
      <c r="N236">
        <v>0.77604484760000003</v>
      </c>
      <c r="O236">
        <v>0.76081534569999998</v>
      </c>
      <c r="P236">
        <v>0.74503571670000002</v>
      </c>
      <c r="Q236">
        <v>0.72867561250000001</v>
      </c>
      <c r="R236">
        <v>0.71170237940000003</v>
      </c>
      <c r="S236">
        <v>0.69408091179999998</v>
      </c>
      <c r="T236">
        <v>0.68549363900000004</v>
      </c>
      <c r="U236">
        <v>0.67684743619999999</v>
      </c>
      <c r="V236">
        <v>0.66814169540000001</v>
      </c>
      <c r="W236">
        <v>0.67758856280000002</v>
      </c>
      <c r="X236">
        <v>0.68626280279999996</v>
      </c>
      <c r="Y236">
        <v>0.67775046569999997</v>
      </c>
      <c r="Z236">
        <v>0.66938119659999995</v>
      </c>
      <c r="AA236">
        <v>0.66115142510000002</v>
      </c>
      <c r="AB236">
        <v>0.65475837690000005</v>
      </c>
      <c r="AC236">
        <v>0.64846858519999995</v>
      </c>
      <c r="AD236">
        <v>0.63469239820000001</v>
      </c>
      <c r="AE236">
        <v>0.62123754350000004</v>
      </c>
      <c r="AF236">
        <v>0.60809290640000002</v>
      </c>
      <c r="AG236">
        <v>0.59456247490000003</v>
      </c>
      <c r="AH236">
        <v>0.58133482650000001</v>
      </c>
      <c r="AI236">
        <v>0.56661158</v>
      </c>
      <c r="AJ236">
        <v>0.55218208830000004</v>
      </c>
      <c r="AK236">
        <v>0.53803764679999999</v>
      </c>
      <c r="AL236">
        <v>0.52355173580000003</v>
      </c>
      <c r="AM236">
        <v>0.50934324639999995</v>
      </c>
      <c r="AN236">
        <v>0.49580558629999999</v>
      </c>
      <c r="AO236">
        <v>0.48247065700000002</v>
      </c>
      <c r="AP236">
        <v>0.46933393849999999</v>
      </c>
      <c r="AQ236">
        <v>0.45639104390000002</v>
      </c>
      <c r="AR236">
        <v>0.44363771320000001</v>
      </c>
      <c r="AS236">
        <v>0.42915867419999998</v>
      </c>
      <c r="AT236">
        <v>0.41485904509999999</v>
      </c>
      <c r="AU236">
        <v>0.40073551400000001</v>
      </c>
      <c r="AV236">
        <v>0.38678484810000002</v>
      </c>
      <c r="AW236">
        <v>0.373003892</v>
      </c>
    </row>
    <row r="237" spans="2:49" x14ac:dyDescent="0.25">
      <c r="B237" t="s">
        <v>566</v>
      </c>
      <c r="C237">
        <v>1.02537481030392E-2</v>
      </c>
      <c r="D237">
        <v>1.02537481030392E-2</v>
      </c>
      <c r="E237">
        <v>1.02537481E-2</v>
      </c>
      <c r="F237">
        <v>9.6835705099999995E-3</v>
      </c>
      <c r="G237">
        <v>9.1450990299999906E-3</v>
      </c>
      <c r="H237">
        <v>8.6365696399999907E-3</v>
      </c>
      <c r="I237">
        <v>8.1563153500000003E-3</v>
      </c>
      <c r="J237">
        <v>7.7027716799999996E-3</v>
      </c>
      <c r="K237">
        <v>7.2744456200000002E-3</v>
      </c>
      <c r="L237">
        <v>6.8699373899999997E-3</v>
      </c>
      <c r="M237">
        <v>6.4879224899999999E-3</v>
      </c>
      <c r="N237">
        <v>6.1271502700000003E-3</v>
      </c>
      <c r="O237">
        <v>5.5291148999999998E-3</v>
      </c>
      <c r="P237">
        <v>4.9094769899999998E-3</v>
      </c>
      <c r="Q237">
        <v>4.2670445699999997E-3</v>
      </c>
      <c r="R237">
        <v>3.6005361200000001E-3</v>
      </c>
      <c r="S237">
        <v>2.9085724800000001E-3</v>
      </c>
      <c r="T237">
        <v>3.81905458E-3</v>
      </c>
      <c r="U237">
        <v>4.7357845500000002E-3</v>
      </c>
      <c r="V237">
        <v>5.6588269100000003E-3</v>
      </c>
      <c r="W237">
        <v>5.8246086100000004E-3</v>
      </c>
      <c r="X237">
        <v>5.9768316400000002E-3</v>
      </c>
      <c r="Y237">
        <v>5.8664569800000003E-3</v>
      </c>
      <c r="Z237">
        <v>5.7579374200000004E-3</v>
      </c>
      <c r="AA237">
        <v>5.6512266299999997E-3</v>
      </c>
      <c r="AB237">
        <v>5.5609613200000001E-3</v>
      </c>
      <c r="AC237">
        <v>5.4721539200000002E-3</v>
      </c>
      <c r="AD237">
        <v>5.5302444300000001E-3</v>
      </c>
      <c r="AE237">
        <v>5.5869799900000001E-3</v>
      </c>
      <c r="AF237">
        <v>5.6424074200000004E-3</v>
      </c>
      <c r="AG237">
        <v>5.6994452499999999E-3</v>
      </c>
      <c r="AH237">
        <v>5.7552066799999996E-3</v>
      </c>
      <c r="AI237">
        <v>5.6820847899999999E-3</v>
      </c>
      <c r="AJ237">
        <v>5.6104218100000002E-3</v>
      </c>
      <c r="AK237">
        <v>5.5401745099999998E-3</v>
      </c>
      <c r="AL237">
        <v>5.4682570800000004E-3</v>
      </c>
      <c r="AM237">
        <v>5.39771696E-3</v>
      </c>
      <c r="AN237">
        <v>5.4498631800000003E-3</v>
      </c>
      <c r="AO237">
        <v>5.5012285000000001E-3</v>
      </c>
      <c r="AP237">
        <v>5.5518303200000002E-3</v>
      </c>
      <c r="AQ237">
        <v>5.6016855499999999E-3</v>
      </c>
      <c r="AR237">
        <v>5.6508105499999996E-3</v>
      </c>
      <c r="AS237">
        <v>5.6479370500000002E-3</v>
      </c>
      <c r="AT237">
        <v>5.6450991200000002E-3</v>
      </c>
      <c r="AU237">
        <v>5.6422961400000001E-3</v>
      </c>
      <c r="AV237">
        <v>5.6395274699999999E-3</v>
      </c>
      <c r="AW237">
        <v>5.6367924699999997E-3</v>
      </c>
    </row>
    <row r="238" spans="2:49" x14ac:dyDescent="0.25">
      <c r="B238" t="s">
        <v>567</v>
      </c>
      <c r="C238">
        <v>4.0949078402655603E-2</v>
      </c>
      <c r="D238">
        <v>4.0949078402655603E-2</v>
      </c>
      <c r="E238">
        <v>4.0949078399999998E-2</v>
      </c>
      <c r="F238">
        <v>4.0876232399999997E-2</v>
      </c>
      <c r="G238">
        <v>4.0803517900000003E-2</v>
      </c>
      <c r="H238">
        <v>4.07309301E-2</v>
      </c>
      <c r="I238">
        <v>4.0658458600000003E-2</v>
      </c>
      <c r="J238">
        <v>4.0586142800000002E-2</v>
      </c>
      <c r="K238">
        <v>4.05139427E-2</v>
      </c>
      <c r="L238">
        <v>4.0441871099999999E-2</v>
      </c>
      <c r="M238">
        <v>4.0369927299999997E-2</v>
      </c>
      <c r="N238">
        <v>4.0298111999999997E-2</v>
      </c>
      <c r="O238">
        <v>4.4246306200000002E-2</v>
      </c>
      <c r="P238">
        <v>4.8337119099999999E-2</v>
      </c>
      <c r="Q238">
        <v>5.2578421E-2</v>
      </c>
      <c r="R238">
        <v>5.6978670000000002E-2</v>
      </c>
      <c r="S238">
        <v>6.1546973200000001E-2</v>
      </c>
      <c r="T238">
        <v>5.87605951E-2</v>
      </c>
      <c r="U238">
        <v>5.5955096099999997E-2</v>
      </c>
      <c r="V238">
        <v>5.3130278900000001E-2</v>
      </c>
      <c r="W238">
        <v>3.4535413700000003E-2</v>
      </c>
      <c r="X238">
        <v>1.7461348000000002E-2</v>
      </c>
      <c r="Y238">
        <v>1.7267602999999999E-2</v>
      </c>
      <c r="Z238">
        <v>1.7077114300000001E-2</v>
      </c>
      <c r="AA238">
        <v>1.6889800699999999E-2</v>
      </c>
      <c r="AB238">
        <v>1.6748364500000001E-2</v>
      </c>
      <c r="AC238">
        <v>1.6609212799999998E-2</v>
      </c>
      <c r="AD238">
        <v>1.6592279000000001E-2</v>
      </c>
      <c r="AE238">
        <v>1.6575740299999999E-2</v>
      </c>
      <c r="AF238">
        <v>1.65595828E-2</v>
      </c>
      <c r="AG238">
        <v>1.6543038600000001E-2</v>
      </c>
      <c r="AH238">
        <v>1.65268646E-2</v>
      </c>
      <c r="AI238">
        <v>1.6506447800000001E-2</v>
      </c>
      <c r="AJ238">
        <v>1.64864383E-2</v>
      </c>
      <c r="AK238">
        <v>1.6466824000000001E-2</v>
      </c>
      <c r="AL238">
        <v>1.6446748300000001E-2</v>
      </c>
      <c r="AM238">
        <v>1.64270571E-2</v>
      </c>
      <c r="AN238">
        <v>1.6406935399999999E-2</v>
      </c>
      <c r="AO238">
        <v>1.6387115099999999E-2</v>
      </c>
      <c r="AP238">
        <v>1.63675894E-2</v>
      </c>
      <c r="AQ238">
        <v>1.6348351800000001E-2</v>
      </c>
      <c r="AR238">
        <v>1.6329395900000002E-2</v>
      </c>
      <c r="AS238">
        <v>2.22887264E-2</v>
      </c>
      <c r="AT238">
        <v>2.8174213699999999E-2</v>
      </c>
      <c r="AU238">
        <v>3.39872222E-2</v>
      </c>
      <c r="AV238">
        <v>3.9729082499999999E-2</v>
      </c>
      <c r="AW238">
        <v>4.5401092599999998E-2</v>
      </c>
    </row>
    <row r="239" spans="2:49" x14ac:dyDescent="0.25">
      <c r="B239" t="s">
        <v>568</v>
      </c>
      <c r="C239">
        <v>4.0858446639591303E-2</v>
      </c>
      <c r="D239">
        <v>4.0858446639591303E-2</v>
      </c>
      <c r="E239">
        <v>4.0858446600000001E-2</v>
      </c>
      <c r="F239">
        <v>3.7501973100000002E-2</v>
      </c>
      <c r="G239">
        <v>3.4421231500000003E-2</v>
      </c>
      <c r="H239">
        <v>3.1593567000000003E-2</v>
      </c>
      <c r="I239">
        <v>2.8998182800000001E-2</v>
      </c>
      <c r="J239">
        <v>2.6616024700000001E-2</v>
      </c>
      <c r="K239">
        <v>2.4429549500000002E-2</v>
      </c>
      <c r="L239">
        <v>2.2422690799999999E-2</v>
      </c>
      <c r="M239">
        <v>2.0580693000000001E-2</v>
      </c>
      <c r="N239">
        <v>1.8890013300000001E-2</v>
      </c>
      <c r="O239">
        <v>1.6445307199999998E-2</v>
      </c>
      <c r="P239">
        <v>1.3912292099999999E-2</v>
      </c>
      <c r="Q239">
        <v>1.12860954E-2</v>
      </c>
      <c r="R239">
        <v>8.5614784100000001E-3</v>
      </c>
      <c r="S239">
        <v>5.7328032900000004E-3</v>
      </c>
      <c r="T239">
        <v>5.47000478E-3</v>
      </c>
      <c r="U239">
        <v>5.2054028900000004E-3</v>
      </c>
      <c r="V239">
        <v>4.9389789899999996E-3</v>
      </c>
      <c r="W239">
        <v>3.1795564799999999E-3</v>
      </c>
      <c r="X239">
        <v>1.56403009E-3</v>
      </c>
      <c r="Y239">
        <v>1.54612841E-3</v>
      </c>
      <c r="Z239">
        <v>1.5285276199999999E-3</v>
      </c>
      <c r="AA239">
        <v>1.5112201900000001E-3</v>
      </c>
      <c r="AB239">
        <v>1.4980294500000001E-3</v>
      </c>
      <c r="AC239">
        <v>1.48505176E-3</v>
      </c>
      <c r="AD239">
        <v>1.48316388E-3</v>
      </c>
      <c r="AE239">
        <v>1.48132004E-3</v>
      </c>
      <c r="AF239">
        <v>1.47951871E-3</v>
      </c>
      <c r="AG239">
        <v>1.47766504E-3</v>
      </c>
      <c r="AH239">
        <v>1.47585285E-3</v>
      </c>
      <c r="AI239">
        <v>1.47396348E-3</v>
      </c>
      <c r="AJ239">
        <v>1.4721118E-3</v>
      </c>
      <c r="AK239">
        <v>1.4702966899999999E-3</v>
      </c>
      <c r="AL239">
        <v>1.4684384400000001E-3</v>
      </c>
      <c r="AM239">
        <v>1.4666157700000001E-3</v>
      </c>
      <c r="AN239">
        <v>1.46475898E-3</v>
      </c>
      <c r="AO239">
        <v>1.4629299899999999E-3</v>
      </c>
      <c r="AP239">
        <v>1.46112819E-3</v>
      </c>
      <c r="AQ239">
        <v>1.4593529699999999E-3</v>
      </c>
      <c r="AR239">
        <v>1.4576037500000001E-3</v>
      </c>
      <c r="AS239">
        <v>1.45180257E-3</v>
      </c>
      <c r="AT239">
        <v>1.44607326E-3</v>
      </c>
      <c r="AU239">
        <v>1.44041451E-3</v>
      </c>
      <c r="AV239">
        <v>1.43482502E-3</v>
      </c>
      <c r="AW239">
        <v>1.4293035300000001E-3</v>
      </c>
    </row>
    <row r="240" spans="2:49" x14ac:dyDescent="0.25">
      <c r="B240" t="s">
        <v>569</v>
      </c>
      <c r="C240">
        <v>8.2546962733871607E-3</v>
      </c>
      <c r="D240">
        <v>8.2546962733871607E-3</v>
      </c>
      <c r="E240">
        <v>8.2546962700000004E-3</v>
      </c>
      <c r="F240">
        <v>1.7081659700000001E-2</v>
      </c>
      <c r="G240">
        <v>2.5176001699999999E-2</v>
      </c>
      <c r="H240">
        <v>3.24932681E-2</v>
      </c>
      <c r="I240">
        <v>3.8964692199999998E-2</v>
      </c>
      <c r="J240">
        <v>4.44904359E-2</v>
      </c>
      <c r="K240">
        <v>4.8930383500000001E-2</v>
      </c>
      <c r="L240">
        <v>5.20921965E-2</v>
      </c>
      <c r="M240">
        <v>5.37152194E-2</v>
      </c>
      <c r="N240">
        <v>5.3449221499999998E-2</v>
      </c>
      <c r="O240">
        <v>5.9116927700000002E-2</v>
      </c>
      <c r="P240">
        <v>6.4989365699999996E-2</v>
      </c>
      <c r="Q240">
        <v>7.1077833399999998E-2</v>
      </c>
      <c r="R240">
        <v>7.7394472699999994E-2</v>
      </c>
      <c r="S240">
        <v>8.3952356899999997E-2</v>
      </c>
      <c r="T240">
        <v>8.81391225E-2</v>
      </c>
      <c r="U240">
        <v>9.2354617999999999E-2</v>
      </c>
      <c r="V240">
        <v>9.6599140200000003E-2</v>
      </c>
      <c r="W240">
        <v>0.1048451443</v>
      </c>
      <c r="X240">
        <v>0.1124167396</v>
      </c>
      <c r="Y240">
        <v>0.1188589171</v>
      </c>
      <c r="Z240">
        <v>0.1251928172</v>
      </c>
      <c r="AA240">
        <v>0.1314211481</v>
      </c>
      <c r="AB240">
        <v>0.13535286739999999</v>
      </c>
      <c r="AC240">
        <v>0.1392210841</v>
      </c>
      <c r="AD240">
        <v>0.1458948223</v>
      </c>
      <c r="AE240">
        <v>0.1524128947</v>
      </c>
      <c r="AF240">
        <v>0.15878068449999999</v>
      </c>
      <c r="AG240">
        <v>0.16533276180000001</v>
      </c>
      <c r="AH240">
        <v>0.17173821719999999</v>
      </c>
      <c r="AI240">
        <v>0.17830255079999999</v>
      </c>
      <c r="AJ240">
        <v>0.1847359143</v>
      </c>
      <c r="AK240">
        <v>0.1910421887</v>
      </c>
      <c r="AL240">
        <v>0.1974979879</v>
      </c>
      <c r="AM240">
        <v>0.2038301512</v>
      </c>
      <c r="AN240">
        <v>0.2103612795</v>
      </c>
      <c r="AO240">
        <v>0.21679460210000001</v>
      </c>
      <c r="AP240">
        <v>0.2231322996</v>
      </c>
      <c r="AQ240">
        <v>0.22937648839999999</v>
      </c>
      <c r="AR240">
        <v>0.2355292219</v>
      </c>
      <c r="AS240">
        <v>0.2412355598</v>
      </c>
      <c r="AT240">
        <v>0.2468711884</v>
      </c>
      <c r="AU240">
        <v>0.25243741520000001</v>
      </c>
      <c r="AV240">
        <v>0.25793551440000001</v>
      </c>
      <c r="AW240">
        <v>0.26336672859999999</v>
      </c>
    </row>
    <row r="241" spans="2:49" x14ac:dyDescent="0.25">
      <c r="B241" t="s">
        <v>570</v>
      </c>
      <c r="C241">
        <v>1.85730666151211E-3</v>
      </c>
      <c r="D241">
        <v>1.85730666151211E-3</v>
      </c>
      <c r="E241">
        <v>1.8573066599999999E-3</v>
      </c>
      <c r="F241">
        <v>2.4629865800000002E-3</v>
      </c>
      <c r="G241">
        <v>3.26618284E-3</v>
      </c>
      <c r="H241">
        <v>4.3313064599999999E-3</v>
      </c>
      <c r="I241">
        <v>5.7437720500000001E-3</v>
      </c>
      <c r="J241">
        <v>7.6168563700000002E-3</v>
      </c>
      <c r="K241">
        <v>1.0100763400000001E-2</v>
      </c>
      <c r="L241">
        <v>1.33946888E-2</v>
      </c>
      <c r="M241">
        <v>1.7762784899999998E-2</v>
      </c>
      <c r="N241">
        <v>2.3555346000000001E-2</v>
      </c>
      <c r="O241">
        <v>2.6053133199999998E-2</v>
      </c>
      <c r="P241">
        <v>2.8641146700000002E-2</v>
      </c>
      <c r="Q241">
        <v>3.1324365700000002E-2</v>
      </c>
      <c r="R241">
        <v>3.4108141000000002E-2</v>
      </c>
      <c r="S241">
        <v>3.6998234200000001E-2</v>
      </c>
      <c r="T241">
        <v>3.8309503799999998E-2</v>
      </c>
      <c r="U241">
        <v>3.96297714E-2</v>
      </c>
      <c r="V241">
        <v>4.0959130000000003E-2</v>
      </c>
      <c r="W241">
        <v>4.35312619E-2</v>
      </c>
      <c r="X241">
        <v>4.5893029000000002E-2</v>
      </c>
      <c r="Y241">
        <v>4.8830952099999998E-2</v>
      </c>
      <c r="Z241">
        <v>5.1719495999999997E-2</v>
      </c>
      <c r="AA241">
        <v>5.4559895400000002E-2</v>
      </c>
      <c r="AB241">
        <v>5.7466874600000002E-2</v>
      </c>
      <c r="AC241">
        <v>6.0326902100000003E-2</v>
      </c>
      <c r="AD241">
        <v>6.7391713199999995E-2</v>
      </c>
      <c r="AE241">
        <v>7.4291736499999997E-2</v>
      </c>
      <c r="AF241">
        <v>8.1032671099999995E-2</v>
      </c>
      <c r="AG241">
        <v>8.7961902800000005E-2</v>
      </c>
      <c r="AH241">
        <v>9.4736072599999999E-2</v>
      </c>
      <c r="AI241">
        <v>0.1016749453</v>
      </c>
      <c r="AJ241">
        <v>0.1084753752</v>
      </c>
      <c r="AK241">
        <v>0.11514146460000001</v>
      </c>
      <c r="AL241">
        <v>0.12196178840000001</v>
      </c>
      <c r="AM241">
        <v>0.12865149540000001</v>
      </c>
      <c r="AN241">
        <v>0.1355467216</v>
      </c>
      <c r="AO241">
        <v>0.14233868960000001</v>
      </c>
      <c r="AP241">
        <v>0.14902970169999999</v>
      </c>
      <c r="AQ241">
        <v>0.1556219921</v>
      </c>
      <c r="AR241">
        <v>0.16211772899999999</v>
      </c>
      <c r="AS241">
        <v>0.1650786816</v>
      </c>
      <c r="AT241">
        <v>0.16800294369999999</v>
      </c>
      <c r="AU241">
        <v>0.170891194</v>
      </c>
      <c r="AV241">
        <v>0.1737440938</v>
      </c>
      <c r="AW241">
        <v>0.17656228760000001</v>
      </c>
    </row>
    <row r="242" spans="2:49" x14ac:dyDescent="0.25">
      <c r="B242" t="s">
        <v>571</v>
      </c>
      <c r="C242">
        <v>9.2848272947954696E-2</v>
      </c>
      <c r="D242">
        <v>9.2848272947954599E-2</v>
      </c>
      <c r="E242">
        <v>9.2848272900000001E-2</v>
      </c>
      <c r="F242">
        <v>8.9289128800000006E-2</v>
      </c>
      <c r="G242">
        <v>8.5866420700000001E-2</v>
      </c>
      <c r="H242">
        <v>8.2574909599999996E-2</v>
      </c>
      <c r="I242">
        <v>7.94095467E-2</v>
      </c>
      <c r="J242">
        <v>7.6365572800000003E-2</v>
      </c>
      <c r="K242">
        <v>7.3438258699999995E-2</v>
      </c>
      <c r="L242">
        <v>7.0623157199999995E-2</v>
      </c>
      <c r="M242">
        <v>6.7915966199999997E-2</v>
      </c>
      <c r="N242">
        <v>6.5312550299999994E-2</v>
      </c>
      <c r="O242">
        <v>7.2238232999999999E-2</v>
      </c>
      <c r="P242">
        <v>7.9414088699999996E-2</v>
      </c>
      <c r="Q242">
        <v>8.6853923E-2</v>
      </c>
      <c r="R242">
        <v>9.4572572800000004E-2</v>
      </c>
      <c r="S242">
        <v>0.102586013</v>
      </c>
      <c r="T242">
        <v>0.10719493450000001</v>
      </c>
      <c r="U242">
        <v>0.1118354828</v>
      </c>
      <c r="V242">
        <v>0.11650798449999999</v>
      </c>
      <c r="W242">
        <v>0.11190168039999999</v>
      </c>
      <c r="X242">
        <v>0.1076721065</v>
      </c>
      <c r="Y242">
        <v>0.1064289512</v>
      </c>
      <c r="Z242">
        <v>0.10520668969999999</v>
      </c>
      <c r="AA242">
        <v>0.1040048007</v>
      </c>
      <c r="AB242">
        <v>0.1031054294</v>
      </c>
      <c r="AC242">
        <v>0.10222058420000001</v>
      </c>
      <c r="AD242">
        <v>0.102045579</v>
      </c>
      <c r="AE242">
        <v>0.1018746559</v>
      </c>
      <c r="AF242">
        <v>0.10170767360000001</v>
      </c>
      <c r="AG242">
        <v>0.1015441158</v>
      </c>
      <c r="AH242">
        <v>0.101384218</v>
      </c>
      <c r="AI242">
        <v>0.1012243929</v>
      </c>
      <c r="AJ242">
        <v>0.1010677566</v>
      </c>
      <c r="AK242">
        <v>0.1009142147</v>
      </c>
      <c r="AL242">
        <v>0.1007616802</v>
      </c>
      <c r="AM242">
        <v>0.10061206690000001</v>
      </c>
      <c r="AN242">
        <v>0.1004634444</v>
      </c>
      <c r="AO242">
        <v>0.1003170476</v>
      </c>
      <c r="AP242">
        <v>0.1001728269</v>
      </c>
      <c r="AQ242">
        <v>0.1000307341</v>
      </c>
      <c r="AR242">
        <v>9.9890721900000007E-2</v>
      </c>
      <c r="AS242">
        <v>9.9485071199999997E-2</v>
      </c>
      <c r="AT242">
        <v>9.9084446399999998E-2</v>
      </c>
      <c r="AU242">
        <v>9.8688755399999994E-2</v>
      </c>
      <c r="AV242">
        <v>9.8297907399999995E-2</v>
      </c>
      <c r="AW242">
        <v>9.7911814E-2</v>
      </c>
    </row>
    <row r="243" spans="2:49" x14ac:dyDescent="0.25">
      <c r="B243" t="s">
        <v>572</v>
      </c>
      <c r="C243">
        <v>6.0146533669896496E-3</v>
      </c>
      <c r="D243">
        <v>6.0146533669896496E-3</v>
      </c>
      <c r="E243">
        <v>6.0146533700000003E-3</v>
      </c>
      <c r="F243">
        <v>6.7202666100000001E-3</v>
      </c>
      <c r="G243">
        <v>7.5086596999999998E-3</v>
      </c>
      <c r="H243">
        <v>8.3895431800000003E-3</v>
      </c>
      <c r="I243">
        <v>9.3737651400000004E-3</v>
      </c>
      <c r="J243">
        <v>1.04734583E-2</v>
      </c>
      <c r="K243">
        <v>1.17021594E-2</v>
      </c>
      <c r="L243">
        <v>1.30750065E-2</v>
      </c>
      <c r="M243">
        <v>1.4608909999999999E-2</v>
      </c>
      <c r="N243">
        <v>1.63227645E-2</v>
      </c>
      <c r="O243">
        <v>1.55556345E-2</v>
      </c>
      <c r="P243">
        <v>1.4760793899999999E-2</v>
      </c>
      <c r="Q243">
        <v>1.3936713700000001E-2</v>
      </c>
      <c r="R243">
        <v>1.30817498E-2</v>
      </c>
      <c r="S243">
        <v>1.21941333E-2</v>
      </c>
      <c r="T243">
        <v>1.28131462E-2</v>
      </c>
      <c r="U243">
        <v>1.34364068E-2</v>
      </c>
      <c r="V243">
        <v>1.4063958999999999E-2</v>
      </c>
      <c r="W243">
        <v>1.8593773399999999E-2</v>
      </c>
      <c r="X243">
        <v>2.2753112200000002E-2</v>
      </c>
      <c r="Y243">
        <v>2.34505253E-2</v>
      </c>
      <c r="Z243">
        <v>2.41362166E-2</v>
      </c>
      <c r="AA243">
        <v>2.48104793E-2</v>
      </c>
      <c r="AB243">
        <v>2.5509093600000001E-2</v>
      </c>
      <c r="AC243">
        <v>2.6196424400000001E-2</v>
      </c>
      <c r="AD243">
        <v>2.63697988E-2</v>
      </c>
      <c r="AE243">
        <v>2.6539129299999999E-2</v>
      </c>
      <c r="AF243">
        <v>2.6704555599999999E-2</v>
      </c>
      <c r="AG243">
        <v>2.68785959E-2</v>
      </c>
      <c r="AH243">
        <v>2.7048741599999999E-2</v>
      </c>
      <c r="AI243">
        <v>2.8524035100000001E-2</v>
      </c>
      <c r="AJ243">
        <v>2.9969893800000001E-2</v>
      </c>
      <c r="AK243">
        <v>3.1387190099999997E-2</v>
      </c>
      <c r="AL243">
        <v>3.2843363899999999E-2</v>
      </c>
      <c r="AM243">
        <v>3.4271650399999999E-2</v>
      </c>
      <c r="AN243">
        <v>3.4501410400000002E-2</v>
      </c>
      <c r="AO243">
        <v>3.4727729800000003E-2</v>
      </c>
      <c r="AP243">
        <v>3.4950685099999997E-2</v>
      </c>
      <c r="AQ243">
        <v>3.51703508E-2</v>
      </c>
      <c r="AR243">
        <v>3.5386799099999998E-2</v>
      </c>
      <c r="AS243">
        <v>3.5653547299999998E-2</v>
      </c>
      <c r="AT243">
        <v>3.5916990099999997E-2</v>
      </c>
      <c r="AU243">
        <v>3.6177188499999999E-2</v>
      </c>
      <c r="AV243">
        <v>3.6434202300000003E-2</v>
      </c>
      <c r="AW243">
        <v>3.66880895E-2</v>
      </c>
    </row>
    <row r="244" spans="2:49" x14ac:dyDescent="0.25">
      <c r="B244" t="s">
        <v>573</v>
      </c>
      <c r="C244">
        <v>0.92287069498865704</v>
      </c>
      <c r="D244">
        <v>0.92287069498865704</v>
      </c>
      <c r="E244">
        <v>0.92286474409999997</v>
      </c>
      <c r="F244">
        <v>0.8964090415</v>
      </c>
      <c r="G244">
        <v>0.87090712589999997</v>
      </c>
      <c r="H244">
        <v>0.84576870900000001</v>
      </c>
      <c r="I244">
        <v>0.82173818409999999</v>
      </c>
      <c r="J244">
        <v>0.79847435899999997</v>
      </c>
      <c r="K244">
        <v>0.77594342559999996</v>
      </c>
      <c r="L244">
        <v>0.75403200729999997</v>
      </c>
      <c r="M244">
        <v>0.73256632489999995</v>
      </c>
      <c r="N244">
        <v>0.71169872270000001</v>
      </c>
      <c r="O244">
        <v>0.708965026</v>
      </c>
      <c r="P244">
        <v>0.70673774720000004</v>
      </c>
      <c r="Q244">
        <v>0.70490618660000004</v>
      </c>
      <c r="R244">
        <v>0.70311630030000005</v>
      </c>
      <c r="S244">
        <v>0.70092682149999996</v>
      </c>
      <c r="T244">
        <v>0.67486799900000005</v>
      </c>
      <c r="U244">
        <v>0.64828396669999999</v>
      </c>
      <c r="V244">
        <v>0.62116647889999999</v>
      </c>
      <c r="W244">
        <v>0.65147981669999999</v>
      </c>
      <c r="X244">
        <v>0.68012179009999996</v>
      </c>
      <c r="Y244">
        <v>0.673835462</v>
      </c>
      <c r="Z244">
        <v>0.66750626800000001</v>
      </c>
      <c r="AA244">
        <v>0.66120945900000005</v>
      </c>
      <c r="AB244">
        <v>0.65474528679999999</v>
      </c>
      <c r="AC244">
        <v>0.64829345130000005</v>
      </c>
      <c r="AD244">
        <v>0.64259551339999998</v>
      </c>
      <c r="AE244">
        <v>0.63695152399999999</v>
      </c>
      <c r="AF244">
        <v>0.63135676060000001</v>
      </c>
      <c r="AG244">
        <v>0.62567520570000001</v>
      </c>
      <c r="AH244">
        <v>0.62004366550000001</v>
      </c>
      <c r="AI244">
        <v>0.61759033959999998</v>
      </c>
      <c r="AJ244">
        <v>0.61516628949999996</v>
      </c>
      <c r="AK244">
        <v>0.61275618450000002</v>
      </c>
      <c r="AL244">
        <v>0.61030545810000003</v>
      </c>
      <c r="AM244">
        <v>0.60786791279999997</v>
      </c>
      <c r="AN244">
        <v>0.60486832889999997</v>
      </c>
      <c r="AO244">
        <v>0.60189201749999999</v>
      </c>
      <c r="AP244">
        <v>0.59893118010000002</v>
      </c>
      <c r="AQ244">
        <v>0.59598679080000005</v>
      </c>
      <c r="AR244">
        <v>0.59306815499999999</v>
      </c>
      <c r="AS244">
        <v>0.59009820810000002</v>
      </c>
      <c r="AT244">
        <v>0.58712547849999996</v>
      </c>
      <c r="AU244">
        <v>0.58415544870000002</v>
      </c>
      <c r="AV244">
        <v>0.58118633249999996</v>
      </c>
      <c r="AW244">
        <v>0.57820692169999999</v>
      </c>
    </row>
    <row r="245" spans="2:49" x14ac:dyDescent="0.25">
      <c r="B245" t="s">
        <v>574</v>
      </c>
      <c r="C245">
        <v>4.1245617653124303E-2</v>
      </c>
      <c r="D245">
        <v>4.1245617653124303E-2</v>
      </c>
      <c r="E245">
        <v>4.1248802600000002E-2</v>
      </c>
      <c r="F245">
        <v>6.5752075600000001E-2</v>
      </c>
      <c r="G245">
        <v>8.8515958000000006E-2</v>
      </c>
      <c r="H245">
        <v>0.1097313286</v>
      </c>
      <c r="I245">
        <v>0.1286038156</v>
      </c>
      <c r="J245">
        <v>0.14501577970000001</v>
      </c>
      <c r="K245">
        <v>0.1585397851</v>
      </c>
      <c r="L245">
        <v>0.1686747951</v>
      </c>
      <c r="M245">
        <v>0.17478427129999999</v>
      </c>
      <c r="N245">
        <v>0.17579136449999999</v>
      </c>
      <c r="O245">
        <v>0.1777579816</v>
      </c>
      <c r="P245">
        <v>0.17941401900000001</v>
      </c>
      <c r="Q245">
        <v>0.1808258163</v>
      </c>
      <c r="R245">
        <v>0.1822096292</v>
      </c>
      <c r="S245">
        <v>0.18383659399999999</v>
      </c>
      <c r="T245">
        <v>0.18862850549999999</v>
      </c>
      <c r="U245">
        <v>0.19349126220000001</v>
      </c>
      <c r="V245">
        <v>0.19842772410000001</v>
      </c>
      <c r="W245">
        <v>0.2001919281</v>
      </c>
      <c r="X245">
        <v>0.2019053432</v>
      </c>
      <c r="Y245">
        <v>0.2043134902</v>
      </c>
      <c r="Z245">
        <v>0.20674717109999999</v>
      </c>
      <c r="AA245">
        <v>0.20915942360000001</v>
      </c>
      <c r="AB245">
        <v>0.2115885475</v>
      </c>
      <c r="AC245">
        <v>0.2140097004</v>
      </c>
      <c r="AD245">
        <v>0.21668241299999999</v>
      </c>
      <c r="AE245">
        <v>0.21932777919999999</v>
      </c>
      <c r="AF245">
        <v>0.2219486819</v>
      </c>
      <c r="AG245">
        <v>0.2245503445</v>
      </c>
      <c r="AH245">
        <v>0.2271277877</v>
      </c>
      <c r="AI245">
        <v>0.22753215430000001</v>
      </c>
      <c r="AJ245">
        <v>0.2279245932</v>
      </c>
      <c r="AK245">
        <v>0.22831423519999999</v>
      </c>
      <c r="AL245">
        <v>0.22868445840000001</v>
      </c>
      <c r="AM245">
        <v>0.2290524085</v>
      </c>
      <c r="AN245">
        <v>0.22988443140000001</v>
      </c>
      <c r="AO245">
        <v>0.23070530249999999</v>
      </c>
      <c r="AP245">
        <v>0.23151961939999999</v>
      </c>
      <c r="AQ245">
        <v>0.23232686259999999</v>
      </c>
      <c r="AR245">
        <v>0.2331217468</v>
      </c>
      <c r="AS245">
        <v>0.23295014980000001</v>
      </c>
      <c r="AT245">
        <v>0.23277662469999999</v>
      </c>
      <c r="AU245">
        <v>0.2325981338</v>
      </c>
      <c r="AV245">
        <v>0.2324157684</v>
      </c>
      <c r="AW245">
        <v>0.23223577370000001</v>
      </c>
    </row>
    <row r="246" spans="2:49" x14ac:dyDescent="0.25">
      <c r="B246" t="s">
        <v>575</v>
      </c>
      <c r="C246">
        <v>5.1557022066405396E-3</v>
      </c>
      <c r="D246">
        <v>5.1557022066405396E-3</v>
      </c>
      <c r="E246">
        <v>5.1561003299999998E-3</v>
      </c>
      <c r="F246">
        <v>4.8517457599999998E-3</v>
      </c>
      <c r="G246">
        <v>4.5588438300000001E-3</v>
      </c>
      <c r="H246">
        <v>4.2962694000000003E-3</v>
      </c>
      <c r="I246">
        <v>4.0384353200000004E-3</v>
      </c>
      <c r="J246">
        <v>3.7958017400000002E-3</v>
      </c>
      <c r="K246">
        <v>3.5677389999999999E-3</v>
      </c>
      <c r="L246">
        <v>3.3546142100000001E-3</v>
      </c>
      <c r="M246">
        <v>3.1569001200000002E-3</v>
      </c>
      <c r="N246">
        <v>2.9710354800000002E-3</v>
      </c>
      <c r="O246">
        <v>4.4601651499999997E-3</v>
      </c>
      <c r="P246">
        <v>5.93534606E-3</v>
      </c>
      <c r="Q246">
        <v>7.3921570900000004E-3</v>
      </c>
      <c r="R246">
        <v>8.8358065199999995E-3</v>
      </c>
      <c r="S246">
        <v>1.0281250299999999E-2</v>
      </c>
      <c r="T246">
        <v>1.6004236000000002E-2</v>
      </c>
      <c r="U246">
        <v>2.18536309E-2</v>
      </c>
      <c r="V246">
        <v>2.7830671099999999E-2</v>
      </c>
      <c r="W246">
        <v>2.02436532E-2</v>
      </c>
      <c r="X246">
        <v>1.30608333E-2</v>
      </c>
      <c r="Y246">
        <v>1.30456646E-2</v>
      </c>
      <c r="Z246">
        <v>1.3031981E-2</v>
      </c>
      <c r="AA246">
        <v>1.30168027E-2</v>
      </c>
      <c r="AB246">
        <v>1.29982469E-2</v>
      </c>
      <c r="AC246">
        <v>1.29791566E-2</v>
      </c>
      <c r="AD246">
        <v>1.34609265E-2</v>
      </c>
      <c r="AE246">
        <v>1.39388328E-2</v>
      </c>
      <c r="AF246">
        <v>1.4413046000000001E-2</v>
      </c>
      <c r="AG246">
        <v>1.48870481E-2</v>
      </c>
      <c r="AH246">
        <v>1.5357282599999999E-2</v>
      </c>
      <c r="AI246">
        <v>1.5944919500000002E-2</v>
      </c>
      <c r="AJ246">
        <v>1.65288104E-2</v>
      </c>
      <c r="AK246">
        <v>1.71095902E-2</v>
      </c>
      <c r="AL246">
        <v>1.76976288E-2</v>
      </c>
      <c r="AM246">
        <v>1.8282630599999999E-2</v>
      </c>
      <c r="AN246">
        <v>1.8804868200000002E-2</v>
      </c>
      <c r="AO246">
        <v>1.93250058E-2</v>
      </c>
      <c r="AP246">
        <v>1.9843389400000001E-2</v>
      </c>
      <c r="AQ246">
        <v>2.0359953E-2</v>
      </c>
      <c r="AR246">
        <v>2.08742001E-2</v>
      </c>
      <c r="AS246">
        <v>2.12887467E-2</v>
      </c>
      <c r="AT246">
        <v>2.1703929E-2</v>
      </c>
      <c r="AU246">
        <v>2.21194514E-2</v>
      </c>
      <c r="AV246">
        <v>2.2535396199999998E-2</v>
      </c>
      <c r="AW246">
        <v>2.2952362699999999E-2</v>
      </c>
    </row>
    <row r="247" spans="2:49" x14ac:dyDescent="0.25">
      <c r="B247" t="s">
        <v>576</v>
      </c>
      <c r="C247">
        <v>1.5260878531656001E-2</v>
      </c>
      <c r="D247">
        <v>1.5260878531656001E-2</v>
      </c>
      <c r="E247">
        <v>1.5262057000000001E-2</v>
      </c>
      <c r="F247">
        <v>1.4653840099999999E-2</v>
      </c>
      <c r="G247">
        <v>1.404979E-2</v>
      </c>
      <c r="H247">
        <v>1.35104037E-2</v>
      </c>
      <c r="I247">
        <v>1.2958408100000001E-2</v>
      </c>
      <c r="J247">
        <v>1.24280716E-2</v>
      </c>
      <c r="K247">
        <v>1.1919416699999999E-2</v>
      </c>
      <c r="L247">
        <v>1.14357911E-2</v>
      </c>
      <c r="M247">
        <v>1.09811083E-2</v>
      </c>
      <c r="N247">
        <v>1.0545201299999999E-2</v>
      </c>
      <c r="O247">
        <v>1.5451035300000001E-2</v>
      </c>
      <c r="P247">
        <v>2.0309628600000001E-2</v>
      </c>
      <c r="Q247">
        <v>2.51067344E-2</v>
      </c>
      <c r="R247">
        <v>2.9860433400000001E-2</v>
      </c>
      <c r="S247">
        <v>3.4621104999999999E-2</v>
      </c>
      <c r="T247">
        <v>3.60528247E-2</v>
      </c>
      <c r="U247">
        <v>3.7509767100000001E-2</v>
      </c>
      <c r="V247">
        <v>3.8992575100000003E-2</v>
      </c>
      <c r="W247">
        <v>3.0506585499999999E-2</v>
      </c>
      <c r="X247">
        <v>2.24743445E-2</v>
      </c>
      <c r="Y247">
        <v>2.24839501E-2</v>
      </c>
      <c r="Z247">
        <v>2.24961459E-2</v>
      </c>
      <c r="AA247">
        <v>2.25057925E-2</v>
      </c>
      <c r="AB247">
        <v>2.2501000699999999E-2</v>
      </c>
      <c r="AC247">
        <v>2.2495290800000001E-2</v>
      </c>
      <c r="AD247">
        <v>2.2344524899999999E-2</v>
      </c>
      <c r="AE247">
        <v>2.2193862500000001E-2</v>
      </c>
      <c r="AF247">
        <v>2.2043612300000001E-2</v>
      </c>
      <c r="AG247">
        <v>2.1890474900000002E-2</v>
      </c>
      <c r="AH247">
        <v>2.17378929E-2</v>
      </c>
      <c r="AI247">
        <v>2.16526792E-2</v>
      </c>
      <c r="AJ247">
        <v>2.1566973999999999E-2</v>
      </c>
      <c r="AK247">
        <v>2.14816473E-2</v>
      </c>
      <c r="AL247">
        <v>2.1395591500000002E-2</v>
      </c>
      <c r="AM247">
        <v>2.1309940199999999E-2</v>
      </c>
      <c r="AN247">
        <v>2.1262923E-2</v>
      </c>
      <c r="AO247">
        <v>2.1215198500000001E-2</v>
      </c>
      <c r="AP247">
        <v>2.11672002E-2</v>
      </c>
      <c r="AQ247">
        <v>2.11188865E-2</v>
      </c>
      <c r="AR247">
        <v>2.1069786E-2</v>
      </c>
      <c r="AS247">
        <v>2.10825597E-2</v>
      </c>
      <c r="AT247">
        <v>2.1095212299999999E-2</v>
      </c>
      <c r="AU247">
        <v>2.11074677E-2</v>
      </c>
      <c r="AV247">
        <v>2.1119423500000001E-2</v>
      </c>
      <c r="AW247">
        <v>2.1131646899999999E-2</v>
      </c>
    </row>
    <row r="248" spans="2:49" x14ac:dyDescent="0.25">
      <c r="B248" t="s">
        <v>577</v>
      </c>
      <c r="C248">
        <v>5.1557022066405396E-3</v>
      </c>
      <c r="D248">
        <v>5.1557022066405396E-3</v>
      </c>
      <c r="E248">
        <v>5.1561003299999998E-3</v>
      </c>
      <c r="F248">
        <v>5.1464206299999997E-3</v>
      </c>
      <c r="G248">
        <v>5.1294311299999997E-3</v>
      </c>
      <c r="H248">
        <v>5.1275893700000004E-3</v>
      </c>
      <c r="I248">
        <v>5.1126034500000002E-3</v>
      </c>
      <c r="J248">
        <v>5.0972946800000004E-3</v>
      </c>
      <c r="K248">
        <v>5.0820220000000003E-3</v>
      </c>
      <c r="L248">
        <v>5.06866152E-3</v>
      </c>
      <c r="M248">
        <v>5.0596304199999999E-3</v>
      </c>
      <c r="N248">
        <v>5.0509496100000001E-3</v>
      </c>
      <c r="O248">
        <v>5.8601960099999998E-3</v>
      </c>
      <c r="P248">
        <v>6.6560206500000003E-3</v>
      </c>
      <c r="Q248">
        <v>7.4374640800000001E-3</v>
      </c>
      <c r="R248">
        <v>8.2115430399999998E-3</v>
      </c>
      <c r="S248">
        <v>8.9914114100000005E-3</v>
      </c>
      <c r="T248">
        <v>1.0694093700000001E-2</v>
      </c>
      <c r="U248">
        <v>1.24332E-2</v>
      </c>
      <c r="V248">
        <v>1.42091596E-2</v>
      </c>
      <c r="W248">
        <v>1.12281906E-2</v>
      </c>
      <c r="X248">
        <v>8.4067229399999999E-3</v>
      </c>
      <c r="Y248">
        <v>8.4983396100000008E-3</v>
      </c>
      <c r="Z248">
        <v>8.5910110099999999E-3</v>
      </c>
      <c r="AA248">
        <v>8.6827846999999996E-3</v>
      </c>
      <c r="AB248">
        <v>8.7719134199999906E-3</v>
      </c>
      <c r="AC248">
        <v>8.8607085999999995E-3</v>
      </c>
      <c r="AD248">
        <v>8.8084804000000006E-3</v>
      </c>
      <c r="AE248">
        <v>8.7562435900000006E-3</v>
      </c>
      <c r="AF248">
        <v>8.7041196699999997E-3</v>
      </c>
      <c r="AG248">
        <v>8.6512911900000003E-3</v>
      </c>
      <c r="AH248">
        <v>8.5986270899999998E-3</v>
      </c>
      <c r="AI248">
        <v>8.5707069699999996E-3</v>
      </c>
      <c r="AJ248">
        <v>8.5425620799999998E-3</v>
      </c>
      <c r="AK248">
        <v>8.5145367499999906E-3</v>
      </c>
      <c r="AL248">
        <v>8.48694199E-3</v>
      </c>
      <c r="AM248">
        <v>8.4594742699999996E-3</v>
      </c>
      <c r="AN248">
        <v>8.4497037999999997E-3</v>
      </c>
      <c r="AO248">
        <v>8.4396289600000007E-3</v>
      </c>
      <c r="AP248">
        <v>8.4294214100000004E-3</v>
      </c>
      <c r="AQ248">
        <v>8.4190641599999998E-3</v>
      </c>
      <c r="AR248">
        <v>8.4083686200000004E-3</v>
      </c>
      <c r="AS248">
        <v>8.4172606000000004E-3</v>
      </c>
      <c r="AT248">
        <v>8.4261113899999907E-3</v>
      </c>
      <c r="AU248">
        <v>8.4348106000000003E-3</v>
      </c>
      <c r="AV248">
        <v>8.4433970500000007E-3</v>
      </c>
      <c r="AW248">
        <v>8.4520974000000006E-3</v>
      </c>
    </row>
    <row r="249" spans="2:49" x14ac:dyDescent="0.25">
      <c r="B249" t="s">
        <v>578</v>
      </c>
      <c r="C249">
        <v>1.0311404413280999E-2</v>
      </c>
      <c r="D249">
        <v>1.0311404413280999E-2</v>
      </c>
      <c r="E249">
        <v>1.0312200699999999E-2</v>
      </c>
      <c r="F249">
        <v>1.3186877E-2</v>
      </c>
      <c r="G249">
        <v>1.6838855100000001E-2</v>
      </c>
      <c r="H249">
        <v>2.1565685899999999E-2</v>
      </c>
      <c r="I249">
        <v>2.7548555200000002E-2</v>
      </c>
      <c r="J249">
        <v>3.5188693299999997E-2</v>
      </c>
      <c r="K249">
        <v>4.4947611700000001E-2</v>
      </c>
      <c r="L249">
        <v>5.7434130600000001E-2</v>
      </c>
      <c r="M249">
        <v>7.3451764899999994E-2</v>
      </c>
      <c r="N249">
        <v>9.3942725699999896E-2</v>
      </c>
      <c r="O249">
        <v>8.7505596099999999E-2</v>
      </c>
      <c r="P249">
        <v>8.0947238099999999E-2</v>
      </c>
      <c r="Q249">
        <v>7.4331609300000004E-2</v>
      </c>
      <c r="R249">
        <v>6.7766286999999995E-2</v>
      </c>
      <c r="S249">
        <v>6.1342812099999998E-2</v>
      </c>
      <c r="T249">
        <v>7.3752340599999897E-2</v>
      </c>
      <c r="U249">
        <v>8.6428171499999998E-2</v>
      </c>
      <c r="V249">
        <v>9.93733911E-2</v>
      </c>
      <c r="W249">
        <v>8.6349824300000003E-2</v>
      </c>
      <c r="X249">
        <v>7.4030966200000006E-2</v>
      </c>
      <c r="Y249">
        <v>7.7823093499999996E-2</v>
      </c>
      <c r="Z249">
        <v>8.1627419600000001E-2</v>
      </c>
      <c r="AA249">
        <v>8.5425735399999994E-2</v>
      </c>
      <c r="AB249">
        <v>8.9395003400000006E-2</v>
      </c>
      <c r="AC249">
        <v>9.3361691900000002E-2</v>
      </c>
      <c r="AD249">
        <v>9.6108141100000002E-2</v>
      </c>
      <c r="AE249">
        <v>9.8831758000000006E-2</v>
      </c>
      <c r="AF249">
        <v>0.1015337796</v>
      </c>
      <c r="AG249">
        <v>0.1043456356</v>
      </c>
      <c r="AH249">
        <v>0.10713474420000001</v>
      </c>
      <c r="AI249">
        <v>0.1087092004</v>
      </c>
      <c r="AJ249">
        <v>0.1102707709</v>
      </c>
      <c r="AK249">
        <v>0.11182380610000001</v>
      </c>
      <c r="AL249">
        <v>0.11342992120000001</v>
      </c>
      <c r="AM249">
        <v>0.1150276336</v>
      </c>
      <c r="AN249">
        <v>0.1167297447</v>
      </c>
      <c r="AO249">
        <v>0.1184228467</v>
      </c>
      <c r="AP249">
        <v>0.1201091895</v>
      </c>
      <c r="AQ249">
        <v>0.1217884429</v>
      </c>
      <c r="AR249">
        <v>0.12345774230000001</v>
      </c>
      <c r="AS249">
        <v>0.12616307509999999</v>
      </c>
      <c r="AT249">
        <v>0.12887264400000001</v>
      </c>
      <c r="AU249">
        <v>0.13158468740000001</v>
      </c>
      <c r="AV249">
        <v>0.13429968210000001</v>
      </c>
      <c r="AW249">
        <v>0.1370211979</v>
      </c>
    </row>
    <row r="250" spans="2:49" x14ac:dyDescent="0.25">
      <c r="B250" t="s">
        <v>579</v>
      </c>
      <c r="C250">
        <v>0.99132434052165697</v>
      </c>
      <c r="D250">
        <v>0.99132434052165697</v>
      </c>
      <c r="E250">
        <v>0.99172610110000003</v>
      </c>
      <c r="F250">
        <v>0.98765502360000001</v>
      </c>
      <c r="G250">
        <v>0.98360065809999997</v>
      </c>
      <c r="H250">
        <v>0.97956293589999999</v>
      </c>
      <c r="I250">
        <v>0.97554178869999997</v>
      </c>
      <c r="J250">
        <v>0.97153714849999995</v>
      </c>
      <c r="K250">
        <v>0.96754894749999998</v>
      </c>
      <c r="L250">
        <v>0.96357711820000003</v>
      </c>
      <c r="M250">
        <v>0.95962159349999998</v>
      </c>
      <c r="N250">
        <v>0.95568230639999996</v>
      </c>
      <c r="O250">
        <v>0.95496918220000004</v>
      </c>
      <c r="P250">
        <v>0.95421073860000005</v>
      </c>
      <c r="Q250">
        <v>0.95340251369999995</v>
      </c>
      <c r="R250">
        <v>0.95253944010000002</v>
      </c>
      <c r="S250">
        <v>0.95161573820000001</v>
      </c>
      <c r="T250">
        <v>0.94906485620000003</v>
      </c>
      <c r="U250">
        <v>0.94659676530000003</v>
      </c>
      <c r="V250">
        <v>0.94420749940000004</v>
      </c>
      <c r="W250">
        <v>0.94173000809999996</v>
      </c>
      <c r="X250">
        <v>0.93914802249999996</v>
      </c>
      <c r="Y250">
        <v>0.93915106670000004</v>
      </c>
      <c r="Z250">
        <v>0.93915429120000005</v>
      </c>
      <c r="AA250">
        <v>0.93915771260000003</v>
      </c>
      <c r="AB250">
        <v>0.93914282400000004</v>
      </c>
      <c r="AC250">
        <v>0.93912696520000005</v>
      </c>
      <c r="AD250">
        <v>0.93917792330000005</v>
      </c>
      <c r="AE250">
        <v>0.93923165669999997</v>
      </c>
      <c r="AF250">
        <v>0.9392883984</v>
      </c>
      <c r="AG250">
        <v>0.93933993189999998</v>
      </c>
      <c r="AH250">
        <v>0.93939452649999999</v>
      </c>
      <c r="AI250">
        <v>0.93936840190000004</v>
      </c>
      <c r="AJ250">
        <v>0.93934093090000004</v>
      </c>
      <c r="AK250">
        <v>0.93931200660000003</v>
      </c>
      <c r="AL250">
        <v>0.93929188559999999</v>
      </c>
      <c r="AM250">
        <v>0.93927064110000003</v>
      </c>
      <c r="AN250">
        <v>0.93905184689999999</v>
      </c>
      <c r="AO250">
        <v>0.93882460950000002</v>
      </c>
      <c r="AP250">
        <v>0.93858843049999996</v>
      </c>
      <c r="AQ250">
        <v>0.93834277150000001</v>
      </c>
      <c r="AR250">
        <v>0.93808705020000005</v>
      </c>
      <c r="AS250">
        <v>0.93778548299999998</v>
      </c>
      <c r="AT250">
        <v>0.93747725920000002</v>
      </c>
      <c r="AU250">
        <v>0.93716215570000005</v>
      </c>
      <c r="AV250">
        <v>0.93683993970000001</v>
      </c>
      <c r="AW250">
        <v>0.93651036759999995</v>
      </c>
    </row>
    <row r="251" spans="2:49" x14ac:dyDescent="0.25">
      <c r="B251" s="23" t="s">
        <v>331</v>
      </c>
      <c r="C251">
        <v>0.91950930808135101</v>
      </c>
      <c r="D251">
        <v>0.91950930808135101</v>
      </c>
      <c r="E251">
        <v>0.91950930809999998</v>
      </c>
      <c r="F251">
        <v>0.91950930809999998</v>
      </c>
      <c r="G251">
        <v>0.91950930809999998</v>
      </c>
      <c r="H251">
        <v>0.91950930809999998</v>
      </c>
      <c r="I251">
        <v>0.91950930809999998</v>
      </c>
      <c r="J251">
        <v>0.91950930809999998</v>
      </c>
      <c r="K251">
        <v>0.91950930809999998</v>
      </c>
      <c r="L251">
        <v>0.91950930809999998</v>
      </c>
      <c r="M251">
        <v>0.91950930809999998</v>
      </c>
      <c r="N251">
        <v>0.91950930809999998</v>
      </c>
      <c r="O251">
        <v>0.91950930809999998</v>
      </c>
      <c r="P251">
        <v>0.91950930809999998</v>
      </c>
      <c r="Q251">
        <v>0.91950930809999998</v>
      </c>
      <c r="R251">
        <v>0.91950930809999998</v>
      </c>
      <c r="S251">
        <v>0.91950930809999998</v>
      </c>
      <c r="T251">
        <v>0.91950930809999998</v>
      </c>
      <c r="U251">
        <v>0.91950930809999998</v>
      </c>
      <c r="V251">
        <v>0.91950930809999998</v>
      </c>
      <c r="W251">
        <v>0.91950930809999998</v>
      </c>
      <c r="X251">
        <v>0.91950930809999998</v>
      </c>
      <c r="Y251">
        <v>0.91950930809999998</v>
      </c>
      <c r="Z251">
        <v>0.91950930809999998</v>
      </c>
      <c r="AA251">
        <v>0.91950930809999998</v>
      </c>
      <c r="AB251">
        <v>0.91950930809999998</v>
      </c>
      <c r="AC251">
        <v>0.91950930809999998</v>
      </c>
      <c r="AD251">
        <v>0.91950930809999998</v>
      </c>
      <c r="AE251">
        <v>0.91950930809999998</v>
      </c>
      <c r="AF251">
        <v>0.91950930809999998</v>
      </c>
      <c r="AG251">
        <v>0.91950930809999998</v>
      </c>
      <c r="AH251">
        <v>0.91950930809999998</v>
      </c>
      <c r="AI251">
        <v>0.91950930809999998</v>
      </c>
      <c r="AJ251">
        <v>0.91950930809999998</v>
      </c>
      <c r="AK251">
        <v>0.91950930809999998</v>
      </c>
      <c r="AL251">
        <v>0.91950930809999998</v>
      </c>
      <c r="AM251">
        <v>0.91950930809999998</v>
      </c>
      <c r="AN251">
        <v>0.91950930809999998</v>
      </c>
      <c r="AO251">
        <v>0.91950930809999998</v>
      </c>
      <c r="AP251">
        <v>0.91950930809999998</v>
      </c>
      <c r="AQ251">
        <v>0.91950930809999998</v>
      </c>
      <c r="AR251">
        <v>0.91950930809999998</v>
      </c>
      <c r="AS251">
        <v>0.91950930809999998</v>
      </c>
      <c r="AT251">
        <v>0.91950930809999998</v>
      </c>
      <c r="AU251">
        <v>0.91950930809999998</v>
      </c>
      <c r="AV251">
        <v>0.91950930809999998</v>
      </c>
      <c r="AW251">
        <v>0.91950930809999998</v>
      </c>
    </row>
    <row r="252" spans="2:49" x14ac:dyDescent="0.25">
      <c r="B252" t="s">
        <v>282</v>
      </c>
      <c r="C252">
        <v>1.54983431156195</v>
      </c>
      <c r="D252">
        <v>1.57471740274219</v>
      </c>
      <c r="E252">
        <v>1.60860863</v>
      </c>
      <c r="F252">
        <v>1.873045399</v>
      </c>
      <c r="G252">
        <v>2.0755696449999999</v>
      </c>
      <c r="H252">
        <v>2.232830898</v>
      </c>
      <c r="I252">
        <v>2.5033874840000001</v>
      </c>
      <c r="J252">
        <v>2.7134910880000001</v>
      </c>
      <c r="K252">
        <v>2.813347759</v>
      </c>
      <c r="L252">
        <v>2.9338250160000001</v>
      </c>
      <c r="M252">
        <v>3.0906681640000002</v>
      </c>
      <c r="N252">
        <v>3.277185485</v>
      </c>
      <c r="O252">
        <v>4.2825014269999997</v>
      </c>
      <c r="P252">
        <v>5.3898954999999997</v>
      </c>
      <c r="Q252">
        <v>6.4980816949999998</v>
      </c>
      <c r="R252">
        <v>7.7719836359999999</v>
      </c>
      <c r="S252">
        <v>6.5687196139999999</v>
      </c>
      <c r="T252">
        <v>6.5461578789999999</v>
      </c>
      <c r="U252">
        <v>6.58783619</v>
      </c>
      <c r="V252">
        <v>6.6508047140000004</v>
      </c>
      <c r="W252">
        <v>5.9951592219999998</v>
      </c>
      <c r="X252">
        <v>5.4453704299999997</v>
      </c>
      <c r="Y252">
        <v>5.1167888960000001</v>
      </c>
      <c r="Z252">
        <v>4.8707497760000003</v>
      </c>
      <c r="AA252">
        <v>4.677296213</v>
      </c>
      <c r="AB252">
        <v>4.5236961100000004</v>
      </c>
      <c r="AC252">
        <v>4.393589714</v>
      </c>
      <c r="AD252">
        <v>4.3016795510000003</v>
      </c>
      <c r="AE252">
        <v>4.2117990499999998</v>
      </c>
      <c r="AF252">
        <v>4.1265801680000003</v>
      </c>
      <c r="AG252">
        <v>4.045275524</v>
      </c>
      <c r="AH252">
        <v>3.9695549749999999</v>
      </c>
      <c r="AI252">
        <v>3.8942467039999999</v>
      </c>
      <c r="AJ252">
        <v>3.8228503730000001</v>
      </c>
      <c r="AK252">
        <v>3.7569693740000001</v>
      </c>
      <c r="AL252">
        <v>3.695037642</v>
      </c>
      <c r="AM252">
        <v>3.634165034</v>
      </c>
      <c r="AN252">
        <v>3.5783754839999999</v>
      </c>
      <c r="AO252">
        <v>3.5288861100000002</v>
      </c>
      <c r="AP252">
        <v>3.4799140710000001</v>
      </c>
      <c r="AQ252">
        <v>3.4378799369999999</v>
      </c>
      <c r="AR252">
        <v>3.3939473699999998</v>
      </c>
      <c r="AS252">
        <v>3.3653062230000002</v>
      </c>
      <c r="AT252">
        <v>3.337850016</v>
      </c>
      <c r="AU252">
        <v>3.3122877929999999</v>
      </c>
      <c r="AV252">
        <v>3.2862358700000001</v>
      </c>
      <c r="AW252">
        <v>3.2642626219999999</v>
      </c>
    </row>
    <row r="253" spans="2:49" x14ac:dyDescent="0.25">
      <c r="B253" t="s">
        <v>283</v>
      </c>
      <c r="C253">
        <v>0.19372928894524399</v>
      </c>
      <c r="D253">
        <v>0.196839675342774</v>
      </c>
      <c r="E253">
        <v>0.2010760788</v>
      </c>
      <c r="F253">
        <v>0.1902792482</v>
      </c>
      <c r="G253">
        <v>0.1751726794</v>
      </c>
      <c r="H253">
        <v>0.15925526800000001</v>
      </c>
      <c r="I253">
        <v>0.15299376410000001</v>
      </c>
      <c r="J253">
        <v>0.14374549889999999</v>
      </c>
      <c r="K253">
        <v>0.13047423920000001</v>
      </c>
      <c r="L253">
        <v>0.1201684895</v>
      </c>
      <c r="M253">
        <v>0.1127030559</v>
      </c>
      <c r="N253">
        <v>0.1071890858</v>
      </c>
      <c r="O253">
        <v>0.1070013506</v>
      </c>
      <c r="P253">
        <v>0.1028760516</v>
      </c>
      <c r="Q253">
        <v>9.4746092599999998E-2</v>
      </c>
      <c r="R253">
        <v>8.6566571600000003E-2</v>
      </c>
      <c r="S253">
        <v>0.3673623915</v>
      </c>
      <c r="T253">
        <v>0.33170546909999998</v>
      </c>
      <c r="U253">
        <v>0.30195140180000002</v>
      </c>
      <c r="V253">
        <v>0.2751235964</v>
      </c>
      <c r="W253">
        <v>1.0280761490000001</v>
      </c>
      <c r="X253">
        <v>1.1730131049999999</v>
      </c>
      <c r="Y253">
        <v>1.321614826</v>
      </c>
      <c r="Z253">
        <v>1.4703123339999999</v>
      </c>
      <c r="AA253">
        <v>1.6190906679999999</v>
      </c>
      <c r="AB253">
        <v>1.721912653</v>
      </c>
      <c r="AC253">
        <v>1.826450232</v>
      </c>
      <c r="AD253">
        <v>2.1025166419999999</v>
      </c>
      <c r="AE253">
        <v>2.3721353550000002</v>
      </c>
      <c r="AF253">
        <v>2.6372321680000002</v>
      </c>
      <c r="AG253">
        <v>2.845815322</v>
      </c>
      <c r="AH253">
        <v>3.053368554</v>
      </c>
      <c r="AI253">
        <v>3.278587505</v>
      </c>
      <c r="AJ253">
        <v>3.501441475</v>
      </c>
      <c r="AK253">
        <v>3.7242421370000001</v>
      </c>
      <c r="AL253">
        <v>3.8967303119999999</v>
      </c>
      <c r="AM253">
        <v>4.0670278209999999</v>
      </c>
      <c r="AN253">
        <v>4.1642811870000003</v>
      </c>
      <c r="AO253">
        <v>4.266384467</v>
      </c>
      <c r="AP253">
        <v>4.3668894849999997</v>
      </c>
      <c r="AQ253">
        <v>4.4741763189999997</v>
      </c>
      <c r="AR253">
        <v>4.5772621510000002</v>
      </c>
      <c r="AS253">
        <v>4.7723618830000003</v>
      </c>
      <c r="AT253">
        <v>4.9684463760000002</v>
      </c>
      <c r="AU253">
        <v>5.1668592049999997</v>
      </c>
      <c r="AV253">
        <v>5.3641076549999998</v>
      </c>
      <c r="AW253">
        <v>5.5678684599999997</v>
      </c>
    </row>
    <row r="254" spans="2:49" x14ac:dyDescent="0.25">
      <c r="B254" t="s">
        <v>284</v>
      </c>
      <c r="C254">
        <v>0.71679836909740502</v>
      </c>
      <c r="D254">
        <v>0.72830679876826598</v>
      </c>
      <c r="E254">
        <v>0.74398149140000003</v>
      </c>
      <c r="F254">
        <v>0.73782270179999998</v>
      </c>
      <c r="G254">
        <v>0.71184562870000001</v>
      </c>
      <c r="H254">
        <v>0.67822238450000005</v>
      </c>
      <c r="I254">
        <v>0.68282734479999996</v>
      </c>
      <c r="J254">
        <v>0.67234207820000003</v>
      </c>
      <c r="K254">
        <v>0.6395576141</v>
      </c>
      <c r="L254">
        <v>0.61731149659999995</v>
      </c>
      <c r="M254">
        <v>0.60674795010000004</v>
      </c>
      <c r="N254">
        <v>0.60475860319999997</v>
      </c>
      <c r="O254">
        <v>0.61987453199999998</v>
      </c>
      <c r="P254">
        <v>0.61191243240000004</v>
      </c>
      <c r="Q254">
        <v>0.57859387829999998</v>
      </c>
      <c r="R254">
        <v>0.54272149729999997</v>
      </c>
      <c r="S254">
        <v>1.4172785000000001</v>
      </c>
      <c r="T254">
        <v>1.1944378630000001</v>
      </c>
      <c r="U254">
        <v>1.000665725</v>
      </c>
      <c r="V254">
        <v>0.823004493</v>
      </c>
      <c r="W254">
        <v>0.94465030380000004</v>
      </c>
      <c r="X254">
        <v>0.90464389430000003</v>
      </c>
      <c r="Y254">
        <v>0.8592588941</v>
      </c>
      <c r="Z254">
        <v>0.8268264448</v>
      </c>
      <c r="AA254">
        <v>0.80264161369999998</v>
      </c>
      <c r="AB254">
        <v>0.7810639667</v>
      </c>
      <c r="AC254">
        <v>0.76332137820000001</v>
      </c>
      <c r="AD254">
        <v>0.74240093409999997</v>
      </c>
      <c r="AE254">
        <v>0.72200215759999997</v>
      </c>
      <c r="AF254">
        <v>0.70452239130000005</v>
      </c>
      <c r="AG254">
        <v>0.68649036750000003</v>
      </c>
      <c r="AH254">
        <v>0.66952161060000004</v>
      </c>
      <c r="AI254">
        <v>0.66206144870000005</v>
      </c>
      <c r="AJ254">
        <v>0.65515659439999996</v>
      </c>
      <c r="AK254">
        <v>0.6490975698</v>
      </c>
      <c r="AL254">
        <v>0.64367256039999998</v>
      </c>
      <c r="AM254">
        <v>0.63835359599999997</v>
      </c>
      <c r="AN254">
        <v>0.63233541950000005</v>
      </c>
      <c r="AO254">
        <v>0.62736567659999998</v>
      </c>
      <c r="AP254">
        <v>0.62242927299999995</v>
      </c>
      <c r="AQ254">
        <v>0.61868235270000005</v>
      </c>
      <c r="AR254">
        <v>0.61454701749999996</v>
      </c>
      <c r="AS254">
        <v>0.6113320833</v>
      </c>
      <c r="AT254">
        <v>0.60832912250000004</v>
      </c>
      <c r="AU254">
        <v>0.60566978329999999</v>
      </c>
      <c r="AV254">
        <v>0.60292009599999996</v>
      </c>
      <c r="AW254">
        <v>0.60092007000000003</v>
      </c>
    </row>
    <row r="255" spans="2:49" x14ac:dyDescent="0.25">
      <c r="B255" t="s">
        <v>285</v>
      </c>
      <c r="C255">
        <v>0.19372928894524399</v>
      </c>
      <c r="D255">
        <v>0.196839675342774</v>
      </c>
      <c r="E255">
        <v>0.2010760788</v>
      </c>
      <c r="F255">
        <v>0.2107932891</v>
      </c>
      <c r="G255">
        <v>0.2149795155</v>
      </c>
      <c r="H255">
        <v>0.2165159364</v>
      </c>
      <c r="I255">
        <v>0.23042794329999999</v>
      </c>
      <c r="J255">
        <v>0.23983967210000001</v>
      </c>
      <c r="K255">
        <v>0.2411664519</v>
      </c>
      <c r="L255">
        <v>0.24606399809999999</v>
      </c>
      <c r="M255">
        <v>0.25565748929999998</v>
      </c>
      <c r="N255">
        <v>0.26936350079999999</v>
      </c>
      <c r="O255">
        <v>0.28783187970000002</v>
      </c>
      <c r="P255">
        <v>0.29622750129999997</v>
      </c>
      <c r="Q255">
        <v>0.29203429089999999</v>
      </c>
      <c r="R255">
        <v>0.28561710480000002</v>
      </c>
      <c r="S255">
        <v>0.32127477570000001</v>
      </c>
      <c r="T255">
        <v>0.30029469149999999</v>
      </c>
      <c r="U255">
        <v>0.28379159549999999</v>
      </c>
      <c r="V255">
        <v>0.26933277630000002</v>
      </c>
      <c r="W255">
        <v>0.38418376999999998</v>
      </c>
      <c r="X255">
        <v>0.39558525249999998</v>
      </c>
      <c r="Y255">
        <v>0.39731952869999998</v>
      </c>
      <c r="Z255">
        <v>0.40298614849999997</v>
      </c>
      <c r="AA255">
        <v>0.4111602701</v>
      </c>
      <c r="AB255">
        <v>0.42248848239999998</v>
      </c>
      <c r="AC255">
        <v>0.43486048049999998</v>
      </c>
      <c r="AD255">
        <v>0.46363049880000001</v>
      </c>
      <c r="AE255">
        <v>0.49172285850000003</v>
      </c>
      <c r="AF255">
        <v>0.51949826870000004</v>
      </c>
      <c r="AG255">
        <v>0.54724832540000001</v>
      </c>
      <c r="AH255">
        <v>0.57503091829999997</v>
      </c>
      <c r="AI255">
        <v>0.57833381029999997</v>
      </c>
      <c r="AJ255">
        <v>0.58193364569999995</v>
      </c>
      <c r="AK255">
        <v>0.58611681859999998</v>
      </c>
      <c r="AL255">
        <v>0.59084060959999996</v>
      </c>
      <c r="AM255">
        <v>0.59553031000000001</v>
      </c>
      <c r="AN255">
        <v>0.59883198900000001</v>
      </c>
      <c r="AO255">
        <v>0.60299458679999995</v>
      </c>
      <c r="AP255">
        <v>0.60707229770000004</v>
      </c>
      <c r="AQ255">
        <v>0.61221036309999999</v>
      </c>
      <c r="AR255">
        <v>0.61687552229999998</v>
      </c>
      <c r="AS255">
        <v>0.62160451419999996</v>
      </c>
      <c r="AT255">
        <v>0.62652280839999996</v>
      </c>
      <c r="AU255">
        <v>0.63177574240000001</v>
      </c>
      <c r="AV255">
        <v>0.63691824939999997</v>
      </c>
      <c r="AW255">
        <v>0.64284508650000005</v>
      </c>
    </row>
    <row r="256" spans="2:49" x14ac:dyDescent="0.25">
      <c r="B256" t="s">
        <v>286</v>
      </c>
      <c r="C256">
        <v>0.38745857789048899</v>
      </c>
      <c r="D256">
        <v>0.39367935068554899</v>
      </c>
      <c r="E256">
        <v>0.4021521575</v>
      </c>
      <c r="F256">
        <v>0.45763561349999998</v>
      </c>
      <c r="G256">
        <v>0.50663262340000004</v>
      </c>
      <c r="H256">
        <v>0.55388420090000001</v>
      </c>
      <c r="I256">
        <v>0.63987816630000005</v>
      </c>
      <c r="J256">
        <v>0.72296322710000005</v>
      </c>
      <c r="K256">
        <v>0.78912375680000002</v>
      </c>
      <c r="L256">
        <v>0.87399578560000002</v>
      </c>
      <c r="M256">
        <v>0.98571830110000003</v>
      </c>
      <c r="N256">
        <v>1.127368994</v>
      </c>
      <c r="O256">
        <v>1.2167055490000001</v>
      </c>
      <c r="P256">
        <v>1.264710797</v>
      </c>
      <c r="Q256">
        <v>1.259270289</v>
      </c>
      <c r="R256">
        <v>1.243908902</v>
      </c>
      <c r="S256">
        <v>2.19185813</v>
      </c>
      <c r="T256">
        <v>2.194667999</v>
      </c>
      <c r="U256">
        <v>2.2182191859999998</v>
      </c>
      <c r="V256">
        <v>2.2483528439999998</v>
      </c>
      <c r="W256">
        <v>3.2975839269999998</v>
      </c>
      <c r="X256">
        <v>3.3793332409999999</v>
      </c>
      <c r="Y256">
        <v>3.485907321</v>
      </c>
      <c r="Z256">
        <v>3.6186769760000002</v>
      </c>
      <c r="AA256">
        <v>3.768163156</v>
      </c>
      <c r="AB256">
        <v>3.9425157689999999</v>
      </c>
      <c r="AC256">
        <v>4.1235328940000002</v>
      </c>
      <c r="AD256">
        <v>4.2800960410000002</v>
      </c>
      <c r="AE256">
        <v>4.4329303619999996</v>
      </c>
      <c r="AF256">
        <v>4.5851486279999998</v>
      </c>
      <c r="AG256">
        <v>4.742080852</v>
      </c>
      <c r="AH256">
        <v>4.9008533270000001</v>
      </c>
      <c r="AI256">
        <v>5.0429950339999996</v>
      </c>
      <c r="AJ256">
        <v>5.1855039850000004</v>
      </c>
      <c r="AK256">
        <v>5.3312551790000002</v>
      </c>
      <c r="AL256">
        <v>5.483200396</v>
      </c>
      <c r="AM256">
        <v>5.6333255680000001</v>
      </c>
      <c r="AN256">
        <v>5.7332239850000004</v>
      </c>
      <c r="AO256">
        <v>5.8403198290000002</v>
      </c>
      <c r="AP256">
        <v>5.9456764829999997</v>
      </c>
      <c r="AQ256">
        <v>6.0606409320000001</v>
      </c>
      <c r="AR256">
        <v>6.1702391150000002</v>
      </c>
      <c r="AS256">
        <v>6.2503798440000002</v>
      </c>
      <c r="AT256">
        <v>6.3323278800000002</v>
      </c>
      <c r="AU256">
        <v>6.4175913659999999</v>
      </c>
      <c r="AV256">
        <v>6.5016795089999997</v>
      </c>
      <c r="AW256">
        <v>6.5937549789999998</v>
      </c>
    </row>
    <row r="257" spans="2:49" x14ac:dyDescent="0.25">
      <c r="B257" t="s">
        <v>287</v>
      </c>
      <c r="C257">
        <v>34.067295461021303</v>
      </c>
      <c r="D257">
        <v>34.614256909026899</v>
      </c>
      <c r="E257">
        <v>35.359228450000003</v>
      </c>
      <c r="F257">
        <v>35.492059910000002</v>
      </c>
      <c r="G257">
        <v>34.658004849999998</v>
      </c>
      <c r="H257">
        <v>33.421689389999997</v>
      </c>
      <c r="I257">
        <v>34.05694811</v>
      </c>
      <c r="J257">
        <v>34.071422800000001</v>
      </c>
      <c r="K257">
        <v>32.946153379999998</v>
      </c>
      <c r="L257">
        <v>32.344634630000002</v>
      </c>
      <c r="M257">
        <v>32.3562291</v>
      </c>
      <c r="N257">
        <v>32.847080149999996</v>
      </c>
      <c r="O257">
        <v>32.676530290000002</v>
      </c>
      <c r="P257">
        <v>31.308306179999999</v>
      </c>
      <c r="Q257">
        <v>28.734479289999999</v>
      </c>
      <c r="R257">
        <v>26.162973439999998</v>
      </c>
      <c r="S257">
        <v>23.739985780000001</v>
      </c>
      <c r="T257">
        <v>22.782735429999999</v>
      </c>
      <c r="U257">
        <v>22.116176790000001</v>
      </c>
      <c r="V257">
        <v>21.570481749999999</v>
      </c>
      <c r="W257">
        <v>17.60423905</v>
      </c>
      <c r="X257">
        <v>15.63870352</v>
      </c>
      <c r="Y257">
        <v>13.89959511</v>
      </c>
      <c r="Z257">
        <v>12.45955681</v>
      </c>
      <c r="AA257">
        <v>11.20941212</v>
      </c>
      <c r="AB257">
        <v>10.15622392</v>
      </c>
      <c r="AC257">
        <v>9.1851533889999999</v>
      </c>
      <c r="AD257">
        <v>8.4865207520000006</v>
      </c>
      <c r="AE257">
        <v>7.8026162780000003</v>
      </c>
      <c r="AF257">
        <v>7.1300502840000002</v>
      </c>
      <c r="AG257">
        <v>6.5382108460000001</v>
      </c>
      <c r="AH257">
        <v>5.9630941450000003</v>
      </c>
      <c r="AI257">
        <v>5.4368731190000004</v>
      </c>
      <c r="AJ257">
        <v>4.9237652790000004</v>
      </c>
      <c r="AK257">
        <v>4.4246210440000002</v>
      </c>
      <c r="AL257">
        <v>3.9900130869999999</v>
      </c>
      <c r="AM257">
        <v>3.5610016880000002</v>
      </c>
      <c r="AN257">
        <v>3.229924032</v>
      </c>
      <c r="AO257">
        <v>2.9083162730000001</v>
      </c>
      <c r="AP257">
        <v>2.5904819899999998</v>
      </c>
      <c r="AQ257">
        <v>2.2806491960000002</v>
      </c>
      <c r="AR257">
        <v>1.9720649219999999</v>
      </c>
      <c r="AS257">
        <v>1.583413269</v>
      </c>
      <c r="AT257">
        <v>1.2027520380000001</v>
      </c>
      <c r="AU257">
        <v>0.82986231349999995</v>
      </c>
      <c r="AV257">
        <v>0.46378095499999999</v>
      </c>
      <c r="AW257">
        <v>0.1049166493</v>
      </c>
    </row>
    <row r="258" spans="2:49" x14ac:dyDescent="0.25">
      <c r="B258" t="s">
        <v>288</v>
      </c>
      <c r="C258">
        <v>1.54983431156195</v>
      </c>
      <c r="D258">
        <v>1.57471740274219</v>
      </c>
      <c r="E258">
        <v>1.60860863</v>
      </c>
      <c r="F258">
        <v>1.873045399</v>
      </c>
      <c r="G258">
        <v>2.0755696449999999</v>
      </c>
      <c r="H258">
        <v>2.232830898</v>
      </c>
      <c r="I258">
        <v>2.5033874840000001</v>
      </c>
      <c r="J258">
        <v>2.7134910880000001</v>
      </c>
      <c r="K258">
        <v>2.813347759</v>
      </c>
      <c r="L258">
        <v>2.9338250160000001</v>
      </c>
      <c r="M258">
        <v>3.0906681640000002</v>
      </c>
      <c r="N258">
        <v>3.277185485</v>
      </c>
      <c r="O258">
        <v>4.2825014269999997</v>
      </c>
      <c r="P258">
        <v>5.3898954999999997</v>
      </c>
      <c r="Q258">
        <v>6.4980816949999998</v>
      </c>
      <c r="R258">
        <v>7.7719836359999999</v>
      </c>
      <c r="S258">
        <v>6.5687196139999999</v>
      </c>
      <c r="T258">
        <v>6.5461578789999999</v>
      </c>
      <c r="U258">
        <v>6.58783619</v>
      </c>
      <c r="V258">
        <v>6.6508047140000004</v>
      </c>
      <c r="W258">
        <v>5.9951592219999998</v>
      </c>
      <c r="X258">
        <v>5.4453704299999997</v>
      </c>
      <c r="Y258">
        <v>5.1167888960000001</v>
      </c>
      <c r="Z258">
        <v>4.8707497760000003</v>
      </c>
      <c r="AA258">
        <v>4.677296213</v>
      </c>
      <c r="AB258">
        <v>4.5236961100000004</v>
      </c>
      <c r="AC258">
        <v>4.393589714</v>
      </c>
      <c r="AD258">
        <v>4.3016795510000003</v>
      </c>
      <c r="AE258">
        <v>4.2117990499999998</v>
      </c>
      <c r="AF258">
        <v>4.1265801680000003</v>
      </c>
      <c r="AG258">
        <v>4.045275524</v>
      </c>
      <c r="AH258">
        <v>3.9695549749999999</v>
      </c>
      <c r="AI258">
        <v>3.8942467039999999</v>
      </c>
      <c r="AJ258">
        <v>3.8228503730000001</v>
      </c>
      <c r="AK258">
        <v>3.7569693740000001</v>
      </c>
      <c r="AL258">
        <v>3.695037642</v>
      </c>
      <c r="AM258">
        <v>3.634165034</v>
      </c>
      <c r="AN258">
        <v>3.5783754839999999</v>
      </c>
      <c r="AO258">
        <v>3.5288861100000002</v>
      </c>
      <c r="AP258">
        <v>3.4799140710000001</v>
      </c>
      <c r="AQ258">
        <v>3.4378799369999999</v>
      </c>
      <c r="AR258">
        <v>3.3939473699999998</v>
      </c>
      <c r="AS258">
        <v>3.3653062230000002</v>
      </c>
      <c r="AT258">
        <v>3.337850016</v>
      </c>
      <c r="AU258">
        <v>3.3122877929999999</v>
      </c>
      <c r="AV258">
        <v>3.2862358700000001</v>
      </c>
      <c r="AW258">
        <v>3.2642626219999999</v>
      </c>
    </row>
    <row r="259" spans="2:49" x14ac:dyDescent="0.25">
      <c r="B259" t="s">
        <v>289</v>
      </c>
      <c r="C259">
        <v>0.19372928894524399</v>
      </c>
      <c r="D259">
        <v>0.196839675342774</v>
      </c>
      <c r="E259">
        <v>0.2010760788</v>
      </c>
      <c r="F259">
        <v>0.1902792482</v>
      </c>
      <c r="G259">
        <v>0.1751726794</v>
      </c>
      <c r="H259">
        <v>0.15925526800000001</v>
      </c>
      <c r="I259">
        <v>0.15299376410000001</v>
      </c>
      <c r="J259">
        <v>0.14374549889999999</v>
      </c>
      <c r="K259">
        <v>0.13047423920000001</v>
      </c>
      <c r="L259">
        <v>0.1201684895</v>
      </c>
      <c r="M259">
        <v>0.1127030559</v>
      </c>
      <c r="N259">
        <v>0.1071890858</v>
      </c>
      <c r="O259">
        <v>0.1070013506</v>
      </c>
      <c r="P259">
        <v>0.1028760516</v>
      </c>
      <c r="Q259">
        <v>9.4746092599999998E-2</v>
      </c>
      <c r="R259">
        <v>8.6566571600000003E-2</v>
      </c>
      <c r="S259">
        <v>0.3673623915</v>
      </c>
      <c r="T259">
        <v>0.33170546909999998</v>
      </c>
      <c r="U259">
        <v>0.30195140180000002</v>
      </c>
      <c r="V259">
        <v>0.2751235964</v>
      </c>
      <c r="W259">
        <v>1.0280761490000001</v>
      </c>
      <c r="X259">
        <v>1.1730131049999999</v>
      </c>
      <c r="Y259">
        <v>1.321614826</v>
      </c>
      <c r="Z259">
        <v>1.4703123339999999</v>
      </c>
      <c r="AA259">
        <v>1.6190906679999999</v>
      </c>
      <c r="AB259">
        <v>1.721912653</v>
      </c>
      <c r="AC259">
        <v>1.826450232</v>
      </c>
      <c r="AD259">
        <v>2.1025166419999999</v>
      </c>
      <c r="AE259">
        <v>2.3721353550000002</v>
      </c>
      <c r="AF259">
        <v>2.6372321680000002</v>
      </c>
      <c r="AG259">
        <v>2.845815322</v>
      </c>
      <c r="AH259">
        <v>3.053368554</v>
      </c>
      <c r="AI259">
        <v>3.278587505</v>
      </c>
      <c r="AJ259">
        <v>3.501441475</v>
      </c>
      <c r="AK259">
        <v>3.7242421370000001</v>
      </c>
      <c r="AL259">
        <v>3.8967303119999999</v>
      </c>
      <c r="AM259">
        <v>4.0670278209999999</v>
      </c>
      <c r="AN259">
        <v>4.1642811870000003</v>
      </c>
      <c r="AO259">
        <v>4.266384467</v>
      </c>
      <c r="AP259">
        <v>4.3668894849999997</v>
      </c>
      <c r="AQ259">
        <v>4.4741763189999997</v>
      </c>
      <c r="AR259">
        <v>4.5772621510000002</v>
      </c>
      <c r="AS259">
        <v>4.7723618830000003</v>
      </c>
      <c r="AT259">
        <v>4.9684463760000002</v>
      </c>
      <c r="AU259">
        <v>5.1668592049999997</v>
      </c>
      <c r="AV259">
        <v>5.3641076549999998</v>
      </c>
      <c r="AW259">
        <v>5.5678684599999997</v>
      </c>
    </row>
    <row r="260" spans="2:49" x14ac:dyDescent="0.25">
      <c r="B260" t="s">
        <v>290</v>
      </c>
      <c r="C260">
        <v>0.71679836909740502</v>
      </c>
      <c r="D260">
        <v>0.72830679876826598</v>
      </c>
      <c r="E260">
        <v>0.74398149140000003</v>
      </c>
      <c r="F260">
        <v>0.73782270179999998</v>
      </c>
      <c r="G260">
        <v>0.71184562870000001</v>
      </c>
      <c r="H260">
        <v>0.67822238450000005</v>
      </c>
      <c r="I260">
        <v>0.68282734479999996</v>
      </c>
      <c r="J260">
        <v>0.67234207820000003</v>
      </c>
      <c r="K260">
        <v>0.6395576141</v>
      </c>
      <c r="L260">
        <v>0.61731149659999995</v>
      </c>
      <c r="M260">
        <v>0.60674795010000004</v>
      </c>
      <c r="N260">
        <v>0.60475860319999997</v>
      </c>
      <c r="O260">
        <v>0.61987453199999998</v>
      </c>
      <c r="P260">
        <v>0.61191243240000004</v>
      </c>
      <c r="Q260">
        <v>0.57859387829999998</v>
      </c>
      <c r="R260">
        <v>0.54272149729999997</v>
      </c>
      <c r="S260">
        <v>1.4172785000000001</v>
      </c>
      <c r="T260">
        <v>1.1944378630000001</v>
      </c>
      <c r="U260">
        <v>1.000665725</v>
      </c>
      <c r="V260">
        <v>0.823004493</v>
      </c>
      <c r="W260">
        <v>0.94465030380000004</v>
      </c>
      <c r="X260">
        <v>0.90464389430000003</v>
      </c>
      <c r="Y260">
        <v>0.8592588941</v>
      </c>
      <c r="Z260">
        <v>0.8268264448</v>
      </c>
      <c r="AA260">
        <v>0.80264161369999998</v>
      </c>
      <c r="AB260">
        <v>0.7810639667</v>
      </c>
      <c r="AC260">
        <v>0.76332137820000001</v>
      </c>
      <c r="AD260">
        <v>0.74240093409999997</v>
      </c>
      <c r="AE260">
        <v>0.72200215759999997</v>
      </c>
      <c r="AF260">
        <v>0.70452239130000005</v>
      </c>
      <c r="AG260">
        <v>0.68649036750000003</v>
      </c>
      <c r="AH260">
        <v>0.66952161060000004</v>
      </c>
      <c r="AI260">
        <v>0.66206144870000005</v>
      </c>
      <c r="AJ260">
        <v>0.65515659439999996</v>
      </c>
      <c r="AK260">
        <v>0.6490975698</v>
      </c>
      <c r="AL260">
        <v>0.64367256039999998</v>
      </c>
      <c r="AM260">
        <v>0.63835359599999997</v>
      </c>
      <c r="AN260">
        <v>0.63233541950000005</v>
      </c>
      <c r="AO260">
        <v>0.62736567659999998</v>
      </c>
      <c r="AP260">
        <v>0.62242927299999995</v>
      </c>
      <c r="AQ260">
        <v>0.61868235270000005</v>
      </c>
      <c r="AR260">
        <v>0.61454701749999996</v>
      </c>
      <c r="AS260">
        <v>0.6113320833</v>
      </c>
      <c r="AT260">
        <v>0.60832912250000004</v>
      </c>
      <c r="AU260">
        <v>0.60566978329999999</v>
      </c>
      <c r="AV260">
        <v>0.60292009599999996</v>
      </c>
      <c r="AW260">
        <v>0.60092007000000003</v>
      </c>
    </row>
    <row r="261" spans="2:49" x14ac:dyDescent="0.25">
      <c r="B261" t="s">
        <v>291</v>
      </c>
      <c r="C261">
        <v>0.19372928894524399</v>
      </c>
      <c r="D261">
        <v>0.196839675342774</v>
      </c>
      <c r="E261">
        <v>0.2010760788</v>
      </c>
      <c r="F261">
        <v>0.2107932891</v>
      </c>
      <c r="G261">
        <v>0.2149795155</v>
      </c>
      <c r="H261">
        <v>0.2165159364</v>
      </c>
      <c r="I261">
        <v>0.23042794329999999</v>
      </c>
      <c r="J261">
        <v>0.23983967210000001</v>
      </c>
      <c r="K261">
        <v>0.2411664519</v>
      </c>
      <c r="L261">
        <v>0.24606399809999999</v>
      </c>
      <c r="M261">
        <v>0.25565748929999998</v>
      </c>
      <c r="N261">
        <v>0.26936350079999999</v>
      </c>
      <c r="O261">
        <v>0.28783187970000002</v>
      </c>
      <c r="P261">
        <v>0.29622750129999997</v>
      </c>
      <c r="Q261">
        <v>0.29203429089999999</v>
      </c>
      <c r="R261">
        <v>0.28561710480000002</v>
      </c>
      <c r="S261">
        <v>0.32127477570000001</v>
      </c>
      <c r="T261">
        <v>0.30029469149999999</v>
      </c>
      <c r="U261">
        <v>0.28379159549999999</v>
      </c>
      <c r="V261">
        <v>0.26933277630000002</v>
      </c>
      <c r="W261">
        <v>0.38418376999999998</v>
      </c>
      <c r="X261">
        <v>0.39558525249999998</v>
      </c>
      <c r="Y261">
        <v>0.39731952869999998</v>
      </c>
      <c r="Z261">
        <v>0.40298614849999997</v>
      </c>
      <c r="AA261">
        <v>0.4111602701</v>
      </c>
      <c r="AB261">
        <v>0.42248848239999998</v>
      </c>
      <c r="AC261">
        <v>0.43486048049999998</v>
      </c>
      <c r="AD261">
        <v>0.46363049880000001</v>
      </c>
      <c r="AE261">
        <v>0.49172285850000003</v>
      </c>
      <c r="AF261">
        <v>0.51949826870000004</v>
      </c>
      <c r="AG261">
        <v>0.54724832540000001</v>
      </c>
      <c r="AH261">
        <v>0.57503091829999997</v>
      </c>
      <c r="AI261">
        <v>0.57833381029999997</v>
      </c>
      <c r="AJ261">
        <v>0.58193364569999995</v>
      </c>
      <c r="AK261">
        <v>0.58611681859999998</v>
      </c>
      <c r="AL261">
        <v>0.59084060959999996</v>
      </c>
      <c r="AM261">
        <v>0.59553031000000001</v>
      </c>
      <c r="AN261">
        <v>0.59883198900000001</v>
      </c>
      <c r="AO261">
        <v>0.60299458679999995</v>
      </c>
      <c r="AP261">
        <v>0.60707229770000004</v>
      </c>
      <c r="AQ261">
        <v>0.61221036309999999</v>
      </c>
      <c r="AR261">
        <v>0.61687552229999998</v>
      </c>
      <c r="AS261">
        <v>0.62160451419999996</v>
      </c>
      <c r="AT261">
        <v>0.62652280839999996</v>
      </c>
      <c r="AU261">
        <v>0.63177574240000001</v>
      </c>
      <c r="AV261">
        <v>0.63691824939999997</v>
      </c>
      <c r="AW261">
        <v>0.64284508650000005</v>
      </c>
    </row>
    <row r="262" spans="2:49" x14ac:dyDescent="0.25">
      <c r="B262" t="s">
        <v>292</v>
      </c>
      <c r="C262">
        <v>0.38745857789048899</v>
      </c>
      <c r="D262">
        <v>0.39367935068554899</v>
      </c>
      <c r="E262">
        <v>0.4021521575</v>
      </c>
      <c r="F262">
        <v>0.45763561349999998</v>
      </c>
      <c r="G262">
        <v>0.50663262340000004</v>
      </c>
      <c r="H262">
        <v>0.55388420090000001</v>
      </c>
      <c r="I262">
        <v>0.63987816630000005</v>
      </c>
      <c r="J262">
        <v>0.72296322710000005</v>
      </c>
      <c r="K262">
        <v>0.78912375680000002</v>
      </c>
      <c r="L262">
        <v>0.87399578560000002</v>
      </c>
      <c r="M262">
        <v>0.98571830110000003</v>
      </c>
      <c r="N262">
        <v>1.127368994</v>
      </c>
      <c r="O262">
        <v>1.2167055490000001</v>
      </c>
      <c r="P262">
        <v>1.264710797</v>
      </c>
      <c r="Q262">
        <v>1.259270289</v>
      </c>
      <c r="R262">
        <v>1.243908902</v>
      </c>
      <c r="S262">
        <v>2.19185813</v>
      </c>
      <c r="T262">
        <v>2.194667999</v>
      </c>
      <c r="U262">
        <v>2.2182191859999998</v>
      </c>
      <c r="V262">
        <v>2.2483528439999998</v>
      </c>
      <c r="W262">
        <v>3.2975839269999998</v>
      </c>
      <c r="X262">
        <v>3.3793332409999999</v>
      </c>
      <c r="Y262">
        <v>3.485907321</v>
      </c>
      <c r="Z262">
        <v>3.6186769760000002</v>
      </c>
      <c r="AA262">
        <v>3.768163156</v>
      </c>
      <c r="AB262">
        <v>3.9425157689999999</v>
      </c>
      <c r="AC262">
        <v>4.1235328940000002</v>
      </c>
      <c r="AD262">
        <v>4.2800960410000002</v>
      </c>
      <c r="AE262">
        <v>4.4329303619999996</v>
      </c>
      <c r="AF262">
        <v>4.5851486279999998</v>
      </c>
      <c r="AG262">
        <v>4.742080852</v>
      </c>
      <c r="AH262">
        <v>4.9008533270000001</v>
      </c>
      <c r="AI262">
        <v>5.0429950339999996</v>
      </c>
      <c r="AJ262">
        <v>5.1855039850000004</v>
      </c>
      <c r="AK262">
        <v>5.3312551790000002</v>
      </c>
      <c r="AL262">
        <v>5.483200396</v>
      </c>
      <c r="AM262">
        <v>5.6333255680000001</v>
      </c>
      <c r="AN262">
        <v>5.7332239850000004</v>
      </c>
      <c r="AO262">
        <v>5.8403198290000002</v>
      </c>
      <c r="AP262">
        <v>5.9456764829999997</v>
      </c>
      <c r="AQ262">
        <v>6.0606409320000001</v>
      </c>
      <c r="AR262">
        <v>6.1702391150000002</v>
      </c>
      <c r="AS262">
        <v>6.2503798440000002</v>
      </c>
      <c r="AT262">
        <v>6.3323278800000002</v>
      </c>
      <c r="AU262">
        <v>6.4175913659999999</v>
      </c>
      <c r="AV262">
        <v>6.5016795089999997</v>
      </c>
      <c r="AW262">
        <v>6.5937549789999998</v>
      </c>
    </row>
    <row r="263" spans="2:49" x14ac:dyDescent="0.25">
      <c r="B263" t="s">
        <v>293</v>
      </c>
      <c r="C263">
        <v>1.1905732046364299</v>
      </c>
      <c r="D263">
        <v>1.2096882425386799</v>
      </c>
      <c r="E263">
        <v>1.229110199</v>
      </c>
      <c r="F263">
        <v>1.2315210889999999</v>
      </c>
      <c r="G263">
        <v>1.1449187329999999</v>
      </c>
      <c r="H263">
        <v>0.92601423009999995</v>
      </c>
      <c r="I263">
        <v>1.0179888459999999</v>
      </c>
      <c r="J263">
        <v>1.0425604260000001</v>
      </c>
      <c r="K263">
        <v>0.98423772379999996</v>
      </c>
      <c r="L263">
        <v>0.97519208479999997</v>
      </c>
      <c r="M263">
        <v>0.97964951410000001</v>
      </c>
      <c r="N263">
        <v>0.95446687779999995</v>
      </c>
      <c r="O263">
        <v>0.94806820520000001</v>
      </c>
      <c r="P263">
        <v>0.93623792750000001</v>
      </c>
      <c r="Q263">
        <v>0.92346104780000005</v>
      </c>
      <c r="R263">
        <v>0.9124547959</v>
      </c>
      <c r="S263">
        <v>0.90503557950000002</v>
      </c>
      <c r="T263">
        <v>0.89476977310000005</v>
      </c>
      <c r="U263">
        <v>0.89457958449999997</v>
      </c>
      <c r="V263">
        <v>0.89962734339999995</v>
      </c>
      <c r="W263">
        <v>0.89809505960000002</v>
      </c>
      <c r="X263">
        <v>0.89150585630000001</v>
      </c>
      <c r="Y263">
        <v>0.88800559680000002</v>
      </c>
      <c r="Z263">
        <v>0.88570730369999995</v>
      </c>
      <c r="AA263">
        <v>0.8849280249</v>
      </c>
      <c r="AB263">
        <v>0.88545210839999999</v>
      </c>
      <c r="AC263">
        <v>0.88747990659999998</v>
      </c>
      <c r="AD263">
        <v>0.8946039831</v>
      </c>
      <c r="AE263">
        <v>0.90380718530000004</v>
      </c>
      <c r="AF263">
        <v>0.91473904260000005</v>
      </c>
      <c r="AG263">
        <v>0.92674767410000003</v>
      </c>
      <c r="AH263">
        <v>0.93977203050000002</v>
      </c>
      <c r="AI263">
        <v>0.95345554860000004</v>
      </c>
      <c r="AJ263">
        <v>0.96770364929999997</v>
      </c>
      <c r="AK263">
        <v>0.98260997380000004</v>
      </c>
      <c r="AL263">
        <v>0.99791648389999998</v>
      </c>
      <c r="AM263">
        <v>1.0139757229999999</v>
      </c>
      <c r="AN263">
        <v>1.029576882</v>
      </c>
      <c r="AO263">
        <v>1.0456711670000001</v>
      </c>
      <c r="AP263">
        <v>1.0618065619999999</v>
      </c>
      <c r="AQ263">
        <v>1.078606309</v>
      </c>
      <c r="AR263">
        <v>1.0952550270000001</v>
      </c>
      <c r="AS263">
        <v>1.1120923519999999</v>
      </c>
      <c r="AT263">
        <v>1.1290265429999999</v>
      </c>
      <c r="AU263">
        <v>1.1460950780000001</v>
      </c>
      <c r="AV263">
        <v>1.1631692010000001</v>
      </c>
      <c r="AW263">
        <v>1.1806933129999999</v>
      </c>
    </row>
    <row r="264" spans="2:49" x14ac:dyDescent="0.25">
      <c r="B264" t="s">
        <v>294</v>
      </c>
      <c r="C264">
        <v>1.7112081308179601</v>
      </c>
      <c r="D264">
        <v>1.7386821308642</v>
      </c>
      <c r="E264">
        <v>1.766597204</v>
      </c>
      <c r="F264">
        <v>1.7874173019999999</v>
      </c>
      <c r="G264">
        <v>1.810204771</v>
      </c>
      <c r="H264">
        <v>1.7022867580000001</v>
      </c>
      <c r="I264">
        <v>1.7767751169999999</v>
      </c>
      <c r="J264">
        <v>1.8105798239999999</v>
      </c>
      <c r="K264">
        <v>1.791703268</v>
      </c>
      <c r="L264">
        <v>1.7992142</v>
      </c>
      <c r="M264">
        <v>1.8081049119999999</v>
      </c>
      <c r="N264">
        <v>1.8460067529999999</v>
      </c>
      <c r="O264">
        <v>1.8929711490000001</v>
      </c>
      <c r="P264">
        <v>1.91517286</v>
      </c>
      <c r="Q264">
        <v>1.92588648</v>
      </c>
      <c r="R264">
        <v>1.941051987</v>
      </c>
      <c r="S264">
        <v>1.9615180569999999</v>
      </c>
      <c r="T264">
        <v>1.9625009250000001</v>
      </c>
      <c r="U264">
        <v>1.9659001629999999</v>
      </c>
      <c r="V264">
        <v>1.9724249220000001</v>
      </c>
      <c r="W264">
        <v>1.971519698</v>
      </c>
      <c r="X264">
        <v>1.956091501</v>
      </c>
      <c r="Y264">
        <v>1.9491698500000001</v>
      </c>
      <c r="Z264">
        <v>1.952632731</v>
      </c>
      <c r="AA264">
        <v>1.9613065700000001</v>
      </c>
      <c r="AB264">
        <v>1.972527339</v>
      </c>
      <c r="AC264">
        <v>1.9853306159999999</v>
      </c>
      <c r="AD264">
        <v>2.0042428509999999</v>
      </c>
      <c r="AE264">
        <v>2.0293774500000001</v>
      </c>
      <c r="AF264">
        <v>2.0569253409999999</v>
      </c>
      <c r="AG264">
        <v>2.0896388240000001</v>
      </c>
      <c r="AH264">
        <v>2.121639885</v>
      </c>
      <c r="AI264">
        <v>2.1604897489999999</v>
      </c>
      <c r="AJ264">
        <v>2.1926809600000001</v>
      </c>
      <c r="AK264">
        <v>2.2381985790000001</v>
      </c>
      <c r="AL264">
        <v>2.267453433</v>
      </c>
      <c r="AM264">
        <v>2.3236415720000001</v>
      </c>
      <c r="AN264">
        <v>2.34045288</v>
      </c>
      <c r="AO264">
        <v>2.4159979049999998</v>
      </c>
      <c r="AP264">
        <v>2.4067136549999999</v>
      </c>
      <c r="AQ264">
        <v>2.5268110410000002</v>
      </c>
      <c r="AR264">
        <v>2.522531796</v>
      </c>
      <c r="AS264">
        <v>2.5689221099999999</v>
      </c>
      <c r="AT264">
        <v>2.5971679769999998</v>
      </c>
      <c r="AU264">
        <v>2.6590995949999998</v>
      </c>
      <c r="AV264">
        <v>2.6725197189999998</v>
      </c>
      <c r="AW264">
        <v>2.7603994850000002</v>
      </c>
    </row>
    <row r="265" spans="2:49" x14ac:dyDescent="0.25">
      <c r="B265" t="s">
        <v>295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296</v>
      </c>
      <c r="C266">
        <v>1.5692072404564801</v>
      </c>
      <c r="D266">
        <v>1.5944013702764701</v>
      </c>
      <c r="E266">
        <v>1.6200002060000001</v>
      </c>
      <c r="F266">
        <v>1.6389765730000001</v>
      </c>
      <c r="G266">
        <v>1.663232187</v>
      </c>
      <c r="H266">
        <v>1.551759764</v>
      </c>
      <c r="I266">
        <v>1.6288634749999999</v>
      </c>
      <c r="J266">
        <v>1.6761074439999999</v>
      </c>
      <c r="K266">
        <v>1.6664686259999999</v>
      </c>
      <c r="L266">
        <v>1.6732747960000001</v>
      </c>
      <c r="M266">
        <v>1.6801261110000001</v>
      </c>
      <c r="N266">
        <v>1.696718564</v>
      </c>
      <c r="O266">
        <v>1.7709885249999999</v>
      </c>
      <c r="P266">
        <v>1.8488448470000001</v>
      </c>
      <c r="Q266">
        <v>1.9178909159999999</v>
      </c>
      <c r="R266">
        <v>1.976127921</v>
      </c>
      <c r="S266">
        <v>2.0205621900000001</v>
      </c>
      <c r="T266">
        <v>2.0144879219999998</v>
      </c>
      <c r="U266">
        <v>2.0045550649999999</v>
      </c>
      <c r="V266">
        <v>1.997564962</v>
      </c>
      <c r="W266">
        <v>1.9066782369999999</v>
      </c>
      <c r="X266">
        <v>1.8213295730000001</v>
      </c>
      <c r="Y266">
        <v>1.7638485909999999</v>
      </c>
      <c r="Z266">
        <v>1.7306819170000001</v>
      </c>
      <c r="AA266">
        <v>1.710821207</v>
      </c>
      <c r="AB266">
        <v>1.699584003</v>
      </c>
      <c r="AC266">
        <v>1.693306915</v>
      </c>
      <c r="AD266">
        <v>1.701619717</v>
      </c>
      <c r="AE266">
        <v>1.7189534200000001</v>
      </c>
      <c r="AF266">
        <v>1.739817505</v>
      </c>
      <c r="AG266">
        <v>1.765582268</v>
      </c>
      <c r="AH266">
        <v>1.7909897020000001</v>
      </c>
      <c r="AI266">
        <v>1.8225586920000001</v>
      </c>
      <c r="AJ266">
        <v>1.8485912149999999</v>
      </c>
      <c r="AK266">
        <v>1.885950249</v>
      </c>
      <c r="AL266">
        <v>1.9097495419999999</v>
      </c>
      <c r="AM266">
        <v>1.95604997</v>
      </c>
      <c r="AN266">
        <v>1.96940396</v>
      </c>
      <c r="AO266">
        <v>2.0324566860000002</v>
      </c>
      <c r="AP266">
        <v>2.0242709250000002</v>
      </c>
      <c r="AQ266">
        <v>2.125082141</v>
      </c>
      <c r="AR266">
        <v>2.1212924659999999</v>
      </c>
      <c r="AS266">
        <v>2.1598653379999999</v>
      </c>
      <c r="AT266">
        <v>2.1830411750000001</v>
      </c>
      <c r="AU266">
        <v>2.2344358469999999</v>
      </c>
      <c r="AV266">
        <v>2.2449233579999999</v>
      </c>
      <c r="AW266">
        <v>2.3178843819999999</v>
      </c>
    </row>
    <row r="267" spans="2:49" x14ac:dyDescent="0.25">
      <c r="B267" t="s">
        <v>297</v>
      </c>
      <c r="C267">
        <v>0.99189533402801899</v>
      </c>
      <c r="D267">
        <v>0.99189533402801799</v>
      </c>
      <c r="E267">
        <v>0.99189532579999995</v>
      </c>
      <c r="F267">
        <v>0.98719299760000001</v>
      </c>
      <c r="G267">
        <v>0.98253090730000003</v>
      </c>
      <c r="H267">
        <v>0.97786703210000003</v>
      </c>
      <c r="I267">
        <v>0.97325870889999999</v>
      </c>
      <c r="J267">
        <v>0.96867469780000004</v>
      </c>
      <c r="K267">
        <v>0.96412075190000002</v>
      </c>
      <c r="L267">
        <v>0.95959345910000005</v>
      </c>
      <c r="M267">
        <v>0.95507468500000003</v>
      </c>
      <c r="N267">
        <v>0.95058946609999995</v>
      </c>
      <c r="O267">
        <v>0.94786269499999998</v>
      </c>
      <c r="P267">
        <v>0.94500637750000005</v>
      </c>
      <c r="Q267">
        <v>0.94201177439999995</v>
      </c>
      <c r="R267">
        <v>0.9388456114</v>
      </c>
      <c r="S267">
        <v>0.95295276790000005</v>
      </c>
      <c r="T267">
        <v>0.95006016660000003</v>
      </c>
      <c r="U267">
        <v>0.94720674319999998</v>
      </c>
      <c r="V267">
        <v>0.94438895560000002</v>
      </c>
      <c r="W267">
        <v>0.92727339870000003</v>
      </c>
      <c r="X267">
        <v>0.92234178730000005</v>
      </c>
      <c r="Y267">
        <v>0.91729524330000001</v>
      </c>
      <c r="Z267">
        <v>0.91180006609999997</v>
      </c>
      <c r="AA267">
        <v>0.90578240379999997</v>
      </c>
      <c r="AB267">
        <v>0.89950872240000002</v>
      </c>
      <c r="AC267">
        <v>0.89257376919999998</v>
      </c>
      <c r="AD267">
        <v>0.87770636619999998</v>
      </c>
      <c r="AE267">
        <v>0.86124789700000004</v>
      </c>
      <c r="AF267">
        <v>0.84291260710000004</v>
      </c>
      <c r="AG267">
        <v>0.82278503479999998</v>
      </c>
      <c r="AH267">
        <v>0.80004288010000002</v>
      </c>
      <c r="AI267">
        <v>0.76843563439999996</v>
      </c>
      <c r="AJ267">
        <v>0.73217582469999998</v>
      </c>
      <c r="AK267">
        <v>0.69027061680000001</v>
      </c>
      <c r="AL267">
        <v>0.64287953710000001</v>
      </c>
      <c r="AM267">
        <v>0.58678200899999999</v>
      </c>
      <c r="AN267">
        <v>0.56269853690000005</v>
      </c>
      <c r="AO267">
        <v>0.53512709250000001</v>
      </c>
      <c r="AP267">
        <v>0.50136023249999995</v>
      </c>
      <c r="AQ267">
        <v>0.46227588520000001</v>
      </c>
      <c r="AR267">
        <v>0.41237777489999999</v>
      </c>
      <c r="AS267">
        <v>0.41751588509999998</v>
      </c>
      <c r="AT267">
        <v>0.42306191450000002</v>
      </c>
      <c r="AU267">
        <v>0.42990741389999998</v>
      </c>
      <c r="AV267">
        <v>0.43712650590000002</v>
      </c>
      <c r="AW267">
        <v>0.4467579149</v>
      </c>
    </row>
    <row r="268" spans="2:49" x14ac:dyDescent="0.25">
      <c r="B268" t="s">
        <v>298</v>
      </c>
      <c r="C268">
        <v>8.10466597198101E-3</v>
      </c>
      <c r="D268">
        <v>8.10466597198101E-3</v>
      </c>
      <c r="E268">
        <v>8.1046741600000003E-3</v>
      </c>
      <c r="F268">
        <v>1.28070024E-2</v>
      </c>
      <c r="G268">
        <v>1.7469092700000001E-2</v>
      </c>
      <c r="H268">
        <v>2.2132967900000002E-2</v>
      </c>
      <c r="I268">
        <v>2.6741291100000002E-2</v>
      </c>
      <c r="J268">
        <v>3.1325302200000002E-2</v>
      </c>
      <c r="K268">
        <v>3.5879248099999997E-2</v>
      </c>
      <c r="L268">
        <v>4.0406540900000003E-2</v>
      </c>
      <c r="M268">
        <v>4.4925315E-2</v>
      </c>
      <c r="N268">
        <v>4.9410533899999998E-2</v>
      </c>
      <c r="O268">
        <v>5.2137305000000002E-2</v>
      </c>
      <c r="P268">
        <v>5.4993622499999999E-2</v>
      </c>
      <c r="Q268">
        <v>5.7988225599999998E-2</v>
      </c>
      <c r="R268">
        <v>6.1154388599999998E-2</v>
      </c>
      <c r="S268">
        <v>4.7047232100000003E-2</v>
      </c>
      <c r="T268">
        <v>4.9939833400000001E-2</v>
      </c>
      <c r="U268">
        <v>5.27932568E-2</v>
      </c>
      <c r="V268">
        <v>5.5611044399999997E-2</v>
      </c>
      <c r="W268">
        <v>7.2726601299999999E-2</v>
      </c>
      <c r="X268">
        <v>7.7658212700000007E-2</v>
      </c>
      <c r="Y268">
        <v>8.2704756700000007E-2</v>
      </c>
      <c r="Z268">
        <v>8.8199933899999999E-2</v>
      </c>
      <c r="AA268">
        <v>9.4217596200000003E-2</v>
      </c>
      <c r="AB268">
        <v>0.1004912776</v>
      </c>
      <c r="AC268">
        <v>0.10742623079999999</v>
      </c>
      <c r="AD268">
        <v>0.1222936338</v>
      </c>
      <c r="AE268">
        <v>0.13875210299999999</v>
      </c>
      <c r="AF268">
        <v>0.15708739290000001</v>
      </c>
      <c r="AG268">
        <v>0.17721496519999999</v>
      </c>
      <c r="AH268">
        <v>0.19995711990000001</v>
      </c>
      <c r="AI268">
        <v>0.23156436559999999</v>
      </c>
      <c r="AJ268">
        <v>0.26782417530000002</v>
      </c>
      <c r="AK268">
        <v>0.30972938319999999</v>
      </c>
      <c r="AL268">
        <v>0.35712046289999999</v>
      </c>
      <c r="AM268">
        <v>0.41321799100000001</v>
      </c>
      <c r="AN268">
        <v>0.43730146310000001</v>
      </c>
      <c r="AO268">
        <v>0.46487290749999999</v>
      </c>
      <c r="AP268">
        <v>0.4986397675</v>
      </c>
      <c r="AQ268">
        <v>0.53772411480000004</v>
      </c>
      <c r="AR268">
        <v>0.58762222509999995</v>
      </c>
      <c r="AS268">
        <v>0.58248411489999996</v>
      </c>
      <c r="AT268">
        <v>0.57693808550000003</v>
      </c>
      <c r="AU268">
        <v>0.57009258610000002</v>
      </c>
      <c r="AV268">
        <v>0.56287349409999998</v>
      </c>
      <c r="AW268">
        <v>0.55324208509999995</v>
      </c>
    </row>
    <row r="269" spans="2:49" x14ac:dyDescent="0.25">
      <c r="B269" t="s">
        <v>299</v>
      </c>
      <c r="C269">
        <v>0.79896379760487002</v>
      </c>
      <c r="D269">
        <v>0.79896379760486902</v>
      </c>
      <c r="E269">
        <v>0.79896379760000003</v>
      </c>
      <c r="F269">
        <v>0.79854263209999998</v>
      </c>
      <c r="G269">
        <v>0.79812168849999998</v>
      </c>
      <c r="H269">
        <v>0.79770096690000003</v>
      </c>
      <c r="I269">
        <v>0.79728046699999999</v>
      </c>
      <c r="J269">
        <v>0.79686018879999998</v>
      </c>
      <c r="K269">
        <v>0.79644013209999998</v>
      </c>
      <c r="L269">
        <v>0.79602029689999998</v>
      </c>
      <c r="M269">
        <v>0.79560068299999998</v>
      </c>
      <c r="N269">
        <v>0.79518129029999995</v>
      </c>
      <c r="O269">
        <v>0.78222990709999995</v>
      </c>
      <c r="P269">
        <v>0.76778352620000001</v>
      </c>
      <c r="Q269">
        <v>0.75177697219999995</v>
      </c>
      <c r="R269">
        <v>0.73415414150000002</v>
      </c>
      <c r="S269">
        <v>0.69408091299999997</v>
      </c>
      <c r="T269">
        <v>0.69306060079999998</v>
      </c>
      <c r="U269">
        <v>0.69208266200000002</v>
      </c>
      <c r="V269">
        <v>0.69114451089999995</v>
      </c>
      <c r="W269">
        <v>0.64517757610000004</v>
      </c>
      <c r="X269">
        <v>0.64070667839999995</v>
      </c>
      <c r="Y269">
        <v>0.62987609739999995</v>
      </c>
      <c r="Z269">
        <v>0.61910397880000001</v>
      </c>
      <c r="AA269">
        <v>0.60838985069999996</v>
      </c>
      <c r="AB269">
        <v>0.59785288950000004</v>
      </c>
      <c r="AC269">
        <v>0.58736422160000001</v>
      </c>
      <c r="AD269">
        <v>0.57356573590000004</v>
      </c>
      <c r="AE269">
        <v>0.56000431569999998</v>
      </c>
      <c r="AF269">
        <v>0.5466739035</v>
      </c>
      <c r="AG269">
        <v>0.53408555280000003</v>
      </c>
      <c r="AH269">
        <v>0.52170143479999997</v>
      </c>
      <c r="AI269">
        <v>0.50927276690000001</v>
      </c>
      <c r="AJ269">
        <v>0.49704798369999997</v>
      </c>
      <c r="AK269">
        <v>0.4850221093</v>
      </c>
      <c r="AL269">
        <v>0.47391979890000002</v>
      </c>
      <c r="AM269">
        <v>0.4629888137</v>
      </c>
      <c r="AN269">
        <v>0.44452110880000001</v>
      </c>
      <c r="AO269">
        <v>0.42616317999999997</v>
      </c>
      <c r="AP269">
        <v>0.40791405139999998</v>
      </c>
      <c r="AQ269">
        <v>0.38977275849999998</v>
      </c>
      <c r="AR269">
        <v>0.37173834849999998</v>
      </c>
      <c r="AS269">
        <v>0.3522068344</v>
      </c>
      <c r="AT269">
        <v>0.33251009939999998</v>
      </c>
      <c r="AU269">
        <v>0.31264603819999998</v>
      </c>
      <c r="AV269">
        <v>0.29261250929999999</v>
      </c>
      <c r="AW269">
        <v>0.27240733480000001</v>
      </c>
    </row>
    <row r="270" spans="2:49" x14ac:dyDescent="0.25">
      <c r="B270" t="s">
        <v>300</v>
      </c>
      <c r="C270">
        <v>1.02537481030392E-2</v>
      </c>
      <c r="D270">
        <v>1.02537481030392E-2</v>
      </c>
      <c r="E270">
        <v>1.02537481E-2</v>
      </c>
      <c r="F270">
        <v>9.28913229E-3</v>
      </c>
      <c r="G270">
        <v>8.4152621800000008E-3</v>
      </c>
      <c r="H270">
        <v>7.6236009400000001E-3</v>
      </c>
      <c r="I270">
        <v>6.9064147999999999E-3</v>
      </c>
      <c r="J270">
        <v>6.2566975599999998E-3</v>
      </c>
      <c r="K270">
        <v>5.6681021099999999E-3</v>
      </c>
      <c r="L270">
        <v>5.1348784699999997E-3</v>
      </c>
      <c r="M270">
        <v>4.6518175500000003E-3</v>
      </c>
      <c r="N270">
        <v>4.21420033E-3</v>
      </c>
      <c r="O270">
        <v>3.8372227699999999E-3</v>
      </c>
      <c r="P270">
        <v>3.4862213600000001E-3</v>
      </c>
      <c r="Q270">
        <v>3.1596484300000002E-3</v>
      </c>
      <c r="R270">
        <v>2.8560813299999999E-3</v>
      </c>
      <c r="S270">
        <v>2.9085724800000001E-3</v>
      </c>
      <c r="T270">
        <v>4.7403159399999999E-3</v>
      </c>
      <c r="U270">
        <v>6.4959871600000002E-3</v>
      </c>
      <c r="V270">
        <v>8.1802286499999995E-3</v>
      </c>
      <c r="W270">
        <v>5.6701401799999999E-3</v>
      </c>
      <c r="X270">
        <v>3.9772643599999997E-3</v>
      </c>
      <c r="Y270">
        <v>3.2909602399999998E-3</v>
      </c>
      <c r="Z270">
        <v>2.6083607199999998E-3</v>
      </c>
      <c r="AA270">
        <v>1.9294359000000001E-3</v>
      </c>
      <c r="AB270">
        <v>1.26894414E-3</v>
      </c>
      <c r="AC270">
        <v>6.1147957700000003E-4</v>
      </c>
      <c r="AD270">
        <v>6.04408643E-4</v>
      </c>
      <c r="AE270">
        <v>5.9745919200000005E-4</v>
      </c>
      <c r="AF270">
        <v>5.9062811900000001E-4</v>
      </c>
      <c r="AG270">
        <v>5.8415934700000002E-4</v>
      </c>
      <c r="AH270">
        <v>5.7779552399999995E-4</v>
      </c>
      <c r="AI270">
        <v>4.64249738E-4</v>
      </c>
      <c r="AJ270">
        <v>3.5256660199999999E-4</v>
      </c>
      <c r="AK270">
        <v>2.42700655E-4</v>
      </c>
      <c r="AL270">
        <v>2.4913063199999999E-4</v>
      </c>
      <c r="AM270">
        <v>2.55461384E-4</v>
      </c>
      <c r="AN270">
        <v>2.4619436699999998E-4</v>
      </c>
      <c r="AO270">
        <v>2.36982435E-4</v>
      </c>
      <c r="AP270">
        <v>2.2782509900000001E-4</v>
      </c>
      <c r="AQ270">
        <v>2.1872187400000001E-4</v>
      </c>
      <c r="AR270">
        <v>2.0967228200000001E-4</v>
      </c>
      <c r="AS270">
        <v>2.10555377E-4</v>
      </c>
      <c r="AT270">
        <v>2.11445942E-4</v>
      </c>
      <c r="AU270">
        <v>2.1234407200000001E-4</v>
      </c>
      <c r="AV270">
        <v>2.1324986400000001E-4</v>
      </c>
      <c r="AW270">
        <v>2.14163418E-4</v>
      </c>
    </row>
    <row r="271" spans="2:49" x14ac:dyDescent="0.25">
      <c r="B271" t="s">
        <v>301</v>
      </c>
      <c r="C271">
        <v>4.0949078402655603E-2</v>
      </c>
      <c r="D271">
        <v>4.0949078402655603E-2</v>
      </c>
      <c r="E271">
        <v>4.0949078399999998E-2</v>
      </c>
      <c r="F271">
        <v>3.93031244E-2</v>
      </c>
      <c r="G271">
        <v>3.7723329700000002E-2</v>
      </c>
      <c r="H271">
        <v>3.62070351E-2</v>
      </c>
      <c r="I271">
        <v>3.4751688099999997E-2</v>
      </c>
      <c r="J271">
        <v>3.3354839099999999E-2</v>
      </c>
      <c r="K271">
        <v>3.20141366E-2</v>
      </c>
      <c r="L271">
        <v>3.0727323800000001E-2</v>
      </c>
      <c r="M271">
        <v>2.94922346E-2</v>
      </c>
      <c r="N271">
        <v>2.83067901E-2</v>
      </c>
      <c r="O271">
        <v>3.1063401899999999E-2</v>
      </c>
      <c r="P271">
        <v>3.40128887E-2</v>
      </c>
      <c r="Q271">
        <v>3.71521436E-2</v>
      </c>
      <c r="R271">
        <v>4.0473637700000002E-2</v>
      </c>
      <c r="S271">
        <v>6.1546973300000002E-2</v>
      </c>
      <c r="T271">
        <v>4.6782661500000003E-2</v>
      </c>
      <c r="U271">
        <v>3.2631510900000001E-2</v>
      </c>
      <c r="V271">
        <v>1.9056101999999998E-2</v>
      </c>
      <c r="W271">
        <v>4.6399030100000002E-2</v>
      </c>
      <c r="X271">
        <v>4.1259733E-2</v>
      </c>
      <c r="Y271">
        <v>4.0980023099999999E-2</v>
      </c>
      <c r="Z271">
        <v>4.0701822999999998E-2</v>
      </c>
      <c r="AA271">
        <v>4.0425120500000002E-2</v>
      </c>
      <c r="AB271">
        <v>4.0146598499999998E-2</v>
      </c>
      <c r="AC271">
        <v>3.9869353099999998E-2</v>
      </c>
      <c r="AD271">
        <v>3.4138287400000002E-2</v>
      </c>
      <c r="AE271">
        <v>2.8505684600000001E-2</v>
      </c>
      <c r="AF271">
        <v>2.2969028700000001E-2</v>
      </c>
      <c r="AG271">
        <v>1.7758554400000001E-2</v>
      </c>
      <c r="AH271">
        <v>1.26326146E-2</v>
      </c>
      <c r="AI271">
        <v>1.1753575699999999E-2</v>
      </c>
      <c r="AJ271">
        <v>1.0888956999999999E-2</v>
      </c>
      <c r="AK271">
        <v>1.0038406499999999E-2</v>
      </c>
      <c r="AL271">
        <v>9.2689726799999907E-3</v>
      </c>
      <c r="AM271">
        <v>8.5114124199999995E-3</v>
      </c>
      <c r="AN271">
        <v>8.6968810500000007E-3</v>
      </c>
      <c r="AO271">
        <v>8.8812472199999905E-3</v>
      </c>
      <c r="AP271">
        <v>9.0645207200000001E-3</v>
      </c>
      <c r="AQ271">
        <v>9.2467112499999907E-3</v>
      </c>
      <c r="AR271">
        <v>9.4278283599999995E-3</v>
      </c>
      <c r="AS271">
        <v>1.1405538600000001E-2</v>
      </c>
      <c r="AT271">
        <v>1.3399978599999999E-2</v>
      </c>
      <c r="AU271">
        <v>1.5411361700000001E-2</v>
      </c>
      <c r="AV271">
        <v>1.74399046E-2</v>
      </c>
      <c r="AW271">
        <v>1.9485827899999999E-2</v>
      </c>
    </row>
    <row r="272" spans="2:49" x14ac:dyDescent="0.25">
      <c r="B272" t="s">
        <v>302</v>
      </c>
      <c r="C272">
        <v>4.0858446639591303E-2</v>
      </c>
      <c r="D272">
        <v>4.0858446639591303E-2</v>
      </c>
      <c r="E272">
        <v>4.0858446600000001E-2</v>
      </c>
      <c r="F272">
        <v>3.8169239799999997E-2</v>
      </c>
      <c r="G272">
        <v>3.5657030200000002E-2</v>
      </c>
      <c r="H272">
        <v>3.33101684E-2</v>
      </c>
      <c r="I272">
        <v>3.1117771499999999E-2</v>
      </c>
      <c r="J272">
        <v>2.9069672899999999E-2</v>
      </c>
      <c r="K272">
        <v>2.7156375399999998E-2</v>
      </c>
      <c r="L272">
        <v>2.5369006699999998E-2</v>
      </c>
      <c r="M272">
        <v>2.3699278399999999E-2</v>
      </c>
      <c r="N272">
        <v>2.2139447600000001E-2</v>
      </c>
      <c r="O272">
        <v>2.0123113299999999E-2</v>
      </c>
      <c r="P272">
        <v>1.8249865800000001E-2</v>
      </c>
      <c r="Q272">
        <v>1.6510872900000001E-2</v>
      </c>
      <c r="R272">
        <v>1.48980146E-2</v>
      </c>
      <c r="S272">
        <v>5.7328033000000004E-3</v>
      </c>
      <c r="T272">
        <v>4.6851091799999999E-3</v>
      </c>
      <c r="U272">
        <v>3.6809257700000002E-3</v>
      </c>
      <c r="V272">
        <v>2.7175976999999998E-3</v>
      </c>
      <c r="W272">
        <v>3.5234689500000002E-3</v>
      </c>
      <c r="X272">
        <v>2.9612773799999998E-3</v>
      </c>
      <c r="Y272">
        <v>2.3574040600000002E-3</v>
      </c>
      <c r="Z272">
        <v>1.75679039E-3</v>
      </c>
      <c r="AA272">
        <v>1.1594100500000001E-3</v>
      </c>
      <c r="AB272">
        <v>8.1001251800000003E-4</v>
      </c>
      <c r="AC272">
        <v>4.6221635399999999E-4</v>
      </c>
      <c r="AD272">
        <v>3.8184282199999999E-4</v>
      </c>
      <c r="AE272">
        <v>3.02850152E-4</v>
      </c>
      <c r="AF272">
        <v>2.25203059E-4</v>
      </c>
      <c r="AG272">
        <v>2.2336127799999999E-4</v>
      </c>
      <c r="AH272">
        <v>2.2154937699999999E-4</v>
      </c>
      <c r="AI272">
        <v>2.1971715799999999E-4</v>
      </c>
      <c r="AJ272">
        <v>2.17914994E-4</v>
      </c>
      <c r="AK272">
        <v>2.1614215400000001E-4</v>
      </c>
      <c r="AL272">
        <v>2.1446148799999999E-4</v>
      </c>
      <c r="AM272">
        <v>2.1280675799999999E-4</v>
      </c>
      <c r="AN272">
        <v>2.12172388E-4</v>
      </c>
      <c r="AO272">
        <v>2.11541789E-4</v>
      </c>
      <c r="AP272">
        <v>2.1091492699999999E-4</v>
      </c>
      <c r="AQ272">
        <v>2.10291769E-4</v>
      </c>
      <c r="AR272">
        <v>2.0967228200000001E-4</v>
      </c>
      <c r="AS272">
        <v>2.10555377E-4</v>
      </c>
      <c r="AT272">
        <v>2.11445942E-4</v>
      </c>
      <c r="AU272">
        <v>2.1234407200000001E-4</v>
      </c>
      <c r="AV272">
        <v>2.1324986400000001E-4</v>
      </c>
      <c r="AW272">
        <v>2.14163418E-4</v>
      </c>
    </row>
    <row r="273" spans="2:49" x14ac:dyDescent="0.25">
      <c r="B273" t="s">
        <v>303</v>
      </c>
      <c r="C273">
        <v>8.2546962733871607E-3</v>
      </c>
      <c r="D273">
        <v>8.2546962733871607E-3</v>
      </c>
      <c r="E273">
        <v>8.2546962700000004E-3</v>
      </c>
      <c r="F273">
        <v>1.3385109900000001E-2</v>
      </c>
      <c r="G273">
        <v>1.8063529700000001E-2</v>
      </c>
      <c r="H273">
        <v>2.2286687400000001E-2</v>
      </c>
      <c r="I273">
        <v>2.6043462699999999E-2</v>
      </c>
      <c r="J273">
        <v>2.93135359E-2</v>
      </c>
      <c r="K273">
        <v>3.2065675000000002E-2</v>
      </c>
      <c r="L273">
        <v>3.4255574300000001E-2</v>
      </c>
      <c r="M273">
        <v>3.58231387E-2</v>
      </c>
      <c r="N273">
        <v>3.6689084400000002E-2</v>
      </c>
      <c r="O273">
        <v>4.1917166399999997E-2</v>
      </c>
      <c r="P273">
        <v>4.7784062400000001E-2</v>
      </c>
      <c r="Q273">
        <v>5.4340055399999997E-2</v>
      </c>
      <c r="R273">
        <v>6.1631833800000001E-2</v>
      </c>
      <c r="S273">
        <v>8.39523571E-2</v>
      </c>
      <c r="T273">
        <v>8.8159484400000002E-2</v>
      </c>
      <c r="U273">
        <v>9.2191889900000004E-2</v>
      </c>
      <c r="V273">
        <v>9.6060236399999999E-2</v>
      </c>
      <c r="W273">
        <v>0.1057388997</v>
      </c>
      <c r="X273">
        <v>0.1116736986</v>
      </c>
      <c r="Y273">
        <v>0.1174777957</v>
      </c>
      <c r="Z273">
        <v>0.1232505627</v>
      </c>
      <c r="AA273">
        <v>0.12899225280000001</v>
      </c>
      <c r="AB273">
        <v>0.13450869800000001</v>
      </c>
      <c r="AC273">
        <v>0.1399998599</v>
      </c>
      <c r="AD273">
        <v>0.15319456840000001</v>
      </c>
      <c r="AE273">
        <v>0.1661625846</v>
      </c>
      <c r="AF273">
        <v>0.178909701</v>
      </c>
      <c r="AG273">
        <v>0.1908366373</v>
      </c>
      <c r="AH273">
        <v>0.20257007169999999</v>
      </c>
      <c r="AI273">
        <v>0.2139233284</v>
      </c>
      <c r="AJ273">
        <v>0.2250903417</v>
      </c>
      <c r="AK273">
        <v>0.23607565729999999</v>
      </c>
      <c r="AL273">
        <v>0.24598568030000001</v>
      </c>
      <c r="AM273">
        <v>0.25574277680000002</v>
      </c>
      <c r="AN273">
        <v>0.26931416530000002</v>
      </c>
      <c r="AO273">
        <v>0.28280488240000001</v>
      </c>
      <c r="AP273">
        <v>0.2962156454</v>
      </c>
      <c r="AQ273">
        <v>0.30954716300000001</v>
      </c>
      <c r="AR273">
        <v>0.32280013549999997</v>
      </c>
      <c r="AS273">
        <v>0.33653524109999999</v>
      </c>
      <c r="AT273">
        <v>0.35038653479999998</v>
      </c>
      <c r="AU273">
        <v>0.36435549690000002</v>
      </c>
      <c r="AV273">
        <v>0.37844363339999998</v>
      </c>
      <c r="AW273">
        <v>0.39265247590000002</v>
      </c>
    </row>
    <row r="274" spans="2:49" x14ac:dyDescent="0.25">
      <c r="B274" t="s">
        <v>304</v>
      </c>
      <c r="C274">
        <v>1.85730666151211E-3</v>
      </c>
      <c r="D274">
        <v>1.85730666151211E-3</v>
      </c>
      <c r="E274">
        <v>1.8573066599999999E-3</v>
      </c>
      <c r="F274">
        <v>2.3029467500000002E-3</v>
      </c>
      <c r="G274">
        <v>2.85551323E-3</v>
      </c>
      <c r="H274">
        <v>3.5406618999999999E-3</v>
      </c>
      <c r="I274">
        <v>4.3902043700000002E-3</v>
      </c>
      <c r="J274">
        <v>5.4435851100000003E-3</v>
      </c>
      <c r="K274">
        <v>6.7497128599999998E-3</v>
      </c>
      <c r="L274">
        <v>8.3692314399999995E-3</v>
      </c>
      <c r="M274">
        <v>1.0377335499999999E-2</v>
      </c>
      <c r="N274">
        <v>1.28672618E-2</v>
      </c>
      <c r="O274">
        <v>1.5169190399999999E-2</v>
      </c>
      <c r="P274">
        <v>1.7843283599999999E-2</v>
      </c>
      <c r="Q274">
        <v>2.0937894499999998E-2</v>
      </c>
      <c r="R274">
        <v>2.45041275E-2</v>
      </c>
      <c r="S274">
        <v>3.6998234300000002E-2</v>
      </c>
      <c r="T274">
        <v>3.8852336899999999E-2</v>
      </c>
      <c r="U274">
        <v>4.0629438699999999E-2</v>
      </c>
      <c r="V274">
        <v>4.23342388E-2</v>
      </c>
      <c r="W274">
        <v>4.8363738900000001E-2</v>
      </c>
      <c r="X274">
        <v>5.4378422599999997E-2</v>
      </c>
      <c r="Y274">
        <v>6.31716747E-2</v>
      </c>
      <c r="Z274">
        <v>7.1917461700000004E-2</v>
      </c>
      <c r="AA274">
        <v>8.0616166700000005E-2</v>
      </c>
      <c r="AB274">
        <v>8.8746043799999896E-2</v>
      </c>
      <c r="AC274">
        <v>9.6838659600000002E-2</v>
      </c>
      <c r="AD274">
        <v>0.1039757067</v>
      </c>
      <c r="AE274">
        <v>0.1109901355</v>
      </c>
      <c r="AF274">
        <v>0.1178850791</v>
      </c>
      <c r="AG274">
        <v>0.1243455854</v>
      </c>
      <c r="AH274">
        <v>0.13070127679999999</v>
      </c>
      <c r="AI274">
        <v>0.13489016249999999</v>
      </c>
      <c r="AJ274">
        <v>0.13901033209999999</v>
      </c>
      <c r="AK274">
        <v>0.1430634627</v>
      </c>
      <c r="AL274">
        <v>0.1467582459</v>
      </c>
      <c r="AM274">
        <v>0.1503960131</v>
      </c>
      <c r="AN274">
        <v>0.1564281142</v>
      </c>
      <c r="AO274">
        <v>0.1624243591</v>
      </c>
      <c r="AP274">
        <v>0.1683850667</v>
      </c>
      <c r="AQ274">
        <v>0.1743105519</v>
      </c>
      <c r="AR274">
        <v>0.18020112599999999</v>
      </c>
      <c r="AS274">
        <v>0.18491657719999999</v>
      </c>
      <c r="AT274">
        <v>0.1896719174</v>
      </c>
      <c r="AU274">
        <v>0.1944676548</v>
      </c>
      <c r="AV274">
        <v>0.19930430639999999</v>
      </c>
      <c r="AW274">
        <v>0.2041823981</v>
      </c>
    </row>
    <row r="275" spans="2:49" x14ac:dyDescent="0.25">
      <c r="B275" t="s">
        <v>305</v>
      </c>
      <c r="C275">
        <v>9.2848272947954696E-2</v>
      </c>
      <c r="D275">
        <v>9.2848272947954599E-2</v>
      </c>
      <c r="E275">
        <v>9.2848272900000001E-2</v>
      </c>
      <c r="F275">
        <v>9.2738145600000002E-2</v>
      </c>
      <c r="G275">
        <v>9.2628149000000007E-2</v>
      </c>
      <c r="H275">
        <v>9.2518282699999996E-2</v>
      </c>
      <c r="I275">
        <v>9.2408546800000005E-2</v>
      </c>
      <c r="J275">
        <v>9.2298941100000004E-2</v>
      </c>
      <c r="K275">
        <v>9.2189465400000004E-2</v>
      </c>
      <c r="L275">
        <v>9.2080119500000002E-2</v>
      </c>
      <c r="M275">
        <v>9.1970903300000004E-2</v>
      </c>
      <c r="N275">
        <v>9.1861816600000007E-2</v>
      </c>
      <c r="O275">
        <v>9.5526416500000003E-2</v>
      </c>
      <c r="P275">
        <v>9.9116978100000003E-2</v>
      </c>
      <c r="Q275">
        <v>0.1025931762</v>
      </c>
      <c r="R275">
        <v>0.1059099842</v>
      </c>
      <c r="S275">
        <v>0.10258601320000001</v>
      </c>
      <c r="T275">
        <v>0.1077269341</v>
      </c>
      <c r="U275">
        <v>0.11265435259999999</v>
      </c>
      <c r="V275">
        <v>0.11738129849999999</v>
      </c>
      <c r="W275">
        <v>0.1196975339</v>
      </c>
      <c r="X275">
        <v>0.11909036739999999</v>
      </c>
      <c r="Y275">
        <v>0.1174431589</v>
      </c>
      <c r="Z275">
        <v>0.1158048419</v>
      </c>
      <c r="AA275">
        <v>0.11417534460000001</v>
      </c>
      <c r="AB275">
        <v>0.1129086651</v>
      </c>
      <c r="AC275">
        <v>0.1116477912</v>
      </c>
      <c r="AD275">
        <v>0.1101397358</v>
      </c>
      <c r="AE275">
        <v>0.1086575897</v>
      </c>
      <c r="AF275">
        <v>0.1072006907</v>
      </c>
      <c r="AG275">
        <v>0.105893156</v>
      </c>
      <c r="AH275">
        <v>0.1046068346</v>
      </c>
      <c r="AI275">
        <v>0.10213729439999999</v>
      </c>
      <c r="AJ275">
        <v>9.9708265399999996E-2</v>
      </c>
      <c r="AK275">
        <v>9.7318759099999999E-2</v>
      </c>
      <c r="AL275">
        <v>9.5265141100000006E-2</v>
      </c>
      <c r="AM275">
        <v>9.3243213599999999E-2</v>
      </c>
      <c r="AN275">
        <v>9.3110189699999998E-2</v>
      </c>
      <c r="AO275">
        <v>9.29779565E-2</v>
      </c>
      <c r="AP275">
        <v>9.2846507100000003E-2</v>
      </c>
      <c r="AQ275">
        <v>9.2715834299999994E-2</v>
      </c>
      <c r="AR275">
        <v>9.2585931499999996E-2</v>
      </c>
      <c r="AS275">
        <v>9.2156244100000007E-2</v>
      </c>
      <c r="AT275">
        <v>9.1722921900000004E-2</v>
      </c>
      <c r="AU275">
        <v>9.1285918600000002E-2</v>
      </c>
      <c r="AV275">
        <v>9.0845186999999994E-2</v>
      </c>
      <c r="AW275">
        <v>9.0400679299999995E-2</v>
      </c>
    </row>
    <row r="276" spans="2:49" x14ac:dyDescent="0.25">
      <c r="B276" t="s">
        <v>306</v>
      </c>
      <c r="C276">
        <v>6.0146533669896496E-3</v>
      </c>
      <c r="D276">
        <v>6.0146533669896496E-3</v>
      </c>
      <c r="E276">
        <v>6.0146533700000003E-3</v>
      </c>
      <c r="F276">
        <v>6.2696692400000002E-3</v>
      </c>
      <c r="G276">
        <v>6.5354975499999999E-3</v>
      </c>
      <c r="H276">
        <v>6.8125967500000002E-3</v>
      </c>
      <c r="I276">
        <v>7.1014447E-3</v>
      </c>
      <c r="J276">
        <v>7.4025395400000001E-3</v>
      </c>
      <c r="K276">
        <v>7.7164005299999996E-3</v>
      </c>
      <c r="L276">
        <v>8.0435689499999997E-3</v>
      </c>
      <c r="M276">
        <v>8.3846090100000003E-3</v>
      </c>
      <c r="N276">
        <v>8.7401088599999999E-3</v>
      </c>
      <c r="O276">
        <v>1.01335816E-2</v>
      </c>
      <c r="P276">
        <v>1.17231739E-2</v>
      </c>
      <c r="Q276">
        <v>1.35292368E-2</v>
      </c>
      <c r="R276">
        <v>1.55721794E-2</v>
      </c>
      <c r="S276">
        <v>1.21941333E-2</v>
      </c>
      <c r="T276">
        <v>1.5992557300000002E-2</v>
      </c>
      <c r="U276">
        <v>1.9633232899999999E-2</v>
      </c>
      <c r="V276">
        <v>2.3125786999999998E-2</v>
      </c>
      <c r="W276">
        <v>2.5429612300000001E-2</v>
      </c>
      <c r="X276">
        <v>2.59525582E-2</v>
      </c>
      <c r="Y276">
        <v>2.5402885900000002E-2</v>
      </c>
      <c r="Z276">
        <v>2.4856180799999999E-2</v>
      </c>
      <c r="AA276">
        <v>2.4312418700000001E-2</v>
      </c>
      <c r="AB276">
        <v>2.37581485E-2</v>
      </c>
      <c r="AC276">
        <v>2.3206418699999998E-2</v>
      </c>
      <c r="AD276">
        <v>2.3999714200000001E-2</v>
      </c>
      <c r="AE276">
        <v>2.47793805E-2</v>
      </c>
      <c r="AF276">
        <v>2.5545765799999998E-2</v>
      </c>
      <c r="AG276">
        <v>2.6272993500000001E-2</v>
      </c>
      <c r="AH276">
        <v>2.6988422599999999E-2</v>
      </c>
      <c r="AI276">
        <v>2.7338905199999999E-2</v>
      </c>
      <c r="AJ276">
        <v>2.7683638399999998E-2</v>
      </c>
      <c r="AK276">
        <v>2.8022762400000002E-2</v>
      </c>
      <c r="AL276">
        <v>2.8338569000000001E-2</v>
      </c>
      <c r="AM276">
        <v>2.86495022E-2</v>
      </c>
      <c r="AN276">
        <v>2.74711742E-2</v>
      </c>
      <c r="AO276">
        <v>2.6299850499999999E-2</v>
      </c>
      <c r="AP276">
        <v>2.51354687E-2</v>
      </c>
      <c r="AQ276">
        <v>2.3977967400000001E-2</v>
      </c>
      <c r="AR276">
        <v>2.2827285700000002E-2</v>
      </c>
      <c r="AS276">
        <v>2.2358453800000001E-2</v>
      </c>
      <c r="AT276">
        <v>2.1885656E-2</v>
      </c>
      <c r="AU276">
        <v>2.14088417E-2</v>
      </c>
      <c r="AV276">
        <v>2.0927959499999999E-2</v>
      </c>
      <c r="AW276">
        <v>2.04429572E-2</v>
      </c>
    </row>
    <row r="277" spans="2:49" x14ac:dyDescent="0.25">
      <c r="B277" t="s">
        <v>307</v>
      </c>
      <c r="C277">
        <v>0.92287069498865704</v>
      </c>
      <c r="D277">
        <v>0.92287069498865704</v>
      </c>
      <c r="E277">
        <v>0.92285345399999996</v>
      </c>
      <c r="F277">
        <v>0.91580034519999998</v>
      </c>
      <c r="G277">
        <v>0.90892104730000001</v>
      </c>
      <c r="H277">
        <v>0.90182068319999997</v>
      </c>
      <c r="I277">
        <v>0.89502733079999997</v>
      </c>
      <c r="J277">
        <v>0.8883145992</v>
      </c>
      <c r="K277">
        <v>0.88167376330000002</v>
      </c>
      <c r="L277">
        <v>0.87507744799999998</v>
      </c>
      <c r="M277">
        <v>0.86844038999999995</v>
      </c>
      <c r="N277">
        <v>0.86180637689999995</v>
      </c>
      <c r="O277">
        <v>0.83691448589999995</v>
      </c>
      <c r="P277">
        <v>0.80739007060000001</v>
      </c>
      <c r="Q277">
        <v>0.7728920896</v>
      </c>
      <c r="R277">
        <v>0.73287661260000003</v>
      </c>
      <c r="S277">
        <v>0.70219252340000005</v>
      </c>
      <c r="T277">
        <v>0.69978838109999997</v>
      </c>
      <c r="U277">
        <v>0.69723132160000001</v>
      </c>
      <c r="V277">
        <v>0.69468584229999997</v>
      </c>
      <c r="W277">
        <v>0.62319001230000004</v>
      </c>
      <c r="X277">
        <v>0.60372006869999995</v>
      </c>
      <c r="Y277">
        <v>0.57968867609999997</v>
      </c>
      <c r="Z277">
        <v>0.55495493240000004</v>
      </c>
      <c r="AA277">
        <v>0.52944154170000002</v>
      </c>
      <c r="AB277">
        <v>0.50513863349999999</v>
      </c>
      <c r="AC277">
        <v>0.48005240580000003</v>
      </c>
      <c r="AD277">
        <v>0.4560713367</v>
      </c>
      <c r="AE277">
        <v>0.43218862180000001</v>
      </c>
      <c r="AF277">
        <v>0.40825922640000001</v>
      </c>
      <c r="AG277">
        <v>0.38683043389999999</v>
      </c>
      <c r="AH277">
        <v>0.36525775290000001</v>
      </c>
      <c r="AI277">
        <v>0.34520776530000002</v>
      </c>
      <c r="AJ277">
        <v>0.32499813350000001</v>
      </c>
      <c r="AK277">
        <v>0.3051544417</v>
      </c>
      <c r="AL277">
        <v>0.28731568260000001</v>
      </c>
      <c r="AM277">
        <v>0.27032451740000002</v>
      </c>
      <c r="AN277">
        <v>0.2570237031</v>
      </c>
      <c r="AO277">
        <v>0.24553066160000001</v>
      </c>
      <c r="AP277">
        <v>0.231332487</v>
      </c>
      <c r="AQ277">
        <v>0.2213312791</v>
      </c>
      <c r="AR277">
        <v>0.20725432769999999</v>
      </c>
      <c r="AS277">
        <v>0.19138467640000001</v>
      </c>
      <c r="AT277">
        <v>0.17476414160000001</v>
      </c>
      <c r="AU277">
        <v>0.15923835310000001</v>
      </c>
      <c r="AV277">
        <v>0.14185047570000001</v>
      </c>
      <c r="AW277">
        <v>0.1270803523</v>
      </c>
    </row>
    <row r="278" spans="2:49" x14ac:dyDescent="0.25">
      <c r="B278" t="s">
        <v>308</v>
      </c>
      <c r="C278">
        <v>4.1245617653124303E-2</v>
      </c>
      <c r="D278">
        <v>4.1245617653124303E-2</v>
      </c>
      <c r="E278">
        <v>4.1254837400000001E-2</v>
      </c>
      <c r="F278">
        <v>4.7474178200000001E-2</v>
      </c>
      <c r="G278">
        <v>5.3373724300000001E-2</v>
      </c>
      <c r="H278">
        <v>5.9167075E-2</v>
      </c>
      <c r="I278">
        <v>6.4520142799999999E-2</v>
      </c>
      <c r="J278">
        <v>6.9541849399999994E-2</v>
      </c>
      <c r="K278">
        <v>7.4211054299999996E-2</v>
      </c>
      <c r="L278">
        <v>7.8515116600000004E-2</v>
      </c>
      <c r="M278">
        <v>8.2473652999999994E-2</v>
      </c>
      <c r="N278">
        <v>8.6019665300000006E-2</v>
      </c>
      <c r="O278">
        <v>0.109237846</v>
      </c>
      <c r="P278">
        <v>0.13749655329999999</v>
      </c>
      <c r="Q278">
        <v>0.17125877170000001</v>
      </c>
      <c r="R278">
        <v>0.21108966479999999</v>
      </c>
      <c r="S278">
        <v>0.1830585861</v>
      </c>
      <c r="T278">
        <v>0.188650348</v>
      </c>
      <c r="U278">
        <v>0.1942437541</v>
      </c>
      <c r="V278">
        <v>0.1997425514</v>
      </c>
      <c r="W278">
        <v>0.1955951437</v>
      </c>
      <c r="X278">
        <v>0.19259061960000001</v>
      </c>
      <c r="Y278">
        <v>0.19385789549999999</v>
      </c>
      <c r="Z278">
        <v>0.1951557988</v>
      </c>
      <c r="AA278">
        <v>0.19650569940000001</v>
      </c>
      <c r="AB278">
        <v>0.19780292329999999</v>
      </c>
      <c r="AC278">
        <v>0.19915582060000001</v>
      </c>
      <c r="AD278">
        <v>0.19790330040000001</v>
      </c>
      <c r="AE278">
        <v>0.19655818629999999</v>
      </c>
      <c r="AF278">
        <v>0.19517981540000001</v>
      </c>
      <c r="AG278">
        <v>0.19366996219999999</v>
      </c>
      <c r="AH278">
        <v>0.19216891320000001</v>
      </c>
      <c r="AI278">
        <v>0.1902693805</v>
      </c>
      <c r="AJ278">
        <v>0.18843005430000001</v>
      </c>
      <c r="AK278">
        <v>0.18650332040000001</v>
      </c>
      <c r="AL278">
        <v>0.18465884430000001</v>
      </c>
      <c r="AM278">
        <v>0.1826069421</v>
      </c>
      <c r="AN278">
        <v>0.18132444070000001</v>
      </c>
      <c r="AO278">
        <v>0.17961232590000001</v>
      </c>
      <c r="AP278">
        <v>0.17855018210000001</v>
      </c>
      <c r="AQ278">
        <v>0.17652687419999999</v>
      </c>
      <c r="AR278">
        <v>0.17544163700000001</v>
      </c>
      <c r="AS278">
        <v>0.17459782569999999</v>
      </c>
      <c r="AT278">
        <v>0.1738953479</v>
      </c>
      <c r="AU278">
        <v>0.17294410869999999</v>
      </c>
      <c r="AV278">
        <v>0.17235510200000001</v>
      </c>
      <c r="AW278">
        <v>0.1712239613</v>
      </c>
    </row>
    <row r="279" spans="2:49" x14ac:dyDescent="0.25">
      <c r="B279" t="s">
        <v>309</v>
      </c>
      <c r="C279">
        <v>5.1557022066405396E-3</v>
      </c>
      <c r="D279">
        <v>5.1557022066405396E-3</v>
      </c>
      <c r="E279">
        <v>5.1568546799999997E-3</v>
      </c>
      <c r="F279">
        <v>4.8228147299999996E-3</v>
      </c>
      <c r="G279">
        <v>4.5046035099999999E-3</v>
      </c>
      <c r="H279">
        <v>4.22005464E-3</v>
      </c>
      <c r="I279">
        <v>3.9431288899999997E-3</v>
      </c>
      <c r="J279">
        <v>3.68393612E-3</v>
      </c>
      <c r="K279">
        <v>3.4416757899999998E-3</v>
      </c>
      <c r="L279">
        <v>3.2159528599999998E-3</v>
      </c>
      <c r="M279">
        <v>3.00745089E-3</v>
      </c>
      <c r="N279">
        <v>2.8135024199999999E-3</v>
      </c>
      <c r="O279">
        <v>2.7293854399999999E-3</v>
      </c>
      <c r="P279">
        <v>2.6243741699999998E-3</v>
      </c>
      <c r="Q279">
        <v>2.49705993E-3</v>
      </c>
      <c r="R279">
        <v>2.3511769300000001E-3</v>
      </c>
      <c r="S279">
        <v>1.0237739500000001E-2</v>
      </c>
      <c r="T279">
        <v>9.5592488500000003E-3</v>
      </c>
      <c r="U279">
        <v>8.90310144E-3</v>
      </c>
      <c r="V279">
        <v>8.2627428499999905E-3</v>
      </c>
      <c r="W279">
        <v>3.3541511500000003E-2</v>
      </c>
      <c r="X279">
        <v>4.148686E-2</v>
      </c>
      <c r="Y279">
        <v>5.0071534000000001E-2</v>
      </c>
      <c r="Z279">
        <v>5.8910843499999997E-2</v>
      </c>
      <c r="AA279">
        <v>6.8022320900000002E-2</v>
      </c>
      <c r="AB279">
        <v>7.5292271600000002E-2</v>
      </c>
      <c r="AC279">
        <v>8.2790660599999996E-2</v>
      </c>
      <c r="AD279">
        <v>9.6728493499999998E-2</v>
      </c>
      <c r="AE279">
        <v>0.1107039101</v>
      </c>
      <c r="AF279">
        <v>0.1247363354</v>
      </c>
      <c r="AG279">
        <v>0.1362450945</v>
      </c>
      <c r="AH279">
        <v>0.14781569219999999</v>
      </c>
      <c r="AI279">
        <v>0.16018882749999999</v>
      </c>
      <c r="AJ279">
        <v>0.17258766179999999</v>
      </c>
      <c r="AK279">
        <v>0.18487867629999999</v>
      </c>
      <c r="AL279">
        <v>0.1947383993</v>
      </c>
      <c r="AM279">
        <v>0.20435712389999999</v>
      </c>
      <c r="AN279">
        <v>0.21101361790000001</v>
      </c>
      <c r="AO279">
        <v>0.21714932510000001</v>
      </c>
      <c r="AP279">
        <v>0.22405981780000001</v>
      </c>
      <c r="AQ279">
        <v>0.22973820340000001</v>
      </c>
      <c r="AR279">
        <v>0.2366101407</v>
      </c>
      <c r="AS279">
        <v>0.24759827279999999</v>
      </c>
      <c r="AT279">
        <v>0.25884617560000001</v>
      </c>
      <c r="AU279">
        <v>0.26977663660000001</v>
      </c>
      <c r="AV279">
        <v>0.28133443819999998</v>
      </c>
      <c r="AW279">
        <v>0.29205753470000001</v>
      </c>
    </row>
    <row r="280" spans="2:49" x14ac:dyDescent="0.25">
      <c r="B280" t="s">
        <v>310</v>
      </c>
      <c r="C280">
        <v>1.5260878531656001E-2</v>
      </c>
      <c r="D280">
        <v>1.5260878531656001E-2</v>
      </c>
      <c r="E280">
        <v>1.52642899E-2</v>
      </c>
      <c r="F280">
        <v>1.4960673799999999E-2</v>
      </c>
      <c r="G280">
        <v>1.4644212E-2</v>
      </c>
      <c r="H280">
        <v>1.4377599200000001E-2</v>
      </c>
      <c r="I280">
        <v>1.40788809E-2</v>
      </c>
      <c r="J280">
        <v>1.37847253E-2</v>
      </c>
      <c r="K280">
        <v>1.34963037E-2</v>
      </c>
      <c r="L280">
        <v>1.3216407600000001E-2</v>
      </c>
      <c r="M280">
        <v>1.29527254E-2</v>
      </c>
      <c r="N280">
        <v>1.26989779E-2</v>
      </c>
      <c r="O280">
        <v>1.27406124E-2</v>
      </c>
      <c r="P280">
        <v>1.26693736E-2</v>
      </c>
      <c r="Q280">
        <v>1.24670101E-2</v>
      </c>
      <c r="R280">
        <v>1.21401097E-2</v>
      </c>
      <c r="S280">
        <v>3.4474586299999999E-2</v>
      </c>
      <c r="T280">
        <v>3.0100979E-2</v>
      </c>
      <c r="U280">
        <v>2.5849501699999999E-2</v>
      </c>
      <c r="V280">
        <v>2.1695615000000001E-2</v>
      </c>
      <c r="W280">
        <v>2.75537735E-2</v>
      </c>
      <c r="X280">
        <v>2.86919954E-2</v>
      </c>
      <c r="Y280">
        <v>2.9259509600000001E-2</v>
      </c>
      <c r="Z280">
        <v>2.9842888500000001E-2</v>
      </c>
      <c r="AA280">
        <v>3.04459046E-2</v>
      </c>
      <c r="AB280">
        <v>3.0902201099999999E-2</v>
      </c>
      <c r="AC280">
        <v>3.1374952599999999E-2</v>
      </c>
      <c r="AD280">
        <v>3.1056731600000002E-2</v>
      </c>
      <c r="AE280">
        <v>3.0723287200000001E-2</v>
      </c>
      <c r="AF280">
        <v>3.03840113E-2</v>
      </c>
      <c r="AG280">
        <v>3.00247415E-2</v>
      </c>
      <c r="AH280">
        <v>2.9666282400000001E-2</v>
      </c>
      <c r="AI280">
        <v>2.9680971E-2</v>
      </c>
      <c r="AJ280">
        <v>2.97044952E-2</v>
      </c>
      <c r="AK280">
        <v>2.9713622299999999E-2</v>
      </c>
      <c r="AL280">
        <v>2.9737962600000001E-2</v>
      </c>
      <c r="AM280">
        <v>2.9728292600000001E-2</v>
      </c>
      <c r="AN280">
        <v>2.97785315E-2</v>
      </c>
      <c r="AO280">
        <v>2.9757549000000001E-2</v>
      </c>
      <c r="AP280">
        <v>2.9843898600000002E-2</v>
      </c>
      <c r="AQ280">
        <v>2.9768762800000001E-2</v>
      </c>
      <c r="AR280">
        <v>2.9850946E-2</v>
      </c>
      <c r="AS280">
        <v>2.9888957899999999E-2</v>
      </c>
      <c r="AT280">
        <v>2.9952052999999999E-2</v>
      </c>
      <c r="AU280">
        <v>2.99730923E-2</v>
      </c>
      <c r="AV280">
        <v>3.00578432E-2</v>
      </c>
      <c r="AW280">
        <v>3.0048800800000001E-2</v>
      </c>
    </row>
    <row r="281" spans="2:49" x14ac:dyDescent="0.25">
      <c r="B281" t="s">
        <v>311</v>
      </c>
      <c r="C281">
        <v>5.1557022066405396E-3</v>
      </c>
      <c r="D281">
        <v>5.1557022066405396E-3</v>
      </c>
      <c r="E281">
        <v>5.1568546799999997E-3</v>
      </c>
      <c r="F281">
        <v>5.3427632800000001E-3</v>
      </c>
      <c r="G281">
        <v>5.5282449399999996E-3</v>
      </c>
      <c r="H281">
        <v>5.7373868599999997E-3</v>
      </c>
      <c r="I281">
        <v>5.9388504199999999E-3</v>
      </c>
      <c r="J281">
        <v>6.1466552899999997E-3</v>
      </c>
      <c r="K281">
        <v>6.3615372800000002E-3</v>
      </c>
      <c r="L281">
        <v>6.5851723900000004E-3</v>
      </c>
      <c r="M281">
        <v>6.8221516900000001E-3</v>
      </c>
      <c r="N281">
        <v>7.0702614500000004E-3</v>
      </c>
      <c r="O281">
        <v>7.3420021199999998E-3</v>
      </c>
      <c r="P281">
        <v>7.5567810899999999E-3</v>
      </c>
      <c r="Q281">
        <v>7.69664592E-3</v>
      </c>
      <c r="R281">
        <v>7.7574557199999996E-3</v>
      </c>
      <c r="S281">
        <v>8.9533592000000002E-3</v>
      </c>
      <c r="T281">
        <v>8.6540378500000008E-3</v>
      </c>
      <c r="U281">
        <v>8.3676556800000006E-3</v>
      </c>
      <c r="V281">
        <v>8.0888280800000007E-3</v>
      </c>
      <c r="W281">
        <v>1.2534192499999999E-2</v>
      </c>
      <c r="X281">
        <v>1.3990969000000001E-2</v>
      </c>
      <c r="Y281">
        <v>1.50530986E-2</v>
      </c>
      <c r="Z281">
        <v>1.6146402000000001E-2</v>
      </c>
      <c r="AA281">
        <v>1.7273940500000001E-2</v>
      </c>
      <c r="AB281">
        <v>1.84737115E-2</v>
      </c>
      <c r="AC281">
        <v>1.9711671199999999E-2</v>
      </c>
      <c r="AD281">
        <v>2.1329809599999999E-2</v>
      </c>
      <c r="AE281">
        <v>2.2947949799999999E-2</v>
      </c>
      <c r="AF281">
        <v>2.45713332E-2</v>
      </c>
      <c r="AG281">
        <v>2.61998378E-2</v>
      </c>
      <c r="AH281">
        <v>2.7837646099999998E-2</v>
      </c>
      <c r="AI281">
        <v>2.82568682E-2</v>
      </c>
      <c r="AJ281">
        <v>2.86837772E-2</v>
      </c>
      <c r="AK281">
        <v>2.9095987199999999E-2</v>
      </c>
      <c r="AL281">
        <v>2.9527153600000001E-2</v>
      </c>
      <c r="AM281">
        <v>2.9923783799999999E-2</v>
      </c>
      <c r="AN281">
        <v>3.0344181599999999E-2</v>
      </c>
      <c r="AO281">
        <v>3.0691061400000001E-2</v>
      </c>
      <c r="AP281">
        <v>3.11481454E-2</v>
      </c>
      <c r="AQ281">
        <v>3.1435531099999997E-2</v>
      </c>
      <c r="AR281">
        <v>3.1887840200000003E-2</v>
      </c>
      <c r="AS281">
        <v>3.22499022E-2</v>
      </c>
      <c r="AT281">
        <v>3.2640592400000001E-2</v>
      </c>
      <c r="AU281">
        <v>3.2986835499999999E-2</v>
      </c>
      <c r="AV281">
        <v>3.3404817599999997E-2</v>
      </c>
      <c r="AW281">
        <v>3.3719861099999998E-2</v>
      </c>
    </row>
    <row r="282" spans="2:49" x14ac:dyDescent="0.25">
      <c r="B282" t="s">
        <v>312</v>
      </c>
      <c r="C282">
        <v>1.0311404413280999E-2</v>
      </c>
      <c r="D282">
        <v>1.0311404413280999E-2</v>
      </c>
      <c r="E282">
        <v>1.0313709399999999E-2</v>
      </c>
      <c r="F282">
        <v>1.15992248E-2</v>
      </c>
      <c r="G282">
        <v>1.3028168E-2</v>
      </c>
      <c r="H282">
        <v>1.46772011E-2</v>
      </c>
      <c r="I282">
        <v>1.6491666200000001E-2</v>
      </c>
      <c r="J282">
        <v>1.85282347E-2</v>
      </c>
      <c r="K282">
        <v>2.08156655E-2</v>
      </c>
      <c r="L282">
        <v>2.33899025E-2</v>
      </c>
      <c r="M282">
        <v>2.63036291E-2</v>
      </c>
      <c r="N282">
        <v>2.9591216E-2</v>
      </c>
      <c r="O282">
        <v>3.1035668200000002E-2</v>
      </c>
      <c r="P282">
        <v>3.2262847300000001E-2</v>
      </c>
      <c r="Q282">
        <v>3.3188422799999999E-2</v>
      </c>
      <c r="R282">
        <v>3.3784980200000002E-2</v>
      </c>
      <c r="S282">
        <v>6.1083205500000001E-2</v>
      </c>
      <c r="T282">
        <v>6.3247005199999998E-2</v>
      </c>
      <c r="U282">
        <v>6.54046655E-2</v>
      </c>
      <c r="V282">
        <v>6.7524420399999896E-2</v>
      </c>
      <c r="W282">
        <v>0.1075853665</v>
      </c>
      <c r="X282">
        <v>0.1195194874</v>
      </c>
      <c r="Y282">
        <v>0.1320692862</v>
      </c>
      <c r="Z282">
        <v>0.1449891348</v>
      </c>
      <c r="AA282">
        <v>0.15831059289999999</v>
      </c>
      <c r="AB282">
        <v>0.17239025899999999</v>
      </c>
      <c r="AC282">
        <v>0.18691448920000001</v>
      </c>
      <c r="AD282">
        <v>0.19691032829999999</v>
      </c>
      <c r="AE282">
        <v>0.20687804470000001</v>
      </c>
      <c r="AF282">
        <v>0.2168692783</v>
      </c>
      <c r="AG282">
        <v>0.2270299301</v>
      </c>
      <c r="AH282">
        <v>0.23725371310000001</v>
      </c>
      <c r="AI282">
        <v>0.2463961875</v>
      </c>
      <c r="AJ282">
        <v>0.255595878</v>
      </c>
      <c r="AK282">
        <v>0.26465395219999999</v>
      </c>
      <c r="AL282">
        <v>0.27402195759999998</v>
      </c>
      <c r="AM282">
        <v>0.2830593401</v>
      </c>
      <c r="AN282">
        <v>0.2905155251</v>
      </c>
      <c r="AO282">
        <v>0.29725907709999999</v>
      </c>
      <c r="AP282">
        <v>0.30506546919999999</v>
      </c>
      <c r="AQ282">
        <v>0.31119934929999998</v>
      </c>
      <c r="AR282">
        <v>0.31895510840000002</v>
      </c>
      <c r="AS282">
        <v>0.32428036500000001</v>
      </c>
      <c r="AT282">
        <v>0.32990168959999999</v>
      </c>
      <c r="AU282">
        <v>0.33508097370000001</v>
      </c>
      <c r="AV282">
        <v>0.34099732329999999</v>
      </c>
      <c r="AW282">
        <v>0.34586948979999999</v>
      </c>
    </row>
    <row r="283" spans="2:49" x14ac:dyDescent="0.25">
      <c r="B283" t="s">
        <v>313</v>
      </c>
      <c r="C283">
        <v>0.99172610111270199</v>
      </c>
      <c r="D283">
        <v>0.99172610111270199</v>
      </c>
      <c r="E283">
        <v>0.99172610110000003</v>
      </c>
      <c r="F283">
        <v>0.98692243619999998</v>
      </c>
      <c r="G283">
        <v>0.98214203899999997</v>
      </c>
      <c r="H283">
        <v>0.97738479680000001</v>
      </c>
      <c r="I283">
        <v>0.97265059740000004</v>
      </c>
      <c r="J283">
        <v>0.96793932930000004</v>
      </c>
      <c r="K283">
        <v>0.96325088140000004</v>
      </c>
      <c r="L283">
        <v>0.95858514299999997</v>
      </c>
      <c r="M283">
        <v>0.95394200429999998</v>
      </c>
      <c r="N283">
        <v>0.94932135579999999</v>
      </c>
      <c r="O283">
        <v>0.94649834600000005</v>
      </c>
      <c r="P283">
        <v>0.94352743750000001</v>
      </c>
      <c r="Q283">
        <v>0.94040194440000002</v>
      </c>
      <c r="R283">
        <v>0.93711499880000004</v>
      </c>
      <c r="S283">
        <v>0.95161573820000001</v>
      </c>
      <c r="T283">
        <v>0.94863721099999998</v>
      </c>
      <c r="U283">
        <v>0.94569023600000002</v>
      </c>
      <c r="V283">
        <v>0.94277431450000004</v>
      </c>
      <c r="W283">
        <v>0.92508293470000003</v>
      </c>
      <c r="X283">
        <v>0.91990019570000003</v>
      </c>
      <c r="Y283">
        <v>0.91458085170000003</v>
      </c>
      <c r="Z283">
        <v>0.90876938439999999</v>
      </c>
      <c r="AA283">
        <v>0.90239418770000002</v>
      </c>
      <c r="AB283">
        <v>0.89572874390000001</v>
      </c>
      <c r="AC283">
        <v>0.88835184919999999</v>
      </c>
      <c r="AD283">
        <v>0.87271637950000003</v>
      </c>
      <c r="AE283">
        <v>0.85535379339999995</v>
      </c>
      <c r="AF283">
        <v>0.83596119219999998</v>
      </c>
      <c r="AG283">
        <v>0.81460574409999997</v>
      </c>
      <c r="AH283">
        <v>0.79043580189999996</v>
      </c>
      <c r="AI283">
        <v>0.75683640210000003</v>
      </c>
      <c r="AJ283">
        <v>0.71826303300000005</v>
      </c>
      <c r="AK283">
        <v>0.67352290510000001</v>
      </c>
      <c r="AL283">
        <v>0.62296323119999997</v>
      </c>
      <c r="AM283">
        <v>0.5628175876</v>
      </c>
      <c r="AN283">
        <v>0.53680529440000002</v>
      </c>
      <c r="AO283">
        <v>0.50636456480000003</v>
      </c>
      <c r="AP283">
        <v>0.47025930859999998</v>
      </c>
      <c r="AQ283">
        <v>0.4267462091</v>
      </c>
      <c r="AR283">
        <v>0.373284809</v>
      </c>
      <c r="AS283">
        <v>0.37769387129999998</v>
      </c>
      <c r="AT283">
        <v>0.3828154446</v>
      </c>
      <c r="AU283">
        <v>0.38883742539999999</v>
      </c>
      <c r="AV283">
        <v>0.39602014429999999</v>
      </c>
      <c r="AW283">
        <v>0.40473499280000003</v>
      </c>
    </row>
    <row r="284" spans="2:49" x14ac:dyDescent="0.25">
      <c r="B284" t="s">
        <v>314</v>
      </c>
      <c r="C284">
        <v>0.91950930808135101</v>
      </c>
      <c r="D284">
        <v>0.91950930808135101</v>
      </c>
      <c r="E284">
        <v>0.91950930809999998</v>
      </c>
      <c r="F284">
        <v>0.91215096689999997</v>
      </c>
      <c r="G284">
        <v>0.90485151050000001</v>
      </c>
      <c r="H284">
        <v>0.89761046779999998</v>
      </c>
      <c r="I284">
        <v>0.89042737130000005</v>
      </c>
      <c r="J284">
        <v>0.88330175730000005</v>
      </c>
      <c r="K284">
        <v>0.87623316569999998</v>
      </c>
      <c r="L284">
        <v>0.86922114029999997</v>
      </c>
      <c r="M284">
        <v>0.86226522839999997</v>
      </c>
      <c r="N284">
        <v>0.85536498090000002</v>
      </c>
      <c r="O284">
        <v>0.82919865599999998</v>
      </c>
      <c r="P284">
        <v>0.79785612839999998</v>
      </c>
      <c r="Q284">
        <v>0.76080142579999999</v>
      </c>
      <c r="R284">
        <v>0.71772633799999996</v>
      </c>
      <c r="S284">
        <v>0.68442251590000003</v>
      </c>
      <c r="T284">
        <v>0.68128557830000003</v>
      </c>
      <c r="U284">
        <v>0.67821213570000005</v>
      </c>
      <c r="V284">
        <v>0.67520027940000005</v>
      </c>
      <c r="W284">
        <v>0.59819520029999995</v>
      </c>
      <c r="X284">
        <v>0.57643558719999999</v>
      </c>
      <c r="Y284">
        <v>0.54958941120000004</v>
      </c>
      <c r="Z284">
        <v>0.52179472319999998</v>
      </c>
      <c r="AA284">
        <v>0.4930003509</v>
      </c>
      <c r="AB284">
        <v>0.46541008690000002</v>
      </c>
      <c r="AC284">
        <v>0.43682571349999999</v>
      </c>
      <c r="AD284">
        <v>0.40987338810000001</v>
      </c>
      <c r="AE284">
        <v>0.38266548299999997</v>
      </c>
      <c r="AF284">
        <v>0.35519834550000001</v>
      </c>
      <c r="AG284">
        <v>0.33021461600000002</v>
      </c>
      <c r="AH284">
        <v>0.30499904690000001</v>
      </c>
      <c r="AI284">
        <v>0.28119961659999998</v>
      </c>
      <c r="AJ284">
        <v>0.25732735270000001</v>
      </c>
      <c r="AK284">
        <v>0.2333819204</v>
      </c>
      <c r="AL284">
        <v>0.21212098939999999</v>
      </c>
      <c r="AM284">
        <v>0.1907903708</v>
      </c>
      <c r="AN284">
        <v>0.1746595212</v>
      </c>
      <c r="AO284">
        <v>0.15847728150000001</v>
      </c>
      <c r="AP284">
        <v>0.1422434058</v>
      </c>
      <c r="AQ284">
        <v>0.12595764640000001</v>
      </c>
      <c r="AR284">
        <v>0.1096197543</v>
      </c>
      <c r="AS284">
        <v>8.9338193900000001E-2</v>
      </c>
      <c r="AT284">
        <v>6.8864096299999997E-2</v>
      </c>
      <c r="AU284">
        <v>4.8194706800000001E-2</v>
      </c>
      <c r="AV284">
        <v>2.7327217800000001E-2</v>
      </c>
      <c r="AW284">
        <v>6.2587675799999996E-3</v>
      </c>
    </row>
    <row r="285" spans="2:49" x14ac:dyDescent="0.25">
      <c r="B285" t="s">
        <v>315</v>
      </c>
      <c r="C285">
        <v>383714635.27038902</v>
      </c>
      <c r="D285">
        <v>389875297.85567099</v>
      </c>
      <c r="E285">
        <v>396134871.89999998</v>
      </c>
      <c r="F285">
        <v>412015962.39999998</v>
      </c>
      <c r="G285">
        <v>421142046.19999999</v>
      </c>
      <c r="H285">
        <v>439537742.5</v>
      </c>
      <c r="I285">
        <v>454175219.19999999</v>
      </c>
      <c r="J285">
        <v>471399717.39999998</v>
      </c>
      <c r="K285">
        <v>493298723.89999998</v>
      </c>
      <c r="L285">
        <v>519361374.69999999</v>
      </c>
      <c r="M285">
        <v>549574613.60000002</v>
      </c>
      <c r="N285">
        <v>565404891.79999995</v>
      </c>
      <c r="O285">
        <v>564692559.5</v>
      </c>
      <c r="P285">
        <v>564413232</v>
      </c>
      <c r="Q285">
        <v>563182343.39999998</v>
      </c>
      <c r="R285">
        <v>562978063.29999995</v>
      </c>
      <c r="S285">
        <v>568377327.89999998</v>
      </c>
      <c r="T285">
        <v>573702959.79999995</v>
      </c>
      <c r="U285">
        <v>576506816.20000005</v>
      </c>
      <c r="V285">
        <v>578374129.29999995</v>
      </c>
      <c r="W285">
        <v>572078281</v>
      </c>
      <c r="X285">
        <v>562930567.60000002</v>
      </c>
      <c r="Y285">
        <v>553929114.70000005</v>
      </c>
      <c r="Z285">
        <v>545571722.60000002</v>
      </c>
      <c r="AA285">
        <v>537762186.39999998</v>
      </c>
      <c r="AB285">
        <v>530293607.69999999</v>
      </c>
      <c r="AC285">
        <v>522993639.5</v>
      </c>
      <c r="AD285">
        <v>517753798.30000001</v>
      </c>
      <c r="AE285">
        <v>513461271.39999998</v>
      </c>
      <c r="AF285">
        <v>509533133.80000001</v>
      </c>
      <c r="AG285">
        <v>505718503</v>
      </c>
      <c r="AH285">
        <v>501907326.30000001</v>
      </c>
      <c r="AI285">
        <v>498041293</v>
      </c>
      <c r="AJ285">
        <v>494116060.10000002</v>
      </c>
      <c r="AK285">
        <v>490180020.89999998</v>
      </c>
      <c r="AL285">
        <v>486243137</v>
      </c>
      <c r="AM285">
        <v>482386187.60000002</v>
      </c>
      <c r="AN285">
        <v>478703834</v>
      </c>
      <c r="AO285">
        <v>475255398.10000002</v>
      </c>
      <c r="AP285">
        <v>471871093.89999998</v>
      </c>
      <c r="AQ285">
        <v>468687556.69999999</v>
      </c>
      <c r="AR285">
        <v>465483940.5</v>
      </c>
      <c r="AS285">
        <v>462327413.5</v>
      </c>
      <c r="AT285">
        <v>459173528.69999999</v>
      </c>
      <c r="AU285">
        <v>456059499.60000002</v>
      </c>
      <c r="AV285">
        <v>452926631.89999998</v>
      </c>
      <c r="AW285">
        <v>449873469.60000002</v>
      </c>
    </row>
    <row r="286" spans="2:49" x14ac:dyDescent="0.25">
      <c r="B286" t="s">
        <v>316</v>
      </c>
      <c r="C286">
        <v>261485.90393552999</v>
      </c>
      <c r="D286">
        <v>265684.14470322698</v>
      </c>
      <c r="E286">
        <v>269949.78960000002</v>
      </c>
      <c r="F286">
        <v>277098.17170000001</v>
      </c>
      <c r="G286">
        <v>283659.86829999997</v>
      </c>
      <c r="H286">
        <v>284994.99819999997</v>
      </c>
      <c r="I286">
        <v>276969.24219999998</v>
      </c>
      <c r="J286">
        <v>276311.07939999999</v>
      </c>
      <c r="K286">
        <v>278560.18609999999</v>
      </c>
      <c r="L286">
        <v>278778.19709999999</v>
      </c>
      <c r="M286">
        <v>284116.59600000002</v>
      </c>
      <c r="N286">
        <v>292990.47159999999</v>
      </c>
      <c r="O286">
        <v>300379.13520000002</v>
      </c>
      <c r="P286">
        <v>308878.95010000002</v>
      </c>
      <c r="Q286">
        <v>317365.6201</v>
      </c>
      <c r="R286">
        <v>328595.4534</v>
      </c>
      <c r="S286">
        <v>344344.00790000003</v>
      </c>
      <c r="T286">
        <v>360897.24969999999</v>
      </c>
      <c r="U286">
        <v>372023.09620000003</v>
      </c>
      <c r="V286">
        <v>382660.10930000001</v>
      </c>
      <c r="W286">
        <v>391677.37699999998</v>
      </c>
      <c r="X286">
        <v>398807.1874</v>
      </c>
      <c r="Y286">
        <v>406517.08110000001</v>
      </c>
      <c r="Z286">
        <v>415440.6005</v>
      </c>
      <c r="AA286">
        <v>424930.61709999997</v>
      </c>
      <c r="AB286">
        <v>434492.08590000001</v>
      </c>
      <c r="AC286">
        <v>443840.29310000001</v>
      </c>
      <c r="AD286">
        <v>448874.48210000002</v>
      </c>
      <c r="AE286">
        <v>455479.34899999999</v>
      </c>
      <c r="AF286">
        <v>461970.52549999999</v>
      </c>
      <c r="AG286">
        <v>467764.18709999998</v>
      </c>
      <c r="AH286">
        <v>472705.9558</v>
      </c>
      <c r="AI286">
        <v>477036.5208</v>
      </c>
      <c r="AJ286">
        <v>480960.01059999998</v>
      </c>
      <c r="AK286">
        <v>484840.69870000001</v>
      </c>
      <c r="AL286">
        <v>488590.08380000002</v>
      </c>
      <c r="AM286">
        <v>493155.67070000002</v>
      </c>
      <c r="AN286">
        <v>497626.65740000003</v>
      </c>
      <c r="AO286">
        <v>502897.17599999998</v>
      </c>
      <c r="AP286">
        <v>507354.76329999999</v>
      </c>
      <c r="AQ286">
        <v>513396.69449999998</v>
      </c>
      <c r="AR286">
        <v>518272.47139999998</v>
      </c>
      <c r="AS286">
        <v>524007.07140000002</v>
      </c>
      <c r="AT286">
        <v>529611.32140000002</v>
      </c>
      <c r="AU286">
        <v>535688.62320000003</v>
      </c>
      <c r="AV286">
        <v>541326.49800000002</v>
      </c>
      <c r="AW286">
        <v>547924.83360000001</v>
      </c>
    </row>
    <row r="287" spans="2:49" x14ac:dyDescent="0.25">
      <c r="B287" t="s">
        <v>317</v>
      </c>
      <c r="C287">
        <v>158336.21117690401</v>
      </c>
      <c r="D287">
        <v>160878.35026264799</v>
      </c>
      <c r="E287">
        <v>163461.30420000001</v>
      </c>
      <c r="F287">
        <v>168432.22510000001</v>
      </c>
      <c r="G287">
        <v>175099.23300000001</v>
      </c>
      <c r="H287">
        <v>184375.0638</v>
      </c>
      <c r="I287">
        <v>192030.4235</v>
      </c>
      <c r="J287">
        <v>200640.8302</v>
      </c>
      <c r="K287">
        <v>215030.5569</v>
      </c>
      <c r="L287">
        <v>230856.481</v>
      </c>
      <c r="M287">
        <v>247457.1078</v>
      </c>
      <c r="N287">
        <v>260450.02830000001</v>
      </c>
      <c r="O287">
        <v>261242.96429999999</v>
      </c>
      <c r="P287">
        <v>258856.2923</v>
      </c>
      <c r="Q287">
        <v>254988.948</v>
      </c>
      <c r="R287">
        <v>253654.0907</v>
      </c>
      <c r="S287">
        <v>254237.47889999999</v>
      </c>
      <c r="T287">
        <v>256757.45250000001</v>
      </c>
      <c r="U287">
        <v>258383.55420000001</v>
      </c>
      <c r="V287">
        <v>259201.42600000001</v>
      </c>
      <c r="W287">
        <v>262516.83159999998</v>
      </c>
      <c r="X287">
        <v>261941.42819999999</v>
      </c>
      <c r="Y287">
        <v>260623.9572</v>
      </c>
      <c r="Z287">
        <v>259158.58</v>
      </c>
      <c r="AA287">
        <v>257686.8786</v>
      </c>
      <c r="AB287">
        <v>256174.02220000001</v>
      </c>
      <c r="AC287">
        <v>254522.5601</v>
      </c>
      <c r="AD287">
        <v>253778.30230000001</v>
      </c>
      <c r="AE287">
        <v>254100.88810000001</v>
      </c>
      <c r="AF287">
        <v>255116.56589999999</v>
      </c>
      <c r="AG287">
        <v>256574.7243</v>
      </c>
      <c r="AH287">
        <v>258293.75049999999</v>
      </c>
      <c r="AI287">
        <v>260087.78330000001</v>
      </c>
      <c r="AJ287">
        <v>261878.25450000001</v>
      </c>
      <c r="AK287">
        <v>263645.09580000001</v>
      </c>
      <c r="AL287">
        <v>265403.50300000003</v>
      </c>
      <c r="AM287">
        <v>267145.56829999998</v>
      </c>
      <c r="AN287">
        <v>268711.39039999997</v>
      </c>
      <c r="AO287">
        <v>270279.61330000003</v>
      </c>
      <c r="AP287">
        <v>271988.48590000003</v>
      </c>
      <c r="AQ287">
        <v>273671.71269999997</v>
      </c>
      <c r="AR287">
        <v>275525.1899</v>
      </c>
      <c r="AS287">
        <v>277348.92320000002</v>
      </c>
      <c r="AT287">
        <v>279224.11900000001</v>
      </c>
      <c r="AU287">
        <v>281100.0625</v>
      </c>
      <c r="AV287">
        <v>283033.13740000001</v>
      </c>
      <c r="AW287">
        <v>284938.16450000001</v>
      </c>
    </row>
    <row r="288" spans="2:49" x14ac:dyDescent="0.25">
      <c r="B288" t="s">
        <v>318</v>
      </c>
      <c r="C288">
        <v>516755.579312385</v>
      </c>
      <c r="D288">
        <v>525052.257287574</v>
      </c>
      <c r="E288">
        <v>533482.14110000001</v>
      </c>
      <c r="F288">
        <v>549193.42949999997</v>
      </c>
      <c r="G288">
        <v>552125.20750000002</v>
      </c>
      <c r="H288">
        <v>567689.07709999999</v>
      </c>
      <c r="I288">
        <v>577881.47109999997</v>
      </c>
      <c r="J288">
        <v>590938.95559999999</v>
      </c>
      <c r="K288">
        <v>606348.71059999999</v>
      </c>
      <c r="L288">
        <v>626362.15890000004</v>
      </c>
      <c r="M288">
        <v>651249.59259999997</v>
      </c>
      <c r="N288">
        <v>668543.24080000003</v>
      </c>
      <c r="O288">
        <v>664369.31969999999</v>
      </c>
      <c r="P288">
        <v>663263.02879999997</v>
      </c>
      <c r="Q288">
        <v>661839.09210000001</v>
      </c>
      <c r="R288">
        <v>660077.05740000005</v>
      </c>
      <c r="S288">
        <v>665326.45510000002</v>
      </c>
      <c r="T288">
        <v>668966.18889999995</v>
      </c>
      <c r="U288">
        <v>669460.45779999997</v>
      </c>
      <c r="V288">
        <v>669146.8774</v>
      </c>
      <c r="W288">
        <v>661165.83059999999</v>
      </c>
      <c r="X288">
        <v>651728.35900000005</v>
      </c>
      <c r="Y288">
        <v>642946.04260000004</v>
      </c>
      <c r="Z288">
        <v>635131.9</v>
      </c>
      <c r="AA288">
        <v>628045.42520000006</v>
      </c>
      <c r="AB288">
        <v>621406.38919999998</v>
      </c>
      <c r="AC288">
        <v>615029.36560000002</v>
      </c>
      <c r="AD288">
        <v>611060.80220000003</v>
      </c>
      <c r="AE288">
        <v>607690.86510000005</v>
      </c>
      <c r="AF288">
        <v>604309.40969999996</v>
      </c>
      <c r="AG288">
        <v>600718.85160000005</v>
      </c>
      <c r="AH288">
        <v>596884.81590000005</v>
      </c>
      <c r="AI288">
        <v>592855.05889999995</v>
      </c>
      <c r="AJ288">
        <v>588680.74109999998</v>
      </c>
      <c r="AK288">
        <v>584453.07640000002</v>
      </c>
      <c r="AL288">
        <v>580176.37540000002</v>
      </c>
      <c r="AM288">
        <v>575986.73910000001</v>
      </c>
      <c r="AN288">
        <v>572159.47250000003</v>
      </c>
      <c r="AO288">
        <v>568659.96849999996</v>
      </c>
      <c r="AP288">
        <v>565111.80440000002</v>
      </c>
      <c r="AQ288">
        <v>561865.51190000004</v>
      </c>
      <c r="AR288">
        <v>558414.19369999995</v>
      </c>
      <c r="AS288">
        <v>555019.1202</v>
      </c>
      <c r="AT288">
        <v>551546.32149999996</v>
      </c>
      <c r="AU288">
        <v>548096.0699</v>
      </c>
      <c r="AV288">
        <v>544528.50219999999</v>
      </c>
      <c r="AW288">
        <v>541072.95929999999</v>
      </c>
    </row>
    <row r="289" spans="2:49" x14ac:dyDescent="0.25">
      <c r="B289" t="s">
        <v>319</v>
      </c>
      <c r="C289">
        <v>82711.5521017555</v>
      </c>
      <c r="D289">
        <v>84039.512824558697</v>
      </c>
      <c r="E289">
        <v>85388.794389999995</v>
      </c>
      <c r="F289">
        <v>94624.030620000005</v>
      </c>
      <c r="G289">
        <v>97309.61477</v>
      </c>
      <c r="H289">
        <v>103596.51669999999</v>
      </c>
      <c r="I289">
        <v>107572.88219999999</v>
      </c>
      <c r="J289">
        <v>114868.29549999999</v>
      </c>
      <c r="K289">
        <v>120273.13920000001</v>
      </c>
      <c r="L289">
        <v>126785.8879</v>
      </c>
      <c r="M289">
        <v>135784.2187</v>
      </c>
      <c r="N289">
        <v>145687.5558</v>
      </c>
      <c r="O289">
        <v>136449.88690000001</v>
      </c>
      <c r="P289">
        <v>131145.65659999999</v>
      </c>
      <c r="Q289">
        <v>126036.6703</v>
      </c>
      <c r="R289">
        <v>114478.12579999999</v>
      </c>
      <c r="S289">
        <v>113957.9507</v>
      </c>
      <c r="T289">
        <v>113598.7643</v>
      </c>
      <c r="U289">
        <v>113194.19349999999</v>
      </c>
      <c r="V289">
        <v>113144.0331</v>
      </c>
      <c r="W289">
        <v>113610.8524</v>
      </c>
      <c r="X289">
        <v>115374.567</v>
      </c>
      <c r="Y289">
        <v>117412.7893</v>
      </c>
      <c r="Z289">
        <v>119777.2933</v>
      </c>
      <c r="AA289">
        <v>122415.98179999999</v>
      </c>
      <c r="AB289">
        <v>125313.5485</v>
      </c>
      <c r="AC289">
        <v>128502.516</v>
      </c>
      <c r="AD289">
        <v>129768.0858</v>
      </c>
      <c r="AE289">
        <v>130753.20909999999</v>
      </c>
      <c r="AF289">
        <v>131456.7493</v>
      </c>
      <c r="AG289">
        <v>131930.3462</v>
      </c>
      <c r="AH289">
        <v>132236.4075</v>
      </c>
      <c r="AI289">
        <v>132468.3965</v>
      </c>
      <c r="AJ289">
        <v>132676.9958</v>
      </c>
      <c r="AK289">
        <v>132902.1974</v>
      </c>
      <c r="AL289">
        <v>133138.72760000001</v>
      </c>
      <c r="AM289">
        <v>133460.25690000001</v>
      </c>
      <c r="AN289">
        <v>133829.37609999999</v>
      </c>
      <c r="AO289">
        <v>134262.55220000001</v>
      </c>
      <c r="AP289">
        <v>134602.65479999999</v>
      </c>
      <c r="AQ289">
        <v>135069.4529</v>
      </c>
      <c r="AR289">
        <v>135397.86129999999</v>
      </c>
      <c r="AS289">
        <v>135762.88630000001</v>
      </c>
      <c r="AT289">
        <v>136077.6066</v>
      </c>
      <c r="AU289">
        <v>136402.46739999999</v>
      </c>
      <c r="AV289">
        <v>136656.0723</v>
      </c>
      <c r="AW289">
        <v>136795.85870000001</v>
      </c>
    </row>
    <row r="290" spans="2:49" x14ac:dyDescent="0.25">
      <c r="B290" t="s">
        <v>320</v>
      </c>
      <c r="C290">
        <v>45689.201708803201</v>
      </c>
      <c r="D290">
        <v>46422.756620829103</v>
      </c>
      <c r="E290">
        <v>47168.089010000003</v>
      </c>
      <c r="F290">
        <v>49526.52895</v>
      </c>
      <c r="G290">
        <v>49189.323729999996</v>
      </c>
      <c r="H290">
        <v>50577.665509999999</v>
      </c>
      <c r="I290">
        <v>51404.659030000003</v>
      </c>
      <c r="J290">
        <v>52652.29189</v>
      </c>
      <c r="K290">
        <v>53240.421770000001</v>
      </c>
      <c r="L290">
        <v>54441.881390000002</v>
      </c>
      <c r="M290">
        <v>56442.274799999999</v>
      </c>
      <c r="N290">
        <v>57916.760419999999</v>
      </c>
      <c r="O290">
        <v>56790.046549999999</v>
      </c>
      <c r="P290">
        <v>56687.282290000003</v>
      </c>
      <c r="Q290">
        <v>56747.768029999999</v>
      </c>
      <c r="R290">
        <v>55974.758280000002</v>
      </c>
      <c r="S290">
        <v>56548.240140000002</v>
      </c>
      <c r="T290">
        <v>56685.369749999998</v>
      </c>
      <c r="U290">
        <v>56519.798439999999</v>
      </c>
      <c r="V290">
        <v>56391.776680000003</v>
      </c>
      <c r="W290">
        <v>55744.621769999998</v>
      </c>
      <c r="X290">
        <v>55552.850290000002</v>
      </c>
      <c r="Y290">
        <v>55576.297380000004</v>
      </c>
      <c r="Z290">
        <v>55791.073709999997</v>
      </c>
      <c r="AA290">
        <v>56158.094729999997</v>
      </c>
      <c r="AB290">
        <v>56661.121379999997</v>
      </c>
      <c r="AC290">
        <v>57314.31755</v>
      </c>
      <c r="AD290">
        <v>55359.259729999998</v>
      </c>
      <c r="AE290">
        <v>53732.754889999997</v>
      </c>
      <c r="AF290">
        <v>52268.4859</v>
      </c>
      <c r="AG290">
        <v>50910.485430000001</v>
      </c>
      <c r="AH290">
        <v>49640.712229999997</v>
      </c>
      <c r="AI290">
        <v>48463.55573</v>
      </c>
      <c r="AJ290">
        <v>47374.003909999999</v>
      </c>
      <c r="AK290">
        <v>46369.439400000003</v>
      </c>
      <c r="AL290">
        <v>45433.455479999997</v>
      </c>
      <c r="AM290">
        <v>44576.174279999999</v>
      </c>
      <c r="AN290">
        <v>43837.238640000003</v>
      </c>
      <c r="AO290">
        <v>43181.736550000001</v>
      </c>
      <c r="AP290">
        <v>42538.575669999998</v>
      </c>
      <c r="AQ290">
        <v>41970.961159999999</v>
      </c>
      <c r="AR290">
        <v>41387.354939999997</v>
      </c>
      <c r="AS290">
        <v>40843.959060000001</v>
      </c>
      <c r="AT290">
        <v>40311.989540000002</v>
      </c>
      <c r="AU290">
        <v>39807.745260000003</v>
      </c>
      <c r="AV290">
        <v>39305.719210000003</v>
      </c>
      <c r="AW290">
        <v>38842.850870000002</v>
      </c>
    </row>
    <row r="291" spans="2:49" x14ac:dyDescent="0.25">
      <c r="B291" t="s">
        <v>321</v>
      </c>
      <c r="C291">
        <v>562444.78102118894</v>
      </c>
      <c r="D291">
        <v>571475.01390840299</v>
      </c>
      <c r="E291">
        <v>580650.23010000004</v>
      </c>
      <c r="F291">
        <v>598711.18119999999</v>
      </c>
      <c r="G291">
        <v>601302.35640000005</v>
      </c>
      <c r="H291">
        <v>618254.22450000001</v>
      </c>
      <c r="I291">
        <v>629273.33019999997</v>
      </c>
      <c r="J291">
        <v>643578.0919</v>
      </c>
      <c r="K291">
        <v>659570.36589999998</v>
      </c>
      <c r="L291">
        <v>680782.07160000002</v>
      </c>
      <c r="M291">
        <v>707668.81539999996</v>
      </c>
      <c r="N291">
        <v>726436.33310000005</v>
      </c>
      <c r="O291">
        <v>721131.15060000005</v>
      </c>
      <c r="P291">
        <v>719922.1422</v>
      </c>
      <c r="Q291">
        <v>718558.47479999997</v>
      </c>
      <c r="R291">
        <v>716020.36100000003</v>
      </c>
      <c r="S291">
        <v>721842.85049999994</v>
      </c>
      <c r="T291">
        <v>726288.39240000001</v>
      </c>
      <c r="U291">
        <v>727287.19279999996</v>
      </c>
      <c r="V291">
        <v>727515.27800000005</v>
      </c>
      <c r="W291">
        <v>726758.22629999998</v>
      </c>
      <c r="X291">
        <v>724867.73289999994</v>
      </c>
      <c r="Y291">
        <v>723747.35270000005</v>
      </c>
      <c r="Z291">
        <v>723727.16509999998</v>
      </c>
      <c r="AA291">
        <v>724548.7243</v>
      </c>
      <c r="AB291">
        <v>725922.96770000004</v>
      </c>
      <c r="AC291">
        <v>727682.52350000001</v>
      </c>
      <c r="AD291">
        <v>729164.47860000003</v>
      </c>
      <c r="AE291">
        <v>731625.12250000006</v>
      </c>
      <c r="AF291">
        <v>734225.21389999997</v>
      </c>
      <c r="AG291">
        <v>736681.51100000006</v>
      </c>
      <c r="AH291">
        <v>738928.80680000002</v>
      </c>
      <c r="AI291">
        <v>741020.31559999997</v>
      </c>
      <c r="AJ291">
        <v>743004.55539999995</v>
      </c>
      <c r="AK291">
        <v>744982.44900000002</v>
      </c>
      <c r="AL291">
        <v>746939.15769999998</v>
      </c>
      <c r="AM291">
        <v>749050.58900000004</v>
      </c>
      <c r="AN291">
        <v>751706.5098</v>
      </c>
      <c r="AO291">
        <v>754838.74750000006</v>
      </c>
      <c r="AP291">
        <v>757904.32220000005</v>
      </c>
      <c r="AQ291">
        <v>761422.94149999996</v>
      </c>
      <c r="AR291">
        <v>764645.94539999997</v>
      </c>
      <c r="AS291">
        <v>767972.82169999997</v>
      </c>
      <c r="AT291">
        <v>771194.54469999997</v>
      </c>
      <c r="AU291">
        <v>774461.06270000001</v>
      </c>
      <c r="AV291">
        <v>777553.30200000003</v>
      </c>
      <c r="AW291">
        <v>780824.01809999999</v>
      </c>
    </row>
    <row r="292" spans="2:49" x14ac:dyDescent="0.25">
      <c r="B292" t="s">
        <v>322</v>
      </c>
      <c r="C292">
        <v>241047.76327865999</v>
      </c>
      <c r="D292">
        <v>244917.86308720699</v>
      </c>
      <c r="E292">
        <v>248850.0986</v>
      </c>
      <c r="F292">
        <v>262898.27980000002</v>
      </c>
      <c r="G292">
        <v>272241.5797</v>
      </c>
      <c r="H292">
        <v>287790.76390000002</v>
      </c>
      <c r="I292">
        <v>299414.87190000003</v>
      </c>
      <c r="J292">
        <v>315293.48210000002</v>
      </c>
      <c r="K292">
        <v>335053.53840000002</v>
      </c>
      <c r="L292">
        <v>357361.83149999997</v>
      </c>
      <c r="M292">
        <v>382940.67560000002</v>
      </c>
      <c r="N292">
        <v>405801.78539999999</v>
      </c>
      <c r="O292">
        <v>397150.76010000001</v>
      </c>
      <c r="P292">
        <v>389429.723</v>
      </c>
      <c r="Q292">
        <v>380440.76630000002</v>
      </c>
      <c r="R292">
        <v>367234.37349999999</v>
      </c>
      <c r="S292">
        <v>367295.58689999999</v>
      </c>
      <c r="T292">
        <v>369444.41210000002</v>
      </c>
      <c r="U292">
        <v>370659.09279999998</v>
      </c>
      <c r="V292">
        <v>371424.39559999999</v>
      </c>
      <c r="W292">
        <v>375194.33809999999</v>
      </c>
      <c r="X292">
        <v>376367.38410000002</v>
      </c>
      <c r="Y292">
        <v>377065.90500000003</v>
      </c>
      <c r="Z292">
        <v>377936.16759999999</v>
      </c>
      <c r="AA292">
        <v>379069.0172</v>
      </c>
      <c r="AB292">
        <v>380414.22730000003</v>
      </c>
      <c r="AC292">
        <v>381905.20140000002</v>
      </c>
      <c r="AD292">
        <v>382418.07290000003</v>
      </c>
      <c r="AE292">
        <v>383720.23320000002</v>
      </c>
      <c r="AF292">
        <v>385434.304</v>
      </c>
      <c r="AG292">
        <v>387360.1753</v>
      </c>
      <c r="AH292">
        <v>389378.46519999998</v>
      </c>
      <c r="AI292">
        <v>391397.34179999999</v>
      </c>
      <c r="AJ292">
        <v>393389.28249999997</v>
      </c>
      <c r="AK292">
        <v>395374.32370000001</v>
      </c>
      <c r="AL292">
        <v>397362.31099999999</v>
      </c>
      <c r="AM292">
        <v>399419.03860000003</v>
      </c>
      <c r="AN292">
        <v>401347.82439999998</v>
      </c>
      <c r="AO292">
        <v>403342.99249999999</v>
      </c>
      <c r="AP292">
        <v>405385.25449999998</v>
      </c>
      <c r="AQ292">
        <v>407528.57199999999</v>
      </c>
      <c r="AR292">
        <v>409703.13880000002</v>
      </c>
      <c r="AS292">
        <v>411884.7059</v>
      </c>
      <c r="AT292">
        <v>414067.22389999998</v>
      </c>
      <c r="AU292">
        <v>416260.63429999998</v>
      </c>
      <c r="AV292">
        <v>418439.6617</v>
      </c>
      <c r="AW292">
        <v>420476.89569999999</v>
      </c>
    </row>
    <row r="293" spans="2:49" x14ac:dyDescent="0.25">
      <c r="B293" t="s">
        <v>323</v>
      </c>
      <c r="C293">
        <v>383714635.27038902</v>
      </c>
      <c r="D293">
        <v>389875297.85567099</v>
      </c>
      <c r="E293">
        <v>396134871.89999998</v>
      </c>
      <c r="F293">
        <v>412015962.39999998</v>
      </c>
      <c r="G293">
        <v>421142046.19999999</v>
      </c>
      <c r="H293">
        <v>439537742.5</v>
      </c>
      <c r="I293">
        <v>454175219.19999999</v>
      </c>
      <c r="J293">
        <v>471399717.39999998</v>
      </c>
      <c r="K293">
        <v>493298723.89999998</v>
      </c>
      <c r="L293">
        <v>519361374.69999999</v>
      </c>
      <c r="M293">
        <v>549574613.60000002</v>
      </c>
      <c r="N293">
        <v>565404891.79999995</v>
      </c>
      <c r="O293">
        <v>564692559.5</v>
      </c>
      <c r="P293">
        <v>564413232</v>
      </c>
      <c r="Q293">
        <v>563182343.39999998</v>
      </c>
      <c r="R293">
        <v>562978063.29999995</v>
      </c>
      <c r="S293">
        <v>568376145.29999995</v>
      </c>
      <c r="T293">
        <v>573130308.20000005</v>
      </c>
      <c r="U293">
        <v>575742986.79999995</v>
      </c>
      <c r="V293">
        <v>577610805.79999995</v>
      </c>
      <c r="W293">
        <v>578416411.20000005</v>
      </c>
      <c r="X293">
        <v>578452667.39999998</v>
      </c>
      <c r="Y293">
        <v>579305115.5</v>
      </c>
      <c r="Z293">
        <v>580988517.20000005</v>
      </c>
      <c r="AA293">
        <v>583336682.20000005</v>
      </c>
      <c r="AB293">
        <v>586136116.60000002</v>
      </c>
      <c r="AC293">
        <v>589237677.89999998</v>
      </c>
      <c r="AD293">
        <v>592455015.39999998</v>
      </c>
      <c r="AE293">
        <v>595710259.39999998</v>
      </c>
      <c r="AF293">
        <v>598957768.20000005</v>
      </c>
      <c r="AG293">
        <v>602183028.10000002</v>
      </c>
      <c r="AH293">
        <v>605401851.10000002</v>
      </c>
      <c r="AI293">
        <v>608582403.10000002</v>
      </c>
      <c r="AJ293">
        <v>611762384.20000005</v>
      </c>
      <c r="AK293">
        <v>614968929.10000002</v>
      </c>
      <c r="AL293">
        <v>618230789.5</v>
      </c>
      <c r="AM293">
        <v>621561052.5</v>
      </c>
      <c r="AN293">
        <v>625064560.60000002</v>
      </c>
      <c r="AO293">
        <v>628723486.20000005</v>
      </c>
      <c r="AP293">
        <v>632497190.20000005</v>
      </c>
      <c r="AQ293">
        <v>636361446.60000002</v>
      </c>
      <c r="AR293">
        <v>640284618.60000002</v>
      </c>
      <c r="AS293">
        <v>644233261.60000002</v>
      </c>
      <c r="AT293">
        <v>648202990.29999995</v>
      </c>
      <c r="AU293">
        <v>652187986.10000002</v>
      </c>
      <c r="AV293">
        <v>656182660.20000005</v>
      </c>
      <c r="AW293">
        <v>660218561.10000002</v>
      </c>
    </row>
    <row r="294" spans="2:49" x14ac:dyDescent="0.25">
      <c r="B294" t="s">
        <v>324</v>
      </c>
      <c r="C294">
        <v>261485.90393552999</v>
      </c>
      <c r="D294">
        <v>265684.14470322698</v>
      </c>
      <c r="E294">
        <v>269949.78960000002</v>
      </c>
      <c r="F294">
        <v>277098.17170000001</v>
      </c>
      <c r="G294">
        <v>283659.86829999997</v>
      </c>
      <c r="H294">
        <v>284994.99819999997</v>
      </c>
      <c r="I294">
        <v>276969.24219999998</v>
      </c>
      <c r="J294">
        <v>276311.07939999999</v>
      </c>
      <c r="K294">
        <v>278560.18609999999</v>
      </c>
      <c r="L294">
        <v>278778.19709999999</v>
      </c>
      <c r="M294">
        <v>284116.59600000002</v>
      </c>
      <c r="N294">
        <v>292990.47159999999</v>
      </c>
      <c r="O294">
        <v>300379.13520000002</v>
      </c>
      <c r="P294">
        <v>308878.95010000002</v>
      </c>
      <c r="Q294">
        <v>317365.6201</v>
      </c>
      <c r="R294">
        <v>328595.4534</v>
      </c>
      <c r="S294">
        <v>327873.1421</v>
      </c>
      <c r="T294">
        <v>327196.73859999998</v>
      </c>
      <c r="U294">
        <v>327409.57990000001</v>
      </c>
      <c r="V294">
        <v>326764.87479999999</v>
      </c>
      <c r="W294">
        <v>333217.77730000002</v>
      </c>
      <c r="X294">
        <v>338119.90350000001</v>
      </c>
      <c r="Y294">
        <v>343709.4852</v>
      </c>
      <c r="Z294">
        <v>349759.48340000003</v>
      </c>
      <c r="AA294">
        <v>356370.87469999999</v>
      </c>
      <c r="AB294">
        <v>363340.02039999998</v>
      </c>
      <c r="AC294">
        <v>370552.8284</v>
      </c>
      <c r="AD294">
        <v>377970.97330000001</v>
      </c>
      <c r="AE294">
        <v>385430.85960000003</v>
      </c>
      <c r="AF294">
        <v>392795.27899999998</v>
      </c>
      <c r="AG294">
        <v>400035.85989999998</v>
      </c>
      <c r="AH294">
        <v>407221.97249999997</v>
      </c>
      <c r="AI294">
        <v>414341.52409999998</v>
      </c>
      <c r="AJ294">
        <v>421455.72859999997</v>
      </c>
      <c r="AK294">
        <v>428582.18430000002</v>
      </c>
      <c r="AL294">
        <v>435914.51770000003</v>
      </c>
      <c r="AM294">
        <v>443504.58110000001</v>
      </c>
      <c r="AN294">
        <v>451457.88699999999</v>
      </c>
      <c r="AO294">
        <v>459809.89630000002</v>
      </c>
      <c r="AP294">
        <v>468508.27549999999</v>
      </c>
      <c r="AQ294">
        <v>477624.98100000003</v>
      </c>
      <c r="AR294">
        <v>487160.99959999998</v>
      </c>
      <c r="AS294">
        <v>497061.38179999997</v>
      </c>
      <c r="AT294">
        <v>507397.16580000002</v>
      </c>
      <c r="AU294">
        <v>518157.02309999999</v>
      </c>
      <c r="AV294">
        <v>529301.63500000001</v>
      </c>
      <c r="AW294">
        <v>541036.3517</v>
      </c>
    </row>
    <row r="295" spans="2:49" x14ac:dyDescent="0.25">
      <c r="B295" t="s">
        <v>325</v>
      </c>
      <c r="C295">
        <v>158336.21117690401</v>
      </c>
      <c r="D295">
        <v>160878.35026264799</v>
      </c>
      <c r="E295">
        <v>163461.30420000001</v>
      </c>
      <c r="F295">
        <v>168432.22510000001</v>
      </c>
      <c r="G295">
        <v>175099.23300000001</v>
      </c>
      <c r="H295">
        <v>184375.0638</v>
      </c>
      <c r="I295">
        <v>192030.4235</v>
      </c>
      <c r="J295">
        <v>200640.8302</v>
      </c>
      <c r="K295">
        <v>215030.5569</v>
      </c>
      <c r="L295">
        <v>230856.481</v>
      </c>
      <c r="M295">
        <v>247457.1078</v>
      </c>
      <c r="N295">
        <v>260450.02830000001</v>
      </c>
      <c r="O295">
        <v>261242.96429999999</v>
      </c>
      <c r="P295">
        <v>258856.2923</v>
      </c>
      <c r="Q295">
        <v>254988.948</v>
      </c>
      <c r="R295">
        <v>253654.0907</v>
      </c>
      <c r="S295">
        <v>254237.35339999999</v>
      </c>
      <c r="T295">
        <v>257189.93580000001</v>
      </c>
      <c r="U295">
        <v>258543.78959999999</v>
      </c>
      <c r="V295">
        <v>259386.63159999999</v>
      </c>
      <c r="W295">
        <v>259903.5073</v>
      </c>
      <c r="X295">
        <v>259956.198</v>
      </c>
      <c r="Y295">
        <v>260437.76130000001</v>
      </c>
      <c r="Z295">
        <v>261237.78630000001</v>
      </c>
      <c r="AA295">
        <v>262227.15639999998</v>
      </c>
      <c r="AB295">
        <v>263286.02970000001</v>
      </c>
      <c r="AC295">
        <v>264344.2329</v>
      </c>
      <c r="AD295">
        <v>265424.76549999998</v>
      </c>
      <c r="AE295">
        <v>266439.77189999999</v>
      </c>
      <c r="AF295">
        <v>267368.20740000001</v>
      </c>
      <c r="AG295">
        <v>268203.45500000002</v>
      </c>
      <c r="AH295">
        <v>268956.33779999998</v>
      </c>
      <c r="AI295">
        <v>269612.45480000001</v>
      </c>
      <c r="AJ295">
        <v>270206.88860000001</v>
      </c>
      <c r="AK295">
        <v>270786.21990000003</v>
      </c>
      <c r="AL295">
        <v>271368.24249999999</v>
      </c>
      <c r="AM295">
        <v>271978.18670000002</v>
      </c>
      <c r="AN295">
        <v>272532.17509999999</v>
      </c>
      <c r="AO295">
        <v>273149.50439999998</v>
      </c>
      <c r="AP295">
        <v>273853.734</v>
      </c>
      <c r="AQ295">
        <v>274637.43</v>
      </c>
      <c r="AR295">
        <v>275494.42930000002</v>
      </c>
      <c r="AS295">
        <v>276407.62</v>
      </c>
      <c r="AT295">
        <v>277370.5686</v>
      </c>
      <c r="AU295">
        <v>278382.20299999998</v>
      </c>
      <c r="AV295">
        <v>279442.02380000002</v>
      </c>
      <c r="AW295">
        <v>280541.99550000002</v>
      </c>
    </row>
    <row r="296" spans="2:49" x14ac:dyDescent="0.25">
      <c r="B296" t="s">
        <v>326</v>
      </c>
      <c r="C296">
        <v>516755.579312385</v>
      </c>
      <c r="D296">
        <v>525052.257287574</v>
      </c>
      <c r="E296">
        <v>533482.14110000001</v>
      </c>
      <c r="F296">
        <v>549193.42949999997</v>
      </c>
      <c r="G296">
        <v>552125.20750000002</v>
      </c>
      <c r="H296">
        <v>567689.07709999999</v>
      </c>
      <c r="I296">
        <v>577881.47109999997</v>
      </c>
      <c r="J296">
        <v>590938.95559999999</v>
      </c>
      <c r="K296">
        <v>606348.71059999999</v>
      </c>
      <c r="L296">
        <v>626362.15890000004</v>
      </c>
      <c r="M296">
        <v>651249.59259999997</v>
      </c>
      <c r="N296">
        <v>668543.24080000003</v>
      </c>
      <c r="O296">
        <v>664369.31969999999</v>
      </c>
      <c r="P296">
        <v>663263.02879999997</v>
      </c>
      <c r="Q296">
        <v>661839.09210000001</v>
      </c>
      <c r="R296">
        <v>660077.05740000005</v>
      </c>
      <c r="S296">
        <v>665324.76679999998</v>
      </c>
      <c r="T296">
        <v>667779.48219999997</v>
      </c>
      <c r="U296">
        <v>668194.7977</v>
      </c>
      <c r="V296">
        <v>667866.45589999994</v>
      </c>
      <c r="W296">
        <v>666191.7683</v>
      </c>
      <c r="X296">
        <v>663723.80429999996</v>
      </c>
      <c r="Y296">
        <v>662148.92079999996</v>
      </c>
      <c r="Z296">
        <v>661561.65280000004</v>
      </c>
      <c r="AA296">
        <v>661803.85589999997</v>
      </c>
      <c r="AB296">
        <v>662643.79059999995</v>
      </c>
      <c r="AC296">
        <v>663910.21329999994</v>
      </c>
      <c r="AD296">
        <v>665309.8824</v>
      </c>
      <c r="AE296">
        <v>666794.22259999998</v>
      </c>
      <c r="AF296">
        <v>668312.43180000002</v>
      </c>
      <c r="AG296">
        <v>669848.67509999999</v>
      </c>
      <c r="AH296">
        <v>671418.0013</v>
      </c>
      <c r="AI296">
        <v>672985.6078</v>
      </c>
      <c r="AJ296">
        <v>674579.74950000003</v>
      </c>
      <c r="AK296">
        <v>676204.26850000001</v>
      </c>
      <c r="AL296">
        <v>677886.55689999997</v>
      </c>
      <c r="AM296">
        <v>679625.64029999997</v>
      </c>
      <c r="AN296">
        <v>681632.74459999998</v>
      </c>
      <c r="AO296">
        <v>683790.73210000002</v>
      </c>
      <c r="AP296">
        <v>686022.71840000001</v>
      </c>
      <c r="AQ296">
        <v>688298.93240000005</v>
      </c>
      <c r="AR296">
        <v>690578.65049999999</v>
      </c>
      <c r="AS296">
        <v>692827.38690000004</v>
      </c>
      <c r="AT296">
        <v>695043.68039999995</v>
      </c>
      <c r="AU296">
        <v>697220.10919999995</v>
      </c>
      <c r="AV296">
        <v>699349.23259999999</v>
      </c>
      <c r="AW296">
        <v>701480.72640000004</v>
      </c>
    </row>
    <row r="297" spans="2:49" x14ac:dyDescent="0.25">
      <c r="B297" t="s">
        <v>327</v>
      </c>
      <c r="C297">
        <v>82711.5521017555</v>
      </c>
      <c r="D297">
        <v>84039.512824558697</v>
      </c>
      <c r="E297">
        <v>85388.794389999995</v>
      </c>
      <c r="F297">
        <v>94624.030620000005</v>
      </c>
      <c r="G297">
        <v>97309.61477</v>
      </c>
      <c r="H297">
        <v>103596.51669999999</v>
      </c>
      <c r="I297">
        <v>107572.88219999999</v>
      </c>
      <c r="J297">
        <v>114868.29549999999</v>
      </c>
      <c r="K297">
        <v>120273.13920000001</v>
      </c>
      <c r="L297">
        <v>126785.8879</v>
      </c>
      <c r="M297">
        <v>135784.2187</v>
      </c>
      <c r="N297">
        <v>145687.5558</v>
      </c>
      <c r="O297">
        <v>136449.88690000001</v>
      </c>
      <c r="P297">
        <v>131145.65659999999</v>
      </c>
      <c r="Q297">
        <v>126036.6703</v>
      </c>
      <c r="R297">
        <v>114478.12579999999</v>
      </c>
      <c r="S297">
        <v>113957.5534</v>
      </c>
      <c r="T297">
        <v>113452.2179</v>
      </c>
      <c r="U297">
        <v>113141.73759999999</v>
      </c>
      <c r="V297">
        <v>113072.56299999999</v>
      </c>
      <c r="W297">
        <v>112874.747</v>
      </c>
      <c r="X297">
        <v>112776.14320000001</v>
      </c>
      <c r="Y297">
        <v>112539.6443</v>
      </c>
      <c r="Z297">
        <v>112400.64720000001</v>
      </c>
      <c r="AA297">
        <v>112466.8627</v>
      </c>
      <c r="AB297">
        <v>112592.7674</v>
      </c>
      <c r="AC297">
        <v>112818.2389</v>
      </c>
      <c r="AD297">
        <v>113136.394</v>
      </c>
      <c r="AE297">
        <v>113540.7948</v>
      </c>
      <c r="AF297">
        <v>114008.87699999999</v>
      </c>
      <c r="AG297">
        <v>114528.3138</v>
      </c>
      <c r="AH297">
        <v>115094.8662</v>
      </c>
      <c r="AI297">
        <v>115706.08990000001</v>
      </c>
      <c r="AJ297">
        <v>116349.0866</v>
      </c>
      <c r="AK297">
        <v>117008.68580000001</v>
      </c>
      <c r="AL297">
        <v>117689.6056</v>
      </c>
      <c r="AM297">
        <v>118382.5619</v>
      </c>
      <c r="AN297">
        <v>119126.9765</v>
      </c>
      <c r="AO297">
        <v>119874.96219999999</v>
      </c>
      <c r="AP297">
        <v>120609.4492</v>
      </c>
      <c r="AQ297">
        <v>121335.57369999999</v>
      </c>
      <c r="AR297">
        <v>122046.9359</v>
      </c>
      <c r="AS297">
        <v>122744.4856</v>
      </c>
      <c r="AT297">
        <v>123431.1514</v>
      </c>
      <c r="AU297">
        <v>124102.45110000001</v>
      </c>
      <c r="AV297">
        <v>124754.2381</v>
      </c>
      <c r="AW297">
        <v>125408.1202</v>
      </c>
    </row>
    <row r="298" spans="2:49" x14ac:dyDescent="0.25">
      <c r="B298" t="s">
        <v>328</v>
      </c>
      <c r="C298">
        <v>45689.201708803201</v>
      </c>
      <c r="D298">
        <v>46422.756620829103</v>
      </c>
      <c r="E298">
        <v>47168.089010000003</v>
      </c>
      <c r="F298">
        <v>49526.52895</v>
      </c>
      <c r="G298">
        <v>49189.323729999996</v>
      </c>
      <c r="H298">
        <v>50577.665509999999</v>
      </c>
      <c r="I298">
        <v>51404.659030000003</v>
      </c>
      <c r="J298">
        <v>52652.29189</v>
      </c>
      <c r="K298">
        <v>53240.421770000001</v>
      </c>
      <c r="L298">
        <v>54441.881390000002</v>
      </c>
      <c r="M298">
        <v>56442.274799999999</v>
      </c>
      <c r="N298">
        <v>57916.760419999999</v>
      </c>
      <c r="O298">
        <v>56790.046549999999</v>
      </c>
      <c r="P298">
        <v>56687.282290000003</v>
      </c>
      <c r="Q298">
        <v>56747.768029999999</v>
      </c>
      <c r="R298">
        <v>55974.758280000002</v>
      </c>
      <c r="S298">
        <v>56547.996440000003</v>
      </c>
      <c r="T298">
        <v>56516.294699999999</v>
      </c>
      <c r="U298">
        <v>56388.970679999999</v>
      </c>
      <c r="V298">
        <v>56254.180350000002</v>
      </c>
      <c r="W298">
        <v>55974.155650000001</v>
      </c>
      <c r="X298">
        <v>55664.8626</v>
      </c>
      <c r="Y298">
        <v>55409.21</v>
      </c>
      <c r="Z298">
        <v>55258.398009999997</v>
      </c>
      <c r="AA298">
        <v>55214.919900000001</v>
      </c>
      <c r="AB298">
        <v>55252.533790000001</v>
      </c>
      <c r="AC298">
        <v>55359.742689999999</v>
      </c>
      <c r="AD298">
        <v>55489.44889</v>
      </c>
      <c r="AE298">
        <v>55648.073859999997</v>
      </c>
      <c r="AF298">
        <v>55830.375970000001</v>
      </c>
      <c r="AG298">
        <v>56034.3338</v>
      </c>
      <c r="AH298">
        <v>56260.084049999998</v>
      </c>
      <c r="AI298">
        <v>56504.36969</v>
      </c>
      <c r="AJ298">
        <v>56764.978439999999</v>
      </c>
      <c r="AK298">
        <v>57034.523529999999</v>
      </c>
      <c r="AL298">
        <v>57313.917820000002</v>
      </c>
      <c r="AM298">
        <v>57598.368470000001</v>
      </c>
      <c r="AN298">
        <v>57934.873590000003</v>
      </c>
      <c r="AO298">
        <v>58284.309229999999</v>
      </c>
      <c r="AP298">
        <v>58630.705020000001</v>
      </c>
      <c r="AQ298">
        <v>58970.924299999999</v>
      </c>
      <c r="AR298">
        <v>59299.249909999999</v>
      </c>
      <c r="AS298">
        <v>59613.372049999998</v>
      </c>
      <c r="AT298">
        <v>59914.023410000002</v>
      </c>
      <c r="AU298">
        <v>60199.967960000002</v>
      </c>
      <c r="AV298">
        <v>60470.056900000003</v>
      </c>
      <c r="AW298">
        <v>60734.0939</v>
      </c>
    </row>
    <row r="299" spans="2:49" x14ac:dyDescent="0.25">
      <c r="B299" t="s">
        <v>329</v>
      </c>
      <c r="C299">
        <v>562444.78102118894</v>
      </c>
      <c r="D299">
        <v>571475.01390840299</v>
      </c>
      <c r="E299">
        <v>580650.23010000004</v>
      </c>
      <c r="F299">
        <v>598711.18119999999</v>
      </c>
      <c r="G299">
        <v>601302.35640000005</v>
      </c>
      <c r="H299">
        <v>618254.22450000001</v>
      </c>
      <c r="I299">
        <v>629273.33019999997</v>
      </c>
      <c r="J299">
        <v>643578.0919</v>
      </c>
      <c r="K299">
        <v>659570.36589999998</v>
      </c>
      <c r="L299">
        <v>680782.07160000002</v>
      </c>
      <c r="M299">
        <v>707668.81539999996</v>
      </c>
      <c r="N299">
        <v>726436.33310000005</v>
      </c>
      <c r="O299">
        <v>721131.15060000005</v>
      </c>
      <c r="P299">
        <v>719922.1422</v>
      </c>
      <c r="Q299">
        <v>718558.47479999997</v>
      </c>
      <c r="R299">
        <v>716020.36100000003</v>
      </c>
      <c r="S299">
        <v>721840.91879999998</v>
      </c>
      <c r="T299">
        <v>726382.50430000003</v>
      </c>
      <c r="U299">
        <v>727341.38769999996</v>
      </c>
      <c r="V299">
        <v>727547.01690000005</v>
      </c>
      <c r="W299">
        <v>726252.41949999996</v>
      </c>
      <c r="X299">
        <v>724127.05319999997</v>
      </c>
      <c r="Y299">
        <v>722951.03500000003</v>
      </c>
      <c r="Z299">
        <v>722874.06770000001</v>
      </c>
      <c r="AA299">
        <v>723742.07869999995</v>
      </c>
      <c r="AB299">
        <v>725296.98270000005</v>
      </c>
      <c r="AC299">
        <v>727355.84039999999</v>
      </c>
      <c r="AD299">
        <v>729575.51899999997</v>
      </c>
      <c r="AE299">
        <v>731913.73510000005</v>
      </c>
      <c r="AF299">
        <v>734313.95349999995</v>
      </c>
      <c r="AG299">
        <v>736758.19090000005</v>
      </c>
      <c r="AH299">
        <v>739261.96699999995</v>
      </c>
      <c r="AI299">
        <v>741786.7169</v>
      </c>
      <c r="AJ299">
        <v>744358.98549999995</v>
      </c>
      <c r="AK299">
        <v>746975.28850000002</v>
      </c>
      <c r="AL299">
        <v>749664.6</v>
      </c>
      <c r="AM299">
        <v>752421.23529999994</v>
      </c>
      <c r="AN299">
        <v>755509.09230000002</v>
      </c>
      <c r="AO299">
        <v>758769.34849999996</v>
      </c>
      <c r="AP299">
        <v>762107.46620000002</v>
      </c>
      <c r="AQ299">
        <v>765489.95059999998</v>
      </c>
      <c r="AR299">
        <v>768869.31110000005</v>
      </c>
      <c r="AS299">
        <v>772207.77579999994</v>
      </c>
      <c r="AT299">
        <v>775504.48199999996</v>
      </c>
      <c r="AU299">
        <v>778750.41310000001</v>
      </c>
      <c r="AV299">
        <v>781936.59019999998</v>
      </c>
      <c r="AW299">
        <v>785124.10979999998</v>
      </c>
    </row>
    <row r="300" spans="2:49" x14ac:dyDescent="0.25">
      <c r="B300" t="s">
        <v>330</v>
      </c>
      <c r="C300">
        <v>241047.76327865999</v>
      </c>
      <c r="D300">
        <v>244917.86308720699</v>
      </c>
      <c r="E300">
        <v>248850.0986</v>
      </c>
      <c r="F300">
        <v>262898.27980000002</v>
      </c>
      <c r="G300">
        <v>272241.5797</v>
      </c>
      <c r="H300">
        <v>287790.76390000002</v>
      </c>
      <c r="I300">
        <v>299414.87190000003</v>
      </c>
      <c r="J300">
        <v>315293.48210000002</v>
      </c>
      <c r="K300">
        <v>335053.53840000002</v>
      </c>
      <c r="L300">
        <v>357361.83149999997</v>
      </c>
      <c r="M300">
        <v>382940.67560000002</v>
      </c>
      <c r="N300">
        <v>405801.78539999999</v>
      </c>
      <c r="O300">
        <v>397150.76010000001</v>
      </c>
      <c r="P300">
        <v>389429.723</v>
      </c>
      <c r="Q300">
        <v>380440.76630000002</v>
      </c>
      <c r="R300">
        <v>367234.37349999999</v>
      </c>
      <c r="S300">
        <v>367295.0638</v>
      </c>
      <c r="T300">
        <v>369726.24790000002</v>
      </c>
      <c r="U300">
        <v>370764.53159999999</v>
      </c>
      <c r="V300">
        <v>371535.69420000003</v>
      </c>
      <c r="W300">
        <v>371853.41269999999</v>
      </c>
      <c r="X300">
        <v>371807.56809999997</v>
      </c>
      <c r="Y300">
        <v>372051.41220000002</v>
      </c>
      <c r="Z300">
        <v>372710.0724</v>
      </c>
      <c r="AA300">
        <v>373762.63520000002</v>
      </c>
      <c r="AB300">
        <v>374944.13459999999</v>
      </c>
      <c r="AC300">
        <v>376224.45779999997</v>
      </c>
      <c r="AD300">
        <v>377619.60369999998</v>
      </c>
      <c r="AE300">
        <v>379035.47820000001</v>
      </c>
      <c r="AF300">
        <v>380428.50640000001</v>
      </c>
      <c r="AG300">
        <v>381779.73979999998</v>
      </c>
      <c r="AH300">
        <v>383095.71049999999</v>
      </c>
      <c r="AI300">
        <v>384359.56800000003</v>
      </c>
      <c r="AJ300">
        <v>385593.467</v>
      </c>
      <c r="AK300">
        <v>386828.81060000003</v>
      </c>
      <c r="AL300">
        <v>388088.0601</v>
      </c>
      <c r="AM300">
        <v>389387.17259999999</v>
      </c>
      <c r="AN300">
        <v>390681.59720000002</v>
      </c>
      <c r="AO300">
        <v>392042.84139999998</v>
      </c>
      <c r="AP300">
        <v>393477.4437</v>
      </c>
      <c r="AQ300">
        <v>394983.07640000002</v>
      </c>
      <c r="AR300">
        <v>396547.20289999997</v>
      </c>
      <c r="AS300">
        <v>398153.67320000002</v>
      </c>
      <c r="AT300">
        <v>399798.97330000001</v>
      </c>
      <c r="AU300">
        <v>401477.56089999998</v>
      </c>
      <c r="AV300">
        <v>403184.79690000002</v>
      </c>
      <c r="AW300">
        <v>404934.18900000001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AM56"/>
  <sheetViews>
    <sheetView zoomScale="90" zoomScaleNormal="90" workbookViewId="0">
      <selection activeCell="U5" sqref="U5"/>
    </sheetView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6" width="5.5703125" customWidth="1"/>
    <col min="7" max="8" width="7.140625" customWidth="1"/>
    <col min="9" max="23" width="7.42578125" customWidth="1"/>
  </cols>
  <sheetData>
    <row r="1" spans="1:29" ht="28.5" x14ac:dyDescent="0.45">
      <c r="A1" s="225" t="s">
        <v>243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70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226" t="s">
        <v>227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94" t="str">
        <f>Résultats!B1</f>
        <v>TEND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ht="23.25" x14ac:dyDescent="0.35">
      <c r="A5" s="70"/>
      <c r="B5" s="3"/>
      <c r="C5" s="3"/>
      <c r="D5" s="7"/>
      <c r="E5" s="238">
        <v>4</v>
      </c>
      <c r="F5" s="238">
        <f>E5+9</f>
        <v>13</v>
      </c>
      <c r="G5" s="238">
        <f>F5+3</f>
        <v>16</v>
      </c>
      <c r="H5" s="238">
        <f t="shared" ref="H5:S5" si="0">G5+1</f>
        <v>17</v>
      </c>
      <c r="I5" s="238">
        <f t="shared" si="0"/>
        <v>18</v>
      </c>
      <c r="J5" s="238">
        <f t="shared" si="0"/>
        <v>19</v>
      </c>
      <c r="K5" s="238">
        <f t="shared" si="0"/>
        <v>20</v>
      </c>
      <c r="L5" s="238">
        <f t="shared" si="0"/>
        <v>21</v>
      </c>
      <c r="M5" s="238">
        <f t="shared" si="0"/>
        <v>22</v>
      </c>
      <c r="N5" s="238">
        <f t="shared" si="0"/>
        <v>23</v>
      </c>
      <c r="O5" s="238">
        <f t="shared" si="0"/>
        <v>24</v>
      </c>
      <c r="P5" s="238">
        <f t="shared" si="0"/>
        <v>25</v>
      </c>
      <c r="Q5" s="238">
        <f t="shared" si="0"/>
        <v>26</v>
      </c>
      <c r="R5" s="238">
        <f t="shared" si="0"/>
        <v>27</v>
      </c>
      <c r="S5" s="238">
        <f t="shared" si="0"/>
        <v>28</v>
      </c>
      <c r="T5" s="238">
        <f>S5+5</f>
        <v>33</v>
      </c>
      <c r="U5" s="238">
        <f>T5+5</f>
        <v>38</v>
      </c>
      <c r="V5" s="238">
        <f>U5+5</f>
        <v>43</v>
      </c>
      <c r="W5" s="238">
        <f>V5+5</f>
        <v>48</v>
      </c>
      <c r="X5" s="3"/>
    </row>
    <row r="6" spans="1:29" x14ac:dyDescent="0.25">
      <c r="A6" s="3"/>
      <c r="B6" s="205"/>
      <c r="C6" s="2"/>
      <c r="D6" s="18"/>
      <c r="E6" s="4">
        <v>2006</v>
      </c>
      <c r="F6" s="4">
        <v>2015</v>
      </c>
      <c r="G6" s="26">
        <v>2018</v>
      </c>
      <c r="H6" s="33">
        <v>2019</v>
      </c>
      <c r="I6" s="108">
        <v>2020</v>
      </c>
      <c r="J6" s="116">
        <v>2021</v>
      </c>
      <c r="K6" s="33">
        <v>2022</v>
      </c>
      <c r="L6" s="33">
        <v>2023</v>
      </c>
      <c r="M6" s="33">
        <v>2024</v>
      </c>
      <c r="N6" s="108">
        <v>2025</v>
      </c>
      <c r="O6" s="116">
        <v>2026</v>
      </c>
      <c r="P6" s="33">
        <v>2027</v>
      </c>
      <c r="Q6" s="33">
        <v>2028</v>
      </c>
      <c r="R6" s="33">
        <v>2029</v>
      </c>
      <c r="S6" s="117">
        <v>2030</v>
      </c>
      <c r="T6" s="118">
        <v>2035</v>
      </c>
      <c r="U6" s="118">
        <v>2040</v>
      </c>
      <c r="V6" s="118">
        <v>2045</v>
      </c>
      <c r="W6" s="118">
        <v>2050</v>
      </c>
      <c r="X6" s="3"/>
      <c r="Y6" s="44"/>
      <c r="Z6" s="51" t="s">
        <v>236</v>
      </c>
      <c r="AA6" s="51"/>
      <c r="AB6" s="51"/>
      <c r="AC6" s="53"/>
    </row>
    <row r="7" spans="1:29" ht="15" customHeight="1" x14ac:dyDescent="0.25">
      <c r="A7" s="3"/>
      <c r="B7" s="272" t="s">
        <v>0</v>
      </c>
      <c r="C7" s="5" t="s">
        <v>1</v>
      </c>
      <c r="D7" s="2"/>
      <c r="E7" s="6" t="e">
        <f>SUM(E8:E9)</f>
        <v>#N/A</v>
      </c>
      <c r="F7" s="6" t="e">
        <f>SUM(F8:F9)</f>
        <v>#N/A</v>
      </c>
      <c r="G7" s="109" t="e">
        <f t="shared" ref="G7:R7" si="1">SUM(G8:G9)</f>
        <v>#N/A</v>
      </c>
      <c r="H7" s="6" t="e">
        <f t="shared" si="1"/>
        <v>#N/A</v>
      </c>
      <c r="I7" s="110" t="e">
        <f t="shared" si="1"/>
        <v>#N/A</v>
      </c>
      <c r="J7" s="109" t="e">
        <f t="shared" si="1"/>
        <v>#N/A</v>
      </c>
      <c r="K7" s="6" t="e">
        <f t="shared" si="1"/>
        <v>#N/A</v>
      </c>
      <c r="L7" s="6" t="e">
        <f t="shared" si="1"/>
        <v>#N/A</v>
      </c>
      <c r="M7" s="6" t="e">
        <f t="shared" si="1"/>
        <v>#N/A</v>
      </c>
      <c r="N7" s="110" t="e">
        <f t="shared" si="1"/>
        <v>#N/A</v>
      </c>
      <c r="O7" s="109" t="e">
        <f t="shared" si="1"/>
        <v>#N/A</v>
      </c>
      <c r="P7" s="6" t="e">
        <f t="shared" si="1"/>
        <v>#N/A</v>
      </c>
      <c r="Q7" s="6" t="e">
        <f t="shared" si="1"/>
        <v>#N/A</v>
      </c>
      <c r="R7" s="6" t="e">
        <f t="shared" si="1"/>
        <v>#N/A</v>
      </c>
      <c r="S7" s="110" t="e">
        <f>SUM(S8:S9)</f>
        <v>#N/A</v>
      </c>
      <c r="T7" s="119" t="e">
        <f>SUM(T8:T9)</f>
        <v>#N/A</v>
      </c>
      <c r="U7" s="119" t="e">
        <f>SUM(U8:U9)</f>
        <v>#N/A</v>
      </c>
      <c r="V7" s="119" t="e">
        <f>SUM(V8:V9)</f>
        <v>#N/A</v>
      </c>
      <c r="W7" s="119" t="e">
        <f>SUM(W8:W9)</f>
        <v>#N/A</v>
      </c>
      <c r="X7" s="3"/>
      <c r="Y7" s="34"/>
      <c r="Z7" s="208"/>
      <c r="AA7" s="209">
        <v>2020</v>
      </c>
      <c r="AB7" s="209">
        <v>2030</v>
      </c>
      <c r="AC7" s="210">
        <v>2050</v>
      </c>
    </row>
    <row r="8" spans="1:29" x14ac:dyDescent="0.25">
      <c r="A8" s="3"/>
      <c r="B8" s="273"/>
      <c r="C8" s="3" t="s">
        <v>2</v>
      </c>
      <c r="D8" s="18" t="s">
        <v>136</v>
      </c>
      <c r="E8" s="19" t="e">
        <f>VLOOKUP($D8,Résultats!$B$2:$AX$476,E$5,FALSE)</f>
        <v>#N/A</v>
      </c>
      <c r="F8" s="19" t="e">
        <f>VLOOKUP($D8,Résultats!$B$2:$AX$476,F$5,FALSE)</f>
        <v>#N/A</v>
      </c>
      <c r="G8" s="28" t="e">
        <f>VLOOKUP($D8,Résultats!$B$2:$AX$476,G$5,FALSE)</f>
        <v>#N/A</v>
      </c>
      <c r="H8" s="19" t="e">
        <f>VLOOKUP($D8,Résultats!$B$2:$AX$476,H$5,FALSE)</f>
        <v>#N/A</v>
      </c>
      <c r="I8" s="111" t="e">
        <f>VLOOKUP($D8,Résultats!$B$2:$AX$476,I$5,FALSE)</f>
        <v>#N/A</v>
      </c>
      <c r="J8" s="28" t="e">
        <f>VLOOKUP($D8,Résultats!$B$2:$AX$476,J$5,FALSE)</f>
        <v>#N/A</v>
      </c>
      <c r="K8" s="19" t="e">
        <f>VLOOKUP($D8,Résultats!$B$2:$AX$476,K$5,FALSE)</f>
        <v>#N/A</v>
      </c>
      <c r="L8" s="19" t="e">
        <f>VLOOKUP($D8,Résultats!$B$2:$AX$476,L$5,FALSE)</f>
        <v>#N/A</v>
      </c>
      <c r="M8" s="19" t="e">
        <f>VLOOKUP($D8,Résultats!$B$2:$AX$476,M$5,FALSE)</f>
        <v>#N/A</v>
      </c>
      <c r="N8" s="111" t="e">
        <f>VLOOKUP($D8,Résultats!$B$2:$AX$476,N$5,FALSE)</f>
        <v>#N/A</v>
      </c>
      <c r="O8" s="28" t="e">
        <f>VLOOKUP($D8,Résultats!$B$2:$AX$476,O$5,FALSE)</f>
        <v>#N/A</v>
      </c>
      <c r="P8" s="19" t="e">
        <f>VLOOKUP($D8,Résultats!$B$2:$AX$476,P$5,FALSE)</f>
        <v>#N/A</v>
      </c>
      <c r="Q8" s="19" t="e">
        <f>VLOOKUP($D8,Résultats!$B$2:$AX$476,Q$5,FALSE)</f>
        <v>#N/A</v>
      </c>
      <c r="R8" s="19" t="e">
        <f>VLOOKUP($D8,Résultats!$B$2:$AX$476,R$5,FALSE)</f>
        <v>#N/A</v>
      </c>
      <c r="S8" s="111" t="e">
        <f>VLOOKUP($D8,Résultats!$B$2:$AX$476,S$5,FALSE)</f>
        <v>#N/A</v>
      </c>
      <c r="T8" s="120" t="e">
        <f>VLOOKUP($D8,Résultats!$B$2:$AX$476,T$5,FALSE)</f>
        <v>#N/A</v>
      </c>
      <c r="U8" s="120" t="e">
        <f>VLOOKUP($D8,Résultats!$B$2:$AX$476,U$5,FALSE)</f>
        <v>#N/A</v>
      </c>
      <c r="V8" s="120" t="e">
        <f>VLOOKUP($D8,Résultats!$B$2:$AX$476,V$5,FALSE)</f>
        <v>#N/A</v>
      </c>
      <c r="W8" s="120" t="e">
        <f>VLOOKUP($D8,Résultats!$B$2:$AX$476,W$5,FALSE)</f>
        <v>#N/A</v>
      </c>
      <c r="X8" s="3"/>
      <c r="Y8" s="34"/>
      <c r="Z8" s="213" t="s">
        <v>178</v>
      </c>
      <c r="AA8" s="215" t="e">
        <f>I27</f>
        <v>#N/A</v>
      </c>
      <c r="AB8" s="215" t="e">
        <f>S27</f>
        <v>#N/A</v>
      </c>
      <c r="AC8" s="216" t="e">
        <f>W27</f>
        <v>#N/A</v>
      </c>
    </row>
    <row r="9" spans="1:29" x14ac:dyDescent="0.25">
      <c r="A9" s="3"/>
      <c r="B9" s="274"/>
      <c r="C9" s="7" t="s">
        <v>3</v>
      </c>
      <c r="D9" s="18" t="s">
        <v>137</v>
      </c>
      <c r="E9" s="19" t="e">
        <f>VLOOKUP($D9,Résultats!$B$2:$AX$476,E$5,FALSE)</f>
        <v>#N/A</v>
      </c>
      <c r="F9" s="19" t="e">
        <f>VLOOKUP($D9,Résultats!$B$2:$AX$476,F$5,FALSE)</f>
        <v>#N/A</v>
      </c>
      <c r="G9" s="28" t="e">
        <f>VLOOKUP($D9,Résultats!$B$2:$AX$476,G$5,FALSE)</f>
        <v>#N/A</v>
      </c>
      <c r="H9" s="19" t="e">
        <f>VLOOKUP($D9,Résultats!$B$2:$AX$476,H$5,FALSE)</f>
        <v>#N/A</v>
      </c>
      <c r="I9" s="111" t="e">
        <f>VLOOKUP($D9,Résultats!$B$2:$AX$476,I$5,FALSE)</f>
        <v>#N/A</v>
      </c>
      <c r="J9" s="28" t="e">
        <f>VLOOKUP($D9,Résultats!$B$2:$AX$476,J$5,FALSE)</f>
        <v>#N/A</v>
      </c>
      <c r="K9" s="19" t="e">
        <f>VLOOKUP($D9,Résultats!$B$2:$AX$476,K$5,FALSE)</f>
        <v>#N/A</v>
      </c>
      <c r="L9" s="19" t="e">
        <f>VLOOKUP($D9,Résultats!$B$2:$AX$476,L$5,FALSE)</f>
        <v>#N/A</v>
      </c>
      <c r="M9" s="19" t="e">
        <f>VLOOKUP($D9,Résultats!$B$2:$AX$476,M$5,FALSE)</f>
        <v>#N/A</v>
      </c>
      <c r="N9" s="111" t="e">
        <f>VLOOKUP($D9,Résultats!$B$2:$AX$476,N$5,FALSE)</f>
        <v>#N/A</v>
      </c>
      <c r="O9" s="28" t="e">
        <f>VLOOKUP($D9,Résultats!$B$2:$AX$476,O$5,FALSE)</f>
        <v>#N/A</v>
      </c>
      <c r="P9" s="19" t="e">
        <f>VLOOKUP($D9,Résultats!$B$2:$AX$476,P$5,FALSE)</f>
        <v>#N/A</v>
      </c>
      <c r="Q9" s="19" t="e">
        <f>VLOOKUP($D9,Résultats!$B$2:$AX$476,Q$5,FALSE)</f>
        <v>#N/A</v>
      </c>
      <c r="R9" s="19" t="e">
        <f>VLOOKUP($D9,Résultats!$B$2:$AX$476,R$5,FALSE)</f>
        <v>#N/A</v>
      </c>
      <c r="S9" s="111" t="e">
        <f>VLOOKUP($D9,Résultats!$B$2:$AX$476,S$5,FALSE)</f>
        <v>#N/A</v>
      </c>
      <c r="T9" s="120" t="e">
        <f>VLOOKUP($D9,Résultats!$B$2:$AX$476,T$5,FALSE)</f>
        <v>#N/A</v>
      </c>
      <c r="U9" s="120" t="e">
        <f>VLOOKUP($D9,Résultats!$B$2:$AX$476,U$5,FALSE)</f>
        <v>#N/A</v>
      </c>
      <c r="V9" s="120" t="e">
        <f>VLOOKUP($D9,Résultats!$B$2:$AX$476,V$5,FALSE)</f>
        <v>#N/A</v>
      </c>
      <c r="W9" s="120" t="e">
        <f>VLOOKUP($D9,Résultats!$B$2:$AX$476,W$5,FALSE)</f>
        <v>#N/A</v>
      </c>
      <c r="X9" s="3"/>
      <c r="Y9" s="34"/>
      <c r="Z9" s="34"/>
      <c r="AA9" s="34"/>
      <c r="AB9" s="34"/>
      <c r="AC9" s="34"/>
    </row>
    <row r="10" spans="1:29" ht="15" customHeight="1" x14ac:dyDescent="0.25">
      <c r="A10" s="3"/>
      <c r="B10" s="272" t="s">
        <v>4</v>
      </c>
      <c r="C10" s="5" t="s">
        <v>1</v>
      </c>
      <c r="D10" s="2"/>
      <c r="E10" s="8" t="e">
        <f>SUM(E11:E18)</f>
        <v>#N/A</v>
      </c>
      <c r="F10" s="8" t="e">
        <f>SUM(F11:F18)</f>
        <v>#N/A</v>
      </c>
      <c r="G10" s="27" t="e">
        <f t="shared" ref="G10:R10" si="2">SUM(G11:G18)</f>
        <v>#N/A</v>
      </c>
      <c r="H10" s="8" t="e">
        <f t="shared" si="2"/>
        <v>#N/A</v>
      </c>
      <c r="I10" s="112" t="e">
        <f t="shared" si="2"/>
        <v>#N/A</v>
      </c>
      <c r="J10" s="27" t="e">
        <f t="shared" si="2"/>
        <v>#N/A</v>
      </c>
      <c r="K10" s="8" t="e">
        <f t="shared" si="2"/>
        <v>#N/A</v>
      </c>
      <c r="L10" s="8" t="e">
        <f t="shared" si="2"/>
        <v>#N/A</v>
      </c>
      <c r="M10" s="8" t="e">
        <f t="shared" si="2"/>
        <v>#N/A</v>
      </c>
      <c r="N10" s="112" t="e">
        <f t="shared" si="2"/>
        <v>#N/A</v>
      </c>
      <c r="O10" s="27" t="e">
        <f t="shared" si="2"/>
        <v>#N/A</v>
      </c>
      <c r="P10" s="8" t="e">
        <f t="shared" si="2"/>
        <v>#N/A</v>
      </c>
      <c r="Q10" s="8" t="e">
        <f t="shared" si="2"/>
        <v>#N/A</v>
      </c>
      <c r="R10" s="8" t="e">
        <f t="shared" si="2"/>
        <v>#N/A</v>
      </c>
      <c r="S10" s="112" t="e">
        <f>SUM(S11:S18)</f>
        <v>#N/A</v>
      </c>
      <c r="T10" s="121" t="e">
        <f>SUM(T11:T18)</f>
        <v>#N/A</v>
      </c>
      <c r="U10" s="121" t="e">
        <f>SUM(U11:U18)</f>
        <v>#N/A</v>
      </c>
      <c r="V10" s="121" t="e">
        <f>SUM(V11:V18)</f>
        <v>#N/A</v>
      </c>
      <c r="W10" s="121" t="e">
        <f>SUM(W11:W18)</f>
        <v>#N/A</v>
      </c>
      <c r="X10" s="3"/>
      <c r="Y10" s="34"/>
      <c r="Z10" s="34"/>
      <c r="AA10" s="34"/>
      <c r="AB10" s="34"/>
      <c r="AC10" s="34"/>
    </row>
    <row r="11" spans="1:29" x14ac:dyDescent="0.25">
      <c r="A11" s="3"/>
      <c r="B11" s="273"/>
      <c r="C11" s="3" t="s">
        <v>5</v>
      </c>
      <c r="D11" s="3" t="s">
        <v>138</v>
      </c>
      <c r="E11" s="19" t="e">
        <f>VLOOKUP($D11,Résultats!$B$2:$AX$476,E$5,FALSE)</f>
        <v>#N/A</v>
      </c>
      <c r="F11" s="19" t="e">
        <f>VLOOKUP($D11,Résultats!$B$2:$AX$476,F$5,FALSE)</f>
        <v>#N/A</v>
      </c>
      <c r="G11" s="28" t="e">
        <f>VLOOKUP($D11,Résultats!$B$2:$AX$476,G$5,FALSE)</f>
        <v>#N/A</v>
      </c>
      <c r="H11" s="19" t="e">
        <f>VLOOKUP($D11,Résultats!$B$2:$AX$476,H$5,FALSE)</f>
        <v>#N/A</v>
      </c>
      <c r="I11" s="111" t="e">
        <f>VLOOKUP($D11,Résultats!$B$2:$AX$476,I$5,FALSE)</f>
        <v>#N/A</v>
      </c>
      <c r="J11" s="28" t="e">
        <f>VLOOKUP($D11,Résultats!$B$2:$AX$476,J$5,FALSE)</f>
        <v>#N/A</v>
      </c>
      <c r="K11" s="19" t="e">
        <f>VLOOKUP($D11,Résultats!$B$2:$AX$476,K$5,FALSE)</f>
        <v>#N/A</v>
      </c>
      <c r="L11" s="19" t="e">
        <f>VLOOKUP($D11,Résultats!$B$2:$AX$476,L$5,FALSE)</f>
        <v>#N/A</v>
      </c>
      <c r="M11" s="19" t="e">
        <f>VLOOKUP($D11,Résultats!$B$2:$AX$476,M$5,FALSE)</f>
        <v>#N/A</v>
      </c>
      <c r="N11" s="111" t="e">
        <f>VLOOKUP($D11,Résultats!$B$2:$AX$476,N$5,FALSE)</f>
        <v>#N/A</v>
      </c>
      <c r="O11" s="28" t="e">
        <f>VLOOKUP($D11,Résultats!$B$2:$AX$476,O$5,FALSE)</f>
        <v>#N/A</v>
      </c>
      <c r="P11" s="19" t="e">
        <f>VLOOKUP($D11,Résultats!$B$2:$AX$476,P$5,FALSE)</f>
        <v>#N/A</v>
      </c>
      <c r="Q11" s="19" t="e">
        <f>VLOOKUP($D11,Résultats!$B$2:$AX$476,Q$5,FALSE)</f>
        <v>#N/A</v>
      </c>
      <c r="R11" s="19" t="e">
        <f>VLOOKUP($D11,Résultats!$B$2:$AX$476,R$5,FALSE)</f>
        <v>#N/A</v>
      </c>
      <c r="S11" s="111" t="e">
        <f>VLOOKUP($D11,Résultats!$B$2:$AX$476,S$5,FALSE)</f>
        <v>#N/A</v>
      </c>
      <c r="T11" s="120" t="e">
        <f>VLOOKUP($D11,Résultats!$B$2:$AX$476,T$5,FALSE)</f>
        <v>#N/A</v>
      </c>
      <c r="U11" s="120" t="e">
        <f>VLOOKUP($D11,Résultats!$B$2:$AX$476,U$5,FALSE)</f>
        <v>#N/A</v>
      </c>
      <c r="V11" s="120" t="e">
        <f>VLOOKUP($D11,Résultats!$B$2:$AX$476,V$5,FALSE)</f>
        <v>#N/A</v>
      </c>
      <c r="W11" s="120" t="e">
        <f>VLOOKUP($D11,Résultats!$B$2:$AX$476,W$5,FALSE)</f>
        <v>#N/A</v>
      </c>
      <c r="X11" s="3"/>
      <c r="Y11" s="34"/>
      <c r="Z11" s="34"/>
      <c r="AA11" s="34"/>
      <c r="AB11" s="34"/>
      <c r="AC11" s="34"/>
    </row>
    <row r="12" spans="1:29" x14ac:dyDescent="0.25">
      <c r="A12" s="3"/>
      <c r="B12" s="273"/>
      <c r="C12" s="3" t="s">
        <v>6</v>
      </c>
      <c r="D12" s="3" t="s">
        <v>139</v>
      </c>
      <c r="E12" s="19" t="e">
        <f>VLOOKUP($D12,Résultats!$B$2:$AX$476,E$5,FALSE)</f>
        <v>#N/A</v>
      </c>
      <c r="F12" s="19" t="e">
        <f>VLOOKUP($D12,Résultats!$B$2:$AX$476,F$5,FALSE)</f>
        <v>#N/A</v>
      </c>
      <c r="G12" s="28" t="e">
        <f>VLOOKUP($D12,Résultats!$B$2:$AX$476,G$5,FALSE)</f>
        <v>#N/A</v>
      </c>
      <c r="H12" s="19" t="e">
        <f>VLOOKUP($D12,Résultats!$B$2:$AX$476,H$5,FALSE)</f>
        <v>#N/A</v>
      </c>
      <c r="I12" s="111" t="e">
        <f>VLOOKUP($D12,Résultats!$B$2:$AX$476,I$5,FALSE)</f>
        <v>#N/A</v>
      </c>
      <c r="J12" s="28" t="e">
        <f>VLOOKUP($D12,Résultats!$B$2:$AX$476,J$5,FALSE)</f>
        <v>#N/A</v>
      </c>
      <c r="K12" s="19" t="e">
        <f>VLOOKUP($D12,Résultats!$B$2:$AX$476,K$5,FALSE)</f>
        <v>#N/A</v>
      </c>
      <c r="L12" s="19" t="e">
        <f>VLOOKUP($D12,Résultats!$B$2:$AX$476,L$5,FALSE)</f>
        <v>#N/A</v>
      </c>
      <c r="M12" s="19" t="e">
        <f>VLOOKUP($D12,Résultats!$B$2:$AX$476,M$5,FALSE)</f>
        <v>#N/A</v>
      </c>
      <c r="N12" s="111" t="e">
        <f>VLOOKUP($D12,Résultats!$B$2:$AX$476,N$5,FALSE)</f>
        <v>#N/A</v>
      </c>
      <c r="O12" s="28" t="e">
        <f>VLOOKUP($D12,Résultats!$B$2:$AX$476,O$5,FALSE)</f>
        <v>#N/A</v>
      </c>
      <c r="P12" s="19" t="e">
        <f>VLOOKUP($D12,Résultats!$B$2:$AX$476,P$5,FALSE)</f>
        <v>#N/A</v>
      </c>
      <c r="Q12" s="19" t="e">
        <f>VLOOKUP($D12,Résultats!$B$2:$AX$476,Q$5,FALSE)</f>
        <v>#N/A</v>
      </c>
      <c r="R12" s="19" t="e">
        <f>VLOOKUP($D12,Résultats!$B$2:$AX$476,R$5,FALSE)</f>
        <v>#N/A</v>
      </c>
      <c r="S12" s="111" t="e">
        <f>VLOOKUP($D12,Résultats!$B$2:$AX$476,S$5,FALSE)</f>
        <v>#N/A</v>
      </c>
      <c r="T12" s="120" t="e">
        <f>VLOOKUP($D12,Résultats!$B$2:$AX$476,T$5,FALSE)</f>
        <v>#N/A</v>
      </c>
      <c r="U12" s="120" t="e">
        <f>VLOOKUP($D12,Résultats!$B$2:$AX$476,U$5,FALSE)</f>
        <v>#N/A</v>
      </c>
      <c r="V12" s="120" t="e">
        <f>VLOOKUP($D12,Résultats!$B$2:$AX$476,V$5,FALSE)</f>
        <v>#N/A</v>
      </c>
      <c r="W12" s="120" t="e">
        <f>VLOOKUP($D12,Résultats!$B$2:$AX$476,W$5,FALSE)</f>
        <v>#N/A</v>
      </c>
      <c r="X12" s="3"/>
      <c r="Y12" s="34"/>
      <c r="Z12" s="217"/>
      <c r="AA12" s="218"/>
      <c r="AB12" s="218"/>
      <c r="AC12" s="218"/>
    </row>
    <row r="13" spans="1:29" x14ac:dyDescent="0.25">
      <c r="A13" s="3"/>
      <c r="B13" s="273"/>
      <c r="C13" s="3" t="s">
        <v>7</v>
      </c>
      <c r="D13" s="3" t="s">
        <v>140</v>
      </c>
      <c r="E13" s="19" t="e">
        <f>VLOOKUP($D13,Résultats!$B$2:$AX$476,E$5,FALSE)</f>
        <v>#N/A</v>
      </c>
      <c r="F13" s="19" t="e">
        <f>VLOOKUP($D13,Résultats!$B$2:$AX$476,F$5,FALSE)</f>
        <v>#N/A</v>
      </c>
      <c r="G13" s="28" t="e">
        <f>VLOOKUP($D13,Résultats!$B$2:$AX$476,G$5,FALSE)</f>
        <v>#N/A</v>
      </c>
      <c r="H13" s="19" t="e">
        <f>VLOOKUP($D13,Résultats!$B$2:$AX$476,H$5,FALSE)</f>
        <v>#N/A</v>
      </c>
      <c r="I13" s="111" t="e">
        <f>VLOOKUP($D13,Résultats!$B$2:$AX$476,I$5,FALSE)</f>
        <v>#N/A</v>
      </c>
      <c r="J13" s="28" t="e">
        <f>VLOOKUP($D13,Résultats!$B$2:$AX$476,J$5,FALSE)</f>
        <v>#N/A</v>
      </c>
      <c r="K13" s="19" t="e">
        <f>VLOOKUP($D13,Résultats!$B$2:$AX$476,K$5,FALSE)</f>
        <v>#N/A</v>
      </c>
      <c r="L13" s="19" t="e">
        <f>VLOOKUP($D13,Résultats!$B$2:$AX$476,L$5,FALSE)</f>
        <v>#N/A</v>
      </c>
      <c r="M13" s="19" t="e">
        <f>VLOOKUP($D13,Résultats!$B$2:$AX$476,M$5,FALSE)</f>
        <v>#N/A</v>
      </c>
      <c r="N13" s="111" t="e">
        <f>VLOOKUP($D13,Résultats!$B$2:$AX$476,N$5,FALSE)</f>
        <v>#N/A</v>
      </c>
      <c r="O13" s="28" t="e">
        <f>VLOOKUP($D13,Résultats!$B$2:$AX$476,O$5,FALSE)</f>
        <v>#N/A</v>
      </c>
      <c r="P13" s="19" t="e">
        <f>VLOOKUP($D13,Résultats!$B$2:$AX$476,P$5,FALSE)</f>
        <v>#N/A</v>
      </c>
      <c r="Q13" s="19" t="e">
        <f>VLOOKUP($D13,Résultats!$B$2:$AX$476,Q$5,FALSE)</f>
        <v>#N/A</v>
      </c>
      <c r="R13" s="19" t="e">
        <f>VLOOKUP($D13,Résultats!$B$2:$AX$476,R$5,FALSE)</f>
        <v>#N/A</v>
      </c>
      <c r="S13" s="111" t="e">
        <f>VLOOKUP($D13,Résultats!$B$2:$AX$476,S$5,FALSE)</f>
        <v>#N/A</v>
      </c>
      <c r="T13" s="120" t="e">
        <f>VLOOKUP($D13,Résultats!$B$2:$AX$476,T$5,FALSE)</f>
        <v>#N/A</v>
      </c>
      <c r="U13" s="120" t="e">
        <f>VLOOKUP($D13,Résultats!$B$2:$AX$476,U$5,FALSE)</f>
        <v>#N/A</v>
      </c>
      <c r="V13" s="120" t="e">
        <f>VLOOKUP($D13,Résultats!$B$2:$AX$476,V$5,FALSE)</f>
        <v>#N/A</v>
      </c>
      <c r="W13" s="120" t="e">
        <f>VLOOKUP($D13,Résultats!$B$2:$AX$476,W$5,FALSE)</f>
        <v>#N/A</v>
      </c>
      <c r="X13" s="3"/>
      <c r="Y13" s="34"/>
    </row>
    <row r="14" spans="1:29" x14ac:dyDescent="0.25">
      <c r="A14" s="3"/>
      <c r="B14" s="273"/>
      <c r="C14" s="3" t="s">
        <v>8</v>
      </c>
      <c r="D14" s="3" t="s">
        <v>141</v>
      </c>
      <c r="E14" s="19" t="e">
        <f>VLOOKUP($D14,Résultats!$B$2:$AX$476,E$5,FALSE)</f>
        <v>#N/A</v>
      </c>
      <c r="F14" s="19" t="e">
        <f>VLOOKUP($D14,Résultats!$B$2:$AX$476,F$5,FALSE)</f>
        <v>#N/A</v>
      </c>
      <c r="G14" s="28" t="e">
        <f>VLOOKUP($D14,Résultats!$B$2:$AX$476,G$5,FALSE)</f>
        <v>#N/A</v>
      </c>
      <c r="H14" s="19" t="e">
        <f>VLOOKUP($D14,Résultats!$B$2:$AX$476,H$5,FALSE)</f>
        <v>#N/A</v>
      </c>
      <c r="I14" s="111" t="e">
        <f>VLOOKUP($D14,Résultats!$B$2:$AX$476,I$5,FALSE)</f>
        <v>#N/A</v>
      </c>
      <c r="J14" s="28" t="e">
        <f>VLOOKUP($D14,Résultats!$B$2:$AX$476,J$5,FALSE)</f>
        <v>#N/A</v>
      </c>
      <c r="K14" s="19" t="e">
        <f>VLOOKUP($D14,Résultats!$B$2:$AX$476,K$5,FALSE)</f>
        <v>#N/A</v>
      </c>
      <c r="L14" s="19" t="e">
        <f>VLOOKUP($D14,Résultats!$B$2:$AX$476,L$5,FALSE)</f>
        <v>#N/A</v>
      </c>
      <c r="M14" s="19" t="e">
        <f>VLOOKUP($D14,Résultats!$B$2:$AX$476,M$5,FALSE)</f>
        <v>#N/A</v>
      </c>
      <c r="N14" s="111" t="e">
        <f>VLOOKUP($D14,Résultats!$B$2:$AX$476,N$5,FALSE)</f>
        <v>#N/A</v>
      </c>
      <c r="O14" s="28" t="e">
        <f>VLOOKUP($D14,Résultats!$B$2:$AX$476,O$5,FALSE)</f>
        <v>#N/A</v>
      </c>
      <c r="P14" s="19" t="e">
        <f>VLOOKUP($D14,Résultats!$B$2:$AX$476,P$5,FALSE)</f>
        <v>#N/A</v>
      </c>
      <c r="Q14" s="19" t="e">
        <f>VLOOKUP($D14,Résultats!$B$2:$AX$476,Q$5,FALSE)</f>
        <v>#N/A</v>
      </c>
      <c r="R14" s="19" t="e">
        <f>VLOOKUP($D14,Résultats!$B$2:$AX$476,R$5,FALSE)</f>
        <v>#N/A</v>
      </c>
      <c r="S14" s="111" t="e">
        <f>VLOOKUP($D14,Résultats!$B$2:$AX$476,S$5,FALSE)</f>
        <v>#N/A</v>
      </c>
      <c r="T14" s="120" t="e">
        <f>VLOOKUP($D14,Résultats!$B$2:$AX$476,T$5,FALSE)</f>
        <v>#N/A</v>
      </c>
      <c r="U14" s="120" t="e">
        <f>VLOOKUP($D14,Résultats!$B$2:$AX$476,U$5,FALSE)</f>
        <v>#N/A</v>
      </c>
      <c r="V14" s="120" t="e">
        <f>VLOOKUP($D14,Résultats!$B$2:$AX$476,V$5,FALSE)</f>
        <v>#N/A</v>
      </c>
      <c r="W14" s="120" t="e">
        <f>VLOOKUP($D14,Résultats!$B$2:$AX$476,W$5,FALSE)</f>
        <v>#N/A</v>
      </c>
      <c r="X14" s="3"/>
      <c r="Y14" s="34"/>
    </row>
    <row r="15" spans="1:29" x14ac:dyDescent="0.25">
      <c r="A15" s="3"/>
      <c r="B15" s="273"/>
      <c r="C15" s="3" t="s">
        <v>9</v>
      </c>
      <c r="D15" s="3" t="s">
        <v>142</v>
      </c>
      <c r="E15" s="19" t="e">
        <f>VLOOKUP($D15,Résultats!$B$2:$AX$476,E$5,FALSE)</f>
        <v>#N/A</v>
      </c>
      <c r="F15" s="19" t="e">
        <f>VLOOKUP($D15,Résultats!$B$2:$AX$476,F$5,FALSE)</f>
        <v>#N/A</v>
      </c>
      <c r="G15" s="28" t="e">
        <f>VLOOKUP($D15,Résultats!$B$2:$AX$476,G$5,FALSE)</f>
        <v>#N/A</v>
      </c>
      <c r="H15" s="19" t="e">
        <f>VLOOKUP($D15,Résultats!$B$2:$AX$476,H$5,FALSE)</f>
        <v>#N/A</v>
      </c>
      <c r="I15" s="111" t="e">
        <f>VLOOKUP($D15,Résultats!$B$2:$AX$476,I$5,FALSE)</f>
        <v>#N/A</v>
      </c>
      <c r="J15" s="28" t="e">
        <f>VLOOKUP($D15,Résultats!$B$2:$AX$476,J$5,FALSE)</f>
        <v>#N/A</v>
      </c>
      <c r="K15" s="19" t="e">
        <f>VLOOKUP($D15,Résultats!$B$2:$AX$476,K$5,FALSE)</f>
        <v>#N/A</v>
      </c>
      <c r="L15" s="19" t="e">
        <f>VLOOKUP($D15,Résultats!$B$2:$AX$476,L$5,FALSE)</f>
        <v>#N/A</v>
      </c>
      <c r="M15" s="19" t="e">
        <f>VLOOKUP($D15,Résultats!$B$2:$AX$476,M$5,FALSE)</f>
        <v>#N/A</v>
      </c>
      <c r="N15" s="111" t="e">
        <f>VLOOKUP($D15,Résultats!$B$2:$AX$476,N$5,FALSE)</f>
        <v>#N/A</v>
      </c>
      <c r="O15" s="28" t="e">
        <f>VLOOKUP($D15,Résultats!$B$2:$AX$476,O$5,FALSE)</f>
        <v>#N/A</v>
      </c>
      <c r="P15" s="19" t="e">
        <f>VLOOKUP($D15,Résultats!$B$2:$AX$476,P$5,FALSE)</f>
        <v>#N/A</v>
      </c>
      <c r="Q15" s="19" t="e">
        <f>VLOOKUP($D15,Résultats!$B$2:$AX$476,Q$5,FALSE)</f>
        <v>#N/A</v>
      </c>
      <c r="R15" s="19" t="e">
        <f>VLOOKUP($D15,Résultats!$B$2:$AX$476,R$5,FALSE)</f>
        <v>#N/A</v>
      </c>
      <c r="S15" s="111" t="e">
        <f>VLOOKUP($D15,Résultats!$B$2:$AX$476,S$5,FALSE)</f>
        <v>#N/A</v>
      </c>
      <c r="T15" s="120" t="e">
        <f>VLOOKUP($D15,Résultats!$B$2:$AX$476,T$5,FALSE)</f>
        <v>#N/A</v>
      </c>
      <c r="U15" s="120" t="e">
        <f>VLOOKUP($D15,Résultats!$B$2:$AX$476,U$5,FALSE)</f>
        <v>#N/A</v>
      </c>
      <c r="V15" s="120" t="e">
        <f>VLOOKUP($D15,Résultats!$B$2:$AX$476,V$5,FALSE)</f>
        <v>#N/A</v>
      </c>
      <c r="W15" s="120" t="e">
        <f>VLOOKUP($D15,Résultats!$B$2:$AX$476,W$5,FALSE)</f>
        <v>#N/A</v>
      </c>
      <c r="X15" s="3"/>
      <c r="Y15" s="34"/>
    </row>
    <row r="16" spans="1:29" x14ac:dyDescent="0.25">
      <c r="A16" s="3"/>
      <c r="B16" s="273"/>
      <c r="C16" s="3" t="s">
        <v>10</v>
      </c>
      <c r="D16" s="3" t="s">
        <v>143</v>
      </c>
      <c r="E16" s="19" t="e">
        <f>VLOOKUP($D16,Résultats!$B$2:$AX$476,E$5,FALSE)</f>
        <v>#N/A</v>
      </c>
      <c r="F16" s="19" t="e">
        <f>VLOOKUP($D16,Résultats!$B$2:$AX$476,F$5,FALSE)</f>
        <v>#N/A</v>
      </c>
      <c r="G16" s="28" t="e">
        <f>VLOOKUP($D16,Résultats!$B$2:$AX$476,G$5,FALSE)</f>
        <v>#N/A</v>
      </c>
      <c r="H16" s="19" t="e">
        <f>VLOOKUP($D16,Résultats!$B$2:$AX$476,H$5,FALSE)</f>
        <v>#N/A</v>
      </c>
      <c r="I16" s="111" t="e">
        <f>VLOOKUP($D16,Résultats!$B$2:$AX$476,I$5,FALSE)</f>
        <v>#N/A</v>
      </c>
      <c r="J16" s="28" t="e">
        <f>VLOOKUP($D16,Résultats!$B$2:$AX$476,J$5,FALSE)</f>
        <v>#N/A</v>
      </c>
      <c r="K16" s="19" t="e">
        <f>VLOOKUP($D16,Résultats!$B$2:$AX$476,K$5,FALSE)</f>
        <v>#N/A</v>
      </c>
      <c r="L16" s="19" t="e">
        <f>VLOOKUP($D16,Résultats!$B$2:$AX$476,L$5,FALSE)</f>
        <v>#N/A</v>
      </c>
      <c r="M16" s="19" t="e">
        <f>VLOOKUP($D16,Résultats!$B$2:$AX$476,M$5,FALSE)</f>
        <v>#N/A</v>
      </c>
      <c r="N16" s="111" t="e">
        <f>VLOOKUP($D16,Résultats!$B$2:$AX$476,N$5,FALSE)</f>
        <v>#N/A</v>
      </c>
      <c r="O16" s="28" t="e">
        <f>VLOOKUP($D16,Résultats!$B$2:$AX$476,O$5,FALSE)</f>
        <v>#N/A</v>
      </c>
      <c r="P16" s="19" t="e">
        <f>VLOOKUP($D16,Résultats!$B$2:$AX$476,P$5,FALSE)</f>
        <v>#N/A</v>
      </c>
      <c r="Q16" s="19" t="e">
        <f>VLOOKUP($D16,Résultats!$B$2:$AX$476,Q$5,FALSE)</f>
        <v>#N/A</v>
      </c>
      <c r="R16" s="19" t="e">
        <f>VLOOKUP($D16,Résultats!$B$2:$AX$476,R$5,FALSE)</f>
        <v>#N/A</v>
      </c>
      <c r="S16" s="111" t="e">
        <f>VLOOKUP($D16,Résultats!$B$2:$AX$476,S$5,FALSE)</f>
        <v>#N/A</v>
      </c>
      <c r="T16" s="120" t="e">
        <f>VLOOKUP($D16,Résultats!$B$2:$AX$476,T$5,FALSE)</f>
        <v>#N/A</v>
      </c>
      <c r="U16" s="120" t="e">
        <f>VLOOKUP($D16,Résultats!$B$2:$AX$476,U$5,FALSE)</f>
        <v>#N/A</v>
      </c>
      <c r="V16" s="120" t="e">
        <f>VLOOKUP($D16,Résultats!$B$2:$AX$476,V$5,FALSE)</f>
        <v>#N/A</v>
      </c>
      <c r="W16" s="120" t="e">
        <f>VLOOKUP($D16,Résultats!$B$2:$AX$476,W$5,FALSE)</f>
        <v>#N/A</v>
      </c>
      <c r="X16" s="3"/>
      <c r="Y16" s="34"/>
    </row>
    <row r="17" spans="1:39" x14ac:dyDescent="0.25">
      <c r="A17" s="3"/>
      <c r="B17" s="273"/>
      <c r="C17" s="3" t="s">
        <v>11</v>
      </c>
      <c r="D17" s="3" t="s">
        <v>144</v>
      </c>
      <c r="E17" s="19" t="e">
        <f>VLOOKUP($D17,Résultats!$B$2:$AX$476,E$5,FALSE)</f>
        <v>#N/A</v>
      </c>
      <c r="F17" s="19" t="e">
        <f>VLOOKUP($D17,Résultats!$B$2:$AX$476,F$5,FALSE)</f>
        <v>#N/A</v>
      </c>
      <c r="G17" s="28" t="e">
        <f>VLOOKUP($D17,Résultats!$B$2:$AX$476,G$5,FALSE)</f>
        <v>#N/A</v>
      </c>
      <c r="H17" s="19" t="e">
        <f>VLOOKUP($D17,Résultats!$B$2:$AX$476,H$5,FALSE)</f>
        <v>#N/A</v>
      </c>
      <c r="I17" s="111" t="e">
        <f>VLOOKUP($D17,Résultats!$B$2:$AX$476,I$5,FALSE)</f>
        <v>#N/A</v>
      </c>
      <c r="J17" s="28" t="e">
        <f>VLOOKUP($D17,Résultats!$B$2:$AX$476,J$5,FALSE)</f>
        <v>#N/A</v>
      </c>
      <c r="K17" s="19" t="e">
        <f>VLOOKUP($D17,Résultats!$B$2:$AX$476,K$5,FALSE)</f>
        <v>#N/A</v>
      </c>
      <c r="L17" s="19" t="e">
        <f>VLOOKUP($D17,Résultats!$B$2:$AX$476,L$5,FALSE)</f>
        <v>#N/A</v>
      </c>
      <c r="M17" s="19" t="e">
        <f>VLOOKUP($D17,Résultats!$B$2:$AX$476,M$5,FALSE)</f>
        <v>#N/A</v>
      </c>
      <c r="N17" s="111" t="e">
        <f>VLOOKUP($D17,Résultats!$B$2:$AX$476,N$5,FALSE)</f>
        <v>#N/A</v>
      </c>
      <c r="O17" s="28" t="e">
        <f>VLOOKUP($D17,Résultats!$B$2:$AX$476,O$5,FALSE)</f>
        <v>#N/A</v>
      </c>
      <c r="P17" s="19" t="e">
        <f>VLOOKUP($D17,Résultats!$B$2:$AX$476,P$5,FALSE)</f>
        <v>#N/A</v>
      </c>
      <c r="Q17" s="19" t="e">
        <f>VLOOKUP($D17,Résultats!$B$2:$AX$476,Q$5,FALSE)</f>
        <v>#N/A</v>
      </c>
      <c r="R17" s="19" t="e">
        <f>VLOOKUP($D17,Résultats!$B$2:$AX$476,R$5,FALSE)</f>
        <v>#N/A</v>
      </c>
      <c r="S17" s="111" t="e">
        <f>VLOOKUP($D17,Résultats!$B$2:$AX$476,S$5,FALSE)</f>
        <v>#N/A</v>
      </c>
      <c r="T17" s="120" t="e">
        <f>VLOOKUP($D17,Résultats!$B$2:$AX$476,T$5,FALSE)</f>
        <v>#N/A</v>
      </c>
      <c r="U17" s="120" t="e">
        <f>VLOOKUP($D17,Résultats!$B$2:$AX$476,U$5,FALSE)</f>
        <v>#N/A</v>
      </c>
      <c r="V17" s="120" t="e">
        <f>VLOOKUP($D17,Résultats!$B$2:$AX$476,V$5,FALSE)</f>
        <v>#N/A</v>
      </c>
      <c r="W17" s="120" t="e">
        <f>VLOOKUP($D17,Résultats!$B$2:$AX$476,W$5,FALSE)</f>
        <v>#N/A</v>
      </c>
      <c r="X17" s="3"/>
      <c r="Y17" s="34"/>
    </row>
    <row r="18" spans="1:39" x14ac:dyDescent="0.25">
      <c r="A18" s="3"/>
      <c r="B18" s="274"/>
      <c r="C18" s="7" t="s">
        <v>12</v>
      </c>
      <c r="D18" s="3" t="s">
        <v>145</v>
      </c>
      <c r="E18" s="20" t="e">
        <f>VLOOKUP($D18,Résultats!$B$2:$AX$476,E$5,FALSE)</f>
        <v>#N/A</v>
      </c>
      <c r="F18" s="20" t="e">
        <f>VLOOKUP($D18,Résultats!$B$2:$AX$476,F$5,FALSE)</f>
        <v>#N/A</v>
      </c>
      <c r="G18" s="113" t="e">
        <f>VLOOKUP($D18,Résultats!$B$2:$AX$476,G$5,FALSE)</f>
        <v>#N/A</v>
      </c>
      <c r="H18" s="20" t="e">
        <f>VLOOKUP($D18,Résultats!$B$2:$AX$476,H$5,FALSE)</f>
        <v>#N/A</v>
      </c>
      <c r="I18" s="114" t="e">
        <f>VLOOKUP($D18,Résultats!$B$2:$AX$476,I$5,FALSE)</f>
        <v>#N/A</v>
      </c>
      <c r="J18" s="113" t="e">
        <f>VLOOKUP($D18,Résultats!$B$2:$AX$476,J$5,FALSE)</f>
        <v>#N/A</v>
      </c>
      <c r="K18" s="20" t="e">
        <f>VLOOKUP($D18,Résultats!$B$2:$AX$476,K$5,FALSE)</f>
        <v>#N/A</v>
      </c>
      <c r="L18" s="20" t="e">
        <f>VLOOKUP($D18,Résultats!$B$2:$AX$476,L$5,FALSE)</f>
        <v>#N/A</v>
      </c>
      <c r="M18" s="20" t="e">
        <f>VLOOKUP($D18,Résultats!$B$2:$AX$476,M$5,FALSE)</f>
        <v>#N/A</v>
      </c>
      <c r="N18" s="114" t="e">
        <f>VLOOKUP($D18,Résultats!$B$2:$AX$476,N$5,FALSE)</f>
        <v>#N/A</v>
      </c>
      <c r="O18" s="113" t="e">
        <f>VLOOKUP($D18,Résultats!$B$2:$AX$476,O$5,FALSE)</f>
        <v>#N/A</v>
      </c>
      <c r="P18" s="20" t="e">
        <f>VLOOKUP($D18,Résultats!$B$2:$AX$476,P$5,FALSE)</f>
        <v>#N/A</v>
      </c>
      <c r="Q18" s="20" t="e">
        <f>VLOOKUP($D18,Résultats!$B$2:$AX$476,Q$5,FALSE)</f>
        <v>#N/A</v>
      </c>
      <c r="R18" s="20" t="e">
        <f>VLOOKUP($D18,Résultats!$B$2:$AX$476,R$5,FALSE)</f>
        <v>#N/A</v>
      </c>
      <c r="S18" s="114" t="e">
        <f>VLOOKUP($D18,Résultats!$B$2:$AX$476,S$5,FALSE)</f>
        <v>#N/A</v>
      </c>
      <c r="T18" s="122" t="e">
        <f>VLOOKUP($D18,Résultats!$B$2:$AX$476,T$5,FALSE)</f>
        <v>#N/A</v>
      </c>
      <c r="U18" s="122" t="e">
        <f>VLOOKUP($D18,Résultats!$B$2:$AX$476,U$5,FALSE)</f>
        <v>#N/A</v>
      </c>
      <c r="V18" s="122" t="e">
        <f>VLOOKUP($D18,Résultats!$B$2:$AX$476,V$5,FALSE)</f>
        <v>#N/A</v>
      </c>
      <c r="W18" s="122" t="e">
        <f>VLOOKUP($D18,Résultats!$B$2:$AX$476,W$5,FALSE)</f>
        <v>#N/A</v>
      </c>
      <c r="X18" s="3"/>
      <c r="Y18" s="34"/>
    </row>
    <row r="19" spans="1:39" ht="15" customHeight="1" x14ac:dyDescent="0.25">
      <c r="A19" s="3"/>
      <c r="B19" s="272" t="s">
        <v>163</v>
      </c>
      <c r="C19" s="5" t="s">
        <v>1</v>
      </c>
      <c r="D19" s="2"/>
      <c r="E19" s="6" t="e">
        <f>SUM(E20:E25)</f>
        <v>#N/A</v>
      </c>
      <c r="F19" s="6" t="e">
        <f>SUM(F20:F25)</f>
        <v>#N/A</v>
      </c>
      <c r="G19" s="109" t="e">
        <f t="shared" ref="G19:R19" si="3">SUM(G20:G25)</f>
        <v>#N/A</v>
      </c>
      <c r="H19" s="6" t="e">
        <f t="shared" si="3"/>
        <v>#N/A</v>
      </c>
      <c r="I19" s="110" t="e">
        <f t="shared" si="3"/>
        <v>#N/A</v>
      </c>
      <c r="J19" s="109" t="e">
        <f t="shared" si="3"/>
        <v>#N/A</v>
      </c>
      <c r="K19" s="6" t="e">
        <f t="shared" si="3"/>
        <v>#N/A</v>
      </c>
      <c r="L19" s="6" t="e">
        <f t="shared" si="3"/>
        <v>#N/A</v>
      </c>
      <c r="M19" s="6" t="e">
        <f t="shared" si="3"/>
        <v>#N/A</v>
      </c>
      <c r="N19" s="110" t="e">
        <f t="shared" si="3"/>
        <v>#N/A</v>
      </c>
      <c r="O19" s="109" t="e">
        <f t="shared" si="3"/>
        <v>#N/A</v>
      </c>
      <c r="P19" s="6" t="e">
        <f t="shared" si="3"/>
        <v>#N/A</v>
      </c>
      <c r="Q19" s="6" t="e">
        <f t="shared" si="3"/>
        <v>#N/A</v>
      </c>
      <c r="R19" s="6" t="e">
        <f t="shared" si="3"/>
        <v>#N/A</v>
      </c>
      <c r="S19" s="110" t="e">
        <f>SUM(S20:S25)</f>
        <v>#N/A</v>
      </c>
      <c r="T19" s="119" t="e">
        <f>SUM(T20:T25)</f>
        <v>#N/A</v>
      </c>
      <c r="U19" s="119" t="e">
        <f>SUM(U20:U25)</f>
        <v>#N/A</v>
      </c>
      <c r="V19" s="119" t="e">
        <f>SUM(V20:V25)</f>
        <v>#N/A</v>
      </c>
      <c r="W19" s="119" t="e">
        <f>SUM(W20:W25)</f>
        <v>#N/A</v>
      </c>
      <c r="X19" s="3"/>
      <c r="Y19" s="34"/>
    </row>
    <row r="20" spans="1:39" x14ac:dyDescent="0.25">
      <c r="A20" s="3"/>
      <c r="B20" s="273"/>
      <c r="C20" s="3" t="s">
        <v>13</v>
      </c>
      <c r="D20" s="3" t="s">
        <v>146</v>
      </c>
      <c r="E20" s="19" t="e">
        <f>VLOOKUP($D20,Résultats!$B$2:$AX$476,E$5,FALSE)</f>
        <v>#N/A</v>
      </c>
      <c r="F20" s="19" t="e">
        <f>VLOOKUP($D20,Résultats!$B$2:$AX$476,F$5,FALSE)</f>
        <v>#N/A</v>
      </c>
      <c r="G20" s="28" t="e">
        <f>VLOOKUP($D20,Résultats!$B$2:$AX$476,G$5,FALSE)</f>
        <v>#N/A</v>
      </c>
      <c r="H20" s="19" t="e">
        <f>VLOOKUP($D20,Résultats!$B$2:$AX$476,H$5,FALSE)</f>
        <v>#N/A</v>
      </c>
      <c r="I20" s="111" t="e">
        <f>VLOOKUP($D20,Résultats!$B$2:$AX$476,I$5,FALSE)</f>
        <v>#N/A</v>
      </c>
      <c r="J20" s="28" t="e">
        <f>VLOOKUP($D20,Résultats!$B$2:$AX$476,J$5,FALSE)</f>
        <v>#N/A</v>
      </c>
      <c r="K20" s="19" t="e">
        <f>VLOOKUP($D20,Résultats!$B$2:$AX$476,K$5,FALSE)</f>
        <v>#N/A</v>
      </c>
      <c r="L20" s="19" t="e">
        <f>VLOOKUP($D20,Résultats!$B$2:$AX$476,L$5,FALSE)</f>
        <v>#N/A</v>
      </c>
      <c r="M20" s="19" t="e">
        <f>VLOOKUP($D20,Résultats!$B$2:$AX$476,M$5,FALSE)</f>
        <v>#N/A</v>
      </c>
      <c r="N20" s="111" t="e">
        <f>VLOOKUP($D20,Résultats!$B$2:$AX$476,N$5,FALSE)</f>
        <v>#N/A</v>
      </c>
      <c r="O20" s="28" t="e">
        <f>VLOOKUP($D20,Résultats!$B$2:$AX$476,O$5,FALSE)</f>
        <v>#N/A</v>
      </c>
      <c r="P20" s="19" t="e">
        <f>VLOOKUP($D20,Résultats!$B$2:$AX$476,P$5,FALSE)</f>
        <v>#N/A</v>
      </c>
      <c r="Q20" s="19" t="e">
        <f>VLOOKUP($D20,Résultats!$B$2:$AX$476,Q$5,FALSE)</f>
        <v>#N/A</v>
      </c>
      <c r="R20" s="19" t="e">
        <f>VLOOKUP($D20,Résultats!$B$2:$AX$476,R$5,FALSE)</f>
        <v>#N/A</v>
      </c>
      <c r="S20" s="111" t="e">
        <f>VLOOKUP($D20,Résultats!$B$2:$AX$476,S$5,FALSE)</f>
        <v>#N/A</v>
      </c>
      <c r="T20" s="120" t="e">
        <f>VLOOKUP($D20,Résultats!$B$2:$AX$476,T$5,FALSE)</f>
        <v>#N/A</v>
      </c>
      <c r="U20" s="120" t="e">
        <f>VLOOKUP($D20,Résultats!$B$2:$AX$476,U$5,FALSE)</f>
        <v>#N/A</v>
      </c>
      <c r="V20" s="120" t="e">
        <f>VLOOKUP($D20,Résultats!$B$2:$AX$476,V$5,FALSE)</f>
        <v>#N/A</v>
      </c>
      <c r="W20" s="120" t="e">
        <f>VLOOKUP($D20,Résultats!$B$2:$AX$476,W$5,FALSE)</f>
        <v>#N/A</v>
      </c>
      <c r="X20" s="3"/>
      <c r="Y20" s="34"/>
    </row>
    <row r="21" spans="1:39" x14ac:dyDescent="0.25">
      <c r="A21" s="3"/>
      <c r="B21" s="273"/>
      <c r="C21" s="3" t="s">
        <v>14</v>
      </c>
      <c r="D21" s="3" t="s">
        <v>147</v>
      </c>
      <c r="E21" s="19" t="e">
        <f>VLOOKUP($D21,Résultats!$B$2:$AX$476,E$5,FALSE)</f>
        <v>#N/A</v>
      </c>
      <c r="F21" s="19" t="e">
        <f>VLOOKUP($D21,Résultats!$B$2:$AX$476,F$5,FALSE)</f>
        <v>#N/A</v>
      </c>
      <c r="G21" s="28" t="e">
        <f>VLOOKUP($D21,Résultats!$B$2:$AX$476,G$5,FALSE)</f>
        <v>#N/A</v>
      </c>
      <c r="H21" s="19" t="e">
        <f>VLOOKUP($D21,Résultats!$B$2:$AX$476,H$5,FALSE)</f>
        <v>#N/A</v>
      </c>
      <c r="I21" s="111" t="e">
        <f>VLOOKUP($D21,Résultats!$B$2:$AX$476,I$5,FALSE)</f>
        <v>#N/A</v>
      </c>
      <c r="J21" s="28" t="e">
        <f>VLOOKUP($D21,Résultats!$B$2:$AX$476,J$5,FALSE)</f>
        <v>#N/A</v>
      </c>
      <c r="K21" s="19" t="e">
        <f>VLOOKUP($D21,Résultats!$B$2:$AX$476,K$5,FALSE)</f>
        <v>#N/A</v>
      </c>
      <c r="L21" s="19" t="e">
        <f>VLOOKUP($D21,Résultats!$B$2:$AX$476,L$5,FALSE)</f>
        <v>#N/A</v>
      </c>
      <c r="M21" s="19" t="e">
        <f>VLOOKUP($D21,Résultats!$B$2:$AX$476,M$5,FALSE)</f>
        <v>#N/A</v>
      </c>
      <c r="N21" s="111" t="e">
        <f>VLOOKUP($D21,Résultats!$B$2:$AX$476,N$5,FALSE)</f>
        <v>#N/A</v>
      </c>
      <c r="O21" s="28" t="e">
        <f>VLOOKUP($D21,Résultats!$B$2:$AX$476,O$5,FALSE)</f>
        <v>#N/A</v>
      </c>
      <c r="P21" s="19" t="e">
        <f>VLOOKUP($D21,Résultats!$B$2:$AX$476,P$5,FALSE)</f>
        <v>#N/A</v>
      </c>
      <c r="Q21" s="19" t="e">
        <f>VLOOKUP($D21,Résultats!$B$2:$AX$476,Q$5,FALSE)</f>
        <v>#N/A</v>
      </c>
      <c r="R21" s="19" t="e">
        <f>VLOOKUP($D21,Résultats!$B$2:$AX$476,R$5,FALSE)</f>
        <v>#N/A</v>
      </c>
      <c r="S21" s="111" t="e">
        <f>VLOOKUP($D21,Résultats!$B$2:$AX$476,S$5,FALSE)</f>
        <v>#N/A</v>
      </c>
      <c r="T21" s="120" t="e">
        <f>VLOOKUP($D21,Résultats!$B$2:$AX$476,T$5,FALSE)</f>
        <v>#N/A</v>
      </c>
      <c r="U21" s="120" t="e">
        <f>VLOOKUP($D21,Résultats!$B$2:$AX$476,U$5,FALSE)</f>
        <v>#N/A</v>
      </c>
      <c r="V21" s="120" t="e">
        <f>VLOOKUP($D21,Résultats!$B$2:$AX$476,V$5,FALSE)</f>
        <v>#N/A</v>
      </c>
      <c r="W21" s="120" t="e">
        <f>VLOOKUP($D21,Résultats!$B$2:$AX$476,W$5,FALSE)</f>
        <v>#N/A</v>
      </c>
      <c r="X21" s="3"/>
      <c r="Y21" s="34"/>
    </row>
    <row r="22" spans="1:39" x14ac:dyDescent="0.25">
      <c r="A22" s="3"/>
      <c r="B22" s="273"/>
      <c r="C22" s="3" t="s">
        <v>15</v>
      </c>
      <c r="D22" s="3" t="s">
        <v>148</v>
      </c>
      <c r="E22" s="19" t="e">
        <f>VLOOKUP($D22,Résultats!$B$2:$AX$476,E$5,FALSE)</f>
        <v>#N/A</v>
      </c>
      <c r="F22" s="19" t="e">
        <f>VLOOKUP($D22,Résultats!$B$2:$AX$476,F$5,FALSE)</f>
        <v>#N/A</v>
      </c>
      <c r="G22" s="28" t="e">
        <f>VLOOKUP($D22,Résultats!$B$2:$AX$476,G$5,FALSE)</f>
        <v>#N/A</v>
      </c>
      <c r="H22" s="19" t="e">
        <f>VLOOKUP($D22,Résultats!$B$2:$AX$476,H$5,FALSE)</f>
        <v>#N/A</v>
      </c>
      <c r="I22" s="111" t="e">
        <f>VLOOKUP($D22,Résultats!$B$2:$AX$476,I$5,FALSE)</f>
        <v>#N/A</v>
      </c>
      <c r="J22" s="28" t="e">
        <f>VLOOKUP($D22,Résultats!$B$2:$AX$476,J$5,FALSE)</f>
        <v>#N/A</v>
      </c>
      <c r="K22" s="19" t="e">
        <f>VLOOKUP($D22,Résultats!$B$2:$AX$476,K$5,FALSE)</f>
        <v>#N/A</v>
      </c>
      <c r="L22" s="19" t="e">
        <f>VLOOKUP($D22,Résultats!$B$2:$AX$476,L$5,FALSE)</f>
        <v>#N/A</v>
      </c>
      <c r="M22" s="19" t="e">
        <f>VLOOKUP($D22,Résultats!$B$2:$AX$476,M$5,FALSE)</f>
        <v>#N/A</v>
      </c>
      <c r="N22" s="111" t="e">
        <f>VLOOKUP($D22,Résultats!$B$2:$AX$476,N$5,FALSE)</f>
        <v>#N/A</v>
      </c>
      <c r="O22" s="28" t="e">
        <f>VLOOKUP($D22,Résultats!$B$2:$AX$476,O$5,FALSE)</f>
        <v>#N/A</v>
      </c>
      <c r="P22" s="19" t="e">
        <f>VLOOKUP($D22,Résultats!$B$2:$AX$476,P$5,FALSE)</f>
        <v>#N/A</v>
      </c>
      <c r="Q22" s="19" t="e">
        <f>VLOOKUP($D22,Résultats!$B$2:$AX$476,Q$5,FALSE)</f>
        <v>#N/A</v>
      </c>
      <c r="R22" s="19" t="e">
        <f>VLOOKUP($D22,Résultats!$B$2:$AX$476,R$5,FALSE)</f>
        <v>#N/A</v>
      </c>
      <c r="S22" s="111" t="e">
        <f>VLOOKUP($D22,Résultats!$B$2:$AX$476,S$5,FALSE)</f>
        <v>#N/A</v>
      </c>
      <c r="T22" s="120" t="e">
        <f>VLOOKUP($D22,Résultats!$B$2:$AX$476,T$5,FALSE)</f>
        <v>#N/A</v>
      </c>
      <c r="U22" s="120" t="e">
        <f>VLOOKUP($D22,Résultats!$B$2:$AX$476,U$5,FALSE)</f>
        <v>#N/A</v>
      </c>
      <c r="V22" s="120" t="e">
        <f>VLOOKUP($D22,Résultats!$B$2:$AX$476,V$5,FALSE)</f>
        <v>#N/A</v>
      </c>
      <c r="W22" s="120" t="e">
        <f>VLOOKUP($D22,Résultats!$B$2:$AX$476,W$5,FALSE)</f>
        <v>#N/A</v>
      </c>
      <c r="X22" s="3"/>
      <c r="Y22" s="34"/>
      <c r="Z22" s="34"/>
      <c r="AA22" s="34"/>
    </row>
    <row r="23" spans="1:39" x14ac:dyDescent="0.25">
      <c r="A23" s="3"/>
      <c r="B23" s="273"/>
      <c r="C23" s="3" t="s">
        <v>16</v>
      </c>
      <c r="D23" s="3" t="s">
        <v>149</v>
      </c>
      <c r="E23" s="19" t="e">
        <f>VLOOKUP($D23,Résultats!$B$2:$AX$476,E$5,FALSE)</f>
        <v>#N/A</v>
      </c>
      <c r="F23" s="19" t="e">
        <f>VLOOKUP($D23,Résultats!$B$2:$AX$476,F$5,FALSE)</f>
        <v>#N/A</v>
      </c>
      <c r="G23" s="28" t="e">
        <f>VLOOKUP($D23,Résultats!$B$2:$AX$476,G$5,FALSE)</f>
        <v>#N/A</v>
      </c>
      <c r="H23" s="19" t="e">
        <f>VLOOKUP($D23,Résultats!$B$2:$AX$476,H$5,FALSE)</f>
        <v>#N/A</v>
      </c>
      <c r="I23" s="111" t="e">
        <f>VLOOKUP($D23,Résultats!$B$2:$AX$476,I$5,FALSE)</f>
        <v>#N/A</v>
      </c>
      <c r="J23" s="28" t="e">
        <f>VLOOKUP($D23,Résultats!$B$2:$AX$476,J$5,FALSE)</f>
        <v>#N/A</v>
      </c>
      <c r="K23" s="19" t="e">
        <f>VLOOKUP($D23,Résultats!$B$2:$AX$476,K$5,FALSE)</f>
        <v>#N/A</v>
      </c>
      <c r="L23" s="19" t="e">
        <f>VLOOKUP($D23,Résultats!$B$2:$AX$476,L$5,FALSE)</f>
        <v>#N/A</v>
      </c>
      <c r="M23" s="19" t="e">
        <f>VLOOKUP($D23,Résultats!$B$2:$AX$476,M$5,FALSE)</f>
        <v>#N/A</v>
      </c>
      <c r="N23" s="111" t="e">
        <f>VLOOKUP($D23,Résultats!$B$2:$AX$476,N$5,FALSE)</f>
        <v>#N/A</v>
      </c>
      <c r="O23" s="28" t="e">
        <f>VLOOKUP($D23,Résultats!$B$2:$AX$476,O$5,FALSE)</f>
        <v>#N/A</v>
      </c>
      <c r="P23" s="19" t="e">
        <f>VLOOKUP($D23,Résultats!$B$2:$AX$476,P$5,FALSE)</f>
        <v>#N/A</v>
      </c>
      <c r="Q23" s="19" t="e">
        <f>VLOOKUP($D23,Résultats!$B$2:$AX$476,Q$5,FALSE)</f>
        <v>#N/A</v>
      </c>
      <c r="R23" s="19" t="e">
        <f>VLOOKUP($D23,Résultats!$B$2:$AX$476,R$5,FALSE)</f>
        <v>#N/A</v>
      </c>
      <c r="S23" s="111" t="e">
        <f>VLOOKUP($D23,Résultats!$B$2:$AX$476,S$5,FALSE)</f>
        <v>#N/A</v>
      </c>
      <c r="T23" s="120" t="e">
        <f>VLOOKUP($D23,Résultats!$B$2:$AX$476,T$5,FALSE)</f>
        <v>#N/A</v>
      </c>
      <c r="U23" s="120" t="e">
        <f>VLOOKUP($D23,Résultats!$B$2:$AX$476,U$5,FALSE)</f>
        <v>#N/A</v>
      </c>
      <c r="V23" s="120" t="e">
        <f>VLOOKUP($D23,Résultats!$B$2:$AX$476,V$5,FALSE)</f>
        <v>#N/A</v>
      </c>
      <c r="W23" s="120" t="e">
        <f>VLOOKUP($D23,Résultats!$B$2:$AX$476,W$5,FALSE)</f>
        <v>#N/A</v>
      </c>
      <c r="X23" s="3"/>
      <c r="Y23" s="34"/>
      <c r="Z23" s="34"/>
      <c r="AA23" s="34"/>
    </row>
    <row r="24" spans="1:39" x14ac:dyDescent="0.25">
      <c r="A24" s="3"/>
      <c r="B24" s="273"/>
      <c r="C24" s="3" t="s">
        <v>17</v>
      </c>
      <c r="D24" s="3" t="s">
        <v>150</v>
      </c>
      <c r="E24" s="19" t="e">
        <f>VLOOKUP($D24,Résultats!$B$2:$AX$476,E$5,FALSE)</f>
        <v>#N/A</v>
      </c>
      <c r="F24" s="19" t="e">
        <f>VLOOKUP($D24,Résultats!$B$2:$AX$476,F$5,FALSE)</f>
        <v>#N/A</v>
      </c>
      <c r="G24" s="28" t="e">
        <f>VLOOKUP($D24,Résultats!$B$2:$AX$476,G$5,FALSE)</f>
        <v>#N/A</v>
      </c>
      <c r="H24" s="19" t="e">
        <f>VLOOKUP($D24,Résultats!$B$2:$AX$476,H$5,FALSE)</f>
        <v>#N/A</v>
      </c>
      <c r="I24" s="111" t="e">
        <f>VLOOKUP($D24,Résultats!$B$2:$AX$476,I$5,FALSE)</f>
        <v>#N/A</v>
      </c>
      <c r="J24" s="28" t="e">
        <f>VLOOKUP($D24,Résultats!$B$2:$AX$476,J$5,FALSE)</f>
        <v>#N/A</v>
      </c>
      <c r="K24" s="19" t="e">
        <f>VLOOKUP($D24,Résultats!$B$2:$AX$476,K$5,FALSE)</f>
        <v>#N/A</v>
      </c>
      <c r="L24" s="19" t="e">
        <f>VLOOKUP($D24,Résultats!$B$2:$AX$476,L$5,FALSE)</f>
        <v>#N/A</v>
      </c>
      <c r="M24" s="19" t="e">
        <f>VLOOKUP($D24,Résultats!$B$2:$AX$476,M$5,FALSE)</f>
        <v>#N/A</v>
      </c>
      <c r="N24" s="111" t="e">
        <f>VLOOKUP($D24,Résultats!$B$2:$AX$476,N$5,FALSE)</f>
        <v>#N/A</v>
      </c>
      <c r="O24" s="28" t="e">
        <f>VLOOKUP($D24,Résultats!$B$2:$AX$476,O$5,FALSE)</f>
        <v>#N/A</v>
      </c>
      <c r="P24" s="19" t="e">
        <f>VLOOKUP($D24,Résultats!$B$2:$AX$476,P$5,FALSE)</f>
        <v>#N/A</v>
      </c>
      <c r="Q24" s="19" t="e">
        <f>VLOOKUP($D24,Résultats!$B$2:$AX$476,Q$5,FALSE)</f>
        <v>#N/A</v>
      </c>
      <c r="R24" s="19" t="e">
        <f>VLOOKUP($D24,Résultats!$B$2:$AX$476,R$5,FALSE)</f>
        <v>#N/A</v>
      </c>
      <c r="S24" s="111" t="e">
        <f>VLOOKUP($D24,Résultats!$B$2:$AX$476,S$5,FALSE)</f>
        <v>#N/A</v>
      </c>
      <c r="T24" s="120" t="e">
        <f>VLOOKUP($D24,Résultats!$B$2:$AX$476,T$5,FALSE)</f>
        <v>#N/A</v>
      </c>
      <c r="U24" s="120" t="e">
        <f>VLOOKUP($D24,Résultats!$B$2:$AX$476,U$5,FALSE)</f>
        <v>#N/A</v>
      </c>
      <c r="V24" s="120" t="e">
        <f>VLOOKUP($D24,Résultats!$B$2:$AX$476,V$5,FALSE)</f>
        <v>#N/A</v>
      </c>
      <c r="W24" s="120" t="e">
        <f>VLOOKUP($D24,Résultats!$B$2:$AX$476,W$5,FALSE)</f>
        <v>#N/A</v>
      </c>
      <c r="X24" s="3"/>
      <c r="Y24" s="34"/>
      <c r="Z24" s="34"/>
      <c r="AA24" s="34"/>
    </row>
    <row r="25" spans="1:39" x14ac:dyDescent="0.25">
      <c r="A25" s="3"/>
      <c r="B25" s="274"/>
      <c r="C25" s="7" t="s">
        <v>12</v>
      </c>
      <c r="D25" s="3" t="s">
        <v>151</v>
      </c>
      <c r="E25" s="20" t="e">
        <f>VLOOKUP($D25,Résultats!$B$2:$AX$476,E$5,FALSE)</f>
        <v>#N/A</v>
      </c>
      <c r="F25" s="20" t="e">
        <f>VLOOKUP($D25,Résultats!$B$2:$AX$476,F$5,FALSE)</f>
        <v>#N/A</v>
      </c>
      <c r="G25" s="113" t="e">
        <f>VLOOKUP($D25,Résultats!$B$2:$AX$476,G$5,FALSE)</f>
        <v>#N/A</v>
      </c>
      <c r="H25" s="20" t="e">
        <f>VLOOKUP($D25,Résultats!$B$2:$AX$476,H$5,FALSE)</f>
        <v>#N/A</v>
      </c>
      <c r="I25" s="114" t="e">
        <f>VLOOKUP($D25,Résultats!$B$2:$AX$476,I$5,FALSE)</f>
        <v>#N/A</v>
      </c>
      <c r="J25" s="113" t="e">
        <f>VLOOKUP($D25,Résultats!$B$2:$AX$476,J$5,FALSE)</f>
        <v>#N/A</v>
      </c>
      <c r="K25" s="20" t="e">
        <f>VLOOKUP($D25,Résultats!$B$2:$AX$476,K$5,FALSE)</f>
        <v>#N/A</v>
      </c>
      <c r="L25" s="20" t="e">
        <f>VLOOKUP($D25,Résultats!$B$2:$AX$476,L$5,FALSE)</f>
        <v>#N/A</v>
      </c>
      <c r="M25" s="20" t="e">
        <f>VLOOKUP($D25,Résultats!$B$2:$AX$476,M$5,FALSE)</f>
        <v>#N/A</v>
      </c>
      <c r="N25" s="114" t="e">
        <f>VLOOKUP($D25,Résultats!$B$2:$AX$476,N$5,FALSE)</f>
        <v>#N/A</v>
      </c>
      <c r="O25" s="113" t="e">
        <f>VLOOKUP($D25,Résultats!$B$2:$AX$476,O$5,FALSE)</f>
        <v>#N/A</v>
      </c>
      <c r="P25" s="20" t="e">
        <f>VLOOKUP($D25,Résultats!$B$2:$AX$476,P$5,FALSE)</f>
        <v>#N/A</v>
      </c>
      <c r="Q25" s="20" t="e">
        <f>VLOOKUP($D25,Résultats!$B$2:$AX$476,Q$5,FALSE)</f>
        <v>#N/A</v>
      </c>
      <c r="R25" s="20" t="e">
        <f>VLOOKUP($D25,Résultats!$B$2:$AX$476,R$5,FALSE)</f>
        <v>#N/A</v>
      </c>
      <c r="S25" s="114" t="e">
        <f>VLOOKUP($D25,Résultats!$B$2:$AX$476,S$5,FALSE)</f>
        <v>#N/A</v>
      </c>
      <c r="T25" s="122" t="e">
        <f>VLOOKUP($D25,Résultats!$B$2:$AX$476,T$5,FALSE)</f>
        <v>#N/A</v>
      </c>
      <c r="U25" s="122" t="e">
        <f>VLOOKUP($D25,Résultats!$B$2:$AX$476,U$5,FALSE)</f>
        <v>#N/A</v>
      </c>
      <c r="V25" s="122" t="e">
        <f>VLOOKUP($D25,Résultats!$B$2:$AX$476,V$5,FALSE)</f>
        <v>#N/A</v>
      </c>
      <c r="W25" s="122" t="e">
        <f>VLOOKUP($D25,Résultats!$B$2:$AX$476,W$5,FALSE)</f>
        <v>#N/A</v>
      </c>
      <c r="X25" s="3"/>
      <c r="Y25" s="34"/>
      <c r="Z25" s="34"/>
      <c r="AA25" s="34"/>
    </row>
    <row r="26" spans="1:39" x14ac:dyDescent="0.25">
      <c r="A26" s="3"/>
      <c r="B26" s="207" t="s">
        <v>8</v>
      </c>
      <c r="C26" s="2"/>
      <c r="D26" s="17" t="s">
        <v>152</v>
      </c>
      <c r="E26" s="6" t="e">
        <f>VLOOKUP($D26,Résultats!$B$2:$AX$476,E$5,FALSE)</f>
        <v>#N/A</v>
      </c>
      <c r="F26" s="6" t="e">
        <f>VLOOKUP($D26,Résultats!$B$2:$AX$476,F$5,FALSE)</f>
        <v>#N/A</v>
      </c>
      <c r="G26" s="109" t="e">
        <f>VLOOKUP($D26,Résultats!$B$2:$AX$476,G$5,FALSE)</f>
        <v>#N/A</v>
      </c>
      <c r="H26" s="6" t="e">
        <f>VLOOKUP($D26,Résultats!$B$2:$AX$476,H$5,FALSE)</f>
        <v>#N/A</v>
      </c>
      <c r="I26" s="110" t="e">
        <f>VLOOKUP($D26,Résultats!$B$2:$AX$476,I$5,FALSE)</f>
        <v>#N/A</v>
      </c>
      <c r="J26" s="109" t="e">
        <f>VLOOKUP($D26,Résultats!$B$2:$AX$476,J$5,FALSE)</f>
        <v>#N/A</v>
      </c>
      <c r="K26" s="6" t="e">
        <f>VLOOKUP($D26,Résultats!$B$2:$AX$476,K$5,FALSE)</f>
        <v>#N/A</v>
      </c>
      <c r="L26" s="6" t="e">
        <f>VLOOKUP($D26,Résultats!$B$2:$AX$476,L$5,FALSE)</f>
        <v>#N/A</v>
      </c>
      <c r="M26" s="6" t="e">
        <f>VLOOKUP($D26,Résultats!$B$2:$AX$476,M$5,FALSE)</f>
        <v>#N/A</v>
      </c>
      <c r="N26" s="110" t="e">
        <f>VLOOKUP($D26,Résultats!$B$2:$AX$476,N$5,FALSE)</f>
        <v>#N/A</v>
      </c>
      <c r="O26" s="109" t="e">
        <f>VLOOKUP($D26,Résultats!$B$2:$AX$476,O$5,FALSE)</f>
        <v>#N/A</v>
      </c>
      <c r="P26" s="6" t="e">
        <f>VLOOKUP($D26,Résultats!$B$2:$AX$476,P$5,FALSE)</f>
        <v>#N/A</v>
      </c>
      <c r="Q26" s="6" t="e">
        <f>VLOOKUP($D26,Résultats!$B$2:$AX$476,Q$5,FALSE)</f>
        <v>#N/A</v>
      </c>
      <c r="R26" s="6" t="e">
        <f>VLOOKUP($D26,Résultats!$B$2:$AX$476,R$5,FALSE)</f>
        <v>#N/A</v>
      </c>
      <c r="S26" s="110" t="e">
        <f>VLOOKUP($D26,Résultats!$B$2:$AX$476,S$5,FALSE)</f>
        <v>#N/A</v>
      </c>
      <c r="T26" s="119" t="e">
        <f>VLOOKUP($D26,Résultats!$B$2:$AX$476,T$5,FALSE)</f>
        <v>#N/A</v>
      </c>
      <c r="U26" s="119" t="e">
        <f>VLOOKUP($D26,Résultats!$B$2:$AX$476,U$5,FALSE)</f>
        <v>#N/A</v>
      </c>
      <c r="V26" s="119" t="e">
        <f>VLOOKUP($D26,Résultats!$B$2:$AX$476,V$5,FALSE)</f>
        <v>#N/A</v>
      </c>
      <c r="W26" s="119" t="e">
        <f>VLOOKUP($D26,Résultats!$B$2:$AX$476,W$5,FALSE)</f>
        <v>#N/A</v>
      </c>
      <c r="X26" s="3"/>
      <c r="Y26" s="34"/>
      <c r="Z26" s="34"/>
      <c r="AA26" s="34"/>
    </row>
    <row r="27" spans="1:39" x14ac:dyDescent="0.25">
      <c r="A27" s="3"/>
      <c r="B27" s="206" t="s">
        <v>1</v>
      </c>
      <c r="C27" s="2"/>
      <c r="D27" s="2"/>
      <c r="E27" s="9" t="e">
        <f>E26+E19+E10+E7</f>
        <v>#N/A</v>
      </c>
      <c r="F27" s="9" t="e">
        <f>F26+F19+F10+F7</f>
        <v>#N/A</v>
      </c>
      <c r="G27" s="29" t="e">
        <f t="shared" ref="G27:R27" si="4">G26+G19+G10+G7</f>
        <v>#N/A</v>
      </c>
      <c r="H27" s="9" t="e">
        <f t="shared" si="4"/>
        <v>#N/A</v>
      </c>
      <c r="I27" s="115" t="e">
        <f t="shared" si="4"/>
        <v>#N/A</v>
      </c>
      <c r="J27" s="29" t="e">
        <f t="shared" si="4"/>
        <v>#N/A</v>
      </c>
      <c r="K27" s="9" t="e">
        <f t="shared" si="4"/>
        <v>#N/A</v>
      </c>
      <c r="L27" s="9" t="e">
        <f t="shared" si="4"/>
        <v>#N/A</v>
      </c>
      <c r="M27" s="9" t="e">
        <f t="shared" si="4"/>
        <v>#N/A</v>
      </c>
      <c r="N27" s="115" t="e">
        <f t="shared" si="4"/>
        <v>#N/A</v>
      </c>
      <c r="O27" s="29" t="e">
        <f t="shared" si="4"/>
        <v>#N/A</v>
      </c>
      <c r="P27" s="9" t="e">
        <f t="shared" si="4"/>
        <v>#N/A</v>
      </c>
      <c r="Q27" s="9" t="e">
        <f t="shared" si="4"/>
        <v>#N/A</v>
      </c>
      <c r="R27" s="9" t="e">
        <f t="shared" si="4"/>
        <v>#N/A</v>
      </c>
      <c r="S27" s="115" t="e">
        <f>S26+S19+S10+S7</f>
        <v>#N/A</v>
      </c>
      <c r="T27" s="123" t="e">
        <f>T26+T19+T10+T7</f>
        <v>#N/A</v>
      </c>
      <c r="U27" s="123" t="e">
        <f>U26+U19+U10+U7</f>
        <v>#N/A</v>
      </c>
      <c r="V27" s="123" t="e">
        <f>V26+V19+V10+V7</f>
        <v>#N/A</v>
      </c>
      <c r="W27" s="123" t="e">
        <f>W26+W19+W10+W7</f>
        <v>#N/A</v>
      </c>
      <c r="X27" s="3"/>
      <c r="Y27" s="34"/>
      <c r="Z27" s="34"/>
      <c r="AA27" s="34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226" t="s">
        <v>228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94" t="str">
        <f>Résultats!B1</f>
        <v>TEND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51" t="s">
        <v>237</v>
      </c>
      <c r="AA31" s="51"/>
      <c r="AB31" s="51"/>
      <c r="AC31" s="53"/>
      <c r="AE31" s="51" t="s">
        <v>240</v>
      </c>
      <c r="AF31" s="51"/>
      <c r="AG31" s="51"/>
      <c r="AH31" s="53"/>
      <c r="AJ31" s="51" t="s">
        <v>241</v>
      </c>
      <c r="AK31" s="51"/>
      <c r="AL31" s="51"/>
      <c r="AM31" s="53"/>
    </row>
    <row r="32" spans="1:39" x14ac:dyDescent="0.25">
      <c r="A32" s="3"/>
      <c r="B32" s="205"/>
      <c r="C32" s="2"/>
      <c r="D32" s="18"/>
      <c r="E32" s="4">
        <v>2006</v>
      </c>
      <c r="F32" s="4">
        <v>2015</v>
      </c>
      <c r="G32" s="26">
        <v>2018</v>
      </c>
      <c r="H32" s="33">
        <v>2019</v>
      </c>
      <c r="I32" s="108">
        <v>2020</v>
      </c>
      <c r="J32" s="116">
        <v>2021</v>
      </c>
      <c r="K32" s="33">
        <v>2022</v>
      </c>
      <c r="L32" s="33">
        <v>2023</v>
      </c>
      <c r="M32" s="33">
        <v>2024</v>
      </c>
      <c r="N32" s="108">
        <v>2025</v>
      </c>
      <c r="O32" s="116">
        <v>2026</v>
      </c>
      <c r="P32" s="33">
        <v>2027</v>
      </c>
      <c r="Q32" s="33">
        <v>2028</v>
      </c>
      <c r="R32" s="33">
        <v>2029</v>
      </c>
      <c r="S32" s="117">
        <v>2030</v>
      </c>
      <c r="T32" s="118">
        <v>2035</v>
      </c>
      <c r="U32" s="118">
        <v>2040</v>
      </c>
      <c r="V32" s="118">
        <v>2045</v>
      </c>
      <c r="W32" s="118">
        <v>2050</v>
      </c>
      <c r="X32" s="3"/>
      <c r="Z32" s="208"/>
      <c r="AA32" s="209">
        <v>2020</v>
      </c>
      <c r="AB32" s="209">
        <v>2030</v>
      </c>
      <c r="AC32" s="210">
        <v>2050</v>
      </c>
      <c r="AE32" s="208"/>
      <c r="AF32" s="209">
        <v>2020</v>
      </c>
      <c r="AG32" s="209">
        <v>2030</v>
      </c>
      <c r="AH32" s="210">
        <v>2050</v>
      </c>
      <c r="AJ32" s="208"/>
      <c r="AK32" s="209">
        <v>2020</v>
      </c>
      <c r="AL32" s="209">
        <v>2030</v>
      </c>
      <c r="AM32" s="210">
        <v>2050</v>
      </c>
    </row>
    <row r="33" spans="1:39" x14ac:dyDescent="0.25">
      <c r="A33" s="3"/>
      <c r="B33" s="272" t="s">
        <v>0</v>
      </c>
      <c r="C33" s="5" t="s">
        <v>1</v>
      </c>
      <c r="D33" s="2" t="s">
        <v>113</v>
      </c>
      <c r="E33" s="6" t="e">
        <f>SUM(E34:E35)</f>
        <v>#N/A</v>
      </c>
      <c r="F33" s="6" t="e">
        <f>SUM(F34:F35)</f>
        <v>#N/A</v>
      </c>
      <c r="G33" s="109" t="e">
        <f t="shared" ref="G33:R33" si="5">SUM(G34:G35)</f>
        <v>#N/A</v>
      </c>
      <c r="H33" s="6" t="e">
        <f t="shared" si="5"/>
        <v>#N/A</v>
      </c>
      <c r="I33" s="110" t="e">
        <f t="shared" si="5"/>
        <v>#N/A</v>
      </c>
      <c r="J33" s="109" t="e">
        <f t="shared" si="5"/>
        <v>#N/A</v>
      </c>
      <c r="K33" s="6" t="e">
        <f t="shared" si="5"/>
        <v>#N/A</v>
      </c>
      <c r="L33" s="6" t="e">
        <f t="shared" si="5"/>
        <v>#N/A</v>
      </c>
      <c r="M33" s="6" t="e">
        <f t="shared" si="5"/>
        <v>#N/A</v>
      </c>
      <c r="N33" s="110" t="e">
        <f t="shared" si="5"/>
        <v>#N/A</v>
      </c>
      <c r="O33" s="109" t="e">
        <f t="shared" si="5"/>
        <v>#N/A</v>
      </c>
      <c r="P33" s="6" t="e">
        <f t="shared" si="5"/>
        <v>#N/A</v>
      </c>
      <c r="Q33" s="6" t="e">
        <f t="shared" si="5"/>
        <v>#N/A</v>
      </c>
      <c r="R33" s="6" t="e">
        <f t="shared" si="5"/>
        <v>#N/A</v>
      </c>
      <c r="S33" s="110" t="e">
        <f>SUM(S34:S35)</f>
        <v>#N/A</v>
      </c>
      <c r="T33" s="119" t="e">
        <f>SUM(T34:T35)</f>
        <v>#N/A</v>
      </c>
      <c r="U33" s="119" t="e">
        <f>SUM(U34:U35)</f>
        <v>#N/A</v>
      </c>
      <c r="V33" s="119" t="e">
        <f>SUM(V34:V35)</f>
        <v>#N/A</v>
      </c>
      <c r="W33" s="119" t="e">
        <f>SUM(W34:W35)</f>
        <v>#N/A</v>
      </c>
      <c r="X33" s="3"/>
      <c r="Z33" s="211" t="s">
        <v>42</v>
      </c>
      <c r="AA33" s="220" t="e">
        <f>(I38+I40)/I36</f>
        <v>#N/A</v>
      </c>
      <c r="AB33" s="220" t="e">
        <f>(S38+S40)/S36</f>
        <v>#N/A</v>
      </c>
      <c r="AC33" s="221" t="e">
        <f>(W38+W40)/W36</f>
        <v>#N/A</v>
      </c>
      <c r="AE33" s="211" t="s">
        <v>242</v>
      </c>
      <c r="AF33" s="220" t="e">
        <f>I34/I33</f>
        <v>#N/A</v>
      </c>
      <c r="AG33" s="220" t="e">
        <f>S34/S33</f>
        <v>#N/A</v>
      </c>
      <c r="AH33" s="221" t="e">
        <f>W34/W33</f>
        <v>#N/A</v>
      </c>
      <c r="AJ33" s="211" t="s">
        <v>176</v>
      </c>
      <c r="AK33" s="220" t="e">
        <f>I46/(I46+I48)</f>
        <v>#N/A</v>
      </c>
      <c r="AL33" s="220" t="e">
        <f>S46/(S46+S48)</f>
        <v>#N/A</v>
      </c>
      <c r="AM33" s="221" t="e">
        <f>W46/(W46+W48)</f>
        <v>#N/A</v>
      </c>
    </row>
    <row r="34" spans="1:39" x14ac:dyDescent="0.25">
      <c r="A34" s="3"/>
      <c r="B34" s="273"/>
      <c r="C34" s="3" t="s">
        <v>2</v>
      </c>
      <c r="D34" s="18" t="s">
        <v>128</v>
      </c>
      <c r="E34" s="19" t="e">
        <f>VLOOKUP($D34,Résultats!$B$2:$AX$476,E$5,FALSE)</f>
        <v>#N/A</v>
      </c>
      <c r="F34" s="19" t="e">
        <f>VLOOKUP($D34,Résultats!$B$2:$AX$476,F$5,FALSE)</f>
        <v>#N/A</v>
      </c>
      <c r="G34" s="28" t="e">
        <f>VLOOKUP($D34,Résultats!$B$2:$AX$476,G$5,FALSE)</f>
        <v>#N/A</v>
      </c>
      <c r="H34" s="19" t="e">
        <f>VLOOKUP($D34,Résultats!$B$2:$AX$476,H$5,FALSE)</f>
        <v>#N/A</v>
      </c>
      <c r="I34" s="111" t="e">
        <f>VLOOKUP($D34,Résultats!$B$2:$AX$476,I$5,FALSE)</f>
        <v>#N/A</v>
      </c>
      <c r="J34" s="28" t="e">
        <f>VLOOKUP($D34,Résultats!$B$2:$AX$476,J$5,FALSE)</f>
        <v>#N/A</v>
      </c>
      <c r="K34" s="19" t="e">
        <f>VLOOKUP($D34,Résultats!$B$2:$AX$476,K$5,FALSE)</f>
        <v>#N/A</v>
      </c>
      <c r="L34" s="19" t="e">
        <f>VLOOKUP($D34,Résultats!$B$2:$AX$476,L$5,FALSE)</f>
        <v>#N/A</v>
      </c>
      <c r="M34" s="19" t="e">
        <f>VLOOKUP($D34,Résultats!$B$2:$AX$476,M$5,FALSE)</f>
        <v>#N/A</v>
      </c>
      <c r="N34" s="111" t="e">
        <f>VLOOKUP($D34,Résultats!$B$2:$AX$476,N$5,FALSE)</f>
        <v>#N/A</v>
      </c>
      <c r="O34" s="28" t="e">
        <f>VLOOKUP($D34,Résultats!$B$2:$AX$476,O$5,FALSE)</f>
        <v>#N/A</v>
      </c>
      <c r="P34" s="19" t="e">
        <f>VLOOKUP($D34,Résultats!$B$2:$AX$476,P$5,FALSE)</f>
        <v>#N/A</v>
      </c>
      <c r="Q34" s="19" t="e">
        <f>VLOOKUP($D34,Résultats!$B$2:$AX$476,Q$5,FALSE)</f>
        <v>#N/A</v>
      </c>
      <c r="R34" s="19" t="e">
        <f>VLOOKUP($D34,Résultats!$B$2:$AX$476,R$5,FALSE)</f>
        <v>#N/A</v>
      </c>
      <c r="S34" s="111" t="e">
        <f>VLOOKUP($D34,Résultats!$B$2:$AX$476,S$5,FALSE)</f>
        <v>#N/A</v>
      </c>
      <c r="T34" s="120" t="e">
        <f>VLOOKUP($D34,Résultats!$B$2:$AX$476,T$5,FALSE)</f>
        <v>#N/A</v>
      </c>
      <c r="U34" s="120" t="e">
        <f>VLOOKUP($D34,Résultats!$B$2:$AX$476,U$5,FALSE)</f>
        <v>#N/A</v>
      </c>
      <c r="V34" s="120" t="e">
        <f>VLOOKUP($D34,Résultats!$B$2:$AX$476,V$5,FALSE)</f>
        <v>#N/A</v>
      </c>
      <c r="W34" s="120" t="e">
        <f>VLOOKUP($D34,Résultats!$B$2:$AX$476,W$5,FALSE)</f>
        <v>#N/A</v>
      </c>
      <c r="X34" s="3"/>
      <c r="Z34" s="211" t="s">
        <v>171</v>
      </c>
      <c r="AA34" s="220" t="e">
        <f>I37/I36</f>
        <v>#N/A</v>
      </c>
      <c r="AB34" s="220" t="e">
        <f>S37/S36</f>
        <v>#N/A</v>
      </c>
      <c r="AC34" s="221" t="e">
        <f>W37/W36</f>
        <v>#N/A</v>
      </c>
      <c r="AE34" s="213" t="s">
        <v>175</v>
      </c>
      <c r="AF34" s="222" t="e">
        <f>I35/I33</f>
        <v>#N/A</v>
      </c>
      <c r="AG34" s="222" t="e">
        <f>S35/S33</f>
        <v>#N/A</v>
      </c>
      <c r="AH34" s="223" t="e">
        <f>W35/W33</f>
        <v>#N/A</v>
      </c>
      <c r="AJ34" s="213" t="s">
        <v>177</v>
      </c>
      <c r="AK34" s="222" t="e">
        <f>I48/(I46+I48)</f>
        <v>#N/A</v>
      </c>
      <c r="AL34" s="222" t="e">
        <f>S48/(S46+S48)</f>
        <v>#N/A</v>
      </c>
      <c r="AM34" s="223" t="e">
        <f>W48/(W46+W48)</f>
        <v>#N/A</v>
      </c>
    </row>
    <row r="35" spans="1:39" x14ac:dyDescent="0.25">
      <c r="A35" s="3"/>
      <c r="B35" s="274"/>
      <c r="C35" s="7" t="s">
        <v>3</v>
      </c>
      <c r="D35" s="3" t="s">
        <v>129</v>
      </c>
      <c r="E35" s="19" t="e">
        <f>VLOOKUP($D35,Résultats!$B$2:$AX$476,E$5,FALSE)</f>
        <v>#N/A</v>
      </c>
      <c r="F35" s="19" t="e">
        <f>VLOOKUP($D35,Résultats!$B$2:$AX$476,F$5,FALSE)</f>
        <v>#N/A</v>
      </c>
      <c r="G35" s="28" t="e">
        <f>VLOOKUP($D35,Résultats!$B$2:$AX$476,G$5,FALSE)</f>
        <v>#N/A</v>
      </c>
      <c r="H35" s="19" t="e">
        <f>VLOOKUP($D35,Résultats!$B$2:$AX$476,H$5,FALSE)</f>
        <v>#N/A</v>
      </c>
      <c r="I35" s="111" t="e">
        <f>VLOOKUP($D35,Résultats!$B$2:$AX$476,I$5,FALSE)</f>
        <v>#N/A</v>
      </c>
      <c r="J35" s="28" t="e">
        <f>VLOOKUP($D35,Résultats!$B$2:$AX$476,J$5,FALSE)</f>
        <v>#N/A</v>
      </c>
      <c r="K35" s="19" t="e">
        <f>VLOOKUP($D35,Résultats!$B$2:$AX$476,K$5,FALSE)</f>
        <v>#N/A</v>
      </c>
      <c r="L35" s="19" t="e">
        <f>VLOOKUP($D35,Résultats!$B$2:$AX$476,L$5,FALSE)</f>
        <v>#N/A</v>
      </c>
      <c r="M35" s="19" t="e">
        <f>VLOOKUP($D35,Résultats!$B$2:$AX$476,M$5,FALSE)</f>
        <v>#N/A</v>
      </c>
      <c r="N35" s="111" t="e">
        <f>VLOOKUP($D35,Résultats!$B$2:$AX$476,N$5,FALSE)</f>
        <v>#N/A</v>
      </c>
      <c r="O35" s="28" t="e">
        <f>VLOOKUP($D35,Résultats!$B$2:$AX$476,O$5,FALSE)</f>
        <v>#N/A</v>
      </c>
      <c r="P35" s="19" t="e">
        <f>VLOOKUP($D35,Résultats!$B$2:$AX$476,P$5,FALSE)</f>
        <v>#N/A</v>
      </c>
      <c r="Q35" s="19" t="e">
        <f>VLOOKUP($D35,Résultats!$B$2:$AX$476,Q$5,FALSE)</f>
        <v>#N/A</v>
      </c>
      <c r="R35" s="19" t="e">
        <f>VLOOKUP($D35,Résultats!$B$2:$AX$476,R$5,FALSE)</f>
        <v>#N/A</v>
      </c>
      <c r="S35" s="111" t="e">
        <f>VLOOKUP($D35,Résultats!$B$2:$AX$476,S$5,FALSE)</f>
        <v>#N/A</v>
      </c>
      <c r="T35" s="120" t="e">
        <f>VLOOKUP($D35,Résultats!$B$2:$AX$476,T$5,FALSE)</f>
        <v>#N/A</v>
      </c>
      <c r="U35" s="120" t="e">
        <f>VLOOKUP($D35,Résultats!$B$2:$AX$476,U$5,FALSE)</f>
        <v>#N/A</v>
      </c>
      <c r="V35" s="120" t="e">
        <f>VLOOKUP($D35,Résultats!$B$2:$AX$476,V$5,FALSE)</f>
        <v>#N/A</v>
      </c>
      <c r="W35" s="120" t="e">
        <f>VLOOKUP($D35,Résultats!$B$2:$AX$476,W$5,FALSE)</f>
        <v>#N/A</v>
      </c>
      <c r="X35" s="3"/>
      <c r="Z35" s="211" t="s">
        <v>239</v>
      </c>
      <c r="AA35" s="220" t="e">
        <f>I43/I36</f>
        <v>#N/A</v>
      </c>
      <c r="AB35" s="220" t="e">
        <f>S43/S36</f>
        <v>#N/A</v>
      </c>
      <c r="AC35" s="221" t="e">
        <f>W43/W36</f>
        <v>#N/A</v>
      </c>
      <c r="AE35" s="219" t="s">
        <v>238</v>
      </c>
      <c r="AF35" s="224" t="e">
        <f>SUM(AF33:AF34)</f>
        <v>#N/A</v>
      </c>
      <c r="AG35" s="224" t="e">
        <f t="shared" ref="AG35:AH35" si="6">SUM(AG33:AG34)</f>
        <v>#N/A</v>
      </c>
      <c r="AH35" s="224" t="e">
        <f t="shared" si="6"/>
        <v>#N/A</v>
      </c>
      <c r="AJ35" s="219" t="s">
        <v>238</v>
      </c>
      <c r="AK35" s="224" t="e">
        <f>SUM(AK33:AK34)</f>
        <v>#N/A</v>
      </c>
      <c r="AL35" s="224" t="e">
        <f t="shared" ref="AL35" si="7">SUM(AL33:AL34)</f>
        <v>#N/A</v>
      </c>
      <c r="AM35" s="224" t="e">
        <f t="shared" ref="AM35" si="8">SUM(AM33:AM34)</f>
        <v>#N/A</v>
      </c>
    </row>
    <row r="36" spans="1:39" x14ac:dyDescent="0.25">
      <c r="A36" s="3"/>
      <c r="B36" s="272" t="s">
        <v>4</v>
      </c>
      <c r="C36" s="5" t="s">
        <v>1</v>
      </c>
      <c r="D36" s="2" t="s">
        <v>114</v>
      </c>
      <c r="E36" s="8" t="e">
        <f>SUM(E37:E44)</f>
        <v>#N/A</v>
      </c>
      <c r="F36" s="8" t="e">
        <f>SUM(F37:F44)</f>
        <v>#N/A</v>
      </c>
      <c r="G36" s="27" t="e">
        <f t="shared" ref="G36:R36" si="9">SUM(G37:G44)</f>
        <v>#N/A</v>
      </c>
      <c r="H36" s="8" t="e">
        <f t="shared" si="9"/>
        <v>#N/A</v>
      </c>
      <c r="I36" s="112" t="e">
        <f t="shared" si="9"/>
        <v>#N/A</v>
      </c>
      <c r="J36" s="27" t="e">
        <f t="shared" si="9"/>
        <v>#N/A</v>
      </c>
      <c r="K36" s="8" t="e">
        <f t="shared" si="9"/>
        <v>#N/A</v>
      </c>
      <c r="L36" s="8" t="e">
        <f t="shared" si="9"/>
        <v>#N/A</v>
      </c>
      <c r="M36" s="8" t="e">
        <f t="shared" si="9"/>
        <v>#N/A</v>
      </c>
      <c r="N36" s="112" t="e">
        <f t="shared" si="9"/>
        <v>#N/A</v>
      </c>
      <c r="O36" s="27" t="e">
        <f t="shared" si="9"/>
        <v>#N/A</v>
      </c>
      <c r="P36" s="8" t="e">
        <f t="shared" si="9"/>
        <v>#N/A</v>
      </c>
      <c r="Q36" s="8" t="e">
        <f t="shared" si="9"/>
        <v>#N/A</v>
      </c>
      <c r="R36" s="8" t="e">
        <f t="shared" si="9"/>
        <v>#N/A</v>
      </c>
      <c r="S36" s="112" t="e">
        <f>SUM(S37:S44)</f>
        <v>#N/A</v>
      </c>
      <c r="T36" s="121" t="e">
        <f>SUM(T37:T44)</f>
        <v>#N/A</v>
      </c>
      <c r="U36" s="121" t="e">
        <f>SUM(U37:U44)</f>
        <v>#N/A</v>
      </c>
      <c r="V36" s="121" t="e">
        <f>SUM(V37:V44)</f>
        <v>#N/A</v>
      </c>
      <c r="W36" s="121" t="e">
        <f>SUM(W37:W44)</f>
        <v>#N/A</v>
      </c>
      <c r="X36" s="3"/>
      <c r="Z36" s="211" t="s">
        <v>172</v>
      </c>
      <c r="AA36" s="220" t="e">
        <f>I42/I36</f>
        <v>#N/A</v>
      </c>
      <c r="AB36" s="220" t="e">
        <f>S42/S36</f>
        <v>#N/A</v>
      </c>
      <c r="AC36" s="221" t="e">
        <f>W42/W36</f>
        <v>#N/A</v>
      </c>
    </row>
    <row r="37" spans="1:39" x14ac:dyDescent="0.25">
      <c r="A37" s="3"/>
      <c r="B37" s="273"/>
      <c r="C37" s="3" t="s">
        <v>5</v>
      </c>
      <c r="D37" s="3" t="s">
        <v>120</v>
      </c>
      <c r="E37" s="19" t="e">
        <f>VLOOKUP($D37,Résultats!$B$2:$AX$476,E$5,FALSE)</f>
        <v>#N/A</v>
      </c>
      <c r="F37" s="19" t="e">
        <f>VLOOKUP($D37,Résultats!$B$2:$AX$476,F$5,FALSE)</f>
        <v>#N/A</v>
      </c>
      <c r="G37" s="28" t="e">
        <f>VLOOKUP($D37,Résultats!$B$2:$AX$476,G$5,FALSE)</f>
        <v>#N/A</v>
      </c>
      <c r="H37" s="19" t="e">
        <f>VLOOKUP($D37,Résultats!$B$2:$AX$476,H$5,FALSE)</f>
        <v>#N/A</v>
      </c>
      <c r="I37" s="111" t="e">
        <f>VLOOKUP($D37,Résultats!$B$2:$AX$476,I$5,FALSE)</f>
        <v>#N/A</v>
      </c>
      <c r="J37" s="28" t="e">
        <f>VLOOKUP($D37,Résultats!$B$2:$AX$476,J$5,FALSE)</f>
        <v>#N/A</v>
      </c>
      <c r="K37" s="19" t="e">
        <f>VLOOKUP($D37,Résultats!$B$2:$AX$476,K$5,FALSE)</f>
        <v>#N/A</v>
      </c>
      <c r="L37" s="19" t="e">
        <f>VLOOKUP($D37,Résultats!$B$2:$AX$476,L$5,FALSE)</f>
        <v>#N/A</v>
      </c>
      <c r="M37" s="19" t="e">
        <f>VLOOKUP($D37,Résultats!$B$2:$AX$476,M$5,FALSE)</f>
        <v>#N/A</v>
      </c>
      <c r="N37" s="111" t="e">
        <f>VLOOKUP($D37,Résultats!$B$2:$AX$476,N$5,FALSE)</f>
        <v>#N/A</v>
      </c>
      <c r="O37" s="28" t="e">
        <f>VLOOKUP($D37,Résultats!$B$2:$AX$476,O$5,FALSE)</f>
        <v>#N/A</v>
      </c>
      <c r="P37" s="19" t="e">
        <f>VLOOKUP($D37,Résultats!$B$2:$AX$476,P$5,FALSE)</f>
        <v>#N/A</v>
      </c>
      <c r="Q37" s="19" t="e">
        <f>VLOOKUP($D37,Résultats!$B$2:$AX$476,Q$5,FALSE)</f>
        <v>#N/A</v>
      </c>
      <c r="R37" s="19" t="e">
        <f>VLOOKUP($D37,Résultats!$B$2:$AX$476,R$5,FALSE)</f>
        <v>#N/A</v>
      </c>
      <c r="S37" s="111" t="e">
        <f>VLOOKUP($D37,Résultats!$B$2:$AX$476,S$5,FALSE)</f>
        <v>#N/A</v>
      </c>
      <c r="T37" s="120" t="e">
        <f>VLOOKUP($D37,Résultats!$B$2:$AX$476,T$5,FALSE)</f>
        <v>#N/A</v>
      </c>
      <c r="U37" s="120" t="e">
        <f>VLOOKUP($D37,Résultats!$B$2:$AX$476,U$5,FALSE)</f>
        <v>#N/A</v>
      </c>
      <c r="V37" s="120" t="e">
        <f>VLOOKUP($D37,Résultats!$B$2:$AX$476,V$5,FALSE)</f>
        <v>#N/A</v>
      </c>
      <c r="W37" s="120" t="e">
        <f>VLOOKUP($D37,Résultats!$B$2:$AX$476,W$5,FALSE)</f>
        <v>#N/A</v>
      </c>
      <c r="X37" s="3"/>
      <c r="Z37" s="211" t="s">
        <v>173</v>
      </c>
      <c r="AA37" s="220" t="e">
        <f>I41/I36</f>
        <v>#N/A</v>
      </c>
      <c r="AB37" s="220" t="e">
        <f>S41/S36</f>
        <v>#N/A</v>
      </c>
      <c r="AC37" s="221" t="e">
        <f>W41/W36</f>
        <v>#N/A</v>
      </c>
    </row>
    <row r="38" spans="1:39" x14ac:dyDescent="0.25">
      <c r="A38" s="3"/>
      <c r="B38" s="273"/>
      <c r="C38" s="3" t="s">
        <v>6</v>
      </c>
      <c r="D38" s="3" t="s">
        <v>121</v>
      </c>
      <c r="E38" s="19" t="e">
        <f>VLOOKUP($D38,Résultats!$B$2:$AX$476,E$5,FALSE)</f>
        <v>#N/A</v>
      </c>
      <c r="F38" s="19" t="e">
        <f>VLOOKUP($D38,Résultats!$B$2:$AX$476,F$5,FALSE)</f>
        <v>#N/A</v>
      </c>
      <c r="G38" s="28" t="e">
        <f>VLOOKUP($D38,Résultats!$B$2:$AX$476,G$5,FALSE)</f>
        <v>#N/A</v>
      </c>
      <c r="H38" s="19" t="e">
        <f>VLOOKUP($D38,Résultats!$B$2:$AX$476,H$5,FALSE)</f>
        <v>#N/A</v>
      </c>
      <c r="I38" s="111" t="e">
        <f>VLOOKUP($D38,Résultats!$B$2:$AX$476,I$5,FALSE)</f>
        <v>#N/A</v>
      </c>
      <c r="J38" s="28" t="e">
        <f>VLOOKUP($D38,Résultats!$B$2:$AX$476,J$5,FALSE)</f>
        <v>#N/A</v>
      </c>
      <c r="K38" s="19" t="e">
        <f>VLOOKUP($D38,Résultats!$B$2:$AX$476,K$5,FALSE)</f>
        <v>#N/A</v>
      </c>
      <c r="L38" s="19" t="e">
        <f>VLOOKUP($D38,Résultats!$B$2:$AX$476,L$5,FALSE)</f>
        <v>#N/A</v>
      </c>
      <c r="M38" s="19" t="e">
        <f>VLOOKUP($D38,Résultats!$B$2:$AX$476,M$5,FALSE)</f>
        <v>#N/A</v>
      </c>
      <c r="N38" s="111" t="e">
        <f>VLOOKUP($D38,Résultats!$B$2:$AX$476,N$5,FALSE)</f>
        <v>#N/A</v>
      </c>
      <c r="O38" s="28" t="e">
        <f>VLOOKUP($D38,Résultats!$B$2:$AX$476,O$5,FALSE)</f>
        <v>#N/A</v>
      </c>
      <c r="P38" s="19" t="e">
        <f>VLOOKUP($D38,Résultats!$B$2:$AX$476,P$5,FALSE)</f>
        <v>#N/A</v>
      </c>
      <c r="Q38" s="19" t="e">
        <f>VLOOKUP($D38,Résultats!$B$2:$AX$476,Q$5,FALSE)</f>
        <v>#N/A</v>
      </c>
      <c r="R38" s="19" t="e">
        <f>VLOOKUP($D38,Résultats!$B$2:$AX$476,R$5,FALSE)</f>
        <v>#N/A</v>
      </c>
      <c r="S38" s="111" t="e">
        <f>VLOOKUP($D38,Résultats!$B$2:$AX$476,S$5,FALSE)</f>
        <v>#N/A</v>
      </c>
      <c r="T38" s="120" t="e">
        <f>VLOOKUP($D38,Résultats!$B$2:$AX$476,T$5,FALSE)</f>
        <v>#N/A</v>
      </c>
      <c r="U38" s="120" t="e">
        <f>VLOOKUP($D38,Résultats!$B$2:$AX$476,U$5,FALSE)</f>
        <v>#N/A</v>
      </c>
      <c r="V38" s="120" t="e">
        <f>VLOOKUP($D38,Résultats!$B$2:$AX$476,V$5,FALSE)</f>
        <v>#N/A</v>
      </c>
      <c r="W38" s="120" t="e">
        <f>VLOOKUP($D38,Résultats!$B$2:$AX$476,W$5,FALSE)</f>
        <v>#N/A</v>
      </c>
      <c r="X38" s="3"/>
      <c r="Z38" s="213" t="s">
        <v>174</v>
      </c>
      <c r="AA38" s="222" t="e">
        <f>(I39+I44)/I36</f>
        <v>#N/A</v>
      </c>
      <c r="AB38" s="222" t="e">
        <f>(S39+S44)/S36</f>
        <v>#N/A</v>
      </c>
      <c r="AC38" s="223" t="e">
        <f>(W39+W44)/W36</f>
        <v>#N/A</v>
      </c>
    </row>
    <row r="39" spans="1:39" x14ac:dyDescent="0.25">
      <c r="A39" s="3"/>
      <c r="B39" s="273"/>
      <c r="C39" s="3" t="s">
        <v>7</v>
      </c>
      <c r="D39" s="3" t="s">
        <v>122</v>
      </c>
      <c r="E39" s="19" t="e">
        <f>VLOOKUP($D39,Résultats!$B$2:$AX$476,E$5,FALSE)</f>
        <v>#N/A</v>
      </c>
      <c r="F39" s="19" t="e">
        <f>VLOOKUP($D39,Résultats!$B$2:$AX$476,F$5,FALSE)</f>
        <v>#N/A</v>
      </c>
      <c r="G39" s="28" t="e">
        <f>VLOOKUP($D39,Résultats!$B$2:$AX$476,G$5,FALSE)</f>
        <v>#N/A</v>
      </c>
      <c r="H39" s="19" t="e">
        <f>VLOOKUP($D39,Résultats!$B$2:$AX$476,H$5,FALSE)</f>
        <v>#N/A</v>
      </c>
      <c r="I39" s="111" t="e">
        <f>VLOOKUP($D39,Résultats!$B$2:$AX$476,I$5,FALSE)</f>
        <v>#N/A</v>
      </c>
      <c r="J39" s="28" t="e">
        <f>VLOOKUP($D39,Résultats!$B$2:$AX$476,J$5,FALSE)</f>
        <v>#N/A</v>
      </c>
      <c r="K39" s="19" t="e">
        <f>VLOOKUP($D39,Résultats!$B$2:$AX$476,K$5,FALSE)</f>
        <v>#N/A</v>
      </c>
      <c r="L39" s="19" t="e">
        <f>VLOOKUP($D39,Résultats!$B$2:$AX$476,L$5,FALSE)</f>
        <v>#N/A</v>
      </c>
      <c r="M39" s="19" t="e">
        <f>VLOOKUP($D39,Résultats!$B$2:$AX$476,M$5,FALSE)</f>
        <v>#N/A</v>
      </c>
      <c r="N39" s="111" t="e">
        <f>VLOOKUP($D39,Résultats!$B$2:$AX$476,N$5,FALSE)</f>
        <v>#N/A</v>
      </c>
      <c r="O39" s="28" t="e">
        <f>VLOOKUP($D39,Résultats!$B$2:$AX$476,O$5,FALSE)</f>
        <v>#N/A</v>
      </c>
      <c r="P39" s="19" t="e">
        <f>VLOOKUP($D39,Résultats!$B$2:$AX$476,P$5,FALSE)</f>
        <v>#N/A</v>
      </c>
      <c r="Q39" s="19" t="e">
        <f>VLOOKUP($D39,Résultats!$B$2:$AX$476,Q$5,FALSE)</f>
        <v>#N/A</v>
      </c>
      <c r="R39" s="19" t="e">
        <f>VLOOKUP($D39,Résultats!$B$2:$AX$476,R$5,FALSE)</f>
        <v>#N/A</v>
      </c>
      <c r="S39" s="111" t="e">
        <f>VLOOKUP($D39,Résultats!$B$2:$AX$476,S$5,FALSE)</f>
        <v>#N/A</v>
      </c>
      <c r="T39" s="120" t="e">
        <f>VLOOKUP($D39,Résultats!$B$2:$AX$476,T$5,FALSE)</f>
        <v>#N/A</v>
      </c>
      <c r="U39" s="120" t="e">
        <f>VLOOKUP($D39,Résultats!$B$2:$AX$476,U$5,FALSE)</f>
        <v>#N/A</v>
      </c>
      <c r="V39" s="120" t="e">
        <f>VLOOKUP($D39,Résultats!$B$2:$AX$476,V$5,FALSE)</f>
        <v>#N/A</v>
      </c>
      <c r="W39" s="120" t="e">
        <f>VLOOKUP($D39,Résultats!$B$2:$AX$476,W$5,FALSE)</f>
        <v>#N/A</v>
      </c>
      <c r="X39" s="3"/>
      <c r="Z39" s="219" t="s">
        <v>238</v>
      </c>
      <c r="AA39" s="224" t="e">
        <f>SUM(AA33:AA38)</f>
        <v>#N/A</v>
      </c>
      <c r="AB39" s="224" t="e">
        <f t="shared" ref="AB39:AC39" si="10">SUM(AB33:AB38)</f>
        <v>#N/A</v>
      </c>
      <c r="AC39" s="224" t="e">
        <f t="shared" si="10"/>
        <v>#N/A</v>
      </c>
      <c r="AJ39" s="219"/>
      <c r="AK39" s="224"/>
      <c r="AL39" s="224"/>
      <c r="AM39" s="224"/>
    </row>
    <row r="40" spans="1:39" x14ac:dyDescent="0.25">
      <c r="A40" s="3"/>
      <c r="B40" s="273"/>
      <c r="C40" s="3" t="s">
        <v>8</v>
      </c>
      <c r="D40" s="3" t="s">
        <v>123</v>
      </c>
      <c r="E40" s="19" t="e">
        <f>VLOOKUP($D40,Résultats!$B$2:$AX$476,E$5,FALSE)</f>
        <v>#N/A</v>
      </c>
      <c r="F40" s="19" t="e">
        <f>VLOOKUP($D40,Résultats!$B$2:$AX$476,F$5,FALSE)</f>
        <v>#N/A</v>
      </c>
      <c r="G40" s="28" t="e">
        <f>VLOOKUP($D40,Résultats!$B$2:$AX$476,G$5,FALSE)</f>
        <v>#N/A</v>
      </c>
      <c r="H40" s="19" t="e">
        <f>VLOOKUP($D40,Résultats!$B$2:$AX$476,H$5,FALSE)</f>
        <v>#N/A</v>
      </c>
      <c r="I40" s="111" t="e">
        <f>VLOOKUP($D40,Résultats!$B$2:$AX$476,I$5,FALSE)</f>
        <v>#N/A</v>
      </c>
      <c r="J40" s="28" t="e">
        <f>VLOOKUP($D40,Résultats!$B$2:$AX$476,J$5,FALSE)</f>
        <v>#N/A</v>
      </c>
      <c r="K40" s="19" t="e">
        <f>VLOOKUP($D40,Résultats!$B$2:$AX$476,K$5,FALSE)</f>
        <v>#N/A</v>
      </c>
      <c r="L40" s="19" t="e">
        <f>VLOOKUP($D40,Résultats!$B$2:$AX$476,L$5,FALSE)</f>
        <v>#N/A</v>
      </c>
      <c r="M40" s="19" t="e">
        <f>VLOOKUP($D40,Résultats!$B$2:$AX$476,M$5,FALSE)</f>
        <v>#N/A</v>
      </c>
      <c r="N40" s="111" t="e">
        <f>VLOOKUP($D40,Résultats!$B$2:$AX$476,N$5,FALSE)</f>
        <v>#N/A</v>
      </c>
      <c r="O40" s="28" t="e">
        <f>VLOOKUP($D40,Résultats!$B$2:$AX$476,O$5,FALSE)</f>
        <v>#N/A</v>
      </c>
      <c r="P40" s="19" t="e">
        <f>VLOOKUP($D40,Résultats!$B$2:$AX$476,P$5,FALSE)</f>
        <v>#N/A</v>
      </c>
      <c r="Q40" s="19" t="e">
        <f>VLOOKUP($D40,Résultats!$B$2:$AX$476,Q$5,FALSE)</f>
        <v>#N/A</v>
      </c>
      <c r="R40" s="19" t="e">
        <f>VLOOKUP($D40,Résultats!$B$2:$AX$476,R$5,FALSE)</f>
        <v>#N/A</v>
      </c>
      <c r="S40" s="111" t="e">
        <f>VLOOKUP($D40,Résultats!$B$2:$AX$476,S$5,FALSE)</f>
        <v>#N/A</v>
      </c>
      <c r="T40" s="120" t="e">
        <f>VLOOKUP($D40,Résultats!$B$2:$AX$476,T$5,FALSE)</f>
        <v>#N/A</v>
      </c>
      <c r="U40" s="120" t="e">
        <f>VLOOKUP($D40,Résultats!$B$2:$AX$476,U$5,FALSE)</f>
        <v>#N/A</v>
      </c>
      <c r="V40" s="120" t="e">
        <f>VLOOKUP($D40,Résultats!$B$2:$AX$476,V$5,FALSE)</f>
        <v>#N/A</v>
      </c>
      <c r="W40" s="120" t="e">
        <f>VLOOKUP($D40,Résultats!$B$2:$AX$476,W$5,FALSE)</f>
        <v>#N/A</v>
      </c>
      <c r="X40" s="3"/>
    </row>
    <row r="41" spans="1:39" x14ac:dyDescent="0.25">
      <c r="A41" s="3"/>
      <c r="B41" s="273"/>
      <c r="C41" s="3" t="s">
        <v>9</v>
      </c>
      <c r="D41" s="3" t="s">
        <v>124</v>
      </c>
      <c r="E41" s="19" t="e">
        <f>VLOOKUP($D41,Résultats!$B$2:$AX$476,E$5,FALSE)</f>
        <v>#N/A</v>
      </c>
      <c r="F41" s="19" t="e">
        <f>VLOOKUP($D41,Résultats!$B$2:$AX$476,F$5,FALSE)</f>
        <v>#N/A</v>
      </c>
      <c r="G41" s="28" t="e">
        <f>VLOOKUP($D41,Résultats!$B$2:$AX$476,G$5,FALSE)</f>
        <v>#N/A</v>
      </c>
      <c r="H41" s="19" t="e">
        <f>VLOOKUP($D41,Résultats!$B$2:$AX$476,H$5,FALSE)</f>
        <v>#N/A</v>
      </c>
      <c r="I41" s="111" t="e">
        <f>VLOOKUP($D41,Résultats!$B$2:$AX$476,I$5,FALSE)</f>
        <v>#N/A</v>
      </c>
      <c r="J41" s="28" t="e">
        <f>VLOOKUP($D41,Résultats!$B$2:$AX$476,J$5,FALSE)</f>
        <v>#N/A</v>
      </c>
      <c r="K41" s="19" t="e">
        <f>VLOOKUP($D41,Résultats!$B$2:$AX$476,K$5,FALSE)</f>
        <v>#N/A</v>
      </c>
      <c r="L41" s="19" t="e">
        <f>VLOOKUP($D41,Résultats!$B$2:$AX$476,L$5,FALSE)</f>
        <v>#N/A</v>
      </c>
      <c r="M41" s="19" t="e">
        <f>VLOOKUP($D41,Résultats!$B$2:$AX$476,M$5,FALSE)</f>
        <v>#N/A</v>
      </c>
      <c r="N41" s="111" t="e">
        <f>VLOOKUP($D41,Résultats!$B$2:$AX$476,N$5,FALSE)</f>
        <v>#N/A</v>
      </c>
      <c r="O41" s="28" t="e">
        <f>VLOOKUP($D41,Résultats!$B$2:$AX$476,O$5,FALSE)</f>
        <v>#N/A</v>
      </c>
      <c r="P41" s="19" t="e">
        <f>VLOOKUP($D41,Résultats!$B$2:$AX$476,P$5,FALSE)</f>
        <v>#N/A</v>
      </c>
      <c r="Q41" s="19" t="e">
        <f>VLOOKUP($D41,Résultats!$B$2:$AX$476,Q$5,FALSE)</f>
        <v>#N/A</v>
      </c>
      <c r="R41" s="19" t="e">
        <f>VLOOKUP($D41,Résultats!$B$2:$AX$476,R$5,FALSE)</f>
        <v>#N/A</v>
      </c>
      <c r="S41" s="111" t="e">
        <f>VLOOKUP($D41,Résultats!$B$2:$AX$476,S$5,FALSE)</f>
        <v>#N/A</v>
      </c>
      <c r="T41" s="120" t="e">
        <f>VLOOKUP($D41,Résultats!$B$2:$AX$476,T$5,FALSE)</f>
        <v>#N/A</v>
      </c>
      <c r="U41" s="120" t="e">
        <f>VLOOKUP($D41,Résultats!$B$2:$AX$476,U$5,FALSE)</f>
        <v>#N/A</v>
      </c>
      <c r="V41" s="120" t="e">
        <f>VLOOKUP($D41,Résultats!$B$2:$AX$476,V$5,FALSE)</f>
        <v>#N/A</v>
      </c>
      <c r="W41" s="120" t="e">
        <f>VLOOKUP($D41,Résultats!$B$2:$AX$476,W$5,FALSE)</f>
        <v>#N/A</v>
      </c>
      <c r="X41" s="3"/>
    </row>
    <row r="42" spans="1:39" x14ac:dyDescent="0.25">
      <c r="A42" s="3"/>
      <c r="B42" s="273"/>
      <c r="C42" s="3" t="s">
        <v>10</v>
      </c>
      <c r="D42" s="3" t="s">
        <v>125</v>
      </c>
      <c r="E42" s="19" t="e">
        <f>VLOOKUP($D42,Résultats!$B$2:$AX$476,E$5,FALSE)</f>
        <v>#N/A</v>
      </c>
      <c r="F42" s="19" t="e">
        <f>VLOOKUP($D42,Résultats!$B$2:$AX$476,F$5,FALSE)</f>
        <v>#N/A</v>
      </c>
      <c r="G42" s="28" t="e">
        <f>VLOOKUP($D42,Résultats!$B$2:$AX$476,G$5,FALSE)</f>
        <v>#N/A</v>
      </c>
      <c r="H42" s="19" t="e">
        <f>VLOOKUP($D42,Résultats!$B$2:$AX$476,H$5,FALSE)</f>
        <v>#N/A</v>
      </c>
      <c r="I42" s="111" t="e">
        <f>VLOOKUP($D42,Résultats!$B$2:$AX$476,I$5,FALSE)</f>
        <v>#N/A</v>
      </c>
      <c r="J42" s="28" t="e">
        <f>VLOOKUP($D42,Résultats!$B$2:$AX$476,J$5,FALSE)</f>
        <v>#N/A</v>
      </c>
      <c r="K42" s="19" t="e">
        <f>VLOOKUP($D42,Résultats!$B$2:$AX$476,K$5,FALSE)</f>
        <v>#N/A</v>
      </c>
      <c r="L42" s="19" t="e">
        <f>VLOOKUP($D42,Résultats!$B$2:$AX$476,L$5,FALSE)</f>
        <v>#N/A</v>
      </c>
      <c r="M42" s="19" t="e">
        <f>VLOOKUP($D42,Résultats!$B$2:$AX$476,M$5,FALSE)</f>
        <v>#N/A</v>
      </c>
      <c r="N42" s="111" t="e">
        <f>VLOOKUP($D42,Résultats!$B$2:$AX$476,N$5,FALSE)</f>
        <v>#N/A</v>
      </c>
      <c r="O42" s="28" t="e">
        <f>VLOOKUP($D42,Résultats!$B$2:$AX$476,O$5,FALSE)</f>
        <v>#N/A</v>
      </c>
      <c r="P42" s="19" t="e">
        <f>VLOOKUP($D42,Résultats!$B$2:$AX$476,P$5,FALSE)</f>
        <v>#N/A</v>
      </c>
      <c r="Q42" s="19" t="e">
        <f>VLOOKUP($D42,Résultats!$B$2:$AX$476,Q$5,FALSE)</f>
        <v>#N/A</v>
      </c>
      <c r="R42" s="19" t="e">
        <f>VLOOKUP($D42,Résultats!$B$2:$AX$476,R$5,FALSE)</f>
        <v>#N/A</v>
      </c>
      <c r="S42" s="111" t="e">
        <f>VLOOKUP($D42,Résultats!$B$2:$AX$476,S$5,FALSE)</f>
        <v>#N/A</v>
      </c>
      <c r="T42" s="120" t="e">
        <f>VLOOKUP($D42,Résultats!$B$2:$AX$476,T$5,FALSE)</f>
        <v>#N/A</v>
      </c>
      <c r="U42" s="120" t="e">
        <f>VLOOKUP($D42,Résultats!$B$2:$AX$476,U$5,FALSE)</f>
        <v>#N/A</v>
      </c>
      <c r="V42" s="120" t="e">
        <f>VLOOKUP($D42,Résultats!$B$2:$AX$476,V$5,FALSE)</f>
        <v>#N/A</v>
      </c>
      <c r="W42" s="120" t="e">
        <f>VLOOKUP($D42,Résultats!$B$2:$AX$476,W$5,FALSE)</f>
        <v>#N/A</v>
      </c>
      <c r="X42" s="3"/>
    </row>
    <row r="43" spans="1:39" x14ac:dyDescent="0.25">
      <c r="A43" s="3"/>
      <c r="B43" s="273"/>
      <c r="C43" s="3" t="s">
        <v>11</v>
      </c>
      <c r="D43" s="3" t="s">
        <v>126</v>
      </c>
      <c r="E43" s="19" t="e">
        <f>VLOOKUP($D43,Résultats!$B$2:$AX$476,E$5,FALSE)</f>
        <v>#N/A</v>
      </c>
      <c r="F43" s="19" t="e">
        <f>VLOOKUP($D43,Résultats!$B$2:$AX$476,F$5,FALSE)</f>
        <v>#N/A</v>
      </c>
      <c r="G43" s="28" t="e">
        <f>VLOOKUP($D43,Résultats!$B$2:$AX$476,G$5,FALSE)</f>
        <v>#N/A</v>
      </c>
      <c r="H43" s="19" t="e">
        <f>VLOOKUP($D43,Résultats!$B$2:$AX$476,H$5,FALSE)</f>
        <v>#N/A</v>
      </c>
      <c r="I43" s="111" t="e">
        <f>VLOOKUP($D43,Résultats!$B$2:$AX$476,I$5,FALSE)</f>
        <v>#N/A</v>
      </c>
      <c r="J43" s="28" t="e">
        <f>VLOOKUP($D43,Résultats!$B$2:$AX$476,J$5,FALSE)</f>
        <v>#N/A</v>
      </c>
      <c r="K43" s="19" t="e">
        <f>VLOOKUP($D43,Résultats!$B$2:$AX$476,K$5,FALSE)</f>
        <v>#N/A</v>
      </c>
      <c r="L43" s="19" t="e">
        <f>VLOOKUP($D43,Résultats!$B$2:$AX$476,L$5,FALSE)</f>
        <v>#N/A</v>
      </c>
      <c r="M43" s="19" t="e">
        <f>VLOOKUP($D43,Résultats!$B$2:$AX$476,M$5,FALSE)</f>
        <v>#N/A</v>
      </c>
      <c r="N43" s="111" t="e">
        <f>VLOOKUP($D43,Résultats!$B$2:$AX$476,N$5,FALSE)</f>
        <v>#N/A</v>
      </c>
      <c r="O43" s="28" t="e">
        <f>VLOOKUP($D43,Résultats!$B$2:$AX$476,O$5,FALSE)</f>
        <v>#N/A</v>
      </c>
      <c r="P43" s="19" t="e">
        <f>VLOOKUP($D43,Résultats!$B$2:$AX$476,P$5,FALSE)</f>
        <v>#N/A</v>
      </c>
      <c r="Q43" s="19" t="e">
        <f>VLOOKUP($D43,Résultats!$B$2:$AX$476,Q$5,FALSE)</f>
        <v>#N/A</v>
      </c>
      <c r="R43" s="19" t="e">
        <f>VLOOKUP($D43,Résultats!$B$2:$AX$476,R$5,FALSE)</f>
        <v>#N/A</v>
      </c>
      <c r="S43" s="111" t="e">
        <f>VLOOKUP($D43,Résultats!$B$2:$AX$476,S$5,FALSE)</f>
        <v>#N/A</v>
      </c>
      <c r="T43" s="120" t="e">
        <f>VLOOKUP($D43,Résultats!$B$2:$AX$476,T$5,FALSE)</f>
        <v>#N/A</v>
      </c>
      <c r="U43" s="120" t="e">
        <f>VLOOKUP($D43,Résultats!$B$2:$AX$476,U$5,FALSE)</f>
        <v>#N/A</v>
      </c>
      <c r="V43" s="120" t="e">
        <f>VLOOKUP($D43,Résultats!$B$2:$AX$476,V$5,FALSE)</f>
        <v>#N/A</v>
      </c>
      <c r="W43" s="120" t="e">
        <f>VLOOKUP($D43,Résultats!$B$2:$AX$476,W$5,FALSE)</f>
        <v>#N/A</v>
      </c>
      <c r="X43" s="3"/>
    </row>
    <row r="44" spans="1:39" x14ac:dyDescent="0.25">
      <c r="A44" s="3"/>
      <c r="B44" s="274"/>
      <c r="C44" s="7" t="s">
        <v>12</v>
      </c>
      <c r="D44" s="3" t="s">
        <v>127</v>
      </c>
      <c r="E44" s="20" t="e">
        <f>VLOOKUP($D44,Résultats!$B$2:$AX$476,E$5,FALSE)</f>
        <v>#N/A</v>
      </c>
      <c r="F44" s="20" t="e">
        <f>VLOOKUP($D44,Résultats!$B$2:$AX$476,F$5,FALSE)</f>
        <v>#N/A</v>
      </c>
      <c r="G44" s="113" t="e">
        <f>VLOOKUP($D44,Résultats!$B$2:$AX$476,G$5,FALSE)</f>
        <v>#N/A</v>
      </c>
      <c r="H44" s="20" t="e">
        <f>VLOOKUP($D44,Résultats!$B$2:$AX$476,H$5,FALSE)</f>
        <v>#N/A</v>
      </c>
      <c r="I44" s="114" t="e">
        <f>VLOOKUP($D44,Résultats!$B$2:$AX$476,I$5,FALSE)</f>
        <v>#N/A</v>
      </c>
      <c r="J44" s="113" t="e">
        <f>VLOOKUP($D44,Résultats!$B$2:$AX$476,J$5,FALSE)</f>
        <v>#N/A</v>
      </c>
      <c r="K44" s="20" t="e">
        <f>VLOOKUP($D44,Résultats!$B$2:$AX$476,K$5,FALSE)</f>
        <v>#N/A</v>
      </c>
      <c r="L44" s="20" t="e">
        <f>VLOOKUP($D44,Résultats!$B$2:$AX$476,L$5,FALSE)</f>
        <v>#N/A</v>
      </c>
      <c r="M44" s="20" t="e">
        <f>VLOOKUP($D44,Résultats!$B$2:$AX$476,M$5,FALSE)</f>
        <v>#N/A</v>
      </c>
      <c r="N44" s="114" t="e">
        <f>VLOOKUP($D44,Résultats!$B$2:$AX$476,N$5,FALSE)</f>
        <v>#N/A</v>
      </c>
      <c r="O44" s="113" t="e">
        <f>VLOOKUP($D44,Résultats!$B$2:$AX$476,O$5,FALSE)</f>
        <v>#N/A</v>
      </c>
      <c r="P44" s="20" t="e">
        <f>VLOOKUP($D44,Résultats!$B$2:$AX$476,P$5,FALSE)</f>
        <v>#N/A</v>
      </c>
      <c r="Q44" s="20" t="e">
        <f>VLOOKUP($D44,Résultats!$B$2:$AX$476,Q$5,FALSE)</f>
        <v>#N/A</v>
      </c>
      <c r="R44" s="20" t="e">
        <f>VLOOKUP($D44,Résultats!$B$2:$AX$476,R$5,FALSE)</f>
        <v>#N/A</v>
      </c>
      <c r="S44" s="114" t="e">
        <f>VLOOKUP($D44,Résultats!$B$2:$AX$476,S$5,FALSE)</f>
        <v>#N/A</v>
      </c>
      <c r="T44" s="122" t="e">
        <f>VLOOKUP($D44,Résultats!$B$2:$AX$476,T$5,FALSE)</f>
        <v>#N/A</v>
      </c>
      <c r="U44" s="122" t="e">
        <f>VLOOKUP($D44,Résultats!$B$2:$AX$476,U$5,FALSE)</f>
        <v>#N/A</v>
      </c>
      <c r="V44" s="122" t="e">
        <f>VLOOKUP($D44,Résultats!$B$2:$AX$476,V$5,FALSE)</f>
        <v>#N/A</v>
      </c>
      <c r="W44" s="122" t="e">
        <f>VLOOKUP($D44,Résultats!$B$2:$AX$476,W$5,FALSE)</f>
        <v>#N/A</v>
      </c>
      <c r="X44" s="3"/>
    </row>
    <row r="45" spans="1:39" x14ac:dyDescent="0.25">
      <c r="A45" s="3"/>
      <c r="B45" s="272" t="s">
        <v>163</v>
      </c>
      <c r="C45" s="5" t="s">
        <v>1</v>
      </c>
      <c r="D45" s="2" t="s">
        <v>115</v>
      </c>
      <c r="E45" s="6" t="e">
        <f>SUM(E46:E51)</f>
        <v>#N/A</v>
      </c>
      <c r="F45" s="6" t="e">
        <f>SUM(F46:F51)</f>
        <v>#N/A</v>
      </c>
      <c r="G45" s="109" t="e">
        <f t="shared" ref="G45:R45" si="11">SUM(G46:G51)</f>
        <v>#N/A</v>
      </c>
      <c r="H45" s="6" t="e">
        <f t="shared" si="11"/>
        <v>#N/A</v>
      </c>
      <c r="I45" s="110" t="e">
        <f t="shared" si="11"/>
        <v>#N/A</v>
      </c>
      <c r="J45" s="109" t="e">
        <f t="shared" si="11"/>
        <v>#N/A</v>
      </c>
      <c r="K45" s="6" t="e">
        <f t="shared" si="11"/>
        <v>#N/A</v>
      </c>
      <c r="L45" s="6" t="e">
        <f t="shared" si="11"/>
        <v>#N/A</v>
      </c>
      <c r="M45" s="6" t="e">
        <f t="shared" si="11"/>
        <v>#N/A</v>
      </c>
      <c r="N45" s="110" t="e">
        <f t="shared" si="11"/>
        <v>#N/A</v>
      </c>
      <c r="O45" s="109" t="e">
        <f t="shared" si="11"/>
        <v>#N/A</v>
      </c>
      <c r="P45" s="6" t="e">
        <f t="shared" si="11"/>
        <v>#N/A</v>
      </c>
      <c r="Q45" s="6" t="e">
        <f t="shared" si="11"/>
        <v>#N/A</v>
      </c>
      <c r="R45" s="6" t="e">
        <f t="shared" si="11"/>
        <v>#N/A</v>
      </c>
      <c r="S45" s="110" t="e">
        <f>SUM(S46:S51)</f>
        <v>#N/A</v>
      </c>
      <c r="T45" s="119" t="e">
        <f>SUM(T46:T51)</f>
        <v>#N/A</v>
      </c>
      <c r="U45" s="119" t="e">
        <f>SUM(U46:U51)</f>
        <v>#N/A</v>
      </c>
      <c r="V45" s="119" t="e">
        <f>SUM(V46:V51)</f>
        <v>#N/A</v>
      </c>
      <c r="W45" s="119" t="e">
        <f>SUM(W46:W51)</f>
        <v>#N/A</v>
      </c>
      <c r="X45" s="3"/>
    </row>
    <row r="46" spans="1:39" x14ac:dyDescent="0.25">
      <c r="A46" s="3"/>
      <c r="B46" s="273"/>
      <c r="C46" s="3" t="s">
        <v>13</v>
      </c>
      <c r="D46" s="3" t="s">
        <v>130</v>
      </c>
      <c r="E46" s="19" t="e">
        <f>VLOOKUP($D46,Résultats!$B$2:$AX$476,E$5,FALSE)</f>
        <v>#N/A</v>
      </c>
      <c r="F46" s="19" t="e">
        <f>VLOOKUP($D46,Résultats!$B$2:$AX$476,F$5,FALSE)</f>
        <v>#N/A</v>
      </c>
      <c r="G46" s="28" t="e">
        <f>VLOOKUP($D46,Résultats!$B$2:$AX$476,G$5,FALSE)</f>
        <v>#N/A</v>
      </c>
      <c r="H46" s="19" t="e">
        <f>VLOOKUP($D46,Résultats!$B$2:$AX$476,H$5,FALSE)</f>
        <v>#N/A</v>
      </c>
      <c r="I46" s="111" t="e">
        <f>VLOOKUP($D46,Résultats!$B$2:$AX$476,I$5,FALSE)</f>
        <v>#N/A</v>
      </c>
      <c r="J46" s="28" t="e">
        <f>VLOOKUP($D46,Résultats!$B$2:$AX$476,J$5,FALSE)</f>
        <v>#N/A</v>
      </c>
      <c r="K46" s="19" t="e">
        <f>VLOOKUP($D46,Résultats!$B$2:$AX$476,K$5,FALSE)</f>
        <v>#N/A</v>
      </c>
      <c r="L46" s="19" t="e">
        <f>VLOOKUP($D46,Résultats!$B$2:$AX$476,L$5,FALSE)</f>
        <v>#N/A</v>
      </c>
      <c r="M46" s="19" t="e">
        <f>VLOOKUP($D46,Résultats!$B$2:$AX$476,M$5,FALSE)</f>
        <v>#N/A</v>
      </c>
      <c r="N46" s="111" t="e">
        <f>VLOOKUP($D46,Résultats!$B$2:$AX$476,N$5,FALSE)</f>
        <v>#N/A</v>
      </c>
      <c r="O46" s="28" t="e">
        <f>VLOOKUP($D46,Résultats!$B$2:$AX$476,O$5,FALSE)</f>
        <v>#N/A</v>
      </c>
      <c r="P46" s="19" t="e">
        <f>VLOOKUP($D46,Résultats!$B$2:$AX$476,P$5,FALSE)</f>
        <v>#N/A</v>
      </c>
      <c r="Q46" s="19" t="e">
        <f>VLOOKUP($D46,Résultats!$B$2:$AX$476,Q$5,FALSE)</f>
        <v>#N/A</v>
      </c>
      <c r="R46" s="19" t="e">
        <f>VLOOKUP($D46,Résultats!$B$2:$AX$476,R$5,FALSE)</f>
        <v>#N/A</v>
      </c>
      <c r="S46" s="111" t="e">
        <f>VLOOKUP($D46,Résultats!$B$2:$AX$476,S$5,FALSE)</f>
        <v>#N/A</v>
      </c>
      <c r="T46" s="120" t="e">
        <f>VLOOKUP($D46,Résultats!$B$2:$AX$476,T$5,FALSE)</f>
        <v>#N/A</v>
      </c>
      <c r="U46" s="120" t="e">
        <f>VLOOKUP($D46,Résultats!$B$2:$AX$476,U$5,FALSE)</f>
        <v>#N/A</v>
      </c>
      <c r="V46" s="120" t="e">
        <f>VLOOKUP($D46,Résultats!$B$2:$AX$476,V$5,FALSE)</f>
        <v>#N/A</v>
      </c>
      <c r="W46" s="120" t="e">
        <f>VLOOKUP($D46,Résultats!$B$2:$AX$476,W$5,FALSE)</f>
        <v>#N/A</v>
      </c>
      <c r="X46" s="3"/>
    </row>
    <row r="47" spans="1:39" x14ac:dyDescent="0.25">
      <c r="A47" s="3"/>
      <c r="B47" s="273"/>
      <c r="C47" s="3" t="s">
        <v>14</v>
      </c>
      <c r="D47" s="3" t="s">
        <v>131</v>
      </c>
      <c r="E47" s="19" t="e">
        <f>VLOOKUP($D47,Résultats!$B$2:$AX$476,E$5,FALSE)</f>
        <v>#N/A</v>
      </c>
      <c r="F47" s="19" t="e">
        <f>VLOOKUP($D47,Résultats!$B$2:$AX$476,F$5,FALSE)</f>
        <v>#N/A</v>
      </c>
      <c r="G47" s="28" t="e">
        <f>VLOOKUP($D47,Résultats!$B$2:$AX$476,G$5,FALSE)</f>
        <v>#N/A</v>
      </c>
      <c r="H47" s="19" t="e">
        <f>VLOOKUP($D47,Résultats!$B$2:$AX$476,H$5,FALSE)</f>
        <v>#N/A</v>
      </c>
      <c r="I47" s="111" t="e">
        <f>VLOOKUP($D47,Résultats!$B$2:$AX$476,I$5,FALSE)</f>
        <v>#N/A</v>
      </c>
      <c r="J47" s="28" t="e">
        <f>VLOOKUP($D47,Résultats!$B$2:$AX$476,J$5,FALSE)</f>
        <v>#N/A</v>
      </c>
      <c r="K47" s="19" t="e">
        <f>VLOOKUP($D47,Résultats!$B$2:$AX$476,K$5,FALSE)</f>
        <v>#N/A</v>
      </c>
      <c r="L47" s="19" t="e">
        <f>VLOOKUP($D47,Résultats!$B$2:$AX$476,L$5,FALSE)</f>
        <v>#N/A</v>
      </c>
      <c r="M47" s="19" t="e">
        <f>VLOOKUP($D47,Résultats!$B$2:$AX$476,M$5,FALSE)</f>
        <v>#N/A</v>
      </c>
      <c r="N47" s="111" t="e">
        <f>VLOOKUP($D47,Résultats!$B$2:$AX$476,N$5,FALSE)</f>
        <v>#N/A</v>
      </c>
      <c r="O47" s="28" t="e">
        <f>VLOOKUP($D47,Résultats!$B$2:$AX$476,O$5,FALSE)</f>
        <v>#N/A</v>
      </c>
      <c r="P47" s="19" t="e">
        <f>VLOOKUP($D47,Résultats!$B$2:$AX$476,P$5,FALSE)</f>
        <v>#N/A</v>
      </c>
      <c r="Q47" s="19" t="e">
        <f>VLOOKUP($D47,Résultats!$B$2:$AX$476,Q$5,FALSE)</f>
        <v>#N/A</v>
      </c>
      <c r="R47" s="19" t="e">
        <f>VLOOKUP($D47,Résultats!$B$2:$AX$476,R$5,FALSE)</f>
        <v>#N/A</v>
      </c>
      <c r="S47" s="111" t="e">
        <f>VLOOKUP($D47,Résultats!$B$2:$AX$476,S$5,FALSE)</f>
        <v>#N/A</v>
      </c>
      <c r="T47" s="120" t="e">
        <f>VLOOKUP($D47,Résultats!$B$2:$AX$476,T$5,FALSE)</f>
        <v>#N/A</v>
      </c>
      <c r="U47" s="120" t="e">
        <f>VLOOKUP($D47,Résultats!$B$2:$AX$476,U$5,FALSE)</f>
        <v>#N/A</v>
      </c>
      <c r="V47" s="120" t="e">
        <f>VLOOKUP($D47,Résultats!$B$2:$AX$476,V$5,FALSE)</f>
        <v>#N/A</v>
      </c>
      <c r="W47" s="120" t="e">
        <f>VLOOKUP($D47,Résultats!$B$2:$AX$476,W$5,FALSE)</f>
        <v>#N/A</v>
      </c>
      <c r="X47" s="3"/>
    </row>
    <row r="48" spans="1:39" x14ac:dyDescent="0.25">
      <c r="A48" s="3"/>
      <c r="B48" s="273"/>
      <c r="C48" s="3" t="s">
        <v>15</v>
      </c>
      <c r="D48" s="3" t="s">
        <v>132</v>
      </c>
      <c r="E48" s="19" t="e">
        <f>VLOOKUP($D48,Résultats!$B$2:$AX$476,E$5,FALSE)</f>
        <v>#N/A</v>
      </c>
      <c r="F48" s="19" t="e">
        <f>VLOOKUP($D48,Résultats!$B$2:$AX$476,F$5,FALSE)</f>
        <v>#N/A</v>
      </c>
      <c r="G48" s="28" t="e">
        <f>VLOOKUP($D48,Résultats!$B$2:$AX$476,G$5,FALSE)</f>
        <v>#N/A</v>
      </c>
      <c r="H48" s="19" t="e">
        <f>VLOOKUP($D48,Résultats!$B$2:$AX$476,H$5,FALSE)</f>
        <v>#N/A</v>
      </c>
      <c r="I48" s="111" t="e">
        <f>VLOOKUP($D48,Résultats!$B$2:$AX$476,I$5,FALSE)</f>
        <v>#N/A</v>
      </c>
      <c r="J48" s="28" t="e">
        <f>VLOOKUP($D48,Résultats!$B$2:$AX$476,J$5,FALSE)</f>
        <v>#N/A</v>
      </c>
      <c r="K48" s="19" t="e">
        <f>VLOOKUP($D48,Résultats!$B$2:$AX$476,K$5,FALSE)</f>
        <v>#N/A</v>
      </c>
      <c r="L48" s="19" t="e">
        <f>VLOOKUP($D48,Résultats!$B$2:$AX$476,L$5,FALSE)</f>
        <v>#N/A</v>
      </c>
      <c r="M48" s="19" t="e">
        <f>VLOOKUP($D48,Résultats!$B$2:$AX$476,M$5,FALSE)</f>
        <v>#N/A</v>
      </c>
      <c r="N48" s="111" t="e">
        <f>VLOOKUP($D48,Résultats!$B$2:$AX$476,N$5,FALSE)</f>
        <v>#N/A</v>
      </c>
      <c r="O48" s="28" t="e">
        <f>VLOOKUP($D48,Résultats!$B$2:$AX$476,O$5,FALSE)</f>
        <v>#N/A</v>
      </c>
      <c r="P48" s="19" t="e">
        <f>VLOOKUP($D48,Résultats!$B$2:$AX$476,P$5,FALSE)</f>
        <v>#N/A</v>
      </c>
      <c r="Q48" s="19" t="e">
        <f>VLOOKUP($D48,Résultats!$B$2:$AX$476,Q$5,FALSE)</f>
        <v>#N/A</v>
      </c>
      <c r="R48" s="19" t="e">
        <f>VLOOKUP($D48,Résultats!$B$2:$AX$476,R$5,FALSE)</f>
        <v>#N/A</v>
      </c>
      <c r="S48" s="111" t="e">
        <f>VLOOKUP($D48,Résultats!$B$2:$AX$476,S$5,FALSE)</f>
        <v>#N/A</v>
      </c>
      <c r="T48" s="120" t="e">
        <f>VLOOKUP($D48,Résultats!$B$2:$AX$476,T$5,FALSE)</f>
        <v>#N/A</v>
      </c>
      <c r="U48" s="120" t="e">
        <f>VLOOKUP($D48,Résultats!$B$2:$AX$476,U$5,FALSE)</f>
        <v>#N/A</v>
      </c>
      <c r="V48" s="120" t="e">
        <f>VLOOKUP($D48,Résultats!$B$2:$AX$476,V$5,FALSE)</f>
        <v>#N/A</v>
      </c>
      <c r="W48" s="120" t="e">
        <f>VLOOKUP($D48,Résultats!$B$2:$AX$476,W$5,FALSE)</f>
        <v>#N/A</v>
      </c>
      <c r="X48" s="3"/>
    </row>
    <row r="49" spans="1:24" x14ac:dyDescent="0.25">
      <c r="A49" s="3"/>
      <c r="B49" s="273"/>
      <c r="C49" s="3" t="s">
        <v>16</v>
      </c>
      <c r="D49" s="3" t="s">
        <v>133</v>
      </c>
      <c r="E49" s="19" t="e">
        <f>VLOOKUP($D49,Résultats!$B$2:$AX$476,E$5,FALSE)</f>
        <v>#N/A</v>
      </c>
      <c r="F49" s="19" t="e">
        <f>VLOOKUP($D49,Résultats!$B$2:$AX$476,F$5,FALSE)</f>
        <v>#N/A</v>
      </c>
      <c r="G49" s="28" t="e">
        <f>VLOOKUP($D49,Résultats!$B$2:$AX$476,G$5,FALSE)</f>
        <v>#N/A</v>
      </c>
      <c r="H49" s="19" t="e">
        <f>VLOOKUP($D49,Résultats!$B$2:$AX$476,H$5,FALSE)</f>
        <v>#N/A</v>
      </c>
      <c r="I49" s="111" t="e">
        <f>VLOOKUP($D49,Résultats!$B$2:$AX$476,I$5,FALSE)</f>
        <v>#N/A</v>
      </c>
      <c r="J49" s="28" t="e">
        <f>VLOOKUP($D49,Résultats!$B$2:$AX$476,J$5,FALSE)</f>
        <v>#N/A</v>
      </c>
      <c r="K49" s="19" t="e">
        <f>VLOOKUP($D49,Résultats!$B$2:$AX$476,K$5,FALSE)</f>
        <v>#N/A</v>
      </c>
      <c r="L49" s="19" t="e">
        <f>VLOOKUP($D49,Résultats!$B$2:$AX$476,L$5,FALSE)</f>
        <v>#N/A</v>
      </c>
      <c r="M49" s="19" t="e">
        <f>VLOOKUP($D49,Résultats!$B$2:$AX$476,M$5,FALSE)</f>
        <v>#N/A</v>
      </c>
      <c r="N49" s="111" t="e">
        <f>VLOOKUP($D49,Résultats!$B$2:$AX$476,N$5,FALSE)</f>
        <v>#N/A</v>
      </c>
      <c r="O49" s="28" t="e">
        <f>VLOOKUP($D49,Résultats!$B$2:$AX$476,O$5,FALSE)</f>
        <v>#N/A</v>
      </c>
      <c r="P49" s="19" t="e">
        <f>VLOOKUP($D49,Résultats!$B$2:$AX$476,P$5,FALSE)</f>
        <v>#N/A</v>
      </c>
      <c r="Q49" s="19" t="e">
        <f>VLOOKUP($D49,Résultats!$B$2:$AX$476,Q$5,FALSE)</f>
        <v>#N/A</v>
      </c>
      <c r="R49" s="19" t="e">
        <f>VLOOKUP($D49,Résultats!$B$2:$AX$476,R$5,FALSE)</f>
        <v>#N/A</v>
      </c>
      <c r="S49" s="111" t="e">
        <f>VLOOKUP($D49,Résultats!$B$2:$AX$476,S$5,FALSE)</f>
        <v>#N/A</v>
      </c>
      <c r="T49" s="120" t="e">
        <f>VLOOKUP($D49,Résultats!$B$2:$AX$476,T$5,FALSE)</f>
        <v>#N/A</v>
      </c>
      <c r="U49" s="120" t="e">
        <f>VLOOKUP($D49,Résultats!$B$2:$AX$476,U$5,FALSE)</f>
        <v>#N/A</v>
      </c>
      <c r="V49" s="120" t="e">
        <f>VLOOKUP($D49,Résultats!$B$2:$AX$476,V$5,FALSE)</f>
        <v>#N/A</v>
      </c>
      <c r="W49" s="120" t="e">
        <f>VLOOKUP($D49,Résultats!$B$2:$AX$476,W$5,FALSE)</f>
        <v>#N/A</v>
      </c>
      <c r="X49" s="3"/>
    </row>
    <row r="50" spans="1:24" x14ac:dyDescent="0.25">
      <c r="A50" s="3"/>
      <c r="B50" s="273"/>
      <c r="C50" s="3" t="s">
        <v>17</v>
      </c>
      <c r="D50" s="3" t="s">
        <v>134</v>
      </c>
      <c r="E50" s="19" t="e">
        <f>VLOOKUP($D50,Résultats!$B$2:$AX$476,E$5,FALSE)</f>
        <v>#N/A</v>
      </c>
      <c r="F50" s="19" t="e">
        <f>VLOOKUP($D50,Résultats!$B$2:$AX$476,F$5,FALSE)</f>
        <v>#N/A</v>
      </c>
      <c r="G50" s="28" t="e">
        <f>VLOOKUP($D50,Résultats!$B$2:$AX$476,G$5,FALSE)</f>
        <v>#N/A</v>
      </c>
      <c r="H50" s="19" t="e">
        <f>VLOOKUP($D50,Résultats!$B$2:$AX$476,H$5,FALSE)</f>
        <v>#N/A</v>
      </c>
      <c r="I50" s="111" t="e">
        <f>VLOOKUP($D50,Résultats!$B$2:$AX$476,I$5,FALSE)</f>
        <v>#N/A</v>
      </c>
      <c r="J50" s="28" t="e">
        <f>VLOOKUP($D50,Résultats!$B$2:$AX$476,J$5,FALSE)</f>
        <v>#N/A</v>
      </c>
      <c r="K50" s="19" t="e">
        <f>VLOOKUP($D50,Résultats!$B$2:$AX$476,K$5,FALSE)</f>
        <v>#N/A</v>
      </c>
      <c r="L50" s="19" t="e">
        <f>VLOOKUP($D50,Résultats!$B$2:$AX$476,L$5,FALSE)</f>
        <v>#N/A</v>
      </c>
      <c r="M50" s="19" t="e">
        <f>VLOOKUP($D50,Résultats!$B$2:$AX$476,M$5,FALSE)</f>
        <v>#N/A</v>
      </c>
      <c r="N50" s="111" t="e">
        <f>VLOOKUP($D50,Résultats!$B$2:$AX$476,N$5,FALSE)</f>
        <v>#N/A</v>
      </c>
      <c r="O50" s="28" t="e">
        <f>VLOOKUP($D50,Résultats!$B$2:$AX$476,O$5,FALSE)</f>
        <v>#N/A</v>
      </c>
      <c r="P50" s="19" t="e">
        <f>VLOOKUP($D50,Résultats!$B$2:$AX$476,P$5,FALSE)</f>
        <v>#N/A</v>
      </c>
      <c r="Q50" s="19" t="e">
        <f>VLOOKUP($D50,Résultats!$B$2:$AX$476,Q$5,FALSE)</f>
        <v>#N/A</v>
      </c>
      <c r="R50" s="19" t="e">
        <f>VLOOKUP($D50,Résultats!$B$2:$AX$476,R$5,FALSE)</f>
        <v>#N/A</v>
      </c>
      <c r="S50" s="111" t="e">
        <f>VLOOKUP($D50,Résultats!$B$2:$AX$476,S$5,FALSE)</f>
        <v>#N/A</v>
      </c>
      <c r="T50" s="120" t="e">
        <f>VLOOKUP($D50,Résultats!$B$2:$AX$476,T$5,FALSE)</f>
        <v>#N/A</v>
      </c>
      <c r="U50" s="120" t="e">
        <f>VLOOKUP($D50,Résultats!$B$2:$AX$476,U$5,FALSE)</f>
        <v>#N/A</v>
      </c>
      <c r="V50" s="120" t="e">
        <f>VLOOKUP($D50,Résultats!$B$2:$AX$476,V$5,FALSE)</f>
        <v>#N/A</v>
      </c>
      <c r="W50" s="120" t="e">
        <f>VLOOKUP($D50,Résultats!$B$2:$AX$476,W$5,FALSE)</f>
        <v>#N/A</v>
      </c>
      <c r="X50" s="3"/>
    </row>
    <row r="51" spans="1:24" x14ac:dyDescent="0.25">
      <c r="A51" s="3"/>
      <c r="B51" s="274"/>
      <c r="C51" s="7" t="s">
        <v>12</v>
      </c>
      <c r="D51" s="3" t="s">
        <v>135</v>
      </c>
      <c r="E51" s="20" t="e">
        <f>VLOOKUP($D51,Résultats!$B$2:$AX$476,E$5,FALSE)</f>
        <v>#N/A</v>
      </c>
      <c r="F51" s="20" t="e">
        <f>VLOOKUP($D51,Résultats!$B$2:$AX$476,F$5,FALSE)</f>
        <v>#N/A</v>
      </c>
      <c r="G51" s="113" t="e">
        <f>VLOOKUP($D51,Résultats!$B$2:$AX$476,G$5,FALSE)</f>
        <v>#N/A</v>
      </c>
      <c r="H51" s="20" t="e">
        <f>VLOOKUP($D51,Résultats!$B$2:$AX$476,H$5,FALSE)</f>
        <v>#N/A</v>
      </c>
      <c r="I51" s="114" t="e">
        <f>VLOOKUP($D51,Résultats!$B$2:$AX$476,I$5,FALSE)</f>
        <v>#N/A</v>
      </c>
      <c r="J51" s="113" t="e">
        <f>VLOOKUP($D51,Résultats!$B$2:$AX$476,J$5,FALSE)</f>
        <v>#N/A</v>
      </c>
      <c r="K51" s="20" t="e">
        <f>VLOOKUP($D51,Résultats!$B$2:$AX$476,K$5,FALSE)</f>
        <v>#N/A</v>
      </c>
      <c r="L51" s="20" t="e">
        <f>VLOOKUP($D51,Résultats!$B$2:$AX$476,L$5,FALSE)</f>
        <v>#N/A</v>
      </c>
      <c r="M51" s="20" t="e">
        <f>VLOOKUP($D51,Résultats!$B$2:$AX$476,M$5,FALSE)</f>
        <v>#N/A</v>
      </c>
      <c r="N51" s="114" t="e">
        <f>VLOOKUP($D51,Résultats!$B$2:$AX$476,N$5,FALSE)</f>
        <v>#N/A</v>
      </c>
      <c r="O51" s="113" t="e">
        <f>VLOOKUP($D51,Résultats!$B$2:$AX$476,O$5,FALSE)</f>
        <v>#N/A</v>
      </c>
      <c r="P51" s="20" t="e">
        <f>VLOOKUP($D51,Résultats!$B$2:$AX$476,P$5,FALSE)</f>
        <v>#N/A</v>
      </c>
      <c r="Q51" s="20" t="e">
        <f>VLOOKUP($D51,Résultats!$B$2:$AX$476,Q$5,FALSE)</f>
        <v>#N/A</v>
      </c>
      <c r="R51" s="20" t="e">
        <f>VLOOKUP($D51,Résultats!$B$2:$AX$476,R$5,FALSE)</f>
        <v>#N/A</v>
      </c>
      <c r="S51" s="114" t="e">
        <f>VLOOKUP($D51,Résultats!$B$2:$AX$476,S$5,FALSE)</f>
        <v>#N/A</v>
      </c>
      <c r="T51" s="122" t="e">
        <f>VLOOKUP($D51,Résultats!$B$2:$AX$476,T$5,FALSE)</f>
        <v>#N/A</v>
      </c>
      <c r="U51" s="122" t="e">
        <f>VLOOKUP($D51,Résultats!$B$2:$AX$476,U$5,FALSE)</f>
        <v>#N/A</v>
      </c>
      <c r="V51" s="122" t="e">
        <f>VLOOKUP($D51,Résultats!$B$2:$AX$476,V$5,FALSE)</f>
        <v>#N/A</v>
      </c>
      <c r="W51" s="122" t="e">
        <f>VLOOKUP($D51,Résultats!$B$2:$AX$476,W$5,FALSE)</f>
        <v>#N/A</v>
      </c>
      <c r="X51" s="3"/>
    </row>
    <row r="52" spans="1:24" x14ac:dyDescent="0.25">
      <c r="A52" s="3"/>
      <c r="B52" s="207" t="s">
        <v>8</v>
      </c>
      <c r="C52" s="2"/>
      <c r="D52" s="17" t="s">
        <v>116</v>
      </c>
      <c r="E52" s="6" t="e">
        <f>VLOOKUP($D52,Résultats!$B$2:$AX$476,E$5,FALSE)</f>
        <v>#N/A</v>
      </c>
      <c r="F52" s="6" t="e">
        <f>VLOOKUP($D52,Résultats!$B$2:$AX$476,F$5,FALSE)</f>
        <v>#N/A</v>
      </c>
      <c r="G52" s="109" t="e">
        <f>VLOOKUP($D52,Résultats!$B$2:$AX$476,G$5,FALSE)</f>
        <v>#N/A</v>
      </c>
      <c r="H52" s="6" t="e">
        <f>VLOOKUP($D52,Résultats!$B$2:$AX$476,H$5,FALSE)</f>
        <v>#N/A</v>
      </c>
      <c r="I52" s="110" t="e">
        <f>VLOOKUP($D52,Résultats!$B$2:$AX$476,I$5,FALSE)</f>
        <v>#N/A</v>
      </c>
      <c r="J52" s="109" t="e">
        <f>VLOOKUP($D52,Résultats!$B$2:$AX$476,J$5,FALSE)</f>
        <v>#N/A</v>
      </c>
      <c r="K52" s="6" t="e">
        <f>VLOOKUP($D52,Résultats!$B$2:$AX$476,K$5,FALSE)</f>
        <v>#N/A</v>
      </c>
      <c r="L52" s="6" t="e">
        <f>VLOOKUP($D52,Résultats!$B$2:$AX$476,L$5,FALSE)</f>
        <v>#N/A</v>
      </c>
      <c r="M52" s="6" t="e">
        <f>VLOOKUP($D52,Résultats!$B$2:$AX$476,M$5,FALSE)</f>
        <v>#N/A</v>
      </c>
      <c r="N52" s="110" t="e">
        <f>VLOOKUP($D52,Résultats!$B$2:$AX$476,N$5,FALSE)</f>
        <v>#N/A</v>
      </c>
      <c r="O52" s="109" t="e">
        <f>VLOOKUP($D52,Résultats!$B$2:$AX$476,O$5,FALSE)</f>
        <v>#N/A</v>
      </c>
      <c r="P52" s="6" t="e">
        <f>VLOOKUP($D52,Résultats!$B$2:$AX$476,P$5,FALSE)</f>
        <v>#N/A</v>
      </c>
      <c r="Q52" s="6" t="e">
        <f>VLOOKUP($D52,Résultats!$B$2:$AX$476,Q$5,FALSE)</f>
        <v>#N/A</v>
      </c>
      <c r="R52" s="6" t="e">
        <f>VLOOKUP($D52,Résultats!$B$2:$AX$476,R$5,FALSE)</f>
        <v>#N/A</v>
      </c>
      <c r="S52" s="110" t="e">
        <f>VLOOKUP($D52,Résultats!$B$2:$AX$476,S$5,FALSE)</f>
        <v>#N/A</v>
      </c>
      <c r="T52" s="119" t="e">
        <f>VLOOKUP($D52,Résultats!$B$2:$AX$476,T$5,FALSE)</f>
        <v>#N/A</v>
      </c>
      <c r="U52" s="119" t="e">
        <f>VLOOKUP($D52,Résultats!$B$2:$AX$476,U$5,FALSE)</f>
        <v>#N/A</v>
      </c>
      <c r="V52" s="119" t="e">
        <f>VLOOKUP($D52,Résultats!$B$2:$AX$476,V$5,FALSE)</f>
        <v>#N/A</v>
      </c>
      <c r="W52" s="119" t="e">
        <f>VLOOKUP($D52,Résultats!$B$2:$AX$476,W$5,FALSE)</f>
        <v>#N/A</v>
      </c>
      <c r="X52" s="3"/>
    </row>
    <row r="53" spans="1:24" x14ac:dyDescent="0.25">
      <c r="A53" s="3"/>
      <c r="B53" s="206" t="s">
        <v>1</v>
      </c>
      <c r="C53" s="2"/>
      <c r="D53" s="2" t="s">
        <v>117</v>
      </c>
      <c r="E53" s="9" t="e">
        <f>E52+E45+E36+E33</f>
        <v>#N/A</v>
      </c>
      <c r="F53" s="9" t="e">
        <f>F52+F45+F36+F33</f>
        <v>#N/A</v>
      </c>
      <c r="G53" s="29" t="e">
        <f t="shared" ref="G53:R53" si="12">G52+G45+G36+G33</f>
        <v>#N/A</v>
      </c>
      <c r="H53" s="9" t="e">
        <f t="shared" si="12"/>
        <v>#N/A</v>
      </c>
      <c r="I53" s="115" t="e">
        <f t="shared" si="12"/>
        <v>#N/A</v>
      </c>
      <c r="J53" s="29" t="e">
        <f t="shared" si="12"/>
        <v>#N/A</v>
      </c>
      <c r="K53" s="9" t="e">
        <f t="shared" si="12"/>
        <v>#N/A</v>
      </c>
      <c r="L53" s="9" t="e">
        <f t="shared" si="12"/>
        <v>#N/A</v>
      </c>
      <c r="M53" s="9" t="e">
        <f t="shared" si="12"/>
        <v>#N/A</v>
      </c>
      <c r="N53" s="115" t="e">
        <f t="shared" si="12"/>
        <v>#N/A</v>
      </c>
      <c r="O53" s="29" t="e">
        <f t="shared" si="12"/>
        <v>#N/A</v>
      </c>
      <c r="P53" s="9" t="e">
        <f t="shared" si="12"/>
        <v>#N/A</v>
      </c>
      <c r="Q53" s="9" t="e">
        <f t="shared" si="12"/>
        <v>#N/A</v>
      </c>
      <c r="R53" s="9" t="e">
        <f t="shared" si="12"/>
        <v>#N/A</v>
      </c>
      <c r="S53" s="115" t="e">
        <f>S52+S45+S36+S33</f>
        <v>#N/A</v>
      </c>
      <c r="T53" s="123" t="e">
        <f>T52+T45+T36+T33</f>
        <v>#N/A</v>
      </c>
      <c r="U53" s="123" t="e">
        <f>U52+U45+U36+U33</f>
        <v>#N/A</v>
      </c>
      <c r="V53" s="123" t="e">
        <f>V52+V45+V36+V33</f>
        <v>#N/A</v>
      </c>
      <c r="W53" s="123" t="e">
        <f>W52+W45+W36+W33</f>
        <v>#N/A</v>
      </c>
      <c r="X53" s="3"/>
    </row>
    <row r="54" spans="1:24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AG371"/>
  <sheetViews>
    <sheetView tabSelected="1" topLeftCell="A109" zoomScale="77" zoomScaleNormal="77" workbookViewId="0">
      <selection activeCell="L118" sqref="L118"/>
    </sheetView>
  </sheetViews>
  <sheetFormatPr baseColWidth="10" defaultRowHeight="15" x14ac:dyDescent="0.25"/>
  <cols>
    <col min="1" max="1" width="11.42578125" style="3"/>
    <col min="2" max="2" width="11.42578125" style="3" customWidth="1"/>
    <col min="3" max="3" width="24.85546875" customWidth="1"/>
    <col min="4" max="4" width="15.710937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1" width="11.42578125" customWidth="1"/>
    <col min="14" max="14" width="24.85546875" style="3" customWidth="1"/>
    <col min="20" max="20" width="11.42578125" style="3"/>
    <col min="21" max="21" width="15.7109375" customWidth="1"/>
    <col min="22" max="22" width="15.710937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29" max="29" width="11.42578125" customWidth="1"/>
    <col min="31" max="33" width="11.42578125" style="3"/>
  </cols>
  <sheetData>
    <row r="1" spans="1:30" ht="28.5" x14ac:dyDescent="0.45">
      <c r="A1" s="225" t="s">
        <v>244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228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65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94" t="str">
        <f>Résultats!B1</f>
        <v>TEND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65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65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66"/>
      <c r="C6" s="66"/>
      <c r="D6" s="66"/>
      <c r="E6" s="66"/>
      <c r="F6" s="66"/>
      <c r="G6" s="66"/>
      <c r="H6" s="66"/>
      <c r="I6" s="66"/>
      <c r="J6" s="3"/>
      <c r="K6" s="3"/>
      <c r="M6" s="3"/>
      <c r="O6" s="3"/>
      <c r="P6" s="3"/>
      <c r="Q6" s="3"/>
      <c r="R6" s="65"/>
      <c r="S6" s="65"/>
      <c r="T6" s="66"/>
      <c r="U6" s="66"/>
      <c r="V6" s="66"/>
      <c r="W6" s="66"/>
      <c r="X6" s="66"/>
      <c r="Y6" s="66"/>
      <c r="Z6" s="66"/>
      <c r="AA6" s="66"/>
      <c r="AB6" s="3"/>
      <c r="AC6" s="3"/>
    </row>
    <row r="7" spans="1:30" ht="18.75" x14ac:dyDescent="0.3">
      <c r="C7" s="65" t="s">
        <v>229</v>
      </c>
      <c r="I7" s="3"/>
      <c r="J7" s="3"/>
      <c r="K7" s="3"/>
      <c r="L7" s="3"/>
      <c r="M7" s="3"/>
      <c r="N7" s="65" t="s">
        <v>230</v>
      </c>
      <c r="O7" s="3"/>
      <c r="P7" s="3"/>
      <c r="Q7" s="3"/>
      <c r="R7" s="3"/>
      <c r="S7" s="3"/>
      <c r="U7" s="65" t="s">
        <v>229</v>
      </c>
      <c r="AA7" s="3"/>
      <c r="AB7" s="3"/>
      <c r="AC7" s="3"/>
      <c r="AD7" s="3"/>
    </row>
    <row r="8" spans="1:30" ht="23.25" x14ac:dyDescent="0.35">
      <c r="B8" s="70"/>
      <c r="C8" s="66" t="s">
        <v>160</v>
      </c>
      <c r="D8" s="3"/>
      <c r="E8" s="66"/>
      <c r="F8" s="66"/>
      <c r="G8" s="66"/>
      <c r="H8" s="66"/>
      <c r="I8" s="66"/>
      <c r="J8" s="66"/>
      <c r="K8" s="66"/>
      <c r="L8" s="3"/>
      <c r="M8" s="3"/>
      <c r="N8" t="s">
        <v>231</v>
      </c>
      <c r="U8" s="66" t="s">
        <v>160</v>
      </c>
      <c r="V8" s="3"/>
      <c r="W8" s="66"/>
      <c r="X8" s="66"/>
      <c r="Y8" s="66"/>
      <c r="Z8" s="66"/>
      <c r="AA8" s="66"/>
      <c r="AB8" s="66"/>
      <c r="AC8" s="66"/>
      <c r="AD8" s="3"/>
    </row>
    <row r="9" spans="1:30" x14ac:dyDescent="0.25">
      <c r="B9" s="66"/>
      <c r="C9" s="3"/>
      <c r="D9" s="3"/>
      <c r="E9" s="3"/>
      <c r="F9" s="3"/>
      <c r="G9" s="3"/>
      <c r="H9" s="66"/>
      <c r="I9" s="66"/>
      <c r="J9" s="66"/>
      <c r="K9" s="66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66"/>
      <c r="AA9" s="66"/>
      <c r="AB9" s="66"/>
      <c r="AC9" s="66"/>
      <c r="AD9" s="3"/>
    </row>
    <row r="10" spans="1:30" ht="31.5" x14ac:dyDescent="0.35">
      <c r="B10" s="66"/>
      <c r="C10" s="174">
        <v>2015</v>
      </c>
      <c r="D10" s="175"/>
      <c r="E10" s="175"/>
      <c r="F10" s="175"/>
      <c r="G10" s="175"/>
      <c r="H10" s="101" t="s">
        <v>36</v>
      </c>
      <c r="I10" s="101" t="s">
        <v>159</v>
      </c>
      <c r="J10" s="101" t="s">
        <v>38</v>
      </c>
      <c r="K10" s="101" t="s">
        <v>158</v>
      </c>
      <c r="L10" s="118" t="s">
        <v>1</v>
      </c>
      <c r="M10" s="25"/>
      <c r="N10" s="174">
        <v>2015</v>
      </c>
      <c r="O10" s="170" t="s">
        <v>36</v>
      </c>
      <c r="P10" s="101" t="s">
        <v>159</v>
      </c>
      <c r="Q10" s="101" t="s">
        <v>38</v>
      </c>
      <c r="R10" s="101" t="s">
        <v>158</v>
      </c>
      <c r="S10" s="118" t="s">
        <v>1</v>
      </c>
      <c r="U10" s="174">
        <v>2015</v>
      </c>
      <c r="V10" s="175"/>
      <c r="W10" s="175"/>
      <c r="X10" s="175"/>
      <c r="Y10" s="175"/>
      <c r="Z10" s="101" t="s">
        <v>36</v>
      </c>
      <c r="AA10" s="101" t="s">
        <v>159</v>
      </c>
      <c r="AB10" s="101" t="s">
        <v>38</v>
      </c>
      <c r="AC10" s="101" t="s">
        <v>158</v>
      </c>
      <c r="AD10" s="118" t="s">
        <v>1</v>
      </c>
    </row>
    <row r="11" spans="1:30" x14ac:dyDescent="0.25">
      <c r="C11" s="176" t="s">
        <v>18</v>
      </c>
      <c r="H11" s="8">
        <f>SUM(H12:H13)</f>
        <v>0</v>
      </c>
      <c r="I11" s="8">
        <f>SUM(I12:I13)</f>
        <v>43.241476309999996</v>
      </c>
      <c r="J11" s="8">
        <f>SUM(J12:J13)</f>
        <v>1.2189002859</v>
      </c>
      <c r="K11" s="8">
        <f>SUM(K12:K13)</f>
        <v>0.24416388641270001</v>
      </c>
      <c r="L11" s="121">
        <f>SUM(H11:K11)</f>
        <v>44.704540482312694</v>
      </c>
      <c r="M11" s="99"/>
      <c r="N11" s="179" t="s">
        <v>18</v>
      </c>
      <c r="O11" s="36">
        <f>'[1]Bilan 2015'!$X$46</f>
        <v>0</v>
      </c>
      <c r="P11" s="35">
        <f>SUM('[1]Bilan 2015'!$X$41:$X$43)</f>
        <v>42.748696780825377</v>
      </c>
      <c r="Q11" s="35">
        <f>'[1]Bilan 2015'!$X$13</f>
        <v>0.94471195184866696</v>
      </c>
      <c r="R11" s="35">
        <f>('[1]Bilan 2015'!$X$22+'[1]Bilan 2015'!$X$30+SUM('[1]Bilan 2015'!$X$36:$X$40)+SUM('[1]Bilan 2015'!$X$44:$X$45)+'[1]Bilan 2015'!$X$47)</f>
        <v>7.267406707154804E-2</v>
      </c>
      <c r="S11" s="171">
        <f>SUM(O11:R11)</f>
        <v>43.76608279974559</v>
      </c>
      <c r="U11" s="176" t="s">
        <v>18</v>
      </c>
      <c r="Z11" s="8">
        <v>0</v>
      </c>
      <c r="AA11" s="8">
        <v>43.655444759999995</v>
      </c>
      <c r="AB11" s="8">
        <v>1.3708612775</v>
      </c>
      <c r="AC11" s="8">
        <v>0.26944764454513997</v>
      </c>
      <c r="AD11" s="121">
        <v>45.295753682045131</v>
      </c>
    </row>
    <row r="12" spans="1:30" x14ac:dyDescent="0.25">
      <c r="C12" s="177" t="s">
        <v>19</v>
      </c>
      <c r="D12" t="s">
        <v>580</v>
      </c>
      <c r="E12" t="s">
        <v>581</v>
      </c>
      <c r="F12" t="s">
        <v>582</v>
      </c>
      <c r="G12" t="s">
        <v>583</v>
      </c>
      <c r="H12" s="19">
        <f>VLOOKUP(D12,Résultats!$B$2:$AX$476,'T energie vecteurs'!F5,FALSE)</f>
        <v>0</v>
      </c>
      <c r="I12" s="19">
        <f>VLOOKUP(E12,Résultats!$B$2:$AX$476,'T energie vecteurs'!F5,FALSE)</f>
        <v>24.204593379999999</v>
      </c>
      <c r="J12" s="19">
        <f>VLOOKUP(F12,Résultats!$B$2:$AX$476,'T energie vecteurs'!F5,FALSE)</f>
        <v>2.8847076900000001E-2</v>
      </c>
      <c r="K12" s="19">
        <f>VLOOKUP(G12,Résultats!$B$2:$AX$476,'T energie vecteurs'!F5,FALSE)</f>
        <v>1.04011127E-5</v>
      </c>
      <c r="L12" s="120">
        <f t="shared" ref="L12:L20" si="0">SUM(H12:K12)</f>
        <v>24.233450858012699</v>
      </c>
      <c r="M12" s="19"/>
      <c r="N12" s="177" t="s">
        <v>19</v>
      </c>
      <c r="O12" s="172"/>
      <c r="P12" s="19"/>
      <c r="Q12" s="55"/>
      <c r="R12" s="19"/>
      <c r="S12" s="120"/>
      <c r="U12" s="177" t="s">
        <v>19</v>
      </c>
      <c r="V12" t="s">
        <v>89</v>
      </c>
      <c r="W12" t="s">
        <v>90</v>
      </c>
      <c r="X12" t="s">
        <v>91</v>
      </c>
      <c r="Y12" t="s">
        <v>92</v>
      </c>
      <c r="Z12" s="19">
        <v>0</v>
      </c>
      <c r="AA12" s="19">
        <v>24.375674969999999</v>
      </c>
      <c r="AB12" s="19">
        <v>2.8638346499999998E-2</v>
      </c>
      <c r="AC12" s="19">
        <v>6.2334451400000002E-6</v>
      </c>
      <c r="AD12" s="120">
        <v>24.404319549945139</v>
      </c>
    </row>
    <row r="13" spans="1:30" x14ac:dyDescent="0.25">
      <c r="C13" s="178" t="s">
        <v>20</v>
      </c>
      <c r="D13" t="s">
        <v>584</v>
      </c>
      <c r="E13" t="s">
        <v>585</v>
      </c>
      <c r="F13" t="s">
        <v>586</v>
      </c>
      <c r="G13" t="s">
        <v>587</v>
      </c>
      <c r="H13" s="19">
        <f>VLOOKUP(D13,Résultats!$B$2:$AX$476,'T energie vecteurs'!F5,FALSE)</f>
        <v>0</v>
      </c>
      <c r="I13" s="19">
        <f>VLOOKUP(E13,Résultats!$B$2:$AX$476,'T energie vecteurs'!F5,FALSE)</f>
        <v>19.036882930000001</v>
      </c>
      <c r="J13" s="19">
        <f>VLOOKUP(F13,Résultats!$B$2:$AX$476,'T energie vecteurs'!F5,FALSE)</f>
        <v>1.190053209</v>
      </c>
      <c r="K13" s="19">
        <f>VLOOKUP(G13,Résultats!$B$2:$AX$476,'T energie vecteurs'!F5,FALSE)</f>
        <v>0.2441534853</v>
      </c>
      <c r="L13" s="120">
        <f t="shared" si="0"/>
        <v>20.471089624299999</v>
      </c>
      <c r="M13" s="19"/>
      <c r="N13" s="178" t="s">
        <v>20</v>
      </c>
      <c r="O13" s="172"/>
      <c r="P13" s="19"/>
      <c r="Q13" s="55"/>
      <c r="R13" s="19"/>
      <c r="S13" s="120"/>
      <c r="U13" s="178" t="s">
        <v>20</v>
      </c>
      <c r="V13" t="s">
        <v>93</v>
      </c>
      <c r="W13" t="s">
        <v>94</v>
      </c>
      <c r="X13" t="s">
        <v>95</v>
      </c>
      <c r="Y13" t="s">
        <v>96</v>
      </c>
      <c r="Z13" s="19">
        <v>0</v>
      </c>
      <c r="AA13" s="19">
        <v>19.27976979</v>
      </c>
      <c r="AB13" s="19">
        <v>1.342222931</v>
      </c>
      <c r="AC13" s="19">
        <v>0.26944141109999997</v>
      </c>
      <c r="AD13" s="120">
        <v>20.891434132099999</v>
      </c>
    </row>
    <row r="14" spans="1:30" x14ac:dyDescent="0.25">
      <c r="C14" s="176" t="s">
        <v>21</v>
      </c>
      <c r="D14" t="s">
        <v>588</v>
      </c>
      <c r="E14" t="s">
        <v>589</v>
      </c>
      <c r="F14" t="s">
        <v>590</v>
      </c>
      <c r="G14" t="s">
        <v>591</v>
      </c>
      <c r="H14" s="8">
        <f>VLOOKUP(D14,Résultats!$B$2:$AX$476,'T energie vecteurs'!F5,FALSE)</f>
        <v>0.28669986040000001</v>
      </c>
      <c r="I14" s="8">
        <f>VLOOKUP(E14,Résultats!$B$2:$AX$476,'T energie vecteurs'!F5,FALSE)</f>
        <v>6.8019244929999996</v>
      </c>
      <c r="J14" s="8">
        <f>VLOOKUP(F14,Résultats!$B$2:$AX$476,'T energie vecteurs'!F5,FALSE)</f>
        <v>13.74589454</v>
      </c>
      <c r="K14" s="8">
        <f>VLOOKUP(G14,Résultats!$B$2:$AX$476,'T energie vecteurs'!F5,FALSE)+5</f>
        <v>21.818088110000001</v>
      </c>
      <c r="L14" s="121">
        <f>SUM(H14:K14)</f>
        <v>42.6526070034</v>
      </c>
      <c r="M14" s="99"/>
      <c r="N14" s="179" t="s">
        <v>21</v>
      </c>
      <c r="O14" s="36">
        <f>'[1]Bilan 2015'!$V$46</f>
        <v>3.6764196608413298E-2</v>
      </c>
      <c r="P14" s="35">
        <f>SUM('[1]Bilan 2015'!$V$41:$V$43)</f>
        <v>6.6752954110546101</v>
      </c>
      <c r="Q14" s="35">
        <f>'[1]Bilan 2015'!$V$13</f>
        <v>13.6203670581426</v>
      </c>
      <c r="R14" s="35">
        <f>('[1]Bilan 2015'!$V$22+'[1]Bilan 2015'!$V$30+SUM('[1]Bilan 2015'!$V$36:$V$40)+SUM('[1]Bilan 2015'!$V$44:$V$45)+'[1]Bilan 2015'!$V$47)</f>
        <v>21.832863706323721</v>
      </c>
      <c r="S14" s="171">
        <f t="shared" ref="S14:S19" si="1">SUM(O14:R14)</f>
        <v>42.165290372129348</v>
      </c>
      <c r="U14" s="176" t="s">
        <v>21</v>
      </c>
      <c r="V14" t="s">
        <v>97</v>
      </c>
      <c r="W14" t="s">
        <v>98</v>
      </c>
      <c r="X14" t="s">
        <v>99</v>
      </c>
      <c r="Y14" t="s">
        <v>100</v>
      </c>
      <c r="Z14" s="8">
        <v>0.29143290669999999</v>
      </c>
      <c r="AA14" s="8">
        <v>6.7506659720000002</v>
      </c>
      <c r="AB14" s="8">
        <v>14.41119116</v>
      </c>
      <c r="AC14" s="8">
        <v>20.636263469999999</v>
      </c>
      <c r="AD14" s="121">
        <v>42.0895535087</v>
      </c>
    </row>
    <row r="15" spans="1:30" x14ac:dyDescent="0.25">
      <c r="C15" s="176" t="s">
        <v>22</v>
      </c>
      <c r="D15" t="s">
        <v>592</v>
      </c>
      <c r="E15" t="s">
        <v>593</v>
      </c>
      <c r="F15" t="s">
        <v>594</v>
      </c>
      <c r="G15" t="s">
        <v>595</v>
      </c>
      <c r="H15" s="8">
        <f>VLOOKUP(D15,Résultats!$B$2:$AX$476,'T energie vecteurs'!F5,FALSE)</f>
        <v>0</v>
      </c>
      <c r="I15" s="8">
        <f>VLOOKUP(E15,Résultats!$B$2:$AX$476,'T energie vecteurs'!F5,FALSE)</f>
        <v>4.1781674649999996</v>
      </c>
      <c r="J15" s="8">
        <f>VLOOKUP(F15,Résultats!$B$2:$AX$476,'T energie vecteurs'!F5,FALSE)</f>
        <v>13.068312840000001</v>
      </c>
      <c r="K15" s="8">
        <f>VLOOKUP(G15,Résultats!$B$2:$AX$476,'T energie vecteurs'!F5,FALSE)</f>
        <v>11.0733297</v>
      </c>
      <c r="L15" s="121">
        <f t="shared" si="0"/>
        <v>28.319810005000001</v>
      </c>
      <c r="M15" s="99"/>
      <c r="N15" s="179" t="s">
        <v>22</v>
      </c>
      <c r="O15" s="36">
        <f>'[1]Bilan 2015'!$W$46</f>
        <v>4.3073392295861899E-2</v>
      </c>
      <c r="P15" s="35">
        <f>SUM('[1]Bilan 2015'!$W$41:$W$43)</f>
        <v>3.01546564464017</v>
      </c>
      <c r="Q15" s="35">
        <f>'[1]Bilan 2015'!$W$13</f>
        <v>12.701365476499801</v>
      </c>
      <c r="R15" s="35">
        <f>('[1]Bilan 2015'!$W$22+'[1]Bilan 2015'!$W$30+SUM('[1]Bilan 2015'!$W$36:$W$40)+SUM('[1]Bilan 2015'!$W$44:$W$45)+'[1]Bilan 2015'!$W$47)</f>
        <v>8.7461122445901367</v>
      </c>
      <c r="S15" s="171">
        <f t="shared" si="1"/>
        <v>24.506016758025968</v>
      </c>
      <c r="U15" s="176" t="s">
        <v>22</v>
      </c>
      <c r="V15" t="s">
        <v>101</v>
      </c>
      <c r="W15" t="s">
        <v>102</v>
      </c>
      <c r="X15" t="s">
        <v>103</v>
      </c>
      <c r="Y15" t="s">
        <v>104</v>
      </c>
      <c r="Z15" s="8">
        <v>0</v>
      </c>
      <c r="AA15" s="271">
        <v>3.568616939</v>
      </c>
      <c r="AB15" s="271">
        <v>12.769876119999999</v>
      </c>
      <c r="AC15" s="271">
        <v>9.0390917910000006</v>
      </c>
      <c r="AD15" s="121">
        <v>25.377584850000002</v>
      </c>
    </row>
    <row r="16" spans="1:30" x14ac:dyDescent="0.25">
      <c r="C16" s="176" t="s">
        <v>23</v>
      </c>
      <c r="H16" s="8">
        <f>SUM(H17:H19)</f>
        <v>4.870231918</v>
      </c>
      <c r="I16" s="8">
        <f>SUM(I17:I19)</f>
        <v>18.458810973999999</v>
      </c>
      <c r="J16" s="8">
        <f>SUM(J17:J19)</f>
        <v>11.162612298000001</v>
      </c>
      <c r="K16" s="8">
        <f>SUM(K17:K19)</f>
        <v>14.923868522600001</v>
      </c>
      <c r="L16" s="121">
        <f>SUM(H16:K16)</f>
        <v>49.415523712599999</v>
      </c>
      <c r="M16" s="99"/>
      <c r="N16" s="179" t="s">
        <v>280</v>
      </c>
      <c r="O16" s="36">
        <f>O17+O18</f>
        <v>4.2636280705371687</v>
      </c>
      <c r="P16" s="35">
        <f t="shared" ref="P16:R16" si="2">P17+P18</f>
        <v>14.865720748941945</v>
      </c>
      <c r="Q16" s="35">
        <f t="shared" si="2"/>
        <v>10.069552160228</v>
      </c>
      <c r="R16" s="35">
        <f t="shared" si="2"/>
        <v>13.756399814544654</v>
      </c>
      <c r="S16" s="171">
        <f t="shared" si="1"/>
        <v>42.95530079425177</v>
      </c>
      <c r="U16" s="176" t="s">
        <v>23</v>
      </c>
      <c r="Z16" s="8">
        <v>4.1729010901999999</v>
      </c>
      <c r="AA16" s="8">
        <v>18.040350471</v>
      </c>
      <c r="AB16" s="8">
        <v>11.314938957000001</v>
      </c>
      <c r="AC16" s="8">
        <v>14.446423944999999</v>
      </c>
      <c r="AD16" s="121">
        <v>47.974614463199998</v>
      </c>
    </row>
    <row r="17" spans="2:30" x14ac:dyDescent="0.25">
      <c r="C17" s="178" t="s">
        <v>24</v>
      </c>
      <c r="D17" t="s">
        <v>596</v>
      </c>
      <c r="E17" t="s">
        <v>597</v>
      </c>
      <c r="F17" t="s">
        <v>598</v>
      </c>
      <c r="G17" t="s">
        <v>599</v>
      </c>
      <c r="H17" s="19">
        <f>VLOOKUP(D17,Résultats!$B$2:$AX$476,'T energie vecteurs'!F5,FALSE)</f>
        <v>3.876392208</v>
      </c>
      <c r="I17" s="19">
        <f>VLOOKUP(E17,Résultats!$B$2:$AX$476,'T energie vecteurs'!F5,FALSE)</f>
        <v>14.12919932</v>
      </c>
      <c r="J17" s="19">
        <f>VLOOKUP(F17,Résultats!$B$2:$AX$476,'T energie vecteurs'!F5,FALSE)</f>
        <v>10.84581494</v>
      </c>
      <c r="K17" s="19">
        <f>VLOOKUP(G17,Résultats!$B$2:$AX$476,'T energie vecteurs'!F5,FALSE)</f>
        <v>12.739125980000001</v>
      </c>
      <c r="L17" s="120">
        <f t="shared" si="0"/>
        <v>41.590532448000005</v>
      </c>
      <c r="M17" s="19"/>
      <c r="N17" s="178" t="s">
        <v>281</v>
      </c>
      <c r="O17" s="172">
        <f>'[1]Bilan 2015'!$U$46</f>
        <v>1.0493092649428299</v>
      </c>
      <c r="P17" s="37">
        <f>SUM('[1]Bilan 2015'!$U$41:$U$43)</f>
        <v>2.4127207489419455</v>
      </c>
      <c r="Q17" s="37">
        <f>'[1]Bilan 2015'!$U$13</f>
        <v>10.069552160228</v>
      </c>
      <c r="R17" s="37">
        <f>('[1]Bilan 2015'!$U$22+'[1]Bilan 2015'!$U$30+SUM('[1]Bilan 2015'!$U$36:$U$40)+SUM('[1]Bilan 2015'!$U$44:$U$45)+'[1]Bilan 2015'!$U$47)</f>
        <v>12.654813573219924</v>
      </c>
      <c r="S17" s="120">
        <f t="shared" si="1"/>
        <v>26.186395747332696</v>
      </c>
      <c r="U17" s="178" t="s">
        <v>24</v>
      </c>
      <c r="V17" t="s">
        <v>105</v>
      </c>
      <c r="W17" t="s">
        <v>106</v>
      </c>
      <c r="X17" t="s">
        <v>107</v>
      </c>
      <c r="Y17" t="s">
        <v>108</v>
      </c>
      <c r="Z17" s="19">
        <v>3.252665173</v>
      </c>
      <c r="AA17" s="19">
        <v>13.839453020000001</v>
      </c>
      <c r="AB17" s="19">
        <v>10.97816242</v>
      </c>
      <c r="AC17" s="19">
        <v>12.365702000000001</v>
      </c>
      <c r="AD17" s="120">
        <v>40.435982613</v>
      </c>
    </row>
    <row r="18" spans="2:30" x14ac:dyDescent="0.25">
      <c r="C18" s="178" t="s">
        <v>153</v>
      </c>
      <c r="D18" t="s">
        <v>600</v>
      </c>
      <c r="E18" t="s">
        <v>601</v>
      </c>
      <c r="F18" t="s">
        <v>602</v>
      </c>
      <c r="G18" t="s">
        <v>603</v>
      </c>
      <c r="H18" s="19">
        <f>VLOOKUP(D18,Résultats!$B$2:$AX$476,'T energie vecteurs'!F5,FALSE)</f>
        <v>0.99383971000000004</v>
      </c>
      <c r="I18" s="19">
        <f>VLOOKUP(E18,Résultats!$B$2:$AX$476,'T energie vecteurs'!F5,FALSE)</f>
        <v>1.8945405259999999</v>
      </c>
      <c r="J18" s="19">
        <f>VLOOKUP(F18,Résultats!$B$2:$AX$476,'T energie vecteurs'!F5,FALSE)</f>
        <v>0</v>
      </c>
      <c r="K18" s="19">
        <f>VLOOKUP(G18,Résultats!$B$2:$AX$476,'T energie vecteurs'!F5,FALSE)</f>
        <v>1.786449027</v>
      </c>
      <c r="L18" s="120">
        <f t="shared" si="0"/>
        <v>4.6748292629999995</v>
      </c>
      <c r="M18" s="19"/>
      <c r="N18" s="178" t="s">
        <v>153</v>
      </c>
      <c r="O18" s="28">
        <f>'[1]Bilan 2015'!$E$52</f>
        <v>3.2143188055943388</v>
      </c>
      <c r="P18" s="19">
        <f>('[1]Bilan 2015'!$E$54+'[1]Bilan 2015'!$E$56)</f>
        <v>12.452999999999999</v>
      </c>
      <c r="Q18" s="19">
        <v>0</v>
      </c>
      <c r="R18" s="19">
        <f>('[1]Bilan 2015'!$E$53+'[1]Bilan 2015'!$E$55+'[1]Bilan 2015'!$E$57)</f>
        <v>1.1015862413247299</v>
      </c>
      <c r="S18" s="120">
        <f t="shared" si="1"/>
        <v>16.768905046919066</v>
      </c>
      <c r="U18" s="178" t="s">
        <v>153</v>
      </c>
      <c r="V18" t="s">
        <v>154</v>
      </c>
      <c r="W18" t="s">
        <v>155</v>
      </c>
      <c r="X18" t="s">
        <v>156</v>
      </c>
      <c r="Y18" t="s">
        <v>157</v>
      </c>
      <c r="Z18" s="19">
        <v>0.92023591719999998</v>
      </c>
      <c r="AA18" s="19">
        <v>1.779999739</v>
      </c>
      <c r="AB18" s="19">
        <v>0</v>
      </c>
      <c r="AC18" s="19">
        <v>1.7183807259999999</v>
      </c>
      <c r="AD18" s="120">
        <v>4.4186163821999997</v>
      </c>
    </row>
    <row r="19" spans="2:30" x14ac:dyDescent="0.25">
      <c r="C19" s="178" t="s">
        <v>25</v>
      </c>
      <c r="D19" t="s">
        <v>604</v>
      </c>
      <c r="E19" t="s">
        <v>605</v>
      </c>
      <c r="F19" t="s">
        <v>606</v>
      </c>
      <c r="G19" t="s">
        <v>607</v>
      </c>
      <c r="H19" s="19">
        <f>VLOOKUP(D19,Résultats!$B$2:$AX$476,'T energie vecteurs'!F5,FALSE)</f>
        <v>0</v>
      </c>
      <c r="I19" s="19">
        <f>VLOOKUP(E19,Résultats!$B$2:$AX$476,'T energie vecteurs'!F5,FALSE)</f>
        <v>2.4350711280000001</v>
      </c>
      <c r="J19" s="19">
        <f>VLOOKUP(F19,Résultats!$B$2:$AX$476,'T energie vecteurs'!F5,FALSE)</f>
        <v>0.31679735799999997</v>
      </c>
      <c r="K19" s="19">
        <f>VLOOKUP(G19,Résultats!$B$2:$AX$476,'T energie vecteurs'!F5,FALSE)</f>
        <v>0.39829351559999998</v>
      </c>
      <c r="L19" s="120">
        <f t="shared" si="0"/>
        <v>3.1501620016</v>
      </c>
      <c r="M19" s="19"/>
      <c r="N19" s="179" t="s">
        <v>25</v>
      </c>
      <c r="O19" s="36">
        <f>'[1]Bilan 2015'!$T$46</f>
        <v>2.2137192704974398E-3</v>
      </c>
      <c r="P19" s="35">
        <f>SUM('[1]Bilan 2015'!$T$41:$T$43)</f>
        <v>3.4936667755496749</v>
      </c>
      <c r="Q19" s="35">
        <f>'[1]Bilan 2015'!$T$13</f>
        <v>0.74651762682717104</v>
      </c>
      <c r="R19" s="35">
        <f>('[1]Bilan 2015'!$T$22+'[1]Bilan 2015'!$T$30+SUM('[1]Bilan 2015'!$T$36:$T$40)+SUM('[1]Bilan 2015'!$T$44:$T$45)+'[1]Bilan 2015'!$T$47)</f>
        <v>0.24365267378081518</v>
      </c>
      <c r="S19" s="171">
        <f t="shared" si="1"/>
        <v>4.4860507954281585</v>
      </c>
      <c r="U19" s="178" t="s">
        <v>25</v>
      </c>
      <c r="V19" t="s">
        <v>109</v>
      </c>
      <c r="W19" t="s">
        <v>110</v>
      </c>
      <c r="X19" t="s">
        <v>111</v>
      </c>
      <c r="Y19" t="s">
        <v>112</v>
      </c>
      <c r="Z19" s="19">
        <v>0</v>
      </c>
      <c r="AA19" s="19">
        <v>2.4208977119999999</v>
      </c>
      <c r="AB19" s="19">
        <v>0.33677653699999999</v>
      </c>
      <c r="AC19" s="19">
        <v>0.36234121899999999</v>
      </c>
      <c r="AD19" s="120">
        <v>3.1200154680000001</v>
      </c>
    </row>
    <row r="20" spans="2:30" x14ac:dyDescent="0.25">
      <c r="C20" s="29" t="s">
        <v>26</v>
      </c>
      <c r="D20" s="10"/>
      <c r="E20" s="10"/>
      <c r="F20" s="10"/>
      <c r="G20" s="10"/>
      <c r="H20" s="9">
        <f>SUM(H11,H14:H16)</f>
        <v>5.1569317783999997</v>
      </c>
      <c r="I20" s="9">
        <f>SUM(I11,I14:I16)</f>
        <v>72.680379242000001</v>
      </c>
      <c r="J20" s="9">
        <f>SUM(J11,J14:J16)</f>
        <v>39.195719963900004</v>
      </c>
      <c r="K20" s="9">
        <f>SUM(K11,K14:K16)</f>
        <v>48.059450219012703</v>
      </c>
      <c r="L20" s="123">
        <f t="shared" si="0"/>
        <v>165.0924812033127</v>
      </c>
      <c r="M20" s="105"/>
      <c r="N20" s="180" t="s">
        <v>26</v>
      </c>
      <c r="O20" s="40">
        <f>O11+O14+O15+O16+O19</f>
        <v>4.3456793787119414</v>
      </c>
      <c r="P20" s="38">
        <f>P11+P14+P15+P16+P19</f>
        <v>70.798845361011772</v>
      </c>
      <c r="Q20" s="38">
        <f>Q11+Q14+Q15+Q16+Q19</f>
        <v>38.082514273546238</v>
      </c>
      <c r="R20" s="38">
        <f>R11+R14+R15+R16+R19</f>
        <v>44.651702506310876</v>
      </c>
      <c r="S20" s="173">
        <f>SUM(O20:R20)</f>
        <v>157.87874151958081</v>
      </c>
      <c r="T20" s="69"/>
      <c r="U20" s="29" t="s">
        <v>26</v>
      </c>
      <c r="V20" s="10"/>
      <c r="W20" s="10"/>
      <c r="X20" s="10"/>
      <c r="Y20" s="10"/>
      <c r="Z20" s="9">
        <v>4.4643339968999998</v>
      </c>
      <c r="AA20" s="9">
        <v>72.015078141999993</v>
      </c>
      <c r="AB20" s="9">
        <v>39.866867514500001</v>
      </c>
      <c r="AC20" s="9">
        <v>44.391226850545138</v>
      </c>
      <c r="AD20" s="123">
        <v>160.73750650394513</v>
      </c>
    </row>
    <row r="21" spans="2:30" s="3" customFormat="1" x14ac:dyDescent="0.25">
      <c r="B21" s="84"/>
      <c r="H21" s="69"/>
      <c r="I21" s="69"/>
      <c r="J21" s="69"/>
      <c r="K21" s="69"/>
      <c r="L21" s="69"/>
      <c r="M21" s="69"/>
      <c r="N21" s="69"/>
      <c r="O21" s="103"/>
      <c r="P21" s="103"/>
      <c r="Q21" s="103"/>
      <c r="R21" s="104"/>
      <c r="S21" s="69">
        <f>S11+S14+S15+S16+S19</f>
        <v>157.87874151958081</v>
      </c>
      <c r="Z21" s="69"/>
      <c r="AA21" s="69"/>
      <c r="AB21" s="69"/>
      <c r="AC21" s="69"/>
      <c r="AD21" s="69"/>
    </row>
    <row r="22" spans="2:30" s="3" customFormat="1" x14ac:dyDescent="0.25">
      <c r="I22" s="69"/>
      <c r="J22" s="69"/>
      <c r="K22" s="69"/>
      <c r="AA22" s="69"/>
      <c r="AB22" s="69"/>
      <c r="AC22" s="69"/>
    </row>
    <row r="23" spans="2:30" ht="31.5" x14ac:dyDescent="0.35">
      <c r="C23" s="174">
        <v>2020</v>
      </c>
      <c r="D23" s="175"/>
      <c r="E23" s="175"/>
      <c r="F23" s="175"/>
      <c r="G23" s="175"/>
      <c r="H23" s="101" t="s">
        <v>36</v>
      </c>
      <c r="I23" s="101" t="s">
        <v>159</v>
      </c>
      <c r="J23" s="101" t="s">
        <v>38</v>
      </c>
      <c r="K23" s="101" t="s">
        <v>158</v>
      </c>
      <c r="L23" s="118" t="s">
        <v>1</v>
      </c>
      <c r="M23" s="25"/>
      <c r="N23" s="174">
        <v>2020</v>
      </c>
      <c r="O23" s="170" t="s">
        <v>36</v>
      </c>
      <c r="P23" s="101" t="s">
        <v>159</v>
      </c>
      <c r="Q23" s="101" t="s">
        <v>38</v>
      </c>
      <c r="R23" s="101" t="s">
        <v>158</v>
      </c>
      <c r="S23" s="118" t="s">
        <v>1</v>
      </c>
      <c r="T23" s="25"/>
      <c r="U23" s="174">
        <v>2020</v>
      </c>
      <c r="V23" s="175"/>
      <c r="W23" s="175"/>
      <c r="X23" s="175"/>
      <c r="Y23" s="175"/>
      <c r="Z23" s="101" t="s">
        <v>36</v>
      </c>
      <c r="AA23" s="101" t="s">
        <v>159</v>
      </c>
      <c r="AB23" s="101" t="s">
        <v>38</v>
      </c>
      <c r="AC23" s="101" t="s">
        <v>158</v>
      </c>
      <c r="AD23" s="118" t="s">
        <v>1</v>
      </c>
    </row>
    <row r="24" spans="2:30" x14ac:dyDescent="0.25">
      <c r="C24" s="176" t="s">
        <v>18</v>
      </c>
      <c r="H24" s="8">
        <f>SUM(H25:H26)</f>
        <v>0</v>
      </c>
      <c r="I24" s="8">
        <f>SUM(I25:I26)</f>
        <v>42.21855223</v>
      </c>
      <c r="J24" s="8">
        <f>SUM(J25:J26)</f>
        <v>1.4306217491</v>
      </c>
      <c r="K24" s="8">
        <f>SUM(K25:K26)</f>
        <v>0.26813264020870003</v>
      </c>
      <c r="L24" s="121">
        <f t="shared" ref="L24:L33" si="3">SUM(H24:K24)</f>
        <v>43.917306619308697</v>
      </c>
      <c r="M24" s="99"/>
      <c r="N24" s="179" t="s">
        <v>18</v>
      </c>
      <c r="O24" s="36">
        <f>'[1]Bilan 2020'!$X$46/11.63</f>
        <v>0</v>
      </c>
      <c r="P24" s="35">
        <f>SUM('[1]Bilan 2020'!$X$41:$X$43)/11.63</f>
        <v>35.668036461633939</v>
      </c>
      <c r="Q24" s="35">
        <f>'[1]Bilan 2020'!$X$13/11.63</f>
        <v>0.71687008340498715</v>
      </c>
      <c r="R24" s="35">
        <f>('[1]Bilan 2020'!$X$22+'[1]Bilan 2020'!$X$30+SUM('[1]Bilan 2020'!$X$36:$X$40)+SUM('[1]Bilan 2020'!$X$44:$X$45)+'[1]Bilan 2020'!$X$47)/11.63</f>
        <v>0.19326865864144452</v>
      </c>
      <c r="S24" s="171">
        <f>SUM(O24:R24)</f>
        <v>36.578175203680367</v>
      </c>
      <c r="T24" s="169"/>
      <c r="U24" s="176" t="s">
        <v>18</v>
      </c>
      <c r="Z24" s="8">
        <v>0</v>
      </c>
      <c r="AA24" s="8">
        <v>43.018744479999995</v>
      </c>
      <c r="AB24" s="8">
        <v>1.8220352072999999</v>
      </c>
      <c r="AC24" s="8">
        <v>0.31541142310885001</v>
      </c>
      <c r="AD24" s="121">
        <v>45.156191110408841</v>
      </c>
    </row>
    <row r="25" spans="2:30" x14ac:dyDescent="0.25">
      <c r="C25" s="177" t="s">
        <v>19</v>
      </c>
      <c r="D25" t="s">
        <v>580</v>
      </c>
      <c r="E25" t="s">
        <v>581</v>
      </c>
      <c r="F25" t="s">
        <v>582</v>
      </c>
      <c r="G25" t="s">
        <v>583</v>
      </c>
      <c r="H25" s="19">
        <f>VLOOKUP(D25,Résultats!$B$2:$AX$476,'T energie vecteurs'!I5,FALSE)</f>
        <v>0</v>
      </c>
      <c r="I25" s="19">
        <f>VLOOKUP(E25,Résultats!$B$2:$AX$476,'T energie vecteurs'!I5,FALSE)</f>
        <v>23.703893010000002</v>
      </c>
      <c r="J25" s="19">
        <f>VLOOKUP(F25,Résultats!$B$2:$AX$476,'T energie vecteurs'!I5,FALSE)</f>
        <v>0.10933758909999999</v>
      </c>
      <c r="K25" s="19">
        <f>VLOOKUP(G77,Résultats!$B$2:$AX$476,'T energie vecteurs'!I5,FALSE)</f>
        <v>1.59216087E-5</v>
      </c>
      <c r="L25" s="120">
        <f t="shared" si="3"/>
        <v>23.813246520708702</v>
      </c>
      <c r="M25" s="19"/>
      <c r="N25" s="177" t="s">
        <v>19</v>
      </c>
      <c r="O25" s="172"/>
      <c r="P25" s="19"/>
      <c r="Q25" s="55"/>
      <c r="R25" s="19"/>
      <c r="S25" s="120"/>
      <c r="T25" s="169"/>
      <c r="U25" s="177" t="s">
        <v>19</v>
      </c>
      <c r="V25" t="s">
        <v>89</v>
      </c>
      <c r="W25" t="s">
        <v>90</v>
      </c>
      <c r="X25" t="s">
        <v>91</v>
      </c>
      <c r="Y25" t="s">
        <v>92</v>
      </c>
      <c r="Z25" s="19">
        <v>0</v>
      </c>
      <c r="AA25" s="19">
        <v>23.922501159999999</v>
      </c>
      <c r="AB25" s="19">
        <v>0.1058478073</v>
      </c>
      <c r="AC25" s="19">
        <v>9.2348088500000006E-6</v>
      </c>
      <c r="AD25" s="120">
        <v>24.028358202108851</v>
      </c>
    </row>
    <row r="26" spans="2:30" x14ac:dyDescent="0.25">
      <c r="C26" s="178" t="s">
        <v>20</v>
      </c>
      <c r="D26" t="s">
        <v>584</v>
      </c>
      <c r="E26" t="s">
        <v>585</v>
      </c>
      <c r="F26" t="s">
        <v>586</v>
      </c>
      <c r="G26" t="s">
        <v>587</v>
      </c>
      <c r="H26" s="19">
        <f>VLOOKUP(D26,Résultats!$B$2:$AX$476,'T energie vecteurs'!I5,FALSE)</f>
        <v>0</v>
      </c>
      <c r="I26" s="19">
        <f>VLOOKUP(E26,Résultats!$B$2:$AX$476,'T energie vecteurs'!I5,FALSE)</f>
        <v>18.514659219999999</v>
      </c>
      <c r="J26" s="19">
        <f>VLOOKUP(F26,Résultats!$B$2:$AX$476,'T energie vecteurs'!I5,FALSE)</f>
        <v>1.32128416</v>
      </c>
      <c r="K26" s="19">
        <f>VLOOKUP(G26,Résultats!$B$2:$AX$476,'T energie vecteurs'!I5,FALSE)</f>
        <v>0.26811671860000003</v>
      </c>
      <c r="L26" s="120">
        <f t="shared" si="3"/>
        <v>20.104060098600002</v>
      </c>
      <c r="M26" s="19"/>
      <c r="N26" s="178" t="s">
        <v>20</v>
      </c>
      <c r="O26" s="172"/>
      <c r="P26" s="19"/>
      <c r="Q26" s="55"/>
      <c r="R26" s="19"/>
      <c r="S26" s="120"/>
      <c r="T26" s="169"/>
      <c r="U26" s="178" t="s">
        <v>20</v>
      </c>
      <c r="V26" t="s">
        <v>93</v>
      </c>
      <c r="W26" t="s">
        <v>94</v>
      </c>
      <c r="X26" t="s">
        <v>95</v>
      </c>
      <c r="Y26" t="s">
        <v>96</v>
      </c>
      <c r="Z26" s="19">
        <v>0</v>
      </c>
      <c r="AA26" s="19">
        <v>19.096243319999999</v>
      </c>
      <c r="AB26" s="19">
        <v>1.7161873999999999</v>
      </c>
      <c r="AC26" s="19">
        <v>0.3154021883</v>
      </c>
      <c r="AD26" s="120">
        <v>21.127832908299997</v>
      </c>
    </row>
    <row r="27" spans="2:30" x14ac:dyDescent="0.25">
      <c r="C27" s="176" t="s">
        <v>21</v>
      </c>
      <c r="D27" t="s">
        <v>588</v>
      </c>
      <c r="E27" t="s">
        <v>589</v>
      </c>
      <c r="F27" t="s">
        <v>590</v>
      </c>
      <c r="G27" t="s">
        <v>591</v>
      </c>
      <c r="H27" s="8">
        <f>VLOOKUP(D27,Résultats!$B$2:$AX$476,'T energie vecteurs'!I5,FALSE)</f>
        <v>0.25363917670000002</v>
      </c>
      <c r="I27" s="8">
        <f>VLOOKUP(E27,Résultats!$B$2:$AX$476,'T energie vecteurs'!I5,FALSE)</f>
        <v>5.8187086710000004</v>
      </c>
      <c r="J27" s="8">
        <f>VLOOKUP(F27,Résultats!$B$2:$AX$476,'T energie vecteurs'!I5,FALSE)</f>
        <v>14.33528806</v>
      </c>
      <c r="K27" s="8">
        <f>VLOOKUP(G27,Résultats!$B$2:$AX$476,'T energie vecteurs'!I5,FALSE)+6</f>
        <v>21.379160249999998</v>
      </c>
      <c r="L27" s="121">
        <f t="shared" si="3"/>
        <v>41.786796157699996</v>
      </c>
      <c r="M27" s="99"/>
      <c r="N27" s="179" t="s">
        <v>21</v>
      </c>
      <c r="O27" s="36">
        <f>'[1]Bilan 2020'!$V$46/11.63</f>
        <v>2.0700734999999998E-2</v>
      </c>
      <c r="P27" s="35">
        <f>SUM('[1]Bilan 2020'!$V$41:$V$43)/11.63</f>
        <v>4.2874727518867157</v>
      </c>
      <c r="Q27" s="35">
        <f>'[1]Bilan 2020'!$V$13/11.63</f>
        <v>13.618731599337918</v>
      </c>
      <c r="R27" s="35">
        <f>('[1]Bilan 2020'!$V$22+'[1]Bilan 2020'!$V$30+SUM('[1]Bilan 2020'!$V$36:$V$40)+SUM('[1]Bilan 2020'!$V$44:$V$45)+'[1]Bilan 2020'!$V$47)/11.63</f>
        <v>20.408410382607048</v>
      </c>
      <c r="S27" s="171">
        <f t="shared" ref="S27:S33" si="4">SUM(O27:R27)</f>
        <v>38.335315468831681</v>
      </c>
      <c r="T27" s="169"/>
      <c r="U27" s="176" t="s">
        <v>21</v>
      </c>
      <c r="V27" t="s">
        <v>97</v>
      </c>
      <c r="W27" t="s">
        <v>98</v>
      </c>
      <c r="X27" t="s">
        <v>99</v>
      </c>
      <c r="Y27" t="s">
        <v>100</v>
      </c>
      <c r="Z27" s="8">
        <v>0.26184970889999998</v>
      </c>
      <c r="AA27" s="8">
        <v>5.7024644279999999</v>
      </c>
      <c r="AB27" s="8">
        <v>15.25918953</v>
      </c>
      <c r="AC27" s="8">
        <v>20.182440509999999</v>
      </c>
      <c r="AD27" s="121">
        <v>41.4059441769</v>
      </c>
    </row>
    <row r="28" spans="2:30" x14ac:dyDescent="0.25">
      <c r="C28" s="176" t="s">
        <v>22</v>
      </c>
      <c r="D28" t="s">
        <v>592</v>
      </c>
      <c r="E28" t="s">
        <v>593</v>
      </c>
      <c r="F28" t="s">
        <v>594</v>
      </c>
      <c r="G28" t="s">
        <v>595</v>
      </c>
      <c r="H28" s="8">
        <f>VLOOKUP(D28,Résultats!$B$2:$AX$476,'T energie vecteurs'!I5,FALSE)</f>
        <v>0</v>
      </c>
      <c r="I28" s="8">
        <f>VLOOKUP(E28,Résultats!$B$2:$AX$476,'T energie vecteurs'!I5,FALSE)</f>
        <v>3.0142307009999998</v>
      </c>
      <c r="J28" s="8">
        <f>VLOOKUP(F28,Résultats!$B$2:$AX$476,'T energie vecteurs'!I5,FALSE)</f>
        <v>12.634897280000001</v>
      </c>
      <c r="K28" s="8">
        <f>VLOOKUP(G28,Résultats!$B$2:$AX$476,'T energie vecteurs'!I5,FALSE)</f>
        <v>9.3728534789999998</v>
      </c>
      <c r="L28" s="121">
        <f t="shared" si="3"/>
        <v>25.021981459999999</v>
      </c>
      <c r="M28" s="99"/>
      <c r="N28" s="179" t="s">
        <v>22</v>
      </c>
      <c r="O28" s="36">
        <f>('[1]Bilan 2020'!$W$46)/11.63</f>
        <v>3.0546421000000001E-2</v>
      </c>
      <c r="P28" s="35">
        <f>SUM('[1]Bilan 2020'!$W$41:$W$43)/11.63</f>
        <v>2.7068355531694666</v>
      </c>
      <c r="Q28" s="35">
        <f>('[1]Bilan 2020'!$W$13)/11.63</f>
        <v>10.724850576412381</v>
      </c>
      <c r="R28" s="35">
        <f>('[1]Bilan 2020'!$W$22+'[1]Bilan 2020'!$W$30+SUM('[1]Bilan 2020'!$W$36:$W$40)+SUM('[1]Bilan 2020'!$W$44:$W$45)+'[1]Bilan 2020'!$W$47)/11.63</f>
        <v>7.1906336380053082</v>
      </c>
      <c r="S28" s="171">
        <f t="shared" si="4"/>
        <v>20.652866188587154</v>
      </c>
      <c r="T28" s="169"/>
      <c r="U28" s="176" t="s">
        <v>22</v>
      </c>
      <c r="V28" t="s">
        <v>101</v>
      </c>
      <c r="W28" t="s">
        <v>102</v>
      </c>
      <c r="X28" t="s">
        <v>103</v>
      </c>
      <c r="Y28" t="s">
        <v>104</v>
      </c>
      <c r="Z28" s="8">
        <v>0</v>
      </c>
      <c r="AA28" s="8">
        <v>2.5782826139999999</v>
      </c>
      <c r="AB28" s="8">
        <v>12.10446735</v>
      </c>
      <c r="AC28" s="8">
        <v>7.683267743</v>
      </c>
      <c r="AD28" s="121">
        <v>22.366017706999997</v>
      </c>
    </row>
    <row r="29" spans="2:30" x14ac:dyDescent="0.25">
      <c r="C29" s="176" t="s">
        <v>23</v>
      </c>
      <c r="H29" s="8">
        <f>SUM(H30:H32)</f>
        <v>2.6090620389000003</v>
      </c>
      <c r="I29" s="8">
        <f>SUM(I30:I32)</f>
        <v>13.120507663</v>
      </c>
      <c r="J29" s="8">
        <f>SUM(J30:J32)</f>
        <v>9.2444993791000005</v>
      </c>
      <c r="K29" s="8">
        <f>SUM(K30:K32)</f>
        <v>15.5955680361</v>
      </c>
      <c r="L29" s="121">
        <f t="shared" si="3"/>
        <v>40.569637117100001</v>
      </c>
      <c r="M29" s="99"/>
      <c r="N29" s="179" t="s">
        <v>280</v>
      </c>
      <c r="O29" s="36">
        <f>O30+O31</f>
        <v>3.1626378182920636</v>
      </c>
      <c r="P29" s="35">
        <f t="shared" ref="P29:R29" si="5">P30+P31</f>
        <v>13.919973516612528</v>
      </c>
      <c r="Q29" s="35">
        <f t="shared" si="5"/>
        <v>9.0413234941421319</v>
      </c>
      <c r="R29" s="35">
        <f t="shared" si="5"/>
        <v>14.312071337572707</v>
      </c>
      <c r="S29" s="171">
        <f t="shared" si="4"/>
        <v>40.436006166619435</v>
      </c>
      <c r="T29" s="169"/>
      <c r="U29" s="176" t="s">
        <v>23</v>
      </c>
      <c r="Z29" s="8">
        <v>2.9352593538000002</v>
      </c>
      <c r="AA29" s="8">
        <v>14.864282436999998</v>
      </c>
      <c r="AB29" s="8">
        <v>9.5134153553999994</v>
      </c>
      <c r="AC29" s="8">
        <v>13.758628141300001</v>
      </c>
      <c r="AD29" s="121">
        <v>41.0715852875</v>
      </c>
    </row>
    <row r="30" spans="2:30" x14ac:dyDescent="0.25">
      <c r="C30" s="178" t="s">
        <v>24</v>
      </c>
      <c r="D30" t="s">
        <v>596</v>
      </c>
      <c r="E30" t="s">
        <v>597</v>
      </c>
      <c r="F30" t="s">
        <v>598</v>
      </c>
      <c r="G30" t="s">
        <v>599</v>
      </c>
      <c r="H30" s="19">
        <f>VLOOKUP(D30,Résultats!$B$2:$AX$476,'T energie vecteurs'!I5,FALSE)</f>
        <v>1.7437380060000001</v>
      </c>
      <c r="I30" s="19">
        <f>VLOOKUP(E30,Résultats!$B$2:$AX$476,'T energie vecteurs'!I5,FALSE)</f>
        <v>8.8619693070000007</v>
      </c>
      <c r="J30" s="19">
        <f>VLOOKUP(F30,Résultats!$B$2:$AX$476,'T energie vecteurs'!I5,FALSE)</f>
        <v>8.9317724070000004</v>
      </c>
      <c r="K30" s="19">
        <f>VLOOKUP(G30,Résultats!$B$2:$AX$476,'T energie vecteurs'!I5,FALSE)</f>
        <v>13.09735244</v>
      </c>
      <c r="L30" s="120">
        <f t="shared" si="3"/>
        <v>32.634832160000002</v>
      </c>
      <c r="M30" s="19"/>
      <c r="N30" s="178" t="s">
        <v>281</v>
      </c>
      <c r="O30" s="172">
        <f>'[1]Bilan 2020'!$U$46/11.63</f>
        <v>0.77267988499999996</v>
      </c>
      <c r="P30" s="37">
        <f>SUM('[1]Bilan 2020'!$U$41:$U$43)/11.63</f>
        <v>2.7003587770125286</v>
      </c>
      <c r="Q30" s="37">
        <f>'[1]Bilan 2020'!$U$13/11.63</f>
        <v>9.0413234941421319</v>
      </c>
      <c r="R30" s="37">
        <f>('[1]Bilan 2020'!$U$22+'[1]Bilan 2020'!$U$30+SUM('[1]Bilan 2020'!$U$36:$U$40)+SUM('[1]Bilan 2020'!$U$44:$U$45)+'[1]Bilan 2020'!$U$47)/11.63</f>
        <v>13.277854957521116</v>
      </c>
      <c r="S30" s="120">
        <f t="shared" si="4"/>
        <v>25.792217113675775</v>
      </c>
      <c r="T30" s="169"/>
      <c r="U30" s="178" t="s">
        <v>24</v>
      </c>
      <c r="V30" t="s">
        <v>105</v>
      </c>
      <c r="W30" t="s">
        <v>106</v>
      </c>
      <c r="X30" t="s">
        <v>107</v>
      </c>
      <c r="Y30" t="s">
        <v>108</v>
      </c>
      <c r="Z30" s="19">
        <v>2.0907212450000001</v>
      </c>
      <c r="AA30" s="19">
        <v>10.561312149999999</v>
      </c>
      <c r="AB30" s="19">
        <v>9.1722502499999994</v>
      </c>
      <c r="AC30" s="19">
        <v>11.439847840000001</v>
      </c>
      <c r="AD30" s="120">
        <v>33.264131485</v>
      </c>
    </row>
    <row r="31" spans="2:30" x14ac:dyDescent="0.25">
      <c r="C31" s="178" t="s">
        <v>153</v>
      </c>
      <c r="D31" t="s">
        <v>600</v>
      </c>
      <c r="E31" t="s">
        <v>601</v>
      </c>
      <c r="F31" t="s">
        <v>602</v>
      </c>
      <c r="G31" t="s">
        <v>603</v>
      </c>
      <c r="H31" s="19">
        <f>VLOOKUP(D31,Résultats!$B$2:$AX$476,'T energie vecteurs'!I5,FALSE)</f>
        <v>0.86532403290000004</v>
      </c>
      <c r="I31" s="19">
        <f>VLOOKUP(E31,Résultats!$B$2:$AX$476,'T energie vecteurs'!I5,FALSE)</f>
        <v>1.8757390430000001</v>
      </c>
      <c r="J31" s="19">
        <f>VLOOKUP(F31,Résultats!$B$2:$AX$476,'T energie vecteurs'!I5,FALSE)</f>
        <v>0</v>
      </c>
      <c r="K31" s="19">
        <f>VLOOKUP(G31,Résultats!$B$2:$AX$476,'T energie vecteurs'!I5,FALSE)</f>
        <v>2.1241513009999999</v>
      </c>
      <c r="L31" s="120">
        <f t="shared" si="3"/>
        <v>4.8652143769</v>
      </c>
      <c r="M31" s="19"/>
      <c r="N31" s="178" t="s">
        <v>153</v>
      </c>
      <c r="O31" s="28">
        <f>'[1]Bilan 2020'!$E$52/11.63</f>
        <v>2.3899579332920635</v>
      </c>
      <c r="P31" s="19">
        <f>('[1]Bilan 2020'!$E$54+'[1]Bilan 2020'!$E$56)/11.63</f>
        <v>11.219614739599999</v>
      </c>
      <c r="Q31" s="19">
        <v>0</v>
      </c>
      <c r="R31" s="19">
        <f>('[1]Bilan 2020'!$E$53+'[1]Bilan 2020'!$E$55+'[1]Bilan 2020'!$E$57)/11.63</f>
        <v>1.0342163800515907</v>
      </c>
      <c r="S31" s="120">
        <f t="shared" si="4"/>
        <v>14.643789052943653</v>
      </c>
      <c r="T31" s="169"/>
      <c r="U31" s="178" t="s">
        <v>153</v>
      </c>
      <c r="V31" t="s">
        <v>154</v>
      </c>
      <c r="W31" t="s">
        <v>155</v>
      </c>
      <c r="X31" t="s">
        <v>156</v>
      </c>
      <c r="Y31" t="s">
        <v>157</v>
      </c>
      <c r="Z31" s="19">
        <v>0.84453810880000002</v>
      </c>
      <c r="AA31" s="19">
        <v>1.899081222</v>
      </c>
      <c r="AB31" s="19">
        <v>0</v>
      </c>
      <c r="AC31" s="19">
        <v>1.9869122779999999</v>
      </c>
      <c r="AD31" s="120">
        <v>4.7305316087999998</v>
      </c>
    </row>
    <row r="32" spans="2:30" x14ac:dyDescent="0.25">
      <c r="C32" s="178" t="s">
        <v>25</v>
      </c>
      <c r="D32" t="s">
        <v>604</v>
      </c>
      <c r="E32" t="s">
        <v>605</v>
      </c>
      <c r="F32" t="s">
        <v>606</v>
      </c>
      <c r="G32" t="s">
        <v>607</v>
      </c>
      <c r="H32" s="19">
        <f>VLOOKUP(D32,Résultats!$B$2:$AX$476,'T energie vecteurs'!I5,FALSE)</f>
        <v>0</v>
      </c>
      <c r="I32" s="19">
        <f>VLOOKUP(E32,Résultats!$B$2:$AX$476,'T energie vecteurs'!I5,FALSE)</f>
        <v>2.382799313</v>
      </c>
      <c r="J32" s="19">
        <f>VLOOKUP(F32,Résultats!$B$2:$AX$476,'T energie vecteurs'!I5,FALSE)</f>
        <v>0.3127269721</v>
      </c>
      <c r="K32" s="19">
        <f>VLOOKUP(G32,Résultats!$B$2:$AX$476,'T energie vecteurs'!I5,FALSE)</f>
        <v>0.3740642951</v>
      </c>
      <c r="L32" s="120">
        <f t="shared" si="3"/>
        <v>3.0695905802000003</v>
      </c>
      <c r="M32" s="19"/>
      <c r="N32" s="179" t="s">
        <v>25</v>
      </c>
      <c r="O32" s="36">
        <f>'[1]Bilan 2020'!$T$46/11.63</f>
        <v>1.3217009999999998E-3</v>
      </c>
      <c r="P32" s="35">
        <f>SUM('[1]Bilan 2020'!$T$41:$T$43)/11.63</f>
        <v>3.3486884684627563</v>
      </c>
      <c r="Q32" s="35">
        <f>'[1]Bilan 2020'!$T$13/11.63</f>
        <v>0.69143728159498707</v>
      </c>
      <c r="R32" s="35">
        <f>('[1]Bilan 2020'!$T$22+'[1]Bilan 2020'!$T$30+SUM('[1]Bilan 2020'!$T$36:$T$40)+SUM('[1]Bilan 2020'!$T$44:$T$45)+'[1]Bilan 2020'!$T$47)/11.63</f>
        <v>0.41959097162510717</v>
      </c>
      <c r="S32" s="171">
        <f t="shared" si="4"/>
        <v>4.4610384226828508</v>
      </c>
      <c r="T32" s="169"/>
      <c r="U32" s="178" t="s">
        <v>25</v>
      </c>
      <c r="V32" t="s">
        <v>109</v>
      </c>
      <c r="W32" t="s">
        <v>110</v>
      </c>
      <c r="X32" t="s">
        <v>111</v>
      </c>
      <c r="Y32" t="s">
        <v>112</v>
      </c>
      <c r="Z32" s="19">
        <v>0</v>
      </c>
      <c r="AA32" s="19">
        <v>2.403889065</v>
      </c>
      <c r="AB32" s="19">
        <v>0.3411651054</v>
      </c>
      <c r="AC32" s="19">
        <v>0.33186802329999998</v>
      </c>
      <c r="AD32" s="120">
        <v>3.0769221936999998</v>
      </c>
    </row>
    <row r="33" spans="3:30" x14ac:dyDescent="0.25">
      <c r="C33" s="29" t="s">
        <v>26</v>
      </c>
      <c r="D33" s="10"/>
      <c r="E33" s="10"/>
      <c r="F33" s="10"/>
      <c r="G33" s="10"/>
      <c r="H33" s="9">
        <f>SUM(H24,H27:H29)</f>
        <v>2.8627012156000005</v>
      </c>
      <c r="I33" s="9">
        <f>SUM(I24,I27:I29)</f>
        <v>64.171999265000011</v>
      </c>
      <c r="J33" s="9">
        <f>SUM(J24,J27:J29)</f>
        <v>37.645306468199998</v>
      </c>
      <c r="K33" s="9">
        <f>SUM(K24,K27:K29)</f>
        <v>46.615714405308701</v>
      </c>
      <c r="L33" s="123">
        <f t="shared" si="3"/>
        <v>151.29572135410871</v>
      </c>
      <c r="M33" s="105"/>
      <c r="N33" s="180" t="s">
        <v>26</v>
      </c>
      <c r="O33" s="40">
        <f>O24+O27+O28+O29+O32</f>
        <v>3.2152066752920638</v>
      </c>
      <c r="P33" s="38">
        <f>P24+P27+P28+P29+P32</f>
        <v>59.931006751765409</v>
      </c>
      <c r="Q33" s="38">
        <f>Q24+Q27+Q28+Q29+Q32</f>
        <v>34.793213034892403</v>
      </c>
      <c r="R33" s="38">
        <f>R24+R27+R28+R29+R32</f>
        <v>42.523974988451613</v>
      </c>
      <c r="S33" s="173">
        <f t="shared" si="4"/>
        <v>140.46340145040148</v>
      </c>
      <c r="T33" s="105"/>
      <c r="U33" s="29" t="s">
        <v>26</v>
      </c>
      <c r="V33" s="10"/>
      <c r="W33" s="10"/>
      <c r="X33" s="10"/>
      <c r="Y33" s="10"/>
      <c r="Z33" s="9">
        <v>3.1971090627000001</v>
      </c>
      <c r="AA33" s="9">
        <v>66.163773958999997</v>
      </c>
      <c r="AB33" s="9">
        <v>38.699107442699997</v>
      </c>
      <c r="AC33" s="9">
        <v>41.93974781740885</v>
      </c>
      <c r="AD33" s="123">
        <v>149.99973828180885</v>
      </c>
    </row>
    <row r="34" spans="3:30" s="3" customFormat="1" x14ac:dyDescent="0.25">
      <c r="H34" s="69"/>
      <c r="I34" s="69"/>
      <c r="J34" s="69"/>
      <c r="K34" s="69"/>
      <c r="L34" s="69"/>
      <c r="M34" s="69"/>
      <c r="N34" s="69"/>
      <c r="O34" s="103"/>
      <c r="P34" s="103"/>
      <c r="Q34" s="103"/>
      <c r="R34" s="104"/>
      <c r="S34" s="69"/>
      <c r="T34" s="69"/>
      <c r="Z34" s="69"/>
      <c r="AA34" s="69"/>
      <c r="AB34" s="69"/>
      <c r="AC34" s="69"/>
      <c r="AD34" s="69"/>
    </row>
    <row r="35" spans="3:30" s="3" customFormat="1" x14ac:dyDescent="0.25"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Z35" s="69"/>
      <c r="AA35" s="69"/>
      <c r="AB35" s="69"/>
      <c r="AC35" s="69"/>
      <c r="AD35" s="69"/>
    </row>
    <row r="36" spans="3:30" ht="31.5" x14ac:dyDescent="0.35">
      <c r="C36" s="174">
        <v>2022</v>
      </c>
      <c r="D36" s="175"/>
      <c r="E36" s="175"/>
      <c r="F36" s="175"/>
      <c r="G36" s="175"/>
      <c r="H36" s="101" t="s">
        <v>36</v>
      </c>
      <c r="I36" s="101" t="s">
        <v>159</v>
      </c>
      <c r="J36" s="101" t="s">
        <v>38</v>
      </c>
      <c r="K36" s="101" t="s">
        <v>158</v>
      </c>
      <c r="L36" s="118" t="s">
        <v>1</v>
      </c>
      <c r="M36" s="25"/>
      <c r="N36" s="174">
        <v>2022</v>
      </c>
      <c r="O36" s="170" t="s">
        <v>36</v>
      </c>
      <c r="P36" s="101" t="s">
        <v>159</v>
      </c>
      <c r="Q36" s="101" t="s">
        <v>38</v>
      </c>
      <c r="R36" s="101" t="s">
        <v>158</v>
      </c>
      <c r="S36" s="118" t="s">
        <v>1</v>
      </c>
      <c r="T36" s="25"/>
      <c r="U36" s="174">
        <v>2022</v>
      </c>
      <c r="V36" s="175"/>
      <c r="W36" s="175"/>
      <c r="X36" s="175"/>
      <c r="Y36" s="175"/>
      <c r="Z36" s="101" t="s">
        <v>36</v>
      </c>
      <c r="AA36" s="101" t="s">
        <v>159</v>
      </c>
      <c r="AB36" s="101" t="s">
        <v>38</v>
      </c>
      <c r="AC36" s="101" t="s">
        <v>158</v>
      </c>
      <c r="AD36" s="118" t="s">
        <v>1</v>
      </c>
    </row>
    <row r="37" spans="3:30" x14ac:dyDescent="0.25">
      <c r="C37" s="176" t="s">
        <v>18</v>
      </c>
      <c r="H37" s="8">
        <f>SUM(H38:H39)</f>
        <v>0</v>
      </c>
      <c r="I37" s="8">
        <f>SUM(I38:I39)</f>
        <v>41.698329559999998</v>
      </c>
      <c r="J37" s="8">
        <f>SUM(J38:J39)</f>
        <v>1.5320549961999999</v>
      </c>
      <c r="K37" s="8">
        <f>SUM(K38:K39)</f>
        <v>0.37699789407489998</v>
      </c>
      <c r="L37" s="121">
        <f t="shared" ref="L37:L46" si="6">SUM(H37:K37)</f>
        <v>43.607382450274898</v>
      </c>
      <c r="M37" s="99"/>
      <c r="N37" s="179" t="s">
        <v>18</v>
      </c>
      <c r="O37" s="36">
        <f>'[1]Bilan 2022 réel'!$X$46/11.63</f>
        <v>0</v>
      </c>
      <c r="P37" s="35">
        <f>SUM('[1]Bilan 2022 réel'!$X$41:$X$43)/11.63</f>
        <v>43.395882986244146</v>
      </c>
      <c r="Q37" s="35">
        <f>'[1]Bilan 2022 réel'!$X$13/11.63</f>
        <v>0.93062751504729158</v>
      </c>
      <c r="R37" s="35">
        <f>('[1]Bilan 2022 réel'!$X$22+'[1]Bilan 2022 réel'!$X$30+SUM('[1]Bilan 2022 réel'!$X$36:$X$40)+SUM('[1]Bilan 2022 réel'!$X$44:$X$45)+'[1]Bilan 2022 réel'!$X$47)/11.63</f>
        <v>0.31885683576956142</v>
      </c>
      <c r="S37" s="171">
        <f>SUM(O37:R37)</f>
        <v>44.645367337060996</v>
      </c>
      <c r="T37" s="99"/>
      <c r="U37" s="176" t="s">
        <v>18</v>
      </c>
      <c r="Z37" s="8">
        <v>0</v>
      </c>
      <c r="AA37" s="8">
        <v>42.966688779999998</v>
      </c>
      <c r="AB37" s="8">
        <v>1.9854484355000002</v>
      </c>
      <c r="AC37" s="8">
        <v>0.44041368824390004</v>
      </c>
      <c r="AD37" s="121">
        <v>45.392550903743896</v>
      </c>
    </row>
    <row r="38" spans="3:30" x14ac:dyDescent="0.25">
      <c r="C38" s="177" t="s">
        <v>19</v>
      </c>
      <c r="D38" t="s">
        <v>580</v>
      </c>
      <c r="E38" t="s">
        <v>581</v>
      </c>
      <c r="F38" t="s">
        <v>582</v>
      </c>
      <c r="G38" t="s">
        <v>583</v>
      </c>
      <c r="H38" s="19">
        <f>VLOOKUP(D38,Résultats!$B$2:$AX$476,'T energie vecteurs'!K5,FALSE)</f>
        <v>0</v>
      </c>
      <c r="I38" s="19">
        <f>VLOOKUP(E38,Résultats!$B$2:$AX$476,'T energie vecteurs'!K5,FALSE)</f>
        <v>22.874597489999999</v>
      </c>
      <c r="J38" s="19">
        <f>VLOOKUP(F38,Résultats!$B$2:$AX$476,'T energie vecteurs'!K5,FALSE)</f>
        <v>0.16640856919999999</v>
      </c>
      <c r="K38" s="19">
        <f>VLOOKUP(G51,Résultats!$B$2:$AX$476,'T energie vecteurs'!K5,FALSE)</f>
        <v>1.8890474900000002E-5</v>
      </c>
      <c r="L38" s="120">
        <f t="shared" si="6"/>
        <v>23.041024949674902</v>
      </c>
      <c r="M38" s="19"/>
      <c r="N38" s="177" t="s">
        <v>19</v>
      </c>
      <c r="O38" s="172"/>
      <c r="P38" s="19"/>
      <c r="Q38" s="55"/>
      <c r="R38" s="19"/>
      <c r="S38" s="120"/>
      <c r="T38" s="19"/>
      <c r="U38" s="177" t="s">
        <v>19</v>
      </c>
      <c r="V38" t="s">
        <v>89</v>
      </c>
      <c r="W38" t="s">
        <v>90</v>
      </c>
      <c r="X38" t="s">
        <v>91</v>
      </c>
      <c r="Y38" t="s">
        <v>92</v>
      </c>
      <c r="Z38" s="19">
        <v>0</v>
      </c>
      <c r="AA38" s="19">
        <v>23.09105083</v>
      </c>
      <c r="AB38" s="19">
        <v>0.1608671015</v>
      </c>
      <c r="AC38" s="19">
        <v>1.1521843900000001E-5</v>
      </c>
      <c r="AD38" s="120">
        <v>23.251929453343898</v>
      </c>
    </row>
    <row r="39" spans="3:30" x14ac:dyDescent="0.25">
      <c r="C39" s="178" t="s">
        <v>20</v>
      </c>
      <c r="D39" t="s">
        <v>584</v>
      </c>
      <c r="E39" t="s">
        <v>585</v>
      </c>
      <c r="F39" t="s">
        <v>586</v>
      </c>
      <c r="G39" t="s">
        <v>587</v>
      </c>
      <c r="H39" s="19">
        <f>VLOOKUP(D39,Résultats!$B$2:$AX$476,'T energie vecteurs'!K5,FALSE)</f>
        <v>0</v>
      </c>
      <c r="I39" s="19">
        <f>VLOOKUP(E39,Résultats!$B$2:$AX$476,'T energie vecteurs'!K5,FALSE)</f>
        <v>18.823732069999998</v>
      </c>
      <c r="J39" s="19">
        <f>VLOOKUP(F39,Résultats!$B$2:$AX$476,'T energie vecteurs'!K5,FALSE)</f>
        <v>1.3656464269999999</v>
      </c>
      <c r="K39" s="19">
        <f>VLOOKUP(G39,Résultats!$B$2:$AX$476,'T energie vecteurs'!K5,FALSE)</f>
        <v>0.37697900359999997</v>
      </c>
      <c r="L39" s="120">
        <f t="shared" si="6"/>
        <v>20.566357500599999</v>
      </c>
      <c r="M39" s="19"/>
      <c r="N39" s="178" t="s">
        <v>20</v>
      </c>
      <c r="O39" s="172"/>
      <c r="P39" s="19"/>
      <c r="Q39" s="55"/>
      <c r="R39" s="19"/>
      <c r="S39" s="120"/>
      <c r="T39" s="19"/>
      <c r="U39" s="178" t="s">
        <v>20</v>
      </c>
      <c r="V39" t="s">
        <v>93</v>
      </c>
      <c r="W39" t="s">
        <v>94</v>
      </c>
      <c r="X39" t="s">
        <v>95</v>
      </c>
      <c r="Y39" t="s">
        <v>96</v>
      </c>
      <c r="Z39" s="19">
        <v>0</v>
      </c>
      <c r="AA39" s="19">
        <v>19.875637950000002</v>
      </c>
      <c r="AB39" s="19">
        <v>1.8245813340000001</v>
      </c>
      <c r="AC39" s="19">
        <v>0.44040216640000002</v>
      </c>
      <c r="AD39" s="120">
        <v>22.140621450400001</v>
      </c>
    </row>
    <row r="40" spans="3:30" x14ac:dyDescent="0.25">
      <c r="C40" s="176" t="s">
        <v>21</v>
      </c>
      <c r="D40" t="s">
        <v>588</v>
      </c>
      <c r="E40" t="s">
        <v>589</v>
      </c>
      <c r="F40" t="s">
        <v>590</v>
      </c>
      <c r="G40" t="s">
        <v>591</v>
      </c>
      <c r="H40" s="8">
        <f>VLOOKUP(D40,Résultats!$B$2:$AX$476,'T energie vecteurs'!K5,FALSE)</f>
        <v>0.2337033168</v>
      </c>
      <c r="I40" s="8">
        <f>VLOOKUP(E40,Résultats!$B$2:$AX$476,'T energie vecteurs'!K5,FALSE)</f>
        <v>5.4348574860000003</v>
      </c>
      <c r="J40" s="8">
        <f>VLOOKUP(F40,Résultats!$B$2:$AX$476,'T energie vecteurs'!K5,FALSE)</f>
        <v>14.39713821</v>
      </c>
      <c r="K40" s="8">
        <f>VLOOKUP(G40,Résultats!$B$2:$AX$476,'T energie vecteurs'!K5,FALSE)+8</f>
        <v>22.552155849999998</v>
      </c>
      <c r="L40" s="121">
        <f t="shared" si="6"/>
        <v>42.617854862800002</v>
      </c>
      <c r="M40" s="99"/>
      <c r="N40" s="179" t="s">
        <v>21</v>
      </c>
      <c r="O40" s="36">
        <f>'[1]Bilan 2022 réel'!$V$46/11.63</f>
        <v>2.6476317000000003E-2</v>
      </c>
      <c r="P40" s="35">
        <f>SUM('[1]Bilan 2022 réel'!$V$41:$V$43)/11.63</f>
        <v>3.5006052343</v>
      </c>
      <c r="Q40" s="35">
        <f>'[1]Bilan 2022 réel'!$V$13/11.63</f>
        <v>13.359407222699915</v>
      </c>
      <c r="R40" s="35">
        <f>('[1]Bilan 2022 réel'!$V$22+'[1]Bilan 2022 réel'!$V$30+SUM('[1]Bilan 2022 réel'!$V$36:$V$40)+SUM('[1]Bilan 2022 réel'!$V$44:$V$45)+'[1]Bilan 2022 réel'!$V$47)/11.63</f>
        <v>20.358936597126686</v>
      </c>
      <c r="S40" s="171">
        <f t="shared" ref="S40:S46" si="7">SUM(O40:R40)</f>
        <v>37.245425371126601</v>
      </c>
      <c r="T40" s="99"/>
      <c r="U40" s="176" t="s">
        <v>21</v>
      </c>
      <c r="V40" t="s">
        <v>97</v>
      </c>
      <c r="W40" t="s">
        <v>98</v>
      </c>
      <c r="X40" t="s">
        <v>99</v>
      </c>
      <c r="Y40" t="s">
        <v>100</v>
      </c>
      <c r="Z40" s="263">
        <v>0.24246651059999999</v>
      </c>
      <c r="AA40" s="263">
        <v>5.559916952</v>
      </c>
      <c r="AB40" s="263">
        <v>15.062817750000001</v>
      </c>
      <c r="AC40" s="263">
        <v>21.52460911</v>
      </c>
      <c r="AD40" s="264">
        <v>42.389810322599999</v>
      </c>
    </row>
    <row r="41" spans="3:30" x14ac:dyDescent="0.25">
      <c r="C41" s="176" t="s">
        <v>22</v>
      </c>
      <c r="D41" t="s">
        <v>592</v>
      </c>
      <c r="E41" t="s">
        <v>593</v>
      </c>
      <c r="F41" t="s">
        <v>594</v>
      </c>
      <c r="G41" t="s">
        <v>595</v>
      </c>
      <c r="H41" s="8">
        <f>VLOOKUP(D41,Résultats!$B$2:$AX$476,'T energie vecteurs'!K5,FALSE)</f>
        <v>0</v>
      </c>
      <c r="I41" s="8">
        <f>VLOOKUP(E41,Résultats!$B$2:$AX$476,'T energie vecteurs'!K5,FALSE)</f>
        <v>3.0128963639999999</v>
      </c>
      <c r="J41" s="8">
        <f>VLOOKUP(F41,Résultats!$B$2:$AX$476,'T energie vecteurs'!K5,FALSE)</f>
        <v>12.766863130000001</v>
      </c>
      <c r="K41" s="8">
        <f>VLOOKUP(G41,Résultats!$B$2:$AX$476,'T energie vecteurs'!K5,FALSE)</f>
        <v>9.2311978989999997</v>
      </c>
      <c r="L41" s="121">
        <f t="shared" si="6"/>
        <v>25.010957392999998</v>
      </c>
      <c r="M41" s="99"/>
      <c r="N41" s="179" t="s">
        <v>22</v>
      </c>
      <c r="O41" s="36">
        <f>('[1]Bilan 2022 réel'!$W$46)/11.63</f>
        <v>3.2835727999999995E-2</v>
      </c>
      <c r="P41" s="35">
        <f>SUM('[1]Bilan 2022 réel'!$W$41:$W$43)/11.63</f>
        <v>2.0815720291000002</v>
      </c>
      <c r="Q41" s="35">
        <f>('[1]Bilan 2022 réel'!$W$13)/11.63</f>
        <v>11.4388796216681</v>
      </c>
      <c r="R41" s="35">
        <f>('[1]Bilan 2022 réel'!$W$22+'[1]Bilan 2022 réel'!$W$30+SUM('[1]Bilan 2022 réel'!$W$36:$W$40)+SUM('[1]Bilan 2022 réel'!$W$44:$W$45)+'[1]Bilan 2022 réel'!$W$47)/11.63</f>
        <v>7.4016622456291197</v>
      </c>
      <c r="S41" s="171">
        <f t="shared" si="7"/>
        <v>20.954949624397219</v>
      </c>
      <c r="T41" s="99"/>
      <c r="U41" s="176" t="s">
        <v>22</v>
      </c>
      <c r="V41" t="s">
        <v>101</v>
      </c>
      <c r="W41" t="s">
        <v>102</v>
      </c>
      <c r="X41" t="s">
        <v>103</v>
      </c>
      <c r="Y41" t="s">
        <v>104</v>
      </c>
      <c r="Z41" s="8">
        <v>0</v>
      </c>
      <c r="AA41" s="8">
        <v>2.6093376460000002</v>
      </c>
      <c r="AB41" s="8">
        <v>12.11176948</v>
      </c>
      <c r="AC41" s="8">
        <v>7.4488841529999998</v>
      </c>
      <c r="AD41" s="121">
        <v>22.169991279000001</v>
      </c>
    </row>
    <row r="42" spans="3:30" x14ac:dyDescent="0.25">
      <c r="C42" s="176" t="s">
        <v>23</v>
      </c>
      <c r="H42" s="8">
        <f>SUM(H43:H45)</f>
        <v>2.6237860075000001</v>
      </c>
      <c r="I42" s="8">
        <f>SUM(I43:I45)</f>
        <v>12.880619349999989</v>
      </c>
      <c r="J42" s="8">
        <f>SUM(J43:J45)</f>
        <v>9.6981682310000004</v>
      </c>
      <c r="K42" s="8">
        <f>SUM(K43:K45)</f>
        <v>16.0413932817</v>
      </c>
      <c r="L42" s="121">
        <f t="shared" si="6"/>
        <v>41.243966870199984</v>
      </c>
      <c r="M42" s="99"/>
      <c r="N42" s="179" t="s">
        <v>280</v>
      </c>
      <c r="O42" s="36">
        <f>O43+O44</f>
        <v>4.5030917883254036</v>
      </c>
      <c r="P42" s="35">
        <f t="shared" ref="P42:R42" si="8">P43+P44</f>
        <v>11.747675010745624</v>
      </c>
      <c r="Q42" s="35">
        <f t="shared" si="8"/>
        <v>9.2559822012037838</v>
      </c>
      <c r="R42" s="35">
        <f t="shared" si="8"/>
        <v>13.798624448265977</v>
      </c>
      <c r="S42" s="171">
        <f t="shared" si="7"/>
        <v>39.305373448540784</v>
      </c>
      <c r="T42" s="99"/>
      <c r="U42" s="176" t="s">
        <v>23</v>
      </c>
      <c r="Z42" s="8">
        <v>3.0042872987</v>
      </c>
      <c r="AA42" s="8">
        <v>15.48110514</v>
      </c>
      <c r="AB42" s="8">
        <v>9.8959557320000009</v>
      </c>
      <c r="AC42" s="8">
        <v>14.553168923499999</v>
      </c>
      <c r="AD42" s="121">
        <v>42.934517094200004</v>
      </c>
    </row>
    <row r="43" spans="3:30" x14ac:dyDescent="0.25">
      <c r="C43" s="178" t="s">
        <v>24</v>
      </c>
      <c r="D43" t="s">
        <v>596</v>
      </c>
      <c r="E43" t="s">
        <v>597</v>
      </c>
      <c r="F43" t="s">
        <v>598</v>
      </c>
      <c r="G43" t="s">
        <v>599</v>
      </c>
      <c r="H43" s="19">
        <f>VLOOKUP(D43,Résultats!$B$2:$AX$476,'T energie vecteurs'!K5,FALSE)</f>
        <v>1.7281495170000001</v>
      </c>
      <c r="I43" s="19">
        <f>VLOOKUP(E43,Résultats!$B$2:$AX$476,'T energie vecteurs'!K5,FALSE)</f>
        <v>8.5539416989999904</v>
      </c>
      <c r="J43" s="19">
        <f>VLOOKUP(F43,Résultats!$B$2:$AX$476,'T energie vecteurs'!K5,FALSE)</f>
        <v>9.3749915270000006</v>
      </c>
      <c r="K43" s="19">
        <f>VLOOKUP(G43,Résultats!$B$2:$AX$476,'T energie vecteurs'!K5,FALSE)</f>
        <v>13.50532789</v>
      </c>
      <c r="L43" s="120">
        <f t="shared" si="6"/>
        <v>33.162410632999993</v>
      </c>
      <c r="M43" s="19"/>
      <c r="N43" s="178" t="s">
        <v>281</v>
      </c>
      <c r="O43" s="172">
        <f>'[1]Bilan 2022 réel'!$U$46/11.63</f>
        <v>0.63402045200000001</v>
      </c>
      <c r="P43" s="37">
        <f>SUM('[1]Bilan 2022 réel'!$U$41:$U$43)/11.63</f>
        <v>2.4775829957456241</v>
      </c>
      <c r="Q43" s="37">
        <f>'[1]Bilan 2022 réel'!$U$13/11.63</f>
        <v>9.2559822012037838</v>
      </c>
      <c r="R43" s="37">
        <f>('[1]Bilan 2022 réel'!$U$22+'[1]Bilan 2022 réel'!$U$30+SUM('[1]Bilan 2022 réel'!$U$36:$U$40)+SUM('[1]Bilan 2022 réel'!$U$44:$U$45)+'[1]Bilan 2022 réel'!$U$47)/11.63</f>
        <v>12.926272664087129</v>
      </c>
      <c r="S43" s="120">
        <f t="shared" si="7"/>
        <v>25.293858313036537</v>
      </c>
      <c r="T43" s="19"/>
      <c r="U43" s="178" t="s">
        <v>24</v>
      </c>
      <c r="V43" t="s">
        <v>105</v>
      </c>
      <c r="W43" t="s">
        <v>106</v>
      </c>
      <c r="X43" t="s">
        <v>107</v>
      </c>
      <c r="Y43" t="s">
        <v>108</v>
      </c>
      <c r="Z43" s="19">
        <v>2.1281616240000001</v>
      </c>
      <c r="AA43" s="19">
        <v>11.01290726</v>
      </c>
      <c r="AB43" s="19">
        <v>9.5584665710000003</v>
      </c>
      <c r="AC43" s="19">
        <v>12.08815914</v>
      </c>
      <c r="AD43" s="120">
        <v>34.787694595000005</v>
      </c>
    </row>
    <row r="44" spans="3:30" x14ac:dyDescent="0.25">
      <c r="C44" s="178" t="s">
        <v>153</v>
      </c>
      <c r="D44" t="s">
        <v>600</v>
      </c>
      <c r="E44" t="s">
        <v>601</v>
      </c>
      <c r="F44" t="s">
        <v>602</v>
      </c>
      <c r="G44" t="s">
        <v>603</v>
      </c>
      <c r="H44" s="19">
        <f>VLOOKUP(D44,Résultats!$B$2:$AX$476,'T energie vecteurs'!K5,FALSE)</f>
        <v>0.89563649050000005</v>
      </c>
      <c r="I44" s="19">
        <f>VLOOKUP(E44,Résultats!$B$2:$AX$476,'T energie vecteurs'!K5,FALSE)</f>
        <v>1.904584659</v>
      </c>
      <c r="J44" s="19">
        <f>VLOOKUP(F44,Résultats!$B$2:$AX$476,'T energie vecteurs'!K5,FALSE)</f>
        <v>0</v>
      </c>
      <c r="K44" s="19">
        <f>VLOOKUP(G44,Résultats!$B$2:$AX$476,'T energie vecteurs'!K5,FALSE)</f>
        <v>2.15011105</v>
      </c>
      <c r="L44" s="120">
        <f t="shared" si="6"/>
        <v>4.9503321995</v>
      </c>
      <c r="M44" s="19"/>
      <c r="N44" s="178" t="s">
        <v>153</v>
      </c>
      <c r="O44" s="28">
        <f>'[1]Bilan 2022 réel'!$E$52/11.63</f>
        <v>3.8690713363254039</v>
      </c>
      <c r="P44" s="19">
        <f>('[1]Bilan 2022 réel'!$E$54+'[1]Bilan 2022 réel'!$E$56)/11.63</f>
        <v>9.2700920149999995</v>
      </c>
      <c r="Q44" s="19">
        <v>0</v>
      </c>
      <c r="R44" s="19">
        <f>('[1]Bilan 2022 réel'!$E$53+'[1]Bilan 2022 réel'!$E$55+'[1]Bilan 2022 réel'!$E$57)/11.63</f>
        <v>0.87235178417884784</v>
      </c>
      <c r="S44" s="120">
        <f t="shared" si="7"/>
        <v>14.011515135504252</v>
      </c>
      <c r="T44" s="19"/>
      <c r="U44" s="178" t="s">
        <v>153</v>
      </c>
      <c r="V44" t="s">
        <v>154</v>
      </c>
      <c r="W44" t="s">
        <v>155</v>
      </c>
      <c r="X44" t="s">
        <v>156</v>
      </c>
      <c r="Y44" t="s">
        <v>157</v>
      </c>
      <c r="Z44" s="19">
        <v>0.87612567470000002</v>
      </c>
      <c r="AA44" s="19">
        <v>2.034113396</v>
      </c>
      <c r="AB44" s="19">
        <v>0</v>
      </c>
      <c r="AC44" s="19">
        <v>2.1331636500000002</v>
      </c>
      <c r="AD44" s="120">
        <v>5.0434027206999996</v>
      </c>
    </row>
    <row r="45" spans="3:30" x14ac:dyDescent="0.25">
      <c r="C45" s="178" t="s">
        <v>25</v>
      </c>
      <c r="D45" t="s">
        <v>604</v>
      </c>
      <c r="E45" t="s">
        <v>605</v>
      </c>
      <c r="F45" t="s">
        <v>606</v>
      </c>
      <c r="G45" t="s">
        <v>607</v>
      </c>
      <c r="H45" s="19">
        <f>VLOOKUP(D45,Résultats!$B$2:$AX$476,'T energie vecteurs'!K5,FALSE)</f>
        <v>0</v>
      </c>
      <c r="I45" s="19">
        <f>VLOOKUP(E45,Résultats!$B$2:$AX$476,'T energie vecteurs'!K5,FALSE)</f>
        <v>2.4220929920000001</v>
      </c>
      <c r="J45" s="19">
        <f>VLOOKUP(F45,Résultats!$B$2:$AX$476,'T energie vecteurs'!K5,FALSE)</f>
        <v>0.32317670399999998</v>
      </c>
      <c r="K45" s="19">
        <f>VLOOKUP(G45,Résultats!$B$2:$AX$476,'T energie vecteurs'!K5,FALSE)</f>
        <v>0.38595434169999998</v>
      </c>
      <c r="L45" s="120">
        <f t="shared" si="6"/>
        <v>3.1312240377</v>
      </c>
      <c r="M45" s="19"/>
      <c r="N45" s="179" t="s">
        <v>25</v>
      </c>
      <c r="O45" s="36">
        <f>'[1]Bilan 2022 réel'!$T$46/11.63</f>
        <v>1.651664E-3</v>
      </c>
      <c r="P45" s="35">
        <f>SUM('[1]Bilan 2022 réel'!$T$41:$T$43)/11.63</f>
        <v>3.5697769387513203</v>
      </c>
      <c r="Q45" s="35">
        <f>'[1]Bilan 2022 réel'!$T$13/11.63</f>
        <v>0.67291487532244199</v>
      </c>
      <c r="R45" s="35">
        <f>('[1]Bilan 2022 réel'!$T$22+'[1]Bilan 2022 réel'!$T$30+SUM('[1]Bilan 2022 réel'!$T$36:$T$40)+SUM('[1]Bilan 2022 réel'!$T$44:$T$45)+'[1]Bilan 2022 réel'!$T$47)/11.63</f>
        <v>0.43996563007547523</v>
      </c>
      <c r="S45" s="171">
        <f t="shared" si="7"/>
        <v>4.6843091081492378</v>
      </c>
      <c r="T45" s="19"/>
      <c r="U45" s="178" t="s">
        <v>25</v>
      </c>
      <c r="V45" t="s">
        <v>109</v>
      </c>
      <c r="W45" t="s">
        <v>110</v>
      </c>
      <c r="X45" t="s">
        <v>111</v>
      </c>
      <c r="Y45" t="s">
        <v>112</v>
      </c>
      <c r="Z45" s="19">
        <v>0</v>
      </c>
      <c r="AA45" s="19">
        <v>2.434084484</v>
      </c>
      <c r="AB45" s="19">
        <v>0.33748916099999998</v>
      </c>
      <c r="AC45" s="19">
        <v>0.33184613349999997</v>
      </c>
      <c r="AD45" s="120">
        <v>3.1034197785000002</v>
      </c>
    </row>
    <row r="46" spans="3:30" x14ac:dyDescent="0.25">
      <c r="C46" s="29" t="s">
        <v>26</v>
      </c>
      <c r="D46" s="10"/>
      <c r="E46" s="10"/>
      <c r="F46" s="10"/>
      <c r="G46" s="10"/>
      <c r="H46" s="9">
        <f>SUM(H37,H40:H42)</f>
        <v>2.8574893243000004</v>
      </c>
      <c r="I46" s="9">
        <f>SUM(I37,I40:I42)</f>
        <v>63.026702759999985</v>
      </c>
      <c r="J46" s="9">
        <f>SUM(J37,J40:J42)</f>
        <v>38.394224567199998</v>
      </c>
      <c r="K46" s="9">
        <f>SUM(K37,K40:K42)</f>
        <v>48.2017449247749</v>
      </c>
      <c r="L46" s="123">
        <f t="shared" si="6"/>
        <v>152.4801615762749</v>
      </c>
      <c r="M46" s="105"/>
      <c r="N46" s="180" t="s">
        <v>26</v>
      </c>
      <c r="O46" s="40">
        <f>O37+O40+O41+O42+O45</f>
        <v>4.5640554973254037</v>
      </c>
      <c r="P46" s="38">
        <f>P37+P40+P41+P42+P45</f>
        <v>64.295512199141086</v>
      </c>
      <c r="Q46" s="38">
        <f>Q37+Q40+Q41+Q42+Q45</f>
        <v>35.657811435941532</v>
      </c>
      <c r="R46" s="38">
        <f>R37+R40+R41+R42+R45</f>
        <v>42.318045756866823</v>
      </c>
      <c r="S46" s="173">
        <f t="shared" si="7"/>
        <v>146.83542488927486</v>
      </c>
      <c r="T46" s="105"/>
      <c r="U46" s="29" t="s">
        <v>26</v>
      </c>
      <c r="V46" s="10"/>
      <c r="W46" s="10"/>
      <c r="X46" s="10"/>
      <c r="Y46" s="10"/>
      <c r="Z46" s="9">
        <v>3.2467538092999999</v>
      </c>
      <c r="AA46" s="9">
        <v>66.617048518000004</v>
      </c>
      <c r="AB46" s="9">
        <v>39.055991397500001</v>
      </c>
      <c r="AC46" s="9">
        <v>43.967075874743898</v>
      </c>
      <c r="AD46" s="123">
        <v>152.8868695995439</v>
      </c>
    </row>
    <row r="47" spans="3:30" s="3" customFormat="1" x14ac:dyDescent="0.25">
      <c r="H47" s="69"/>
      <c r="I47" s="69"/>
      <c r="J47" s="69"/>
      <c r="K47" s="69"/>
      <c r="L47" s="69"/>
      <c r="M47" s="69"/>
      <c r="N47" s="69"/>
      <c r="O47" s="103"/>
      <c r="P47" s="103"/>
      <c r="Q47" s="103"/>
      <c r="R47" s="104"/>
      <c r="S47" s="69"/>
      <c r="T47" s="69"/>
      <c r="Z47" s="69"/>
      <c r="AA47" s="69"/>
      <c r="AB47" s="69"/>
      <c r="AC47" s="69"/>
      <c r="AD47" s="69"/>
    </row>
    <row r="48" spans="3:30" s="3" customFormat="1" x14ac:dyDescent="0.25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Z48" s="69"/>
      <c r="AA48" s="69"/>
      <c r="AB48" s="69"/>
      <c r="AC48" s="69"/>
      <c r="AD48" s="69"/>
    </row>
    <row r="49" spans="2:30" ht="31.5" x14ac:dyDescent="0.35">
      <c r="C49" s="174">
        <v>2023</v>
      </c>
      <c r="D49" s="175"/>
      <c r="E49" s="175"/>
      <c r="F49" s="175"/>
      <c r="G49" s="175"/>
      <c r="H49" s="101" t="s">
        <v>36</v>
      </c>
      <c r="I49" s="101" t="s">
        <v>159</v>
      </c>
      <c r="J49" s="101" t="s">
        <v>38</v>
      </c>
      <c r="K49" s="101" t="s">
        <v>158</v>
      </c>
      <c r="L49" s="118" t="s">
        <v>1</v>
      </c>
      <c r="M49" s="25"/>
      <c r="N49" s="174">
        <v>2023</v>
      </c>
      <c r="O49" s="170" t="s">
        <v>36</v>
      </c>
      <c r="P49" s="101" t="s">
        <v>159</v>
      </c>
      <c r="Q49" s="101" t="s">
        <v>38</v>
      </c>
      <c r="R49" s="101" t="s">
        <v>158</v>
      </c>
      <c r="S49" s="118" t="s">
        <v>1</v>
      </c>
      <c r="T49" s="25"/>
      <c r="U49" s="174">
        <v>2023</v>
      </c>
      <c r="V49" s="175"/>
      <c r="W49" s="175"/>
      <c r="X49" s="175"/>
      <c r="Y49" s="175"/>
      <c r="Z49" s="101" t="s">
        <v>36</v>
      </c>
      <c r="AA49" s="101" t="s">
        <v>159</v>
      </c>
      <c r="AB49" s="101" t="s">
        <v>38</v>
      </c>
      <c r="AC49" s="101" t="s">
        <v>158</v>
      </c>
      <c r="AD49" s="118" t="s">
        <v>1</v>
      </c>
    </row>
    <row r="50" spans="2:30" x14ac:dyDescent="0.25">
      <c r="C50" s="176" t="s">
        <v>18</v>
      </c>
      <c r="H50" s="8">
        <f>SUM(H51:H52)</f>
        <v>0</v>
      </c>
      <c r="I50" s="8">
        <f>SUM(I51:I52)</f>
        <v>41.387672549999998</v>
      </c>
      <c r="J50" s="8">
        <f>SUM(J51:J52)</f>
        <v>1.6018215463000001</v>
      </c>
      <c r="K50" s="8">
        <f>SUM(K51:K52)</f>
        <v>0.4199249289502</v>
      </c>
      <c r="L50" s="121">
        <f>SUM(H50:K50)</f>
        <v>43.409419025250202</v>
      </c>
      <c r="M50" s="99"/>
      <c r="N50" s="179" t="s">
        <v>18</v>
      </c>
      <c r="O50" s="36">
        <f>'[1]Bilan 2023 réel'!$X$46/11.63</f>
        <v>0</v>
      </c>
      <c r="P50" s="35">
        <f>SUM('[1]Bilan 2023 réel'!$X$41:$X$43)/11.63</f>
        <v>42.139633010859157</v>
      </c>
      <c r="Q50" s="35">
        <f>'[1]Bilan 2023 réel'!$X$13/11.63</f>
        <v>0.9065512467755803</v>
      </c>
      <c r="R50" s="35">
        <f>('[1]Bilan 2023 réel'!$X$22+'[1]Bilan 2023 réel'!$X$30+SUM('[1]Bilan 2023 réel'!$X$36:$X$40)+SUM('[1]Bilan 2023 réel'!$X$44:$X$45)+'[1]Bilan 2023 réel'!$X$47)/11.63</f>
        <v>0.31885683576956142</v>
      </c>
      <c r="S50" s="171">
        <f>SUM(O50:R50)</f>
        <v>43.365041093404294</v>
      </c>
      <c r="T50" s="245"/>
      <c r="U50" s="176" t="s">
        <v>18</v>
      </c>
      <c r="Z50" s="8">
        <v>0</v>
      </c>
      <c r="AA50" s="8">
        <v>42.795846499999996</v>
      </c>
      <c r="AB50" s="8">
        <v>2.0406269565000001</v>
      </c>
      <c r="AC50" s="8">
        <v>0.48883759963529999</v>
      </c>
      <c r="AD50" s="121">
        <v>45.325311056135298</v>
      </c>
    </row>
    <row r="51" spans="2:30" x14ac:dyDescent="0.25">
      <c r="C51" s="177" t="s">
        <v>19</v>
      </c>
      <c r="D51" t="s">
        <v>580</v>
      </c>
      <c r="E51" t="s">
        <v>581</v>
      </c>
      <c r="F51" t="s">
        <v>582</v>
      </c>
      <c r="G51" t="s">
        <v>583</v>
      </c>
      <c r="H51" s="19">
        <f>VLOOKUP(D51,Résultats!$B$2:$AX$476,'T energie vecteurs'!L5,FALSE)</f>
        <v>0</v>
      </c>
      <c r="I51" s="19">
        <f>VLOOKUP(E51,Résultats!$B$2:$AX$476,'T energie vecteurs'!L5,FALSE)</f>
        <v>22.329851189999999</v>
      </c>
      <c r="J51" s="19">
        <f>VLOOKUP(F51,Résultats!$B$2:$AX$476,'T energie vecteurs'!L5,FALSE)</f>
        <v>0.20584369229999999</v>
      </c>
      <c r="K51" s="19">
        <f>VLOOKUP(G51,Résultats!$B$2:$AX$476,'T energie vecteurs'!L5,FALSE)</f>
        <v>2.0967450199999998E-5</v>
      </c>
      <c r="L51" s="120">
        <f t="shared" ref="L51:L52" si="9">SUM(H51:K51)</f>
        <v>22.535715849750201</v>
      </c>
      <c r="M51" s="19"/>
      <c r="N51" s="177" t="s">
        <v>19</v>
      </c>
      <c r="O51" s="172"/>
      <c r="P51" s="19"/>
      <c r="Q51" s="55"/>
      <c r="R51" s="19"/>
      <c r="S51" s="120"/>
      <c r="T51" s="245"/>
      <c r="U51" s="177" t="s">
        <v>19</v>
      </c>
      <c r="V51" t="s">
        <v>89</v>
      </c>
      <c r="W51" t="s">
        <v>90</v>
      </c>
      <c r="X51" t="s">
        <v>91</v>
      </c>
      <c r="Y51" t="s">
        <v>92</v>
      </c>
      <c r="Z51" s="19">
        <v>0</v>
      </c>
      <c r="AA51" s="19">
        <v>22.561407509999999</v>
      </c>
      <c r="AB51" s="19">
        <v>0.1998115415</v>
      </c>
      <c r="AC51" s="19">
        <v>1.32188353E-5</v>
      </c>
      <c r="AD51" s="120">
        <v>22.761232270335299</v>
      </c>
    </row>
    <row r="52" spans="2:30" x14ac:dyDescent="0.25">
      <c r="C52" s="178" t="s">
        <v>20</v>
      </c>
      <c r="D52" t="s">
        <v>584</v>
      </c>
      <c r="E52" t="s">
        <v>585</v>
      </c>
      <c r="F52" t="s">
        <v>586</v>
      </c>
      <c r="G52" t="s">
        <v>587</v>
      </c>
      <c r="H52" s="19">
        <f>VLOOKUP(D52,Résultats!$B$2:$AX$476,'T energie vecteurs'!L5,FALSE)</f>
        <v>0</v>
      </c>
      <c r="I52" s="19">
        <f>VLOOKUP(E52,Résultats!$B$2:$AX$476,'T energie vecteurs'!L5,FALSE)</f>
        <v>19.057821359999998</v>
      </c>
      <c r="J52" s="19">
        <f>VLOOKUP(F52,Résultats!$B$2:$AX$476,'T energie vecteurs'!L5,FALSE)</f>
        <v>1.3959778540000001</v>
      </c>
      <c r="K52" s="19">
        <f>VLOOKUP(G52,Résultats!$B$2:$AX$476,'T energie vecteurs'!L5,FALSE)</f>
        <v>0.41990396149999998</v>
      </c>
      <c r="L52" s="120">
        <f t="shared" si="9"/>
        <v>20.873703175500001</v>
      </c>
      <c r="M52" s="19"/>
      <c r="N52" s="178" t="s">
        <v>20</v>
      </c>
      <c r="O52" s="172"/>
      <c r="P52" s="19"/>
      <c r="Q52" s="55"/>
      <c r="R52" s="19"/>
      <c r="S52" s="120"/>
      <c r="T52" s="245"/>
      <c r="U52" s="178" t="s">
        <v>20</v>
      </c>
      <c r="V52" t="s">
        <v>93</v>
      </c>
      <c r="W52" t="s">
        <v>94</v>
      </c>
      <c r="X52" t="s">
        <v>95</v>
      </c>
      <c r="Y52" t="s">
        <v>96</v>
      </c>
      <c r="Z52" s="19">
        <v>0</v>
      </c>
      <c r="AA52" s="19">
        <v>20.234438990000001</v>
      </c>
      <c r="AB52" s="19">
        <v>1.840815415</v>
      </c>
      <c r="AC52" s="19">
        <v>0.48882438080000001</v>
      </c>
      <c r="AD52" s="120">
        <v>22.564078785800003</v>
      </c>
    </row>
    <row r="53" spans="2:30" x14ac:dyDescent="0.25">
      <c r="C53" s="176" t="s">
        <v>21</v>
      </c>
      <c r="D53" t="s">
        <v>588</v>
      </c>
      <c r="E53" t="s">
        <v>589</v>
      </c>
      <c r="F53" t="s">
        <v>590</v>
      </c>
      <c r="G53" t="s">
        <v>591</v>
      </c>
      <c r="H53" s="8">
        <f>VLOOKUP(D53,Résultats!$B$2:$AX$476,'T energie vecteurs'!L5,FALSE)</f>
        <v>0.22364227049999999</v>
      </c>
      <c r="I53" s="8">
        <f>VLOOKUP(E53,Résultats!$B$2:$AX$476,'T energie vecteurs'!L5,FALSE)</f>
        <v>5.2193346939999996</v>
      </c>
      <c r="J53" s="8">
        <f>VLOOKUP(F53,Résultats!$B$2:$AX$476,'T energie vecteurs'!L5,FALSE)</f>
        <v>14.4853191</v>
      </c>
      <c r="K53" s="8">
        <f>VLOOKUP(G53,Résultats!$B$2:$AX$476,'T energie vecteurs'!L5,FALSE)+8</f>
        <v>22.206951199999999</v>
      </c>
      <c r="L53" s="121">
        <f>SUM(H53:K53)</f>
        <v>42.135247264499995</v>
      </c>
      <c r="M53" s="99"/>
      <c r="N53" s="179" t="s">
        <v>21</v>
      </c>
      <c r="O53" s="36">
        <f>'[1]Bilan 2023 réel'!$V$46/11.63</f>
        <v>1.9785054E-2</v>
      </c>
      <c r="P53" s="35">
        <f>SUM('[1]Bilan 2023 réel'!$V$41:$V$43)/11.63</f>
        <v>3.0423469738</v>
      </c>
      <c r="Q53" s="35">
        <f>'[1]Bilan 2023 réel'!$V$13/11.63</f>
        <v>13.020267239896821</v>
      </c>
      <c r="R53" s="35">
        <f>('[1]Bilan 2023 réel'!$V$22+'[1]Bilan 2023 réel'!$V$30+SUM('[1]Bilan 2023 réel'!$V$36:$V$40)+SUM('[1]Bilan 2023 réel'!$V$44:$V$45)+'[1]Bilan 2023 réel'!$V$47)/11.63</f>
        <v>20.330842243575045</v>
      </c>
      <c r="S53" s="171">
        <f t="shared" ref="S53:S59" si="10">SUM(O53:R53)</f>
        <v>36.413241511271863</v>
      </c>
      <c r="T53" s="245"/>
      <c r="U53" s="176" t="s">
        <v>21</v>
      </c>
      <c r="V53" t="s">
        <v>97</v>
      </c>
      <c r="W53" t="s">
        <v>98</v>
      </c>
      <c r="X53" t="s">
        <v>99</v>
      </c>
      <c r="Y53" t="s">
        <v>100</v>
      </c>
      <c r="Z53" s="263">
        <v>0.23206824070000001</v>
      </c>
      <c r="AA53" s="263">
        <v>5.4374454109999997</v>
      </c>
      <c r="AB53" s="263">
        <v>15.022933159999999</v>
      </c>
      <c r="AC53" s="263">
        <v>21.18374021</v>
      </c>
      <c r="AD53" s="264">
        <v>41.876187021699998</v>
      </c>
    </row>
    <row r="54" spans="2:30" x14ac:dyDescent="0.25">
      <c r="C54" s="176" t="s">
        <v>22</v>
      </c>
      <c r="D54" t="s">
        <v>592</v>
      </c>
      <c r="E54" t="s">
        <v>593</v>
      </c>
      <c r="F54" t="s">
        <v>594</v>
      </c>
      <c r="G54" t="s">
        <v>595</v>
      </c>
      <c r="H54" s="8">
        <f>VLOOKUP(D54,Résultats!$B$2:$AX$476,'T energie vecteurs'!L5,FALSE)</f>
        <v>0</v>
      </c>
      <c r="I54" s="8">
        <f>VLOOKUP(E54,Résultats!$B$2:$AX$476,'T energie vecteurs'!L5,FALSE)</f>
        <v>3.014477657</v>
      </c>
      <c r="J54" s="8">
        <f>VLOOKUP(F54,Résultats!$B$2:$AX$476,'T energie vecteurs'!L5,FALSE)</f>
        <v>12.803144919999999</v>
      </c>
      <c r="K54" s="8">
        <f>VLOOKUP(G54,Résultats!$B$2:$AX$476,'T energie vecteurs'!L5,FALSE)</f>
        <v>9.1813714649999998</v>
      </c>
      <c r="L54" s="121">
        <f t="shared" ref="L54:L56" si="11">SUM(H54:K54)</f>
        <v>24.998994042</v>
      </c>
      <c r="M54" s="99"/>
      <c r="N54" s="179" t="s">
        <v>22</v>
      </c>
      <c r="O54" s="36">
        <f>('[1]Bilan 2023 réel'!$W$46)/11.63</f>
        <v>2.9470376E-2</v>
      </c>
      <c r="P54" s="35">
        <f>SUM('[1]Bilan 2023 réel'!$W$41:$W$43)/11.63</f>
        <v>2.063881609425366</v>
      </c>
      <c r="Q54" s="35">
        <f>('[1]Bilan 2023 réel'!$W$13)/11.63</f>
        <v>11.200373602751505</v>
      </c>
      <c r="R54" s="35">
        <f>('[1]Bilan 2023 réel'!$W$22+'[1]Bilan 2023 réel'!$W$30+SUM('[1]Bilan 2023 réel'!$W$36:$W$40)+SUM('[1]Bilan 2023 réel'!$W$44:$W$45)+'[1]Bilan 2023 réel'!$W$47)/11.63</f>
        <v>7.0633917765357781</v>
      </c>
      <c r="S54" s="171">
        <f t="shared" si="10"/>
        <v>20.35711736471265</v>
      </c>
      <c r="T54" s="245"/>
      <c r="U54" s="176" t="s">
        <v>22</v>
      </c>
      <c r="V54" t="s">
        <v>101</v>
      </c>
      <c r="W54" t="s">
        <v>102</v>
      </c>
      <c r="X54" t="s">
        <v>103</v>
      </c>
      <c r="Y54" t="s">
        <v>104</v>
      </c>
      <c r="Z54" s="8">
        <v>0</v>
      </c>
      <c r="AA54" s="8">
        <v>2.6397847670000001</v>
      </c>
      <c r="AB54" s="8">
        <v>12.036809610000001</v>
      </c>
      <c r="AC54" s="8">
        <v>7.320463395</v>
      </c>
      <c r="AD54" s="121">
        <v>21.997057772000002</v>
      </c>
    </row>
    <row r="55" spans="2:30" x14ac:dyDescent="0.25">
      <c r="C55" s="176" t="s">
        <v>23</v>
      </c>
      <c r="H55" s="8">
        <f>SUM(H56:H58)</f>
        <v>2.6325331736000002</v>
      </c>
      <c r="I55" s="8">
        <f>SUM(I56:I58)</f>
        <v>12.836667922</v>
      </c>
      <c r="J55" s="8">
        <f>SUM(J56:J58)</f>
        <v>10.019291881599999</v>
      </c>
      <c r="K55" s="8">
        <f>SUM(K56:K58)</f>
        <v>16.316678383500001</v>
      </c>
      <c r="L55" s="121">
        <f t="shared" si="11"/>
        <v>41.805171360700001</v>
      </c>
      <c r="M55" s="99"/>
      <c r="N55" s="179" t="s">
        <v>280</v>
      </c>
      <c r="O55" s="36">
        <f>O56+O57</f>
        <v>3.8091541290558895</v>
      </c>
      <c r="P55" s="35">
        <f t="shared" ref="P55:R55" si="12">P56+P57</f>
        <v>12.120619615422576</v>
      </c>
      <c r="Q55" s="35">
        <f t="shared" si="12"/>
        <v>8.8688043852106624</v>
      </c>
      <c r="R55" s="35">
        <f t="shared" si="12"/>
        <v>13.00955432637566</v>
      </c>
      <c r="S55" s="171">
        <f t="shared" si="10"/>
        <v>37.808132456064783</v>
      </c>
      <c r="T55" s="245"/>
      <c r="U55" s="176" t="s">
        <v>23</v>
      </c>
      <c r="Z55" s="244">
        <v>3.0747745164000002</v>
      </c>
      <c r="AA55" s="244">
        <v>15.84569046</v>
      </c>
      <c r="AB55" s="8">
        <v>10.0922613549</v>
      </c>
      <c r="AC55" s="244">
        <v>14.850558835699999</v>
      </c>
      <c r="AD55" s="121">
        <v>43.863285167000001</v>
      </c>
    </row>
    <row r="56" spans="2:30" x14ac:dyDescent="0.25">
      <c r="C56" s="178" t="s">
        <v>24</v>
      </c>
      <c r="D56" t="s">
        <v>596</v>
      </c>
      <c r="E56" t="s">
        <v>597</v>
      </c>
      <c r="F56" t="s">
        <v>598</v>
      </c>
      <c r="G56" t="s">
        <v>599</v>
      </c>
      <c r="H56" s="19">
        <f>VLOOKUP(D56,Résultats!$B$2:$AX$476,'T energie vecteurs'!L5,FALSE)</f>
        <v>1.7214950680000001</v>
      </c>
      <c r="I56" s="19">
        <f>VLOOKUP(E56,Résultats!$B$2:$AX$476,'T energie vecteurs'!L5,FALSE)</f>
        <v>8.4371301550000002</v>
      </c>
      <c r="J56" s="19">
        <f>VLOOKUP(F56,Résultats!$B$2:$AX$476,'T energie vecteurs'!L5,FALSE)</f>
        <v>9.6874869629999996</v>
      </c>
      <c r="K56" s="19">
        <f>VLOOKUP(G56,Résultats!$B$2:$AX$476,'T energie vecteurs'!L5,FALSE)</f>
        <v>13.738700189999999</v>
      </c>
      <c r="L56" s="120">
        <f t="shared" si="11"/>
        <v>33.584812376000002</v>
      </c>
      <c r="M56" s="19"/>
      <c r="N56" s="178" t="s">
        <v>281</v>
      </c>
      <c r="O56" s="172">
        <f>'[1]Bilan 2023 réel'!$U$46/11.63</f>
        <v>0.58092196100000004</v>
      </c>
      <c r="P56" s="37">
        <f>SUM('[1]Bilan 2023 réel'!$U$41:$U$43)/11.63</f>
        <v>2.395717067522579</v>
      </c>
      <c r="Q56" s="37">
        <f>'[1]Bilan 2023 réel'!$U$13/11.63</f>
        <v>8.8688043852106624</v>
      </c>
      <c r="R56" s="37">
        <f>('[1]Bilan 2023 réel'!$U$22+'[1]Bilan 2023 réel'!$U$30+SUM('[1]Bilan 2023 réel'!$U$36:$U$40)+SUM('[1]Bilan 2023 réel'!$U$44:$U$45)+'[1]Bilan 2023 réel'!$U$47)/11.63</f>
        <v>12.148361914509795</v>
      </c>
      <c r="S56" s="120">
        <f t="shared" si="10"/>
        <v>23.993805328243035</v>
      </c>
      <c r="T56" s="245"/>
      <c r="U56" s="178" t="s">
        <v>24</v>
      </c>
      <c r="V56" t="s">
        <v>105</v>
      </c>
      <c r="W56" t="s">
        <v>106</v>
      </c>
      <c r="X56" t="s">
        <v>107</v>
      </c>
      <c r="Y56" t="s">
        <v>108</v>
      </c>
      <c r="Z56" s="19">
        <v>2.1817270600000001</v>
      </c>
      <c r="AA56" s="19">
        <v>11.317897370000001</v>
      </c>
      <c r="AB56" s="19">
        <v>9.7594965400000007</v>
      </c>
      <c r="AC56" s="19">
        <v>12.32752153</v>
      </c>
      <c r="AD56" s="120">
        <v>35.586642500000004</v>
      </c>
    </row>
    <row r="57" spans="2:30" x14ac:dyDescent="0.25">
      <c r="C57" s="178" t="s">
        <v>153</v>
      </c>
      <c r="D57" t="s">
        <v>600</v>
      </c>
      <c r="E57" t="s">
        <v>601</v>
      </c>
      <c r="F57" t="s">
        <v>602</v>
      </c>
      <c r="G57" t="s">
        <v>603</v>
      </c>
      <c r="H57" s="19">
        <f>VLOOKUP(D57,Résultats!$B$2:$AX$476,'T energie vecteurs'!L5,FALSE)</f>
        <v>0.91103810559999998</v>
      </c>
      <c r="I57" s="19">
        <f>VLOOKUP(E57,Résultats!$B$2:$AX$476,'T energie vecteurs'!L5,FALSE)</f>
        <v>1.9410856569999999</v>
      </c>
      <c r="J57" s="19">
        <f>VLOOKUP(F57,Résultats!$B$2:$AX$476,'T energie vecteurs'!L5,FALSE)</f>
        <v>0</v>
      </c>
      <c r="K57" s="19">
        <f>VLOOKUP(G57,Résultats!$B$2:$AX$476,'T energie vecteurs'!L5,FALSE)</f>
        <v>2.181427029</v>
      </c>
      <c r="L57" s="120">
        <f>SUM(H57:K57)</f>
        <v>5.0335507915999997</v>
      </c>
      <c r="M57" s="19"/>
      <c r="N57" s="178" t="s">
        <v>153</v>
      </c>
      <c r="O57" s="28">
        <f>'[1]Bilan 2023 réel'!$E$52/11.63</f>
        <v>3.2282321680558894</v>
      </c>
      <c r="P57" s="19">
        <f>('[1]Bilan 2023 réel'!$E$54+'[1]Bilan 2023 réel'!$E$56)/11.63</f>
        <v>9.7249025478999975</v>
      </c>
      <c r="Q57" s="19">
        <v>0</v>
      </c>
      <c r="R57" s="19">
        <f>('[1]Bilan 2023 réel'!$E$53+'[1]Bilan 2023 réel'!$E$55+'[1]Bilan 2023 réel'!$E$57)/11.63</f>
        <v>0.86119241186586415</v>
      </c>
      <c r="S57" s="120">
        <f t="shared" si="10"/>
        <v>13.814327127821752</v>
      </c>
      <c r="T57" s="245"/>
      <c r="U57" s="178" t="s">
        <v>153</v>
      </c>
      <c r="V57" t="s">
        <v>154</v>
      </c>
      <c r="W57" t="s">
        <v>155</v>
      </c>
      <c r="X57" t="s">
        <v>156</v>
      </c>
      <c r="Y57" t="s">
        <v>157</v>
      </c>
      <c r="Z57" s="19">
        <v>0.89304745640000005</v>
      </c>
      <c r="AA57" s="19">
        <v>2.1002378620000002</v>
      </c>
      <c r="AB57" s="19">
        <v>0</v>
      </c>
      <c r="AC57" s="19">
        <v>2.1932316489999999</v>
      </c>
      <c r="AD57" s="120">
        <v>5.1865169674000002</v>
      </c>
    </row>
    <row r="58" spans="2:30" x14ac:dyDescent="0.25">
      <c r="C58" s="178" t="s">
        <v>25</v>
      </c>
      <c r="D58" t="s">
        <v>604</v>
      </c>
      <c r="E58" t="s">
        <v>605</v>
      </c>
      <c r="F58" t="s">
        <v>606</v>
      </c>
      <c r="G58" t="s">
        <v>607</v>
      </c>
      <c r="H58" s="19">
        <f>VLOOKUP(D58,Résultats!$B$2:$AX$476,'T energie vecteurs'!L5,FALSE)</f>
        <v>0</v>
      </c>
      <c r="I58" s="19">
        <f>VLOOKUP(E58,Résultats!$B$2:$AX$476,'T energie vecteurs'!L5,FALSE)</f>
        <v>2.4584521100000001</v>
      </c>
      <c r="J58" s="19">
        <f>VLOOKUP(F58,Résultats!$B$2:$AX$476,'T energie vecteurs'!L5,FALSE)</f>
        <v>0.3318049186</v>
      </c>
      <c r="K58" s="19">
        <f>VLOOKUP(G58,Résultats!$B$2:$AX$476,'T energie vecteurs'!L5,FALSE)</f>
        <v>0.3965511645</v>
      </c>
      <c r="L58" s="120">
        <f t="shared" ref="L58" si="13">SUM(H58:K58)</f>
        <v>3.1868081931000001</v>
      </c>
      <c r="M58" s="19"/>
      <c r="N58" s="179" t="s">
        <v>25</v>
      </c>
      <c r="O58" s="36">
        <f>'[1]Bilan 2023 réel'!$T$46/11.63</f>
        <v>1.221354E-3</v>
      </c>
      <c r="P58" s="35">
        <f>SUM('[1]Bilan 2023 réel'!$T$41:$T$43)/11.63</f>
        <v>3.4194391444513199</v>
      </c>
      <c r="Q58" s="35">
        <f>'[1]Bilan 2023 réel'!$T$13/11.63</f>
        <v>0.65647798796216683</v>
      </c>
      <c r="R58" s="35">
        <f>('[1]Bilan 2023 réel'!$T$22+'[1]Bilan 2023 réel'!$T$30+SUM('[1]Bilan 2023 réel'!$T$36:$T$40)+SUM('[1]Bilan 2023 réel'!$T$44:$T$45)+'[1]Bilan 2023 réel'!$T$47)/11.63</f>
        <v>0.44186481322250887</v>
      </c>
      <c r="S58" s="171">
        <f t="shared" si="10"/>
        <v>4.5190032996359957</v>
      </c>
      <c r="T58" s="245"/>
      <c r="U58" s="178" t="s">
        <v>25</v>
      </c>
      <c r="V58" t="s">
        <v>109</v>
      </c>
      <c r="W58" t="s">
        <v>110</v>
      </c>
      <c r="X58" t="s">
        <v>111</v>
      </c>
      <c r="Y58" t="s">
        <v>112</v>
      </c>
      <c r="Z58" s="19">
        <v>0</v>
      </c>
      <c r="AA58" s="19">
        <v>2.4275552280000001</v>
      </c>
      <c r="AB58" s="19">
        <v>0.33276481489999998</v>
      </c>
      <c r="AC58" s="19">
        <v>0.3298056567</v>
      </c>
      <c r="AD58" s="120">
        <v>3.0901256996000002</v>
      </c>
    </row>
    <row r="59" spans="2:30" x14ac:dyDescent="0.25">
      <c r="C59" s="29" t="s">
        <v>26</v>
      </c>
      <c r="D59" s="10"/>
      <c r="E59" s="10"/>
      <c r="F59" s="10"/>
      <c r="G59" s="10"/>
      <c r="H59" s="9">
        <f>SUM(H50,H53:H55)</f>
        <v>2.8561754441000002</v>
      </c>
      <c r="I59" s="9">
        <f>SUM(I50,I53:I55)</f>
        <v>62.458152822999992</v>
      </c>
      <c r="J59" s="9">
        <f>SUM(J50,J53:J55)</f>
        <v>38.909577447899999</v>
      </c>
      <c r="K59" s="9">
        <f>SUM(K50,K53:K55)</f>
        <v>48.124925977450204</v>
      </c>
      <c r="L59" s="123">
        <f>SUM(H59:K59)</f>
        <v>152.3488316924502</v>
      </c>
      <c r="M59" s="105"/>
      <c r="N59" s="180" t="s">
        <v>26</v>
      </c>
      <c r="O59" s="40">
        <f>O50+O53+O54+O55+O58</f>
        <v>3.8596309130558897</v>
      </c>
      <c r="P59" s="38">
        <f>P50+P53+P54+P55+P58</f>
        <v>62.785920353958417</v>
      </c>
      <c r="Q59" s="38">
        <f>Q50+Q53+Q54+Q55+Q58</f>
        <v>34.652474462596736</v>
      </c>
      <c r="R59" s="38">
        <f>R50+R53+R54+R55+R58</f>
        <v>41.164509995478554</v>
      </c>
      <c r="S59" s="173">
        <f t="shared" si="10"/>
        <v>142.46253572508959</v>
      </c>
      <c r="T59" s="105"/>
      <c r="U59" s="29" t="s">
        <v>26</v>
      </c>
      <c r="V59" s="10"/>
      <c r="W59" s="10"/>
      <c r="X59" s="10"/>
      <c r="Y59" s="10"/>
      <c r="Z59" s="9">
        <v>3.3068427571000001</v>
      </c>
      <c r="AA59" s="9">
        <v>66.718767138000004</v>
      </c>
      <c r="AB59" s="9">
        <v>39.192631081399995</v>
      </c>
      <c r="AC59" s="9">
        <v>43.843600040335303</v>
      </c>
      <c r="AD59" s="123">
        <v>153.0618410168353</v>
      </c>
    </row>
    <row r="60" spans="2:30" s="3" customFormat="1" x14ac:dyDescent="0.25">
      <c r="O60" s="103"/>
      <c r="P60" s="103"/>
      <c r="Q60" s="103"/>
      <c r="R60" s="104"/>
      <c r="S60" s="69"/>
    </row>
    <row r="61" spans="2:30" s="3" customFormat="1" x14ac:dyDescent="0.25">
      <c r="B61" s="84"/>
      <c r="K61" s="71"/>
      <c r="O61" s="105"/>
      <c r="P61" s="105"/>
      <c r="Q61" s="105"/>
      <c r="R61" s="106"/>
      <c r="S61" s="107"/>
      <c r="AC61" s="71"/>
    </row>
    <row r="62" spans="2:30" ht="31.5" x14ac:dyDescent="0.35">
      <c r="C62" s="174">
        <v>2025</v>
      </c>
      <c r="D62" s="175"/>
      <c r="E62" s="175"/>
      <c r="F62" s="175"/>
      <c r="G62" s="175"/>
      <c r="H62" s="101" t="s">
        <v>36</v>
      </c>
      <c r="I62" s="101" t="s">
        <v>159</v>
      </c>
      <c r="J62" s="101" t="s">
        <v>38</v>
      </c>
      <c r="K62" s="101" t="s">
        <v>158</v>
      </c>
      <c r="L62" s="118" t="s">
        <v>1</v>
      </c>
      <c r="M62" s="25"/>
      <c r="N62" s="174">
        <v>2025</v>
      </c>
      <c r="O62" s="170" t="s">
        <v>36</v>
      </c>
      <c r="P62" s="101" t="s">
        <v>159</v>
      </c>
      <c r="Q62" s="101" t="s">
        <v>38</v>
      </c>
      <c r="R62" s="101" t="s">
        <v>158</v>
      </c>
      <c r="S62" s="118" t="s">
        <v>1</v>
      </c>
      <c r="T62" s="25"/>
      <c r="U62" s="174">
        <v>2025</v>
      </c>
      <c r="V62" s="175"/>
      <c r="W62" s="175"/>
      <c r="X62" s="175"/>
      <c r="Y62" s="175"/>
      <c r="Z62" s="101" t="s">
        <v>36</v>
      </c>
      <c r="AA62" s="101" t="s">
        <v>159</v>
      </c>
      <c r="AB62" s="101" t="s">
        <v>38</v>
      </c>
      <c r="AC62" s="101" t="s">
        <v>158</v>
      </c>
      <c r="AD62" s="118" t="s">
        <v>1</v>
      </c>
    </row>
    <row r="63" spans="2:30" x14ac:dyDescent="0.25">
      <c r="C63" s="176" t="s">
        <v>18</v>
      </c>
      <c r="H63" s="8">
        <f>SUM(H64:H65)</f>
        <v>0</v>
      </c>
      <c r="I63" s="8">
        <f>SUM(I64:I65)</f>
        <v>40.428877679999999</v>
      </c>
      <c r="J63" s="8">
        <f>SUM(J64:J65)</f>
        <v>1.7618739945000002</v>
      </c>
      <c r="K63" s="8">
        <f>SUM(K64:K65)</f>
        <v>0.58136393252059992</v>
      </c>
      <c r="L63" s="121">
        <f t="shared" ref="L63:L72" si="14">SUM(H63:K63)</f>
        <v>42.772115607020602</v>
      </c>
      <c r="M63" s="99"/>
      <c r="N63" s="179" t="s">
        <v>18</v>
      </c>
      <c r="O63" s="36">
        <f>'[1]Bilan 2025'!$X$46/11.63</f>
        <v>0</v>
      </c>
      <c r="P63" s="35">
        <f>SUM('[1]Bilan 2025'!$X$41:$X$43)/11.63</f>
        <v>38.545929814739537</v>
      </c>
      <c r="Q63" s="35">
        <f>'[1]Bilan 2025'!$X$13/11.63</f>
        <v>1.5398477407339692</v>
      </c>
      <c r="R63" s="35">
        <f>('[1]Bilan 2025'!$X$22+'[1]Bilan 2025'!$X$30+SUM('[1]Bilan 2025'!$X$36:$X$40)+SUM('[1]Bilan 2025'!$X$44:$X$45)+'[1]Bilan 2025'!$X$47)/11.63</f>
        <v>0.58333134363889538</v>
      </c>
      <c r="S63" s="171">
        <f>SUM(O63:R63)</f>
        <v>40.669108899112402</v>
      </c>
      <c r="T63" s="99"/>
      <c r="U63" s="176" t="s">
        <v>18</v>
      </c>
      <c r="Z63" s="8">
        <v>0</v>
      </c>
      <c r="AA63" s="8">
        <v>42.185575020000002</v>
      </c>
      <c r="AB63" s="8">
        <v>2.2049147527000001</v>
      </c>
      <c r="AC63" s="8">
        <v>0.67795165934269996</v>
      </c>
      <c r="AD63" s="121">
        <v>45.068441432042704</v>
      </c>
    </row>
    <row r="64" spans="2:30" x14ac:dyDescent="0.25">
      <c r="C64" s="177" t="s">
        <v>19</v>
      </c>
      <c r="D64" t="s">
        <v>580</v>
      </c>
      <c r="E64" t="s">
        <v>581</v>
      </c>
      <c r="F64" t="s">
        <v>582</v>
      </c>
      <c r="G64" t="s">
        <v>583</v>
      </c>
      <c r="H64" s="19">
        <f>VLOOKUP(D64,Résultats!$B$2:$AX$476,'T energie vecteurs'!N5,FALSE)</f>
        <v>0</v>
      </c>
      <c r="I64" s="19">
        <f>VLOOKUP(E64,Résultats!$B$2:$AX$476,'T energie vecteurs'!N5,FALSE)</f>
        <v>21.22532502</v>
      </c>
      <c r="J64" s="19">
        <f>VLOOKUP(F64,Résultats!$B$2:$AX$476,'T energie vecteurs'!N5,FALSE)</f>
        <v>0.30752028050000002</v>
      </c>
      <c r="K64" s="19">
        <f>VLOOKUP(G77,Résultats!$B$2:$AX$476,'T energie vecteurs'!N5,FALSE)</f>
        <v>2.48489206E-5</v>
      </c>
      <c r="L64" s="120">
        <f t="shared" si="14"/>
        <v>21.532870149420599</v>
      </c>
      <c r="M64" s="19"/>
      <c r="N64" s="177" t="s">
        <v>19</v>
      </c>
      <c r="O64" s="172"/>
      <c r="P64" s="19"/>
      <c r="Q64" s="55"/>
      <c r="R64" s="19"/>
      <c r="S64" s="120"/>
      <c r="T64" s="19"/>
      <c r="U64" s="177" t="s">
        <v>19</v>
      </c>
      <c r="V64" t="s">
        <v>89</v>
      </c>
      <c r="W64" t="s">
        <v>90</v>
      </c>
      <c r="X64" t="s">
        <v>91</v>
      </c>
      <c r="Y64" t="s">
        <v>92</v>
      </c>
      <c r="Z64" s="19">
        <v>0</v>
      </c>
      <c r="AA64" s="19">
        <v>21.485258959999999</v>
      </c>
      <c r="AB64" s="19">
        <v>0.30036180169999999</v>
      </c>
      <c r="AC64" s="19">
        <v>1.6350542700000002E-5</v>
      </c>
      <c r="AD64" s="120">
        <v>21.7856371122427</v>
      </c>
    </row>
    <row r="65" spans="3:30" x14ac:dyDescent="0.25">
      <c r="C65" s="178" t="s">
        <v>20</v>
      </c>
      <c r="D65" t="s">
        <v>584</v>
      </c>
      <c r="E65" t="s">
        <v>585</v>
      </c>
      <c r="F65" t="s">
        <v>586</v>
      </c>
      <c r="G65" t="s">
        <v>587</v>
      </c>
      <c r="H65" s="19">
        <f>VLOOKUP(D65,Résultats!$B$2:$AX$476,'T energie vecteurs'!N5,FALSE)</f>
        <v>0</v>
      </c>
      <c r="I65" s="19">
        <f>VLOOKUP(E65,Résultats!$B$2:$AX$476,'T energie vecteurs'!N5,FALSE)</f>
        <v>19.20355266</v>
      </c>
      <c r="J65" s="19">
        <f>VLOOKUP(F65,Résultats!$B$2:$AX$476,'T energie vecteurs'!N5,FALSE)</f>
        <v>1.454353714</v>
      </c>
      <c r="K65" s="19">
        <f>VLOOKUP(G65,Résultats!$B$2:$AX$476,'T energie vecteurs'!N5,FALSE)</f>
        <v>0.58133908359999997</v>
      </c>
      <c r="L65" s="120">
        <f t="shared" si="14"/>
        <v>21.239245457599999</v>
      </c>
      <c r="M65" s="19"/>
      <c r="N65" s="178" t="s">
        <v>20</v>
      </c>
      <c r="O65" s="172"/>
      <c r="P65" s="19"/>
      <c r="Q65" s="55"/>
      <c r="R65" s="19"/>
      <c r="S65" s="120"/>
      <c r="T65" s="19"/>
      <c r="U65" s="178" t="s">
        <v>20</v>
      </c>
      <c r="V65" t="s">
        <v>93</v>
      </c>
      <c r="W65" t="s">
        <v>94</v>
      </c>
      <c r="X65" t="s">
        <v>95</v>
      </c>
      <c r="Y65" t="s">
        <v>96</v>
      </c>
      <c r="Z65" s="19">
        <v>0</v>
      </c>
      <c r="AA65" s="19">
        <v>20.700316059999999</v>
      </c>
      <c r="AB65" s="19">
        <v>1.9045529510000001</v>
      </c>
      <c r="AC65" s="19">
        <v>0.67793530879999997</v>
      </c>
      <c r="AD65" s="120">
        <v>23.282804319799997</v>
      </c>
    </row>
    <row r="66" spans="3:30" x14ac:dyDescent="0.25">
      <c r="C66" s="176" t="s">
        <v>21</v>
      </c>
      <c r="D66" t="s">
        <v>588</v>
      </c>
      <c r="E66" t="s">
        <v>589</v>
      </c>
      <c r="F66" t="s">
        <v>590</v>
      </c>
      <c r="G66" t="s">
        <v>591</v>
      </c>
      <c r="H66" s="8">
        <f>VLOOKUP(D66,Résultats!$B$2:$AX$476,'T energie vecteurs'!N5,FALSE)</f>
        <v>0.2056426817</v>
      </c>
      <c r="I66" s="8">
        <f>VLOOKUP(E66,Résultats!$B$2:$AX$476,'T energie vecteurs'!N5,FALSE)</f>
        <v>4.8476295929999997</v>
      </c>
      <c r="J66" s="8">
        <f>VLOOKUP(F66,Résultats!$B$2:$AX$476,'T energie vecteurs'!N5,FALSE)</f>
        <v>14.695700390000001</v>
      </c>
      <c r="K66" s="8">
        <f>VLOOKUP(G66,Résultats!$B$2:$AX$476,'T energie vecteurs'!N5,FALSE)+8</f>
        <v>21.534917530000001</v>
      </c>
      <c r="L66" s="121">
        <f t="shared" si="14"/>
        <v>41.2838901947</v>
      </c>
      <c r="M66" s="99"/>
      <c r="N66" s="179" t="s">
        <v>21</v>
      </c>
      <c r="O66" s="36">
        <f>'[1]Bilan 2025'!$V$46/11.63</f>
        <v>0</v>
      </c>
      <c r="P66" s="35">
        <f>SUM('[1]Bilan 2025'!$V$41:$V$43)/11.63</f>
        <v>3.5326526805330594</v>
      </c>
      <c r="Q66" s="35">
        <f>'[1]Bilan 2025'!$V$13/11.63</f>
        <v>14.460312572692807</v>
      </c>
      <c r="R66" s="35">
        <f>('[1]Bilan 2025'!$V$22+'[1]Bilan 2025'!$V$30+SUM('[1]Bilan 2025'!$V$36:$V$40)+SUM('[1]Bilan 2025'!$V$44:$V$45)+'[1]Bilan 2025'!$V$47)/11.63</f>
        <v>21.112528803330196</v>
      </c>
      <c r="S66" s="171">
        <f t="shared" ref="S66:S72" si="15">SUM(O66:R66)</f>
        <v>39.105494056556061</v>
      </c>
      <c r="T66" s="99"/>
      <c r="U66" s="176" t="s">
        <v>21</v>
      </c>
      <c r="V66" t="s">
        <v>97</v>
      </c>
      <c r="W66" t="s">
        <v>98</v>
      </c>
      <c r="X66" t="s">
        <v>99</v>
      </c>
      <c r="Y66" t="s">
        <v>100</v>
      </c>
      <c r="Z66" s="263">
        <v>0.2127020067</v>
      </c>
      <c r="AA66" s="263">
        <v>5.0926712209999998</v>
      </c>
      <c r="AB66" s="263">
        <v>14.91479638</v>
      </c>
      <c r="AC66" s="263">
        <v>20.802555349999999</v>
      </c>
      <c r="AD66" s="264">
        <v>41.022724957699999</v>
      </c>
    </row>
    <row r="67" spans="3:30" x14ac:dyDescent="0.25">
      <c r="C67" s="176" t="s">
        <v>22</v>
      </c>
      <c r="D67" t="s">
        <v>592</v>
      </c>
      <c r="E67" t="s">
        <v>593</v>
      </c>
      <c r="F67" t="s">
        <v>594</v>
      </c>
      <c r="G67" t="s">
        <v>595</v>
      </c>
      <c r="H67" s="8">
        <f>VLOOKUP(D67,Résultats!$B$2:$AX$476,'T energie vecteurs'!N5,FALSE)</f>
        <v>0</v>
      </c>
      <c r="I67" s="8">
        <f>VLOOKUP(E67,Résultats!$B$2:$AX$476,'T energie vecteurs'!N5,FALSE)</f>
        <v>2.8147546879999998</v>
      </c>
      <c r="J67" s="8">
        <f>VLOOKUP(F67,Résultats!$B$2:$AX$476,'T energie vecteurs'!N5,FALSE)</f>
        <v>13.396180899999999</v>
      </c>
      <c r="K67" s="8">
        <f>VLOOKUP(G67,Résultats!$B$2:$AX$476,'T energie vecteurs'!N5,FALSE)</f>
        <v>9.1979005409999903</v>
      </c>
      <c r="L67" s="121">
        <f t="shared" si="14"/>
        <v>25.408836128999987</v>
      </c>
      <c r="M67" s="99"/>
      <c r="N67" s="179" t="s">
        <v>22</v>
      </c>
      <c r="O67" s="36">
        <f>('[1]Bilan 2025'!$W$46)/11.63</f>
        <v>0</v>
      </c>
      <c r="P67" s="35">
        <f>SUM('[1]Bilan 2025'!$W$41:$W$43)/11.63</f>
        <v>1.829600236722577</v>
      </c>
      <c r="Q67" s="35">
        <f>('[1]Bilan 2025'!$W$13)/11.63</f>
        <v>11.310258924417251</v>
      </c>
      <c r="R67" s="35">
        <f>('[1]Bilan 2025'!$W$22+'[1]Bilan 2025'!$W$30+SUM('[1]Bilan 2025'!$W$36:$W$40)+SUM('[1]Bilan 2025'!$W$44:$W$45)+'[1]Bilan 2025'!$W$47)/11.63</f>
        <v>7.3063892907205394</v>
      </c>
      <c r="S67" s="171">
        <f t="shared" si="15"/>
        <v>20.446248451860367</v>
      </c>
      <c r="T67" s="99"/>
      <c r="U67" s="176" t="s">
        <v>22</v>
      </c>
      <c r="V67" t="s">
        <v>101</v>
      </c>
      <c r="W67" t="s">
        <v>102</v>
      </c>
      <c r="X67" t="s">
        <v>103</v>
      </c>
      <c r="Y67" t="s">
        <v>104</v>
      </c>
      <c r="Z67" s="8">
        <v>0</v>
      </c>
      <c r="AA67" s="8">
        <v>2.5387753740000001</v>
      </c>
      <c r="AB67" s="8">
        <v>12.130408040000001</v>
      </c>
      <c r="AC67" s="8">
        <v>7.3230770300000003</v>
      </c>
      <c r="AD67" s="121">
        <v>21.992260444000003</v>
      </c>
    </row>
    <row r="68" spans="3:30" x14ac:dyDescent="0.25">
      <c r="C68" s="176" t="s">
        <v>23</v>
      </c>
      <c r="H68" s="8">
        <f>SUM(H69:H71)</f>
        <v>2.5775363623000001</v>
      </c>
      <c r="I68" s="8">
        <f>SUM(I69:I71)</f>
        <v>12.652901233</v>
      </c>
      <c r="J68" s="8">
        <f>SUM(J69:J71)</f>
        <v>10.7688884463</v>
      </c>
      <c r="K68" s="8">
        <f>SUM(K69:K71)</f>
        <v>16.436323397300001</v>
      </c>
      <c r="L68" s="121">
        <f t="shared" si="14"/>
        <v>42.435649438900001</v>
      </c>
      <c r="M68" s="99"/>
      <c r="N68" s="179" t="s">
        <v>280</v>
      </c>
      <c r="O68" s="36">
        <f>O69+O70</f>
        <v>4.2119673749809596</v>
      </c>
      <c r="P68" s="35">
        <f t="shared" ref="P68:R68" si="16">P69+P70</f>
        <v>13.344099936220454</v>
      </c>
      <c r="Q68" s="35">
        <f t="shared" si="16"/>
        <v>9.4854890713287645</v>
      </c>
      <c r="R68" s="35">
        <f t="shared" si="16"/>
        <v>13.855608235952786</v>
      </c>
      <c r="S68" s="171">
        <f t="shared" si="15"/>
        <v>40.897164618482961</v>
      </c>
      <c r="T68" s="99"/>
      <c r="U68" s="176" t="s">
        <v>23</v>
      </c>
      <c r="Z68" s="8">
        <v>3.2028718037999999</v>
      </c>
      <c r="AA68" s="8">
        <v>16.496629178999999</v>
      </c>
      <c r="AB68" s="8">
        <v>10.4818738513</v>
      </c>
      <c r="AC68" s="8">
        <v>15.5080600384</v>
      </c>
      <c r="AD68" s="121">
        <v>45.689434872500001</v>
      </c>
    </row>
    <row r="69" spans="3:30" x14ac:dyDescent="0.25">
      <c r="C69" s="178" t="s">
        <v>24</v>
      </c>
      <c r="D69" t="s">
        <v>596</v>
      </c>
      <c r="E69" t="s">
        <v>597</v>
      </c>
      <c r="F69" t="s">
        <v>598</v>
      </c>
      <c r="G69" t="s">
        <v>599</v>
      </c>
      <c r="H69" s="19">
        <f>VLOOKUP(D69,Résultats!$B$2:$AX$476,'T energie vecteurs'!N5,FALSE)</f>
        <v>1.6583595959999999</v>
      </c>
      <c r="I69" s="19">
        <f>VLOOKUP(E69,Résultats!$B$2:$AX$476,'T energie vecteurs'!N5,FALSE)</f>
        <v>8.1814847329999996</v>
      </c>
      <c r="J69" s="19">
        <f>VLOOKUP(F69,Résultats!$B$2:$AX$476,'T energie vecteurs'!N5,FALSE)</f>
        <v>10.42830348</v>
      </c>
      <c r="K69" s="19">
        <f>VLOOKUP(G69,Résultats!$B$2:$AX$476,'T energie vecteurs'!N5,FALSE)</f>
        <v>13.81736327</v>
      </c>
      <c r="L69" s="120">
        <f t="shared" si="14"/>
        <v>34.085511079</v>
      </c>
      <c r="M69" s="19"/>
      <c r="N69" s="178" t="s">
        <v>281</v>
      </c>
      <c r="O69" s="172">
        <f>'[1]Bilan 2025'!$U$46/11.63</f>
        <v>0.6091486948433853</v>
      </c>
      <c r="P69" s="37">
        <f>SUM('[1]Bilan 2025'!$U$41:$U$43)/11.63</f>
        <v>2.4024529807619608</v>
      </c>
      <c r="Q69" s="37">
        <f>'[1]Bilan 2025'!$U$13/11.63</f>
        <v>9.4854890713287645</v>
      </c>
      <c r="R69" s="37">
        <f>('[1]Bilan 2025'!$U$22+'[1]Bilan 2025'!$U$30+SUM('[1]Bilan 2025'!$U$36:$U$40)+SUM('[1]Bilan 2025'!$U$44:$U$45)+'[1]Bilan 2025'!$U$47)/11.63</f>
        <v>12.777479857495365</v>
      </c>
      <c r="S69" s="120">
        <f t="shared" si="15"/>
        <v>25.274570604429478</v>
      </c>
      <c r="T69" s="19"/>
      <c r="U69" s="178" t="s">
        <v>24</v>
      </c>
      <c r="V69" t="s">
        <v>105</v>
      </c>
      <c r="W69" t="s">
        <v>106</v>
      </c>
      <c r="X69" t="s">
        <v>107</v>
      </c>
      <c r="Y69" t="s">
        <v>108</v>
      </c>
      <c r="Z69" s="19">
        <v>2.2810592999999999</v>
      </c>
      <c r="AA69" s="19">
        <v>11.881499249999999</v>
      </c>
      <c r="AB69" s="19">
        <v>10.15468869</v>
      </c>
      <c r="AC69" s="19">
        <v>12.86976907</v>
      </c>
      <c r="AD69" s="120">
        <v>37.187016310000004</v>
      </c>
    </row>
    <row r="70" spans="3:30" x14ac:dyDescent="0.25">
      <c r="C70" s="178" t="s">
        <v>153</v>
      </c>
      <c r="D70" t="s">
        <v>600</v>
      </c>
      <c r="E70" t="s">
        <v>601</v>
      </c>
      <c r="F70" t="s">
        <v>602</v>
      </c>
      <c r="G70" t="s">
        <v>603</v>
      </c>
      <c r="H70" s="19">
        <f>VLOOKUP(D70,Résultats!$B$2:$AX$476,'T energie vecteurs'!N5,FALSE)</f>
        <v>0.9191767663</v>
      </c>
      <c r="I70" s="19">
        <f>VLOOKUP(E70,Résultats!$B$2:$AX$476,'T energie vecteurs'!N5,FALSE)</f>
        <v>1.9961374789999999</v>
      </c>
      <c r="J70" s="19">
        <f>VLOOKUP(F70,Résultats!$B$2:$AX$476,'T energie vecteurs'!N5,FALSE)</f>
        <v>0</v>
      </c>
      <c r="K70" s="19">
        <f>VLOOKUP(G70,Résultats!$B$2:$AX$476,'T energie vecteurs'!N5,FALSE)</f>
        <v>2.2164120980000002</v>
      </c>
      <c r="L70" s="120">
        <f t="shared" si="14"/>
        <v>5.1317263433000004</v>
      </c>
      <c r="M70" s="19"/>
      <c r="N70" s="178" t="s">
        <v>153</v>
      </c>
      <c r="O70" s="28">
        <f>'[1]Bilan 2025'!$E$52/11.63</f>
        <v>3.6028186801375743</v>
      </c>
      <c r="P70" s="19">
        <f>('[1]Bilan 2025'!$E$54+'[1]Bilan 2025'!$E$56)/11.63</f>
        <v>10.941646955458493</v>
      </c>
      <c r="Q70" s="19">
        <v>0</v>
      </c>
      <c r="R70" s="19">
        <f>('[1]Bilan 2025'!$E$53+'[1]Bilan 2025'!$E$55+'[1]Bilan 2025'!$E$57)/11.63</f>
        <v>1.0781283784574212</v>
      </c>
      <c r="S70" s="120">
        <f t="shared" si="15"/>
        <v>15.622594014053488</v>
      </c>
      <c r="T70" s="19"/>
      <c r="U70" s="178" t="s">
        <v>153</v>
      </c>
      <c r="V70" t="s">
        <v>154</v>
      </c>
      <c r="W70" t="s">
        <v>155</v>
      </c>
      <c r="X70" t="s">
        <v>156</v>
      </c>
      <c r="Y70" t="s">
        <v>157</v>
      </c>
      <c r="Z70" s="19">
        <v>0.92181250380000002</v>
      </c>
      <c r="AA70" s="19">
        <v>2.2161908910000001</v>
      </c>
      <c r="AB70" s="19">
        <v>0</v>
      </c>
      <c r="AC70" s="19">
        <v>2.306016912</v>
      </c>
      <c r="AD70" s="120">
        <v>5.4440203068000006</v>
      </c>
    </row>
    <row r="71" spans="3:30" x14ac:dyDescent="0.25">
      <c r="C71" s="178" t="s">
        <v>25</v>
      </c>
      <c r="D71" t="s">
        <v>604</v>
      </c>
      <c r="E71" t="s">
        <v>605</v>
      </c>
      <c r="F71" t="s">
        <v>606</v>
      </c>
      <c r="G71" t="s">
        <v>607</v>
      </c>
      <c r="H71" s="19">
        <f>VLOOKUP(D71,Résultats!$B$2:$AX$476,'T energie vecteurs'!N5,FALSE)</f>
        <v>0</v>
      </c>
      <c r="I71" s="19">
        <f>VLOOKUP(E71,Résultats!$B$2:$AX$476,'T energie vecteurs'!N5,FALSE)</f>
        <v>2.475279021</v>
      </c>
      <c r="J71" s="19">
        <f>VLOOKUP(F71,Résultats!$B$2:$AX$476,'T energie vecteurs'!N5,FALSE)</f>
        <v>0.34058496630000001</v>
      </c>
      <c r="K71" s="19">
        <f>VLOOKUP(G71,Résultats!$B$2:$AX$476,'T energie vecteurs'!N5,FALSE)</f>
        <v>0.4025480293</v>
      </c>
      <c r="L71" s="120">
        <f t="shared" si="14"/>
        <v>3.2184120166000003</v>
      </c>
      <c r="M71" s="19"/>
      <c r="N71" s="179" t="s">
        <v>25</v>
      </c>
      <c r="O71" s="36">
        <f>'[1]Bilan 2025'!$T$46/11.63</f>
        <v>0</v>
      </c>
      <c r="P71" s="35">
        <f>SUM('[1]Bilan 2025'!$T$41:$T$43)/11.63</f>
        <v>3.1602006312216266</v>
      </c>
      <c r="Q71" s="35">
        <f>'[1]Bilan 2025'!$T$13/11.63</f>
        <v>0.70898600777464971</v>
      </c>
      <c r="R71" s="35">
        <f>('[1]Bilan 2025'!$T$22+'[1]Bilan 2025'!$T$30+SUM('[1]Bilan 2025'!$T$36:$T$40)+SUM('[1]Bilan 2025'!$T$44:$T$45)+'[1]Bilan 2025'!$T$47)/11.63</f>
        <v>0.28264741564176488</v>
      </c>
      <c r="S71" s="171">
        <f t="shared" si="15"/>
        <v>4.1518340546380408</v>
      </c>
      <c r="T71" s="19"/>
      <c r="U71" s="178" t="s">
        <v>25</v>
      </c>
      <c r="V71" t="s">
        <v>109</v>
      </c>
      <c r="W71" t="s">
        <v>110</v>
      </c>
      <c r="X71" t="s">
        <v>111</v>
      </c>
      <c r="Y71" t="s">
        <v>112</v>
      </c>
      <c r="Z71" s="19">
        <v>0</v>
      </c>
      <c r="AA71" s="19">
        <v>2.398939038</v>
      </c>
      <c r="AB71" s="19">
        <v>0.32718516130000003</v>
      </c>
      <c r="AC71" s="19">
        <v>0.33227405640000002</v>
      </c>
      <c r="AD71" s="120">
        <v>3.0583982557000002</v>
      </c>
    </row>
    <row r="72" spans="3:30" x14ac:dyDescent="0.25">
      <c r="C72" s="29" t="s">
        <v>26</v>
      </c>
      <c r="D72" s="10"/>
      <c r="E72" s="10"/>
      <c r="F72" s="10"/>
      <c r="G72" s="10"/>
      <c r="H72" s="9">
        <f>SUM(H63,H66:H68)</f>
        <v>2.7831790440000002</v>
      </c>
      <c r="I72" s="9">
        <f>SUM(I63,I66:I68)</f>
        <v>60.744163194000002</v>
      </c>
      <c r="J72" s="9">
        <f>SUM(J63,J66:J68)</f>
        <v>40.622643730799993</v>
      </c>
      <c r="K72" s="9">
        <f>SUM(K63,K66:K68)</f>
        <v>47.750505400820593</v>
      </c>
      <c r="L72" s="123">
        <f t="shared" si="14"/>
        <v>151.9004913696206</v>
      </c>
      <c r="M72" s="105"/>
      <c r="N72" s="180" t="s">
        <v>26</v>
      </c>
      <c r="O72" s="40">
        <f>O63+O66+O67+O68+O71</f>
        <v>4.2119673749809596</v>
      </c>
      <c r="P72" s="38">
        <f>P63+P66+P67+P68+P71</f>
        <v>60.412483299437255</v>
      </c>
      <c r="Q72" s="38">
        <f>Q63+Q66+Q67+Q68+Q71</f>
        <v>37.504894316947436</v>
      </c>
      <c r="R72" s="38">
        <f>R63+R66+R67+R68+R71</f>
        <v>43.140505089284176</v>
      </c>
      <c r="S72" s="173">
        <f t="shared" si="15"/>
        <v>145.26985008064983</v>
      </c>
      <c r="T72" s="105"/>
      <c r="U72" s="29" t="s">
        <v>26</v>
      </c>
      <c r="V72" s="10"/>
      <c r="W72" s="10"/>
      <c r="X72" s="10"/>
      <c r="Y72" s="10"/>
      <c r="Z72" s="9">
        <v>3.4155738104999998</v>
      </c>
      <c r="AA72" s="9">
        <v>66.313650793999997</v>
      </c>
      <c r="AB72" s="9">
        <v>39.731993024000005</v>
      </c>
      <c r="AC72" s="9">
        <v>44.311644077742699</v>
      </c>
      <c r="AD72" s="123">
        <v>153.77286170624268</v>
      </c>
    </row>
    <row r="73" spans="3:30" s="3" customFormat="1" x14ac:dyDescent="0.25">
      <c r="H73" s="69"/>
      <c r="I73" s="69"/>
      <c r="J73" s="69"/>
      <c r="K73" s="69"/>
      <c r="L73" s="69"/>
      <c r="M73" s="69"/>
      <c r="N73" s="69"/>
      <c r="O73" s="103"/>
      <c r="P73" s="103"/>
      <c r="Q73" s="103"/>
      <c r="R73" s="104"/>
      <c r="S73" s="69"/>
      <c r="T73" s="69"/>
      <c r="Z73" s="69"/>
      <c r="AA73" s="69"/>
      <c r="AB73" s="69"/>
      <c r="AC73" s="69"/>
      <c r="AD73" s="69"/>
    </row>
    <row r="74" spans="3:30" s="3" customFormat="1" x14ac:dyDescent="0.25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Z74" s="69"/>
      <c r="AA74" s="69"/>
      <c r="AB74" s="69"/>
      <c r="AC74" s="69"/>
      <c r="AD74" s="69"/>
    </row>
    <row r="75" spans="3:30" ht="31.5" x14ac:dyDescent="0.35">
      <c r="C75" s="174">
        <v>2030</v>
      </c>
      <c r="D75" s="175"/>
      <c r="E75" s="175"/>
      <c r="F75" s="175"/>
      <c r="G75" s="175"/>
      <c r="H75" s="101" t="s">
        <v>36</v>
      </c>
      <c r="I75" s="101" t="s">
        <v>159</v>
      </c>
      <c r="J75" s="101" t="s">
        <v>38</v>
      </c>
      <c r="K75" s="101" t="s">
        <v>158</v>
      </c>
      <c r="L75" s="118" t="s">
        <v>1</v>
      </c>
      <c r="M75" s="25"/>
      <c r="N75" s="174">
        <v>2030</v>
      </c>
      <c r="O75" s="170" t="s">
        <v>36</v>
      </c>
      <c r="P75" s="101" t="s">
        <v>159</v>
      </c>
      <c r="Q75" s="101" t="s">
        <v>38</v>
      </c>
      <c r="R75" s="101" t="s">
        <v>158</v>
      </c>
      <c r="S75" s="118" t="s">
        <v>1</v>
      </c>
      <c r="T75" s="25"/>
      <c r="U75" s="174">
        <v>2030</v>
      </c>
      <c r="V75" s="175"/>
      <c r="W75" s="175"/>
      <c r="X75" s="175"/>
      <c r="Y75" s="175"/>
      <c r="Z75" s="101" t="s">
        <v>36</v>
      </c>
      <c r="AA75" s="101" t="s">
        <v>159</v>
      </c>
      <c r="AB75" s="101" t="s">
        <v>38</v>
      </c>
      <c r="AC75" s="101" t="s">
        <v>158</v>
      </c>
      <c r="AD75" s="118" t="s">
        <v>1</v>
      </c>
    </row>
    <row r="76" spans="3:30" x14ac:dyDescent="0.25">
      <c r="C76" s="176" t="s">
        <v>18</v>
      </c>
      <c r="H76" s="8">
        <f>SUM(H77:H78)</f>
        <v>0</v>
      </c>
      <c r="I76" s="8">
        <f>SUM(I77:I78)</f>
        <v>38.06656469</v>
      </c>
      <c r="J76" s="8">
        <f>SUM(J77:J78)</f>
        <v>2.4852001293999999</v>
      </c>
      <c r="K76" s="8">
        <f>SUM(K77:K78)</f>
        <v>1.340311231012</v>
      </c>
      <c r="L76" s="121">
        <f>SUM(H76:K76)</f>
        <v>41.892076050412001</v>
      </c>
      <c r="M76" s="99"/>
      <c r="N76" s="179" t="s">
        <v>18</v>
      </c>
      <c r="O76" s="36">
        <f>'[1]Bilan 2030'!$X$46/11.63</f>
        <v>0</v>
      </c>
      <c r="P76" s="35">
        <f>SUM('[1]Bilan 2030'!$X$41:$X$43)/11.63</f>
        <v>32.470940737285289</v>
      </c>
      <c r="Q76" s="35">
        <f>'[1]Bilan 2030'!$X$13/11.63</f>
        <v>2.5998015829265277</v>
      </c>
      <c r="R76" s="35">
        <f>('[1]Bilan 2030'!$X$22+'[1]Bilan 2030'!$X$30+SUM('[1]Bilan 2030'!$X$36:$X$40)+SUM('[1]Bilan 2030'!$X$44:$X$45)+'[1]Bilan 2030'!$X$47)/11.63</f>
        <v>1.3190285045112766</v>
      </c>
      <c r="S76" s="171">
        <f>SUM(O76:R76)</f>
        <v>36.389770824723101</v>
      </c>
      <c r="T76" s="245">
        <f>S76-'[1]Bilan 2030'!$X$5/11.63</f>
        <v>0</v>
      </c>
      <c r="U76" s="176" t="s">
        <v>18</v>
      </c>
      <c r="Z76" s="8">
        <v>0</v>
      </c>
      <c r="AA76" s="8">
        <v>40.853511490000002</v>
      </c>
      <c r="AB76" s="8">
        <v>3.1193281531999997</v>
      </c>
      <c r="AC76" s="8">
        <v>1.5414298451549</v>
      </c>
      <c r="AD76" s="121">
        <v>45.514269488354905</v>
      </c>
    </row>
    <row r="77" spans="3:30" x14ac:dyDescent="0.25">
      <c r="C77" s="177" t="s">
        <v>19</v>
      </c>
      <c r="D77" t="s">
        <v>580</v>
      </c>
      <c r="E77" t="s">
        <v>581</v>
      </c>
      <c r="F77" t="s">
        <v>582</v>
      </c>
      <c r="G77" t="s">
        <v>583</v>
      </c>
      <c r="H77" s="19">
        <f>VLOOKUP(D77,Résultats!$B$2:$AX$476,'T energie vecteurs'!S5,FALSE)</f>
        <v>0</v>
      </c>
      <c r="I77" s="19">
        <f>VLOOKUP(E77,Résultats!$B$2:$AX$476,'T energie vecteurs'!S5,FALSE)</f>
        <v>18.984086099999999</v>
      </c>
      <c r="J77" s="19">
        <f>VLOOKUP(F77,Résultats!$B$2:$AX$476,'T energie vecteurs'!S5,FALSE)</f>
        <v>0.75857269439999997</v>
      </c>
      <c r="K77" s="19">
        <f>VLOOKUP(G77,Résultats!$B$2:$AX$476,'T energie vecteurs'!S5,FALSE)</f>
        <v>3.4922012000000002E-5</v>
      </c>
      <c r="L77" s="120">
        <f t="shared" ref="L77:L84" si="17">SUM(H77:K77)</f>
        <v>19.742693716411999</v>
      </c>
      <c r="M77" s="19"/>
      <c r="N77" s="177" t="s">
        <v>19</v>
      </c>
      <c r="O77" s="172"/>
      <c r="P77" s="19"/>
      <c r="Q77" s="55"/>
      <c r="R77" s="19"/>
      <c r="S77" s="120"/>
      <c r="T77" s="245"/>
      <c r="U77" s="177" t="s">
        <v>19</v>
      </c>
      <c r="V77" t="s">
        <v>89</v>
      </c>
      <c r="W77" t="s">
        <v>90</v>
      </c>
      <c r="X77" t="s">
        <v>91</v>
      </c>
      <c r="Y77" t="s">
        <v>92</v>
      </c>
      <c r="Z77" s="19">
        <v>0</v>
      </c>
      <c r="AA77" s="19">
        <v>19.358452450000001</v>
      </c>
      <c r="AB77" s="19">
        <v>0.75402416120000004</v>
      </c>
      <c r="AC77" s="19">
        <v>2.4245154900000002E-5</v>
      </c>
      <c r="AD77" s="120">
        <v>20.112500856354902</v>
      </c>
    </row>
    <row r="78" spans="3:30" x14ac:dyDescent="0.25">
      <c r="C78" s="178" t="s">
        <v>20</v>
      </c>
      <c r="D78" t="s">
        <v>584</v>
      </c>
      <c r="E78" t="s">
        <v>585</v>
      </c>
      <c r="F78" t="s">
        <v>586</v>
      </c>
      <c r="G78" t="s">
        <v>587</v>
      </c>
      <c r="H78" s="19">
        <f>VLOOKUP(D78,Résultats!$B$2:$AX$476,'T energie vecteurs'!S5,FALSE)</f>
        <v>0</v>
      </c>
      <c r="I78" s="19">
        <f>VLOOKUP(E78,Résultats!$B$2:$AX$476,'T energie vecteurs'!S5,FALSE)</f>
        <v>19.082478590000001</v>
      </c>
      <c r="J78" s="19">
        <f>VLOOKUP(F78,Résultats!$B$2:$AX$476,'T energie vecteurs'!S5,FALSE)</f>
        <v>1.7266274349999999</v>
      </c>
      <c r="K78" s="19">
        <f>VLOOKUP(G78,Résultats!$B$2:$AX$476,'T energie vecteurs'!S5,FALSE)</f>
        <v>1.3402763090000001</v>
      </c>
      <c r="L78" s="120">
        <f t="shared" si="17"/>
        <v>22.149382334000002</v>
      </c>
      <c r="M78" s="19"/>
      <c r="N78" s="178" t="s">
        <v>20</v>
      </c>
      <c r="O78" s="172"/>
      <c r="P78" s="19"/>
      <c r="Q78" s="55"/>
      <c r="R78" s="19"/>
      <c r="S78" s="120"/>
      <c r="T78" s="245"/>
      <c r="U78" s="178" t="s">
        <v>20</v>
      </c>
      <c r="V78" t="s">
        <v>93</v>
      </c>
      <c r="W78" t="s">
        <v>94</v>
      </c>
      <c r="X78" t="s">
        <v>95</v>
      </c>
      <c r="Y78" t="s">
        <v>96</v>
      </c>
      <c r="Z78" s="19">
        <v>0</v>
      </c>
      <c r="AA78" s="19">
        <v>21.495059040000001</v>
      </c>
      <c r="AB78" s="19">
        <v>2.3653039919999999</v>
      </c>
      <c r="AC78" s="19">
        <v>1.5414056</v>
      </c>
      <c r="AD78" s="120">
        <v>25.401768632000003</v>
      </c>
    </row>
    <row r="79" spans="3:30" x14ac:dyDescent="0.25">
      <c r="C79" s="176" t="s">
        <v>21</v>
      </c>
      <c r="D79" t="s">
        <v>588</v>
      </c>
      <c r="E79" t="s">
        <v>589</v>
      </c>
      <c r="F79" t="s">
        <v>590</v>
      </c>
      <c r="G79" t="s">
        <v>591</v>
      </c>
      <c r="H79" s="8">
        <f>VLOOKUP(D79,Résultats!$B$2:$AX$476,'T energie vecteurs'!S5,FALSE)</f>
        <v>0.1761835561</v>
      </c>
      <c r="I79" s="8">
        <f>VLOOKUP(E79,Résultats!$B$2:$AX$476,'T energie vecteurs'!S5,FALSE)</f>
        <v>4.418337019</v>
      </c>
      <c r="J79" s="8">
        <f>VLOOKUP(F79,Résultats!$B$2:$AX$476,'T energie vecteurs'!S5,FALSE)</f>
        <v>15.238265609999999</v>
      </c>
      <c r="K79" s="8">
        <f>VLOOKUP(G79,Résultats!$B$2:$AX$476,'T energie vecteurs'!S5,FALSE)+8</f>
        <v>20.786203749999999</v>
      </c>
      <c r="L79" s="121">
        <f>SUM(H79:K79)</f>
        <v>40.618989935099997</v>
      </c>
      <c r="M79" s="99"/>
      <c r="N79" s="179" t="s">
        <v>21</v>
      </c>
      <c r="O79" s="36">
        <f>'[1]Bilan 2030'!$V$46/11.63</f>
        <v>0</v>
      </c>
      <c r="P79" s="35">
        <f>SUM('[1]Bilan 2030'!$V$41:$V$43)/11.63</f>
        <v>2.7093021384311076</v>
      </c>
      <c r="Q79" s="35">
        <f>'[1]Bilan 2030'!$V$13/11.63</f>
        <v>15.128221930185923</v>
      </c>
      <c r="R79" s="35">
        <f>('[1]Bilan 2030'!$V$22+'[1]Bilan 2030'!$V$30+SUM('[1]Bilan 2030'!$V$36:$V$40)+SUM('[1]Bilan 2030'!$V$44:$V$45)+'[1]Bilan 2030'!$V$47)/11.63</f>
        <v>20.957031397748882</v>
      </c>
      <c r="S79" s="171">
        <f t="shared" ref="S79:S85" si="18">SUM(O79:R79)</f>
        <v>38.794555466365907</v>
      </c>
      <c r="T79" s="245">
        <f>S79-'[1]Bilan 2030'!$V$5/11.63</f>
        <v>0</v>
      </c>
      <c r="U79" s="176" t="s">
        <v>21</v>
      </c>
      <c r="V79" t="s">
        <v>97</v>
      </c>
      <c r="W79" t="s">
        <v>98</v>
      </c>
      <c r="X79" t="s">
        <v>99</v>
      </c>
      <c r="Y79" t="s">
        <v>100</v>
      </c>
      <c r="Z79" s="263">
        <v>0.1805846381</v>
      </c>
      <c r="AA79" s="263">
        <v>4.4292818440000001</v>
      </c>
      <c r="AB79" s="263">
        <v>15.093857529999999</v>
      </c>
      <c r="AC79" s="263">
        <v>19.98849293</v>
      </c>
      <c r="AD79" s="264">
        <v>39.692216942100004</v>
      </c>
    </row>
    <row r="80" spans="3:30" x14ac:dyDescent="0.25">
      <c r="C80" s="176" t="s">
        <v>22</v>
      </c>
      <c r="D80" t="s">
        <v>592</v>
      </c>
      <c r="E80" t="s">
        <v>593</v>
      </c>
      <c r="F80" t="s">
        <v>594</v>
      </c>
      <c r="G80" t="s">
        <v>595</v>
      </c>
      <c r="H80" s="8">
        <f>VLOOKUP(D80,Résultats!$B$2:$AX$476,'T energie vecteurs'!S5,FALSE)</f>
        <v>0</v>
      </c>
      <c r="I80" s="8">
        <f>VLOOKUP(E80,Résultats!$B$2:$AX$476,'T energie vecteurs'!S5,FALSE)</f>
        <v>2.4327475949999999</v>
      </c>
      <c r="J80" s="8">
        <f>VLOOKUP(F80,Résultats!$B$2:$AX$476,'T energie vecteurs'!S5,FALSE)</f>
        <v>14.15686979</v>
      </c>
      <c r="K80" s="8">
        <f>VLOOKUP(G80,Résultats!$B$2:$AX$476,'T energie vecteurs'!S5,FALSE)</f>
        <v>9.2604014019999994</v>
      </c>
      <c r="L80" s="121">
        <f t="shared" si="17"/>
        <v>25.850018787</v>
      </c>
      <c r="M80" s="99"/>
      <c r="N80" s="179" t="s">
        <v>22</v>
      </c>
      <c r="O80" s="36">
        <f>('[1]Bilan 2030'!$W$46)/11.63</f>
        <v>0</v>
      </c>
      <c r="P80" s="35">
        <f>SUM('[1]Bilan 2030'!$W$41:$W$43)/11.63</f>
        <v>1.1254931356288962</v>
      </c>
      <c r="Q80" s="35">
        <f>('[1]Bilan 2030'!$W$13)/11.63</f>
        <v>11.284622800503366</v>
      </c>
      <c r="R80" s="35">
        <f>('[1]Bilan 2030'!$W$22+'[1]Bilan 2030'!$W$30+SUM('[1]Bilan 2030'!$W$36:$W$40)+SUM('[1]Bilan 2030'!$W$44:$W$45)+'[1]Bilan 2030'!$W$47)/11.63</f>
        <v>6.9189644390334015</v>
      </c>
      <c r="S80" s="171">
        <f t="shared" si="18"/>
        <v>19.329080375165663</v>
      </c>
      <c r="T80" s="245">
        <f>S80-'[1]Bilan 2030'!$W$5/11.63</f>
        <v>0</v>
      </c>
      <c r="U80" s="176" t="s">
        <v>22</v>
      </c>
      <c r="V80" t="s">
        <v>101</v>
      </c>
      <c r="W80" t="s">
        <v>102</v>
      </c>
      <c r="X80" t="s">
        <v>103</v>
      </c>
      <c r="Y80" t="s">
        <v>104</v>
      </c>
      <c r="Z80" s="8">
        <v>0</v>
      </c>
      <c r="AA80" s="8">
        <v>2.184145623</v>
      </c>
      <c r="AB80" s="8">
        <v>12.712587640000001</v>
      </c>
      <c r="AC80" s="8">
        <v>7.6433201009999996</v>
      </c>
      <c r="AD80" s="121">
        <v>22.540053364000002</v>
      </c>
    </row>
    <row r="81" spans="2:30" x14ac:dyDescent="0.25">
      <c r="C81" s="176" t="s">
        <v>23</v>
      </c>
      <c r="H81" s="8">
        <f>SUM(H82:H84)</f>
        <v>2.7286246174</v>
      </c>
      <c r="I81" s="8">
        <f>SUM(I82:I84)</f>
        <v>14.265982321000001</v>
      </c>
      <c r="J81" s="8">
        <f>SUM(J82:J84)</f>
        <v>12.313920141600001</v>
      </c>
      <c r="K81" s="8">
        <f>SUM(K82:K84)</f>
        <v>18.287077840799999</v>
      </c>
      <c r="L81" s="121">
        <f t="shared" si="17"/>
        <v>47.5956049208</v>
      </c>
      <c r="M81" s="99"/>
      <c r="N81" s="179" t="s">
        <v>280</v>
      </c>
      <c r="O81" s="36">
        <f>O82+O83</f>
        <v>3.9851054274374702</v>
      </c>
      <c r="P81" s="35">
        <f t="shared" ref="P81:R81" si="19">P82+P83</f>
        <v>12.588919196501005</v>
      </c>
      <c r="Q81" s="35">
        <f t="shared" si="19"/>
        <v>9.4169455866228393</v>
      </c>
      <c r="R81" s="35">
        <f t="shared" si="19"/>
        <v>13.466989601471942</v>
      </c>
      <c r="S81" s="171">
        <f t="shared" si="18"/>
        <v>39.457959812033259</v>
      </c>
      <c r="T81" s="245"/>
      <c r="U81" s="176" t="s">
        <v>23</v>
      </c>
      <c r="Z81" s="244">
        <v>3.58849989</v>
      </c>
      <c r="AA81" s="244">
        <v>18.760202760999999</v>
      </c>
      <c r="AB81" s="8">
        <v>11.873285237700001</v>
      </c>
      <c r="AC81" s="244">
        <v>17.769262412</v>
      </c>
      <c r="AD81" s="121">
        <v>51.991250300700003</v>
      </c>
    </row>
    <row r="82" spans="2:30" x14ac:dyDescent="0.25">
      <c r="C82" s="178" t="s">
        <v>24</v>
      </c>
      <c r="D82" t="s">
        <v>596</v>
      </c>
      <c r="E82" t="s">
        <v>597</v>
      </c>
      <c r="F82" t="s">
        <v>598</v>
      </c>
      <c r="G82" t="s">
        <v>599</v>
      </c>
      <c r="H82" s="19">
        <f>VLOOKUP(D82,Résultats!$B$2:$AX$476,'T energie vecteurs'!S5,FALSE)</f>
        <v>1.77323684</v>
      </c>
      <c r="I82" s="19">
        <f>VLOOKUP(E82,Résultats!$B$2:$AX$476,'T energie vecteurs'!S5,FALSE)</f>
        <v>9.4210104670000003</v>
      </c>
      <c r="J82" s="19">
        <f>VLOOKUP(F82,Résultats!$B$2:$AX$476,'T energie vecteurs'!S5,FALSE)</f>
        <v>11.95676553</v>
      </c>
      <c r="K82" s="19">
        <f>VLOOKUP(G82,Résultats!$B$2:$AX$476,'T energie vecteurs'!S5,FALSE)</f>
        <v>15.462084279999999</v>
      </c>
      <c r="L82" s="120">
        <f t="shared" si="17"/>
        <v>38.613097117000002</v>
      </c>
      <c r="M82" s="19"/>
      <c r="N82" s="178" t="s">
        <v>281</v>
      </c>
      <c r="O82" s="172">
        <f>'[1]Bilan 2030'!$U$46/11.63</f>
        <v>0.55918092587900114</v>
      </c>
      <c r="P82" s="37">
        <f>SUM('[1]Bilan 2030'!$U$41:$U$43)/11.63</f>
        <v>2.2272873473675703</v>
      </c>
      <c r="Q82" s="37">
        <f>'[1]Bilan 2030'!$U$13/11.63</f>
        <v>9.4169455866228393</v>
      </c>
      <c r="R82" s="37">
        <f>('[1]Bilan 2030'!$U$22+'[1]Bilan 2030'!$U$30+SUM('[1]Bilan 2030'!$U$36:$U$40)+SUM('[1]Bilan 2030'!$U$44:$U$45)+'[1]Bilan 2030'!$U$47)/11.63</f>
        <v>12.399810480766773</v>
      </c>
      <c r="S82" s="120">
        <f t="shared" si="18"/>
        <v>24.603224340636181</v>
      </c>
      <c r="T82" s="245">
        <f>S82-'[1]Bilan 2030'!$U$5/11.63</f>
        <v>0</v>
      </c>
      <c r="U82" s="178" t="s">
        <v>24</v>
      </c>
      <c r="V82" t="s">
        <v>105</v>
      </c>
      <c r="W82" t="s">
        <v>106</v>
      </c>
      <c r="X82" t="s">
        <v>107</v>
      </c>
      <c r="Y82" t="s">
        <v>108</v>
      </c>
      <c r="Z82" s="19">
        <v>2.5639056579999999</v>
      </c>
      <c r="AA82" s="19">
        <v>13.677651389999999</v>
      </c>
      <c r="AB82" s="19">
        <v>11.519283420000001</v>
      </c>
      <c r="AC82" s="19">
        <v>14.77519219</v>
      </c>
      <c r="AD82" s="120">
        <v>42.536032658000003</v>
      </c>
    </row>
    <row r="83" spans="2:30" x14ac:dyDescent="0.25">
      <c r="C83" s="178" t="s">
        <v>153</v>
      </c>
      <c r="D83" t="s">
        <v>600</v>
      </c>
      <c r="E83" t="s">
        <v>601</v>
      </c>
      <c r="F83" t="s">
        <v>602</v>
      </c>
      <c r="G83" t="s">
        <v>603</v>
      </c>
      <c r="H83" s="19">
        <f>VLOOKUP(D83,Résultats!$B$2:$AX$476,'T energie vecteurs'!S5,FALSE)</f>
        <v>0.95538777740000003</v>
      </c>
      <c r="I83" s="19">
        <f>VLOOKUP(E83,Résultats!$B$2:$AX$476,'T energie vecteurs'!S5,FALSE)</f>
        <v>2.193825554</v>
      </c>
      <c r="J83" s="19">
        <f>VLOOKUP(F83,Résultats!$B$2:$AX$476,'T energie vecteurs'!S5,FALSE)</f>
        <v>0</v>
      </c>
      <c r="K83" s="19">
        <f>VLOOKUP(G83,Résultats!$B$2:$AX$476,'T energie vecteurs'!S5,FALSE)</f>
        <v>2.3999290709999999</v>
      </c>
      <c r="L83" s="120">
        <f>SUM(H83:K83)</f>
        <v>5.5491424023999993</v>
      </c>
      <c r="M83" s="19"/>
      <c r="N83" s="178" t="s">
        <v>153</v>
      </c>
      <c r="O83" s="28">
        <f>'[1]Bilan 2030'!$E$52/11.63</f>
        <v>3.4259245015584692</v>
      </c>
      <c r="P83" s="19">
        <f>('[1]Bilan 2030'!$E$54+'[1]Bilan 2030'!$E$56)/11.63</f>
        <v>10.361631849133435</v>
      </c>
      <c r="Q83" s="19">
        <v>0</v>
      </c>
      <c r="R83" s="19">
        <f>('[1]Bilan 2030'!$E$53+'[1]Bilan 2030'!$E$55+'[1]Bilan 2030'!$E$57)/11.63</f>
        <v>1.0671791207051695</v>
      </c>
      <c r="S83" s="120">
        <f t="shared" si="18"/>
        <v>14.854735471397074</v>
      </c>
      <c r="T83" s="245">
        <f>S83-SUM('[1]Bilan 2030'!$E$52:$E$57)/11.63</f>
        <v>0</v>
      </c>
      <c r="U83" s="178" t="s">
        <v>153</v>
      </c>
      <c r="V83" t="s">
        <v>154</v>
      </c>
      <c r="W83" t="s">
        <v>155</v>
      </c>
      <c r="X83" t="s">
        <v>156</v>
      </c>
      <c r="Y83" t="s">
        <v>157</v>
      </c>
      <c r="Z83" s="19">
        <v>1.0245942320000001</v>
      </c>
      <c r="AA83" s="19">
        <v>2.516253807</v>
      </c>
      <c r="AB83" s="19">
        <v>0</v>
      </c>
      <c r="AC83" s="19">
        <v>2.624489487</v>
      </c>
      <c r="AD83" s="120">
        <v>6.1653375260000001</v>
      </c>
    </row>
    <row r="84" spans="2:30" x14ac:dyDescent="0.25">
      <c r="C84" s="178" t="s">
        <v>25</v>
      </c>
      <c r="D84" t="s">
        <v>604</v>
      </c>
      <c r="E84" t="s">
        <v>605</v>
      </c>
      <c r="F84" t="s">
        <v>606</v>
      </c>
      <c r="G84" t="s">
        <v>607</v>
      </c>
      <c r="H84" s="19">
        <f>VLOOKUP(D84,Résultats!$B$2:$AX$476,'T energie vecteurs'!S5,FALSE)</f>
        <v>0</v>
      </c>
      <c r="I84" s="19">
        <f>VLOOKUP(E84,Résultats!$B$2:$AX$476,'T energie vecteurs'!S5,FALSE)</f>
        <v>2.6511463000000002</v>
      </c>
      <c r="J84" s="19">
        <f>VLOOKUP(F84,Résultats!$B$2:$AX$476,'T energie vecteurs'!S5,FALSE)</f>
        <v>0.3571546116</v>
      </c>
      <c r="K84" s="19">
        <f>VLOOKUP(G84,Résultats!$B$2:$AX$476,'T energie vecteurs'!S5,FALSE)</f>
        <v>0.4250644898</v>
      </c>
      <c r="L84" s="120">
        <f t="shared" si="17"/>
        <v>3.4333654014000001</v>
      </c>
      <c r="M84" s="19"/>
      <c r="N84" s="179" t="s">
        <v>25</v>
      </c>
      <c r="O84" s="36">
        <f>'[1]Bilan 2030'!$T$46/11.63</f>
        <v>0</v>
      </c>
      <c r="P84" s="35">
        <f>SUM('[1]Bilan 2030'!$T$41:$T$43)/11.63</f>
        <v>3.0639411119175732</v>
      </c>
      <c r="Q84" s="35">
        <f>'[1]Bilan 2030'!$T$13/11.63</f>
        <v>0.66849749048065465</v>
      </c>
      <c r="R84" s="35">
        <f>('[1]Bilan 2030'!$T$22+'[1]Bilan 2030'!$T$30+SUM('[1]Bilan 2030'!$T$36:$T$40)+SUM('[1]Bilan 2030'!$T$44:$T$45)+'[1]Bilan 2030'!$T$47)/11.63</f>
        <v>0.321548699857926</v>
      </c>
      <c r="S84" s="171">
        <f t="shared" si="18"/>
        <v>4.0539873022561537</v>
      </c>
      <c r="T84" s="245">
        <f>S84-'[1]Bilan 2030'!$T$5/11.63</f>
        <v>0</v>
      </c>
      <c r="U84" s="178" t="s">
        <v>25</v>
      </c>
      <c r="V84" t="s">
        <v>109</v>
      </c>
      <c r="W84" t="s">
        <v>110</v>
      </c>
      <c r="X84" t="s">
        <v>111</v>
      </c>
      <c r="Y84" t="s">
        <v>112</v>
      </c>
      <c r="Z84" s="19">
        <v>0</v>
      </c>
      <c r="AA84" s="19">
        <v>2.5662975640000001</v>
      </c>
      <c r="AB84" s="19">
        <v>0.3540018177</v>
      </c>
      <c r="AC84" s="19">
        <v>0.36958073499999999</v>
      </c>
      <c r="AD84" s="120">
        <v>3.2898801167</v>
      </c>
    </row>
    <row r="85" spans="2:30" x14ac:dyDescent="0.25">
      <c r="C85" s="29" t="s">
        <v>26</v>
      </c>
      <c r="D85" s="10"/>
      <c r="E85" s="10"/>
      <c r="F85" s="10"/>
      <c r="G85" s="10"/>
      <c r="H85" s="9">
        <f>SUM(H76,H79:H81)</f>
        <v>2.9048081734999998</v>
      </c>
      <c r="I85" s="9">
        <f>SUM(I76,I79:I81)</f>
        <v>59.183631625000004</v>
      </c>
      <c r="J85" s="9">
        <f>SUM(J76,J79:J81)</f>
        <v>44.194255671000001</v>
      </c>
      <c r="K85" s="9">
        <f>SUM(K76,K79:K81)</f>
        <v>49.673994223811995</v>
      </c>
      <c r="L85" s="123">
        <f>SUM(H85:K85)</f>
        <v>155.956689693312</v>
      </c>
      <c r="M85" s="105"/>
      <c r="N85" s="180" t="s">
        <v>26</v>
      </c>
      <c r="O85" s="40">
        <f>O76+O79+O80+O81+O84</f>
        <v>3.9851054274374702</v>
      </c>
      <c r="P85" s="38">
        <f>P76+P79+P80+P81+P84</f>
        <v>51.958596319763863</v>
      </c>
      <c r="Q85" s="38">
        <f>Q76+Q79+Q80+Q81+Q84</f>
        <v>39.098089390719309</v>
      </c>
      <c r="R85" s="38">
        <f>R76+R79+R80+R81+R84</f>
        <v>42.983562642623433</v>
      </c>
      <c r="S85" s="173">
        <f t="shared" si="18"/>
        <v>138.02535378054407</v>
      </c>
      <c r="T85" s="105"/>
      <c r="U85" s="29" t="s">
        <v>26</v>
      </c>
      <c r="V85" s="10"/>
      <c r="W85" s="10"/>
      <c r="X85" s="10"/>
      <c r="Y85" s="10"/>
      <c r="Z85" s="9">
        <v>3.7690845281000001</v>
      </c>
      <c r="AA85" s="9">
        <v>66.227141717999999</v>
      </c>
      <c r="AB85" s="9">
        <v>42.799058560900001</v>
      </c>
      <c r="AC85" s="9">
        <v>46.942505288154905</v>
      </c>
      <c r="AD85" s="123">
        <v>159.73779009515491</v>
      </c>
    </row>
    <row r="86" spans="2:30" s="3" customFormat="1" x14ac:dyDescent="0.25">
      <c r="O86" s="103"/>
      <c r="P86" s="103"/>
      <c r="Q86" s="103"/>
      <c r="R86" s="104"/>
      <c r="S86" s="69"/>
    </row>
    <row r="87" spans="2:30" s="3" customFormat="1" x14ac:dyDescent="0.25">
      <c r="B87" s="84"/>
      <c r="K87" s="71"/>
      <c r="O87" s="105"/>
      <c r="P87" s="105"/>
      <c r="Q87" s="105"/>
      <c r="R87" s="106"/>
      <c r="S87" s="107"/>
      <c r="AC87" s="71"/>
    </row>
    <row r="88" spans="2:30" ht="31.5" x14ac:dyDescent="0.35">
      <c r="C88" s="174">
        <v>2035</v>
      </c>
      <c r="D88" s="175"/>
      <c r="E88" s="175"/>
      <c r="F88" s="175"/>
      <c r="G88" s="175"/>
      <c r="H88" s="101" t="s">
        <v>36</v>
      </c>
      <c r="I88" s="101" t="s">
        <v>159</v>
      </c>
      <c r="J88" s="101" t="s">
        <v>38</v>
      </c>
      <c r="K88" s="101" t="s">
        <v>158</v>
      </c>
      <c r="L88" s="118" t="s">
        <v>1</v>
      </c>
      <c r="M88" s="25"/>
      <c r="N88" s="174">
        <v>2035</v>
      </c>
      <c r="O88" s="170" t="s">
        <v>36</v>
      </c>
      <c r="P88" s="101" t="s">
        <v>159</v>
      </c>
      <c r="Q88" s="101" t="s">
        <v>38</v>
      </c>
      <c r="R88" s="101" t="s">
        <v>158</v>
      </c>
      <c r="S88" s="118" t="s">
        <v>1</v>
      </c>
      <c r="T88" s="25"/>
      <c r="U88" s="174">
        <v>2035</v>
      </c>
      <c r="V88" s="175"/>
      <c r="W88" s="175"/>
      <c r="X88" s="175"/>
      <c r="Y88" s="175"/>
      <c r="Z88" s="101" t="s">
        <v>36</v>
      </c>
      <c r="AA88" s="101" t="s">
        <v>159</v>
      </c>
      <c r="AB88" s="101" t="s">
        <v>38</v>
      </c>
      <c r="AC88" s="101" t="s">
        <v>158</v>
      </c>
      <c r="AD88" s="118" t="s">
        <v>1</v>
      </c>
    </row>
    <row r="89" spans="2:30" x14ac:dyDescent="0.25">
      <c r="C89" s="176" t="s">
        <v>18</v>
      </c>
      <c r="H89" s="8">
        <f>SUM(H90:H91)</f>
        <v>0</v>
      </c>
      <c r="I89" s="8">
        <f>SUM(I90:I91)</f>
        <v>35.035763860000003</v>
      </c>
      <c r="J89" s="8">
        <f>SUM(J90:J91)</f>
        <v>3.4768588779999998</v>
      </c>
      <c r="K89" s="8">
        <f>SUM(K90:K91)</f>
        <v>2.3221451562549</v>
      </c>
      <c r="L89" s="121">
        <f t="shared" ref="L89:L98" si="20">SUM(H89:K89)</f>
        <v>40.834767894254902</v>
      </c>
      <c r="M89" s="99"/>
      <c r="N89" s="179" t="s">
        <v>18</v>
      </c>
      <c r="O89" s="36">
        <f>'[1]Bilan 2035'!$X$46/11.63</f>
        <v>0</v>
      </c>
      <c r="P89" s="35">
        <f>SUM('[1]Bilan 2035'!$X$41:$X$43)/11.63</f>
        <v>27.486457521711181</v>
      </c>
      <c r="Q89" s="35">
        <f>'[1]Bilan 2035'!$X$13/11.63</f>
        <v>4.0115827656184662</v>
      </c>
      <c r="R89" s="35">
        <f>('[1]Bilan 2035'!$X$22+'[1]Bilan 2035'!$X$30+SUM('[1]Bilan 2035'!$X$36:$X$40)+SUM('[1]Bilan 2035'!$X$44:$X$45)+'[1]Bilan 2035'!$X$47)/11.63</f>
        <v>2.2033171859401204</v>
      </c>
      <c r="S89" s="171">
        <f>SUM(O89:R89)</f>
        <v>33.701357473269766</v>
      </c>
      <c r="T89" s="99"/>
      <c r="U89" s="176" t="s">
        <v>18</v>
      </c>
      <c r="Z89" s="8">
        <v>0</v>
      </c>
      <c r="AA89" s="8">
        <v>38.668277180000004</v>
      </c>
      <c r="AB89" s="8">
        <v>4.3734985540000002</v>
      </c>
      <c r="AC89" s="8">
        <v>2.7136197354418998</v>
      </c>
      <c r="AD89" s="121">
        <v>45.755395469441908</v>
      </c>
    </row>
    <row r="90" spans="2:30" x14ac:dyDescent="0.25">
      <c r="C90" s="177" t="s">
        <v>19</v>
      </c>
      <c r="D90" t="s">
        <v>580</v>
      </c>
      <c r="E90" t="s">
        <v>581</v>
      </c>
      <c r="F90" t="s">
        <v>582</v>
      </c>
      <c r="G90" t="s">
        <v>583</v>
      </c>
      <c r="H90" s="19">
        <f>VLOOKUP(D90,Résultats!$B$2:$AX$476,'T energie vecteurs'!T5,FALSE)</f>
        <v>0</v>
      </c>
      <c r="I90" s="19">
        <f>VLOOKUP(E90,Résultats!$B$2:$AX$476,'T energie vecteurs'!T5,FALSE)</f>
        <v>16.569900910000001</v>
      </c>
      <c r="J90" s="19">
        <f>VLOOKUP(F90,Résultats!$B$2:$AX$476,'T energie vecteurs'!T5,FALSE)</f>
        <v>1.3689307310000001</v>
      </c>
      <c r="K90" s="19">
        <f>VLOOKUP(G90,Résultats!$B$2:$AX$476,'T energie vecteurs'!T5,FALSE)</f>
        <v>4.0873254899999999E-5</v>
      </c>
      <c r="L90" s="120">
        <f t="shared" si="20"/>
        <v>17.9388725142549</v>
      </c>
      <c r="M90" s="19"/>
      <c r="N90" s="177" t="s">
        <v>19</v>
      </c>
      <c r="O90" s="172"/>
      <c r="P90" s="19"/>
      <c r="Q90" s="55"/>
      <c r="R90" s="19"/>
      <c r="S90" s="120"/>
      <c r="T90" s="19"/>
      <c r="U90" s="177" t="s">
        <v>19</v>
      </c>
      <c r="V90" t="s">
        <v>89</v>
      </c>
      <c r="W90" t="s">
        <v>90</v>
      </c>
      <c r="X90" t="s">
        <v>91</v>
      </c>
      <c r="Y90" t="s">
        <v>92</v>
      </c>
      <c r="Z90" s="19">
        <v>0</v>
      </c>
      <c r="AA90" s="19">
        <v>16.9723297</v>
      </c>
      <c r="AB90" s="59">
        <v>1.366200434</v>
      </c>
      <c r="AC90" s="19">
        <v>2.9232441900000001E-5</v>
      </c>
      <c r="AD90" s="120">
        <v>18.338559366441899</v>
      </c>
    </row>
    <row r="91" spans="2:30" x14ac:dyDescent="0.25">
      <c r="C91" s="178" t="s">
        <v>20</v>
      </c>
      <c r="D91" t="s">
        <v>584</v>
      </c>
      <c r="E91" t="s">
        <v>585</v>
      </c>
      <c r="F91" t="s">
        <v>586</v>
      </c>
      <c r="G91" t="s">
        <v>587</v>
      </c>
      <c r="H91" s="19">
        <f>VLOOKUP(D91,Résultats!$B$2:$AX$476,'T energie vecteurs'!T5,FALSE)</f>
        <v>0</v>
      </c>
      <c r="I91" s="19">
        <f>VLOOKUP(E91,Résultats!$B$2:$AX$476,'T energie vecteurs'!T5,FALSE)</f>
        <v>18.465862950000002</v>
      </c>
      <c r="J91" s="19">
        <f>VLOOKUP(F91,Résultats!$B$2:$AX$476,'T energie vecteurs'!T5,FALSE)</f>
        <v>2.107928147</v>
      </c>
      <c r="K91" s="19">
        <f>VLOOKUP(G91,Résultats!$B$2:$AX$476,'T energie vecteurs'!T5,FALSE)</f>
        <v>2.3221042829999998</v>
      </c>
      <c r="L91" s="120">
        <f t="shared" si="20"/>
        <v>22.895895379999999</v>
      </c>
      <c r="M91" s="19"/>
      <c r="N91" s="178" t="s">
        <v>20</v>
      </c>
      <c r="O91" s="172"/>
      <c r="P91" s="19"/>
      <c r="Q91" s="55"/>
      <c r="R91" s="19"/>
      <c r="S91" s="120"/>
      <c r="T91" s="19"/>
      <c r="U91" s="178" t="s">
        <v>20</v>
      </c>
      <c r="V91" t="s">
        <v>93</v>
      </c>
      <c r="W91" t="s">
        <v>94</v>
      </c>
      <c r="X91" t="s">
        <v>95</v>
      </c>
      <c r="Y91" t="s">
        <v>96</v>
      </c>
      <c r="Z91" s="19">
        <v>0</v>
      </c>
      <c r="AA91" s="19">
        <v>21.695947480000001</v>
      </c>
      <c r="AB91" s="19">
        <v>3.0072981200000002</v>
      </c>
      <c r="AC91" s="19">
        <v>2.7135905029999998</v>
      </c>
      <c r="AD91" s="120">
        <v>27.416836103000001</v>
      </c>
    </row>
    <row r="92" spans="2:30" x14ac:dyDescent="0.25">
      <c r="C92" s="176" t="s">
        <v>21</v>
      </c>
      <c r="D92" t="s">
        <v>588</v>
      </c>
      <c r="E92" t="s">
        <v>589</v>
      </c>
      <c r="F92" t="s">
        <v>590</v>
      </c>
      <c r="G92" t="s">
        <v>591</v>
      </c>
      <c r="H92" s="8">
        <f>VLOOKUP(D92,Résultats!$B$2:$AX$476,'T energie vecteurs'!T5,FALSE)</f>
        <v>0.1556975783</v>
      </c>
      <c r="I92" s="8">
        <f>VLOOKUP(E92,Résultats!$B$2:$AX$476,'T energie vecteurs'!T5,FALSE)</f>
        <v>4.1284091739999997</v>
      </c>
      <c r="J92" s="8">
        <f>VLOOKUP(F92,Résultats!$B$2:$AX$476,'T energie vecteurs'!T5,FALSE)</f>
        <v>15.798571219999999</v>
      </c>
      <c r="K92" s="8">
        <f>VLOOKUP(G92,Résultats!$B$2:$AX$476,'T energie vecteurs'!T5,FALSE)+8</f>
        <v>20.364549539999999</v>
      </c>
      <c r="L92" s="121">
        <f t="shared" si="20"/>
        <v>40.447227512299996</v>
      </c>
      <c r="M92" s="99"/>
      <c r="N92" s="179" t="s">
        <v>21</v>
      </c>
      <c r="O92" s="36">
        <f>'[1]Bilan 2035'!$V$46/11.63</f>
        <v>0</v>
      </c>
      <c r="P92" s="35">
        <f>SUM('[1]Bilan 2035'!$V$41:$V$43)/11.63</f>
        <v>2.0951035895513908</v>
      </c>
      <c r="Q92" s="35">
        <f>'[1]Bilan 2035'!$V$13/11.63</f>
        <v>15.742193210619391</v>
      </c>
      <c r="R92" s="35">
        <f>('[1]Bilan 2035'!$V$22+'[1]Bilan 2035'!$V$30+SUM('[1]Bilan 2035'!$V$36:$V$40)+SUM('[1]Bilan 2035'!$V$44:$V$45)+'[1]Bilan 2035'!$V$47)/11.63</f>
        <v>20.967584673572926</v>
      </c>
      <c r="S92" s="171">
        <f t="shared" ref="S92:S98" si="21">SUM(O92:R92)</f>
        <v>38.804881473743706</v>
      </c>
      <c r="T92" s="99"/>
      <c r="U92" s="176" t="s">
        <v>21</v>
      </c>
      <c r="V92" t="s">
        <v>97</v>
      </c>
      <c r="W92" t="s">
        <v>98</v>
      </c>
      <c r="X92" t="s">
        <v>99</v>
      </c>
      <c r="Y92" t="s">
        <v>100</v>
      </c>
      <c r="Z92" s="263">
        <v>0.1572168089</v>
      </c>
      <c r="AA92" s="263">
        <v>3.899314553</v>
      </c>
      <c r="AB92" s="263">
        <v>15.55518461</v>
      </c>
      <c r="AC92" s="263">
        <v>18.95424723</v>
      </c>
      <c r="AD92" s="264">
        <v>38.565963201900004</v>
      </c>
    </row>
    <row r="93" spans="2:30" x14ac:dyDescent="0.25">
      <c r="C93" s="176" t="s">
        <v>22</v>
      </c>
      <c r="D93" t="s">
        <v>592</v>
      </c>
      <c r="E93" t="s">
        <v>593</v>
      </c>
      <c r="F93" t="s">
        <v>594</v>
      </c>
      <c r="G93" t="s">
        <v>595</v>
      </c>
      <c r="H93" s="8">
        <f>VLOOKUP(D93,Résultats!$B$2:$AX$476,'T energie vecteurs'!T5,FALSE)</f>
        <v>0</v>
      </c>
      <c r="I93" s="8">
        <f>VLOOKUP(E93,Résultats!$B$2:$AX$476,'T energie vecteurs'!T5,FALSE)</f>
        <v>2.1643702550000001</v>
      </c>
      <c r="J93" s="8">
        <f>VLOOKUP(F93,Résultats!$B$2:$AX$476,'T energie vecteurs'!T5,FALSE)</f>
        <v>14.43149425</v>
      </c>
      <c r="K93" s="8">
        <f>VLOOKUP(G93,Résultats!$B$2:$AX$476,'T energie vecteurs'!T5,FALSE)</f>
        <v>9.1058185690000002</v>
      </c>
      <c r="L93" s="121">
        <f t="shared" si="20"/>
        <v>25.701683074000002</v>
      </c>
      <c r="M93" s="99"/>
      <c r="N93" s="179" t="s">
        <v>22</v>
      </c>
      <c r="O93" s="36">
        <f>('[1]Bilan 2035'!$W$46)/11.63</f>
        <v>0</v>
      </c>
      <c r="P93" s="35">
        <f>SUM('[1]Bilan 2035'!$W$41:$W$43)/11.63</f>
        <v>0.78619437858671104</v>
      </c>
      <c r="Q93" s="35">
        <f>('[1]Bilan 2035'!$W$13)/11.63</f>
        <v>11.60340380118288</v>
      </c>
      <c r="R93" s="35">
        <f>('[1]Bilan 2035'!$W$22+'[1]Bilan 2035'!$W$30+SUM('[1]Bilan 2035'!$W$36:$W$40)+SUM('[1]Bilan 2035'!$W$44:$W$45)+'[1]Bilan 2035'!$W$47)/11.63</f>
        <v>6.9321344622243126</v>
      </c>
      <c r="S93" s="171">
        <f t="shared" si="21"/>
        <v>19.321732641993904</v>
      </c>
      <c r="T93" s="99"/>
      <c r="U93" s="176" t="s">
        <v>22</v>
      </c>
      <c r="V93" t="s">
        <v>101</v>
      </c>
      <c r="W93" t="s">
        <v>102</v>
      </c>
      <c r="X93" t="s">
        <v>103</v>
      </c>
      <c r="Y93" t="s">
        <v>104</v>
      </c>
      <c r="Z93" s="8">
        <v>0</v>
      </c>
      <c r="AA93" s="8">
        <v>1.9031772140000001</v>
      </c>
      <c r="AB93" s="8">
        <v>13.323713789999999</v>
      </c>
      <c r="AC93" s="8">
        <v>7.4212506149999999</v>
      </c>
      <c r="AD93" s="121">
        <v>22.648141619</v>
      </c>
    </row>
    <row r="94" spans="2:30" x14ac:dyDescent="0.25">
      <c r="C94" s="176" t="s">
        <v>23</v>
      </c>
      <c r="H94" s="8">
        <f>SUM(H95:H97)</f>
        <v>2.7931331483999999</v>
      </c>
      <c r="I94" s="8">
        <f>SUM(I95:I97)</f>
        <v>15.180568347000001</v>
      </c>
      <c r="J94" s="8">
        <f>SUM(J95:J97)</f>
        <v>12.994980092500001</v>
      </c>
      <c r="K94" s="8">
        <f>SUM(K95:K97)</f>
        <v>19.1618820148</v>
      </c>
      <c r="L94" s="121">
        <f t="shared" si="20"/>
        <v>50.130563602700001</v>
      </c>
      <c r="M94" s="99"/>
      <c r="N94" s="179" t="s">
        <v>280</v>
      </c>
      <c r="O94" s="36">
        <f>O95+O96</f>
        <v>3.9553292854700368</v>
      </c>
      <c r="P94" s="35">
        <f t="shared" ref="P94:R94" si="22">P95+P96</f>
        <v>11.944511664213444</v>
      </c>
      <c r="Q94" s="35">
        <f t="shared" si="22"/>
        <v>9.4578136584636443</v>
      </c>
      <c r="R94" s="35">
        <f t="shared" si="22"/>
        <v>13.231890023314502</v>
      </c>
      <c r="S94" s="171">
        <f t="shared" si="21"/>
        <v>38.589544631461621</v>
      </c>
      <c r="T94" s="99"/>
      <c r="U94" s="176" t="s">
        <v>23</v>
      </c>
      <c r="Z94" s="8">
        <v>3.9399808370000002</v>
      </c>
      <c r="AA94" s="8">
        <v>20.543176041000002</v>
      </c>
      <c r="AB94" s="8">
        <v>13.378807820700001</v>
      </c>
      <c r="AC94" s="8">
        <v>19.409515790299999</v>
      </c>
      <c r="AD94" s="121">
        <v>57.271480489000005</v>
      </c>
    </row>
    <row r="95" spans="2:30" x14ac:dyDescent="0.25">
      <c r="C95" s="178" t="s">
        <v>24</v>
      </c>
      <c r="D95" t="s">
        <v>596</v>
      </c>
      <c r="E95" t="s">
        <v>597</v>
      </c>
      <c r="F95" t="s">
        <v>598</v>
      </c>
      <c r="G95" t="s">
        <v>599</v>
      </c>
      <c r="H95" s="19">
        <f>VLOOKUP(D95,Résultats!$B$2:$AX$476,'T energie vecteurs'!T5,FALSE)</f>
        <v>1.830644468</v>
      </c>
      <c r="I95" s="19">
        <f>VLOOKUP(E95,Résultats!$B$2:$AX$476,'T energie vecteurs'!T5,FALSE)</f>
        <v>9.9967837680000002</v>
      </c>
      <c r="J95" s="19">
        <f>VLOOKUP(F95,Résultats!$B$2:$AX$476,'T energie vecteurs'!T5,FALSE)</f>
        <v>12.61584075</v>
      </c>
      <c r="K95" s="19">
        <f>VLOOKUP(G95,Résultats!$B$2:$AX$476,'T energie vecteurs'!T5,FALSE)</f>
        <v>16.20438223</v>
      </c>
      <c r="L95" s="120">
        <f t="shared" si="20"/>
        <v>40.647651216</v>
      </c>
      <c r="M95" s="19"/>
      <c r="N95" s="178" t="s">
        <v>281</v>
      </c>
      <c r="O95" s="172">
        <f>'[1]Bilan 2035'!$U$46/11.63</f>
        <v>0.53312193513684658</v>
      </c>
      <c r="P95" s="37">
        <f>SUM('[1]Bilan 2035'!$U$41:$U$43)/11.63</f>
        <v>2.0748420527036808</v>
      </c>
      <c r="Q95" s="37">
        <f>'[1]Bilan 2035'!$U$13/11.63</f>
        <v>9.4578136584636443</v>
      </c>
      <c r="R95" s="37">
        <f>('[1]Bilan 2035'!$U$22+'[1]Bilan 2035'!$U$30+SUM('[1]Bilan 2035'!$U$36:$U$40)+SUM('[1]Bilan 2035'!$U$44:$U$45)+'[1]Bilan 2035'!$U$47)/11.63</f>
        <v>12.12241416055519</v>
      </c>
      <c r="S95" s="120">
        <f t="shared" si="21"/>
        <v>24.188191806859361</v>
      </c>
      <c r="T95" s="19"/>
      <c r="U95" s="178" t="s">
        <v>24</v>
      </c>
      <c r="V95" t="s">
        <v>105</v>
      </c>
      <c r="W95" t="s">
        <v>106</v>
      </c>
      <c r="X95" t="s">
        <v>107</v>
      </c>
      <c r="Y95" t="s">
        <v>108</v>
      </c>
      <c r="Z95" s="19">
        <v>2.8145349749999999</v>
      </c>
      <c r="AA95" s="19">
        <v>14.926587850000001</v>
      </c>
      <c r="AB95" s="19">
        <v>12.97554289</v>
      </c>
      <c r="AC95" s="19">
        <v>16.085233370000001</v>
      </c>
      <c r="AD95" s="120">
        <v>46.801899085000002</v>
      </c>
    </row>
    <row r="96" spans="2:30" x14ac:dyDescent="0.25">
      <c r="C96" s="178" t="s">
        <v>153</v>
      </c>
      <c r="D96" t="s">
        <v>600</v>
      </c>
      <c r="E96" t="s">
        <v>601</v>
      </c>
      <c r="F96" t="s">
        <v>602</v>
      </c>
      <c r="G96" t="s">
        <v>603</v>
      </c>
      <c r="H96" s="19">
        <f>VLOOKUP(D96,Résultats!$B$2:$AX$476,'T energie vecteurs'!T5,FALSE)</f>
        <v>0.96248868040000002</v>
      </c>
      <c r="I96" s="19">
        <f>VLOOKUP(E96,Résultats!$B$2:$AX$476,'T energie vecteurs'!T5,FALSE)</f>
        <v>2.3160421439999999</v>
      </c>
      <c r="J96" s="19">
        <f>VLOOKUP(F96,Résultats!$B$2:$AX$476,'T energie vecteurs'!T5,FALSE)</f>
        <v>0</v>
      </c>
      <c r="K96" s="19">
        <f>VLOOKUP(G96,Résultats!$B$2:$AX$476,'T energie vecteurs'!T5,FALSE)</f>
        <v>2.5034648320000001</v>
      </c>
      <c r="L96" s="120">
        <f t="shared" si="20"/>
        <v>5.7819956563999995</v>
      </c>
      <c r="M96" s="19"/>
      <c r="N96" s="178" t="s">
        <v>153</v>
      </c>
      <c r="O96" s="28">
        <f>'[1]Bilan 2035'!$E$52/11.63</f>
        <v>3.4222073503331902</v>
      </c>
      <c r="P96" s="19">
        <f>('[1]Bilan 2035'!$E$54+'[1]Bilan 2035'!$E$56)/11.63</f>
        <v>9.8696696115097637</v>
      </c>
      <c r="Q96" s="19">
        <v>0</v>
      </c>
      <c r="R96" s="19">
        <f>('[1]Bilan 2035'!$E$53+'[1]Bilan 2035'!$E$55+'[1]Bilan 2035'!$E$57)/11.63</f>
        <v>1.1094758627593131</v>
      </c>
      <c r="S96" s="120">
        <f t="shared" si="21"/>
        <v>14.401352824602267</v>
      </c>
      <c r="T96" s="19"/>
      <c r="U96" s="178" t="s">
        <v>153</v>
      </c>
      <c r="V96" t="s">
        <v>154</v>
      </c>
      <c r="W96" t="s">
        <v>155</v>
      </c>
      <c r="X96" t="s">
        <v>156</v>
      </c>
      <c r="Y96" t="s">
        <v>157</v>
      </c>
      <c r="Z96" s="19">
        <v>1.1254458620000001</v>
      </c>
      <c r="AA96" s="19">
        <v>2.8182461910000001</v>
      </c>
      <c r="AB96" s="19">
        <v>0</v>
      </c>
      <c r="AC96" s="19">
        <v>2.9238783970000002</v>
      </c>
      <c r="AD96" s="120">
        <v>6.8675704500000005</v>
      </c>
    </row>
    <row r="97" spans="3:30" x14ac:dyDescent="0.25">
      <c r="C97" s="178" t="s">
        <v>25</v>
      </c>
      <c r="D97" t="s">
        <v>604</v>
      </c>
      <c r="E97" t="s">
        <v>605</v>
      </c>
      <c r="F97" t="s">
        <v>606</v>
      </c>
      <c r="G97" t="s">
        <v>607</v>
      </c>
      <c r="H97" s="19">
        <f>VLOOKUP(D97,Résultats!$B$2:$AX$476,'T energie vecteurs'!T5,FALSE)</f>
        <v>0</v>
      </c>
      <c r="I97" s="19">
        <f>VLOOKUP(E97,Résultats!$B$2:$AX$476,'T energie vecteurs'!T5,FALSE)</f>
        <v>2.8677424349999998</v>
      </c>
      <c r="J97" s="19">
        <f>VLOOKUP(F97,Résultats!$B$2:$AX$476,'T energie vecteurs'!T5,FALSE)</f>
        <v>0.37913934249999998</v>
      </c>
      <c r="K97" s="19">
        <f>VLOOKUP(G97,Résultats!$B$2:$AX$476,'T energie vecteurs'!T5,FALSE)</f>
        <v>0.4540349528</v>
      </c>
      <c r="L97" s="120">
        <f t="shared" si="20"/>
        <v>3.7009167302999995</v>
      </c>
      <c r="M97" s="19"/>
      <c r="N97" s="179" t="s">
        <v>25</v>
      </c>
      <c r="O97" s="36">
        <f>'[1]Bilan 2035'!$T$46/11.63</f>
        <v>0</v>
      </c>
      <c r="P97" s="35">
        <f>SUM('[1]Bilan 2035'!$T$41:$T$43)/11.63</f>
        <v>2.9333630598729807</v>
      </c>
      <c r="Q97" s="35">
        <f>'[1]Bilan 2035'!$T$13/11.63</f>
        <v>0.61074147074884144</v>
      </c>
      <c r="R97" s="35">
        <f>('[1]Bilan 2035'!$T$22+'[1]Bilan 2035'!$T$30+SUM('[1]Bilan 2035'!$T$36:$T$40)+SUM('[1]Bilan 2035'!$T$44:$T$45)+'[1]Bilan 2035'!$T$47)/11.63</f>
        <v>0.3773602321326443</v>
      </c>
      <c r="S97" s="171">
        <f t="shared" si="21"/>
        <v>3.9214647627544661</v>
      </c>
      <c r="T97" s="19"/>
      <c r="U97" s="178" t="s">
        <v>25</v>
      </c>
      <c r="V97" t="s">
        <v>109</v>
      </c>
      <c r="W97" t="s">
        <v>110</v>
      </c>
      <c r="X97" t="s">
        <v>111</v>
      </c>
      <c r="Y97" t="s">
        <v>112</v>
      </c>
      <c r="Z97" s="19">
        <v>0</v>
      </c>
      <c r="AA97" s="19">
        <v>2.7983419999999999</v>
      </c>
      <c r="AB97" s="19">
        <v>0.40326493070000002</v>
      </c>
      <c r="AC97" s="19">
        <v>0.40040402330000002</v>
      </c>
      <c r="AD97" s="120">
        <v>3.6020109539999998</v>
      </c>
    </row>
    <row r="98" spans="3:30" x14ac:dyDescent="0.25">
      <c r="C98" s="29" t="s">
        <v>26</v>
      </c>
      <c r="D98" s="10"/>
      <c r="E98" s="10"/>
      <c r="F98" s="10"/>
      <c r="G98" s="10"/>
      <c r="H98" s="9">
        <f>SUM(H89,H92:H94)</f>
        <v>2.9488307266999998</v>
      </c>
      <c r="I98" s="9">
        <f>SUM(I89,I92:I94)</f>
        <v>56.509111636</v>
      </c>
      <c r="J98" s="9">
        <f>SUM(J89,J92:J94)</f>
        <v>46.701904440500002</v>
      </c>
      <c r="K98" s="9">
        <f>SUM(K89,K92:K94)</f>
        <v>50.954395280054896</v>
      </c>
      <c r="L98" s="123">
        <f t="shared" si="20"/>
        <v>157.11424208325491</v>
      </c>
      <c r="M98" s="105"/>
      <c r="N98" s="180" t="s">
        <v>26</v>
      </c>
      <c r="O98" s="40">
        <f>O89+O92+O93+O94+O97</f>
        <v>3.9553292854700368</v>
      </c>
      <c r="P98" s="38">
        <f>P89+P92+P93+P94+P97</f>
        <v>45.245630213935705</v>
      </c>
      <c r="Q98" s="38">
        <f>Q89+Q92+Q93+Q94+Q97</f>
        <v>41.425734906633224</v>
      </c>
      <c r="R98" s="38">
        <f>R89+R92+R93+R94+R97</f>
        <v>43.7122865771845</v>
      </c>
      <c r="S98" s="173">
        <f t="shared" si="21"/>
        <v>134.33898098322345</v>
      </c>
      <c r="T98" s="105"/>
      <c r="U98" s="29" t="s">
        <v>26</v>
      </c>
      <c r="V98" s="10"/>
      <c r="W98" s="10"/>
      <c r="X98" s="10"/>
      <c r="Y98" s="10"/>
      <c r="Z98" s="9">
        <v>4.0971976459000006</v>
      </c>
      <c r="AA98" s="9">
        <v>65.013944988000006</v>
      </c>
      <c r="AB98" s="9">
        <v>46.631204774699995</v>
      </c>
      <c r="AC98" s="9">
        <v>48.498633370741899</v>
      </c>
      <c r="AD98" s="123">
        <v>164.2409807793419</v>
      </c>
    </row>
    <row r="99" spans="3:30" s="3" customFormat="1" x14ac:dyDescent="0.25"/>
    <row r="100" spans="3:30" s="3" customFormat="1" x14ac:dyDescent="0.25"/>
    <row r="101" spans="3:30" s="3" customFormat="1" ht="31.5" x14ac:dyDescent="0.35">
      <c r="C101" s="174">
        <v>2040</v>
      </c>
      <c r="D101" s="175"/>
      <c r="E101" s="175"/>
      <c r="F101" s="175"/>
      <c r="G101" s="175"/>
      <c r="H101" s="101" t="s">
        <v>36</v>
      </c>
      <c r="I101" s="101" t="s">
        <v>159</v>
      </c>
      <c r="J101" s="101" t="s">
        <v>38</v>
      </c>
      <c r="K101" s="101" t="s">
        <v>158</v>
      </c>
      <c r="L101" s="118" t="s">
        <v>1</v>
      </c>
      <c r="M101" s="25"/>
      <c r="N101" s="174">
        <v>2040</v>
      </c>
      <c r="O101" s="170" t="s">
        <v>36</v>
      </c>
      <c r="P101" s="101" t="s">
        <v>159</v>
      </c>
      <c r="Q101" s="101" t="s">
        <v>38</v>
      </c>
      <c r="R101" s="101" t="s">
        <v>158</v>
      </c>
      <c r="S101" s="118" t="s">
        <v>1</v>
      </c>
      <c r="U101" s="174">
        <v>2040</v>
      </c>
      <c r="V101" s="175"/>
      <c r="W101" s="175"/>
      <c r="X101" s="175"/>
      <c r="Y101" s="175"/>
      <c r="Z101" s="101" t="s">
        <v>36</v>
      </c>
      <c r="AA101" s="101" t="s">
        <v>159</v>
      </c>
      <c r="AB101" s="101" t="s">
        <v>38</v>
      </c>
      <c r="AC101" s="101" t="s">
        <v>158</v>
      </c>
      <c r="AD101" s="118" t="s">
        <v>1</v>
      </c>
    </row>
    <row r="102" spans="3:30" s="3" customFormat="1" x14ac:dyDescent="0.25">
      <c r="C102" s="176" t="s">
        <v>18</v>
      </c>
      <c r="D102"/>
      <c r="E102"/>
      <c r="F102"/>
      <c r="G102"/>
      <c r="H102" s="8">
        <f>SUM(H103:H104)</f>
        <v>0</v>
      </c>
      <c r="I102" s="8">
        <f>SUM(I103:I104)</f>
        <v>32.698672219999999</v>
      </c>
      <c r="J102" s="8">
        <f>SUM(J103:J104)</f>
        <v>4.5398644019999992</v>
      </c>
      <c r="K102" s="8">
        <f>SUM(K103:K104)</f>
        <v>3.1795580877448</v>
      </c>
      <c r="L102" s="121">
        <f t="shared" ref="L102:L111" si="23">SUM(H102:K102)</f>
        <v>40.4180947097448</v>
      </c>
      <c r="M102" s="99"/>
      <c r="N102" s="179" t="s">
        <v>18</v>
      </c>
      <c r="O102" s="36">
        <f>'[1]Bilan 2040'!$X$46/11.63</f>
        <v>0</v>
      </c>
      <c r="P102" s="35">
        <f>SUM('[1]Bilan 2040'!$X$41:$X$43)/11.63</f>
        <v>23.504697168694122</v>
      </c>
      <c r="Q102" s="35">
        <f>'[1]Bilan 2040'!$X$13/11.63</f>
        <v>5.3384407017958537</v>
      </c>
      <c r="R102" s="35">
        <f>('[1]Bilan 2040'!$X$22+'[1]Bilan 2040'!$X$30+SUM('[1]Bilan 2040'!$X$36:$X$40)+SUM('[1]Bilan 2040'!$X$44:$X$45)+'[1]Bilan 2040'!$X$47)/11.63</f>
        <v>2.7897080492637398</v>
      </c>
      <c r="S102" s="171">
        <f>SUM(O102:R102)</f>
        <v>31.632845919753716</v>
      </c>
      <c r="U102" s="176" t="s">
        <v>18</v>
      </c>
      <c r="V102"/>
      <c r="W102"/>
      <c r="X102"/>
      <c r="Y102"/>
      <c r="Z102" s="8">
        <v>0</v>
      </c>
      <c r="AA102" s="8">
        <v>36.959097059999998</v>
      </c>
      <c r="AB102" s="8">
        <v>5.7191832749999998</v>
      </c>
      <c r="AC102" s="8">
        <v>3.7855244943277997</v>
      </c>
      <c r="AD102" s="121">
        <v>46.463804829327799</v>
      </c>
    </row>
    <row r="103" spans="3:30" s="3" customFormat="1" x14ac:dyDescent="0.25">
      <c r="C103" s="177" t="s">
        <v>19</v>
      </c>
      <c r="D103" t="s">
        <v>580</v>
      </c>
      <c r="E103" t="s">
        <v>581</v>
      </c>
      <c r="F103" t="s">
        <v>582</v>
      </c>
      <c r="G103" t="s">
        <v>583</v>
      </c>
      <c r="H103" s="37">
        <f>VLOOKUP(D103,Résultats!$B$2:$AX$476,'T energie vecteurs'!U5,FALSE)</f>
        <v>0</v>
      </c>
      <c r="I103" s="37">
        <f>VLOOKUP(E103,Résultats!$B$2:$AX$476,'T energie vecteurs'!U5,FALSE)</f>
        <v>14.24252164</v>
      </c>
      <c r="J103" s="37">
        <f>VLOOKUP(F103,Résultats!$B$2:$AX$476,'T energie vecteurs'!U5,FALSE)</f>
        <v>2.0353942639999998</v>
      </c>
      <c r="K103" s="37">
        <f>VLOOKUP(G103,Résultats!$B$2:$AX$476,'T energie vecteurs'!U5,FALSE)</f>
        <v>4.4084744800000002E-5</v>
      </c>
      <c r="L103" s="266">
        <f t="shared" si="23"/>
        <v>16.277959988744801</v>
      </c>
      <c r="M103" s="19"/>
      <c r="N103" s="177" t="s">
        <v>19</v>
      </c>
      <c r="O103" s="172"/>
      <c r="P103" s="19"/>
      <c r="Q103" s="55"/>
      <c r="R103" s="19"/>
      <c r="S103" s="120"/>
      <c r="U103" s="177" t="s">
        <v>19</v>
      </c>
      <c r="V103" t="s">
        <v>89</v>
      </c>
      <c r="W103" t="s">
        <v>90</v>
      </c>
      <c r="X103" t="s">
        <v>91</v>
      </c>
      <c r="Y103" t="s">
        <v>92</v>
      </c>
      <c r="Z103" s="37">
        <v>0</v>
      </c>
      <c r="AA103" s="37">
        <v>14.646265290000001</v>
      </c>
      <c r="AB103" s="265">
        <v>2.037764567</v>
      </c>
      <c r="AC103" s="37">
        <v>3.2073327799999997E-5</v>
      </c>
      <c r="AD103" s="266">
        <v>16.6840619303278</v>
      </c>
    </row>
    <row r="104" spans="3:30" s="3" customFormat="1" x14ac:dyDescent="0.25">
      <c r="C104" s="178" t="s">
        <v>20</v>
      </c>
      <c r="D104" t="s">
        <v>584</v>
      </c>
      <c r="E104" t="s">
        <v>585</v>
      </c>
      <c r="F104" t="s">
        <v>586</v>
      </c>
      <c r="G104" t="s">
        <v>587</v>
      </c>
      <c r="H104" s="37">
        <f>VLOOKUP(D104,Résultats!$B$2:$AX$476,'T energie vecteurs'!U5,FALSE)</f>
        <v>0</v>
      </c>
      <c r="I104" s="37">
        <f>VLOOKUP(E104,Résultats!$B$2:$AX$476,'T energie vecteurs'!U5,FALSE)</f>
        <v>18.456150579999999</v>
      </c>
      <c r="J104" s="37">
        <f>VLOOKUP(F104,Résultats!$B$2:$AX$476,'T energie vecteurs'!U5,FALSE)</f>
        <v>2.5044701379999998</v>
      </c>
      <c r="K104" s="37">
        <f>VLOOKUP(G104,Résultats!$B$2:$AX$476,'T energie vecteurs'!U5,FALSE)</f>
        <v>3.179514003</v>
      </c>
      <c r="L104" s="266">
        <f t="shared" si="23"/>
        <v>24.140134720999999</v>
      </c>
      <c r="M104" s="19"/>
      <c r="N104" s="178" t="s">
        <v>20</v>
      </c>
      <c r="O104" s="172"/>
      <c r="P104" s="19"/>
      <c r="Q104" s="55"/>
      <c r="R104" s="19"/>
      <c r="S104" s="120"/>
      <c r="U104" s="178" t="s">
        <v>20</v>
      </c>
      <c r="V104" t="s">
        <v>93</v>
      </c>
      <c r="W104" t="s">
        <v>94</v>
      </c>
      <c r="X104" t="s">
        <v>95</v>
      </c>
      <c r="Y104" t="s">
        <v>96</v>
      </c>
      <c r="Z104" s="37">
        <v>0</v>
      </c>
      <c r="AA104" s="37">
        <v>22.312831769999999</v>
      </c>
      <c r="AB104" s="37">
        <v>3.6814187079999998</v>
      </c>
      <c r="AC104" s="37">
        <v>3.7854924209999998</v>
      </c>
      <c r="AD104" s="266">
        <v>29.779742898999999</v>
      </c>
    </row>
    <row r="105" spans="3:30" s="3" customFormat="1" x14ac:dyDescent="0.25">
      <c r="C105" s="176" t="s">
        <v>21</v>
      </c>
      <c r="D105" t="s">
        <v>588</v>
      </c>
      <c r="E105" t="s">
        <v>589</v>
      </c>
      <c r="F105" t="s">
        <v>590</v>
      </c>
      <c r="G105" t="s">
        <v>591</v>
      </c>
      <c r="H105" s="267">
        <f>VLOOKUP(D105,Résultats!$B$2:$AX$476,'T energie vecteurs'!U5,FALSE)</f>
        <v>0.1388057288</v>
      </c>
      <c r="I105" s="267">
        <f>VLOOKUP(E105,Résultats!$B$2:$AX$476,'T energie vecteurs'!U5,FALSE)</f>
        <v>3.9003254799999998</v>
      </c>
      <c r="J105" s="267">
        <f>VLOOKUP(F105,Résultats!$B$2:$AX$476,'T energie vecteurs'!U5,FALSE)</f>
        <v>16.29927056</v>
      </c>
      <c r="K105" s="267">
        <f>VLOOKUP(G105,Résultats!$B$2:$AX$476,'T energie vecteurs'!U5,FALSE)+8</f>
        <v>19.935708269999999</v>
      </c>
      <c r="L105" s="268">
        <f t="shared" si="23"/>
        <v>40.274110038800004</v>
      </c>
      <c r="M105" s="99"/>
      <c r="N105" s="179" t="s">
        <v>21</v>
      </c>
      <c r="O105" s="36">
        <f>'[1]Bilan 2040'!$V$46/11.63</f>
        <v>0</v>
      </c>
      <c r="P105" s="35">
        <f>SUM('[1]Bilan 2040'!$V$41:$V$43)/11.63</f>
        <v>1.5217705718446504</v>
      </c>
      <c r="Q105" s="35">
        <f>'[1]Bilan 2040'!$V$13/11.63</f>
        <v>16.100467182146332</v>
      </c>
      <c r="R105" s="35">
        <f>('[1]Bilan 2040'!$V$22+'[1]Bilan 2040'!$V$30+SUM('[1]Bilan 2040'!$V$36:$V$40)+SUM('[1]Bilan 2040'!$V$44:$V$45)+'[1]Bilan 2040'!$V$47)/11.63</f>
        <v>20.91841103225741</v>
      </c>
      <c r="S105" s="171">
        <f t="shared" ref="S105:S111" si="24">SUM(O105:R105)</f>
        <v>38.540648786248397</v>
      </c>
      <c r="U105" s="176" t="s">
        <v>21</v>
      </c>
      <c r="V105" t="s">
        <v>97</v>
      </c>
      <c r="W105" t="s">
        <v>98</v>
      </c>
      <c r="X105" t="s">
        <v>99</v>
      </c>
      <c r="Y105" t="s">
        <v>100</v>
      </c>
      <c r="Z105" s="267">
        <v>0.1379359845</v>
      </c>
      <c r="AA105" s="267">
        <v>3.449879954</v>
      </c>
      <c r="AB105" s="267">
        <v>15.996784570000001</v>
      </c>
      <c r="AC105" s="267">
        <v>18.099164890000001</v>
      </c>
      <c r="AD105" s="268">
        <v>37.6837653985</v>
      </c>
    </row>
    <row r="106" spans="3:30" s="3" customFormat="1" x14ac:dyDescent="0.25">
      <c r="C106" s="176" t="s">
        <v>22</v>
      </c>
      <c r="D106" t="s">
        <v>592</v>
      </c>
      <c r="E106" t="s">
        <v>593</v>
      </c>
      <c r="F106" t="s">
        <v>594</v>
      </c>
      <c r="G106" t="s">
        <v>595</v>
      </c>
      <c r="H106" s="267">
        <f>VLOOKUP(D106,Résultats!$B$2:$AX$476,'T energie vecteurs'!U5,FALSE)</f>
        <v>0</v>
      </c>
      <c r="I106" s="267">
        <f>VLOOKUP(E106,Résultats!$B$2:$AX$476,'T energie vecteurs'!U5,FALSE)</f>
        <v>1.9649021550000001</v>
      </c>
      <c r="J106" s="267">
        <f>VLOOKUP(F106,Résultats!$B$2:$AX$476,'T energie vecteurs'!U5,FALSE)</f>
        <v>14.45053961</v>
      </c>
      <c r="K106" s="267">
        <f>VLOOKUP(G106,Résultats!$B$2:$AX$476,'T energie vecteurs'!U5,FALSE)</f>
        <v>8.7677531099999904</v>
      </c>
      <c r="L106" s="268">
        <f t="shared" si="23"/>
        <v>25.183194874999991</v>
      </c>
      <c r="M106" s="99"/>
      <c r="N106" s="179" t="s">
        <v>22</v>
      </c>
      <c r="O106" s="36">
        <f>('[1]Bilan 2040'!$W$46)/11.63</f>
        <v>0</v>
      </c>
      <c r="P106" s="35">
        <f>SUM('[1]Bilan 2040'!$W$41:$W$43)/11.63</f>
        <v>0.4952300504112862</v>
      </c>
      <c r="Q106" s="35">
        <f>('[1]Bilan 2040'!$W$13)/11.63</f>
        <v>11.924705484934304</v>
      </c>
      <c r="R106" s="35">
        <f>('[1]Bilan 2040'!$W$22+'[1]Bilan 2040'!$W$30+SUM('[1]Bilan 2040'!$W$36:$W$40)+SUM('[1]Bilan 2040'!$W$44:$W$45)+'[1]Bilan 2040'!$W$47)/11.63</f>
        <v>6.9475060506073669</v>
      </c>
      <c r="S106" s="171">
        <f t="shared" si="24"/>
        <v>19.367441585952957</v>
      </c>
      <c r="U106" s="176" t="s">
        <v>22</v>
      </c>
      <c r="V106" t="s">
        <v>101</v>
      </c>
      <c r="W106" t="s">
        <v>102</v>
      </c>
      <c r="X106" t="s">
        <v>103</v>
      </c>
      <c r="Y106" t="s">
        <v>104</v>
      </c>
      <c r="Z106" s="267">
        <v>0</v>
      </c>
      <c r="AA106" s="267">
        <v>1.6772777619999999</v>
      </c>
      <c r="AB106" s="267">
        <v>13.688227769999999</v>
      </c>
      <c r="AC106" s="267">
        <v>7.1040742950000002</v>
      </c>
      <c r="AD106" s="268">
        <v>22.469579826999997</v>
      </c>
    </row>
    <row r="107" spans="3:30" s="3" customFormat="1" x14ac:dyDescent="0.25">
      <c r="C107" s="176" t="s">
        <v>23</v>
      </c>
      <c r="D107"/>
      <c r="E107"/>
      <c r="F107"/>
      <c r="G107"/>
      <c r="H107" s="267">
        <f>SUM(H108:H110)</f>
        <v>2.9195638647000002</v>
      </c>
      <c r="I107" s="267">
        <f>SUM(I108:I110)</f>
        <v>16.416548855000002</v>
      </c>
      <c r="J107" s="267">
        <f>SUM(J108:J110)</f>
        <v>14.054257236600002</v>
      </c>
      <c r="K107" s="267">
        <f>SUM(K108:K110)</f>
        <v>20.3677424055</v>
      </c>
      <c r="L107" s="268">
        <f t="shared" si="23"/>
        <v>53.758112361800002</v>
      </c>
      <c r="M107" s="99"/>
      <c r="N107" s="179" t="s">
        <v>280</v>
      </c>
      <c r="O107" s="36">
        <f>O108+O109</f>
        <v>3.8874337769367404</v>
      </c>
      <c r="P107" s="35">
        <f t="shared" ref="P107:R107" si="25">P108+P109</f>
        <v>11.388314604220763</v>
      </c>
      <c r="Q107" s="35">
        <f t="shared" si="25"/>
        <v>9.6134424318279077</v>
      </c>
      <c r="R107" s="35">
        <f t="shared" si="25"/>
        <v>13.104002297133148</v>
      </c>
      <c r="S107" s="171">
        <f t="shared" si="24"/>
        <v>37.993193110118561</v>
      </c>
      <c r="U107" s="176" t="s">
        <v>23</v>
      </c>
      <c r="V107"/>
      <c r="W107"/>
      <c r="X107"/>
      <c r="Y107"/>
      <c r="Z107" s="267">
        <v>4.3400296889999996</v>
      </c>
      <c r="AA107" s="267">
        <v>22.625466808999999</v>
      </c>
      <c r="AB107" s="267">
        <v>15.1917268877</v>
      </c>
      <c r="AC107" s="267">
        <v>21.330928298400003</v>
      </c>
      <c r="AD107" s="268">
        <v>63.488151684100004</v>
      </c>
    </row>
    <row r="108" spans="3:30" s="3" customFormat="1" x14ac:dyDescent="0.25">
      <c r="C108" s="178" t="s">
        <v>24</v>
      </c>
      <c r="D108" t="s">
        <v>596</v>
      </c>
      <c r="E108" t="s">
        <v>597</v>
      </c>
      <c r="F108" t="s">
        <v>598</v>
      </c>
      <c r="G108" t="s">
        <v>599</v>
      </c>
      <c r="H108" s="37">
        <f>VLOOKUP(D108,Résultats!$B$2:$AX$476,'T energie vecteurs'!U5,FALSE)</f>
        <v>1.9271722790000001</v>
      </c>
      <c r="I108" s="37">
        <f>VLOOKUP(E108,Résultats!$B$2:$AX$476,'T energie vecteurs'!U5,FALSE)</f>
        <v>10.78605632</v>
      </c>
      <c r="J108" s="37">
        <f>VLOOKUP(F108,Résultats!$B$2:$AX$476,'T energie vecteurs'!U5,FALSE)</f>
        <v>13.644720380000001</v>
      </c>
      <c r="K108" s="37">
        <f>VLOOKUP(G108,Résultats!$B$2:$AX$476,'T energie vecteurs'!U5,FALSE)</f>
        <v>17.21977051</v>
      </c>
      <c r="L108" s="266">
        <f t="shared" si="23"/>
        <v>43.577719489000003</v>
      </c>
      <c r="M108" s="19"/>
      <c r="N108" s="178" t="s">
        <v>281</v>
      </c>
      <c r="O108" s="172">
        <f>'[1]Bilan 2040'!$U$46/11.63</f>
        <v>0.46996817074585479</v>
      </c>
      <c r="P108" s="37">
        <f>SUM('[1]Bilan 2040'!$U$41:$U$43)/11.63</f>
        <v>1.9564072098333778</v>
      </c>
      <c r="Q108" s="37">
        <f>'[1]Bilan 2040'!$U$13/11.63</f>
        <v>9.6134424318279077</v>
      </c>
      <c r="R108" s="37">
        <f>('[1]Bilan 2040'!$U$22+'[1]Bilan 2040'!$U$30+SUM('[1]Bilan 2040'!$U$36:$U$40)+SUM('[1]Bilan 2040'!$U$44:$U$45)+'[1]Bilan 2040'!$U$47)/11.63</f>
        <v>11.936351978766361</v>
      </c>
      <c r="S108" s="120">
        <f t="shared" si="24"/>
        <v>23.976169791173501</v>
      </c>
      <c r="U108" s="178" t="s">
        <v>24</v>
      </c>
      <c r="V108" t="s">
        <v>105</v>
      </c>
      <c r="W108" t="s">
        <v>106</v>
      </c>
      <c r="X108" t="s">
        <v>107</v>
      </c>
      <c r="Y108" t="s">
        <v>108</v>
      </c>
      <c r="Z108" s="37">
        <v>3.0981000710000002</v>
      </c>
      <c r="AA108" s="37">
        <v>16.407926639999999</v>
      </c>
      <c r="AB108" s="37">
        <v>14.72986798</v>
      </c>
      <c r="AC108" s="37">
        <v>17.628857150000002</v>
      </c>
      <c r="AD108" s="266">
        <v>51.864751841</v>
      </c>
    </row>
    <row r="109" spans="3:30" s="3" customFormat="1" x14ac:dyDescent="0.25">
      <c r="C109" s="178" t="s">
        <v>153</v>
      </c>
      <c r="D109" t="s">
        <v>600</v>
      </c>
      <c r="E109" t="s">
        <v>601</v>
      </c>
      <c r="F109" t="s">
        <v>602</v>
      </c>
      <c r="G109" t="s">
        <v>603</v>
      </c>
      <c r="H109" s="37">
        <f>VLOOKUP(D109,Résultats!$B$2:$AX$476,'T energie vecteurs'!U5,FALSE)</f>
        <v>0.99239158569999997</v>
      </c>
      <c r="I109" s="37">
        <f>VLOOKUP(E109,Résultats!$B$2:$AX$476,'T energie vecteurs'!U5,FALSE)</f>
        <v>2.4909320400000001</v>
      </c>
      <c r="J109" s="37">
        <f>VLOOKUP(F109,Résultats!$B$2:$AX$476,'T energie vecteurs'!U5,FALSE)</f>
        <v>0</v>
      </c>
      <c r="K109" s="37">
        <f>VLOOKUP(G109,Résultats!$B$2:$AX$476,'T energie vecteurs'!U5,FALSE)</f>
        <v>2.658669084</v>
      </c>
      <c r="L109" s="266">
        <f t="shared" si="23"/>
        <v>6.1419927097000002</v>
      </c>
      <c r="M109" s="19"/>
      <c r="N109" s="178" t="s">
        <v>153</v>
      </c>
      <c r="O109" s="28">
        <f>'[1]Bilan 2040'!$E$52/11.63</f>
        <v>3.4174656061908855</v>
      </c>
      <c r="P109" s="19">
        <f>('[1]Bilan 2040'!$E$54+'[1]Bilan 2040'!$E$56)/11.63</f>
        <v>9.4319073943873857</v>
      </c>
      <c r="Q109" s="19">
        <v>0</v>
      </c>
      <c r="R109" s="19">
        <f>('[1]Bilan 2040'!$E$53+'[1]Bilan 2040'!$E$55+'[1]Bilan 2040'!$E$57)/11.63</f>
        <v>1.1676503183667879</v>
      </c>
      <c r="S109" s="120">
        <f t="shared" si="24"/>
        <v>14.017023318945059</v>
      </c>
      <c r="U109" s="178" t="s">
        <v>153</v>
      </c>
      <c r="V109" t="s">
        <v>154</v>
      </c>
      <c r="W109" t="s">
        <v>155</v>
      </c>
      <c r="X109" t="s">
        <v>156</v>
      </c>
      <c r="Y109" t="s">
        <v>157</v>
      </c>
      <c r="Z109" s="37">
        <v>1.2419296179999999</v>
      </c>
      <c r="AA109" s="37">
        <v>3.1616425499999998</v>
      </c>
      <c r="AB109" s="37">
        <v>0</v>
      </c>
      <c r="AC109" s="37">
        <v>3.2657716809999999</v>
      </c>
      <c r="AD109" s="266">
        <v>7.6693438490000005</v>
      </c>
    </row>
    <row r="110" spans="3:30" s="3" customFormat="1" x14ac:dyDescent="0.25">
      <c r="C110" s="178" t="s">
        <v>25</v>
      </c>
      <c r="D110" t="s">
        <v>604</v>
      </c>
      <c r="E110" t="s">
        <v>605</v>
      </c>
      <c r="F110" t="s">
        <v>606</v>
      </c>
      <c r="G110" t="s">
        <v>607</v>
      </c>
      <c r="H110" s="37">
        <f>VLOOKUP(D110,Résultats!$B$2:$AX$476,'T energie vecteurs'!U5,FALSE)</f>
        <v>0</v>
      </c>
      <c r="I110" s="37">
        <f>VLOOKUP(E110,Résultats!$B$2:$AX$476,'T energie vecteurs'!U5,FALSE)</f>
        <v>3.139560495</v>
      </c>
      <c r="J110" s="37">
        <f>VLOOKUP(F110,Résultats!$B$2:$AX$476,'T energie vecteurs'!U5,FALSE)</f>
        <v>0.4095368566</v>
      </c>
      <c r="K110" s="37">
        <f>VLOOKUP(G110,Résultats!$B$2:$AX$476,'T energie vecteurs'!U5,FALSE)</f>
        <v>0.48930281149999999</v>
      </c>
      <c r="L110" s="266">
        <f t="shared" si="23"/>
        <v>4.0384001631000004</v>
      </c>
      <c r="M110" s="19"/>
      <c r="N110" s="179" t="s">
        <v>25</v>
      </c>
      <c r="O110" s="36">
        <f>'[1]Bilan 2040'!$T$46/11.63</f>
        <v>0</v>
      </c>
      <c r="P110" s="35">
        <f>SUM('[1]Bilan 2040'!$T$41:$T$43)/11.63</f>
        <v>2.79232070662915</v>
      </c>
      <c r="Q110" s="35">
        <f>'[1]Bilan 2040'!$T$13/11.63</f>
        <v>0.54723304841648379</v>
      </c>
      <c r="R110" s="35">
        <f>('[1]Bilan 2040'!$T$22+'[1]Bilan 2040'!$T$30+SUM('[1]Bilan 2040'!$T$36:$T$40)+SUM('[1]Bilan 2040'!$T$44:$T$45)+'[1]Bilan 2040'!$T$47)/11.63</f>
        <v>0.43855300175211398</v>
      </c>
      <c r="S110" s="171">
        <f t="shared" si="24"/>
        <v>3.7781067567977473</v>
      </c>
      <c r="U110" s="178" t="s">
        <v>25</v>
      </c>
      <c r="V110" t="s">
        <v>109</v>
      </c>
      <c r="W110" t="s">
        <v>110</v>
      </c>
      <c r="X110" t="s">
        <v>111</v>
      </c>
      <c r="Y110" t="s">
        <v>112</v>
      </c>
      <c r="Z110" s="37">
        <v>0</v>
      </c>
      <c r="AA110" s="37">
        <v>3.055897619</v>
      </c>
      <c r="AB110" s="37">
        <v>0.46185890769999999</v>
      </c>
      <c r="AC110" s="37">
        <v>0.43629946739999997</v>
      </c>
      <c r="AD110" s="266">
        <v>3.9540559941</v>
      </c>
    </row>
    <row r="111" spans="3:30" s="3" customFormat="1" x14ac:dyDescent="0.25">
      <c r="C111" s="29" t="s">
        <v>26</v>
      </c>
      <c r="D111" s="10"/>
      <c r="E111" s="10"/>
      <c r="F111" s="10"/>
      <c r="G111" s="10"/>
      <c r="H111" s="269">
        <f>SUM(H102,H105:H107)</f>
        <v>3.0583695935000001</v>
      </c>
      <c r="I111" s="269">
        <f>SUM(I102,I105:I107)</f>
        <v>54.980448709999997</v>
      </c>
      <c r="J111" s="269">
        <f>SUM(J102,J105:J107)</f>
        <v>49.343931808599997</v>
      </c>
      <c r="K111" s="269">
        <f>SUM(K102,K105:K107)</f>
        <v>52.250761873244791</v>
      </c>
      <c r="L111" s="270">
        <f t="shared" si="23"/>
        <v>159.63351198534477</v>
      </c>
      <c r="M111" s="105"/>
      <c r="N111" s="180" t="s">
        <v>26</v>
      </c>
      <c r="O111" s="40">
        <f>O102+O105+O106+O107+O110</f>
        <v>3.8874337769367404</v>
      </c>
      <c r="P111" s="38">
        <f>P102+P105+P106+P107+P110</f>
        <v>39.702333101799972</v>
      </c>
      <c r="Q111" s="38">
        <f>Q102+Q105+Q106+Q107+Q110</f>
        <v>43.524288849120879</v>
      </c>
      <c r="R111" s="38">
        <f>R102+R105+R106+R107+R110</f>
        <v>44.198180431013775</v>
      </c>
      <c r="S111" s="173">
        <f t="shared" si="24"/>
        <v>131.31223615887137</v>
      </c>
      <c r="U111" s="29" t="s">
        <v>26</v>
      </c>
      <c r="V111" s="10"/>
      <c r="W111" s="10"/>
      <c r="X111" s="10"/>
      <c r="Y111" s="10"/>
      <c r="Z111" s="269">
        <v>4.4779656735</v>
      </c>
      <c r="AA111" s="269">
        <v>64.711721585000006</v>
      </c>
      <c r="AB111" s="269">
        <v>50.595922502699999</v>
      </c>
      <c r="AC111" s="269">
        <v>50.3196919777278</v>
      </c>
      <c r="AD111" s="270">
        <v>170.10530173892778</v>
      </c>
    </row>
    <row r="112" spans="3:30" s="3" customFormat="1" x14ac:dyDescent="0.25"/>
    <row r="113" spans="3:30" s="3" customFormat="1" x14ac:dyDescent="0.25"/>
    <row r="114" spans="3:30" ht="31.5" x14ac:dyDescent="0.35">
      <c r="C114" s="174">
        <v>2050</v>
      </c>
      <c r="D114" s="175"/>
      <c r="E114" s="175"/>
      <c r="F114" s="175"/>
      <c r="G114" s="175"/>
      <c r="H114" s="101" t="s">
        <v>36</v>
      </c>
      <c r="I114" s="101" t="s">
        <v>159</v>
      </c>
      <c r="J114" s="101" t="s">
        <v>38</v>
      </c>
      <c r="K114" s="101" t="s">
        <v>158</v>
      </c>
      <c r="L114" s="118" t="s">
        <v>1</v>
      </c>
      <c r="M114" s="25"/>
      <c r="N114" s="174">
        <v>2050</v>
      </c>
      <c r="O114" s="170" t="s">
        <v>36</v>
      </c>
      <c r="P114" s="101" t="s">
        <v>159</v>
      </c>
      <c r="Q114" s="101" t="s">
        <v>38</v>
      </c>
      <c r="R114" s="101" t="s">
        <v>158</v>
      </c>
      <c r="S114" s="118" t="s">
        <v>1</v>
      </c>
      <c r="T114" s="25"/>
      <c r="U114" s="174">
        <v>2050</v>
      </c>
      <c r="V114" s="175"/>
      <c r="W114" s="175"/>
      <c r="X114" s="175"/>
      <c r="Y114" s="175"/>
      <c r="Z114" s="101" t="s">
        <v>36</v>
      </c>
      <c r="AA114" s="101" t="s">
        <v>159</v>
      </c>
      <c r="AB114" s="101" t="s">
        <v>38</v>
      </c>
      <c r="AC114" s="101" t="s">
        <v>158</v>
      </c>
      <c r="AD114" s="118" t="s">
        <v>1</v>
      </c>
    </row>
    <row r="115" spans="3:30" x14ac:dyDescent="0.25">
      <c r="C115" s="176" t="s">
        <v>18</v>
      </c>
      <c r="H115" s="8">
        <f>SUM(H116:H117)</f>
        <v>0</v>
      </c>
      <c r="I115" s="8">
        <f>SUM(I116:I117)</f>
        <v>30.69433549</v>
      </c>
      <c r="J115" s="8">
        <f>SUM(J116:J117)</f>
        <v>6.258396888</v>
      </c>
      <c r="K115" s="8">
        <f>SUM(K116:K117)</f>
        <v>3.9051687538034003</v>
      </c>
      <c r="L115" s="121">
        <f>SUM(H115:K115)</f>
        <v>40.857901131803402</v>
      </c>
      <c r="M115" s="99"/>
      <c r="N115" s="179" t="s">
        <v>18</v>
      </c>
      <c r="O115" s="36">
        <f>'[1]Bilan 2050'!$X$46/11.63</f>
        <v>0</v>
      </c>
      <c r="P115" s="35">
        <f>SUM('[1]Bilan 2050'!$X$41:$X$43)/11.63</f>
        <v>20.444690116616325</v>
      </c>
      <c r="Q115" s="35">
        <f>'[1]Bilan 2050'!$X$13/11.63</f>
        <v>6.9492063867804656</v>
      </c>
      <c r="R115" s="35">
        <f>('[1]Bilan 2050'!$X$22+'[1]Bilan 2050'!$X$30+SUM('[1]Bilan 2050'!$X$36:$X$40)+SUM('[1]Bilan 2050'!$X$44:$X$45)+'[1]Bilan 2050'!$X$47)/11.63</f>
        <v>3.1240940704702966</v>
      </c>
      <c r="S115" s="171">
        <f>SUM(O115:R115)</f>
        <v>30.517990573867085</v>
      </c>
      <c r="T115" s="245"/>
      <c r="U115" s="176" t="s">
        <v>18</v>
      </c>
      <c r="Z115" s="8">
        <v>0</v>
      </c>
      <c r="AA115" s="8">
        <v>36.484483330000003</v>
      </c>
      <c r="AB115" s="8">
        <v>8.0463840350000009</v>
      </c>
      <c r="AC115" s="8">
        <v>4.8678335704380995</v>
      </c>
      <c r="AD115" s="121">
        <v>49.398700935438107</v>
      </c>
    </row>
    <row r="116" spans="3:30" x14ac:dyDescent="0.25">
      <c r="C116" s="177" t="s">
        <v>19</v>
      </c>
      <c r="D116" t="s">
        <v>580</v>
      </c>
      <c r="E116" t="s">
        <v>581</v>
      </c>
      <c r="F116" t="s">
        <v>582</v>
      </c>
      <c r="G116" t="s">
        <v>583</v>
      </c>
      <c r="H116" s="19">
        <f>VLOOKUP(D116,Résultats!$B$2:$AX$476,'T energie vecteurs'!W5,FALSE)</f>
        <v>0</v>
      </c>
      <c r="I116" s="19">
        <f>VLOOKUP(E116,Résultats!$B$2:$AX$476,'T energie vecteurs'!W5,FALSE)</f>
        <v>10.225584700000001</v>
      </c>
      <c r="J116" s="19">
        <f>VLOOKUP(F116,Résultats!$B$2:$AX$476,'T energie vecteurs'!W5,FALSE)</f>
        <v>3.3421878139999999</v>
      </c>
      <c r="K116" s="19">
        <f>VLOOKUP(G116,Résultats!$B$2:$AX$476,'T energie vecteurs'!W5,FALSE)</f>
        <v>4.7727803400000002E-5</v>
      </c>
      <c r="L116" s="120">
        <f t="shared" ref="L116:L124" si="26">SUM(H116:K116)</f>
        <v>13.567820241803402</v>
      </c>
      <c r="M116" s="19"/>
      <c r="N116" s="177" t="s">
        <v>19</v>
      </c>
      <c r="O116" s="172"/>
      <c r="P116" s="19"/>
      <c r="Q116" s="55"/>
      <c r="R116" s="19"/>
      <c r="S116" s="120"/>
      <c r="T116" s="245"/>
      <c r="U116" s="177" t="s">
        <v>19</v>
      </c>
      <c r="V116" t="s">
        <v>89</v>
      </c>
      <c r="W116" t="s">
        <v>90</v>
      </c>
      <c r="X116" t="s">
        <v>91</v>
      </c>
      <c r="Y116" t="s">
        <v>92</v>
      </c>
      <c r="Z116" s="19">
        <v>0</v>
      </c>
      <c r="AA116" s="19">
        <v>10.6065296</v>
      </c>
      <c r="AB116" s="19">
        <v>3.3682351330000002</v>
      </c>
      <c r="AC116" s="19">
        <v>3.5815438099999998E-5</v>
      </c>
      <c r="AD116" s="120">
        <v>13.9748005484381</v>
      </c>
    </row>
    <row r="117" spans="3:30" x14ac:dyDescent="0.25">
      <c r="C117" s="178" t="s">
        <v>20</v>
      </c>
      <c r="D117" t="s">
        <v>584</v>
      </c>
      <c r="E117" t="s">
        <v>585</v>
      </c>
      <c r="F117" t="s">
        <v>586</v>
      </c>
      <c r="G117" t="s">
        <v>587</v>
      </c>
      <c r="H117" s="19">
        <f>VLOOKUP(D117,Résultats!$B$2:$AX$476,'T energie vecteurs'!W5,FALSE)</f>
        <v>0</v>
      </c>
      <c r="I117" s="19">
        <f>VLOOKUP(E117,Résultats!$B$2:$AX$476,'T energie vecteurs'!W5,FALSE)</f>
        <v>20.468750790000001</v>
      </c>
      <c r="J117" s="19">
        <f>VLOOKUP(F117,Résultats!$B$2:$AX$476,'T energie vecteurs'!W5,FALSE)</f>
        <v>2.9162090740000002</v>
      </c>
      <c r="K117" s="19">
        <f>VLOOKUP(G117,Résultats!$B$2:$AX$476,'T energie vecteurs'!W5,FALSE)</f>
        <v>3.9051210260000002</v>
      </c>
      <c r="L117" s="120">
        <f t="shared" si="26"/>
        <v>27.290080890000002</v>
      </c>
      <c r="M117" s="19"/>
      <c r="N117" s="178" t="s">
        <v>20</v>
      </c>
      <c r="O117" s="172"/>
      <c r="P117" s="19"/>
      <c r="Q117" s="55"/>
      <c r="R117" s="19"/>
      <c r="S117" s="120"/>
      <c r="T117" s="245"/>
      <c r="U117" s="178" t="s">
        <v>20</v>
      </c>
      <c r="V117" t="s">
        <v>93</v>
      </c>
      <c r="W117" t="s">
        <v>94</v>
      </c>
      <c r="X117" t="s">
        <v>95</v>
      </c>
      <c r="Y117" t="s">
        <v>96</v>
      </c>
      <c r="Z117" s="19">
        <v>0</v>
      </c>
      <c r="AA117" s="19">
        <v>25.877953730000002</v>
      </c>
      <c r="AB117" s="19">
        <v>4.6781489020000002</v>
      </c>
      <c r="AC117" s="19">
        <v>4.8677977549999998</v>
      </c>
      <c r="AD117" s="120">
        <v>35.423900387000003</v>
      </c>
    </row>
    <row r="118" spans="3:30" x14ac:dyDescent="0.25">
      <c r="C118" s="176" t="s">
        <v>21</v>
      </c>
      <c r="D118" t="s">
        <v>588</v>
      </c>
      <c r="E118" t="s">
        <v>589</v>
      </c>
      <c r="F118" t="s">
        <v>590</v>
      </c>
      <c r="G118" t="s">
        <v>591</v>
      </c>
      <c r="H118" s="8">
        <f>VLOOKUP(D118,Résultats!$B$2:$AX$476,'T energie vecteurs'!W5,FALSE)</f>
        <v>0.10742526199999999</v>
      </c>
      <c r="I118" s="8">
        <f>VLOOKUP(E118,Résultats!$B$2:$AX$476,'T energie vecteurs'!W5,FALSE)</f>
        <v>3.266697175</v>
      </c>
      <c r="J118" s="8">
        <f>VLOOKUP(F118,Résultats!$B$2:$AX$476,'T energie vecteurs'!W5,FALSE)</f>
        <v>16.823558429999999</v>
      </c>
      <c r="K118" s="8">
        <f>VLOOKUP(G118,Résultats!$B$2:$AX$476,'T energie vecteurs'!W5,FALSE)+8</f>
        <v>18.706951310000001</v>
      </c>
      <c r="L118" s="121">
        <f t="shared" si="26"/>
        <v>38.904632176999996</v>
      </c>
      <c r="M118" s="99"/>
      <c r="N118" s="179" t="s">
        <v>21</v>
      </c>
      <c r="O118" s="36">
        <f>'[1]Bilan 2050'!$V$46/11.63</f>
        <v>0</v>
      </c>
      <c r="P118" s="35">
        <f>SUM('[1]Bilan 2050'!$V$41:$V$43)/11.63</f>
        <v>0.44793357100944881</v>
      </c>
      <c r="Q118" s="35">
        <f>'[1]Bilan 2050'!$V$13/11.63</f>
        <v>16.722069816294518</v>
      </c>
      <c r="R118" s="35">
        <f>('[1]Bilan 2050'!$V$22+'[1]Bilan 2050'!$V$30+SUM('[1]Bilan 2050'!$V$36:$V$40)+SUM('[1]Bilan 2050'!$V$44:$V$45)+'[1]Bilan 2050'!$V$47)/11.63</f>
        <v>20.626598768707204</v>
      </c>
      <c r="S118" s="171">
        <f t="shared" ref="S118:S124" si="27">SUM(O118:R118)</f>
        <v>37.796602156011176</v>
      </c>
      <c r="T118" s="245"/>
      <c r="U118" s="176" t="s">
        <v>21</v>
      </c>
      <c r="V118" t="s">
        <v>97</v>
      </c>
      <c r="W118" t="s">
        <v>98</v>
      </c>
      <c r="X118" t="s">
        <v>99</v>
      </c>
      <c r="Y118" t="s">
        <v>100</v>
      </c>
      <c r="Z118" s="263">
        <v>0.1047875102</v>
      </c>
      <c r="AA118" s="263">
        <v>2.5498981110000001</v>
      </c>
      <c r="AB118" s="263">
        <v>16.573729669999999</v>
      </c>
      <c r="AC118" s="263">
        <v>16.247589345000002</v>
      </c>
      <c r="AD118" s="264">
        <v>35.476004636200003</v>
      </c>
    </row>
    <row r="119" spans="3:30" x14ac:dyDescent="0.25">
      <c r="C119" s="176" t="s">
        <v>22</v>
      </c>
      <c r="D119" t="s">
        <v>592</v>
      </c>
      <c r="E119" t="s">
        <v>593</v>
      </c>
      <c r="F119" t="s">
        <v>594</v>
      </c>
      <c r="G119" t="s">
        <v>595</v>
      </c>
      <c r="H119" s="8">
        <f>VLOOKUP(D119,Résultats!$B$2:$AX$476,'T energie vecteurs'!W5,FALSE)</f>
        <v>0</v>
      </c>
      <c r="I119" s="8">
        <f>VLOOKUP(E119,Résultats!$B$2:$AX$476,'T energie vecteurs'!W5,FALSE)</f>
        <v>1.9240908759999999</v>
      </c>
      <c r="J119" s="8">
        <f>VLOOKUP(F119,Résultats!$B$2:$AX$476,'T energie vecteurs'!W5,FALSE)</f>
        <v>12.82293851</v>
      </c>
      <c r="K119" s="8">
        <f>VLOOKUP(G119,Résultats!$B$2:$AX$476,'T energie vecteurs'!W5,FALSE)</f>
        <v>7.49758792</v>
      </c>
      <c r="L119" s="121">
        <f t="shared" si="26"/>
        <v>22.244617305999999</v>
      </c>
      <c r="M119" s="99"/>
      <c r="N119" s="179" t="s">
        <v>22</v>
      </c>
      <c r="O119" s="36">
        <f>('[1]Bilan 2050'!$W$46)/11.63</f>
        <v>0</v>
      </c>
      <c r="P119" s="35">
        <f>SUM('[1]Bilan 2050'!$W$41:$W$43)/11.63</f>
        <v>0.19932306002356692</v>
      </c>
      <c r="Q119" s="35">
        <f>('[1]Bilan 2050'!$W$13)/11.63</f>
        <v>12.561375724275205</v>
      </c>
      <c r="R119" s="35">
        <f>('[1]Bilan 2050'!$W$22+'[1]Bilan 2050'!$W$30+SUM('[1]Bilan 2050'!$W$36:$W$40)+SUM('[1]Bilan 2050'!$W$44:$W$45)+'[1]Bilan 2050'!$W$47)/11.63</f>
        <v>6.8359123459815141</v>
      </c>
      <c r="S119" s="171">
        <f t="shared" si="27"/>
        <v>19.596611130280287</v>
      </c>
      <c r="T119" s="245"/>
      <c r="U119" s="176" t="s">
        <v>22</v>
      </c>
      <c r="V119" t="s">
        <v>101</v>
      </c>
      <c r="W119" t="s">
        <v>102</v>
      </c>
      <c r="X119" t="s">
        <v>103</v>
      </c>
      <c r="Y119" t="s">
        <v>104</v>
      </c>
      <c r="Z119" s="8">
        <v>0</v>
      </c>
      <c r="AA119" s="8">
        <v>1.523110929</v>
      </c>
      <c r="AB119" s="8">
        <v>13.12631228</v>
      </c>
      <c r="AC119" s="8">
        <v>5.8285237130000001</v>
      </c>
      <c r="AD119" s="121">
        <v>20.477946922000001</v>
      </c>
    </row>
    <row r="120" spans="3:30" x14ac:dyDescent="0.25">
      <c r="C120" s="176" t="s">
        <v>23</v>
      </c>
      <c r="H120" s="8">
        <f>SUM(H121:H123)</f>
        <v>2.9297266090000003</v>
      </c>
      <c r="I120" s="8">
        <f>SUM(I121:I123)</f>
        <v>17.600350381999998</v>
      </c>
      <c r="J120" s="8">
        <f>SUM(J121:J123)</f>
        <v>16.9845069928</v>
      </c>
      <c r="K120" s="8">
        <f>SUM(K121:K123)</f>
        <v>22.564568436900004</v>
      </c>
      <c r="L120" s="8">
        <f>SUM(L121:L123)</f>
        <v>60.079152420699998</v>
      </c>
      <c r="M120" s="99"/>
      <c r="N120" s="179" t="s">
        <v>280</v>
      </c>
      <c r="O120" s="36">
        <f>O121+O122</f>
        <v>3.7208173415817956</v>
      </c>
      <c r="P120" s="35">
        <f t="shared" ref="P120:R120" si="28">P121+P122</f>
        <v>10.357640817267992</v>
      </c>
      <c r="Q120" s="35">
        <f t="shared" si="28"/>
        <v>9.8880397220191174</v>
      </c>
      <c r="R120" s="35">
        <f t="shared" si="28"/>
        <v>12.816914942214364</v>
      </c>
      <c r="S120" s="171">
        <f t="shared" si="27"/>
        <v>36.783412823083268</v>
      </c>
      <c r="T120" s="245"/>
      <c r="U120" s="176" t="s">
        <v>23</v>
      </c>
      <c r="Z120" s="8">
        <v>5.1412328250000003</v>
      </c>
      <c r="AA120" s="8">
        <v>26.462387749999998</v>
      </c>
      <c r="AB120" s="8">
        <v>19.642527276599999</v>
      </c>
      <c r="AC120" s="8">
        <v>25.1580574169</v>
      </c>
      <c r="AD120" s="8">
        <v>76.404205268499993</v>
      </c>
    </row>
    <row r="121" spans="3:30" x14ac:dyDescent="0.25">
      <c r="C121" s="178" t="s">
        <v>24</v>
      </c>
      <c r="D121" t="s">
        <v>596</v>
      </c>
      <c r="E121" t="s">
        <v>597</v>
      </c>
      <c r="F121" t="s">
        <v>598</v>
      </c>
      <c r="G121" t="s">
        <v>599</v>
      </c>
      <c r="H121" s="19">
        <f>VLOOKUP(D121,Résultats!$B$2:$AX$476,'T energie vecteurs'!W5,FALSE)</f>
        <v>1.88501399</v>
      </c>
      <c r="I121" s="19">
        <f>VLOOKUP(E121,Résultats!$B$2:$AX$476,'T energie vecteurs'!W5,FALSE)</f>
        <v>11.030536469999999</v>
      </c>
      <c r="J121" s="19">
        <f>VLOOKUP(F121,Résultats!$B$2:$AX$476,'T energie vecteurs'!W5,FALSE)</f>
        <v>16.507739860000001</v>
      </c>
      <c r="K121" s="19">
        <f>VLOOKUP(G121,Résultats!$B$2:$AX$476,'T energie vecteurs'!W5,FALSE)</f>
        <v>18.946588160000001</v>
      </c>
      <c r="L121" s="120">
        <f t="shared" si="26"/>
        <v>48.369878479999997</v>
      </c>
      <c r="M121" s="19"/>
      <c r="N121" s="178" t="s">
        <v>281</v>
      </c>
      <c r="O121" s="172">
        <f>'[1]Bilan 2050'!$U$46/11.63</f>
        <v>0.31585492622281036</v>
      </c>
      <c r="P121" s="37">
        <f>SUM('[1]Bilan 2050'!$U$41:$U$43)/11.63</f>
        <v>1.7544463445123659</v>
      </c>
      <c r="Q121" s="37">
        <f>'[1]Bilan 2050'!$U$13/11.63</f>
        <v>9.8880397220191174</v>
      </c>
      <c r="R121" s="37">
        <f>('[1]Bilan 2050'!$U$22+'[1]Bilan 2050'!$U$30+SUM('[1]Bilan 2050'!$U$36:$U$40)+SUM('[1]Bilan 2050'!$U$44:$U$45)+'[1]Bilan 2050'!$U$47)/11.63</f>
        <v>11.51748338251616</v>
      </c>
      <c r="S121" s="120">
        <f t="shared" si="27"/>
        <v>23.475824375270456</v>
      </c>
      <c r="T121" s="245"/>
      <c r="U121" s="178" t="s">
        <v>24</v>
      </c>
      <c r="V121" t="s">
        <v>105</v>
      </c>
      <c r="W121" t="s">
        <v>106</v>
      </c>
      <c r="X121" t="s">
        <v>107</v>
      </c>
      <c r="Y121" t="s">
        <v>108</v>
      </c>
      <c r="Z121" s="19">
        <v>3.6650423980000002</v>
      </c>
      <c r="AA121" s="19">
        <v>19.122842460000001</v>
      </c>
      <c r="AB121" s="19">
        <v>19.030234780000001</v>
      </c>
      <c r="AC121" s="19">
        <v>20.668763089999999</v>
      </c>
      <c r="AD121" s="120">
        <v>62.486882727999998</v>
      </c>
    </row>
    <row r="122" spans="3:30" x14ac:dyDescent="0.25">
      <c r="C122" s="178" t="s">
        <v>153</v>
      </c>
      <c r="D122" t="s">
        <v>600</v>
      </c>
      <c r="E122" t="s">
        <v>601</v>
      </c>
      <c r="F122" t="s">
        <v>602</v>
      </c>
      <c r="G122" t="s">
        <v>603</v>
      </c>
      <c r="H122" s="19">
        <f>VLOOKUP(D122,Résultats!$B$2:$AX$476,'T energie vecteurs'!W5,FALSE)</f>
        <v>1.044712619</v>
      </c>
      <c r="I122" s="19">
        <f>VLOOKUP(E122,Résultats!$B$2:$AX$476,'T energie vecteurs'!W5,FALSE)</f>
        <v>2.9046839119999999</v>
      </c>
      <c r="J122" s="19">
        <f>VLOOKUP(F122,Résultats!$B$2:$AX$476,'T energie vecteurs'!W5,FALSE)</f>
        <v>0</v>
      </c>
      <c r="K122" s="19">
        <f>VLOOKUP(G122,Résultats!$B$2:$AX$476,'T energie vecteurs'!W5,FALSE)</f>
        <v>3.0453213419999998</v>
      </c>
      <c r="L122" s="120">
        <f t="shared" si="26"/>
        <v>6.994717872999999</v>
      </c>
      <c r="M122" s="19"/>
      <c r="N122" s="178" t="s">
        <v>153</v>
      </c>
      <c r="O122" s="28">
        <f>'[1]Bilan 2050'!$E$52/11.63</f>
        <v>3.4049624153589853</v>
      </c>
      <c r="P122" s="19">
        <f>('[1]Bilan 2050'!$E$54+'[1]Bilan 2050'!$E$56)/11.63</f>
        <v>8.6031944727556251</v>
      </c>
      <c r="Q122" s="19">
        <v>0</v>
      </c>
      <c r="R122" s="19">
        <f>('[1]Bilan 2050'!$E$53+'[1]Bilan 2050'!$E$55+'[1]Bilan 2050'!$E$57)/11.63</f>
        <v>1.2994315596982036</v>
      </c>
      <c r="S122" s="120">
        <f t="shared" si="27"/>
        <v>13.307588447812815</v>
      </c>
      <c r="T122" s="245"/>
      <c r="U122" s="178" t="s">
        <v>153</v>
      </c>
      <c r="V122" t="s">
        <v>154</v>
      </c>
      <c r="W122" t="s">
        <v>155</v>
      </c>
      <c r="X122" t="s">
        <v>156</v>
      </c>
      <c r="Y122" t="s">
        <v>157</v>
      </c>
      <c r="Z122" s="19">
        <v>1.4761904269999999</v>
      </c>
      <c r="AA122" s="19">
        <v>3.8824293000000001</v>
      </c>
      <c r="AB122" s="19">
        <v>0</v>
      </c>
      <c r="AC122" s="19">
        <v>3.9789644160000002</v>
      </c>
      <c r="AD122" s="120">
        <v>9.3375841430000008</v>
      </c>
    </row>
    <row r="123" spans="3:30" x14ac:dyDescent="0.25">
      <c r="C123" s="178" t="s">
        <v>25</v>
      </c>
      <c r="D123" t="s">
        <v>604</v>
      </c>
      <c r="E123" t="s">
        <v>605</v>
      </c>
      <c r="F123" t="s">
        <v>606</v>
      </c>
      <c r="G123" t="s">
        <v>607</v>
      </c>
      <c r="H123" s="19">
        <f>VLOOKUP(D123,Résultats!$B$2:$AX$476,'T energie vecteurs'!W5,FALSE)</f>
        <v>0</v>
      </c>
      <c r="I123" s="19">
        <f>VLOOKUP(E123,Résultats!$B$2:$AX$476,'T energie vecteurs'!W5,FALSE)</f>
        <v>3.66513</v>
      </c>
      <c r="J123" s="19">
        <f>VLOOKUP(F123,Résultats!$B$2:$AX$476,'T energie vecteurs'!W5,FALSE)</f>
        <v>0.47676713279999999</v>
      </c>
      <c r="K123" s="19">
        <f>VLOOKUP(G123,Résultats!$B$2:$AX$476,'T energie vecteurs'!W5,FALSE)</f>
        <v>0.57265893489999997</v>
      </c>
      <c r="L123" s="120">
        <f t="shared" si="26"/>
        <v>4.7145560676999994</v>
      </c>
      <c r="M123" s="19"/>
      <c r="N123" s="179" t="s">
        <v>25</v>
      </c>
      <c r="O123" s="36">
        <f>'[1]Bilan 2050'!$T$46/11.63</f>
        <v>0</v>
      </c>
      <c r="P123" s="35">
        <f>SUM('[1]Bilan 2050'!$T$41:$T$43)/11.63</f>
        <v>2.6210382547955651</v>
      </c>
      <c r="Q123" s="35">
        <f>'[1]Bilan 2050'!$T$13/11.63</f>
        <v>0.47494021651696666</v>
      </c>
      <c r="R123" s="35">
        <f>('[1]Bilan 2050'!$T$22+'[1]Bilan 2050'!$T$30+SUM('[1]Bilan 2050'!$T$36:$T$40)+SUM('[1]Bilan 2050'!$T$44:$T$45)+'[1]Bilan 2050'!$T$47)/11.63</f>
        <v>0.5067259755592558</v>
      </c>
      <c r="S123" s="171">
        <f t="shared" si="27"/>
        <v>3.6027044468717877</v>
      </c>
      <c r="T123" s="245"/>
      <c r="U123" s="178" t="s">
        <v>25</v>
      </c>
      <c r="V123" t="s">
        <v>109</v>
      </c>
      <c r="W123" t="s">
        <v>110</v>
      </c>
      <c r="X123" t="s">
        <v>111</v>
      </c>
      <c r="Y123" t="s">
        <v>112</v>
      </c>
      <c r="Z123" s="19">
        <v>0</v>
      </c>
      <c r="AA123" s="19">
        <v>3.4571159900000001</v>
      </c>
      <c r="AB123" s="19">
        <v>0.61229249659999996</v>
      </c>
      <c r="AC123" s="19">
        <v>0.51032991090000002</v>
      </c>
      <c r="AD123" s="120">
        <v>4.5797383975000008</v>
      </c>
    </row>
    <row r="124" spans="3:30" x14ac:dyDescent="0.25">
      <c r="C124" s="29" t="s">
        <v>26</v>
      </c>
      <c r="D124" s="10"/>
      <c r="E124" s="10"/>
      <c r="F124" s="10"/>
      <c r="G124" s="10"/>
      <c r="H124" s="9">
        <f>SUM(H115,H118:H120)</f>
        <v>3.0371518710000003</v>
      </c>
      <c r="I124" s="9">
        <f>SUM(I115,I118:I120)</f>
        <v>53.485473923000001</v>
      </c>
      <c r="J124" s="9">
        <f>SUM(J115,J118:J120)</f>
        <v>52.889400820799999</v>
      </c>
      <c r="K124" s="9">
        <f>SUM(K115,K118:K120)</f>
        <v>52.674276420703407</v>
      </c>
      <c r="L124" s="123">
        <f t="shared" si="26"/>
        <v>162.08630303550342</v>
      </c>
      <c r="M124" s="105"/>
      <c r="N124" s="180" t="s">
        <v>26</v>
      </c>
      <c r="O124" s="40">
        <f>O115+O118+O119+O120+O123</f>
        <v>3.7208173415817956</v>
      </c>
      <c r="P124" s="38">
        <f>P115+P118+P119+P120+P123</f>
        <v>34.070625819712902</v>
      </c>
      <c r="Q124" s="38">
        <f>Q115+Q118+Q119+Q120+Q123</f>
        <v>46.595631865886276</v>
      </c>
      <c r="R124" s="38">
        <f>R115+R118+R119+R120+R123</f>
        <v>43.910246102932639</v>
      </c>
      <c r="S124" s="173">
        <f t="shared" si="27"/>
        <v>128.2973211301136</v>
      </c>
      <c r="T124" s="105"/>
      <c r="U124" s="29" t="s">
        <v>26</v>
      </c>
      <c r="V124" s="10"/>
      <c r="W124" s="10"/>
      <c r="X124" s="10"/>
      <c r="Y124" s="10"/>
      <c r="Z124" s="9">
        <v>5.2460203352000008</v>
      </c>
      <c r="AA124" s="9">
        <v>67.019880119999996</v>
      </c>
      <c r="AB124" s="9">
        <v>57.388953261600001</v>
      </c>
      <c r="AC124" s="9">
        <v>52.102004045338106</v>
      </c>
      <c r="AD124" s="123">
        <v>181.75685776213811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69"/>
      <c r="M125" s="3"/>
      <c r="O125" s="103"/>
      <c r="P125" s="103"/>
      <c r="Q125" s="103"/>
      <c r="R125" s="104"/>
      <c r="S125" s="69"/>
      <c r="U125" s="3"/>
      <c r="V125" s="3"/>
      <c r="W125" s="3"/>
      <c r="X125" s="3"/>
      <c r="Y125" s="3"/>
      <c r="Z125" s="3"/>
      <c r="AA125" s="3"/>
      <c r="AB125" s="3"/>
      <c r="AC125" s="3"/>
      <c r="AD125" s="69"/>
    </row>
    <row r="126" spans="3:30" x14ac:dyDescent="0.25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5">
      <c r="C128" s="84" t="s">
        <v>250</v>
      </c>
      <c r="D128" s="3"/>
      <c r="E128" s="3"/>
      <c r="F128" s="3">
        <f>0.1/0.028*51.84</f>
        <v>185.14285714285717</v>
      </c>
      <c r="G128" s="3"/>
      <c r="H128" s="3"/>
      <c r="I128" s="3"/>
      <c r="J128" s="3"/>
      <c r="K128" s="3"/>
      <c r="L128" s="3"/>
      <c r="M128" s="3"/>
      <c r="N128" s="84" t="s">
        <v>251</v>
      </c>
      <c r="O128" s="3"/>
      <c r="P128" s="3"/>
      <c r="Q128" s="3"/>
      <c r="R128" s="3"/>
      <c r="S128" s="3"/>
      <c r="U128" s="84" t="s">
        <v>250</v>
      </c>
      <c r="V128" s="3"/>
      <c r="W128" s="3"/>
      <c r="X128" s="3">
        <v>185.14285714285717</v>
      </c>
      <c r="Y128" s="3"/>
      <c r="Z128" s="3"/>
      <c r="AA128" s="3"/>
      <c r="AB128" s="3"/>
      <c r="AC128" s="3"/>
      <c r="AD128" s="3"/>
    </row>
    <row r="129" spans="3:30" s="3" customFormat="1" ht="31.5" x14ac:dyDescent="0.35">
      <c r="C129" s="174">
        <v>2050</v>
      </c>
      <c r="D129" s="175"/>
      <c r="E129" s="175"/>
      <c r="F129" s="175"/>
      <c r="G129" s="175"/>
      <c r="H129" s="101" t="s">
        <v>36</v>
      </c>
      <c r="I129" s="101" t="s">
        <v>159</v>
      </c>
      <c r="J129" s="101" t="s">
        <v>38</v>
      </c>
      <c r="K129" s="101" t="s">
        <v>158</v>
      </c>
      <c r="L129" s="118" t="s">
        <v>1</v>
      </c>
      <c r="N129" s="174">
        <v>2050</v>
      </c>
      <c r="O129" s="170" t="s">
        <v>36</v>
      </c>
      <c r="P129" s="101" t="s">
        <v>159</v>
      </c>
      <c r="Q129" s="101" t="s">
        <v>38</v>
      </c>
      <c r="R129" s="101" t="s">
        <v>158</v>
      </c>
      <c r="S129" s="118" t="s">
        <v>1</v>
      </c>
      <c r="U129" s="174">
        <v>2050</v>
      </c>
      <c r="V129" s="175"/>
      <c r="W129" s="175"/>
      <c r="X129" s="175"/>
      <c r="Y129" s="175"/>
      <c r="Z129" s="101" t="s">
        <v>36</v>
      </c>
      <c r="AA129" s="101" t="s">
        <v>159</v>
      </c>
      <c r="AB129" s="101" t="s">
        <v>38</v>
      </c>
      <c r="AC129" s="101" t="s">
        <v>158</v>
      </c>
      <c r="AD129" s="118" t="s">
        <v>1</v>
      </c>
    </row>
    <row r="130" spans="3:30" s="3" customFormat="1" x14ac:dyDescent="0.25">
      <c r="C130" s="248" t="s">
        <v>18</v>
      </c>
      <c r="D130" s="249"/>
      <c r="E130" s="249"/>
      <c r="F130" s="249"/>
      <c r="G130" s="249"/>
      <c r="H130" s="250" t="e">
        <f>H115-#REF!</f>
        <v>#REF!</v>
      </c>
      <c r="I130" s="251" t="e">
        <f>I115-#REF!</f>
        <v>#REF!</v>
      </c>
      <c r="J130" s="251" t="e">
        <f>J115-#REF!</f>
        <v>#REF!</v>
      </c>
      <c r="K130" s="251" t="e">
        <f>K115-#REF!</f>
        <v>#REF!</v>
      </c>
      <c r="L130" s="252" t="e">
        <f>L115-#REF!</f>
        <v>#REF!</v>
      </c>
      <c r="N130" s="248" t="s">
        <v>18</v>
      </c>
      <c r="O130" s="250">
        <f>H115-O115</f>
        <v>0</v>
      </c>
      <c r="P130" s="251">
        <f t="shared" ref="P130:S139" si="29">I115-P115</f>
        <v>10.249645373383675</v>
      </c>
      <c r="Q130" s="251">
        <f t="shared" si="29"/>
        <v>-0.6908094987804656</v>
      </c>
      <c r="R130" s="251">
        <f t="shared" si="29"/>
        <v>0.7810746833331037</v>
      </c>
      <c r="S130" s="252">
        <f t="shared" si="29"/>
        <v>10.339910557936317</v>
      </c>
      <c r="U130" s="248" t="s">
        <v>18</v>
      </c>
      <c r="V130" s="249"/>
      <c r="W130" s="249"/>
      <c r="X130" s="249"/>
      <c r="Y130" s="249"/>
      <c r="Z130" s="250" t="e">
        <v>#REF!</v>
      </c>
      <c r="AA130" s="251" t="e">
        <v>#REF!</v>
      </c>
      <c r="AB130" s="251" t="e">
        <v>#REF!</v>
      </c>
      <c r="AC130" s="251" t="e">
        <v>#REF!</v>
      </c>
      <c r="AD130" s="252" t="e">
        <v>#REF!</v>
      </c>
    </row>
    <row r="131" spans="3:30" s="3" customFormat="1" x14ac:dyDescent="0.25">
      <c r="C131" s="177" t="s">
        <v>19</v>
      </c>
      <c r="D131" t="s">
        <v>252</v>
      </c>
      <c r="E131" t="s">
        <v>253</v>
      </c>
      <c r="F131" t="s">
        <v>254</v>
      </c>
      <c r="G131" t="s">
        <v>255</v>
      </c>
      <c r="H131" s="253" t="e">
        <f>H116-#REF!</f>
        <v>#REF!</v>
      </c>
      <c r="I131" s="55" t="e">
        <f>I116-#REF!</f>
        <v>#REF!</v>
      </c>
      <c r="J131" s="55" t="e">
        <f>J116-#REF!</f>
        <v>#REF!</v>
      </c>
      <c r="K131" s="55" t="e">
        <f>K116-#REF!</f>
        <v>#REF!</v>
      </c>
      <c r="L131" s="254" t="e">
        <f>L116-#REF!</f>
        <v>#REF!</v>
      </c>
      <c r="N131" s="177" t="s">
        <v>19</v>
      </c>
      <c r="O131" s="253">
        <f t="shared" ref="O131:O139" si="30">H116-O116</f>
        <v>0</v>
      </c>
      <c r="P131" s="55">
        <f t="shared" si="29"/>
        <v>10.225584700000001</v>
      </c>
      <c r="Q131" s="55">
        <f t="shared" si="29"/>
        <v>3.3421878139999999</v>
      </c>
      <c r="R131" s="55">
        <f t="shared" si="29"/>
        <v>4.7727803400000002E-5</v>
      </c>
      <c r="S131" s="254">
        <f t="shared" si="29"/>
        <v>13.567820241803402</v>
      </c>
      <c r="U131" s="177" t="s">
        <v>19</v>
      </c>
      <c r="V131" t="s">
        <v>252</v>
      </c>
      <c r="W131" t="s">
        <v>253</v>
      </c>
      <c r="X131" t="s">
        <v>254</v>
      </c>
      <c r="Y131" t="s">
        <v>255</v>
      </c>
      <c r="Z131" s="253" t="e">
        <v>#REF!</v>
      </c>
      <c r="AA131" s="55" t="e">
        <v>#REF!</v>
      </c>
      <c r="AB131" s="55" t="e">
        <v>#REF!</v>
      </c>
      <c r="AC131" s="55" t="e">
        <v>#REF!</v>
      </c>
      <c r="AD131" s="254" t="e">
        <v>#REF!</v>
      </c>
    </row>
    <row r="132" spans="3:30" s="3" customFormat="1" x14ac:dyDescent="0.25">
      <c r="C132" s="178" t="s">
        <v>20</v>
      </c>
      <c r="D132" t="s">
        <v>256</v>
      </c>
      <c r="E132" t="s">
        <v>257</v>
      </c>
      <c r="F132" t="s">
        <v>258</v>
      </c>
      <c r="G132" t="s">
        <v>259</v>
      </c>
      <c r="H132" s="253" t="e">
        <f>H117-#REF!</f>
        <v>#REF!</v>
      </c>
      <c r="I132" s="55" t="e">
        <f>I117-#REF!</f>
        <v>#REF!</v>
      </c>
      <c r="J132" s="55" t="e">
        <f>J117-#REF!</f>
        <v>#REF!</v>
      </c>
      <c r="K132" s="55" t="e">
        <f>K117-#REF!</f>
        <v>#REF!</v>
      </c>
      <c r="L132" s="254" t="e">
        <f>L117-#REF!</f>
        <v>#REF!</v>
      </c>
      <c r="N132" s="178" t="s">
        <v>20</v>
      </c>
      <c r="O132" s="253">
        <f t="shared" si="30"/>
        <v>0</v>
      </c>
      <c r="P132" s="55">
        <f t="shared" si="29"/>
        <v>20.468750790000001</v>
      </c>
      <c r="Q132" s="55">
        <f t="shared" si="29"/>
        <v>2.9162090740000002</v>
      </c>
      <c r="R132" s="55">
        <f t="shared" si="29"/>
        <v>3.9051210260000002</v>
      </c>
      <c r="S132" s="254">
        <f t="shared" si="29"/>
        <v>27.290080890000002</v>
      </c>
      <c r="U132" s="178" t="s">
        <v>20</v>
      </c>
      <c r="V132" t="s">
        <v>256</v>
      </c>
      <c r="W132" t="s">
        <v>257</v>
      </c>
      <c r="X132" t="s">
        <v>258</v>
      </c>
      <c r="Y132" t="s">
        <v>259</v>
      </c>
      <c r="Z132" s="253" t="e">
        <v>#REF!</v>
      </c>
      <c r="AA132" s="55" t="e">
        <v>#REF!</v>
      </c>
      <c r="AB132" s="55" t="e">
        <v>#REF!</v>
      </c>
      <c r="AC132" s="55" t="e">
        <v>#REF!</v>
      </c>
      <c r="AD132" s="254" t="e">
        <v>#REF!</v>
      </c>
    </row>
    <row r="133" spans="3:30" s="3" customFormat="1" x14ac:dyDescent="0.25">
      <c r="C133" s="248" t="s">
        <v>21</v>
      </c>
      <c r="D133" s="249" t="s">
        <v>260</v>
      </c>
      <c r="E133" s="249" t="s">
        <v>261</v>
      </c>
      <c r="F133" s="249" t="s">
        <v>262</v>
      </c>
      <c r="G133" s="249" t="s">
        <v>263</v>
      </c>
      <c r="H133" s="255" t="e">
        <f>H118-#REF!</f>
        <v>#REF!</v>
      </c>
      <c r="I133" s="251" t="e">
        <f>I118-#REF!</f>
        <v>#REF!</v>
      </c>
      <c r="J133" s="251" t="e">
        <f>J118-#REF!</f>
        <v>#REF!</v>
      </c>
      <c r="K133" s="251" t="e">
        <f>K118-#REF!</f>
        <v>#REF!</v>
      </c>
      <c r="L133" s="252" t="e">
        <f>L118-#REF!</f>
        <v>#REF!</v>
      </c>
      <c r="N133" s="248" t="s">
        <v>21</v>
      </c>
      <c r="O133" s="255">
        <f t="shared" si="30"/>
        <v>0.10742526199999999</v>
      </c>
      <c r="P133" s="251">
        <f t="shared" si="29"/>
        <v>2.818763603990551</v>
      </c>
      <c r="Q133" s="251">
        <f t="shared" si="29"/>
        <v>0.1014886137054809</v>
      </c>
      <c r="R133" s="251">
        <f t="shared" si="29"/>
        <v>-1.9196474587072032</v>
      </c>
      <c r="S133" s="252">
        <f t="shared" si="29"/>
        <v>1.1080300209888208</v>
      </c>
      <c r="U133" s="248" t="s">
        <v>21</v>
      </c>
      <c r="V133" s="249" t="s">
        <v>260</v>
      </c>
      <c r="W133" s="249" t="s">
        <v>261</v>
      </c>
      <c r="X133" s="249" t="s">
        <v>262</v>
      </c>
      <c r="Y133" s="249" t="s">
        <v>263</v>
      </c>
      <c r="Z133" s="255" t="e">
        <v>#REF!</v>
      </c>
      <c r="AA133" s="251" t="e">
        <v>#REF!</v>
      </c>
      <c r="AB133" s="251" t="e">
        <v>#REF!</v>
      </c>
      <c r="AC133" s="251" t="e">
        <v>#REF!</v>
      </c>
      <c r="AD133" s="252" t="e">
        <v>#REF!</v>
      </c>
    </row>
    <row r="134" spans="3:30" s="3" customFormat="1" x14ac:dyDescent="0.25">
      <c r="C134" s="248" t="s">
        <v>22</v>
      </c>
      <c r="D134" s="249" t="s">
        <v>264</v>
      </c>
      <c r="E134" s="249" t="s">
        <v>265</v>
      </c>
      <c r="F134" s="249" t="s">
        <v>266</v>
      </c>
      <c r="G134" s="249" t="s">
        <v>267</v>
      </c>
      <c r="H134" s="255" t="e">
        <f>H119-#REF!</f>
        <v>#REF!</v>
      </c>
      <c r="I134" s="251" t="e">
        <f>I119-#REF!</f>
        <v>#REF!</v>
      </c>
      <c r="J134" s="251" t="e">
        <f>J119-#REF!</f>
        <v>#REF!</v>
      </c>
      <c r="K134" s="251" t="e">
        <f>K119-#REF!</f>
        <v>#REF!</v>
      </c>
      <c r="L134" s="252" t="e">
        <f>L119-#REF!</f>
        <v>#REF!</v>
      </c>
      <c r="N134" s="248" t="s">
        <v>22</v>
      </c>
      <c r="O134" s="255">
        <f t="shared" si="30"/>
        <v>0</v>
      </c>
      <c r="P134" s="251">
        <f t="shared" si="29"/>
        <v>1.724767815976433</v>
      </c>
      <c r="Q134" s="251">
        <f t="shared" si="29"/>
        <v>0.26156278572479508</v>
      </c>
      <c r="R134" s="251">
        <f t="shared" si="29"/>
        <v>0.66167557401848587</v>
      </c>
      <c r="S134" s="252">
        <f t="shared" si="29"/>
        <v>2.6480061757197113</v>
      </c>
      <c r="U134" s="248" t="s">
        <v>22</v>
      </c>
      <c r="V134" s="249" t="s">
        <v>264</v>
      </c>
      <c r="W134" s="249" t="s">
        <v>265</v>
      </c>
      <c r="X134" s="249" t="s">
        <v>266</v>
      </c>
      <c r="Y134" s="249" t="s">
        <v>267</v>
      </c>
      <c r="Z134" s="255" t="e">
        <v>#REF!</v>
      </c>
      <c r="AA134" s="251" t="e">
        <v>#REF!</v>
      </c>
      <c r="AB134" s="251" t="e">
        <v>#REF!</v>
      </c>
      <c r="AC134" s="251" t="e">
        <v>#REF!</v>
      </c>
      <c r="AD134" s="252" t="e">
        <v>#REF!</v>
      </c>
    </row>
    <row r="135" spans="3:30" s="3" customFormat="1" x14ac:dyDescent="0.25">
      <c r="C135" s="248" t="s">
        <v>23</v>
      </c>
      <c r="D135" s="249"/>
      <c r="E135" s="249"/>
      <c r="F135" s="249"/>
      <c r="G135" s="249"/>
      <c r="H135" s="255" t="e">
        <f>H120-#REF!</f>
        <v>#REF!</v>
      </c>
      <c r="I135" s="251" t="e">
        <f>I120-#REF!</f>
        <v>#REF!</v>
      </c>
      <c r="J135" s="251" t="e">
        <f>J120-#REF!</f>
        <v>#REF!</v>
      </c>
      <c r="K135" s="251" t="e">
        <f>K120-#REF!</f>
        <v>#REF!</v>
      </c>
      <c r="L135" s="252" t="e">
        <f>L120-#REF!</f>
        <v>#REF!</v>
      </c>
      <c r="N135" s="248" t="s">
        <v>23</v>
      </c>
      <c r="O135" s="255">
        <f t="shared" si="30"/>
        <v>-0.7910907325817953</v>
      </c>
      <c r="P135" s="251">
        <f t="shared" si="29"/>
        <v>7.2427095647320066</v>
      </c>
      <c r="Q135" s="251">
        <f t="shared" si="29"/>
        <v>7.0964672707808827</v>
      </c>
      <c r="R135" s="251">
        <f t="shared" si="29"/>
        <v>9.7476534946856397</v>
      </c>
      <c r="S135" s="252">
        <f t="shared" si="29"/>
        <v>23.295739597616731</v>
      </c>
      <c r="U135" s="248" t="s">
        <v>23</v>
      </c>
      <c r="V135" s="249"/>
      <c r="W135" s="249"/>
      <c r="X135" s="249"/>
      <c r="Y135" s="249"/>
      <c r="Z135" s="255" t="e">
        <v>#REF!</v>
      </c>
      <c r="AA135" s="251" t="e">
        <v>#REF!</v>
      </c>
      <c r="AB135" s="251" t="e">
        <v>#REF!</v>
      </c>
      <c r="AC135" s="251" t="e">
        <v>#REF!</v>
      </c>
      <c r="AD135" s="252" t="e">
        <v>#REF!</v>
      </c>
    </row>
    <row r="136" spans="3:30" s="3" customFormat="1" x14ac:dyDescent="0.25">
      <c r="C136" s="178" t="s">
        <v>24</v>
      </c>
      <c r="D136" t="s">
        <v>268</v>
      </c>
      <c r="E136" t="s">
        <v>269</v>
      </c>
      <c r="F136" t="s">
        <v>270</v>
      </c>
      <c r="G136" t="s">
        <v>271</v>
      </c>
      <c r="H136" s="253" t="e">
        <f>H121-#REF!</f>
        <v>#REF!</v>
      </c>
      <c r="I136" s="256" t="e">
        <f>I121-#REF!</f>
        <v>#REF!</v>
      </c>
      <c r="J136" s="256" t="e">
        <f>J121-#REF!</f>
        <v>#REF!</v>
      </c>
      <c r="K136" s="256" t="e">
        <f>K121-#REF!</f>
        <v>#REF!</v>
      </c>
      <c r="L136" s="254" t="e">
        <f>L121-#REF!</f>
        <v>#REF!</v>
      </c>
      <c r="N136" s="178" t="s">
        <v>24</v>
      </c>
      <c r="O136" s="253">
        <f t="shared" si="30"/>
        <v>1.5691590637771897</v>
      </c>
      <c r="P136" s="256">
        <f t="shared" si="29"/>
        <v>9.2760901254876345</v>
      </c>
      <c r="Q136" s="256">
        <f t="shared" si="29"/>
        <v>6.6197001379808835</v>
      </c>
      <c r="R136" s="256">
        <f t="shared" si="29"/>
        <v>7.4291047774838415</v>
      </c>
      <c r="S136" s="254">
        <f t="shared" si="29"/>
        <v>24.894054104729541</v>
      </c>
      <c r="U136" s="178" t="s">
        <v>24</v>
      </c>
      <c r="V136" t="s">
        <v>268</v>
      </c>
      <c r="W136" t="s">
        <v>269</v>
      </c>
      <c r="X136" t="s">
        <v>270</v>
      </c>
      <c r="Y136" t="s">
        <v>271</v>
      </c>
      <c r="Z136" s="253" t="e">
        <v>#REF!</v>
      </c>
      <c r="AA136" s="256" t="e">
        <v>#REF!</v>
      </c>
      <c r="AB136" s="256" t="e">
        <v>#REF!</v>
      </c>
      <c r="AC136" s="256" t="e">
        <v>#REF!</v>
      </c>
      <c r="AD136" s="254" t="e">
        <v>#REF!</v>
      </c>
    </row>
    <row r="137" spans="3:30" s="3" customFormat="1" x14ac:dyDescent="0.25">
      <c r="C137" s="178" t="s">
        <v>153</v>
      </c>
      <c r="D137" t="s">
        <v>272</v>
      </c>
      <c r="E137" t="s">
        <v>273</v>
      </c>
      <c r="F137" t="s">
        <v>274</v>
      </c>
      <c r="G137" t="s">
        <v>275</v>
      </c>
      <c r="H137" s="257" t="e">
        <f>H122-#REF!</f>
        <v>#REF!</v>
      </c>
      <c r="I137" s="55" t="e">
        <f>I122-#REF!</f>
        <v>#REF!</v>
      </c>
      <c r="J137" s="55" t="e">
        <f>J122-#REF!</f>
        <v>#REF!</v>
      </c>
      <c r="K137" s="55" t="e">
        <f>K122-#REF!</f>
        <v>#REF!</v>
      </c>
      <c r="L137" s="254" t="e">
        <f>L122-#REF!</f>
        <v>#REF!</v>
      </c>
      <c r="N137" s="178" t="s">
        <v>153</v>
      </c>
      <c r="O137" s="257">
        <f t="shared" si="30"/>
        <v>-2.3602497963589855</v>
      </c>
      <c r="P137" s="55">
        <f t="shared" si="29"/>
        <v>-5.6985105607556257</v>
      </c>
      <c r="Q137" s="55">
        <f t="shared" si="29"/>
        <v>0</v>
      </c>
      <c r="R137" s="55">
        <f t="shared" si="29"/>
        <v>1.7458897823017963</v>
      </c>
      <c r="S137" s="254">
        <f t="shared" si="29"/>
        <v>-6.3128705748128162</v>
      </c>
      <c r="U137" s="178" t="s">
        <v>153</v>
      </c>
      <c r="V137" t="s">
        <v>272</v>
      </c>
      <c r="W137" t="s">
        <v>273</v>
      </c>
      <c r="X137" t="s">
        <v>274</v>
      </c>
      <c r="Y137" t="s">
        <v>275</v>
      </c>
      <c r="Z137" s="257" t="e">
        <v>#REF!</v>
      </c>
      <c r="AA137" s="55" t="e">
        <v>#REF!</v>
      </c>
      <c r="AB137" s="55" t="e">
        <v>#REF!</v>
      </c>
      <c r="AC137" s="55" t="e">
        <v>#REF!</v>
      </c>
      <c r="AD137" s="254" t="e">
        <v>#REF!</v>
      </c>
    </row>
    <row r="138" spans="3:30" s="3" customFormat="1" x14ac:dyDescent="0.25">
      <c r="C138" s="178" t="s">
        <v>25</v>
      </c>
      <c r="D138" t="s">
        <v>276</v>
      </c>
      <c r="E138" t="s">
        <v>277</v>
      </c>
      <c r="F138" t="s">
        <v>278</v>
      </c>
      <c r="G138" t="s">
        <v>279</v>
      </c>
      <c r="H138" s="253" t="e">
        <f>H123-#REF!</f>
        <v>#REF!</v>
      </c>
      <c r="I138" s="256" t="e">
        <f>I123-#REF!</f>
        <v>#REF!</v>
      </c>
      <c r="J138" s="256" t="e">
        <f>J123-#REF!</f>
        <v>#REF!</v>
      </c>
      <c r="K138" s="256" t="e">
        <f>K123-#REF!</f>
        <v>#REF!</v>
      </c>
      <c r="L138" s="254" t="e">
        <f>L123-#REF!</f>
        <v>#REF!</v>
      </c>
      <c r="N138" s="178" t="s">
        <v>25</v>
      </c>
      <c r="O138" s="253">
        <f t="shared" si="30"/>
        <v>0</v>
      </c>
      <c r="P138" s="256">
        <f t="shared" si="29"/>
        <v>1.0440917452044349</v>
      </c>
      <c r="Q138" s="256">
        <f t="shared" si="29"/>
        <v>1.8269162830333308E-3</v>
      </c>
      <c r="R138" s="256">
        <f t="shared" si="29"/>
        <v>6.5932959340744168E-2</v>
      </c>
      <c r="S138" s="254">
        <f t="shared" si="29"/>
        <v>1.1118516208282117</v>
      </c>
      <c r="U138" s="178" t="s">
        <v>25</v>
      </c>
      <c r="V138" t="s">
        <v>276</v>
      </c>
      <c r="W138" t="s">
        <v>277</v>
      </c>
      <c r="X138" t="s">
        <v>278</v>
      </c>
      <c r="Y138" t="s">
        <v>279</v>
      </c>
      <c r="Z138" s="253" t="e">
        <v>#REF!</v>
      </c>
      <c r="AA138" s="256" t="e">
        <v>#REF!</v>
      </c>
      <c r="AB138" s="256" t="e">
        <v>#REF!</v>
      </c>
      <c r="AC138" s="256" t="e">
        <v>#REF!</v>
      </c>
      <c r="AD138" s="254" t="e">
        <v>#REF!</v>
      </c>
    </row>
    <row r="139" spans="3:30" s="3" customFormat="1" x14ac:dyDescent="0.25">
      <c r="C139" s="258" t="s">
        <v>26</v>
      </c>
      <c r="D139" s="259"/>
      <c r="E139" s="259"/>
      <c r="F139" s="259"/>
      <c r="G139" s="259"/>
      <c r="H139" s="260" t="e">
        <f>H124-#REF!</f>
        <v>#REF!</v>
      </c>
      <c r="I139" s="261" t="e">
        <f>I124-#REF!</f>
        <v>#REF!</v>
      </c>
      <c r="J139" s="261" t="e">
        <f>J124-#REF!</f>
        <v>#REF!</v>
      </c>
      <c r="K139" s="261" t="e">
        <f>K124-#REF!</f>
        <v>#REF!</v>
      </c>
      <c r="L139" s="262" t="e">
        <f>L124-#REF!</f>
        <v>#REF!</v>
      </c>
      <c r="N139" s="258" t="s">
        <v>26</v>
      </c>
      <c r="O139" s="260">
        <f t="shared" si="30"/>
        <v>-0.68366547058179528</v>
      </c>
      <c r="P139" s="261">
        <f t="shared" si="29"/>
        <v>19.414848103287099</v>
      </c>
      <c r="Q139" s="261">
        <f t="shared" si="29"/>
        <v>6.2937689549137232</v>
      </c>
      <c r="R139" s="261">
        <f t="shared" si="29"/>
        <v>8.7640303177707679</v>
      </c>
      <c r="S139" s="262">
        <f t="shared" si="29"/>
        <v>33.788981905389818</v>
      </c>
      <c r="U139" s="258" t="s">
        <v>26</v>
      </c>
      <c r="V139" s="259"/>
      <c r="W139" s="259"/>
      <c r="X139" s="259"/>
      <c r="Y139" s="259"/>
      <c r="Z139" s="260" t="e">
        <v>#REF!</v>
      </c>
      <c r="AA139" s="261" t="e">
        <v>#REF!</v>
      </c>
      <c r="AB139" s="261" t="e">
        <v>#REF!</v>
      </c>
      <c r="AC139" s="261" t="e">
        <v>#REF!</v>
      </c>
      <c r="AD139" s="262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A1:AB121"/>
  <sheetViews>
    <sheetView topLeftCell="A40" workbookViewId="0">
      <selection activeCell="E22" sqref="E22"/>
    </sheetView>
  </sheetViews>
  <sheetFormatPr baseColWidth="10" defaultRowHeight="15" x14ac:dyDescent="0.25"/>
  <cols>
    <col min="1" max="1" width="29.85546875" customWidth="1"/>
    <col min="5" max="6" width="11.42578125" customWidth="1"/>
    <col min="9" max="9" width="13.140625" customWidth="1"/>
    <col min="13" max="13" width="11.42578125" customWidth="1"/>
    <col min="16" max="16" width="13.42578125" customWidth="1"/>
    <col min="20" max="20" width="11.42578125" customWidth="1"/>
  </cols>
  <sheetData>
    <row r="1" spans="1:28" ht="23.25" x14ac:dyDescent="0.35">
      <c r="A1" s="1" t="s">
        <v>232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8" ht="18.75" x14ac:dyDescent="0.3">
      <c r="A2" s="6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65"/>
      <c r="S2" s="3"/>
      <c r="T2" s="3"/>
      <c r="U2" s="3"/>
      <c r="V2" s="69"/>
      <c r="W2" s="69"/>
      <c r="X2" s="3"/>
      <c r="Y2" s="3"/>
    </row>
    <row r="3" spans="1:28" ht="23.25" x14ac:dyDescent="0.35">
      <c r="A3" s="194" t="str">
        <f>Résultats!B1</f>
        <v>TEND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65"/>
      <c r="S3" s="3"/>
      <c r="T3" s="3"/>
      <c r="U3" s="3"/>
      <c r="V3" s="69"/>
      <c r="W3" s="69"/>
      <c r="X3" s="3"/>
      <c r="Y3" s="3"/>
    </row>
    <row r="4" spans="1:28" x14ac:dyDescent="0.25">
      <c r="A4" s="3"/>
      <c r="B4" s="67"/>
      <c r="C4" s="67"/>
      <c r="D4" s="67"/>
      <c r="E4" s="67"/>
      <c r="F4" s="68"/>
      <c r="G4" s="3"/>
      <c r="H4" s="3"/>
      <c r="I4" s="3"/>
      <c r="J4" s="43"/>
      <c r="K4" s="43"/>
      <c r="L4" s="43"/>
      <c r="M4" s="43"/>
      <c r="O4" s="12"/>
      <c r="Q4" s="43"/>
      <c r="R4" s="43"/>
      <c r="S4" s="43"/>
      <c r="T4" s="43"/>
      <c r="X4" s="43"/>
      <c r="Y4" s="43"/>
      <c r="Z4" s="43"/>
      <c r="AA4" s="43"/>
    </row>
    <row r="5" spans="1:28" ht="21" x14ac:dyDescent="0.35">
      <c r="A5" s="174">
        <v>2015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18" t="s">
        <v>1</v>
      </c>
      <c r="H5" s="3"/>
      <c r="I5" s="25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</row>
    <row r="6" spans="1:28" x14ac:dyDescent="0.25">
      <c r="A6" s="195" t="s">
        <v>18</v>
      </c>
      <c r="B6" s="57">
        <f>B7+B8</f>
        <v>0</v>
      </c>
      <c r="C6" s="57">
        <f>C7+C8</f>
        <v>130.12287264597023</v>
      </c>
      <c r="D6" s="57">
        <f>D7+D8</f>
        <v>0.60084966176710886</v>
      </c>
      <c r="E6" s="57">
        <f>E7+E8</f>
        <v>0.40974367937434175</v>
      </c>
      <c r="F6" s="57">
        <f>F7+F8</f>
        <v>0</v>
      </c>
      <c r="G6" s="196">
        <f t="shared" ref="G6:G15" si="0">SUM(B6:F6)</f>
        <v>131.13346598711169</v>
      </c>
      <c r="H6" s="3"/>
      <c r="I6" s="203"/>
      <c r="J6" s="51"/>
      <c r="K6" s="51" t="s">
        <v>235</v>
      </c>
      <c r="L6" s="51"/>
      <c r="M6" s="51"/>
      <c r="N6" s="53"/>
      <c r="O6" s="54"/>
      <c r="P6" s="54"/>
      <c r="Q6" s="54"/>
      <c r="R6" s="54"/>
      <c r="S6" s="54"/>
      <c r="T6" s="46"/>
      <c r="U6" s="53"/>
      <c r="V6" s="24"/>
      <c r="W6" s="45"/>
      <c r="X6" s="52"/>
      <c r="Y6" s="52"/>
      <c r="Z6" s="52"/>
      <c r="AA6" s="52"/>
      <c r="AB6" s="52"/>
    </row>
    <row r="7" spans="1:28" x14ac:dyDescent="0.25">
      <c r="A7" s="177" t="s">
        <v>19</v>
      </c>
      <c r="B7" s="19">
        <v>0</v>
      </c>
      <c r="C7" s="19">
        <f>'T energie usages'!I12*3.2*Résultats!L250</f>
        <v>74.633575476170236</v>
      </c>
      <c r="D7" s="19">
        <f>'T energie usages'!J12/'T energie usages'!J$20*(Résultats!N$159+Résultats!N$60+Résultats!N$161)/1000000</f>
        <v>9.4337308520470765E-3</v>
      </c>
      <c r="E7" s="19">
        <f>'T energie usages'!K12*2.394*Résultats!L251</f>
        <v>2.2896024341739611E-5</v>
      </c>
      <c r="F7" s="19">
        <v>0</v>
      </c>
      <c r="G7" s="120">
        <f t="shared" si="0"/>
        <v>74.643032103046636</v>
      </c>
      <c r="H7" s="3"/>
      <c r="I7" s="203"/>
      <c r="J7" s="51"/>
      <c r="K7" s="208"/>
      <c r="L7" s="209">
        <v>2020</v>
      </c>
      <c r="M7" s="209">
        <v>2030</v>
      </c>
      <c r="N7" s="210">
        <v>2050</v>
      </c>
      <c r="O7" s="54"/>
      <c r="P7" s="54"/>
      <c r="Q7" s="54"/>
      <c r="R7" s="54"/>
      <c r="S7" s="54"/>
      <c r="T7" s="46"/>
      <c r="U7" s="53"/>
      <c r="V7" s="24"/>
      <c r="W7" s="41"/>
      <c r="X7" s="52"/>
      <c r="Y7" s="52"/>
      <c r="Z7" s="52"/>
      <c r="AA7" s="52"/>
      <c r="AB7" s="52"/>
    </row>
    <row r="8" spans="1:28" x14ac:dyDescent="0.25">
      <c r="A8" s="178" t="s">
        <v>20</v>
      </c>
      <c r="B8" s="19">
        <v>0</v>
      </c>
      <c r="C8" s="19">
        <f>(Résultats!N$150+Résultats!N$151+Résultats!N$152+Résultats!N$153+Résultats!N$154)/1000000</f>
        <v>55.489297169799997</v>
      </c>
      <c r="D8" s="19">
        <f>'T energie usages'!J13/'T energie usages'!J$20*(Résultats!N$159+Résultats!N$160+Résultats!N$161)/1000000</f>
        <v>0.59141593091506173</v>
      </c>
      <c r="E8" s="19">
        <f>(Résultats!N$176+Résultats!N$177+Résultats!N$178+Résultats!N$179+Résultats!N$180)/1000000</f>
        <v>0.40972078335000001</v>
      </c>
      <c r="F8" s="19">
        <v>0</v>
      </c>
      <c r="G8" s="120">
        <f t="shared" si="0"/>
        <v>56.490433884065055</v>
      </c>
      <c r="H8" s="3"/>
      <c r="I8" s="203"/>
      <c r="J8" s="51"/>
      <c r="K8" s="211" t="s">
        <v>18</v>
      </c>
      <c r="L8" s="24">
        <f>G19</f>
        <v>126.88236409930202</v>
      </c>
      <c r="M8" s="24">
        <f>G45</f>
        <v>114.07205470362445</v>
      </c>
      <c r="N8" s="214">
        <f>G71</f>
        <v>95.969425472507737</v>
      </c>
      <c r="O8" s="54"/>
      <c r="P8" s="54"/>
      <c r="Q8" s="54"/>
      <c r="R8" s="54"/>
      <c r="S8" s="54"/>
      <c r="T8" s="46"/>
      <c r="U8" s="53"/>
      <c r="V8" s="24"/>
      <c r="W8" s="41"/>
      <c r="X8" s="52"/>
      <c r="Y8" s="52"/>
      <c r="Z8" s="52"/>
      <c r="AA8" s="52"/>
      <c r="AB8" s="52"/>
    </row>
    <row r="9" spans="1:28" x14ac:dyDescent="0.25">
      <c r="A9" s="195" t="s">
        <v>21</v>
      </c>
      <c r="B9" s="57">
        <f>Résultats!N$102/1000000</f>
        <v>0.87902177199999998</v>
      </c>
      <c r="C9" s="57">
        <f>'T energie usages'!I14*3.2*Résultats!L250</f>
        <v>20.973372163772595</v>
      </c>
      <c r="D9" s="57">
        <f>'T energie usages'!J14/'T energie usages'!J$20*(Résultats!N$159+Résultats!N$160+Résultats!N$161)/1000000</f>
        <v>6.8312416236124474</v>
      </c>
      <c r="E9" s="57">
        <f>('T energie usages'!K14-5)*2.394*Résultats!L251</f>
        <v>37.021746216448705</v>
      </c>
      <c r="F9" s="57">
        <v>0</v>
      </c>
      <c r="G9" s="196">
        <f t="shared" si="0"/>
        <v>65.705381775833757</v>
      </c>
      <c r="H9" s="3"/>
      <c r="I9" s="203"/>
      <c r="J9" s="51"/>
      <c r="K9" s="211" t="s">
        <v>233</v>
      </c>
      <c r="L9" s="24">
        <f>G22</f>
        <v>55.380736066240765</v>
      </c>
      <c r="M9" s="24">
        <f>G48</f>
        <v>44.086182835531091</v>
      </c>
      <c r="N9" s="214">
        <f>G74</f>
        <v>37.247550580621997</v>
      </c>
      <c r="O9" s="54"/>
      <c r="P9" s="54"/>
      <c r="Q9" s="54"/>
      <c r="R9" s="54"/>
      <c r="S9" s="54"/>
      <c r="T9" s="46"/>
      <c r="U9" s="53"/>
      <c r="V9" s="24"/>
      <c r="W9" s="45"/>
      <c r="X9" s="52"/>
      <c r="Y9" s="52"/>
      <c r="Z9" s="52"/>
      <c r="AA9" s="52"/>
      <c r="AB9" s="52"/>
    </row>
    <row r="10" spans="1:28" x14ac:dyDescent="0.25">
      <c r="A10" s="195" t="s">
        <v>22</v>
      </c>
      <c r="B10" s="57">
        <f>(Résultats!N$135+Résultats!N$136)/1000000</f>
        <v>0</v>
      </c>
      <c r="C10" s="57">
        <f>(Résultats!N$155+Résultats!N$156)/1000000</f>
        <v>12.178652196899998</v>
      </c>
      <c r="D10" s="57">
        <f>'T energie usages'!J15/'T energie usages'!J$20*(Résultats!N$159+Résultats!N$160+Résultats!N$161)/1000000</f>
        <v>6.4945065861822773</v>
      </c>
      <c r="E10" s="57">
        <f>(Résultats!N$181+Résultats!N$182)/1000000</f>
        <v>18.582463870999998</v>
      </c>
      <c r="F10" s="57">
        <v>0</v>
      </c>
      <c r="G10" s="196">
        <f t="shared" si="0"/>
        <v>37.255622654082273</v>
      </c>
      <c r="H10" s="3"/>
      <c r="I10" s="203"/>
      <c r="J10" s="51"/>
      <c r="K10" s="212" t="s">
        <v>22</v>
      </c>
      <c r="L10" s="24">
        <f>G23</f>
        <v>28.755263641090352</v>
      </c>
      <c r="M10" s="24">
        <f>G49</f>
        <v>22.869940287799395</v>
      </c>
      <c r="N10" s="214">
        <f>G75</f>
        <v>18.057844871347264</v>
      </c>
      <c r="O10" s="54"/>
      <c r="P10" s="54"/>
      <c r="Q10" s="54"/>
      <c r="R10" s="54"/>
      <c r="S10" s="54"/>
      <c r="T10" s="46"/>
      <c r="U10" s="53"/>
      <c r="V10" s="24"/>
      <c r="W10" s="45"/>
      <c r="X10" s="52"/>
      <c r="Y10" s="52"/>
      <c r="Z10" s="52"/>
      <c r="AA10" s="52"/>
      <c r="AB10" s="52"/>
    </row>
    <row r="11" spans="1:28" x14ac:dyDescent="0.25">
      <c r="A11" s="195" t="s">
        <v>23</v>
      </c>
      <c r="B11" s="57">
        <f>B12+B13</f>
        <v>19.480927675700002</v>
      </c>
      <c r="C11" s="57">
        <f>C12+C13</f>
        <v>62.015599879312923</v>
      </c>
      <c r="D11" s="57">
        <f>D12+D13</f>
        <v>5.5474382941356248</v>
      </c>
      <c r="E11" s="57">
        <f>E12+E13</f>
        <v>25.810521457257522</v>
      </c>
      <c r="F11" s="57">
        <f>F12+F13</f>
        <v>12.05881789</v>
      </c>
      <c r="G11" s="196">
        <f t="shared" si="0"/>
        <v>124.91330519640609</v>
      </c>
      <c r="H11" s="3"/>
      <c r="I11" s="203"/>
      <c r="J11" s="51"/>
      <c r="K11" s="213" t="s">
        <v>234</v>
      </c>
      <c r="L11" s="215">
        <f>G24</f>
        <v>96.19777302903826</v>
      </c>
      <c r="M11" s="215">
        <f>G50</f>
        <v>106.71263847493289</v>
      </c>
      <c r="N11" s="216">
        <f>G76</f>
        <v>124.87480055815114</v>
      </c>
      <c r="O11" s="54"/>
      <c r="P11" s="54"/>
      <c r="Q11" s="54"/>
      <c r="R11" s="54"/>
      <c r="S11" s="54"/>
      <c r="T11" s="46"/>
      <c r="U11" s="53"/>
      <c r="V11" s="24"/>
      <c r="W11" s="45"/>
      <c r="X11" s="52"/>
      <c r="Y11" s="52"/>
      <c r="Z11" s="52"/>
      <c r="AA11" s="52"/>
      <c r="AB11" s="52"/>
    </row>
    <row r="12" spans="1:28" x14ac:dyDescent="0.25">
      <c r="A12" s="178" t="s">
        <v>24</v>
      </c>
      <c r="B12" s="19">
        <f>(Résultats!N$129+Résultats!N$130+Résultats!N$131+Résultats!N$132+Résultats!N$133+Résultats!N$134)/1000000</f>
        <v>19.480927675700002</v>
      </c>
      <c r="C12" s="19">
        <f>(Résultats!N$138+Résultats!N$140+Résultats!N$141+Résultats!N$142+Résultats!N$143+Résultats!N$144+Résultats!N$145+Résultats!N$146+Résultats!N$147+Résultats!N$148+Résultats!N$149)/1000000</f>
        <v>54.917778985312921</v>
      </c>
      <c r="D12" s="19">
        <f>'T energie usages'!J17/'T energie usages'!J$20*(Résultats!N$159+Résultats!N$160+Résultats!N$161)/1000000</f>
        <v>5.3900007922020432</v>
      </c>
      <c r="E12" s="19">
        <f>(Résultats!N$164+Résultats!N$165+Résultats!N$166+Résultats!N$167+Résultats!N$168+Résultats!N$169+Résultats!N$170+Résultats!N$171+Résultats!N$172+Résultats!N$173+Résultats!N$174+Résultats!N$175+Résultats!N$183+Résultats!N$185)/1000000</f>
        <v>25.142133983857523</v>
      </c>
      <c r="F12" s="19">
        <f>Résultats!N$100/1000000</f>
        <v>12.05881789</v>
      </c>
      <c r="G12" s="120">
        <f t="shared" si="0"/>
        <v>116.98965932707249</v>
      </c>
      <c r="H12" s="3"/>
      <c r="I12" s="203"/>
      <c r="J12" s="51"/>
      <c r="K12" s="217" t="s">
        <v>1</v>
      </c>
      <c r="L12" s="218">
        <f>SUM(L8:L11)</f>
        <v>307.21613683567142</v>
      </c>
      <c r="M12" s="218">
        <f t="shared" ref="M12:N12" si="1">SUM(M8:M11)</f>
        <v>287.74081630188783</v>
      </c>
      <c r="N12" s="218">
        <f t="shared" si="1"/>
        <v>276.14962148262816</v>
      </c>
      <c r="O12" s="54"/>
      <c r="P12" s="54"/>
      <c r="Q12" s="54"/>
      <c r="R12" s="54"/>
      <c r="S12" s="54"/>
      <c r="T12" s="46"/>
      <c r="U12" s="53"/>
      <c r="V12" s="24"/>
      <c r="W12" s="41"/>
      <c r="X12" s="52"/>
      <c r="Y12" s="52"/>
      <c r="Z12" s="52"/>
      <c r="AA12" s="52"/>
      <c r="AB12" s="52"/>
    </row>
    <row r="13" spans="1:28" x14ac:dyDescent="0.25">
      <c r="A13" s="178" t="s">
        <v>25</v>
      </c>
      <c r="B13" s="19">
        <v>0</v>
      </c>
      <c r="C13" s="19">
        <f>(Résultats!N$139)/1000000</f>
        <v>7.0978208940000007</v>
      </c>
      <c r="D13" s="19">
        <f>'T energie usages'!J19/'T energie usages'!J$20*(Résultats!N$159+Résultats!N$160+Résultats!N$161)/1000000</f>
        <v>0.15743750193358122</v>
      </c>
      <c r="E13" s="19">
        <f>(Résultats!N$163)/1000000</f>
        <v>0.66838747340000004</v>
      </c>
      <c r="F13" s="19">
        <v>0</v>
      </c>
      <c r="G13" s="120">
        <f t="shared" si="0"/>
        <v>7.9236458693335825</v>
      </c>
      <c r="H13" s="3"/>
      <c r="I13" s="203"/>
      <c r="J13" s="51"/>
      <c r="K13" s="51"/>
      <c r="L13" s="51"/>
      <c r="M13" s="51"/>
      <c r="N13" s="53"/>
      <c r="O13" s="54"/>
      <c r="P13" s="54"/>
      <c r="Q13" s="54"/>
      <c r="R13" s="54"/>
      <c r="S13" s="54"/>
      <c r="T13" s="46"/>
      <c r="U13" s="53"/>
      <c r="V13" s="24"/>
      <c r="W13" s="41"/>
      <c r="X13" s="52"/>
      <c r="Y13" s="52"/>
      <c r="Z13" s="52"/>
      <c r="AA13" s="52"/>
      <c r="AB13" s="52"/>
    </row>
    <row r="14" spans="1:28" x14ac:dyDescent="0.25">
      <c r="A14" s="72" t="s">
        <v>41</v>
      </c>
      <c r="B14" s="58">
        <f>SUM(B9:B11)+B6</f>
        <v>20.359949447700004</v>
      </c>
      <c r="C14" s="58">
        <f>SUM(C9:C11)+C6</f>
        <v>225.29049688595575</v>
      </c>
      <c r="D14" s="58">
        <f>SUM(D9:D11)+D6</f>
        <v>19.474036165697456</v>
      </c>
      <c r="E14" s="58">
        <f>SUM(E9:E11)+E6</f>
        <v>81.824475224080572</v>
      </c>
      <c r="F14" s="58">
        <f>SUM(F9:F11)+F6</f>
        <v>12.05881789</v>
      </c>
      <c r="G14" s="197">
        <f t="shared" si="0"/>
        <v>359.00777561343375</v>
      </c>
      <c r="H14" s="3"/>
      <c r="I14" s="203"/>
      <c r="J14" s="51"/>
      <c r="K14" s="51"/>
      <c r="L14" s="51"/>
      <c r="M14" s="51"/>
      <c r="N14" s="53"/>
      <c r="O14" s="54"/>
      <c r="P14" s="54"/>
      <c r="Q14" s="54"/>
      <c r="R14" s="54"/>
      <c r="S14" s="54"/>
      <c r="T14" s="46"/>
      <c r="U14" s="53"/>
      <c r="V14" s="24"/>
      <c r="W14" s="47"/>
      <c r="X14" s="52"/>
      <c r="Y14" s="52"/>
      <c r="Z14" s="52"/>
      <c r="AA14" s="52"/>
      <c r="AB14" s="52"/>
    </row>
    <row r="15" spans="1:28" x14ac:dyDescent="0.25">
      <c r="A15" s="198" t="s">
        <v>43</v>
      </c>
      <c r="B15" s="201">
        <f>(Résultats!N$102+Résultats!N$129+Résultats!N$130+Résultats!N$131+Résultats!N$132+Résultats!N$133+Résultats!N$134+Résultats!N$135+Résultats!N$136)/1000000</f>
        <v>20.3599494477</v>
      </c>
      <c r="C15" s="201">
        <f>(Résultats!N$104+Résultats!N$138+Résultats!N$139+Résultats!N$140+Résultats!N$141+Résultats!N$142+Résultats!N$143+Résultats!N$144+Résultats!N$145+Résultats!N$146+Résultats!N$147+Résultats!N$148+Résultats!N$149+Résultats!N$150+Résultats!N$151+Résultats!N$152+Résultats!N$153+Résultats!N$154+Résultats!N$155+Résultats!N$156)/1000000</f>
        <v>224.56446897601293</v>
      </c>
      <c r="D15" s="201">
        <f>(Résultats!N$159+Résultats!N$160+Résultats!N$161)/1000000</f>
        <v>19.478938450000005</v>
      </c>
      <c r="E15" s="201">
        <f>(Résultats!N$106+Résultats!N$163+Résultats!N$164+Résultats!N$165+Résultats!N$166+Résultats!N$167+Résultats!N$168+Résultats!N$169+Résultats!N$170+Résultats!N$171+Résultats!N$172+Résultats!N$173+Résultats!N$174+Résultats!N$175+Résultats!N$176+Résultats!N$177+Résultats!N$178+Résultats!N$179+Résultats!N$180+Résultats!N$181+Résultats!N$182+Résultats!N$183+Résultats!N$185)/1000000</f>
        <v>73.153807061607495</v>
      </c>
      <c r="F15" s="201">
        <f>Résultats!N$100/1000000</f>
        <v>12.05881789</v>
      </c>
      <c r="G15" s="202">
        <f t="shared" si="0"/>
        <v>349.61598182532043</v>
      </c>
      <c r="H15" s="3"/>
      <c r="I15" s="203"/>
      <c r="J15" s="51"/>
      <c r="K15" s="51"/>
      <c r="L15" s="51"/>
      <c r="M15" s="46"/>
      <c r="N15" s="24"/>
      <c r="O15" s="51"/>
      <c r="P15" s="51"/>
      <c r="Q15" s="51"/>
      <c r="R15" s="51"/>
      <c r="S15" s="46"/>
      <c r="T15" s="46"/>
      <c r="U15" s="24"/>
      <c r="V15" s="24"/>
      <c r="W15" s="48"/>
      <c r="X15" s="52"/>
      <c r="Y15" s="52"/>
      <c r="Z15" s="52"/>
      <c r="AA15" s="52"/>
      <c r="AB15" s="52"/>
    </row>
    <row r="16" spans="1:28" x14ac:dyDescent="0.25">
      <c r="A16" s="198"/>
      <c r="B16" s="199"/>
      <c r="C16" s="199"/>
      <c r="D16" s="199"/>
      <c r="E16" s="199"/>
      <c r="F16" s="199"/>
      <c r="G16" s="200">
        <f>Résultats!N$194/1000000</f>
        <v>349.61598119999996</v>
      </c>
      <c r="H16" s="3"/>
      <c r="I16" s="203"/>
      <c r="J16" s="51"/>
      <c r="K16" s="51"/>
      <c r="L16" s="51"/>
      <c r="M16" s="46"/>
      <c r="N16" s="50"/>
      <c r="O16" s="51"/>
      <c r="P16" s="51"/>
      <c r="Q16" s="51"/>
      <c r="R16" s="51"/>
      <c r="S16" s="46"/>
      <c r="T16" s="46"/>
      <c r="U16" s="50"/>
      <c r="V16" s="50"/>
      <c r="W16" s="49"/>
      <c r="X16" s="52"/>
      <c r="Y16" s="52"/>
      <c r="Z16" s="52"/>
      <c r="AA16" s="52"/>
      <c r="AB16" s="52"/>
    </row>
    <row r="17" spans="1:28" x14ac:dyDescent="0.25">
      <c r="A17" s="3"/>
      <c r="B17" s="64"/>
      <c r="C17" s="64"/>
      <c r="D17" s="64"/>
      <c r="E17" s="64"/>
      <c r="F17" s="64"/>
      <c r="G17" s="3"/>
      <c r="H17" s="3"/>
      <c r="I17" s="203"/>
      <c r="J17" s="51"/>
      <c r="K17" s="51"/>
      <c r="L17" s="51"/>
      <c r="M17" s="46"/>
      <c r="O17" s="51"/>
      <c r="P17" s="51"/>
      <c r="Q17" s="51"/>
      <c r="R17" s="51"/>
      <c r="S17" s="46"/>
      <c r="T17" s="46"/>
      <c r="X17" s="52"/>
      <c r="Y17" s="52"/>
      <c r="Z17" s="52"/>
      <c r="AA17" s="52"/>
      <c r="AB17" s="52"/>
    </row>
    <row r="18" spans="1:28" ht="21" x14ac:dyDescent="0.35">
      <c r="A18" s="174">
        <v>2020</v>
      </c>
      <c r="B18" s="4" t="s">
        <v>36</v>
      </c>
      <c r="C18" s="4" t="s">
        <v>37</v>
      </c>
      <c r="D18" s="4" t="s">
        <v>38</v>
      </c>
      <c r="E18" s="4" t="s">
        <v>39</v>
      </c>
      <c r="F18" s="4" t="s">
        <v>40</v>
      </c>
      <c r="G18" s="118" t="s">
        <v>1</v>
      </c>
      <c r="H18" s="3"/>
      <c r="I18" s="25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W18" s="44"/>
      <c r="X18" s="44"/>
      <c r="Y18" s="44"/>
      <c r="Z18" s="44"/>
      <c r="AA18" s="44"/>
      <c r="AB18" s="52"/>
    </row>
    <row r="19" spans="1:28" x14ac:dyDescent="0.25">
      <c r="A19" s="195" t="s">
        <v>18</v>
      </c>
      <c r="B19" s="57">
        <f>B20+B21</f>
        <v>0</v>
      </c>
      <c r="C19" s="57">
        <f>C20+C21</f>
        <v>125.91985782835991</v>
      </c>
      <c r="D19" s="57">
        <f>D20+D21</f>
        <v>0.5220589367107632</v>
      </c>
      <c r="E19" s="61">
        <f>E20+E21</f>
        <v>0.44044733423135457</v>
      </c>
      <c r="F19" s="57">
        <f>F20+F21</f>
        <v>0</v>
      </c>
      <c r="G19" s="196">
        <f>SUM(B19:F19)</f>
        <v>126.88236409930202</v>
      </c>
      <c r="H19" s="3"/>
      <c r="I19" s="203"/>
      <c r="J19" s="51"/>
      <c r="K19" s="51"/>
      <c r="L19" s="51"/>
      <c r="M19" s="51"/>
      <c r="N19" s="53"/>
      <c r="O19" s="54"/>
      <c r="P19" s="54"/>
      <c r="Q19" s="54"/>
      <c r="R19" s="54"/>
      <c r="S19" s="54"/>
      <c r="T19" s="46"/>
      <c r="U19" s="34"/>
      <c r="W19" s="45"/>
      <c r="X19" s="52"/>
      <c r="Y19" s="52"/>
      <c r="Z19" s="52"/>
      <c r="AA19" s="52"/>
      <c r="AB19" s="52"/>
    </row>
    <row r="20" spans="1:28" x14ac:dyDescent="0.25">
      <c r="A20" s="177" t="s">
        <v>19</v>
      </c>
      <c r="B20" s="19">
        <v>0</v>
      </c>
      <c r="C20" s="19">
        <f>'T energie usages'!I25*3.2*Résultats!S250</f>
        <v>72.182392463759911</v>
      </c>
      <c r="D20" s="19">
        <f>'T energie usages'!J25/'T energie usages'!J$33*(Résultats!S$159+Résultats!S$160+Résultats!S$161)/1000000</f>
        <v>3.9899201549238025E-2</v>
      </c>
      <c r="E20" s="55">
        <f>'T energie usages'!K25*2.394*Résultats!S251</f>
        <v>3.5048321354584802E-5</v>
      </c>
      <c r="F20" s="19">
        <v>0</v>
      </c>
      <c r="G20" s="120">
        <f>SUM(B20:F20)</f>
        <v>72.222326713630494</v>
      </c>
      <c r="H20" s="3"/>
      <c r="I20" s="203"/>
      <c r="J20" s="51"/>
      <c r="K20" s="51"/>
      <c r="L20" s="51"/>
      <c r="M20" s="51"/>
      <c r="N20" s="53"/>
      <c r="O20" s="54"/>
      <c r="P20" s="54"/>
      <c r="Q20" s="54"/>
      <c r="R20" s="54"/>
      <c r="S20" s="54"/>
      <c r="T20" s="46"/>
      <c r="U20" s="42"/>
      <c r="W20" s="41"/>
      <c r="X20" s="52"/>
      <c r="Y20" s="52"/>
      <c r="Z20" s="52"/>
      <c r="AA20" s="52"/>
      <c r="AB20" s="52"/>
    </row>
    <row r="21" spans="1:28" x14ac:dyDescent="0.25">
      <c r="A21" s="178" t="s">
        <v>20</v>
      </c>
      <c r="B21" s="19">
        <v>0</v>
      </c>
      <c r="C21" s="19">
        <f>(Résultats!S$150+Résultats!S$151+Résultats!S$152+Résultats!S$153+Résultats!S$154)/1000000</f>
        <v>53.737465364600006</v>
      </c>
      <c r="D21" s="19">
        <f>'T energie usages'!J26/'T energie usages'!J$33*(Résultats!S$159+Résultats!S$160+Résultats!S$161)/1000000</f>
        <v>0.48215973516152522</v>
      </c>
      <c r="E21" s="55">
        <f>(Résultats!S$176+Résultats!S$177+Résultats!S$178+Résultats!S$179+Résultats!S$180)/1000000</f>
        <v>0.44041228590999998</v>
      </c>
      <c r="F21" s="19">
        <v>0</v>
      </c>
      <c r="G21" s="120">
        <f>SUM(B21:F21)</f>
        <v>54.660037385671529</v>
      </c>
      <c r="H21" s="3"/>
      <c r="I21" s="203"/>
      <c r="J21" s="51"/>
      <c r="K21" s="51"/>
      <c r="L21" s="51"/>
      <c r="M21" s="51"/>
      <c r="N21" s="53"/>
      <c r="O21" s="54"/>
      <c r="P21" s="54"/>
      <c r="Q21" s="54"/>
      <c r="R21" s="54"/>
      <c r="S21" s="54"/>
      <c r="T21" s="46"/>
      <c r="U21" s="42"/>
      <c r="W21" s="41"/>
      <c r="X21" s="52"/>
      <c r="Y21" s="52"/>
      <c r="Z21" s="52"/>
      <c r="AA21" s="52"/>
      <c r="AB21" s="52"/>
    </row>
    <row r="22" spans="1:28" x14ac:dyDescent="0.25">
      <c r="A22" s="195" t="s">
        <v>21</v>
      </c>
      <c r="B22" s="57">
        <f>Résultats!S$102/1000000</f>
        <v>0.77765771589999999</v>
      </c>
      <c r="C22" s="57">
        <f>'T energie usages'!I27*3.2*Résultats!S250</f>
        <v>17.718959191438099</v>
      </c>
      <c r="D22" s="57">
        <f>'T energie usages'!J27/'T energie usages'!J$33*(Résultats!S$159+Résultats!S$160+Résultats!S$161)/1000000</f>
        <v>5.2311977269702341</v>
      </c>
      <c r="E22" s="57">
        <f>('T energie usages'!K27-7)*2.394*Résultats!S251</f>
        <v>31.652921431932434</v>
      </c>
      <c r="F22" s="57">
        <v>0</v>
      </c>
      <c r="G22" s="196">
        <f>SUM(B22:F22)</f>
        <v>55.380736066240765</v>
      </c>
      <c r="H22" s="3"/>
      <c r="I22" s="203"/>
      <c r="J22" s="51"/>
      <c r="K22" s="51"/>
      <c r="L22" s="51"/>
      <c r="M22" s="51"/>
      <c r="N22" s="53"/>
      <c r="O22" s="54"/>
      <c r="P22" s="54"/>
      <c r="Q22" s="54"/>
      <c r="R22" s="54"/>
      <c r="S22" s="54"/>
      <c r="T22" s="46"/>
      <c r="U22" s="34"/>
      <c r="W22" s="45"/>
      <c r="X22" s="52"/>
      <c r="Y22" s="52"/>
      <c r="Z22" s="52"/>
      <c r="AA22" s="52"/>
      <c r="AB22" s="52"/>
    </row>
    <row r="23" spans="1:28" x14ac:dyDescent="0.25">
      <c r="A23" s="195" t="s">
        <v>22</v>
      </c>
      <c r="B23" s="57">
        <f>(Résultats!S$135+Résultats!S$136)/1000000</f>
        <v>0</v>
      </c>
      <c r="C23" s="57">
        <f>(Résultats!S$155+Résultats!S$156)/1000000</f>
        <v>8.7485875897999996</v>
      </c>
      <c r="D23" s="57">
        <f>'T energie usages'!J28/'T energie usages'!J$33*(Résultats!S$159+Résultats!S$160+Résultats!S$161)/1000000</f>
        <v>4.6106953452903534</v>
      </c>
      <c r="E23" s="57">
        <f>(Résultats!S$181+Résultats!S$182)/1000000</f>
        <v>15.395980706</v>
      </c>
      <c r="F23" s="57">
        <v>0</v>
      </c>
      <c r="G23" s="196">
        <f t="shared" ref="G23:G28" si="2">SUM(B23:F23)</f>
        <v>28.755263641090352</v>
      </c>
      <c r="H23" s="3"/>
      <c r="I23" s="203"/>
      <c r="J23" s="51"/>
      <c r="K23" s="51"/>
      <c r="L23" s="51"/>
      <c r="M23" s="51"/>
      <c r="N23" s="53"/>
      <c r="O23" s="54"/>
      <c r="P23" s="54"/>
      <c r="Q23" s="54"/>
      <c r="R23" s="54"/>
      <c r="S23" s="54"/>
      <c r="T23" s="46"/>
      <c r="U23" s="34"/>
      <c r="W23" s="45"/>
      <c r="X23" s="52"/>
      <c r="Y23" s="52"/>
      <c r="Z23" s="52"/>
      <c r="AA23" s="52"/>
      <c r="AB23" s="52"/>
    </row>
    <row r="24" spans="1:28" x14ac:dyDescent="0.25">
      <c r="A24" s="195" t="s">
        <v>23</v>
      </c>
      <c r="B24" s="57">
        <f>B25+B26</f>
        <v>10.436248154599991</v>
      </c>
      <c r="C24" s="57">
        <f>C25+C26</f>
        <v>42.775019718691723</v>
      </c>
      <c r="D24" s="57">
        <f>D25+D26</f>
        <v>3.37347976102865</v>
      </c>
      <c r="E24" s="57">
        <f>E25+E26</f>
        <v>26.221657514717883</v>
      </c>
      <c r="F24" s="57">
        <f>F25+F26</f>
        <v>13.391367880000001</v>
      </c>
      <c r="G24" s="196">
        <f t="shared" si="2"/>
        <v>96.19777302903826</v>
      </c>
      <c r="H24" s="3"/>
      <c r="I24" s="203"/>
      <c r="J24" s="51"/>
      <c r="K24" s="51"/>
      <c r="L24" s="51"/>
      <c r="M24" s="51"/>
      <c r="N24" s="53"/>
      <c r="O24" s="54"/>
      <c r="P24" s="54"/>
      <c r="Q24" s="54"/>
      <c r="R24" s="54"/>
      <c r="S24" s="54"/>
      <c r="T24" s="46"/>
      <c r="U24" s="34"/>
      <c r="W24" s="45"/>
      <c r="X24" s="52"/>
      <c r="Y24" s="52"/>
      <c r="Z24" s="52"/>
      <c r="AA24" s="52"/>
      <c r="AB24" s="52"/>
    </row>
    <row r="25" spans="1:28" x14ac:dyDescent="0.25">
      <c r="A25" s="178" t="s">
        <v>24</v>
      </c>
      <c r="B25" s="19">
        <f>(Résultats!S$129+Résultats!S$130+Résultats!S$131+Résultats!S$132+Résultats!S$133+Résultats!S$134)/1000000</f>
        <v>10.436248154599991</v>
      </c>
      <c r="C25" s="19">
        <f>(Résultats!S$138+Résultats!S$140+Résultats!S$141+Résultats!S$142+Résultats!S$143+Résultats!S$144+Résultats!S$145+Résultats!S$146+Résultats!S$147+Résultats!S$148+Résultats!V$149)/1000000</f>
        <v>35.859116269691725</v>
      </c>
      <c r="D25" s="19">
        <f>'T energie usages'!J30/'T energie usages'!J$33*(Résultats!S$159+Résultats!S$160+Résultats!S$161)/1000000</f>
        <v>3.2593602108135005</v>
      </c>
      <c r="E25" s="19">
        <f>(Résultats!S$164+Résultats!S$165+Résultats!S$166+Résultats!S$167+Résultats!S$168+Résultats!S$169+Résultats!S$170+Résultats!S$171+Résultats!S$172+Résultats!S$173+Résultats!S$174+Résultats!S$175+Résultats!S$183+Résultats!S$185)/1000000</f>
        <v>25.607214252317885</v>
      </c>
      <c r="F25" s="19">
        <f>Résultats!S$100/1000000</f>
        <v>13.391367880000001</v>
      </c>
      <c r="G25" s="120">
        <f t="shared" si="2"/>
        <v>88.553306767423109</v>
      </c>
      <c r="H25" s="3"/>
      <c r="I25" s="203"/>
      <c r="J25" s="51"/>
      <c r="K25" s="51"/>
      <c r="L25" s="51"/>
      <c r="M25" s="51"/>
      <c r="N25" s="53"/>
      <c r="O25" s="54"/>
      <c r="P25" s="54"/>
      <c r="Q25" s="54"/>
      <c r="R25" s="54"/>
      <c r="S25" s="54"/>
      <c r="T25" s="46"/>
      <c r="U25" s="42"/>
      <c r="W25" s="41"/>
      <c r="X25" s="52"/>
      <c r="Y25" s="52"/>
      <c r="Z25" s="52"/>
      <c r="AA25" s="52"/>
      <c r="AB25" s="52"/>
    </row>
    <row r="26" spans="1:28" x14ac:dyDescent="0.25">
      <c r="A26" s="178" t="s">
        <v>25</v>
      </c>
      <c r="B26" s="19">
        <v>0</v>
      </c>
      <c r="C26" s="19">
        <f>(Résultats!S$139)/1000000</f>
        <v>6.915903449</v>
      </c>
      <c r="D26" s="19">
        <f>'T energie usages'!J32/'T energie usages'!J$33*(Résultats!S$159+Résultats!S$160+Résultats!S$161)/1000000</f>
        <v>0.11411955021514954</v>
      </c>
      <c r="E26" s="19">
        <f>(Résultats!S$163)/1000000</f>
        <v>0.61444326240000002</v>
      </c>
      <c r="F26" s="19">
        <v>0</v>
      </c>
      <c r="G26" s="120">
        <f t="shared" si="2"/>
        <v>7.6444662616151495</v>
      </c>
      <c r="H26" s="3"/>
      <c r="I26" s="203"/>
      <c r="J26" s="51"/>
      <c r="K26" s="51"/>
      <c r="L26" s="51"/>
      <c r="M26" s="51"/>
      <c r="N26" s="53"/>
      <c r="O26" s="54"/>
      <c r="P26" s="54"/>
      <c r="Q26" s="54"/>
      <c r="R26" s="54"/>
      <c r="S26" s="54"/>
      <c r="T26" s="46"/>
      <c r="U26" s="42"/>
      <c r="W26" s="41"/>
      <c r="X26" s="52"/>
      <c r="Y26" s="52"/>
      <c r="Z26" s="52"/>
      <c r="AA26" s="52"/>
      <c r="AB26" s="52"/>
    </row>
    <row r="27" spans="1:28" x14ac:dyDescent="0.25">
      <c r="A27" s="72" t="s">
        <v>41</v>
      </c>
      <c r="B27" s="58">
        <f>SUM(B22:B24)+B19</f>
        <v>11.213905870499991</v>
      </c>
      <c r="C27" s="58">
        <f>SUM(C22:C24)+C19</f>
        <v>195.16242432828972</v>
      </c>
      <c r="D27" s="58">
        <f>SUM(D22:D24)+D19</f>
        <v>13.737431770000001</v>
      </c>
      <c r="E27" s="58">
        <f>SUM(E22:E24)+E19</f>
        <v>73.711006986881671</v>
      </c>
      <c r="F27" s="58">
        <f>SUM(F22:F24)+F19</f>
        <v>13.391367880000001</v>
      </c>
      <c r="G27" s="197">
        <f t="shared" si="2"/>
        <v>307.21613683567142</v>
      </c>
      <c r="H27" s="3"/>
      <c r="I27" s="203"/>
      <c r="J27" s="51"/>
      <c r="K27" s="51"/>
      <c r="L27" s="51"/>
      <c r="M27" s="51"/>
      <c r="N27" s="53"/>
      <c r="O27" s="54"/>
      <c r="P27" s="54"/>
      <c r="Q27" s="54"/>
      <c r="R27" s="54"/>
      <c r="S27" s="54"/>
      <c r="T27" s="46"/>
      <c r="U27" s="48"/>
      <c r="W27" s="47"/>
      <c r="X27" s="52"/>
      <c r="Y27" s="52"/>
      <c r="Z27" s="52"/>
      <c r="AA27" s="52"/>
      <c r="AB27" s="52"/>
    </row>
    <row r="28" spans="1:28" x14ac:dyDescent="0.25">
      <c r="A28" s="198" t="s">
        <v>43</v>
      </c>
      <c r="B28" s="201">
        <f>(Résultats!S$102+Résultats!S$129+Résultats!S$130+Résultats!S$131+Résultats!S$132+Résultats!S$133+Résultats!S$134+Résultats!S$135+Résultats!S$136)/1000000</f>
        <v>11.213905870499989</v>
      </c>
      <c r="C28" s="201">
        <f>(Résultats!S$104+Résultats!S$138+Résultats!S$139+Résultats!S$140+Résultats!S$141+Résultats!S$142+Résultats!S$143+Résultats!S$144+Résultats!S$145+Résultats!S$146+Résultats!S$147+Résultats!S$148+Résultats!S$149+Résultats!S$150+Résultats!S$151+Résultats!S$152+Résultats!S$153+Résultats!S$154+Résultats!S$155+Résultats!S$156)/1000000</f>
        <v>195.21675171223762</v>
      </c>
      <c r="D28" s="201">
        <f>(Résultats!S$159+Résultats!S$160+Résultats!S$161)/1000000</f>
        <v>13.737431769999999</v>
      </c>
      <c r="E28" s="200">
        <f>(Résultats!S$106+Résultats!S$163+Résultats!S$164+Résultats!S$165+Résultats!S$166+Résultats!S$167+Résultats!S$168+Résultats!S$169+Résultats!S$170+Résultats!S$171+Résultats!S$172+Résultats!S$173+Résultats!S$174+Résultats!S$175+Résultats!S$176+Résultats!S$177+Résultats!S$178+Résultats!S$179+Résultats!S$180+Résultats!S$181+Résultats!S$182+Résultats!S$183)/1000000</f>
        <v>67.126618656027887</v>
      </c>
      <c r="F28" s="201">
        <f>Résultats!S$100/1000000</f>
        <v>13.391367880000001</v>
      </c>
      <c r="G28" s="202">
        <f t="shared" si="2"/>
        <v>300.68607588876552</v>
      </c>
      <c r="H28" s="3"/>
      <c r="I28" s="203"/>
      <c r="J28" s="51"/>
      <c r="K28" s="51"/>
      <c r="L28" s="51"/>
      <c r="M28" s="51"/>
      <c r="N28" s="24"/>
      <c r="O28" s="51"/>
      <c r="P28" s="51"/>
      <c r="Q28" s="51"/>
      <c r="R28" s="51"/>
      <c r="S28" s="51"/>
      <c r="T28" s="46"/>
      <c r="U28" s="24"/>
      <c r="V28" s="24"/>
      <c r="W28" s="24"/>
      <c r="X28" s="52"/>
      <c r="Y28" s="52"/>
      <c r="Z28" s="52"/>
      <c r="AA28" s="52"/>
      <c r="AB28" s="52"/>
    </row>
    <row r="29" spans="1:28" x14ac:dyDescent="0.25">
      <c r="A29" s="198"/>
      <c r="B29" s="199"/>
      <c r="C29" s="199"/>
      <c r="D29" s="199"/>
      <c r="E29" s="199"/>
      <c r="F29" s="199"/>
      <c r="G29" s="200">
        <f>Résultats!S$194/1000000</f>
        <v>300.99429049999998</v>
      </c>
      <c r="H29" s="3"/>
      <c r="I29" s="203"/>
      <c r="J29" s="51"/>
      <c r="K29" s="51"/>
      <c r="L29" s="51"/>
      <c r="M29" s="51"/>
      <c r="N29" s="24"/>
      <c r="O29" s="51"/>
      <c r="P29" s="51"/>
      <c r="Q29" s="51"/>
      <c r="R29" s="51"/>
      <c r="S29" s="51"/>
      <c r="T29" s="46"/>
      <c r="U29" s="24"/>
      <c r="V29" s="24"/>
      <c r="W29" s="24"/>
      <c r="X29" s="52"/>
      <c r="Y29" s="52"/>
      <c r="Z29" s="52"/>
      <c r="AA29" s="52"/>
      <c r="AB29" s="52"/>
    </row>
    <row r="30" spans="1:28" x14ac:dyDescent="0.25">
      <c r="A30" s="3"/>
      <c r="B30" s="63"/>
      <c r="C30" s="63"/>
      <c r="D30" s="63"/>
      <c r="E30" s="63"/>
      <c r="F30" s="64"/>
      <c r="G30" s="69"/>
      <c r="H30" s="3"/>
      <c r="I30" s="203"/>
      <c r="J30" s="51"/>
      <c r="K30" s="51"/>
      <c r="L30" s="51"/>
      <c r="N30" s="24"/>
      <c r="O30" s="51"/>
      <c r="P30" s="51"/>
      <c r="Q30" s="51"/>
      <c r="R30" s="51"/>
      <c r="S30" s="51"/>
      <c r="T30" s="46"/>
      <c r="U30" s="24"/>
      <c r="V30" s="24"/>
      <c r="W30" s="24"/>
      <c r="X30" s="52"/>
      <c r="Y30" s="52"/>
      <c r="Z30" s="52"/>
      <c r="AA30" s="52"/>
      <c r="AB30" s="52"/>
    </row>
    <row r="31" spans="1:28" ht="21" x14ac:dyDescent="0.35">
      <c r="A31" s="174">
        <v>2025</v>
      </c>
      <c r="B31" s="4" t="s">
        <v>36</v>
      </c>
      <c r="C31" s="4" t="s">
        <v>37</v>
      </c>
      <c r="D31" s="4" t="s">
        <v>38</v>
      </c>
      <c r="E31" s="4" t="s">
        <v>39</v>
      </c>
      <c r="F31" s="4" t="s">
        <v>40</v>
      </c>
      <c r="G31" s="118" t="s">
        <v>1</v>
      </c>
      <c r="H31" s="3"/>
      <c r="I31" s="25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24"/>
      <c r="W31" s="44"/>
      <c r="X31" s="44"/>
      <c r="Y31" s="44"/>
      <c r="Z31" s="44"/>
      <c r="AA31" s="44"/>
      <c r="AB31" s="52"/>
    </row>
    <row r="32" spans="1:28" x14ac:dyDescent="0.25">
      <c r="A32" s="195" t="s">
        <v>18</v>
      </c>
      <c r="B32" s="57">
        <f>B33+B34</f>
        <v>0</v>
      </c>
      <c r="C32" s="57">
        <f>C33+C34</f>
        <v>118.79459491154887</v>
      </c>
      <c r="D32" s="57">
        <f>D33+D34</f>
        <v>0.28119545641939425</v>
      </c>
      <c r="E32" s="61">
        <f>E33+E34</f>
        <v>0.92261579741020838</v>
      </c>
      <c r="F32" s="57">
        <f>F33+F34</f>
        <v>0</v>
      </c>
      <c r="G32" s="196">
        <f>SUM(B32:F32)</f>
        <v>119.99840616537847</v>
      </c>
      <c r="H32" s="3"/>
      <c r="I32" s="203"/>
      <c r="J32" s="51"/>
      <c r="K32" s="51"/>
      <c r="L32" s="51"/>
      <c r="M32" s="51"/>
      <c r="N32" s="53"/>
      <c r="O32" s="54"/>
      <c r="P32" s="54"/>
      <c r="Q32" s="54"/>
      <c r="R32" s="54"/>
      <c r="S32" s="54"/>
      <c r="T32" s="46"/>
      <c r="U32" s="34"/>
      <c r="V32" s="24"/>
      <c r="W32" s="45"/>
      <c r="X32" s="52"/>
      <c r="Y32" s="52"/>
      <c r="Z32" s="52"/>
      <c r="AA32" s="52"/>
      <c r="AB32" s="52"/>
    </row>
    <row r="33" spans="1:28" x14ac:dyDescent="0.25">
      <c r="A33" s="177" t="s">
        <v>19</v>
      </c>
      <c r="B33" s="19">
        <v>0</v>
      </c>
      <c r="C33" s="19">
        <f>'T energie usages'!I64*3.2*Résultats!X250</f>
        <v>63.787910462248867</v>
      </c>
      <c r="D33" s="19">
        <f>'T energie usages'!J64/'T energie usages'!J$72*(Résultats!X$159+Résultats!X$160+Résultats!X$161)/1000000</f>
        <v>4.9080300806618009E-2</v>
      </c>
      <c r="E33" s="55">
        <f>'T energie usages'!K64*2.394*Résultats!X251</f>
        <v>5.4700060208323185E-5</v>
      </c>
      <c r="F33" s="19">
        <v>0</v>
      </c>
      <c r="G33" s="120">
        <f>SUM(B33:F33)</f>
        <v>63.837045463115693</v>
      </c>
      <c r="H33" s="3"/>
      <c r="I33" s="203"/>
      <c r="J33" s="51"/>
      <c r="K33" s="51"/>
      <c r="L33" s="51"/>
      <c r="M33" s="51"/>
      <c r="N33" s="53"/>
      <c r="O33" s="54"/>
      <c r="P33" s="54"/>
      <c r="Q33" s="54"/>
      <c r="R33" s="54"/>
      <c r="S33" s="54"/>
      <c r="T33" s="46"/>
      <c r="U33" s="42"/>
      <c r="V33" s="24"/>
      <c r="W33" s="41"/>
      <c r="X33" s="52"/>
      <c r="Y33" s="52"/>
      <c r="Z33" s="52"/>
      <c r="AA33" s="52"/>
      <c r="AB33" s="52"/>
    </row>
    <row r="34" spans="1:28" x14ac:dyDescent="0.25">
      <c r="A34" s="178" t="s">
        <v>20</v>
      </c>
      <c r="B34" s="19">
        <v>0</v>
      </c>
      <c r="C34" s="19">
        <f>(Résultats!X$150+Résultats!X$151+Résultats!X$152+Résultats!X$153+Résultats!X$154)/1000000</f>
        <v>55.006684449300003</v>
      </c>
      <c r="D34" s="19">
        <f>'T energie usages'!J65/'T energie usages'!J$72*(Résultats!X$159+Résultats!X$160+Résultats!X$161)/1000000</f>
        <v>0.23211515561277624</v>
      </c>
      <c r="E34" s="55">
        <f>(Résultats!X$176+Résultats!X$177+Résultats!X$178+Résultats!X$179+Résultats!X$180)/1000000</f>
        <v>0.92256109735000003</v>
      </c>
      <c r="F34" s="19">
        <v>0</v>
      </c>
      <c r="G34" s="120">
        <f>SUM(B34:F34)</f>
        <v>56.161360702262776</v>
      </c>
      <c r="H34" s="3"/>
      <c r="I34" s="203"/>
      <c r="J34" s="51"/>
      <c r="K34" s="51"/>
      <c r="L34" s="51"/>
      <c r="M34" s="51"/>
      <c r="N34" s="53"/>
      <c r="O34" s="54"/>
      <c r="P34" s="54"/>
      <c r="Q34" s="54"/>
      <c r="R34" s="54"/>
      <c r="S34" s="54"/>
      <c r="T34" s="46"/>
      <c r="U34" s="42"/>
      <c r="V34" s="24"/>
      <c r="W34" s="41"/>
      <c r="X34" s="52"/>
      <c r="Y34" s="52"/>
      <c r="Z34" s="52"/>
      <c r="AA34" s="52"/>
      <c r="AB34" s="52"/>
    </row>
    <row r="35" spans="1:28" x14ac:dyDescent="0.25">
      <c r="A35" s="195" t="s">
        <v>21</v>
      </c>
      <c r="B35" s="57">
        <f>Résultats!X$102/1000000</f>
        <v>0.6305004622</v>
      </c>
      <c r="C35" s="57">
        <f>'T energie usages'!I66*3.2*Résultats!X250</f>
        <v>14.568453587450975</v>
      </c>
      <c r="D35" s="57">
        <f>'T energie usages'!J66/'T energie usages'!J$72*(Résultats!X$159+Résultats!X$160+Résultats!X$161)/1000000</f>
        <v>2.3454368425146308</v>
      </c>
      <c r="E35" s="57">
        <f>('T energie usages'!K66-8)*2.394*Résultats!X251</f>
        <v>29.794485471762865</v>
      </c>
      <c r="F35" s="57">
        <v>0</v>
      </c>
      <c r="G35" s="196">
        <f>SUM(B35:F35)</f>
        <v>47.33887636392847</v>
      </c>
      <c r="H35" s="3"/>
      <c r="I35" s="203"/>
      <c r="J35" s="51"/>
      <c r="K35" s="51"/>
      <c r="L35" s="51"/>
      <c r="M35" s="51"/>
      <c r="N35" s="53"/>
      <c r="O35" s="54"/>
      <c r="P35" s="54"/>
      <c r="Q35" s="54"/>
      <c r="R35" s="54"/>
      <c r="S35" s="54"/>
      <c r="T35" s="46"/>
      <c r="U35" s="34"/>
      <c r="V35" s="24"/>
      <c r="W35" s="45"/>
      <c r="X35" s="52"/>
      <c r="Y35" s="52"/>
      <c r="Z35" s="52"/>
      <c r="AA35" s="52"/>
      <c r="AB35" s="52"/>
    </row>
    <row r="36" spans="1:28" x14ac:dyDescent="0.25">
      <c r="A36" s="195" t="s">
        <v>22</v>
      </c>
      <c r="B36" s="57">
        <f>(Résultats!X$135+Résultats!X$136)/1000000</f>
        <v>0</v>
      </c>
      <c r="C36" s="57">
        <f>(Résultats!X$155+Résultats!X$156)/1000000</f>
        <v>8.0625874628999998</v>
      </c>
      <c r="D36" s="57">
        <f>'T energie usages'!J67/'T energie usages'!J$72*(Résultats!X$159+Résultats!X$160+Résultats!X$161)/1000000</f>
        <v>2.1380332612953334</v>
      </c>
      <c r="E36" s="57">
        <f>(Résultats!X$181+Résultats!X$182)/1000000</f>
        <v>14.596687988999999</v>
      </c>
      <c r="F36" s="57">
        <v>0</v>
      </c>
      <c r="G36" s="196">
        <f t="shared" ref="G36:G41" si="3">SUM(B36:F36)</f>
        <v>24.797308713195335</v>
      </c>
      <c r="H36" s="3"/>
      <c r="I36" s="203"/>
      <c r="J36" s="51"/>
      <c r="K36" s="51"/>
      <c r="L36" s="51"/>
      <c r="M36" s="51"/>
      <c r="N36" s="53"/>
      <c r="O36" s="54"/>
      <c r="P36" s="54"/>
      <c r="Q36" s="54"/>
      <c r="R36" s="54"/>
      <c r="S36" s="54"/>
      <c r="T36" s="46"/>
      <c r="U36" s="34"/>
      <c r="V36" s="24"/>
      <c r="W36" s="45"/>
      <c r="X36" s="52"/>
      <c r="Y36" s="52"/>
      <c r="Z36" s="52"/>
      <c r="AA36" s="52"/>
      <c r="AB36" s="52"/>
    </row>
    <row r="37" spans="1:28" x14ac:dyDescent="0.25">
      <c r="A37" s="195" t="s">
        <v>23</v>
      </c>
      <c r="B37" s="57">
        <f>B38+B39</f>
        <v>10.310145450099998</v>
      </c>
      <c r="C37" s="57">
        <f>C38+C39</f>
        <v>45.836302978741351</v>
      </c>
      <c r="D37" s="57">
        <f>D38+D39</f>
        <v>1.7187168385706426</v>
      </c>
      <c r="E37" s="57">
        <f>E38+E39</f>
        <v>26.651547856242651</v>
      </c>
      <c r="F37" s="57">
        <f>F38+F39</f>
        <v>14.406612539999999</v>
      </c>
      <c r="G37" s="196">
        <f t="shared" si="3"/>
        <v>98.923325663654651</v>
      </c>
      <c r="H37" s="3"/>
      <c r="I37" s="203"/>
      <c r="J37" s="51"/>
      <c r="K37" s="51"/>
      <c r="L37" s="51"/>
      <c r="M37" s="51"/>
      <c r="N37" s="53"/>
      <c r="O37" s="54"/>
      <c r="P37" s="54"/>
      <c r="Q37" s="54"/>
      <c r="R37" s="54"/>
      <c r="S37" s="54"/>
      <c r="T37" s="46"/>
      <c r="U37" s="34"/>
      <c r="V37" s="24"/>
      <c r="W37" s="45"/>
      <c r="X37" s="52"/>
      <c r="Y37" s="52"/>
      <c r="Z37" s="52"/>
      <c r="AA37" s="52"/>
      <c r="AB37" s="52"/>
    </row>
    <row r="38" spans="1:28" x14ac:dyDescent="0.25">
      <c r="A38" s="178" t="s">
        <v>24</v>
      </c>
      <c r="B38" s="19">
        <f>(Résultats!X$129+Résultats!X$130+Résultats!X$131+Résultats!X$132+Résultats!X$133+Résultats!X$134)/1000000</f>
        <v>10.310145450099998</v>
      </c>
      <c r="C38" s="19">
        <f>(Résultats!X$138+Résultats!X$140+Résultats!X$141+Résultats!X$142+Résultats!X$143+Résultats!X$144+Résultats!X$145+Résultats!X$146+Résultats!X$147+Résultats!X$148+Résultats!X149)/1000000</f>
        <v>38.746110115741352</v>
      </c>
      <c r="D38" s="19">
        <f>'T energie usages'!J69/'T energie usages'!J$72*(Résultats!X$159+Résultats!X$160+Résultats!X$161)/1000000</f>
        <v>1.6643594070248691</v>
      </c>
      <c r="E38" s="19">
        <f>(Résultats!X$164+Résultats!X$165+Résultats!X$166+Résultats!X$167+Résultats!X$168+Résultats!X$169+Résultats!X$170+Résultats!X$171+Résultats!X$172+Résultats!X$173+Résultats!X$174+Résultats!X$175+Résultats!X$183+Résultats!X$185)/1000000</f>
        <v>26.012720772242652</v>
      </c>
      <c r="F38" s="19">
        <f>Résultats!X$100/1000000</f>
        <v>14.406612539999999</v>
      </c>
      <c r="G38" s="120">
        <f t="shared" si="3"/>
        <v>91.139948285108872</v>
      </c>
      <c r="H38" s="3"/>
      <c r="I38" s="203"/>
      <c r="J38" s="51"/>
      <c r="K38" s="51"/>
      <c r="L38" s="51"/>
      <c r="M38" s="51"/>
      <c r="N38" s="53"/>
      <c r="O38" s="54"/>
      <c r="P38" s="54"/>
      <c r="Q38" s="54"/>
      <c r="R38" s="54"/>
      <c r="S38" s="54"/>
      <c r="T38" s="46"/>
      <c r="U38" s="42"/>
      <c r="V38" s="24"/>
      <c r="W38" s="41"/>
      <c r="X38" s="52"/>
      <c r="Y38" s="52"/>
      <c r="Z38" s="52"/>
      <c r="AA38" s="52"/>
      <c r="AB38" s="52"/>
    </row>
    <row r="39" spans="1:28" x14ac:dyDescent="0.25">
      <c r="A39" s="178" t="s">
        <v>25</v>
      </c>
      <c r="B39" s="19">
        <v>0</v>
      </c>
      <c r="C39" s="19">
        <f>(Résultats!X$139)/1000000</f>
        <v>7.0901928629999995</v>
      </c>
      <c r="D39" s="19">
        <f>'T energie usages'!J71/'T energie usages'!J$72*(Résultats!X$159+Résultats!X$160+Résultats!X$161)/1000000</f>
        <v>5.4357431545773632E-2</v>
      </c>
      <c r="E39" s="19">
        <f>(Résultats!X$163)/1000000</f>
        <v>0.63882708399999999</v>
      </c>
      <c r="F39" s="19">
        <v>0</v>
      </c>
      <c r="G39" s="120">
        <f t="shared" si="3"/>
        <v>7.7833773785457732</v>
      </c>
      <c r="H39" s="3"/>
      <c r="I39" s="203"/>
      <c r="J39" s="51"/>
      <c r="K39" s="51"/>
      <c r="L39" s="51"/>
      <c r="M39" s="51"/>
      <c r="N39" s="53"/>
      <c r="O39" s="54"/>
      <c r="P39" s="54"/>
      <c r="Q39" s="54"/>
      <c r="R39" s="54"/>
      <c r="S39" s="54"/>
      <c r="T39" s="46"/>
      <c r="U39" s="42"/>
      <c r="V39" s="24"/>
      <c r="W39" s="41"/>
      <c r="X39" s="52"/>
      <c r="Y39" s="52"/>
      <c r="Z39" s="52"/>
      <c r="AA39" s="52"/>
      <c r="AB39" s="52"/>
    </row>
    <row r="40" spans="1:28" x14ac:dyDescent="0.25">
      <c r="A40" s="72" t="s">
        <v>41</v>
      </c>
      <c r="B40" s="58">
        <f>SUM(B35:B37)+B32</f>
        <v>10.940645912299999</v>
      </c>
      <c r="C40" s="58">
        <f>SUM(C35:C37)+C32</f>
        <v>187.26193894064119</v>
      </c>
      <c r="D40" s="58">
        <f>SUM(D35:D37)+D32</f>
        <v>6.4833823988000008</v>
      </c>
      <c r="E40" s="58">
        <f>SUM(E35:E37)+E32</f>
        <v>71.965337114415718</v>
      </c>
      <c r="F40" s="58">
        <f>SUM(F35:F37)+F32</f>
        <v>14.406612539999999</v>
      </c>
      <c r="G40" s="197">
        <f t="shared" si="3"/>
        <v>291.05791690615689</v>
      </c>
      <c r="H40" s="3"/>
      <c r="I40" s="203"/>
      <c r="J40" s="51"/>
      <c r="K40" s="51"/>
      <c r="L40" s="51"/>
      <c r="M40" s="51"/>
      <c r="N40" s="53"/>
      <c r="O40" s="54"/>
      <c r="P40" s="54"/>
      <c r="Q40" s="54"/>
      <c r="R40" s="54"/>
      <c r="S40" s="54"/>
      <c r="T40" s="46"/>
      <c r="U40" s="48"/>
      <c r="V40" s="24"/>
      <c r="W40" s="47"/>
      <c r="X40" s="52"/>
      <c r="Y40" s="52"/>
      <c r="Z40" s="52"/>
      <c r="AA40" s="52"/>
      <c r="AB40" s="52"/>
    </row>
    <row r="41" spans="1:28" x14ac:dyDescent="0.25">
      <c r="A41" s="198" t="s">
        <v>43</v>
      </c>
      <c r="B41" s="201">
        <f>(Résultats!X$102+Résultats!X$129+Résultats!X$130+Résultats!X$131+Résultats!X$132+Résultats!X$133+Résultats!X$134+Résultats!X$135+Résultats!X$136)/1000000</f>
        <v>10.940645912300001</v>
      </c>
      <c r="C41" s="201">
        <f>(Résultats!X$104+Résultats!X$139+Résultats!X$140+Résultats!X$141+Résultats!X$142+Résultats!X$143+Résultats!X$144+Résultats!X$145+Résultats!X$146+Résultats!X$147+Résultats!X$148+Résultats!X$149+Résultats!X$150+Résultats!X$151+Résultats!X$152+Résultats!X$153+Résultats!X$154+Résultats!X$155+Résultats!X$156++Résultats!X$157)/1000000</f>
        <v>187.30928929594131</v>
      </c>
      <c r="D41" s="201">
        <f>(Résultats!X$159+Résultats!X$160+Résultats!X$161)/1000000</f>
        <v>6.4833823987999999</v>
      </c>
      <c r="E41" s="200">
        <f>(Résultats!X$106+Résultats!X$163+Résultats!X$164+Résultats!X$165+Résultats!X$166+Résultats!X$167+Résultats!X$168+Résultats!X$169+Résultats!X$170+Résultats!X$171+Résultats!X$172+Résultats!X$173+Résultats!X$174+Résultats!X$175+Résultats!X$176+Résultats!X$177+Résultats!X$178+Résultats!X$179+Résultats!X$180+Résultats!X$181+Résultats!X$182+Résultats!X$183)/1000000</f>
        <v>63.478296604692659</v>
      </c>
      <c r="F41" s="201">
        <f>Résultats!X$100/1000000</f>
        <v>14.406612539999999</v>
      </c>
      <c r="G41" s="202">
        <f t="shared" si="3"/>
        <v>282.61822675173397</v>
      </c>
      <c r="H41" s="3"/>
      <c r="I41" s="203"/>
      <c r="J41" s="51"/>
      <c r="K41" s="51"/>
      <c r="L41" s="51"/>
      <c r="M41" s="46"/>
      <c r="N41" s="24"/>
      <c r="O41" s="51"/>
      <c r="P41" s="51"/>
      <c r="Q41" s="51"/>
      <c r="R41" s="51"/>
      <c r="S41" s="46"/>
      <c r="T41" s="46"/>
      <c r="U41" s="24"/>
      <c r="V41" s="24"/>
      <c r="W41" s="24"/>
      <c r="X41" s="52"/>
      <c r="Y41" s="52"/>
      <c r="Z41" s="52"/>
      <c r="AA41" s="52"/>
      <c r="AB41" s="52"/>
    </row>
    <row r="42" spans="1:28" x14ac:dyDescent="0.25">
      <c r="A42" s="198"/>
      <c r="B42" s="199"/>
      <c r="C42" s="199"/>
      <c r="D42" s="199"/>
      <c r="E42" s="199"/>
      <c r="F42" s="199"/>
      <c r="G42" s="200">
        <f>Résultats!X$194/1000000</f>
        <v>282.88767419999999</v>
      </c>
      <c r="H42" s="3"/>
      <c r="I42" s="203"/>
      <c r="J42" s="51"/>
      <c r="K42" s="51"/>
      <c r="L42" s="51"/>
      <c r="M42" s="46"/>
      <c r="N42" s="24"/>
      <c r="O42" s="51"/>
      <c r="P42" s="51"/>
      <c r="Q42" s="51"/>
      <c r="R42" s="51"/>
      <c r="S42" s="46"/>
      <c r="T42" s="46"/>
      <c r="U42" s="24"/>
      <c r="V42" s="24"/>
      <c r="W42" s="24"/>
      <c r="X42" s="52"/>
      <c r="Y42" s="52"/>
      <c r="Z42" s="52"/>
      <c r="AA42" s="52"/>
      <c r="AB42" s="52"/>
    </row>
    <row r="43" spans="1:28" x14ac:dyDescent="0.25">
      <c r="A43" s="3"/>
      <c r="B43" s="64"/>
      <c r="C43" s="64"/>
      <c r="D43" s="64"/>
      <c r="E43" s="64"/>
      <c r="F43" s="64"/>
      <c r="G43" s="69"/>
      <c r="H43" s="3"/>
      <c r="I43" s="203"/>
      <c r="J43" s="51"/>
      <c r="K43" s="51"/>
      <c r="L43" s="51"/>
      <c r="M43" s="46"/>
      <c r="N43" s="24"/>
      <c r="O43" s="51"/>
      <c r="P43" s="51"/>
      <c r="Q43" s="51"/>
      <c r="R43" s="51"/>
      <c r="S43" s="46"/>
      <c r="T43" s="46"/>
      <c r="U43" s="24"/>
      <c r="V43" s="24"/>
      <c r="W43" s="48"/>
      <c r="X43" s="52"/>
      <c r="Y43" s="52"/>
      <c r="Z43" s="52"/>
      <c r="AA43" s="52"/>
      <c r="AB43" s="52"/>
    </row>
    <row r="44" spans="1:28" ht="21" x14ac:dyDescent="0.35">
      <c r="A44" s="174">
        <v>2030</v>
      </c>
      <c r="B44" s="4" t="s">
        <v>36</v>
      </c>
      <c r="C44" s="4" t="s">
        <v>37</v>
      </c>
      <c r="D44" s="4" t="s">
        <v>38</v>
      </c>
      <c r="E44" s="4" t="s">
        <v>39</v>
      </c>
      <c r="F44" s="4" t="s">
        <v>40</v>
      </c>
      <c r="G44" s="118" t="s">
        <v>1</v>
      </c>
      <c r="H44" s="3"/>
      <c r="I44" s="25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W44" s="44"/>
      <c r="X44" s="44"/>
      <c r="Y44" s="44"/>
      <c r="Z44" s="44"/>
      <c r="AA44" s="44"/>
      <c r="AB44" s="52"/>
    </row>
    <row r="45" spans="1:28" x14ac:dyDescent="0.25">
      <c r="A45" s="195" t="s">
        <v>18</v>
      </c>
      <c r="B45" s="57">
        <f>B46+B47</f>
        <v>0</v>
      </c>
      <c r="C45" s="57">
        <f>C46+C47</f>
        <v>111.70974907060321</v>
      </c>
      <c r="D45" s="57">
        <f>D46+D47</f>
        <v>0.34601902370171755</v>
      </c>
      <c r="E45" s="61">
        <f>E46+E47</f>
        <v>2.0162866093195291</v>
      </c>
      <c r="F45" s="57">
        <f>F46+F47</f>
        <v>0</v>
      </c>
      <c r="G45" s="196">
        <f>SUM(B45:F45)</f>
        <v>114.07205470362445</v>
      </c>
      <c r="H45" s="3"/>
      <c r="I45" s="203"/>
      <c r="J45" s="51"/>
      <c r="K45" s="51"/>
      <c r="L45" s="51"/>
      <c r="M45" s="51"/>
      <c r="N45" s="53"/>
      <c r="O45" s="54"/>
      <c r="P45" s="54"/>
      <c r="Q45" s="54"/>
      <c r="R45" s="54"/>
      <c r="S45" s="54"/>
      <c r="T45" s="46"/>
      <c r="U45" s="34"/>
      <c r="W45" s="45"/>
      <c r="X45" s="52"/>
      <c r="Y45" s="52"/>
      <c r="Z45" s="52"/>
      <c r="AA45" s="52"/>
      <c r="AB45" s="52"/>
    </row>
    <row r="46" spans="1:28" x14ac:dyDescent="0.25">
      <c r="A46" s="177" t="s">
        <v>19</v>
      </c>
      <c r="B46" s="19">
        <v>0</v>
      </c>
      <c r="C46" s="19">
        <f>'T energie usages'!I77*3.2*Résultats!AC250</f>
        <v>57.051094931803213</v>
      </c>
      <c r="D46" s="19">
        <f>'T energie usages'!J77/'T energie usages'!J$85*(Résultats!AC$159+Résultats!AC$160+Résultats!AC$161)/1000000</f>
        <v>0.10561748328350515</v>
      </c>
      <c r="E46" s="55">
        <f>'T energie usages'!K77*2.394*Résultats!AC251</f>
        <v>7.6874009529242273E-5</v>
      </c>
      <c r="F46" s="19">
        <v>0</v>
      </c>
      <c r="G46" s="120">
        <f>SUM(B46:F46)</f>
        <v>57.156789289096245</v>
      </c>
      <c r="H46" s="3"/>
      <c r="I46" s="203"/>
      <c r="J46" s="51"/>
      <c r="K46" s="51"/>
      <c r="L46" s="51"/>
      <c r="M46" s="51"/>
      <c r="N46" s="53"/>
      <c r="O46" s="54"/>
      <c r="P46" s="54"/>
      <c r="Q46" s="54"/>
      <c r="R46" s="54"/>
      <c r="S46" s="54"/>
      <c r="T46" s="46"/>
      <c r="U46" s="42"/>
      <c r="W46" s="41"/>
      <c r="X46" s="52"/>
      <c r="Y46" s="52"/>
      <c r="Z46" s="52"/>
      <c r="AA46" s="52"/>
      <c r="AB46" s="52"/>
    </row>
    <row r="47" spans="1:28" x14ac:dyDescent="0.25">
      <c r="A47" s="178" t="s">
        <v>20</v>
      </c>
      <c r="B47" s="19">
        <v>0</v>
      </c>
      <c r="C47" s="19">
        <f>(Résultats!AC$150+Résultats!AC$151+Résultats!AC$152+Résultats!AC$153+Résultats!AC$154)/1000000</f>
        <v>54.658654138800003</v>
      </c>
      <c r="D47" s="19">
        <f>'T energie usages'!J78/'T energie usages'!J$85*(Résultats!AC$159+Résultats!AC$160+Résultats!AC$161)/1000000</f>
        <v>0.24040154041821238</v>
      </c>
      <c r="E47" s="55">
        <f>(Résultats!AC$176+Résultats!AC$177+Résultats!AC$178+Résultats!AC$179+Résultats!AC$180)/1000000</f>
        <v>2.0162097353099999</v>
      </c>
      <c r="F47" s="19">
        <v>0</v>
      </c>
      <c r="G47" s="120">
        <f>SUM(B47:F47)</f>
        <v>56.915265414528214</v>
      </c>
      <c r="H47" s="3"/>
      <c r="I47" s="203"/>
      <c r="J47" s="51"/>
      <c r="K47" s="51"/>
      <c r="L47" s="51"/>
      <c r="M47" s="51"/>
      <c r="N47" s="53"/>
      <c r="O47" s="54"/>
      <c r="P47" s="54"/>
      <c r="Q47" s="54"/>
      <c r="R47" s="54"/>
      <c r="S47" s="54"/>
      <c r="T47" s="46"/>
      <c r="U47" s="42"/>
      <c r="W47" s="41"/>
      <c r="X47" s="52"/>
      <c r="Y47" s="52"/>
      <c r="Z47" s="52"/>
      <c r="AA47" s="52"/>
      <c r="AB47" s="52"/>
    </row>
    <row r="48" spans="1:28" x14ac:dyDescent="0.25">
      <c r="A48" s="195" t="s">
        <v>21</v>
      </c>
      <c r="B48" s="57">
        <f>Résultats!AC$102/1000000</f>
        <v>0.5401787831</v>
      </c>
      <c r="C48" s="57">
        <f>'T energie usages'!I79*3.2*Résultats!AC250</f>
        <v>13.278014194829714</v>
      </c>
      <c r="D48" s="57">
        <f>'T energie usages'!J79/'T energie usages'!J$85*(Résultats!AC$159+Résultats!AC$160+Résultats!AC$161)/1000000</f>
        <v>2.1216519856502054</v>
      </c>
      <c r="E48" s="57">
        <f>('T energie usages'!K79-8)*2.394*Résultats!AC251</f>
        <v>28.146337871951172</v>
      </c>
      <c r="F48" s="57">
        <v>0</v>
      </c>
      <c r="G48" s="196">
        <f>SUM(B48:F48)</f>
        <v>44.086182835531091</v>
      </c>
      <c r="H48" s="3"/>
      <c r="I48" s="203"/>
      <c r="J48" s="51"/>
      <c r="K48" s="51"/>
      <c r="L48" s="51"/>
      <c r="M48" s="51"/>
      <c r="N48" s="53"/>
      <c r="O48" s="54"/>
      <c r="P48" s="54"/>
      <c r="Q48" s="54"/>
      <c r="R48" s="54"/>
      <c r="S48" s="54"/>
      <c r="T48" s="46"/>
      <c r="U48" s="34"/>
      <c r="W48" s="45"/>
      <c r="X48" s="52"/>
      <c r="Y48" s="52"/>
      <c r="Z48" s="52"/>
      <c r="AA48" s="52"/>
      <c r="AB48" s="52"/>
    </row>
    <row r="49" spans="1:28" x14ac:dyDescent="0.25">
      <c r="A49" s="195" t="s">
        <v>22</v>
      </c>
      <c r="B49" s="57">
        <f>(Résultats!AC$135+Résultats!AC$136)/1000000</f>
        <v>0</v>
      </c>
      <c r="C49" s="57">
        <f>(Résultats!AC$155+Résultats!AC$156)/1000000</f>
        <v>6.9682095400000001</v>
      </c>
      <c r="D49" s="57">
        <f>'T energie usages'!J80/'T energie usages'!J$85*(Résultats!AC$159+Résultats!AC$160+Résultats!AC$161)/1000000</f>
        <v>1.9710872397993924</v>
      </c>
      <c r="E49" s="57">
        <f>(Résultats!AC$181+Résultats!AC$182)/1000000</f>
        <v>13.930643508000001</v>
      </c>
      <c r="F49" s="57">
        <v>0</v>
      </c>
      <c r="G49" s="196">
        <f t="shared" ref="G49:G53" si="4">SUM(B49:F49)</f>
        <v>22.869940287799395</v>
      </c>
      <c r="H49" s="3"/>
      <c r="I49" s="203"/>
      <c r="J49" s="51"/>
      <c r="K49" s="51"/>
      <c r="L49" s="51"/>
      <c r="M49" s="51"/>
      <c r="N49" s="53"/>
      <c r="O49" s="54"/>
      <c r="P49" s="54"/>
      <c r="Q49" s="54"/>
      <c r="R49" s="54"/>
      <c r="S49" s="54"/>
      <c r="T49" s="46"/>
      <c r="U49" s="34"/>
      <c r="W49" s="45"/>
      <c r="X49" s="52"/>
      <c r="Y49" s="52"/>
      <c r="Z49" s="52"/>
      <c r="AA49" s="52"/>
      <c r="AB49" s="52"/>
    </row>
    <row r="50" spans="1:28" x14ac:dyDescent="0.25">
      <c r="A50" s="195" t="s">
        <v>23</v>
      </c>
      <c r="B50" s="57">
        <f>B51+B52</f>
        <v>10.9144984701</v>
      </c>
      <c r="C50" s="57">
        <f>C51+C52</f>
        <v>51.308157981707836</v>
      </c>
      <c r="D50" s="57">
        <f>D51+D52</f>
        <v>1.7144899418486836</v>
      </c>
      <c r="E50" s="57">
        <f>E51+E52</f>
        <v>28.079156261276367</v>
      </c>
      <c r="F50" s="57">
        <f>F51+F52</f>
        <v>14.69633582</v>
      </c>
      <c r="G50" s="196">
        <f t="shared" si="4"/>
        <v>106.71263847493289</v>
      </c>
      <c r="H50" s="3"/>
      <c r="I50" s="203"/>
      <c r="J50" s="51"/>
      <c r="K50" s="51"/>
      <c r="L50" s="51"/>
      <c r="M50" s="51"/>
      <c r="N50" s="53"/>
      <c r="O50" s="54"/>
      <c r="P50" s="54"/>
      <c r="Q50" s="54"/>
      <c r="R50" s="54"/>
      <c r="S50" s="54"/>
      <c r="T50" s="46"/>
      <c r="U50" s="34"/>
      <c r="W50" s="45"/>
      <c r="X50" s="52"/>
      <c r="Y50" s="52"/>
      <c r="Z50" s="52"/>
      <c r="AA50" s="52"/>
      <c r="AB50" s="52"/>
    </row>
    <row r="51" spans="1:28" x14ac:dyDescent="0.25">
      <c r="A51" s="178" t="s">
        <v>24</v>
      </c>
      <c r="B51" s="19">
        <f>(Résultats!AC$129+Résultats!AC$130+Résultats!AC$131+Résultats!AC$132+Résultats!AC$133+Résultats!AC$134)/1000000</f>
        <v>10.9144984701</v>
      </c>
      <c r="C51" s="19">
        <f>(Résultats!AC$138+Résultats!AC$140+Résultats!AC$141+Résultats!AC$142+Résultats!AC$143+Résultats!AC$144+Résultats!AC$145+Résultats!AC$146+Résultats!AC$147+Résultats!AC$148+Résultats!AC$149)/1000000</f>
        <v>43.714380896707837</v>
      </c>
      <c r="D51" s="19">
        <f>'T energie usages'!J82/'T energie usages'!J$85*(Résultats!AC$159+Résultats!AC$160+Résultats!AC$161)/1000000</f>
        <v>1.6647626428056748</v>
      </c>
      <c r="E51" s="19">
        <f>(Résultats!AC$164+Résultats!AC$165+Résultats!AC$166+Résultats!AC$167+Résultats!AC$168+Résultats!AC$169+Résultats!AC$170+Résultats!AC$171+Résultats!AC$172+Résultats!AC$173+Résultats!AC$174+Résultats!AC$175+Résultats!AC$183+Résultats!AC$185)/1000000</f>
        <v>27.439721573976367</v>
      </c>
      <c r="F51" s="19">
        <f>Résultats!AC$100/1000000</f>
        <v>14.69633582</v>
      </c>
      <c r="G51" s="120">
        <f t="shared" si="4"/>
        <v>98.429699403589879</v>
      </c>
      <c r="H51" s="3"/>
      <c r="I51" s="203"/>
      <c r="J51" s="51"/>
      <c r="K51" s="51"/>
      <c r="L51" s="51"/>
      <c r="M51" s="51"/>
      <c r="N51" s="53"/>
      <c r="O51" s="54"/>
      <c r="P51" s="54"/>
      <c r="Q51" s="54"/>
      <c r="R51" s="54"/>
      <c r="S51" s="54"/>
      <c r="T51" s="46"/>
      <c r="U51" s="42"/>
      <c r="W51" s="41"/>
      <c r="X51" s="52"/>
      <c r="Y51" s="52"/>
      <c r="Z51" s="52"/>
      <c r="AA51" s="52"/>
      <c r="AB51" s="52"/>
    </row>
    <row r="52" spans="1:28" x14ac:dyDescent="0.25">
      <c r="A52" s="178" t="s">
        <v>25</v>
      </c>
      <c r="B52" s="19">
        <v>0</v>
      </c>
      <c r="C52" s="19">
        <f>(Résultats!AC$139)/1000000</f>
        <v>7.5937770850000001</v>
      </c>
      <c r="D52" s="19">
        <f>'T energie usages'!J84/'T energie usages'!J$85*(Résultats!AC$159+Résultats!AC$160+Résultats!AC$161)/1000000</f>
        <v>4.9727299043008863E-2</v>
      </c>
      <c r="E52" s="19">
        <f>(Résultats!AC$163)/1000000</f>
        <v>0.63943468729999997</v>
      </c>
      <c r="F52" s="19">
        <v>0</v>
      </c>
      <c r="G52" s="120">
        <f t="shared" si="4"/>
        <v>8.2829390713430087</v>
      </c>
      <c r="H52" s="3"/>
      <c r="I52" s="203"/>
      <c r="J52" s="51"/>
      <c r="K52" s="51"/>
      <c r="L52" s="51"/>
      <c r="M52" s="51"/>
      <c r="N52" s="53"/>
      <c r="O52" s="54"/>
      <c r="P52" s="54"/>
      <c r="Q52" s="54"/>
      <c r="R52" s="54"/>
      <c r="S52" s="54"/>
      <c r="T52" s="46"/>
      <c r="U52" s="42"/>
      <c r="W52" s="41"/>
      <c r="X52" s="52"/>
      <c r="Y52" s="52"/>
      <c r="Z52" s="52"/>
      <c r="AA52" s="52"/>
      <c r="AB52" s="52"/>
    </row>
    <row r="53" spans="1:28" x14ac:dyDescent="0.25">
      <c r="A53" s="72" t="s">
        <v>41</v>
      </c>
      <c r="B53" s="58">
        <f>SUM(B48:B50)+B45</f>
        <v>11.4546772532</v>
      </c>
      <c r="C53" s="58">
        <f>SUM(C48:C50)+C45</f>
        <v>183.26413078714074</v>
      </c>
      <c r="D53" s="58">
        <f>SUM(D48:D50)+D45</f>
        <v>6.1532481909999994</v>
      </c>
      <c r="E53" s="58">
        <f>SUM(E48:E50)+E45</f>
        <v>72.172424250547067</v>
      </c>
      <c r="F53" s="58">
        <f>SUM(F48:F50)+F45</f>
        <v>14.69633582</v>
      </c>
      <c r="G53" s="197">
        <f t="shared" si="4"/>
        <v>287.74081630188783</v>
      </c>
      <c r="H53" s="3"/>
      <c r="I53" s="203"/>
      <c r="J53" s="51"/>
      <c r="K53" s="51"/>
      <c r="L53" s="51"/>
      <c r="M53" s="51"/>
      <c r="N53" s="53"/>
      <c r="O53" s="54"/>
      <c r="P53" s="54"/>
      <c r="Q53" s="54"/>
      <c r="R53" s="54"/>
      <c r="S53" s="54"/>
      <c r="T53" s="46"/>
      <c r="U53" s="48"/>
      <c r="W53" s="47"/>
      <c r="X53" s="52"/>
      <c r="Y53" s="52"/>
      <c r="Z53" s="52"/>
      <c r="AA53" s="52"/>
      <c r="AB53" s="52"/>
    </row>
    <row r="54" spans="1:28" x14ac:dyDescent="0.25">
      <c r="A54" s="198" t="s">
        <v>43</v>
      </c>
      <c r="B54" s="201">
        <f>(Résultats!AC$102+Résultats!AC$129+Résultats!AC$130+Résultats!AC$131+Résultats!AC$132+Résultats!AC$133+Résultats!AC$134+Résultats!AC$135+Résultats!AC$136)/1000000</f>
        <v>11.4546772532</v>
      </c>
      <c r="C54" s="201">
        <f>(Résultats!AC$104+Résultats!AC$138+Résultats!AC$139+Résultats!AC$140+Résultats!AC$141+Résultats!AC$142+Résultats!AC$143+Résultats!AC$144+Résultats!AC$145+Résultats!AC$146+Résultats!AC$147+Résultats!AC$148+Résultats!AC$149+Résultats!AC$150+Résultats!AC$151+Résultats!AC$152+Résultats!AC$153+Résultats!AC$154+Résultats!AC$155+Résultats!AC$156)/1000000</f>
        <v>183.30663079050785</v>
      </c>
      <c r="D54" s="201">
        <f>(Résultats!AC$159+Résultats!AC$160+Résultats!AC$161)/1000000</f>
        <v>6.1532481909999994</v>
      </c>
      <c r="E54" s="200">
        <f>(Résultats!AC$106+Résultats!AC$163+Résultats!AC$164+Résultats!AC$165+Résultats!AC$166+Résultats!AC$167+Résultats!AC$168+Résultats!AC$169+Résultats!AC$170+Résultats!AC$171+Résultats!AC$172+Résultats!AC$173+Résultats!AC$174+Résultats!AC$175+Résultats!AC$176+Résultats!AC$177+Résultats!AC$178+Résultats!AC$179+Résultats!AC$180+Résultats!AC$181+Résultats!AC$182+Résultats!AC$183)/1000000</f>
        <v>63.084760577486378</v>
      </c>
      <c r="F54" s="201">
        <f>Résultats!AC$100/1000000</f>
        <v>14.69633582</v>
      </c>
      <c r="G54" s="202">
        <f>SUM(B54:F54)</f>
        <v>278.69565263219425</v>
      </c>
      <c r="H54" s="3"/>
      <c r="I54" s="203"/>
      <c r="J54" s="51"/>
      <c r="K54" s="51"/>
      <c r="L54" s="51"/>
      <c r="M54" s="46"/>
      <c r="O54" s="51"/>
      <c r="P54" s="51"/>
      <c r="Q54" s="51"/>
      <c r="R54" s="51"/>
      <c r="S54" s="46"/>
      <c r="T54" s="46"/>
      <c r="X54" s="52"/>
      <c r="Y54" s="52"/>
      <c r="Z54" s="52"/>
      <c r="AA54" s="52"/>
      <c r="AB54" s="52"/>
    </row>
    <row r="55" spans="1:28" x14ac:dyDescent="0.25">
      <c r="A55" s="198"/>
      <c r="B55" s="199"/>
      <c r="C55" s="199"/>
      <c r="D55" s="199"/>
      <c r="E55" s="199"/>
      <c r="F55" s="199"/>
      <c r="G55" s="200">
        <f>Résultats!AC$194/1000000</f>
        <v>278.95890400000002</v>
      </c>
      <c r="H55" s="3"/>
      <c r="I55" s="203"/>
      <c r="J55" s="51"/>
      <c r="K55" s="51"/>
      <c r="L55" s="51"/>
      <c r="M55" s="46"/>
      <c r="O55" s="51"/>
      <c r="P55" s="51"/>
      <c r="Q55" s="51"/>
      <c r="R55" s="51"/>
      <c r="S55" s="46"/>
      <c r="T55" s="46"/>
      <c r="W55" s="48"/>
      <c r="X55" s="52"/>
      <c r="Y55" s="52"/>
      <c r="Z55" s="52"/>
      <c r="AA55" s="52"/>
      <c r="AB55" s="52"/>
    </row>
    <row r="56" spans="1:28" x14ac:dyDescent="0.25">
      <c r="A56" s="3"/>
      <c r="B56" s="64"/>
      <c r="C56" s="64"/>
      <c r="D56" s="64"/>
      <c r="E56" s="64"/>
      <c r="F56" s="64"/>
      <c r="G56" s="3"/>
      <c r="H56" s="3"/>
      <c r="I56" s="203"/>
      <c r="J56" s="51"/>
      <c r="K56" s="51"/>
      <c r="L56" s="51"/>
      <c r="M56" s="46"/>
      <c r="O56" s="51"/>
      <c r="P56" s="51"/>
      <c r="Q56" s="51"/>
      <c r="R56" s="51"/>
      <c r="S56" s="46"/>
      <c r="T56" s="46"/>
      <c r="W56" s="49"/>
      <c r="X56" s="52"/>
      <c r="Y56" s="52"/>
      <c r="Z56" s="52"/>
      <c r="AA56" s="52"/>
      <c r="AB56" s="52"/>
    </row>
    <row r="57" spans="1:28" ht="21" x14ac:dyDescent="0.35">
      <c r="A57" s="174">
        <v>2035</v>
      </c>
      <c r="B57" s="4" t="s">
        <v>36</v>
      </c>
      <c r="C57" s="4" t="s">
        <v>37</v>
      </c>
      <c r="D57" s="4" t="s">
        <v>38</v>
      </c>
      <c r="E57" s="4" t="s">
        <v>39</v>
      </c>
      <c r="F57" s="4" t="s">
        <v>40</v>
      </c>
      <c r="G57" s="118" t="s">
        <v>1</v>
      </c>
      <c r="H57" s="3"/>
      <c r="I57" s="25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W57" s="44"/>
      <c r="X57" s="44"/>
      <c r="Y57" s="44"/>
      <c r="Z57" s="44"/>
      <c r="AA57" s="44"/>
      <c r="AB57" s="52"/>
    </row>
    <row r="58" spans="1:28" x14ac:dyDescent="0.25">
      <c r="A58" s="195" t="s">
        <v>18</v>
      </c>
      <c r="B58" s="57">
        <f>B59+B60</f>
        <v>0</v>
      </c>
      <c r="C58" s="57">
        <f>C59+C60</f>
        <v>102.71768578230439</v>
      </c>
      <c r="D58" s="57">
        <f>D59+D60</f>
        <v>0.47138608353755673</v>
      </c>
      <c r="E58" s="61">
        <f>E59+E60</f>
        <v>3.3245737120819694</v>
      </c>
      <c r="F58" s="57">
        <f>F59+F60</f>
        <v>0</v>
      </c>
      <c r="G58" s="196">
        <f t="shared" ref="G58:G67" si="5">SUM(B58:F58)</f>
        <v>106.51364557792391</v>
      </c>
      <c r="H58" s="3"/>
      <c r="I58" s="203"/>
      <c r="J58" s="51"/>
      <c r="K58" s="51"/>
      <c r="L58" s="51"/>
      <c r="M58" s="51"/>
      <c r="N58" s="53"/>
      <c r="O58" s="51"/>
      <c r="P58" s="51"/>
      <c r="Q58" s="51"/>
      <c r="R58" s="51"/>
      <c r="S58" s="51"/>
      <c r="T58" s="46"/>
      <c r="U58" s="34"/>
      <c r="W58" s="45"/>
      <c r="X58" s="52"/>
      <c r="Y58" s="52"/>
      <c r="Z58" s="52"/>
      <c r="AA58" s="52"/>
      <c r="AB58" s="52"/>
    </row>
    <row r="59" spans="1:28" x14ac:dyDescent="0.25">
      <c r="A59" s="177" t="s">
        <v>19</v>
      </c>
      <c r="B59" s="19">
        <v>0</v>
      </c>
      <c r="C59" s="19">
        <f>'T energie usages'!I90*3.2*Résultats!AH250</f>
        <v>49.810157502404387</v>
      </c>
      <c r="D59" s="19">
        <f>'T energie usages'!J90/'T energie usages'!J$98*(Résultats!AH$159+Résultats!AH$160+Résultats!AH$161)/1000000</f>
        <v>0.18559709167473856</v>
      </c>
      <c r="E59" s="55">
        <f>'T energie usages'!K90*2.394*Résultats!AH251</f>
        <v>8.9974511968948074E-5</v>
      </c>
      <c r="F59" s="19">
        <v>0</v>
      </c>
      <c r="G59" s="120">
        <f t="shared" si="5"/>
        <v>49.995844568591096</v>
      </c>
      <c r="H59" s="3"/>
      <c r="I59" s="203"/>
      <c r="J59" s="51"/>
      <c r="K59" s="51"/>
      <c r="L59" s="51"/>
      <c r="M59" s="51"/>
      <c r="N59" s="53"/>
      <c r="O59" s="51"/>
      <c r="P59" s="51"/>
      <c r="Q59" s="51"/>
      <c r="R59" s="51"/>
      <c r="S59" s="51"/>
      <c r="T59" s="46"/>
      <c r="U59" s="42"/>
      <c r="W59" s="41"/>
      <c r="X59" s="52"/>
      <c r="Y59" s="52"/>
      <c r="Z59" s="52"/>
      <c r="AA59" s="52"/>
      <c r="AB59" s="52"/>
    </row>
    <row r="60" spans="1:28" x14ac:dyDescent="0.25">
      <c r="A60" s="178" t="s">
        <v>20</v>
      </c>
      <c r="B60" s="19">
        <v>0</v>
      </c>
      <c r="C60" s="19">
        <f>(Résultats!AH$150+Résultats!AH$151+Résultats!AH$152+Résultats!AH$153+Résultats!AH$154)/1000000</f>
        <v>52.907528279899999</v>
      </c>
      <c r="D60" s="19">
        <f>'T energie usages'!J91/'T energie usages'!J$98*(Résultats!AH$159+Résultats!AH$160+Résultats!AH$161)/1000000</f>
        <v>0.2857889918628182</v>
      </c>
      <c r="E60" s="55">
        <f>(Résultats!AH$176+Résultats!AH$177+Résultats!AH$178+Résultats!AH$179+Résultats!AH$180)/1000000</f>
        <v>3.3244837375700005</v>
      </c>
      <c r="F60" s="19">
        <v>0</v>
      </c>
      <c r="G60" s="120">
        <f t="shared" si="5"/>
        <v>56.517801009332814</v>
      </c>
      <c r="H60" s="3"/>
      <c r="I60" s="203"/>
      <c r="J60" s="51"/>
      <c r="K60" s="51"/>
      <c r="L60" s="51"/>
      <c r="M60" s="51"/>
      <c r="N60" s="53"/>
      <c r="O60" s="51"/>
      <c r="P60" s="51"/>
      <c r="Q60" s="51"/>
      <c r="R60" s="51"/>
      <c r="S60" s="51"/>
      <c r="T60" s="46"/>
      <c r="U60" s="42"/>
      <c r="W60" s="41"/>
      <c r="X60" s="52"/>
      <c r="Y60" s="52"/>
      <c r="Z60" s="52"/>
      <c r="AA60" s="52"/>
      <c r="AB60" s="52"/>
    </row>
    <row r="61" spans="1:28" x14ac:dyDescent="0.25">
      <c r="A61" s="195" t="s">
        <v>21</v>
      </c>
      <c r="B61" s="57">
        <f>Résultats!AH$102/1000000</f>
        <v>0.47736877519999998</v>
      </c>
      <c r="C61" s="57">
        <f>'T energie usages'!I92*3.2*Résultats!AH250</f>
        <v>12.410255939865555</v>
      </c>
      <c r="D61" s="57">
        <f>'T energie usages'!J92/'T energie usages'!J$98*(Résultats!AH$159+Résultats!AH$160+Résultats!AH$161)/1000000</f>
        <v>2.141941008882374</v>
      </c>
      <c r="E61" s="57">
        <f>('T energie usages'!K92-8)*2.394*Résultats!AH251</f>
        <v>27.218148231629613</v>
      </c>
      <c r="F61" s="57">
        <v>0</v>
      </c>
      <c r="G61" s="196">
        <f t="shared" si="5"/>
        <v>42.247713955577538</v>
      </c>
      <c r="H61" s="3"/>
      <c r="I61" s="203"/>
      <c r="J61" s="51"/>
      <c r="K61" s="51"/>
      <c r="L61" s="51"/>
      <c r="M61" s="51"/>
      <c r="N61" s="53"/>
      <c r="O61" s="51"/>
      <c r="P61" s="51"/>
      <c r="Q61" s="51"/>
      <c r="R61" s="51"/>
      <c r="S61" s="51"/>
      <c r="T61" s="46"/>
      <c r="U61" s="34"/>
      <c r="W61" s="45"/>
      <c r="X61" s="52"/>
      <c r="Y61" s="52"/>
      <c r="Z61" s="52"/>
      <c r="AA61" s="52"/>
      <c r="AB61" s="52"/>
    </row>
    <row r="62" spans="1:28" x14ac:dyDescent="0.25">
      <c r="A62" s="195" t="s">
        <v>22</v>
      </c>
      <c r="B62" s="57">
        <f>(Résultats!AH$135+Résultats!AH$136)/1000000</f>
        <v>0</v>
      </c>
      <c r="C62" s="57">
        <f>(Résultats!AH$155+Résultats!AH$156)/1000000</f>
        <v>6.2012525901000002</v>
      </c>
      <c r="D62" s="57">
        <f>'T energie usages'!J93/'T energie usages'!J$98*(Résultats!AH$159+Résultats!AH$160+Résultats!AH$161)/1000000</f>
        <v>1.9565952466887184</v>
      </c>
      <c r="E62" s="57">
        <f>(Résultats!AH$181+Résultats!AH$182)/1000000</f>
        <v>13.036514324000001</v>
      </c>
      <c r="F62" s="57">
        <v>0</v>
      </c>
      <c r="G62" s="196">
        <f t="shared" si="5"/>
        <v>21.194362160788721</v>
      </c>
      <c r="H62" s="3"/>
      <c r="I62" s="203"/>
      <c r="J62" s="51"/>
      <c r="K62" s="51"/>
      <c r="L62" s="51"/>
      <c r="M62" s="51"/>
      <c r="N62" s="53"/>
      <c r="O62" s="51"/>
      <c r="P62" s="51"/>
      <c r="Q62" s="51"/>
      <c r="R62" s="51"/>
      <c r="S62" s="51"/>
      <c r="T62" s="46"/>
      <c r="U62" s="34"/>
      <c r="W62" s="45"/>
      <c r="X62" s="52"/>
      <c r="Y62" s="52"/>
      <c r="Z62" s="52"/>
      <c r="AA62" s="52"/>
      <c r="AB62" s="52"/>
    </row>
    <row r="63" spans="1:28" x14ac:dyDescent="0.25">
      <c r="A63" s="195" t="s">
        <v>23</v>
      </c>
      <c r="B63" s="57">
        <f>B64+B65</f>
        <v>11.1725325942</v>
      </c>
      <c r="C63" s="57">
        <f>C64+C65</f>
        <v>54.489363636747662</v>
      </c>
      <c r="D63" s="57">
        <f>D64+D65</f>
        <v>1.7618353192913492</v>
      </c>
      <c r="E63" s="57">
        <f>E64+E65</f>
        <v>27.992894478779537</v>
      </c>
      <c r="F63" s="57">
        <f>F64+F65</f>
        <v>15.037835400000001</v>
      </c>
      <c r="G63" s="196">
        <f t="shared" si="5"/>
        <v>110.45446142901855</v>
      </c>
      <c r="H63" s="3"/>
      <c r="I63" s="203"/>
      <c r="J63" s="51"/>
      <c r="K63" s="51"/>
      <c r="L63" s="51"/>
      <c r="M63" s="51"/>
      <c r="N63" s="53"/>
      <c r="O63" s="51"/>
      <c r="P63" s="51"/>
      <c r="Q63" s="51"/>
      <c r="R63" s="51"/>
      <c r="S63" s="51"/>
      <c r="T63" s="46"/>
      <c r="U63" s="34"/>
      <c r="W63" s="45"/>
      <c r="X63" s="52"/>
      <c r="Y63" s="52"/>
      <c r="Z63" s="52"/>
      <c r="AA63" s="52"/>
      <c r="AB63" s="52"/>
    </row>
    <row r="64" spans="1:28" x14ac:dyDescent="0.25">
      <c r="A64" s="178" t="s">
        <v>24</v>
      </c>
      <c r="B64" s="99">
        <f>(Résultats!AH$129+Résultats!AH$130+Résultats!AH$131+Résultats!AH$132+Résultats!AH$133+Résultats!AH$134)/1000000</f>
        <v>11.1725325942</v>
      </c>
      <c r="C64" s="19">
        <f>(Résultats!AH$138+Résultats!AH$140+Résultats!AH$141+Résultats!AH$142+Résultats!AH$143+Résultats!AH$144+Résultats!AH$145+Résultats!AH$146+Résultats!AH$147+Résultats!AH$148+Résultats!AH$149)/1000000</f>
        <v>46.272841917747662</v>
      </c>
      <c r="D64" s="19">
        <f>'T energie usages'!J95/'T energie usages'!J$98*(Résultats!AH$159+Résultats!AH$160+Résultats!AH$161)/1000000</f>
        <v>1.7104323098373431</v>
      </c>
      <c r="E64" s="19">
        <f>(Résultats!AH$164+Résultats!AH$165+Résultats!AH$166+Résultats!AH$167+Résultats!AH$168+Résultats!AH$169+Résultats!AH$170+Résultats!AH$171+Résultats!AH$172+Résultats!AH$173+Résultats!AH$174+Résultats!AH$175+Résultats!AH$183+Résultats!AH$185)/1000000</f>
        <v>27.342866903479536</v>
      </c>
      <c r="F64" s="19">
        <f>Résultats!AH$100/1000000</f>
        <v>15.037835400000001</v>
      </c>
      <c r="G64" s="120">
        <f t="shared" si="5"/>
        <v>101.53650912526454</v>
      </c>
      <c r="H64" s="3"/>
      <c r="I64" s="203"/>
      <c r="K64" s="51"/>
      <c r="L64" s="51"/>
      <c r="M64" s="51"/>
      <c r="N64" s="53"/>
      <c r="O64" s="51"/>
      <c r="P64" s="51"/>
      <c r="Q64" s="51"/>
      <c r="R64" s="51"/>
      <c r="S64" s="51"/>
      <c r="T64" s="46"/>
      <c r="U64" s="42"/>
      <c r="W64" s="41"/>
      <c r="X64" s="52"/>
      <c r="Y64" s="52"/>
      <c r="Z64" s="52"/>
      <c r="AA64" s="52"/>
      <c r="AB64" s="52"/>
    </row>
    <row r="65" spans="1:28" x14ac:dyDescent="0.25">
      <c r="A65" s="178" t="s">
        <v>25</v>
      </c>
      <c r="B65" s="19">
        <v>0</v>
      </c>
      <c r="C65" s="19">
        <f>(Résultats!AH$139)/1000000</f>
        <v>8.2165217189999993</v>
      </c>
      <c r="D65" s="19">
        <f>'T energie usages'!J97/'T energie usages'!J$98*(Résultats!AH$159+Résultats!AH$160+Résultats!AH$161)/1000000</f>
        <v>5.1403009454006193E-2</v>
      </c>
      <c r="E65" s="19">
        <f>(Résultats!AH$163)/1000000</f>
        <v>0.65002757529999999</v>
      </c>
      <c r="F65" s="19">
        <v>0</v>
      </c>
      <c r="G65" s="120">
        <f t="shared" si="5"/>
        <v>8.9179523037540047</v>
      </c>
      <c r="H65" s="3"/>
      <c r="I65" s="203"/>
      <c r="K65" s="51"/>
      <c r="L65" s="51"/>
      <c r="M65" s="51"/>
      <c r="N65" s="53"/>
      <c r="O65" s="51"/>
      <c r="P65" s="51"/>
      <c r="Q65" s="51"/>
      <c r="R65" s="51"/>
      <c r="S65" s="51"/>
      <c r="T65" s="46"/>
      <c r="U65" s="42"/>
      <c r="W65" s="41"/>
      <c r="X65" s="52"/>
      <c r="Y65" s="52"/>
      <c r="Z65" s="52"/>
      <c r="AA65" s="52"/>
      <c r="AB65" s="52"/>
    </row>
    <row r="66" spans="1:28" x14ac:dyDescent="0.25">
      <c r="A66" s="72" t="s">
        <v>41</v>
      </c>
      <c r="B66" s="58">
        <f>SUM(B61:B63)+B58</f>
        <v>11.6499013694</v>
      </c>
      <c r="C66" s="58">
        <f>SUM(C61:C63)+C58</f>
        <v>175.81855794901759</v>
      </c>
      <c r="D66" s="58">
        <f>SUM(D61:D63)+D58</f>
        <v>6.331757658399999</v>
      </c>
      <c r="E66" s="58">
        <f>SUM(E61:E63)+E58</f>
        <v>71.572130746491126</v>
      </c>
      <c r="F66" s="58">
        <f>SUM(F61:F63)+F58</f>
        <v>15.037835400000001</v>
      </c>
      <c r="G66" s="204">
        <f t="shared" si="5"/>
        <v>280.41018312330874</v>
      </c>
      <c r="H66" s="3"/>
      <c r="I66" s="105"/>
      <c r="J66" s="100"/>
      <c r="K66" s="51"/>
      <c r="L66" s="51"/>
      <c r="M66" s="51"/>
      <c r="N66" s="53"/>
      <c r="O66" s="51"/>
      <c r="P66" s="51"/>
      <c r="Q66" s="51"/>
      <c r="R66" s="51"/>
      <c r="S66" s="51"/>
      <c r="T66" s="46"/>
      <c r="U66" s="48"/>
      <c r="W66" s="47"/>
      <c r="X66" s="52"/>
      <c r="Y66" s="52"/>
      <c r="Z66" s="52"/>
      <c r="AA66" s="52"/>
      <c r="AB66" s="52"/>
    </row>
    <row r="67" spans="1:28" x14ac:dyDescent="0.25">
      <c r="A67" s="198" t="s">
        <v>43</v>
      </c>
      <c r="B67" s="201">
        <f>(Résultats!AH$102+Résultats!AH$129+Résultats!AH$130+Résultats!AH$131+Résultats!AH$132+Résultats!AH$133+Résultats!AH$134+Résultats!AH$135+Résultats!AH$136)/1000000</f>
        <v>11.6499013694</v>
      </c>
      <c r="C67" s="201">
        <f>(Résultats!AH$104+Résultats!AH$138+Résultats!AH$139+Résultats!AH$140+Résultats!AH$141+Résultats!AH$142+Résultats!AH$143+Résultats!AH$144+Résultats!AH$145+Résultats!AH$146+Résultats!AH$147+Résultats!AH$148+Résultats!AH$149+Résultats!AH$150+Résultats!AH$151+Résultats!AH$152+Résultats!AH$153+Résultats!AH$154+Résultats!AH$155+Résultats!AH$156)/1000000</f>
        <v>175.85615786674765</v>
      </c>
      <c r="D67" s="201">
        <f>(Résultats!AH$159+Résultats!AH$160+Résultats!AH$161)/1000000</f>
        <v>6.331757658399999</v>
      </c>
      <c r="E67" s="200">
        <f>(Résultats!AH$106+Résultats!AH$163+Résultats!AH$164+Résultats!AH$165+Résultats!AH$166+Résultats!AH$167+Résultats!AH$168+Résultats!AH$169+Résultats!AH$170+Résultats!AH$171+Résultats!AH$172+Résultats!AH$173+Résultats!AH$174+Résultats!AH$175+Résultats!AH$176+Résultats!AH$177+Résultats!AH$178+Résultats!AH$179+Résultats!AH$180+Résultats!AH$181+Résultats!AH$182+Résultats!AH$183)/1000000</f>
        <v>61.880853537249536</v>
      </c>
      <c r="F67" s="201">
        <f>Résultats!AH$100/1000000</f>
        <v>15.037835400000001</v>
      </c>
      <c r="G67" s="202">
        <f t="shared" si="5"/>
        <v>270.7565058317972</v>
      </c>
      <c r="H67" s="3"/>
      <c r="I67" s="69"/>
      <c r="K67" s="24"/>
      <c r="L67" s="51"/>
    </row>
    <row r="68" spans="1:28" x14ac:dyDescent="0.25">
      <c r="A68" s="198"/>
      <c r="B68" s="198"/>
      <c r="C68" s="198"/>
      <c r="D68" s="198"/>
      <c r="E68" s="198"/>
      <c r="F68" s="198"/>
      <c r="G68" s="200">
        <f>Résultats!AH$194/1000000</f>
        <v>271.01193719999998</v>
      </c>
      <c r="H68" s="3"/>
      <c r="I68" s="69"/>
      <c r="K68" s="24"/>
      <c r="L68" s="51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69"/>
      <c r="K69" s="24"/>
      <c r="L69" s="51"/>
    </row>
    <row r="70" spans="1:28" ht="21" x14ac:dyDescent="0.35">
      <c r="A70" s="174">
        <v>2050</v>
      </c>
      <c r="B70" s="4" t="s">
        <v>36</v>
      </c>
      <c r="C70" s="4" t="s">
        <v>37</v>
      </c>
      <c r="D70" s="4" t="s">
        <v>38</v>
      </c>
      <c r="E70" s="4" t="s">
        <v>39</v>
      </c>
      <c r="F70" s="4" t="s">
        <v>40</v>
      </c>
      <c r="G70" s="118" t="s">
        <v>1</v>
      </c>
      <c r="H70" s="3"/>
      <c r="I70" s="3"/>
    </row>
    <row r="71" spans="1:28" x14ac:dyDescent="0.25">
      <c r="A71" s="195" t="s">
        <v>18</v>
      </c>
      <c r="B71" s="57">
        <f>B72+B73</f>
        <v>0.40494538479999997</v>
      </c>
      <c r="C71" s="57">
        <f>C72+C73</f>
        <v>89.110423332030194</v>
      </c>
      <c r="D71" s="57">
        <f>D72+D73</f>
        <v>1.3240181667517477</v>
      </c>
      <c r="E71" s="57">
        <f>E72+E73</f>
        <v>5.1300385889257987</v>
      </c>
      <c r="F71" s="57">
        <f>F72+F73</f>
        <v>0</v>
      </c>
      <c r="G71" s="196">
        <f t="shared" ref="G71:G80" si="6">SUM(B71:F71)</f>
        <v>95.969425472507737</v>
      </c>
      <c r="H71" s="3"/>
      <c r="I71" s="3"/>
    </row>
    <row r="72" spans="1:28" x14ac:dyDescent="0.25">
      <c r="A72" s="177" t="s">
        <v>19</v>
      </c>
      <c r="B72" s="19">
        <f>Résultats!AF$118/1000000</f>
        <v>0.40494538479999997</v>
      </c>
      <c r="C72" s="19">
        <f>'T energie usages'!I116*3.2*Résultats!AW250</f>
        <v>30.644371476230194</v>
      </c>
      <c r="D72" s="19">
        <f>'T energie usages'!J116/'T energie usages'!J$124*(Résultats!AW$159+Résultats!AW$160+Résultats!AW$161)/1000000</f>
        <v>0.70706883274167809</v>
      </c>
      <c r="E72" s="19">
        <f>'T energie usages'!K116*2.394*Résultats!AW251</f>
        <v>1.0506346579863159E-4</v>
      </c>
      <c r="F72" s="19">
        <v>0</v>
      </c>
      <c r="G72" s="120">
        <f t="shared" si="6"/>
        <v>31.756490757237675</v>
      </c>
      <c r="H72" s="3"/>
      <c r="I72" s="3"/>
    </row>
    <row r="73" spans="1:28" x14ac:dyDescent="0.25">
      <c r="A73" s="178" t="s">
        <v>20</v>
      </c>
      <c r="B73" s="19">
        <v>0</v>
      </c>
      <c r="C73" s="19">
        <f>(Résultats!AW$150+Résultats!AW$151+Résultats!AW$152+Résultats!AW$153+Résultats!AW$154)/1000000</f>
        <v>58.466051855799996</v>
      </c>
      <c r="D73" s="19">
        <f>'T energie usages'!J117/'T energie usages'!J$124*(Résultats!AW$159+Résultats!AW$160+Résultats!AW$161)/1000000</f>
        <v>0.61694933401006946</v>
      </c>
      <c r="E73" s="19">
        <f>(Résultats!AW$176+Résultats!AW$177+Résultats!AW$178+Résultats!AW$179+Résultats!AW$180)/1000000</f>
        <v>5.1299335254600003</v>
      </c>
      <c r="F73" s="19">
        <v>0</v>
      </c>
      <c r="G73" s="120">
        <f t="shared" si="6"/>
        <v>64.212934715270066</v>
      </c>
      <c r="H73" s="3"/>
      <c r="I73" s="3"/>
    </row>
    <row r="74" spans="1:28" x14ac:dyDescent="0.25">
      <c r="A74" s="195" t="s">
        <v>21</v>
      </c>
      <c r="B74" s="57">
        <f>Résultats!AW$102/1000000</f>
        <v>0.3293658532</v>
      </c>
      <c r="C74" s="57">
        <f>'T energie usages'!I118*3.2*Résultats!AW250</f>
        <v>9.7897464710308206</v>
      </c>
      <c r="D74" s="57">
        <f>'T energie usages'!J118/'T energie usages'!J$124*(Résultats!AW$159+Résultats!AW$160+Résultats!AW$161)/1000000</f>
        <v>3.5591697665323121</v>
      </c>
      <c r="E74" s="57">
        <f>('T energie usages'!K118-8)*2.394*Résultats!AW251</f>
        <v>23.569268489858864</v>
      </c>
      <c r="F74" s="57">
        <v>0</v>
      </c>
      <c r="G74" s="196">
        <f t="shared" si="6"/>
        <v>37.247550580621997</v>
      </c>
      <c r="H74" s="3"/>
      <c r="I74" s="3"/>
    </row>
    <row r="75" spans="1:28" x14ac:dyDescent="0.25">
      <c r="A75" s="195" t="s">
        <v>22</v>
      </c>
      <c r="B75" s="57">
        <f>(Résultats!AW$135+Résultats!AW$136)/1000000</f>
        <v>0</v>
      </c>
      <c r="C75" s="57">
        <f>(Résultats!AW$155+Résultats!AW$156)/1000000</f>
        <v>5.4958897129000004</v>
      </c>
      <c r="D75" s="57">
        <f>'T energie usages'!J119/'T energie usages'!J$124*(Résultats!AW$159+Résultats!AW$160+Résultats!AW$161)/1000000</f>
        <v>2.7128039084472628</v>
      </c>
      <c r="E75" s="57">
        <f>(Résultats!AW$181+Résultats!AW$182)/1000000</f>
        <v>9.8491512500000002</v>
      </c>
      <c r="F75" s="57">
        <v>0</v>
      </c>
      <c r="G75" s="196">
        <f t="shared" si="6"/>
        <v>18.057844871347264</v>
      </c>
      <c r="H75" s="3"/>
      <c r="I75" s="3"/>
    </row>
    <row r="76" spans="1:28" x14ac:dyDescent="0.25">
      <c r="A76" s="195" t="s">
        <v>23</v>
      </c>
      <c r="B76" s="57">
        <f>B77+B78</f>
        <v>11.718906435329989</v>
      </c>
      <c r="C76" s="57">
        <f>C77+C78</f>
        <v>62.422079883836624</v>
      </c>
      <c r="D76" s="57">
        <f>D77+D78</f>
        <v>3.5932198315686779</v>
      </c>
      <c r="E76" s="57">
        <f>E77+E78</f>
        <v>30.211608017415841</v>
      </c>
      <c r="F76" s="57">
        <f>F77+F78</f>
        <v>16.928986390000002</v>
      </c>
      <c r="G76" s="196">
        <f t="shared" si="6"/>
        <v>124.87480055815114</v>
      </c>
      <c r="H76" s="3"/>
      <c r="I76" s="3"/>
    </row>
    <row r="77" spans="1:28" x14ac:dyDescent="0.25">
      <c r="A77" s="178" t="s">
        <v>24</v>
      </c>
      <c r="B77" s="19">
        <f>(Résultats!AW$129+Résultats!AW$130+Résultats!AW$131+Résultats!AW$132+Résultats!AW$133+Résultats!AW$134)/1000000</f>
        <v>11.718906435329989</v>
      </c>
      <c r="C77" s="19">
        <f>(Résultats!AW$138+Résultats!AW$140+Résultats!AW$141+Résultats!AW$142+Résultats!AW$143+Résultats!AW$144+Résultats!AW$145+Résultats!AW$146+Résultats!AW$147+Résultats!AW$148+Résultats!AW$149)/1000000</f>
        <v>51.953161543836622</v>
      </c>
      <c r="D77" s="19">
        <f>'T energie usages'!J121/'T energie usages'!J$124*(Résultats!AW$159+Résultats!AW$160+Résultats!AW$161)/1000000</f>
        <v>3.4923556076413469</v>
      </c>
      <c r="E77" s="19">
        <f>(Résultats!AW162+Résultats!AW$164+Résultats!AW$165+Résultats!AW$166+Résultats!AW$167+Résultats!AW$168+Résultats!AW$169+Résultats!AW$170+Résultats!AW$171+Résultats!AW$172+Résultats!AW$173+Résultats!AW$174+Résultats!AW$175+Résultats!AW$183)/1000000</f>
        <v>29.459338817715842</v>
      </c>
      <c r="F77" s="19">
        <f>Résultats!AW$100/1000000</f>
        <v>16.928986390000002</v>
      </c>
      <c r="G77" s="120">
        <f t="shared" si="6"/>
        <v>113.55274879452381</v>
      </c>
      <c r="H77" s="3"/>
      <c r="I77" s="3"/>
    </row>
    <row r="78" spans="1:28" x14ac:dyDescent="0.25">
      <c r="A78" s="178" t="s">
        <v>25</v>
      </c>
      <c r="B78" s="19">
        <v>0</v>
      </c>
      <c r="C78" s="19">
        <f>(Résultats!AW$139)/1000000</f>
        <v>10.46891834</v>
      </c>
      <c r="D78" s="19">
        <f>'T energie usages'!J123/'T energie usages'!J$124*(Résultats!AW$159+Résultats!AW$160+Résultats!AW$161)/1000000</f>
        <v>0.10086422392733092</v>
      </c>
      <c r="E78" s="19">
        <f>(Résultats!AW$163)/1000000</f>
        <v>0.75226919969999995</v>
      </c>
      <c r="F78" s="19">
        <v>0</v>
      </c>
      <c r="G78" s="120">
        <f t="shared" si="6"/>
        <v>11.322051763627332</v>
      </c>
      <c r="H78" s="3"/>
      <c r="I78" s="3"/>
    </row>
    <row r="79" spans="1:28" x14ac:dyDescent="0.25">
      <c r="A79" s="72" t="s">
        <v>41</v>
      </c>
      <c r="B79" s="58">
        <f>SUM(B74:B76)+B71</f>
        <v>12.45321767332999</v>
      </c>
      <c r="C79" s="58">
        <f>SUM(C74:C76)+C71</f>
        <v>166.81813939979764</v>
      </c>
      <c r="D79" s="58">
        <f>SUM(D74:D76)+D71</f>
        <v>11.189211673300001</v>
      </c>
      <c r="E79" s="60">
        <f>SUM(E74:E76)+E71</f>
        <v>68.760066346200503</v>
      </c>
      <c r="F79" s="58">
        <f>SUM(F74:F76)+F71</f>
        <v>16.928986390000002</v>
      </c>
      <c r="G79" s="197">
        <f t="shared" si="6"/>
        <v>276.14962148262811</v>
      </c>
      <c r="H79" s="3"/>
      <c r="I79" s="3"/>
    </row>
    <row r="80" spans="1:28" x14ac:dyDescent="0.25">
      <c r="A80" s="198" t="s">
        <v>43</v>
      </c>
      <c r="B80" s="201">
        <f>(Résultats!AW$102+Résultats!AW$129+Résultats!AW$130+Résultats!AW$131+Résultats!AW$132+Résultats!AW$133+Résultats!AW$134+Résultats!AW$135+Résultats!AW$136)/1000000</f>
        <v>12.04827228852999</v>
      </c>
      <c r="C80" s="201">
        <f>(Résultats!AW$104+Résultats!AW$138+Résultats!AW$139+Résultats!AW$140+Résultats!AW$141+Résultats!AW$142+Résultats!AW$143+Résultats!AW$144+Résultats!AW$145+Résultats!AW$146+Résultats!AW$147+Résultats!AW$148+Résultats!AW$149+Résultats!AW$150+Résultats!AW$151+Résultats!AW$152+Résultats!AW$153+Résultats!AW$154+Résultats!AW$155+Résultats!AW$156)/1000000</f>
        <v>166.84257382253659</v>
      </c>
      <c r="D80" s="201">
        <f>(Résultats!AW$159+Résultats!AW$160+Résultats!AW$161)/1000000</f>
        <v>11.189211673299999</v>
      </c>
      <c r="E80" s="200">
        <f>(Résultats!AW$106+Résultats!AW162+Résultats!AW$163+Résultats!AW$164+Résultats!AW$165+Résultats!AW$166+Résultats!AW$167+Résultats!AW$168+Résultats!AW$169+Résultats!AW$170+Résultats!AW$171+Résultats!AW$172+Résultats!AW$173+Résultats!AW$174+Résultats!AW$175+Résultats!AW$176+Résultats!AW$177+Résultats!AW$178+Résultats!AW$179+Résultats!AW$180+Résultats!AW181+Résultats!AW182+Résultats!AW183)/1000000</f>
        <v>59.319743162875838</v>
      </c>
      <c r="F80" s="201">
        <f>Résultats!AW100/1000000</f>
        <v>16.928986390000002</v>
      </c>
      <c r="G80" s="202">
        <f t="shared" si="6"/>
        <v>266.32878733724243</v>
      </c>
      <c r="H80" s="3"/>
      <c r="I80" s="71"/>
    </row>
    <row r="81" spans="1:9" x14ac:dyDescent="0.25">
      <c r="A81" s="198"/>
      <c r="B81" s="201"/>
      <c r="C81" s="201"/>
      <c r="D81" s="201"/>
      <c r="E81" s="198"/>
      <c r="F81" s="198"/>
      <c r="G81" s="200">
        <f>Résultats!AW194/1000000</f>
        <v>266.32878699999998</v>
      </c>
      <c r="H81" s="3"/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x14ac:dyDescent="0.25">
      <c r="A84" s="3"/>
      <c r="B84" s="3"/>
      <c r="C84" s="3"/>
      <c r="D84" s="3"/>
      <c r="E84" s="3"/>
      <c r="F84" s="3"/>
      <c r="G84" s="3"/>
      <c r="H84" s="3"/>
      <c r="I84" s="3"/>
    </row>
    <row r="85" spans="1:9" x14ac:dyDescent="0.25">
      <c r="F85" s="24"/>
    </row>
    <row r="86" spans="1:9" x14ac:dyDescent="0.25">
      <c r="G86" s="39"/>
    </row>
    <row r="87" spans="1:9" x14ac:dyDescent="0.25">
      <c r="B87" s="24"/>
      <c r="G87" s="39"/>
    </row>
    <row r="88" spans="1:9" x14ac:dyDescent="0.25">
      <c r="B88" s="24"/>
      <c r="G88" s="39"/>
    </row>
    <row r="89" spans="1:9" x14ac:dyDescent="0.25">
      <c r="B89" s="24"/>
      <c r="G89" s="39"/>
    </row>
    <row r="90" spans="1:9" x14ac:dyDescent="0.25">
      <c r="B90" s="24"/>
      <c r="G90" s="39"/>
    </row>
    <row r="91" spans="1:9" x14ac:dyDescent="0.25">
      <c r="B91" s="24"/>
      <c r="G91" s="39"/>
    </row>
    <row r="92" spans="1:9" x14ac:dyDescent="0.25">
      <c r="B92" s="24"/>
    </row>
    <row r="93" spans="1:9" x14ac:dyDescent="0.25">
      <c r="B93" s="24"/>
    </row>
    <row r="94" spans="1:9" x14ac:dyDescent="0.25">
      <c r="B94" s="24"/>
    </row>
    <row r="95" spans="1:9" x14ac:dyDescent="0.25">
      <c r="B95" s="24"/>
    </row>
    <row r="96" spans="1:9" x14ac:dyDescent="0.25">
      <c r="B96" s="24"/>
    </row>
    <row r="97" spans="2:4" x14ac:dyDescent="0.25">
      <c r="B97" s="24"/>
    </row>
    <row r="98" spans="2:4" x14ac:dyDescent="0.25">
      <c r="B98" s="24"/>
    </row>
    <row r="99" spans="2:4" x14ac:dyDescent="0.25">
      <c r="B99" s="24"/>
    </row>
    <row r="100" spans="2:4" x14ac:dyDescent="0.25">
      <c r="B100" s="24"/>
    </row>
    <row r="101" spans="2:4" x14ac:dyDescent="0.25">
      <c r="B101" s="24"/>
    </row>
    <row r="102" spans="2:4" x14ac:dyDescent="0.25">
      <c r="B102" s="24"/>
    </row>
    <row r="104" spans="2:4" x14ac:dyDescent="0.25">
      <c r="B104" s="24"/>
    </row>
    <row r="105" spans="2:4" x14ac:dyDescent="0.25">
      <c r="B105" s="24"/>
    </row>
    <row r="106" spans="2:4" x14ac:dyDescent="0.25">
      <c r="B106" s="24"/>
    </row>
    <row r="107" spans="2:4" x14ac:dyDescent="0.25">
      <c r="B107" s="24"/>
    </row>
    <row r="108" spans="2:4" x14ac:dyDescent="0.25">
      <c r="B108" s="24"/>
    </row>
    <row r="109" spans="2:4" x14ac:dyDescent="0.25">
      <c r="B109" s="24"/>
    </row>
    <row r="110" spans="2:4" x14ac:dyDescent="0.25">
      <c r="B110" s="24"/>
    </row>
    <row r="111" spans="2:4" x14ac:dyDescent="0.25">
      <c r="B111" s="24"/>
    </row>
    <row r="112" spans="2:4" x14ac:dyDescent="0.25">
      <c r="B112" s="24"/>
      <c r="C112" s="21"/>
      <c r="D112" s="21"/>
    </row>
    <row r="113" spans="2:2" x14ac:dyDescent="0.25">
      <c r="B113" s="24"/>
    </row>
    <row r="114" spans="2:2" x14ac:dyDescent="0.25">
      <c r="B114" s="24"/>
    </row>
    <row r="115" spans="2:2" x14ac:dyDescent="0.25">
      <c r="B115" s="24"/>
    </row>
    <row r="116" spans="2:2" x14ac:dyDescent="0.25">
      <c r="B116" s="24"/>
    </row>
    <row r="117" spans="2:2" x14ac:dyDescent="0.25">
      <c r="B117" s="24"/>
    </row>
    <row r="118" spans="2:2" x14ac:dyDescent="0.25">
      <c r="B118" s="24"/>
    </row>
    <row r="119" spans="2:2" x14ac:dyDescent="0.25">
      <c r="B119" s="24"/>
    </row>
    <row r="120" spans="2:2" x14ac:dyDescent="0.25">
      <c r="B120" s="24"/>
    </row>
    <row r="121" spans="2:2" x14ac:dyDescent="0.25">
      <c r="B121" s="24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AN108"/>
  <sheetViews>
    <sheetView topLeftCell="AB23" zoomScale="80" zoomScaleNormal="80" workbookViewId="0">
      <selection activeCell="AM26" sqref="AM26"/>
    </sheetView>
  </sheetViews>
  <sheetFormatPr baseColWidth="10" defaultRowHeight="15" x14ac:dyDescent="0.25"/>
  <cols>
    <col min="2" max="2" width="17.140625" customWidth="1"/>
    <col min="3" max="3" width="28.140625" bestFit="1" customWidth="1"/>
    <col min="4" max="4" width="41" hidden="1" customWidth="1"/>
    <col min="5" max="8" width="20.140625" hidden="1" customWidth="1"/>
    <col min="9" max="39" width="20.140625" customWidth="1"/>
    <col min="40" max="40" width="13" customWidth="1"/>
  </cols>
  <sheetData>
    <row r="1" spans="1:39" ht="23.25" x14ac:dyDescent="0.35">
      <c r="A1" s="15" t="s">
        <v>179</v>
      </c>
      <c r="C1" s="15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</row>
    <row r="2" spans="1:39" ht="23.25" x14ac:dyDescent="0.35">
      <c r="A2" s="1"/>
      <c r="C2" s="230"/>
      <c r="E2" s="238">
        <f>Résultats!E1</f>
        <v>4</v>
      </c>
      <c r="F2" s="238">
        <f>Résultats!N1</f>
        <v>13</v>
      </c>
      <c r="G2" s="238">
        <f>F2+3</f>
        <v>16</v>
      </c>
      <c r="H2" s="238">
        <f t="shared" ref="H2:AA2" si="0">G2+1</f>
        <v>17</v>
      </c>
      <c r="I2" s="238">
        <f t="shared" si="0"/>
        <v>18</v>
      </c>
      <c r="J2" s="238">
        <f t="shared" si="0"/>
        <v>19</v>
      </c>
      <c r="K2" s="238">
        <f t="shared" si="0"/>
        <v>20</v>
      </c>
      <c r="L2" s="238">
        <f t="shared" si="0"/>
        <v>21</v>
      </c>
      <c r="M2" s="238">
        <f t="shared" si="0"/>
        <v>22</v>
      </c>
      <c r="N2" s="238">
        <f t="shared" si="0"/>
        <v>23</v>
      </c>
      <c r="O2" s="238">
        <f t="shared" si="0"/>
        <v>24</v>
      </c>
      <c r="P2" s="238">
        <f t="shared" si="0"/>
        <v>25</v>
      </c>
      <c r="Q2" s="238">
        <f t="shared" si="0"/>
        <v>26</v>
      </c>
      <c r="R2" s="238">
        <f t="shared" si="0"/>
        <v>27</v>
      </c>
      <c r="S2" s="238">
        <f t="shared" si="0"/>
        <v>28</v>
      </c>
      <c r="T2" s="238">
        <f t="shared" si="0"/>
        <v>29</v>
      </c>
      <c r="U2" s="238">
        <f t="shared" si="0"/>
        <v>30</v>
      </c>
      <c r="V2" s="238">
        <f t="shared" si="0"/>
        <v>31</v>
      </c>
      <c r="W2" s="238">
        <f t="shared" si="0"/>
        <v>32</v>
      </c>
      <c r="X2" s="238">
        <f>S2+5</f>
        <v>33</v>
      </c>
      <c r="Y2" s="238">
        <f t="shared" si="0"/>
        <v>34</v>
      </c>
      <c r="Z2" s="238">
        <f t="shared" ref="Z2" si="1">U2+5</f>
        <v>35</v>
      </c>
      <c r="AA2" s="238">
        <f t="shared" si="0"/>
        <v>36</v>
      </c>
      <c r="AB2" s="238">
        <f t="shared" ref="AB2" si="2">W2+5</f>
        <v>37</v>
      </c>
      <c r="AC2" s="238">
        <f>X2+5</f>
        <v>38</v>
      </c>
      <c r="AD2" s="238">
        <f t="shared" ref="AD2:AG2" si="3">Y2+5</f>
        <v>39</v>
      </c>
      <c r="AE2" s="238">
        <f t="shared" si="3"/>
        <v>40</v>
      </c>
      <c r="AF2" s="238">
        <f t="shared" si="3"/>
        <v>41</v>
      </c>
      <c r="AG2" s="238">
        <f t="shared" si="3"/>
        <v>42</v>
      </c>
      <c r="AH2" s="238">
        <f>AC2+5</f>
        <v>43</v>
      </c>
      <c r="AI2" s="238">
        <f t="shared" ref="AI2:AL2" si="4">AD2+5</f>
        <v>44</v>
      </c>
      <c r="AJ2" s="238">
        <f t="shared" si="4"/>
        <v>45</v>
      </c>
      <c r="AK2" s="238">
        <f t="shared" si="4"/>
        <v>46</v>
      </c>
      <c r="AL2" s="238">
        <f t="shared" si="4"/>
        <v>47</v>
      </c>
      <c r="AM2" s="238">
        <f>AH2+5</f>
        <v>48</v>
      </c>
    </row>
    <row r="3" spans="1:39" ht="23.25" x14ac:dyDescent="0.35">
      <c r="B3" s="1"/>
      <c r="C3" s="229"/>
      <c r="D3" s="175"/>
      <c r="E3" s="117">
        <v>2006</v>
      </c>
      <c r="F3" s="117">
        <v>2015</v>
      </c>
      <c r="G3" s="117">
        <v>2018</v>
      </c>
      <c r="H3" s="117">
        <v>2019</v>
      </c>
      <c r="I3" s="117">
        <v>2020</v>
      </c>
      <c r="J3" s="26">
        <v>2021</v>
      </c>
      <c r="K3" s="4">
        <v>2022</v>
      </c>
      <c r="L3" s="4">
        <v>2023</v>
      </c>
      <c r="M3" s="4">
        <v>2024</v>
      </c>
      <c r="N3" s="117">
        <v>2025</v>
      </c>
      <c r="O3" s="26">
        <v>2026</v>
      </c>
      <c r="P3" s="4">
        <v>2027</v>
      </c>
      <c r="Q3" s="4">
        <v>2028</v>
      </c>
      <c r="R3" s="4">
        <v>2029</v>
      </c>
      <c r="S3" s="117">
        <v>2030</v>
      </c>
      <c r="T3" s="4">
        <v>2031</v>
      </c>
      <c r="U3" s="117">
        <v>2032</v>
      </c>
      <c r="V3" s="4">
        <v>2033</v>
      </c>
      <c r="W3" s="117">
        <v>2034</v>
      </c>
      <c r="X3" s="4">
        <v>2035</v>
      </c>
      <c r="Y3" s="117">
        <v>2036</v>
      </c>
      <c r="Z3" s="4">
        <v>2037</v>
      </c>
      <c r="AA3" s="117">
        <v>2038</v>
      </c>
      <c r="AB3" s="4">
        <v>2039</v>
      </c>
      <c r="AC3" s="118">
        <v>2040</v>
      </c>
      <c r="AD3" s="4">
        <v>2041</v>
      </c>
      <c r="AE3" s="118">
        <v>2042</v>
      </c>
      <c r="AF3" s="4">
        <v>2043</v>
      </c>
      <c r="AG3" s="118">
        <v>2044</v>
      </c>
      <c r="AH3" s="4">
        <v>2045</v>
      </c>
      <c r="AI3" s="118">
        <v>2046</v>
      </c>
      <c r="AJ3" s="4">
        <v>2047</v>
      </c>
      <c r="AK3" s="118">
        <v>2048</v>
      </c>
      <c r="AL3" s="4">
        <v>2049</v>
      </c>
      <c r="AM3" s="118">
        <v>2050</v>
      </c>
    </row>
    <row r="4" spans="1:39" x14ac:dyDescent="0.25">
      <c r="A4" s="181" t="str">
        <f>Résultats!B1</f>
        <v>TEND</v>
      </c>
      <c r="C4" s="231" t="s">
        <v>181</v>
      </c>
      <c r="D4" s="82" t="s">
        <v>45</v>
      </c>
      <c r="E4" s="83" t="e">
        <f t="shared" ref="E4:F4" si="5">E44</f>
        <v>#N/A</v>
      </c>
      <c r="F4" s="83" t="e">
        <f t="shared" si="5"/>
        <v>#N/A</v>
      </c>
      <c r="G4" s="83" t="e">
        <f>G44</f>
        <v>#N/A</v>
      </c>
      <c r="H4" s="83" t="e">
        <f t="shared" ref="H4:AM4" si="6">H44</f>
        <v>#N/A</v>
      </c>
      <c r="I4" s="83" t="e">
        <f t="shared" si="6"/>
        <v>#N/A</v>
      </c>
      <c r="J4" s="83" t="e">
        <f t="shared" si="6"/>
        <v>#N/A</v>
      </c>
      <c r="K4" s="83" t="e">
        <f t="shared" si="6"/>
        <v>#N/A</v>
      </c>
      <c r="L4" s="83" t="e">
        <f t="shared" si="6"/>
        <v>#N/A</v>
      </c>
      <c r="M4" s="83" t="e">
        <f t="shared" si="6"/>
        <v>#N/A</v>
      </c>
      <c r="N4" s="83" t="e">
        <f t="shared" si="6"/>
        <v>#N/A</v>
      </c>
      <c r="O4" s="83" t="e">
        <f t="shared" si="6"/>
        <v>#N/A</v>
      </c>
      <c r="P4" s="83" t="e">
        <f t="shared" si="6"/>
        <v>#N/A</v>
      </c>
      <c r="Q4" s="83" t="e">
        <f t="shared" si="6"/>
        <v>#N/A</v>
      </c>
      <c r="R4" s="83" t="e">
        <f t="shared" si="6"/>
        <v>#N/A</v>
      </c>
      <c r="S4" s="83" t="e">
        <f t="shared" si="6"/>
        <v>#N/A</v>
      </c>
      <c r="T4" s="83" t="e">
        <f t="shared" si="6"/>
        <v>#N/A</v>
      </c>
      <c r="U4" s="83" t="e">
        <f t="shared" si="6"/>
        <v>#N/A</v>
      </c>
      <c r="V4" s="83" t="e">
        <f t="shared" si="6"/>
        <v>#N/A</v>
      </c>
      <c r="W4" s="83" t="e">
        <f t="shared" si="6"/>
        <v>#N/A</v>
      </c>
      <c r="X4" s="83" t="e">
        <f t="shared" si="6"/>
        <v>#N/A</v>
      </c>
      <c r="Y4" s="83" t="e">
        <f t="shared" si="6"/>
        <v>#N/A</v>
      </c>
      <c r="Z4" s="83" t="e">
        <f t="shared" si="6"/>
        <v>#N/A</v>
      </c>
      <c r="AA4" s="83" t="e">
        <f t="shared" si="6"/>
        <v>#N/A</v>
      </c>
      <c r="AB4" s="83" t="e">
        <f t="shared" si="6"/>
        <v>#N/A</v>
      </c>
      <c r="AC4" s="83" t="e">
        <f t="shared" si="6"/>
        <v>#N/A</v>
      </c>
      <c r="AD4" s="83" t="e">
        <f t="shared" si="6"/>
        <v>#N/A</v>
      </c>
      <c r="AE4" s="83" t="e">
        <f t="shared" si="6"/>
        <v>#N/A</v>
      </c>
      <c r="AF4" s="83" t="e">
        <f t="shared" si="6"/>
        <v>#N/A</v>
      </c>
      <c r="AG4" s="83" t="e">
        <f t="shared" si="6"/>
        <v>#N/A</v>
      </c>
      <c r="AH4" s="83" t="e">
        <f t="shared" si="6"/>
        <v>#N/A</v>
      </c>
      <c r="AI4" s="83" t="e">
        <f t="shared" si="6"/>
        <v>#N/A</v>
      </c>
      <c r="AJ4" s="83" t="e">
        <f t="shared" si="6"/>
        <v>#N/A</v>
      </c>
      <c r="AK4" s="83" t="e">
        <f t="shared" si="6"/>
        <v>#N/A</v>
      </c>
      <c r="AL4" s="83" t="e">
        <f t="shared" si="6"/>
        <v>#N/A</v>
      </c>
      <c r="AM4" s="128" t="e">
        <f t="shared" si="6"/>
        <v>#N/A</v>
      </c>
    </row>
    <row r="5" spans="1:39" x14ac:dyDescent="0.25">
      <c r="C5" s="231" t="s">
        <v>182</v>
      </c>
      <c r="D5" s="82" t="s">
        <v>186</v>
      </c>
      <c r="E5" s="184"/>
      <c r="F5" s="184"/>
      <c r="G5" s="184" t="e">
        <f t="shared" ref="G5:AM5" si="7">G4/1000</f>
        <v>#N/A</v>
      </c>
      <c r="H5" s="184" t="e">
        <f t="shared" si="7"/>
        <v>#N/A</v>
      </c>
      <c r="I5" s="184" t="e">
        <f t="shared" si="7"/>
        <v>#N/A</v>
      </c>
      <c r="J5" s="184" t="e">
        <f t="shared" si="7"/>
        <v>#N/A</v>
      </c>
      <c r="K5" s="184" t="e">
        <f t="shared" si="7"/>
        <v>#N/A</v>
      </c>
      <c r="L5" s="184" t="e">
        <f t="shared" si="7"/>
        <v>#N/A</v>
      </c>
      <c r="M5" s="184" t="e">
        <f t="shared" si="7"/>
        <v>#N/A</v>
      </c>
      <c r="N5" s="184" t="e">
        <f t="shared" si="7"/>
        <v>#N/A</v>
      </c>
      <c r="O5" s="184" t="e">
        <f t="shared" si="7"/>
        <v>#N/A</v>
      </c>
      <c r="P5" s="184" t="e">
        <f t="shared" si="7"/>
        <v>#N/A</v>
      </c>
      <c r="Q5" s="184" t="e">
        <f t="shared" si="7"/>
        <v>#N/A</v>
      </c>
      <c r="R5" s="184" t="e">
        <f t="shared" si="7"/>
        <v>#N/A</v>
      </c>
      <c r="S5" s="184" t="e">
        <f t="shared" si="7"/>
        <v>#N/A</v>
      </c>
      <c r="T5" s="184" t="e">
        <f t="shared" si="7"/>
        <v>#N/A</v>
      </c>
      <c r="U5" s="184" t="e">
        <f t="shared" si="7"/>
        <v>#N/A</v>
      </c>
      <c r="V5" s="184" t="e">
        <f t="shared" si="7"/>
        <v>#N/A</v>
      </c>
      <c r="W5" s="184" t="e">
        <f t="shared" si="7"/>
        <v>#N/A</v>
      </c>
      <c r="X5" s="184" t="e">
        <f t="shared" si="7"/>
        <v>#N/A</v>
      </c>
      <c r="Y5" s="184" t="e">
        <f t="shared" si="7"/>
        <v>#N/A</v>
      </c>
      <c r="Z5" s="184" t="e">
        <f t="shared" si="7"/>
        <v>#N/A</v>
      </c>
      <c r="AA5" s="184" t="e">
        <f t="shared" si="7"/>
        <v>#N/A</v>
      </c>
      <c r="AB5" s="184" t="e">
        <f t="shared" si="7"/>
        <v>#N/A</v>
      </c>
      <c r="AC5" s="184" t="e">
        <f t="shared" si="7"/>
        <v>#N/A</v>
      </c>
      <c r="AD5" s="184" t="e">
        <f t="shared" si="7"/>
        <v>#N/A</v>
      </c>
      <c r="AE5" s="184" t="e">
        <f t="shared" si="7"/>
        <v>#N/A</v>
      </c>
      <c r="AF5" s="184" t="e">
        <f t="shared" si="7"/>
        <v>#N/A</v>
      </c>
      <c r="AG5" s="184" t="e">
        <f t="shared" si="7"/>
        <v>#N/A</v>
      </c>
      <c r="AH5" s="184" t="e">
        <f t="shared" si="7"/>
        <v>#N/A</v>
      </c>
      <c r="AI5" s="184" t="e">
        <f t="shared" si="7"/>
        <v>#N/A</v>
      </c>
      <c r="AJ5" s="184" t="e">
        <f t="shared" si="7"/>
        <v>#N/A</v>
      </c>
      <c r="AK5" s="184" t="e">
        <f t="shared" si="7"/>
        <v>#N/A</v>
      </c>
      <c r="AL5" s="184" t="e">
        <f t="shared" si="7"/>
        <v>#N/A</v>
      </c>
      <c r="AM5" s="232" t="e">
        <f t="shared" si="7"/>
        <v>#N/A</v>
      </c>
    </row>
    <row r="6" spans="1:39" x14ac:dyDescent="0.25">
      <c r="C6" s="187" t="s">
        <v>183</v>
      </c>
      <c r="D6" s="3" t="s">
        <v>187</v>
      </c>
      <c r="E6" s="185"/>
      <c r="F6" s="185"/>
      <c r="G6" s="185" t="e">
        <f>G93</f>
        <v>#N/A</v>
      </c>
      <c r="H6" s="185" t="e">
        <f t="shared" ref="H6:AM6" si="8">H93</f>
        <v>#N/A</v>
      </c>
      <c r="I6" s="185" t="e">
        <f t="shared" si="8"/>
        <v>#N/A</v>
      </c>
      <c r="J6" s="185" t="e">
        <f t="shared" si="8"/>
        <v>#N/A</v>
      </c>
      <c r="K6" s="185" t="e">
        <f t="shared" si="8"/>
        <v>#N/A</v>
      </c>
      <c r="L6" s="185" t="e">
        <f t="shared" si="8"/>
        <v>#N/A</v>
      </c>
      <c r="M6" s="185" t="e">
        <f t="shared" si="8"/>
        <v>#N/A</v>
      </c>
      <c r="N6" s="185" t="e">
        <f t="shared" si="8"/>
        <v>#N/A</v>
      </c>
      <c r="O6" s="185" t="e">
        <f t="shared" si="8"/>
        <v>#N/A</v>
      </c>
      <c r="P6" s="185" t="e">
        <f t="shared" si="8"/>
        <v>#N/A</v>
      </c>
      <c r="Q6" s="185" t="e">
        <f t="shared" si="8"/>
        <v>#N/A</v>
      </c>
      <c r="R6" s="185" t="e">
        <f t="shared" si="8"/>
        <v>#N/A</v>
      </c>
      <c r="S6" s="185" t="e">
        <f t="shared" si="8"/>
        <v>#N/A</v>
      </c>
      <c r="T6" s="185" t="e">
        <f t="shared" si="8"/>
        <v>#N/A</v>
      </c>
      <c r="U6" s="185" t="e">
        <f t="shared" si="8"/>
        <v>#N/A</v>
      </c>
      <c r="V6" s="185" t="e">
        <f t="shared" si="8"/>
        <v>#N/A</v>
      </c>
      <c r="W6" s="185" t="e">
        <f t="shared" si="8"/>
        <v>#N/A</v>
      </c>
      <c r="X6" s="185" t="e">
        <f t="shared" si="8"/>
        <v>#N/A</v>
      </c>
      <c r="Y6" s="185" t="e">
        <f t="shared" si="8"/>
        <v>#N/A</v>
      </c>
      <c r="Z6" s="185" t="e">
        <f t="shared" si="8"/>
        <v>#N/A</v>
      </c>
      <c r="AA6" s="185" t="e">
        <f t="shared" si="8"/>
        <v>#N/A</v>
      </c>
      <c r="AB6" s="185" t="e">
        <f t="shared" si="8"/>
        <v>#N/A</v>
      </c>
      <c r="AC6" s="185" t="e">
        <f t="shared" si="8"/>
        <v>#N/A</v>
      </c>
      <c r="AD6" s="185" t="e">
        <f t="shared" si="8"/>
        <v>#N/A</v>
      </c>
      <c r="AE6" s="185" t="e">
        <f t="shared" si="8"/>
        <v>#N/A</v>
      </c>
      <c r="AF6" s="185" t="e">
        <f t="shared" si="8"/>
        <v>#N/A</v>
      </c>
      <c r="AG6" s="185" t="e">
        <f t="shared" si="8"/>
        <v>#N/A</v>
      </c>
      <c r="AH6" s="185" t="e">
        <f t="shared" si="8"/>
        <v>#N/A</v>
      </c>
      <c r="AI6" s="185" t="e">
        <f t="shared" si="8"/>
        <v>#N/A</v>
      </c>
      <c r="AJ6" s="185" t="e">
        <f t="shared" si="8"/>
        <v>#N/A</v>
      </c>
      <c r="AK6" s="185" t="e">
        <f t="shared" si="8"/>
        <v>#N/A</v>
      </c>
      <c r="AL6" s="185" t="e">
        <f t="shared" si="8"/>
        <v>#N/A</v>
      </c>
      <c r="AM6" s="233" t="e">
        <f t="shared" si="8"/>
        <v>#N/A</v>
      </c>
    </row>
    <row r="7" spans="1:39" x14ac:dyDescent="0.25">
      <c r="C7" s="234" t="s">
        <v>188</v>
      </c>
      <c r="D7" s="7" t="s">
        <v>211</v>
      </c>
      <c r="E7" s="235"/>
      <c r="F7" s="235"/>
      <c r="G7" s="235" t="e">
        <f>G101</f>
        <v>#N/A</v>
      </c>
      <c r="H7" s="235" t="e">
        <f t="shared" ref="H7:AM7" si="9">H101</f>
        <v>#N/A</v>
      </c>
      <c r="I7" s="235" t="e">
        <f t="shared" si="9"/>
        <v>#N/A</v>
      </c>
      <c r="J7" s="235" t="e">
        <f t="shared" si="9"/>
        <v>#N/A</v>
      </c>
      <c r="K7" s="235" t="e">
        <f t="shared" si="9"/>
        <v>#N/A</v>
      </c>
      <c r="L7" s="235" t="e">
        <f t="shared" si="9"/>
        <v>#N/A</v>
      </c>
      <c r="M7" s="235" t="e">
        <f t="shared" si="9"/>
        <v>#N/A</v>
      </c>
      <c r="N7" s="235" t="e">
        <f t="shared" si="9"/>
        <v>#N/A</v>
      </c>
      <c r="O7" s="235" t="e">
        <f t="shared" si="9"/>
        <v>#N/A</v>
      </c>
      <c r="P7" s="235" t="e">
        <f t="shared" si="9"/>
        <v>#N/A</v>
      </c>
      <c r="Q7" s="235" t="e">
        <f t="shared" si="9"/>
        <v>#N/A</v>
      </c>
      <c r="R7" s="235" t="e">
        <f t="shared" si="9"/>
        <v>#N/A</v>
      </c>
      <c r="S7" s="235" t="e">
        <f t="shared" si="9"/>
        <v>#N/A</v>
      </c>
      <c r="T7" s="235" t="e">
        <f t="shared" si="9"/>
        <v>#N/A</v>
      </c>
      <c r="U7" s="235" t="e">
        <f t="shared" si="9"/>
        <v>#N/A</v>
      </c>
      <c r="V7" s="235" t="e">
        <f t="shared" si="9"/>
        <v>#N/A</v>
      </c>
      <c r="W7" s="235" t="e">
        <f t="shared" si="9"/>
        <v>#N/A</v>
      </c>
      <c r="X7" s="235" t="e">
        <f t="shared" si="9"/>
        <v>#N/A</v>
      </c>
      <c r="Y7" s="235" t="e">
        <f t="shared" si="9"/>
        <v>#N/A</v>
      </c>
      <c r="Z7" s="235" t="e">
        <f t="shared" si="9"/>
        <v>#N/A</v>
      </c>
      <c r="AA7" s="235" t="e">
        <f t="shared" si="9"/>
        <v>#N/A</v>
      </c>
      <c r="AB7" s="235" t="e">
        <f t="shared" si="9"/>
        <v>#N/A</v>
      </c>
      <c r="AC7" s="235" t="e">
        <f t="shared" si="9"/>
        <v>#N/A</v>
      </c>
      <c r="AD7" s="235" t="e">
        <f t="shared" si="9"/>
        <v>#N/A</v>
      </c>
      <c r="AE7" s="235" t="e">
        <f t="shared" si="9"/>
        <v>#N/A</v>
      </c>
      <c r="AF7" s="235" t="e">
        <f t="shared" si="9"/>
        <v>#N/A</v>
      </c>
      <c r="AG7" s="235" t="e">
        <f t="shared" si="9"/>
        <v>#N/A</v>
      </c>
      <c r="AH7" s="235" t="e">
        <f t="shared" si="9"/>
        <v>#N/A</v>
      </c>
      <c r="AI7" s="235" t="e">
        <f t="shared" si="9"/>
        <v>#N/A</v>
      </c>
      <c r="AJ7" s="235" t="e">
        <f t="shared" si="9"/>
        <v>#N/A</v>
      </c>
      <c r="AK7" s="235" t="e">
        <f t="shared" si="9"/>
        <v>#N/A</v>
      </c>
      <c r="AL7" s="235" t="e">
        <f t="shared" si="9"/>
        <v>#N/A</v>
      </c>
      <c r="AM7" s="236" t="e">
        <f t="shared" si="9"/>
        <v>#N/A</v>
      </c>
    </row>
    <row r="8" spans="1:39" x14ac:dyDescent="0.25">
      <c r="C8" s="182" t="s">
        <v>180</v>
      </c>
      <c r="E8" s="183"/>
      <c r="F8" s="183"/>
      <c r="G8" s="183" t="e">
        <f>SUM(G6:G7)</f>
        <v>#N/A</v>
      </c>
      <c r="H8" s="183" t="e">
        <f t="shared" ref="H8:AM8" si="10">SUM(H6:H7)</f>
        <v>#N/A</v>
      </c>
      <c r="I8" s="183" t="e">
        <f t="shared" si="10"/>
        <v>#N/A</v>
      </c>
      <c r="J8" s="183" t="e">
        <f t="shared" si="10"/>
        <v>#N/A</v>
      </c>
      <c r="K8" s="183" t="e">
        <f t="shared" si="10"/>
        <v>#N/A</v>
      </c>
      <c r="L8" s="183" t="e">
        <f t="shared" si="10"/>
        <v>#N/A</v>
      </c>
      <c r="M8" s="183" t="e">
        <f t="shared" si="10"/>
        <v>#N/A</v>
      </c>
      <c r="N8" s="183" t="e">
        <f t="shared" si="10"/>
        <v>#N/A</v>
      </c>
      <c r="O8" s="183" t="e">
        <f t="shared" si="10"/>
        <v>#N/A</v>
      </c>
      <c r="P8" s="183" t="e">
        <f t="shared" si="10"/>
        <v>#N/A</v>
      </c>
      <c r="Q8" s="183" t="e">
        <f t="shared" si="10"/>
        <v>#N/A</v>
      </c>
      <c r="R8" s="183" t="e">
        <f t="shared" si="10"/>
        <v>#N/A</v>
      </c>
      <c r="S8" s="183" t="e">
        <f t="shared" si="10"/>
        <v>#N/A</v>
      </c>
      <c r="T8" s="183" t="e">
        <f t="shared" si="10"/>
        <v>#N/A</v>
      </c>
      <c r="U8" s="183" t="e">
        <f t="shared" si="10"/>
        <v>#N/A</v>
      </c>
      <c r="V8" s="183" t="e">
        <f t="shared" si="10"/>
        <v>#N/A</v>
      </c>
      <c r="W8" s="183" t="e">
        <f t="shared" si="10"/>
        <v>#N/A</v>
      </c>
      <c r="X8" s="183" t="e">
        <f t="shared" si="10"/>
        <v>#N/A</v>
      </c>
      <c r="Y8" s="183" t="e">
        <f t="shared" si="10"/>
        <v>#N/A</v>
      </c>
      <c r="Z8" s="183" t="e">
        <f t="shared" si="10"/>
        <v>#N/A</v>
      </c>
      <c r="AA8" s="183" t="e">
        <f t="shared" si="10"/>
        <v>#N/A</v>
      </c>
      <c r="AB8" s="183" t="e">
        <f t="shared" si="10"/>
        <v>#N/A</v>
      </c>
      <c r="AC8" s="183" t="e">
        <f t="shared" si="10"/>
        <v>#N/A</v>
      </c>
      <c r="AD8" s="183" t="e">
        <f t="shared" si="10"/>
        <v>#N/A</v>
      </c>
      <c r="AE8" s="183" t="e">
        <f t="shared" si="10"/>
        <v>#N/A</v>
      </c>
      <c r="AF8" s="183" t="e">
        <f t="shared" si="10"/>
        <v>#N/A</v>
      </c>
      <c r="AG8" s="183" t="e">
        <f t="shared" si="10"/>
        <v>#N/A</v>
      </c>
      <c r="AH8" s="183" t="e">
        <f t="shared" si="10"/>
        <v>#N/A</v>
      </c>
      <c r="AI8" s="183" t="e">
        <f t="shared" si="10"/>
        <v>#N/A</v>
      </c>
      <c r="AJ8" s="183" t="e">
        <f t="shared" si="10"/>
        <v>#N/A</v>
      </c>
      <c r="AK8" s="183" t="e">
        <f t="shared" si="10"/>
        <v>#N/A</v>
      </c>
      <c r="AL8" s="183" t="e">
        <f t="shared" si="10"/>
        <v>#N/A</v>
      </c>
      <c r="AM8" s="183" t="e">
        <f t="shared" si="10"/>
        <v>#N/A</v>
      </c>
    </row>
    <row r="12" spans="1:39" x14ac:dyDescent="0.25">
      <c r="C12" s="186"/>
      <c r="E12" s="26"/>
      <c r="F12" s="26"/>
      <c r="G12" s="26"/>
      <c r="H12" s="26"/>
      <c r="I12" s="26">
        <v>2020</v>
      </c>
      <c r="J12" s="118">
        <v>2030</v>
      </c>
      <c r="K12" s="118">
        <v>2050</v>
      </c>
    </row>
    <row r="13" spans="1:39" x14ac:dyDescent="0.25">
      <c r="C13" s="187" t="s">
        <v>183</v>
      </c>
      <c r="E13" s="167"/>
      <c r="F13" s="167"/>
      <c r="G13" s="167"/>
      <c r="H13" s="167"/>
      <c r="I13" s="167" t="e">
        <f>I93</f>
        <v>#N/A</v>
      </c>
      <c r="J13" s="168" t="e">
        <f>S93</f>
        <v>#N/A</v>
      </c>
      <c r="K13" s="168" t="e">
        <f>AM93</f>
        <v>#N/A</v>
      </c>
    </row>
    <row r="14" spans="1:39" x14ac:dyDescent="0.25">
      <c r="C14" s="188" t="s">
        <v>169</v>
      </c>
      <c r="E14" s="189"/>
      <c r="F14" s="189"/>
      <c r="G14" s="189"/>
      <c r="H14" s="189"/>
      <c r="I14" s="189" t="e">
        <f>I93</f>
        <v>#N/A</v>
      </c>
      <c r="J14" s="189" t="e">
        <f>S93</f>
        <v>#N/A</v>
      </c>
      <c r="K14" s="189" t="e">
        <f>AM93</f>
        <v>#N/A</v>
      </c>
    </row>
    <row r="15" spans="1:39" x14ac:dyDescent="0.25">
      <c r="C15" s="187" t="s">
        <v>184</v>
      </c>
      <c r="E15" s="167"/>
      <c r="F15" s="167"/>
      <c r="G15" s="167"/>
      <c r="H15" s="167"/>
      <c r="I15" s="167" t="e">
        <f>I101</f>
        <v>#N/A</v>
      </c>
      <c r="J15" s="167" t="e">
        <f>S101</f>
        <v>#N/A</v>
      </c>
      <c r="K15" s="168" t="e">
        <f>AM101</f>
        <v>#N/A</v>
      </c>
    </row>
    <row r="16" spans="1:39" x14ac:dyDescent="0.25">
      <c r="C16" s="188" t="s">
        <v>166</v>
      </c>
      <c r="E16" s="190"/>
      <c r="F16" s="190"/>
      <c r="G16" s="190"/>
      <c r="H16" s="190"/>
      <c r="I16" s="190" t="e">
        <f>I102+I103</f>
        <v>#N/A</v>
      </c>
      <c r="J16" s="190" t="e">
        <f>S102+S103</f>
        <v>#N/A</v>
      </c>
      <c r="K16" s="190" t="e">
        <f>AM102+AM103</f>
        <v>#N/A</v>
      </c>
    </row>
    <row r="17" spans="1:39" x14ac:dyDescent="0.25">
      <c r="C17" s="191" t="s">
        <v>167</v>
      </c>
      <c r="E17" s="189"/>
      <c r="F17" s="189"/>
      <c r="G17" s="189"/>
      <c r="H17" s="189"/>
      <c r="I17" s="189" t="e">
        <f>I104+I105+I106</f>
        <v>#N/A</v>
      </c>
      <c r="J17" s="189" t="e">
        <f>S104+S105+S106</f>
        <v>#N/A</v>
      </c>
      <c r="K17" s="189" t="e">
        <f>AM104+AM105+AM106</f>
        <v>#N/A</v>
      </c>
    </row>
    <row r="18" spans="1:39" x14ac:dyDescent="0.25">
      <c r="C18" s="191" t="s">
        <v>168</v>
      </c>
      <c r="E18" s="189"/>
      <c r="F18" s="189"/>
      <c r="G18" s="189"/>
      <c r="H18" s="189"/>
      <c r="I18" s="189" t="e">
        <f>I107+I108</f>
        <v>#N/A</v>
      </c>
      <c r="J18" s="189" t="e">
        <f>S107+S108</f>
        <v>#N/A</v>
      </c>
      <c r="K18" s="189" t="e">
        <f>AM107+AM108</f>
        <v>#N/A</v>
      </c>
    </row>
    <row r="19" spans="1:39" x14ac:dyDescent="0.25">
      <c r="C19" s="192" t="s">
        <v>180</v>
      </c>
      <c r="E19" s="193"/>
      <c r="F19" s="193"/>
      <c r="G19" s="193"/>
      <c r="H19" s="193"/>
      <c r="I19" s="193" t="e">
        <f>SUM(I16:I18)</f>
        <v>#N/A</v>
      </c>
      <c r="J19" s="193" t="e">
        <f>SUM(J16:J18)</f>
        <v>#N/A</v>
      </c>
      <c r="K19" s="193" t="e">
        <f>SUM(K16:K18)</f>
        <v>#N/A</v>
      </c>
    </row>
    <row r="23" spans="1:39" ht="23.25" x14ac:dyDescent="0.35">
      <c r="B23" s="1"/>
      <c r="C23" s="11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</row>
    <row r="24" spans="1:39" ht="23.25" x14ac:dyDescent="0.35">
      <c r="A24" s="15" t="s">
        <v>189</v>
      </c>
      <c r="C24" s="15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</row>
    <row r="25" spans="1:39" x14ac:dyDescent="0.25">
      <c r="C25" s="12"/>
      <c r="D25" s="12"/>
      <c r="E25" s="117">
        <v>2006</v>
      </c>
      <c r="F25" s="117">
        <v>2015</v>
      </c>
      <c r="G25" s="117">
        <v>2018</v>
      </c>
      <c r="H25" s="117">
        <v>2019</v>
      </c>
      <c r="I25" s="117">
        <v>2020</v>
      </c>
      <c r="J25" s="26">
        <v>2021</v>
      </c>
      <c r="K25" s="4">
        <v>2022</v>
      </c>
      <c r="L25" s="4">
        <v>2023</v>
      </c>
      <c r="M25" s="4">
        <v>2024</v>
      </c>
      <c r="N25" s="117">
        <v>2025</v>
      </c>
      <c r="O25" s="26">
        <v>2026</v>
      </c>
      <c r="P25" s="4">
        <v>2027</v>
      </c>
      <c r="Q25" s="4">
        <v>2028</v>
      </c>
      <c r="R25" s="4">
        <v>2029</v>
      </c>
      <c r="S25" s="117">
        <v>2030</v>
      </c>
      <c r="T25" s="4">
        <v>2031</v>
      </c>
      <c r="U25" s="117">
        <v>2032</v>
      </c>
      <c r="V25" s="4">
        <v>2033</v>
      </c>
      <c r="W25" s="117">
        <v>2034</v>
      </c>
      <c r="X25" s="4">
        <v>2035</v>
      </c>
      <c r="Y25" s="117">
        <v>2036</v>
      </c>
      <c r="Z25" s="4">
        <v>2037</v>
      </c>
      <c r="AA25" s="117">
        <v>2038</v>
      </c>
      <c r="AB25" s="4">
        <v>2039</v>
      </c>
      <c r="AC25" s="118">
        <v>2040</v>
      </c>
      <c r="AD25" s="4"/>
      <c r="AE25" s="4"/>
      <c r="AF25" s="4"/>
      <c r="AG25" s="4"/>
      <c r="AH25" s="4">
        <v>2045</v>
      </c>
      <c r="AI25" s="4"/>
      <c r="AJ25" s="4"/>
      <c r="AK25" s="4"/>
      <c r="AL25" s="4"/>
      <c r="AM25" s="118">
        <v>2050</v>
      </c>
    </row>
    <row r="26" spans="1:39" x14ac:dyDescent="0.25">
      <c r="A26" s="181" t="str">
        <f>Résultats!B1</f>
        <v>TEND</v>
      </c>
      <c r="B26" s="23" t="s">
        <v>190</v>
      </c>
      <c r="C26" s="74" t="s">
        <v>161</v>
      </c>
      <c r="D26" s="74" t="s">
        <v>64</v>
      </c>
      <c r="E26" s="75" t="e">
        <f>VLOOKUP($D26,Résultats!$B$2:$AZ$251,E$2,FALSE)</f>
        <v>#N/A</v>
      </c>
      <c r="F26" s="75" t="e">
        <f>VLOOKUP($D26,Résultats!$B$2:$AZ$251,F$2,FALSE)</f>
        <v>#N/A</v>
      </c>
      <c r="G26" s="75" t="e">
        <f>VLOOKUP($D26,Résultats!$B$2:$AZ$251,G$2,FALSE)</f>
        <v>#N/A</v>
      </c>
      <c r="H26" s="75" t="e">
        <f>VLOOKUP($D26,Résultats!$B$2:$AZ$251,H$2,FALSE)</f>
        <v>#N/A</v>
      </c>
      <c r="I26" s="75" t="e">
        <f>VLOOKUP($D26,Résultats!$B$2:$AZ$251,I$2,FALSE)</f>
        <v>#N/A</v>
      </c>
      <c r="J26" s="75" t="e">
        <f>VLOOKUP($D26,Résultats!$B$2:$AZ$251,J$2,FALSE)</f>
        <v>#N/A</v>
      </c>
      <c r="K26" s="75" t="e">
        <f>VLOOKUP($D26,Résultats!$B$2:$AZ$251,K$2,FALSE)</f>
        <v>#N/A</v>
      </c>
      <c r="L26" s="75" t="e">
        <f>VLOOKUP($D26,Résultats!$B$2:$AZ$251,L$2,FALSE)</f>
        <v>#N/A</v>
      </c>
      <c r="M26" s="75" t="e">
        <f>VLOOKUP($D26,Résultats!$B$2:$AZ$251,M$2,FALSE)</f>
        <v>#N/A</v>
      </c>
      <c r="N26" s="75" t="e">
        <f>VLOOKUP($D26,Résultats!$B$2:$AZ$251,N$2,FALSE)</f>
        <v>#N/A</v>
      </c>
      <c r="O26" s="75" t="e">
        <f>VLOOKUP($D26,Résultats!$B$2:$AZ$251,O$2,FALSE)</f>
        <v>#N/A</v>
      </c>
      <c r="P26" s="75" t="e">
        <f>VLOOKUP($D26,Résultats!$B$2:$AZ$251,P$2,FALSE)</f>
        <v>#N/A</v>
      </c>
      <c r="Q26" s="75" t="e">
        <f>VLOOKUP($D26,Résultats!$B$2:$AZ$251,Q$2,FALSE)</f>
        <v>#N/A</v>
      </c>
      <c r="R26" s="75" t="e">
        <f>VLOOKUP($D26,Résultats!$B$2:$AZ$251,R$2,FALSE)</f>
        <v>#N/A</v>
      </c>
      <c r="S26" s="75" t="e">
        <f>VLOOKUP($D26,Résultats!$B$2:$AZ$251,S$2,FALSE)</f>
        <v>#N/A</v>
      </c>
      <c r="T26" s="75" t="e">
        <f>VLOOKUP($D26,Résultats!$B$2:$AZ$251,T$2,FALSE)</f>
        <v>#N/A</v>
      </c>
      <c r="U26" s="75" t="e">
        <f>VLOOKUP($D26,Résultats!$B$2:$AZ$251,U$2,FALSE)</f>
        <v>#N/A</v>
      </c>
      <c r="V26" s="75" t="e">
        <f>VLOOKUP($D26,Résultats!$B$2:$AZ$251,V$2,FALSE)</f>
        <v>#N/A</v>
      </c>
      <c r="W26" s="75" t="e">
        <f>VLOOKUP($D26,Résultats!$B$2:$AZ$251,W$2,FALSE)</f>
        <v>#N/A</v>
      </c>
      <c r="X26" s="75" t="e">
        <f>VLOOKUP($D26,Résultats!$B$2:$AZ$251,X$2,FALSE)</f>
        <v>#N/A</v>
      </c>
      <c r="Y26" s="75" t="e">
        <f>VLOOKUP($D26,Résultats!$B$2:$AZ$251,Y$2,FALSE)</f>
        <v>#N/A</v>
      </c>
      <c r="Z26" s="75" t="e">
        <f>VLOOKUP($D26,Résultats!$B$2:$AZ$251,Z$2,FALSE)</f>
        <v>#N/A</v>
      </c>
      <c r="AA26" s="75" t="e">
        <f>VLOOKUP($D26,Résultats!$B$2:$AZ$251,AA$2,FALSE)</f>
        <v>#N/A</v>
      </c>
      <c r="AB26" s="75" t="e">
        <f>VLOOKUP($D26,Résultats!$B$2:$AZ$251,AB$2,FALSE)</f>
        <v>#N/A</v>
      </c>
      <c r="AC26" s="75" t="e">
        <f>VLOOKUP($D26,Résultats!$B$2:$AZ$251,AC$2,FALSE)</f>
        <v>#N/A</v>
      </c>
      <c r="AD26" s="75" t="e">
        <f>VLOOKUP($D26,Résultats!$B$2:$AZ$251,AD$2,FALSE)</f>
        <v>#N/A</v>
      </c>
      <c r="AE26" s="75" t="e">
        <f>VLOOKUP($D26,Résultats!$B$2:$AZ$251,AE$2,FALSE)</f>
        <v>#N/A</v>
      </c>
      <c r="AF26" s="75" t="e">
        <f>VLOOKUP($D26,Résultats!$B$2:$AZ$251,AF$2,FALSE)</f>
        <v>#N/A</v>
      </c>
      <c r="AG26" s="75" t="e">
        <f>VLOOKUP($D26,Résultats!$B$2:$AZ$251,AG$2,FALSE)</f>
        <v>#N/A</v>
      </c>
      <c r="AH26" s="75" t="e">
        <f>VLOOKUP($D26,Résultats!$B$2:$AZ$251,AH$2,FALSE)</f>
        <v>#N/A</v>
      </c>
      <c r="AI26" s="75" t="e">
        <f>VLOOKUP($D26,Résultats!$B$2:$AZ$251,AI$2,FALSE)</f>
        <v>#N/A</v>
      </c>
      <c r="AJ26" s="75" t="e">
        <f>VLOOKUP($D26,Résultats!$B$2:$AZ$251,AJ$2,FALSE)</f>
        <v>#N/A</v>
      </c>
      <c r="AK26" s="75" t="e">
        <f>VLOOKUP($D26,Résultats!$B$2:$AZ$251,AK$2,FALSE)</f>
        <v>#N/A</v>
      </c>
      <c r="AL26" s="75" t="e">
        <f>VLOOKUP($D26,Résultats!$B$2:$AZ$251,AL$2,FALSE)</f>
        <v>#N/A</v>
      </c>
      <c r="AM26" s="75" t="e">
        <f>VLOOKUP($D26,Résultats!$B$2:$AZ$251,AM$2,FALSE)</f>
        <v>#N/A</v>
      </c>
    </row>
    <row r="27" spans="1:39" x14ac:dyDescent="0.25">
      <c r="C27" s="76" t="s">
        <v>118</v>
      </c>
      <c r="D27" s="76" t="s">
        <v>73</v>
      </c>
      <c r="E27" s="77" t="e">
        <f>VLOOKUP($D27,Résultats!$B$2:$AZ$251,E$2,FALSE)</f>
        <v>#N/A</v>
      </c>
      <c r="F27" s="77" t="e">
        <f>VLOOKUP($D27,Résultats!$B$2:$AZ$251,F$2,FALSE)</f>
        <v>#N/A</v>
      </c>
      <c r="G27" s="77" t="e">
        <f>VLOOKUP($D27,Résultats!$B$2:$AZ$251,G$2,FALSE)</f>
        <v>#N/A</v>
      </c>
      <c r="H27" s="77" t="e">
        <f>VLOOKUP($D27,Résultats!$B$2:$AZ$251,H$2,FALSE)</f>
        <v>#N/A</v>
      </c>
      <c r="I27" s="77" t="e">
        <f>VLOOKUP($D27,Résultats!$B$2:$AZ$251,I$2,FALSE)</f>
        <v>#N/A</v>
      </c>
      <c r="J27" s="77" t="e">
        <f>VLOOKUP($D27,Résultats!$B$2:$AZ$251,J$2,FALSE)</f>
        <v>#N/A</v>
      </c>
      <c r="K27" s="77" t="e">
        <f>VLOOKUP($D27,Résultats!$B$2:$AZ$251,K$2,FALSE)</f>
        <v>#N/A</v>
      </c>
      <c r="L27" s="77" t="e">
        <f>VLOOKUP($D27,Résultats!$B$2:$AZ$251,L$2,FALSE)</f>
        <v>#N/A</v>
      </c>
      <c r="M27" s="77" t="e">
        <f>VLOOKUP($D27,Résultats!$B$2:$AZ$251,M$2,FALSE)</f>
        <v>#N/A</v>
      </c>
      <c r="N27" s="77" t="e">
        <f>VLOOKUP($D27,Résultats!$B$2:$AZ$251,N$2,FALSE)</f>
        <v>#N/A</v>
      </c>
      <c r="O27" s="77" t="e">
        <f>VLOOKUP($D27,Résultats!$B$2:$AZ$251,O$2,FALSE)</f>
        <v>#N/A</v>
      </c>
      <c r="P27" s="77" t="e">
        <f>VLOOKUP($D27,Résultats!$B$2:$AZ$251,P$2,FALSE)</f>
        <v>#N/A</v>
      </c>
      <c r="Q27" s="77" t="e">
        <f>VLOOKUP($D27,Résultats!$B$2:$AZ$251,Q$2,FALSE)</f>
        <v>#N/A</v>
      </c>
      <c r="R27" s="77" t="e">
        <f>VLOOKUP($D27,Résultats!$B$2:$AZ$251,R$2,FALSE)</f>
        <v>#N/A</v>
      </c>
      <c r="S27" s="77" t="e">
        <f>VLOOKUP($D27,Résultats!$B$2:$AZ$251,S$2,FALSE)</f>
        <v>#N/A</v>
      </c>
      <c r="T27" s="77" t="e">
        <f>VLOOKUP($D27,Résultats!$B$2:$AZ$251,T$2,FALSE)</f>
        <v>#N/A</v>
      </c>
      <c r="U27" s="77" t="e">
        <f>VLOOKUP($D27,Résultats!$B$2:$AZ$251,U$2,FALSE)</f>
        <v>#N/A</v>
      </c>
      <c r="V27" s="77" t="e">
        <f>VLOOKUP($D27,Résultats!$B$2:$AZ$251,V$2,FALSE)</f>
        <v>#N/A</v>
      </c>
      <c r="W27" s="77" t="e">
        <f>VLOOKUP($D27,Résultats!$B$2:$AZ$251,W$2,FALSE)</f>
        <v>#N/A</v>
      </c>
      <c r="X27" s="77" t="e">
        <f>VLOOKUP($D27,Résultats!$B$2:$AZ$251,X$2,FALSE)</f>
        <v>#N/A</v>
      </c>
      <c r="Y27" s="77" t="e">
        <f>VLOOKUP($D27,Résultats!$B$2:$AZ$251,Y$2,FALSE)</f>
        <v>#N/A</v>
      </c>
      <c r="Z27" s="77" t="e">
        <f>VLOOKUP($D27,Résultats!$B$2:$AZ$251,Z$2,FALSE)</f>
        <v>#N/A</v>
      </c>
      <c r="AA27" s="77" t="e">
        <f>VLOOKUP($D27,Résultats!$B$2:$AZ$251,AA$2,FALSE)</f>
        <v>#N/A</v>
      </c>
      <c r="AB27" s="77" t="e">
        <f>VLOOKUP($D27,Résultats!$B$2:$AZ$251,AB$2,FALSE)</f>
        <v>#N/A</v>
      </c>
      <c r="AC27" s="77" t="e">
        <f>VLOOKUP($D27,Résultats!$B$2:$AZ$251,AC$2,FALSE)</f>
        <v>#N/A</v>
      </c>
      <c r="AD27" s="77" t="e">
        <f>VLOOKUP($D27,Résultats!$B$2:$AZ$251,AD$2,FALSE)</f>
        <v>#N/A</v>
      </c>
      <c r="AE27" s="77" t="e">
        <f>VLOOKUP($D27,Résultats!$B$2:$AZ$251,AE$2,FALSE)</f>
        <v>#N/A</v>
      </c>
      <c r="AF27" s="77" t="e">
        <f>VLOOKUP($D27,Résultats!$B$2:$AZ$251,AF$2,FALSE)</f>
        <v>#N/A</v>
      </c>
      <c r="AG27" s="77" t="e">
        <f>VLOOKUP($D27,Résultats!$B$2:$AZ$251,AG$2,FALSE)</f>
        <v>#N/A</v>
      </c>
      <c r="AH27" s="77" t="e">
        <f>VLOOKUP($D27,Résultats!$B$2:$AZ$251,AH$2,FALSE)</f>
        <v>#N/A</v>
      </c>
      <c r="AI27" s="77" t="e">
        <f>VLOOKUP($D27,Résultats!$B$2:$AZ$251,AI$2,FALSE)</f>
        <v>#N/A</v>
      </c>
      <c r="AJ27" s="77" t="e">
        <f>VLOOKUP($D27,Résultats!$B$2:$AZ$251,AJ$2,FALSE)</f>
        <v>#N/A</v>
      </c>
      <c r="AK27" s="77" t="e">
        <f>VLOOKUP($D27,Résultats!$B$2:$AZ$251,AK$2,FALSE)</f>
        <v>#N/A</v>
      </c>
      <c r="AL27" s="77" t="e">
        <f>VLOOKUP($D27,Résultats!$B$2:$AZ$251,AL$2,FALSE)</f>
        <v>#N/A</v>
      </c>
      <c r="AM27" s="77" t="e">
        <f>VLOOKUP($D27,Résultats!$B$2:$AZ$251,AM$2,FALSE)</f>
        <v>#N/A</v>
      </c>
    </row>
    <row r="28" spans="1:39" x14ac:dyDescent="0.25">
      <c r="C28" s="56" t="s">
        <v>27</v>
      </c>
      <c r="D28" s="78" t="s">
        <v>74</v>
      </c>
      <c r="E28" s="31" t="e">
        <f>VLOOKUP($D28,Résultats!$B$2:$AZ$251,E$2,FALSE)</f>
        <v>#N/A</v>
      </c>
      <c r="F28" s="31" t="e">
        <f>VLOOKUP($D28,Résultats!$B$2:$AZ$251,F$2,FALSE)</f>
        <v>#N/A</v>
      </c>
      <c r="G28" s="31" t="e">
        <f>VLOOKUP($D28,Résultats!$B$2:$AZ$251,G$2,FALSE)</f>
        <v>#N/A</v>
      </c>
      <c r="H28" s="31" t="e">
        <f>VLOOKUP($D28,Résultats!$B$2:$AZ$251,H$2,FALSE)</f>
        <v>#N/A</v>
      </c>
      <c r="I28" s="31" t="e">
        <f>VLOOKUP($D28,Résultats!$B$2:$AZ$251,I$2,FALSE)</f>
        <v>#N/A</v>
      </c>
      <c r="J28" s="31" t="e">
        <f>VLOOKUP($D28,Résultats!$B$2:$AZ$251,J$2,FALSE)</f>
        <v>#N/A</v>
      </c>
      <c r="K28" s="31" t="e">
        <f>VLOOKUP($D28,Résultats!$B$2:$AZ$251,K$2,FALSE)</f>
        <v>#N/A</v>
      </c>
      <c r="L28" s="31" t="e">
        <f>VLOOKUP($D28,Résultats!$B$2:$AZ$251,L$2,FALSE)</f>
        <v>#N/A</v>
      </c>
      <c r="M28" s="31" t="e">
        <f>VLOOKUP($D28,Résultats!$B$2:$AZ$251,M$2,FALSE)</f>
        <v>#N/A</v>
      </c>
      <c r="N28" s="31" t="e">
        <f>VLOOKUP($D28,Résultats!$B$2:$AZ$251,N$2,FALSE)</f>
        <v>#N/A</v>
      </c>
      <c r="O28" s="31" t="e">
        <f>VLOOKUP($D28,Résultats!$B$2:$AZ$251,O$2,FALSE)</f>
        <v>#N/A</v>
      </c>
      <c r="P28" s="31" t="e">
        <f>VLOOKUP($D28,Résultats!$B$2:$AZ$251,P$2,FALSE)</f>
        <v>#N/A</v>
      </c>
      <c r="Q28" s="31" t="e">
        <f>VLOOKUP($D28,Résultats!$B$2:$AZ$251,Q$2,FALSE)</f>
        <v>#N/A</v>
      </c>
      <c r="R28" s="31" t="e">
        <f>VLOOKUP($D28,Résultats!$B$2:$AZ$251,R$2,FALSE)</f>
        <v>#N/A</v>
      </c>
      <c r="S28" s="31" t="e">
        <f>VLOOKUP($D28,Résultats!$B$2:$AZ$251,S$2,FALSE)</f>
        <v>#N/A</v>
      </c>
      <c r="T28" s="31" t="e">
        <f>VLOOKUP($D28,Résultats!$B$2:$AZ$251,T$2,FALSE)</f>
        <v>#N/A</v>
      </c>
      <c r="U28" s="31" t="e">
        <f>VLOOKUP($D28,Résultats!$B$2:$AZ$251,U$2,FALSE)</f>
        <v>#N/A</v>
      </c>
      <c r="V28" s="31" t="e">
        <f>VLOOKUP($D28,Résultats!$B$2:$AZ$251,V$2,FALSE)</f>
        <v>#N/A</v>
      </c>
      <c r="W28" s="31" t="e">
        <f>VLOOKUP($D28,Résultats!$B$2:$AZ$251,W$2,FALSE)</f>
        <v>#N/A</v>
      </c>
      <c r="X28" s="31" t="e">
        <f>VLOOKUP($D28,Résultats!$B$2:$AZ$251,X$2,FALSE)</f>
        <v>#N/A</v>
      </c>
      <c r="Y28" s="31" t="e">
        <f>VLOOKUP($D28,Résultats!$B$2:$AZ$251,Y$2,FALSE)</f>
        <v>#N/A</v>
      </c>
      <c r="Z28" s="31" t="e">
        <f>VLOOKUP($D28,Résultats!$B$2:$AZ$251,Z$2,FALSE)</f>
        <v>#N/A</v>
      </c>
      <c r="AA28" s="31" t="e">
        <f>VLOOKUP($D28,Résultats!$B$2:$AZ$251,AA$2,FALSE)</f>
        <v>#N/A</v>
      </c>
      <c r="AB28" s="31" t="e">
        <f>VLOOKUP($D28,Résultats!$B$2:$AZ$251,AB$2,FALSE)</f>
        <v>#N/A</v>
      </c>
      <c r="AC28" s="31" t="e">
        <f>VLOOKUP($D28,Résultats!$B$2:$AZ$251,AC$2,FALSE)</f>
        <v>#N/A</v>
      </c>
      <c r="AD28" s="31" t="e">
        <f>VLOOKUP($D28,Résultats!$B$2:$AZ$251,AD$2,FALSE)</f>
        <v>#N/A</v>
      </c>
      <c r="AE28" s="31" t="e">
        <f>VLOOKUP($D28,Résultats!$B$2:$AZ$251,AE$2,FALSE)</f>
        <v>#N/A</v>
      </c>
      <c r="AF28" s="31" t="e">
        <f>VLOOKUP($D28,Résultats!$B$2:$AZ$251,AF$2,FALSE)</f>
        <v>#N/A</v>
      </c>
      <c r="AG28" s="31" t="e">
        <f>VLOOKUP($D28,Résultats!$B$2:$AZ$251,AG$2,FALSE)</f>
        <v>#N/A</v>
      </c>
      <c r="AH28" s="31" t="e">
        <f>VLOOKUP($D28,Résultats!$B$2:$AZ$251,AH$2,FALSE)</f>
        <v>#N/A</v>
      </c>
      <c r="AI28" s="31" t="e">
        <f>VLOOKUP($D28,Résultats!$B$2:$AZ$251,AI$2,FALSE)</f>
        <v>#N/A</v>
      </c>
      <c r="AJ28" s="31" t="e">
        <f>VLOOKUP($D28,Résultats!$B$2:$AZ$251,AJ$2,FALSE)</f>
        <v>#N/A</v>
      </c>
      <c r="AK28" s="31" t="e">
        <f>VLOOKUP($D28,Résultats!$B$2:$AZ$251,AK$2,FALSE)</f>
        <v>#N/A</v>
      </c>
      <c r="AL28" s="31" t="e">
        <f>VLOOKUP($D28,Résultats!$B$2:$AZ$251,AL$2,FALSE)</f>
        <v>#N/A</v>
      </c>
      <c r="AM28" s="31" t="e">
        <f>VLOOKUP($D28,Résultats!$B$2:$AZ$251,AM$2,FALSE)</f>
        <v>#N/A</v>
      </c>
    </row>
    <row r="29" spans="1:39" x14ac:dyDescent="0.25">
      <c r="C29" s="56" t="s">
        <v>28</v>
      </c>
      <c r="D29" s="78" t="s">
        <v>75</v>
      </c>
      <c r="E29" s="31" t="e">
        <f>VLOOKUP($D29,Résultats!$B$2:$AZ$251,E$2,FALSE)</f>
        <v>#N/A</v>
      </c>
      <c r="F29" s="31" t="e">
        <f>VLOOKUP($D29,Résultats!$B$2:$AZ$251,F$2,FALSE)</f>
        <v>#N/A</v>
      </c>
      <c r="G29" s="31" t="e">
        <f>VLOOKUP($D29,Résultats!$B$2:$AZ$251,G$2,FALSE)</f>
        <v>#N/A</v>
      </c>
      <c r="H29" s="31" t="e">
        <f>VLOOKUP($D29,Résultats!$B$2:$AZ$251,H$2,FALSE)</f>
        <v>#N/A</v>
      </c>
      <c r="I29" s="31" t="e">
        <f>VLOOKUP($D29,Résultats!$B$2:$AZ$251,I$2,FALSE)</f>
        <v>#N/A</v>
      </c>
      <c r="J29" s="31" t="e">
        <f>VLOOKUP($D29,Résultats!$B$2:$AZ$251,J$2,FALSE)</f>
        <v>#N/A</v>
      </c>
      <c r="K29" s="31" t="e">
        <f>VLOOKUP($D29,Résultats!$B$2:$AZ$251,K$2,FALSE)</f>
        <v>#N/A</v>
      </c>
      <c r="L29" s="31" t="e">
        <f>VLOOKUP($D29,Résultats!$B$2:$AZ$251,L$2,FALSE)</f>
        <v>#N/A</v>
      </c>
      <c r="M29" s="31" t="e">
        <f>VLOOKUP($D29,Résultats!$B$2:$AZ$251,M$2,FALSE)</f>
        <v>#N/A</v>
      </c>
      <c r="N29" s="31" t="e">
        <f>VLOOKUP($D29,Résultats!$B$2:$AZ$251,N$2,FALSE)</f>
        <v>#N/A</v>
      </c>
      <c r="O29" s="31" t="e">
        <f>VLOOKUP($D29,Résultats!$B$2:$AZ$251,O$2,FALSE)</f>
        <v>#N/A</v>
      </c>
      <c r="P29" s="31" t="e">
        <f>VLOOKUP($D29,Résultats!$B$2:$AZ$251,P$2,FALSE)</f>
        <v>#N/A</v>
      </c>
      <c r="Q29" s="31" t="e">
        <f>VLOOKUP($D29,Résultats!$B$2:$AZ$251,Q$2,FALSE)</f>
        <v>#N/A</v>
      </c>
      <c r="R29" s="31" t="e">
        <f>VLOOKUP($D29,Résultats!$B$2:$AZ$251,R$2,FALSE)</f>
        <v>#N/A</v>
      </c>
      <c r="S29" s="31" t="e">
        <f>VLOOKUP($D29,Résultats!$B$2:$AZ$251,S$2,FALSE)</f>
        <v>#N/A</v>
      </c>
      <c r="T29" s="31" t="e">
        <f>VLOOKUP($D29,Résultats!$B$2:$AZ$251,T$2,FALSE)</f>
        <v>#N/A</v>
      </c>
      <c r="U29" s="31" t="e">
        <f>VLOOKUP($D29,Résultats!$B$2:$AZ$251,U$2,FALSE)</f>
        <v>#N/A</v>
      </c>
      <c r="V29" s="31" t="e">
        <f>VLOOKUP($D29,Résultats!$B$2:$AZ$251,V$2,FALSE)</f>
        <v>#N/A</v>
      </c>
      <c r="W29" s="31" t="e">
        <f>VLOOKUP($D29,Résultats!$B$2:$AZ$251,W$2,FALSE)</f>
        <v>#N/A</v>
      </c>
      <c r="X29" s="31" t="e">
        <f>VLOOKUP($D29,Résultats!$B$2:$AZ$251,X$2,FALSE)</f>
        <v>#N/A</v>
      </c>
      <c r="Y29" s="31" t="e">
        <f>VLOOKUP($D29,Résultats!$B$2:$AZ$251,Y$2,FALSE)</f>
        <v>#N/A</v>
      </c>
      <c r="Z29" s="31" t="e">
        <f>VLOOKUP($D29,Résultats!$B$2:$AZ$251,Z$2,FALSE)</f>
        <v>#N/A</v>
      </c>
      <c r="AA29" s="31" t="e">
        <f>VLOOKUP($D29,Résultats!$B$2:$AZ$251,AA$2,FALSE)</f>
        <v>#N/A</v>
      </c>
      <c r="AB29" s="31" t="e">
        <f>VLOOKUP($D29,Résultats!$B$2:$AZ$251,AB$2,FALSE)</f>
        <v>#N/A</v>
      </c>
      <c r="AC29" s="31" t="e">
        <f>VLOOKUP($D29,Résultats!$B$2:$AZ$251,AC$2,FALSE)</f>
        <v>#N/A</v>
      </c>
      <c r="AD29" s="31" t="e">
        <f>VLOOKUP($D29,Résultats!$B$2:$AZ$251,AD$2,FALSE)</f>
        <v>#N/A</v>
      </c>
      <c r="AE29" s="31" t="e">
        <f>VLOOKUP($D29,Résultats!$B$2:$AZ$251,AE$2,FALSE)</f>
        <v>#N/A</v>
      </c>
      <c r="AF29" s="31" t="e">
        <f>VLOOKUP($D29,Résultats!$B$2:$AZ$251,AF$2,FALSE)</f>
        <v>#N/A</v>
      </c>
      <c r="AG29" s="31" t="e">
        <f>VLOOKUP($D29,Résultats!$B$2:$AZ$251,AG$2,FALSE)</f>
        <v>#N/A</v>
      </c>
      <c r="AH29" s="31" t="e">
        <f>VLOOKUP($D29,Résultats!$B$2:$AZ$251,AH$2,FALSE)</f>
        <v>#N/A</v>
      </c>
      <c r="AI29" s="31" t="e">
        <f>VLOOKUP($D29,Résultats!$B$2:$AZ$251,AI$2,FALSE)</f>
        <v>#N/A</v>
      </c>
      <c r="AJ29" s="31" t="e">
        <f>VLOOKUP($D29,Résultats!$B$2:$AZ$251,AJ$2,FALSE)</f>
        <v>#N/A</v>
      </c>
      <c r="AK29" s="31" t="e">
        <f>VLOOKUP($D29,Résultats!$B$2:$AZ$251,AK$2,FALSE)</f>
        <v>#N/A</v>
      </c>
      <c r="AL29" s="31" t="e">
        <f>VLOOKUP($D29,Résultats!$B$2:$AZ$251,AL$2,FALSE)</f>
        <v>#N/A</v>
      </c>
      <c r="AM29" s="31" t="e">
        <f>VLOOKUP($D29,Résultats!$B$2:$AZ$251,AM$2,FALSE)</f>
        <v>#N/A</v>
      </c>
    </row>
    <row r="30" spans="1:39" x14ac:dyDescent="0.25">
      <c r="C30" s="56" t="s">
        <v>29</v>
      </c>
      <c r="D30" s="78" t="s">
        <v>76</v>
      </c>
      <c r="E30" s="31" t="e">
        <f>VLOOKUP($D30,Résultats!$B$2:$AZ$251,E$2,FALSE)</f>
        <v>#N/A</v>
      </c>
      <c r="F30" s="31" t="e">
        <f>VLOOKUP($D30,Résultats!$B$2:$AZ$251,F$2,FALSE)</f>
        <v>#N/A</v>
      </c>
      <c r="G30" s="31" t="e">
        <f>VLOOKUP($D30,Résultats!$B$2:$AZ$251,G$2,FALSE)</f>
        <v>#N/A</v>
      </c>
      <c r="H30" s="31" t="e">
        <f>VLOOKUP($D30,Résultats!$B$2:$AZ$251,H$2,FALSE)</f>
        <v>#N/A</v>
      </c>
      <c r="I30" s="31" t="e">
        <f>VLOOKUP($D30,Résultats!$B$2:$AZ$251,I$2,FALSE)</f>
        <v>#N/A</v>
      </c>
      <c r="J30" s="31" t="e">
        <f>VLOOKUP($D30,Résultats!$B$2:$AZ$251,J$2,FALSE)</f>
        <v>#N/A</v>
      </c>
      <c r="K30" s="31" t="e">
        <f>VLOOKUP($D30,Résultats!$B$2:$AZ$251,K$2,FALSE)</f>
        <v>#N/A</v>
      </c>
      <c r="L30" s="31" t="e">
        <f>VLOOKUP($D30,Résultats!$B$2:$AZ$251,L$2,FALSE)</f>
        <v>#N/A</v>
      </c>
      <c r="M30" s="31" t="e">
        <f>VLOOKUP($D30,Résultats!$B$2:$AZ$251,M$2,FALSE)</f>
        <v>#N/A</v>
      </c>
      <c r="N30" s="31" t="e">
        <f>VLOOKUP($D30,Résultats!$B$2:$AZ$251,N$2,FALSE)</f>
        <v>#N/A</v>
      </c>
      <c r="O30" s="31" t="e">
        <f>VLOOKUP($D30,Résultats!$B$2:$AZ$251,O$2,FALSE)</f>
        <v>#N/A</v>
      </c>
      <c r="P30" s="31" t="e">
        <f>VLOOKUP($D30,Résultats!$B$2:$AZ$251,P$2,FALSE)</f>
        <v>#N/A</v>
      </c>
      <c r="Q30" s="31" t="e">
        <f>VLOOKUP($D30,Résultats!$B$2:$AZ$251,Q$2,FALSE)</f>
        <v>#N/A</v>
      </c>
      <c r="R30" s="31" t="e">
        <f>VLOOKUP($D30,Résultats!$B$2:$AZ$251,R$2,FALSE)</f>
        <v>#N/A</v>
      </c>
      <c r="S30" s="31" t="e">
        <f>VLOOKUP($D30,Résultats!$B$2:$AZ$251,S$2,FALSE)</f>
        <v>#N/A</v>
      </c>
      <c r="T30" s="31" t="e">
        <f>VLOOKUP($D30,Résultats!$B$2:$AZ$251,T$2,FALSE)</f>
        <v>#N/A</v>
      </c>
      <c r="U30" s="31" t="e">
        <f>VLOOKUP($D30,Résultats!$B$2:$AZ$251,U$2,FALSE)</f>
        <v>#N/A</v>
      </c>
      <c r="V30" s="31" t="e">
        <f>VLOOKUP($D30,Résultats!$B$2:$AZ$251,V$2,FALSE)</f>
        <v>#N/A</v>
      </c>
      <c r="W30" s="31" t="e">
        <f>VLOOKUP($D30,Résultats!$B$2:$AZ$251,W$2,FALSE)</f>
        <v>#N/A</v>
      </c>
      <c r="X30" s="31" t="e">
        <f>VLOOKUP($D30,Résultats!$B$2:$AZ$251,X$2,FALSE)</f>
        <v>#N/A</v>
      </c>
      <c r="Y30" s="31" t="e">
        <f>VLOOKUP($D30,Résultats!$B$2:$AZ$251,Y$2,FALSE)</f>
        <v>#N/A</v>
      </c>
      <c r="Z30" s="31" t="e">
        <f>VLOOKUP($D30,Résultats!$B$2:$AZ$251,Z$2,FALSE)</f>
        <v>#N/A</v>
      </c>
      <c r="AA30" s="31" t="e">
        <f>VLOOKUP($D30,Résultats!$B$2:$AZ$251,AA$2,FALSE)</f>
        <v>#N/A</v>
      </c>
      <c r="AB30" s="31" t="e">
        <f>VLOOKUP($D30,Résultats!$B$2:$AZ$251,AB$2,FALSE)</f>
        <v>#N/A</v>
      </c>
      <c r="AC30" s="31" t="e">
        <f>VLOOKUP($D30,Résultats!$B$2:$AZ$251,AC$2,FALSE)</f>
        <v>#N/A</v>
      </c>
      <c r="AD30" s="31" t="e">
        <f>VLOOKUP($D30,Résultats!$B$2:$AZ$251,AD$2,FALSE)</f>
        <v>#N/A</v>
      </c>
      <c r="AE30" s="31" t="e">
        <f>VLOOKUP($D30,Résultats!$B$2:$AZ$251,AE$2,FALSE)</f>
        <v>#N/A</v>
      </c>
      <c r="AF30" s="31" t="e">
        <f>VLOOKUP($D30,Résultats!$B$2:$AZ$251,AF$2,FALSE)</f>
        <v>#N/A</v>
      </c>
      <c r="AG30" s="31" t="e">
        <f>VLOOKUP($D30,Résultats!$B$2:$AZ$251,AG$2,FALSE)</f>
        <v>#N/A</v>
      </c>
      <c r="AH30" s="31" t="e">
        <f>VLOOKUP($D30,Résultats!$B$2:$AZ$251,AH$2,FALSE)</f>
        <v>#N/A</v>
      </c>
      <c r="AI30" s="31" t="e">
        <f>VLOOKUP($D30,Résultats!$B$2:$AZ$251,AI$2,FALSE)</f>
        <v>#N/A</v>
      </c>
      <c r="AJ30" s="31" t="e">
        <f>VLOOKUP($D30,Résultats!$B$2:$AZ$251,AJ$2,FALSE)</f>
        <v>#N/A</v>
      </c>
      <c r="AK30" s="31" t="e">
        <f>VLOOKUP($D30,Résultats!$B$2:$AZ$251,AK$2,FALSE)</f>
        <v>#N/A</v>
      </c>
      <c r="AL30" s="31" t="e">
        <f>VLOOKUP($D30,Résultats!$B$2:$AZ$251,AL$2,FALSE)</f>
        <v>#N/A</v>
      </c>
      <c r="AM30" s="31" t="e">
        <f>VLOOKUP($D30,Résultats!$B$2:$AZ$251,AM$2,FALSE)</f>
        <v>#N/A</v>
      </c>
    </row>
    <row r="31" spans="1:39" x14ac:dyDescent="0.25">
      <c r="C31" s="56" t="s">
        <v>30</v>
      </c>
      <c r="D31" s="78" t="s">
        <v>77</v>
      </c>
      <c r="E31" s="31" t="e">
        <f>VLOOKUP($D31,Résultats!$B$2:$AZ$251,E$2,FALSE)</f>
        <v>#N/A</v>
      </c>
      <c r="F31" s="31" t="e">
        <f>VLOOKUP($D31,Résultats!$B$2:$AZ$251,F$2,FALSE)</f>
        <v>#N/A</v>
      </c>
      <c r="G31" s="31" t="e">
        <f>VLOOKUP($D31,Résultats!$B$2:$AZ$251,G$2,FALSE)</f>
        <v>#N/A</v>
      </c>
      <c r="H31" s="31" t="e">
        <f>VLOOKUP($D31,Résultats!$B$2:$AZ$251,H$2,FALSE)</f>
        <v>#N/A</v>
      </c>
      <c r="I31" s="31" t="e">
        <f>VLOOKUP($D31,Résultats!$B$2:$AZ$251,I$2,FALSE)</f>
        <v>#N/A</v>
      </c>
      <c r="J31" s="31" t="e">
        <f>VLOOKUP($D31,Résultats!$B$2:$AZ$251,J$2,FALSE)</f>
        <v>#N/A</v>
      </c>
      <c r="K31" s="31" t="e">
        <f>VLOOKUP($D31,Résultats!$B$2:$AZ$251,K$2,FALSE)</f>
        <v>#N/A</v>
      </c>
      <c r="L31" s="31" t="e">
        <f>VLOOKUP($D31,Résultats!$B$2:$AZ$251,L$2,FALSE)</f>
        <v>#N/A</v>
      </c>
      <c r="M31" s="31" t="e">
        <f>VLOOKUP($D31,Résultats!$B$2:$AZ$251,M$2,FALSE)</f>
        <v>#N/A</v>
      </c>
      <c r="N31" s="31" t="e">
        <f>VLOOKUP($D31,Résultats!$B$2:$AZ$251,N$2,FALSE)</f>
        <v>#N/A</v>
      </c>
      <c r="O31" s="31" t="e">
        <f>VLOOKUP($D31,Résultats!$B$2:$AZ$251,O$2,FALSE)</f>
        <v>#N/A</v>
      </c>
      <c r="P31" s="31" t="e">
        <f>VLOOKUP($D31,Résultats!$B$2:$AZ$251,P$2,FALSE)</f>
        <v>#N/A</v>
      </c>
      <c r="Q31" s="31" t="e">
        <f>VLOOKUP($D31,Résultats!$B$2:$AZ$251,Q$2,FALSE)</f>
        <v>#N/A</v>
      </c>
      <c r="R31" s="31" t="e">
        <f>VLOOKUP($D31,Résultats!$B$2:$AZ$251,R$2,FALSE)</f>
        <v>#N/A</v>
      </c>
      <c r="S31" s="31" t="e">
        <f>VLOOKUP($D31,Résultats!$B$2:$AZ$251,S$2,FALSE)</f>
        <v>#N/A</v>
      </c>
      <c r="T31" s="31" t="e">
        <f>VLOOKUP($D31,Résultats!$B$2:$AZ$251,T$2,FALSE)</f>
        <v>#N/A</v>
      </c>
      <c r="U31" s="31" t="e">
        <f>VLOOKUP($D31,Résultats!$B$2:$AZ$251,U$2,FALSE)</f>
        <v>#N/A</v>
      </c>
      <c r="V31" s="31" t="e">
        <f>VLOOKUP($D31,Résultats!$B$2:$AZ$251,V$2,FALSE)</f>
        <v>#N/A</v>
      </c>
      <c r="W31" s="31" t="e">
        <f>VLOOKUP($D31,Résultats!$B$2:$AZ$251,W$2,FALSE)</f>
        <v>#N/A</v>
      </c>
      <c r="X31" s="31" t="e">
        <f>VLOOKUP($D31,Résultats!$B$2:$AZ$251,X$2,FALSE)</f>
        <v>#N/A</v>
      </c>
      <c r="Y31" s="31" t="e">
        <f>VLOOKUP($D31,Résultats!$B$2:$AZ$251,Y$2,FALSE)</f>
        <v>#N/A</v>
      </c>
      <c r="Z31" s="31" t="e">
        <f>VLOOKUP($D31,Résultats!$B$2:$AZ$251,Z$2,FALSE)</f>
        <v>#N/A</v>
      </c>
      <c r="AA31" s="31" t="e">
        <f>VLOOKUP($D31,Résultats!$B$2:$AZ$251,AA$2,FALSE)</f>
        <v>#N/A</v>
      </c>
      <c r="AB31" s="31" t="e">
        <f>VLOOKUP($D31,Résultats!$B$2:$AZ$251,AB$2,FALSE)</f>
        <v>#N/A</v>
      </c>
      <c r="AC31" s="31" t="e">
        <f>VLOOKUP($D31,Résultats!$B$2:$AZ$251,AC$2,FALSE)</f>
        <v>#N/A</v>
      </c>
      <c r="AD31" s="31" t="e">
        <f>VLOOKUP($D31,Résultats!$B$2:$AZ$251,AD$2,FALSE)</f>
        <v>#N/A</v>
      </c>
      <c r="AE31" s="31" t="e">
        <f>VLOOKUP($D31,Résultats!$B$2:$AZ$251,AE$2,FALSE)</f>
        <v>#N/A</v>
      </c>
      <c r="AF31" s="31" t="e">
        <f>VLOOKUP($D31,Résultats!$B$2:$AZ$251,AF$2,FALSE)</f>
        <v>#N/A</v>
      </c>
      <c r="AG31" s="31" t="e">
        <f>VLOOKUP($D31,Résultats!$B$2:$AZ$251,AG$2,FALSE)</f>
        <v>#N/A</v>
      </c>
      <c r="AH31" s="31" t="e">
        <f>VLOOKUP($D31,Résultats!$B$2:$AZ$251,AH$2,FALSE)</f>
        <v>#N/A</v>
      </c>
      <c r="AI31" s="31" t="e">
        <f>VLOOKUP($D31,Résultats!$B$2:$AZ$251,AI$2,FALSE)</f>
        <v>#N/A</v>
      </c>
      <c r="AJ31" s="31" t="e">
        <f>VLOOKUP($D31,Résultats!$B$2:$AZ$251,AJ$2,FALSE)</f>
        <v>#N/A</v>
      </c>
      <c r="AK31" s="31" t="e">
        <f>VLOOKUP($D31,Résultats!$B$2:$AZ$251,AK$2,FALSE)</f>
        <v>#N/A</v>
      </c>
      <c r="AL31" s="31" t="e">
        <f>VLOOKUP($D31,Résultats!$B$2:$AZ$251,AL$2,FALSE)</f>
        <v>#N/A</v>
      </c>
      <c r="AM31" s="31" t="e">
        <f>VLOOKUP($D31,Résultats!$B$2:$AZ$251,AM$2,FALSE)</f>
        <v>#N/A</v>
      </c>
    </row>
    <row r="32" spans="1:39" x14ac:dyDescent="0.25">
      <c r="C32" s="56" t="s">
        <v>31</v>
      </c>
      <c r="D32" s="78" t="s">
        <v>78</v>
      </c>
      <c r="E32" s="31" t="e">
        <f>VLOOKUP($D32,Résultats!$B$2:$AZ$251,E$2,FALSE)</f>
        <v>#N/A</v>
      </c>
      <c r="F32" s="31" t="e">
        <f>VLOOKUP($D32,Résultats!$B$2:$AZ$251,F$2,FALSE)</f>
        <v>#N/A</v>
      </c>
      <c r="G32" s="31" t="e">
        <f>VLOOKUP($D32,Résultats!$B$2:$AZ$251,G$2,FALSE)</f>
        <v>#N/A</v>
      </c>
      <c r="H32" s="31" t="e">
        <f>VLOOKUP($D32,Résultats!$B$2:$AZ$251,H$2,FALSE)</f>
        <v>#N/A</v>
      </c>
      <c r="I32" s="31" t="e">
        <f>VLOOKUP($D32,Résultats!$B$2:$AZ$251,I$2,FALSE)</f>
        <v>#N/A</v>
      </c>
      <c r="J32" s="31" t="e">
        <f>VLOOKUP($D32,Résultats!$B$2:$AZ$251,J$2,FALSE)</f>
        <v>#N/A</v>
      </c>
      <c r="K32" s="31" t="e">
        <f>VLOOKUP($D32,Résultats!$B$2:$AZ$251,K$2,FALSE)</f>
        <v>#N/A</v>
      </c>
      <c r="L32" s="31" t="e">
        <f>VLOOKUP($D32,Résultats!$B$2:$AZ$251,L$2,FALSE)</f>
        <v>#N/A</v>
      </c>
      <c r="M32" s="31" t="e">
        <f>VLOOKUP($D32,Résultats!$B$2:$AZ$251,M$2,FALSE)</f>
        <v>#N/A</v>
      </c>
      <c r="N32" s="31" t="e">
        <f>VLOOKUP($D32,Résultats!$B$2:$AZ$251,N$2,FALSE)</f>
        <v>#N/A</v>
      </c>
      <c r="O32" s="31" t="e">
        <f>VLOOKUP($D32,Résultats!$B$2:$AZ$251,O$2,FALSE)</f>
        <v>#N/A</v>
      </c>
      <c r="P32" s="31" t="e">
        <f>VLOOKUP($D32,Résultats!$B$2:$AZ$251,P$2,FALSE)</f>
        <v>#N/A</v>
      </c>
      <c r="Q32" s="31" t="e">
        <f>VLOOKUP($D32,Résultats!$B$2:$AZ$251,Q$2,FALSE)</f>
        <v>#N/A</v>
      </c>
      <c r="R32" s="31" t="e">
        <f>VLOOKUP($D32,Résultats!$B$2:$AZ$251,R$2,FALSE)</f>
        <v>#N/A</v>
      </c>
      <c r="S32" s="31" t="e">
        <f>VLOOKUP($D32,Résultats!$B$2:$AZ$251,S$2,FALSE)</f>
        <v>#N/A</v>
      </c>
      <c r="T32" s="31" t="e">
        <f>VLOOKUP($D32,Résultats!$B$2:$AZ$251,T$2,FALSE)</f>
        <v>#N/A</v>
      </c>
      <c r="U32" s="31" t="e">
        <f>VLOOKUP($D32,Résultats!$B$2:$AZ$251,U$2,FALSE)</f>
        <v>#N/A</v>
      </c>
      <c r="V32" s="31" t="e">
        <f>VLOOKUP($D32,Résultats!$B$2:$AZ$251,V$2,FALSE)</f>
        <v>#N/A</v>
      </c>
      <c r="W32" s="31" t="e">
        <f>VLOOKUP($D32,Résultats!$B$2:$AZ$251,W$2,FALSE)</f>
        <v>#N/A</v>
      </c>
      <c r="X32" s="31" t="e">
        <f>VLOOKUP($D32,Résultats!$B$2:$AZ$251,X$2,FALSE)</f>
        <v>#N/A</v>
      </c>
      <c r="Y32" s="31" t="e">
        <f>VLOOKUP($D32,Résultats!$B$2:$AZ$251,Y$2,FALSE)</f>
        <v>#N/A</v>
      </c>
      <c r="Z32" s="31" t="e">
        <f>VLOOKUP($D32,Résultats!$B$2:$AZ$251,Z$2,FALSE)</f>
        <v>#N/A</v>
      </c>
      <c r="AA32" s="31" t="e">
        <f>VLOOKUP($D32,Résultats!$B$2:$AZ$251,AA$2,FALSE)</f>
        <v>#N/A</v>
      </c>
      <c r="AB32" s="31" t="e">
        <f>VLOOKUP($D32,Résultats!$B$2:$AZ$251,AB$2,FALSE)</f>
        <v>#N/A</v>
      </c>
      <c r="AC32" s="31" t="e">
        <f>VLOOKUP($D32,Résultats!$B$2:$AZ$251,AC$2,FALSE)</f>
        <v>#N/A</v>
      </c>
      <c r="AD32" s="31" t="e">
        <f>VLOOKUP($D32,Résultats!$B$2:$AZ$251,AD$2,FALSE)</f>
        <v>#N/A</v>
      </c>
      <c r="AE32" s="31" t="e">
        <f>VLOOKUP($D32,Résultats!$B$2:$AZ$251,AE$2,FALSE)</f>
        <v>#N/A</v>
      </c>
      <c r="AF32" s="31" t="e">
        <f>VLOOKUP($D32,Résultats!$B$2:$AZ$251,AF$2,FALSE)</f>
        <v>#N/A</v>
      </c>
      <c r="AG32" s="31" t="e">
        <f>VLOOKUP($D32,Résultats!$B$2:$AZ$251,AG$2,FALSE)</f>
        <v>#N/A</v>
      </c>
      <c r="AH32" s="31" t="e">
        <f>VLOOKUP($D32,Résultats!$B$2:$AZ$251,AH$2,FALSE)</f>
        <v>#N/A</v>
      </c>
      <c r="AI32" s="31" t="e">
        <f>VLOOKUP($D32,Résultats!$B$2:$AZ$251,AI$2,FALSE)</f>
        <v>#N/A</v>
      </c>
      <c r="AJ32" s="31" t="e">
        <f>VLOOKUP($D32,Résultats!$B$2:$AZ$251,AJ$2,FALSE)</f>
        <v>#N/A</v>
      </c>
      <c r="AK32" s="31" t="e">
        <f>VLOOKUP($D32,Résultats!$B$2:$AZ$251,AK$2,FALSE)</f>
        <v>#N/A</v>
      </c>
      <c r="AL32" s="31" t="e">
        <f>VLOOKUP($D32,Résultats!$B$2:$AZ$251,AL$2,FALSE)</f>
        <v>#N/A</v>
      </c>
      <c r="AM32" s="31" t="e">
        <f>VLOOKUP($D32,Résultats!$B$2:$AZ$251,AM$2,FALSE)</f>
        <v>#N/A</v>
      </c>
    </row>
    <row r="33" spans="2:39" x14ac:dyDescent="0.25">
      <c r="C33" s="56" t="s">
        <v>32</v>
      </c>
      <c r="D33" s="78" t="s">
        <v>79</v>
      </c>
      <c r="E33" s="31" t="e">
        <f>VLOOKUP($D33,Résultats!$B$2:$AZ$251,E$2,FALSE)</f>
        <v>#N/A</v>
      </c>
      <c r="F33" s="31" t="e">
        <f>VLOOKUP($D33,Résultats!$B$2:$AZ$251,F$2,FALSE)</f>
        <v>#N/A</v>
      </c>
      <c r="G33" s="31" t="e">
        <f>VLOOKUP($D33,Résultats!$B$2:$AZ$251,G$2,FALSE)</f>
        <v>#N/A</v>
      </c>
      <c r="H33" s="31" t="e">
        <f>VLOOKUP($D33,Résultats!$B$2:$AZ$251,H$2,FALSE)</f>
        <v>#N/A</v>
      </c>
      <c r="I33" s="31" t="e">
        <f>VLOOKUP($D33,Résultats!$B$2:$AZ$251,I$2,FALSE)</f>
        <v>#N/A</v>
      </c>
      <c r="J33" s="31" t="e">
        <f>VLOOKUP($D33,Résultats!$B$2:$AZ$251,J$2,FALSE)</f>
        <v>#N/A</v>
      </c>
      <c r="K33" s="31" t="e">
        <f>VLOOKUP($D33,Résultats!$B$2:$AZ$251,K$2,FALSE)</f>
        <v>#N/A</v>
      </c>
      <c r="L33" s="31" t="e">
        <f>VLOOKUP($D33,Résultats!$B$2:$AZ$251,L$2,FALSE)</f>
        <v>#N/A</v>
      </c>
      <c r="M33" s="31" t="e">
        <f>VLOOKUP($D33,Résultats!$B$2:$AZ$251,M$2,FALSE)</f>
        <v>#N/A</v>
      </c>
      <c r="N33" s="31" t="e">
        <f>VLOOKUP($D33,Résultats!$B$2:$AZ$251,N$2,FALSE)</f>
        <v>#N/A</v>
      </c>
      <c r="O33" s="31" t="e">
        <f>VLOOKUP($D33,Résultats!$B$2:$AZ$251,O$2,FALSE)</f>
        <v>#N/A</v>
      </c>
      <c r="P33" s="31" t="e">
        <f>VLOOKUP($D33,Résultats!$B$2:$AZ$251,P$2,FALSE)</f>
        <v>#N/A</v>
      </c>
      <c r="Q33" s="31" t="e">
        <f>VLOOKUP($D33,Résultats!$B$2:$AZ$251,Q$2,FALSE)</f>
        <v>#N/A</v>
      </c>
      <c r="R33" s="31" t="e">
        <f>VLOOKUP($D33,Résultats!$B$2:$AZ$251,R$2,FALSE)</f>
        <v>#N/A</v>
      </c>
      <c r="S33" s="31" t="e">
        <f>VLOOKUP($D33,Résultats!$B$2:$AZ$251,S$2,FALSE)</f>
        <v>#N/A</v>
      </c>
      <c r="T33" s="31" t="e">
        <f>VLOOKUP($D33,Résultats!$B$2:$AZ$251,T$2,FALSE)</f>
        <v>#N/A</v>
      </c>
      <c r="U33" s="31" t="e">
        <f>VLOOKUP($D33,Résultats!$B$2:$AZ$251,U$2,FALSE)</f>
        <v>#N/A</v>
      </c>
      <c r="V33" s="31" t="e">
        <f>VLOOKUP($D33,Résultats!$B$2:$AZ$251,V$2,FALSE)</f>
        <v>#N/A</v>
      </c>
      <c r="W33" s="31" t="e">
        <f>VLOOKUP($D33,Résultats!$B$2:$AZ$251,W$2,FALSE)</f>
        <v>#N/A</v>
      </c>
      <c r="X33" s="31" t="e">
        <f>VLOOKUP($D33,Résultats!$B$2:$AZ$251,X$2,FALSE)</f>
        <v>#N/A</v>
      </c>
      <c r="Y33" s="31" t="e">
        <f>VLOOKUP($D33,Résultats!$B$2:$AZ$251,Y$2,FALSE)</f>
        <v>#N/A</v>
      </c>
      <c r="Z33" s="31" t="e">
        <f>VLOOKUP($D33,Résultats!$B$2:$AZ$251,Z$2,FALSE)</f>
        <v>#N/A</v>
      </c>
      <c r="AA33" s="31" t="e">
        <f>VLOOKUP($D33,Résultats!$B$2:$AZ$251,AA$2,FALSE)</f>
        <v>#N/A</v>
      </c>
      <c r="AB33" s="31" t="e">
        <f>VLOOKUP($D33,Résultats!$B$2:$AZ$251,AB$2,FALSE)</f>
        <v>#N/A</v>
      </c>
      <c r="AC33" s="31" t="e">
        <f>VLOOKUP($D33,Résultats!$B$2:$AZ$251,AC$2,FALSE)</f>
        <v>#N/A</v>
      </c>
      <c r="AD33" s="31" t="e">
        <f>VLOOKUP($D33,Résultats!$B$2:$AZ$251,AD$2,FALSE)</f>
        <v>#N/A</v>
      </c>
      <c r="AE33" s="31" t="e">
        <f>VLOOKUP($D33,Résultats!$B$2:$AZ$251,AE$2,FALSE)</f>
        <v>#N/A</v>
      </c>
      <c r="AF33" s="31" t="e">
        <f>VLOOKUP($D33,Résultats!$B$2:$AZ$251,AF$2,FALSE)</f>
        <v>#N/A</v>
      </c>
      <c r="AG33" s="31" t="e">
        <f>VLOOKUP($D33,Résultats!$B$2:$AZ$251,AG$2,FALSE)</f>
        <v>#N/A</v>
      </c>
      <c r="AH33" s="31" t="e">
        <f>VLOOKUP($D33,Résultats!$B$2:$AZ$251,AH$2,FALSE)</f>
        <v>#N/A</v>
      </c>
      <c r="AI33" s="31" t="e">
        <f>VLOOKUP($D33,Résultats!$B$2:$AZ$251,AI$2,FALSE)</f>
        <v>#N/A</v>
      </c>
      <c r="AJ33" s="31" t="e">
        <f>VLOOKUP($D33,Résultats!$B$2:$AZ$251,AJ$2,FALSE)</f>
        <v>#N/A</v>
      </c>
      <c r="AK33" s="31" t="e">
        <f>VLOOKUP($D33,Résultats!$B$2:$AZ$251,AK$2,FALSE)</f>
        <v>#N/A</v>
      </c>
      <c r="AL33" s="31" t="e">
        <f>VLOOKUP($D33,Résultats!$B$2:$AZ$251,AL$2,FALSE)</f>
        <v>#N/A</v>
      </c>
      <c r="AM33" s="31" t="e">
        <f>VLOOKUP($D33,Résultats!$B$2:$AZ$251,AM$2,FALSE)</f>
        <v>#N/A</v>
      </c>
    </row>
    <row r="34" spans="2:39" x14ac:dyDescent="0.25">
      <c r="C34" s="56" t="s">
        <v>33</v>
      </c>
      <c r="D34" s="78" t="s">
        <v>80</v>
      </c>
      <c r="E34" s="79" t="e">
        <f>VLOOKUP($D34,Résultats!$B$2:$AZ$251,E$2,FALSE)</f>
        <v>#N/A</v>
      </c>
      <c r="F34" s="79" t="e">
        <f>VLOOKUP($D34,Résultats!$B$2:$AZ$251,F$2,FALSE)</f>
        <v>#N/A</v>
      </c>
      <c r="G34" s="79" t="e">
        <f>VLOOKUP($D34,Résultats!$B$2:$AZ$251,G$2,FALSE)</f>
        <v>#N/A</v>
      </c>
      <c r="H34" s="79" t="e">
        <f>VLOOKUP($D34,Résultats!$B$2:$AZ$251,H$2,FALSE)</f>
        <v>#N/A</v>
      </c>
      <c r="I34" s="79" t="e">
        <f>VLOOKUP($D34,Résultats!$B$2:$AZ$251,I$2,FALSE)</f>
        <v>#N/A</v>
      </c>
      <c r="J34" s="79" t="e">
        <f>VLOOKUP($D34,Résultats!$B$2:$AZ$251,J$2,FALSE)</f>
        <v>#N/A</v>
      </c>
      <c r="K34" s="79" t="e">
        <f>VLOOKUP($D34,Résultats!$B$2:$AZ$251,K$2,FALSE)</f>
        <v>#N/A</v>
      </c>
      <c r="L34" s="79" t="e">
        <f>VLOOKUP($D34,Résultats!$B$2:$AZ$251,L$2,FALSE)</f>
        <v>#N/A</v>
      </c>
      <c r="M34" s="79" t="e">
        <f>VLOOKUP($D34,Résultats!$B$2:$AZ$251,M$2,FALSE)</f>
        <v>#N/A</v>
      </c>
      <c r="N34" s="79" t="e">
        <f>VLOOKUP($D34,Résultats!$B$2:$AZ$251,N$2,FALSE)</f>
        <v>#N/A</v>
      </c>
      <c r="O34" s="79" t="e">
        <f>VLOOKUP($D34,Résultats!$B$2:$AZ$251,O$2,FALSE)</f>
        <v>#N/A</v>
      </c>
      <c r="P34" s="79" t="e">
        <f>VLOOKUP($D34,Résultats!$B$2:$AZ$251,P$2,FALSE)</f>
        <v>#N/A</v>
      </c>
      <c r="Q34" s="79" t="e">
        <f>VLOOKUP($D34,Résultats!$B$2:$AZ$251,Q$2,FALSE)</f>
        <v>#N/A</v>
      </c>
      <c r="R34" s="79" t="e">
        <f>VLOOKUP($D34,Résultats!$B$2:$AZ$251,R$2,FALSE)</f>
        <v>#N/A</v>
      </c>
      <c r="S34" s="79" t="e">
        <f>VLOOKUP($D34,Résultats!$B$2:$AZ$251,S$2,FALSE)</f>
        <v>#N/A</v>
      </c>
      <c r="T34" s="79" t="e">
        <f>VLOOKUP($D34,Résultats!$B$2:$AZ$251,T$2,FALSE)</f>
        <v>#N/A</v>
      </c>
      <c r="U34" s="79" t="e">
        <f>VLOOKUP($D34,Résultats!$B$2:$AZ$251,U$2,FALSE)</f>
        <v>#N/A</v>
      </c>
      <c r="V34" s="79" t="e">
        <f>VLOOKUP($D34,Résultats!$B$2:$AZ$251,V$2,FALSE)</f>
        <v>#N/A</v>
      </c>
      <c r="W34" s="79" t="e">
        <f>VLOOKUP($D34,Résultats!$B$2:$AZ$251,W$2,FALSE)</f>
        <v>#N/A</v>
      </c>
      <c r="X34" s="79" t="e">
        <f>VLOOKUP($D34,Résultats!$B$2:$AZ$251,X$2,FALSE)</f>
        <v>#N/A</v>
      </c>
      <c r="Y34" s="79" t="e">
        <f>VLOOKUP($D34,Résultats!$B$2:$AZ$251,Y$2,FALSE)</f>
        <v>#N/A</v>
      </c>
      <c r="Z34" s="79" t="e">
        <f>VLOOKUP($D34,Résultats!$B$2:$AZ$251,Z$2,FALSE)</f>
        <v>#N/A</v>
      </c>
      <c r="AA34" s="79" t="e">
        <f>VLOOKUP($D34,Résultats!$B$2:$AZ$251,AA$2,FALSE)</f>
        <v>#N/A</v>
      </c>
      <c r="AB34" s="79" t="e">
        <f>VLOOKUP($D34,Résultats!$B$2:$AZ$251,AB$2,FALSE)</f>
        <v>#N/A</v>
      </c>
      <c r="AC34" s="79" t="e">
        <f>VLOOKUP($D34,Résultats!$B$2:$AZ$251,AC$2,FALSE)</f>
        <v>#N/A</v>
      </c>
      <c r="AD34" s="79" t="e">
        <f>VLOOKUP($D34,Résultats!$B$2:$AZ$251,AD$2,FALSE)</f>
        <v>#N/A</v>
      </c>
      <c r="AE34" s="79" t="e">
        <f>VLOOKUP($D34,Résultats!$B$2:$AZ$251,AE$2,FALSE)</f>
        <v>#N/A</v>
      </c>
      <c r="AF34" s="79" t="e">
        <f>VLOOKUP($D34,Résultats!$B$2:$AZ$251,AF$2,FALSE)</f>
        <v>#N/A</v>
      </c>
      <c r="AG34" s="79" t="e">
        <f>VLOOKUP($D34,Résultats!$B$2:$AZ$251,AG$2,FALSE)</f>
        <v>#N/A</v>
      </c>
      <c r="AH34" s="79" t="e">
        <f>VLOOKUP($D34,Résultats!$B$2:$AZ$251,AH$2,FALSE)</f>
        <v>#N/A</v>
      </c>
      <c r="AI34" s="79" t="e">
        <f>VLOOKUP($D34,Résultats!$B$2:$AZ$251,AI$2,FALSE)</f>
        <v>#N/A</v>
      </c>
      <c r="AJ34" s="79" t="e">
        <f>VLOOKUP($D34,Résultats!$B$2:$AZ$251,AJ$2,FALSE)</f>
        <v>#N/A</v>
      </c>
      <c r="AK34" s="79" t="e">
        <f>VLOOKUP($D34,Résultats!$B$2:$AZ$251,AK$2,FALSE)</f>
        <v>#N/A</v>
      </c>
      <c r="AL34" s="79" t="e">
        <f>VLOOKUP($D34,Résultats!$B$2:$AZ$251,AL$2,FALSE)</f>
        <v>#N/A</v>
      </c>
      <c r="AM34" s="79" t="e">
        <f>VLOOKUP($D34,Résultats!$B$2:$AZ$251,AM$2,FALSE)</f>
        <v>#N/A</v>
      </c>
    </row>
    <row r="35" spans="2:39" x14ac:dyDescent="0.25">
      <c r="C35" s="76" t="s">
        <v>119</v>
      </c>
      <c r="D35" s="76" t="s">
        <v>65</v>
      </c>
      <c r="E35" s="77" t="e">
        <f>VLOOKUP($D35,Résultats!$B$2:$AZ$251,E$2,FALSE)</f>
        <v>#N/A</v>
      </c>
      <c r="F35" s="77" t="e">
        <f>VLOOKUP($D35,Résultats!$B$2:$AZ$251,F$2,FALSE)</f>
        <v>#N/A</v>
      </c>
      <c r="G35" s="77" t="e">
        <f>VLOOKUP($D35,Résultats!$B$2:$AZ$251,G$2,FALSE)</f>
        <v>#N/A</v>
      </c>
      <c r="H35" s="77" t="e">
        <f>VLOOKUP($D35,Résultats!$B$2:$AZ$251,H$2,FALSE)</f>
        <v>#N/A</v>
      </c>
      <c r="I35" s="77" t="e">
        <f>VLOOKUP($D35,Résultats!$B$2:$AZ$251,I$2,FALSE)</f>
        <v>#N/A</v>
      </c>
      <c r="J35" s="77" t="e">
        <f>VLOOKUP($D35,Résultats!$B$2:$AZ$251,J$2,FALSE)</f>
        <v>#N/A</v>
      </c>
      <c r="K35" s="77" t="e">
        <f>VLOOKUP($D35,Résultats!$B$2:$AZ$251,K$2,FALSE)</f>
        <v>#N/A</v>
      </c>
      <c r="L35" s="77" t="e">
        <f>VLOOKUP($D35,Résultats!$B$2:$AZ$251,L$2,FALSE)</f>
        <v>#N/A</v>
      </c>
      <c r="M35" s="77" t="e">
        <f>VLOOKUP($D35,Résultats!$B$2:$AZ$251,M$2,FALSE)</f>
        <v>#N/A</v>
      </c>
      <c r="N35" s="77" t="e">
        <f>VLOOKUP($D35,Résultats!$B$2:$AZ$251,N$2,FALSE)</f>
        <v>#N/A</v>
      </c>
      <c r="O35" s="77" t="e">
        <f>VLOOKUP($D35,Résultats!$B$2:$AZ$251,O$2,FALSE)</f>
        <v>#N/A</v>
      </c>
      <c r="P35" s="77" t="e">
        <f>VLOOKUP($D35,Résultats!$B$2:$AZ$251,P$2,FALSE)</f>
        <v>#N/A</v>
      </c>
      <c r="Q35" s="77" t="e">
        <f>VLOOKUP($D35,Résultats!$B$2:$AZ$251,Q$2,FALSE)</f>
        <v>#N/A</v>
      </c>
      <c r="R35" s="77" t="e">
        <f>VLOOKUP($D35,Résultats!$B$2:$AZ$251,R$2,FALSE)</f>
        <v>#N/A</v>
      </c>
      <c r="S35" s="77" t="e">
        <f>VLOOKUP($D35,Résultats!$B$2:$AZ$251,S$2,FALSE)</f>
        <v>#N/A</v>
      </c>
      <c r="T35" s="77" t="e">
        <f>VLOOKUP($D35,Résultats!$B$2:$AZ$251,T$2,FALSE)</f>
        <v>#N/A</v>
      </c>
      <c r="U35" s="77" t="e">
        <f>VLOOKUP($D35,Résultats!$B$2:$AZ$251,U$2,FALSE)</f>
        <v>#N/A</v>
      </c>
      <c r="V35" s="77" t="e">
        <f>VLOOKUP($D35,Résultats!$B$2:$AZ$251,V$2,FALSE)</f>
        <v>#N/A</v>
      </c>
      <c r="W35" s="77" t="e">
        <f>VLOOKUP($D35,Résultats!$B$2:$AZ$251,W$2,FALSE)</f>
        <v>#N/A</v>
      </c>
      <c r="X35" s="77" t="e">
        <f>VLOOKUP($D35,Résultats!$B$2:$AZ$251,X$2,FALSE)</f>
        <v>#N/A</v>
      </c>
      <c r="Y35" s="77" t="e">
        <f>VLOOKUP($D35,Résultats!$B$2:$AZ$251,Y$2,FALSE)</f>
        <v>#N/A</v>
      </c>
      <c r="Z35" s="77" t="e">
        <f>VLOOKUP($D35,Résultats!$B$2:$AZ$251,Z$2,FALSE)</f>
        <v>#N/A</v>
      </c>
      <c r="AA35" s="77" t="e">
        <f>VLOOKUP($D35,Résultats!$B$2:$AZ$251,AA$2,FALSE)</f>
        <v>#N/A</v>
      </c>
      <c r="AB35" s="77" t="e">
        <f>VLOOKUP($D35,Résultats!$B$2:$AZ$251,AB$2,FALSE)</f>
        <v>#N/A</v>
      </c>
      <c r="AC35" s="77" t="e">
        <f>VLOOKUP($D35,Résultats!$B$2:$AZ$251,AC$2,FALSE)</f>
        <v>#N/A</v>
      </c>
      <c r="AD35" s="77" t="e">
        <f>VLOOKUP($D35,Résultats!$B$2:$AZ$251,AD$2,FALSE)</f>
        <v>#N/A</v>
      </c>
      <c r="AE35" s="77" t="e">
        <f>VLOOKUP($D35,Résultats!$B$2:$AZ$251,AE$2,FALSE)</f>
        <v>#N/A</v>
      </c>
      <c r="AF35" s="77" t="e">
        <f>VLOOKUP($D35,Résultats!$B$2:$AZ$251,AF$2,FALSE)</f>
        <v>#N/A</v>
      </c>
      <c r="AG35" s="77" t="e">
        <f>VLOOKUP($D35,Résultats!$B$2:$AZ$251,AG$2,FALSE)</f>
        <v>#N/A</v>
      </c>
      <c r="AH35" s="77" t="e">
        <f>VLOOKUP($D35,Résultats!$B$2:$AZ$251,AH$2,FALSE)</f>
        <v>#N/A</v>
      </c>
      <c r="AI35" s="77" t="e">
        <f>VLOOKUP($D35,Résultats!$B$2:$AZ$251,AI$2,FALSE)</f>
        <v>#N/A</v>
      </c>
      <c r="AJ35" s="77" t="e">
        <f>VLOOKUP($D35,Résultats!$B$2:$AZ$251,AJ$2,FALSE)</f>
        <v>#N/A</v>
      </c>
      <c r="AK35" s="77" t="e">
        <f>VLOOKUP($D35,Résultats!$B$2:$AZ$251,AK$2,FALSE)</f>
        <v>#N/A</v>
      </c>
      <c r="AL35" s="77" t="e">
        <f>VLOOKUP($D35,Résultats!$B$2:$AZ$251,AL$2,FALSE)</f>
        <v>#N/A</v>
      </c>
      <c r="AM35" s="77" t="e">
        <f>VLOOKUP($D35,Résultats!$B$2:$AZ$251,AM$2,FALSE)</f>
        <v>#N/A</v>
      </c>
    </row>
    <row r="36" spans="2:39" x14ac:dyDescent="0.25">
      <c r="C36" s="56" t="s">
        <v>27</v>
      </c>
      <c r="D36" s="3" t="s">
        <v>66</v>
      </c>
      <c r="E36" s="31" t="e">
        <f>VLOOKUP($D36,Résultats!$B$2:$AZ$251,E$2,FALSE)</f>
        <v>#N/A</v>
      </c>
      <c r="F36" s="31" t="e">
        <f>VLOOKUP($D36,Résultats!$B$2:$AZ$251,F$2,FALSE)</f>
        <v>#N/A</v>
      </c>
      <c r="G36" s="31" t="e">
        <f>VLOOKUP($D36,Résultats!$B$2:$AZ$251,G$2,FALSE)</f>
        <v>#N/A</v>
      </c>
      <c r="H36" s="31" t="e">
        <f>VLOOKUP($D36,Résultats!$B$2:$AZ$251,H$2,FALSE)</f>
        <v>#N/A</v>
      </c>
      <c r="I36" s="31" t="e">
        <f>VLOOKUP($D36,Résultats!$B$2:$AZ$251,I$2,FALSE)</f>
        <v>#N/A</v>
      </c>
      <c r="J36" s="31" t="e">
        <f>VLOOKUP($D36,Résultats!$B$2:$AZ$251,J$2,FALSE)</f>
        <v>#N/A</v>
      </c>
      <c r="K36" s="31" t="e">
        <f>VLOOKUP($D36,Résultats!$B$2:$AZ$251,K$2,FALSE)</f>
        <v>#N/A</v>
      </c>
      <c r="L36" s="31" t="e">
        <f>VLOOKUP($D36,Résultats!$B$2:$AZ$251,L$2,FALSE)</f>
        <v>#N/A</v>
      </c>
      <c r="M36" s="31" t="e">
        <f>VLOOKUP($D36,Résultats!$B$2:$AZ$251,M$2,FALSE)</f>
        <v>#N/A</v>
      </c>
      <c r="N36" s="31" t="e">
        <f>VLOOKUP($D36,Résultats!$B$2:$AZ$251,N$2,FALSE)</f>
        <v>#N/A</v>
      </c>
      <c r="O36" s="31" t="e">
        <f>VLOOKUP($D36,Résultats!$B$2:$AZ$251,O$2,FALSE)</f>
        <v>#N/A</v>
      </c>
      <c r="P36" s="31" t="e">
        <f>VLOOKUP($D36,Résultats!$B$2:$AZ$251,P$2,FALSE)</f>
        <v>#N/A</v>
      </c>
      <c r="Q36" s="31" t="e">
        <f>VLOOKUP($D36,Résultats!$B$2:$AZ$251,Q$2,FALSE)</f>
        <v>#N/A</v>
      </c>
      <c r="R36" s="31" t="e">
        <f>VLOOKUP($D36,Résultats!$B$2:$AZ$251,R$2,FALSE)</f>
        <v>#N/A</v>
      </c>
      <c r="S36" s="31" t="e">
        <f>VLOOKUP($D36,Résultats!$B$2:$AZ$251,S$2,FALSE)</f>
        <v>#N/A</v>
      </c>
      <c r="T36" s="31" t="e">
        <f>VLOOKUP($D36,Résultats!$B$2:$AZ$251,T$2,FALSE)</f>
        <v>#N/A</v>
      </c>
      <c r="U36" s="31" t="e">
        <f>VLOOKUP($D36,Résultats!$B$2:$AZ$251,U$2,FALSE)</f>
        <v>#N/A</v>
      </c>
      <c r="V36" s="31" t="e">
        <f>VLOOKUP($D36,Résultats!$B$2:$AZ$251,V$2,FALSE)</f>
        <v>#N/A</v>
      </c>
      <c r="W36" s="31" t="e">
        <f>VLOOKUP($D36,Résultats!$B$2:$AZ$251,W$2,FALSE)</f>
        <v>#N/A</v>
      </c>
      <c r="X36" s="31" t="e">
        <f>VLOOKUP($D36,Résultats!$B$2:$AZ$251,X$2,FALSE)</f>
        <v>#N/A</v>
      </c>
      <c r="Y36" s="31" t="e">
        <f>VLOOKUP($D36,Résultats!$B$2:$AZ$251,Y$2,FALSE)</f>
        <v>#N/A</v>
      </c>
      <c r="Z36" s="31" t="e">
        <f>VLOOKUP($D36,Résultats!$B$2:$AZ$251,Z$2,FALSE)</f>
        <v>#N/A</v>
      </c>
      <c r="AA36" s="31" t="e">
        <f>VLOOKUP($D36,Résultats!$B$2:$AZ$251,AA$2,FALSE)</f>
        <v>#N/A</v>
      </c>
      <c r="AB36" s="31" t="e">
        <f>VLOOKUP($D36,Résultats!$B$2:$AZ$251,AB$2,FALSE)</f>
        <v>#N/A</v>
      </c>
      <c r="AC36" s="31" t="e">
        <f>VLOOKUP($D36,Résultats!$B$2:$AZ$251,AC$2,FALSE)</f>
        <v>#N/A</v>
      </c>
      <c r="AD36" s="31" t="e">
        <f>VLOOKUP($D36,Résultats!$B$2:$AZ$251,AD$2,FALSE)</f>
        <v>#N/A</v>
      </c>
      <c r="AE36" s="31" t="e">
        <f>VLOOKUP($D36,Résultats!$B$2:$AZ$251,AE$2,FALSE)</f>
        <v>#N/A</v>
      </c>
      <c r="AF36" s="31" t="e">
        <f>VLOOKUP($D36,Résultats!$B$2:$AZ$251,AF$2,FALSE)</f>
        <v>#N/A</v>
      </c>
      <c r="AG36" s="31" t="e">
        <f>VLOOKUP($D36,Résultats!$B$2:$AZ$251,AG$2,FALSE)</f>
        <v>#N/A</v>
      </c>
      <c r="AH36" s="31" t="e">
        <f>VLOOKUP($D36,Résultats!$B$2:$AZ$251,AH$2,FALSE)</f>
        <v>#N/A</v>
      </c>
      <c r="AI36" s="31" t="e">
        <f>VLOOKUP($D36,Résultats!$B$2:$AZ$251,AI$2,FALSE)</f>
        <v>#N/A</v>
      </c>
      <c r="AJ36" s="31" t="e">
        <f>VLOOKUP($D36,Résultats!$B$2:$AZ$251,AJ$2,FALSE)</f>
        <v>#N/A</v>
      </c>
      <c r="AK36" s="31" t="e">
        <f>VLOOKUP($D36,Résultats!$B$2:$AZ$251,AK$2,FALSE)</f>
        <v>#N/A</v>
      </c>
      <c r="AL36" s="31" t="e">
        <f>VLOOKUP($D36,Résultats!$B$2:$AZ$251,AL$2,FALSE)</f>
        <v>#N/A</v>
      </c>
      <c r="AM36" s="31" t="e">
        <f>VLOOKUP($D36,Résultats!$B$2:$AZ$251,AM$2,FALSE)</f>
        <v>#N/A</v>
      </c>
    </row>
    <row r="37" spans="2:39" x14ac:dyDescent="0.25">
      <c r="C37" s="56" t="s">
        <v>28</v>
      </c>
      <c r="D37" s="3" t="s">
        <v>67</v>
      </c>
      <c r="E37" s="31" t="e">
        <f>VLOOKUP($D37,Résultats!$B$2:$AZ$251,E$2,FALSE)</f>
        <v>#N/A</v>
      </c>
      <c r="F37" s="31" t="e">
        <f>VLOOKUP($D37,Résultats!$B$2:$AZ$251,F$2,FALSE)</f>
        <v>#N/A</v>
      </c>
      <c r="G37" s="31" t="e">
        <f>VLOOKUP($D37,Résultats!$B$2:$AZ$251,G$2,FALSE)</f>
        <v>#N/A</v>
      </c>
      <c r="H37" s="31" t="e">
        <f>VLOOKUP($D37,Résultats!$B$2:$AZ$251,H$2,FALSE)</f>
        <v>#N/A</v>
      </c>
      <c r="I37" s="31" t="e">
        <f>VLOOKUP($D37,Résultats!$B$2:$AZ$251,I$2,FALSE)</f>
        <v>#N/A</v>
      </c>
      <c r="J37" s="31" t="e">
        <f>VLOOKUP($D37,Résultats!$B$2:$AZ$251,J$2,FALSE)</f>
        <v>#N/A</v>
      </c>
      <c r="K37" s="31" t="e">
        <f>VLOOKUP($D37,Résultats!$B$2:$AZ$251,K$2,FALSE)</f>
        <v>#N/A</v>
      </c>
      <c r="L37" s="31" t="e">
        <f>VLOOKUP($D37,Résultats!$B$2:$AZ$251,L$2,FALSE)</f>
        <v>#N/A</v>
      </c>
      <c r="M37" s="31" t="e">
        <f>VLOOKUP($D37,Résultats!$B$2:$AZ$251,M$2,FALSE)</f>
        <v>#N/A</v>
      </c>
      <c r="N37" s="31" t="e">
        <f>VLOOKUP($D37,Résultats!$B$2:$AZ$251,N$2,FALSE)</f>
        <v>#N/A</v>
      </c>
      <c r="O37" s="31" t="e">
        <f>VLOOKUP($D37,Résultats!$B$2:$AZ$251,O$2,FALSE)</f>
        <v>#N/A</v>
      </c>
      <c r="P37" s="31" t="e">
        <f>VLOOKUP($D37,Résultats!$B$2:$AZ$251,P$2,FALSE)</f>
        <v>#N/A</v>
      </c>
      <c r="Q37" s="31" t="e">
        <f>VLOOKUP($D37,Résultats!$B$2:$AZ$251,Q$2,FALSE)</f>
        <v>#N/A</v>
      </c>
      <c r="R37" s="31" t="e">
        <f>VLOOKUP($D37,Résultats!$B$2:$AZ$251,R$2,FALSE)</f>
        <v>#N/A</v>
      </c>
      <c r="S37" s="31" t="e">
        <f>VLOOKUP($D37,Résultats!$B$2:$AZ$251,S$2,FALSE)</f>
        <v>#N/A</v>
      </c>
      <c r="T37" s="31" t="e">
        <f>VLOOKUP($D37,Résultats!$B$2:$AZ$251,T$2,FALSE)</f>
        <v>#N/A</v>
      </c>
      <c r="U37" s="31" t="e">
        <f>VLOOKUP($D37,Résultats!$B$2:$AZ$251,U$2,FALSE)</f>
        <v>#N/A</v>
      </c>
      <c r="V37" s="31" t="e">
        <f>VLOOKUP($D37,Résultats!$B$2:$AZ$251,V$2,FALSE)</f>
        <v>#N/A</v>
      </c>
      <c r="W37" s="31" t="e">
        <f>VLOOKUP($D37,Résultats!$B$2:$AZ$251,W$2,FALSE)</f>
        <v>#N/A</v>
      </c>
      <c r="X37" s="31" t="e">
        <f>VLOOKUP($D37,Résultats!$B$2:$AZ$251,X$2,FALSE)</f>
        <v>#N/A</v>
      </c>
      <c r="Y37" s="31" t="e">
        <f>VLOOKUP($D37,Résultats!$B$2:$AZ$251,Y$2,FALSE)</f>
        <v>#N/A</v>
      </c>
      <c r="Z37" s="31" t="e">
        <f>VLOOKUP($D37,Résultats!$B$2:$AZ$251,Z$2,FALSE)</f>
        <v>#N/A</v>
      </c>
      <c r="AA37" s="31" t="e">
        <f>VLOOKUP($D37,Résultats!$B$2:$AZ$251,AA$2,FALSE)</f>
        <v>#N/A</v>
      </c>
      <c r="AB37" s="31" t="e">
        <f>VLOOKUP($D37,Résultats!$B$2:$AZ$251,AB$2,FALSE)</f>
        <v>#N/A</v>
      </c>
      <c r="AC37" s="31" t="e">
        <f>VLOOKUP($D37,Résultats!$B$2:$AZ$251,AC$2,FALSE)</f>
        <v>#N/A</v>
      </c>
      <c r="AD37" s="31" t="e">
        <f>VLOOKUP($D37,Résultats!$B$2:$AZ$251,AD$2,FALSE)</f>
        <v>#N/A</v>
      </c>
      <c r="AE37" s="31" t="e">
        <f>VLOOKUP($D37,Résultats!$B$2:$AZ$251,AE$2,FALSE)</f>
        <v>#N/A</v>
      </c>
      <c r="AF37" s="31" t="e">
        <f>VLOOKUP($D37,Résultats!$B$2:$AZ$251,AF$2,FALSE)</f>
        <v>#N/A</v>
      </c>
      <c r="AG37" s="31" t="e">
        <f>VLOOKUP($D37,Résultats!$B$2:$AZ$251,AG$2,FALSE)</f>
        <v>#N/A</v>
      </c>
      <c r="AH37" s="31" t="e">
        <f>VLOOKUP($D37,Résultats!$B$2:$AZ$251,AH$2,FALSE)</f>
        <v>#N/A</v>
      </c>
      <c r="AI37" s="31" t="e">
        <f>VLOOKUP($D37,Résultats!$B$2:$AZ$251,AI$2,FALSE)</f>
        <v>#N/A</v>
      </c>
      <c r="AJ37" s="31" t="e">
        <f>VLOOKUP($D37,Résultats!$B$2:$AZ$251,AJ$2,FALSE)</f>
        <v>#N/A</v>
      </c>
      <c r="AK37" s="31" t="e">
        <f>VLOOKUP($D37,Résultats!$B$2:$AZ$251,AK$2,FALSE)</f>
        <v>#N/A</v>
      </c>
      <c r="AL37" s="31" t="e">
        <f>VLOOKUP($D37,Résultats!$B$2:$AZ$251,AL$2,FALSE)</f>
        <v>#N/A</v>
      </c>
      <c r="AM37" s="31" t="e">
        <f>VLOOKUP($D37,Résultats!$B$2:$AZ$251,AM$2,FALSE)</f>
        <v>#N/A</v>
      </c>
    </row>
    <row r="38" spans="2:39" x14ac:dyDescent="0.25">
      <c r="C38" s="56" t="s">
        <v>29</v>
      </c>
      <c r="D38" s="3" t="s">
        <v>68</v>
      </c>
      <c r="E38" s="31" t="e">
        <f>VLOOKUP($D38,Résultats!$B$2:$AZ$251,E$2,FALSE)</f>
        <v>#N/A</v>
      </c>
      <c r="F38" s="31" t="e">
        <f>VLOOKUP($D38,Résultats!$B$2:$AZ$251,F$2,FALSE)</f>
        <v>#N/A</v>
      </c>
      <c r="G38" s="31" t="e">
        <f>VLOOKUP($D38,Résultats!$B$2:$AZ$251,G$2,FALSE)</f>
        <v>#N/A</v>
      </c>
      <c r="H38" s="31" t="e">
        <f>VLOOKUP($D38,Résultats!$B$2:$AZ$251,H$2,FALSE)</f>
        <v>#N/A</v>
      </c>
      <c r="I38" s="31" t="e">
        <f>VLOOKUP($D38,Résultats!$B$2:$AZ$251,I$2,FALSE)</f>
        <v>#N/A</v>
      </c>
      <c r="J38" s="31" t="e">
        <f>VLOOKUP($D38,Résultats!$B$2:$AZ$251,J$2,FALSE)</f>
        <v>#N/A</v>
      </c>
      <c r="K38" s="31" t="e">
        <f>VLOOKUP($D38,Résultats!$B$2:$AZ$251,K$2,FALSE)</f>
        <v>#N/A</v>
      </c>
      <c r="L38" s="31" t="e">
        <f>VLOOKUP($D38,Résultats!$B$2:$AZ$251,L$2,FALSE)</f>
        <v>#N/A</v>
      </c>
      <c r="M38" s="31" t="e">
        <f>VLOOKUP($D38,Résultats!$B$2:$AZ$251,M$2,FALSE)</f>
        <v>#N/A</v>
      </c>
      <c r="N38" s="31" t="e">
        <f>VLOOKUP($D38,Résultats!$B$2:$AZ$251,N$2,FALSE)</f>
        <v>#N/A</v>
      </c>
      <c r="O38" s="31" t="e">
        <f>VLOOKUP($D38,Résultats!$B$2:$AZ$251,O$2,FALSE)</f>
        <v>#N/A</v>
      </c>
      <c r="P38" s="31" t="e">
        <f>VLOOKUP($D38,Résultats!$B$2:$AZ$251,P$2,FALSE)</f>
        <v>#N/A</v>
      </c>
      <c r="Q38" s="31" t="e">
        <f>VLOOKUP($D38,Résultats!$B$2:$AZ$251,Q$2,FALSE)</f>
        <v>#N/A</v>
      </c>
      <c r="R38" s="31" t="e">
        <f>VLOOKUP($D38,Résultats!$B$2:$AZ$251,R$2,FALSE)</f>
        <v>#N/A</v>
      </c>
      <c r="S38" s="31" t="e">
        <f>VLOOKUP($D38,Résultats!$B$2:$AZ$251,S$2,FALSE)</f>
        <v>#N/A</v>
      </c>
      <c r="T38" s="31" t="e">
        <f>VLOOKUP($D38,Résultats!$B$2:$AZ$251,T$2,FALSE)</f>
        <v>#N/A</v>
      </c>
      <c r="U38" s="31" t="e">
        <f>VLOOKUP($D38,Résultats!$B$2:$AZ$251,U$2,FALSE)</f>
        <v>#N/A</v>
      </c>
      <c r="V38" s="31" t="e">
        <f>VLOOKUP($D38,Résultats!$B$2:$AZ$251,V$2,FALSE)</f>
        <v>#N/A</v>
      </c>
      <c r="W38" s="31" t="e">
        <f>VLOOKUP($D38,Résultats!$B$2:$AZ$251,W$2,FALSE)</f>
        <v>#N/A</v>
      </c>
      <c r="X38" s="31" t="e">
        <f>VLOOKUP($D38,Résultats!$B$2:$AZ$251,X$2,FALSE)</f>
        <v>#N/A</v>
      </c>
      <c r="Y38" s="31" t="e">
        <f>VLOOKUP($D38,Résultats!$B$2:$AZ$251,Y$2,FALSE)</f>
        <v>#N/A</v>
      </c>
      <c r="Z38" s="31" t="e">
        <f>VLOOKUP($D38,Résultats!$B$2:$AZ$251,Z$2,FALSE)</f>
        <v>#N/A</v>
      </c>
      <c r="AA38" s="31" t="e">
        <f>VLOOKUP($D38,Résultats!$B$2:$AZ$251,AA$2,FALSE)</f>
        <v>#N/A</v>
      </c>
      <c r="AB38" s="31" t="e">
        <f>VLOOKUP($D38,Résultats!$B$2:$AZ$251,AB$2,FALSE)</f>
        <v>#N/A</v>
      </c>
      <c r="AC38" s="31" t="e">
        <f>VLOOKUP($D38,Résultats!$B$2:$AZ$251,AC$2,FALSE)</f>
        <v>#N/A</v>
      </c>
      <c r="AD38" s="31" t="e">
        <f>VLOOKUP($D38,Résultats!$B$2:$AZ$251,AD$2,FALSE)</f>
        <v>#N/A</v>
      </c>
      <c r="AE38" s="31" t="e">
        <f>VLOOKUP($D38,Résultats!$B$2:$AZ$251,AE$2,FALSE)</f>
        <v>#N/A</v>
      </c>
      <c r="AF38" s="31" t="e">
        <f>VLOOKUP($D38,Résultats!$B$2:$AZ$251,AF$2,FALSE)</f>
        <v>#N/A</v>
      </c>
      <c r="AG38" s="31" t="e">
        <f>VLOOKUP($D38,Résultats!$B$2:$AZ$251,AG$2,FALSE)</f>
        <v>#N/A</v>
      </c>
      <c r="AH38" s="31" t="e">
        <f>VLOOKUP($D38,Résultats!$B$2:$AZ$251,AH$2,FALSE)</f>
        <v>#N/A</v>
      </c>
      <c r="AI38" s="31" t="e">
        <f>VLOOKUP($D38,Résultats!$B$2:$AZ$251,AI$2,FALSE)</f>
        <v>#N/A</v>
      </c>
      <c r="AJ38" s="31" t="e">
        <f>VLOOKUP($D38,Résultats!$B$2:$AZ$251,AJ$2,FALSE)</f>
        <v>#N/A</v>
      </c>
      <c r="AK38" s="31" t="e">
        <f>VLOOKUP($D38,Résultats!$B$2:$AZ$251,AK$2,FALSE)</f>
        <v>#N/A</v>
      </c>
      <c r="AL38" s="31" t="e">
        <f>VLOOKUP($D38,Résultats!$B$2:$AZ$251,AL$2,FALSE)</f>
        <v>#N/A</v>
      </c>
      <c r="AM38" s="31" t="e">
        <f>VLOOKUP($D38,Résultats!$B$2:$AZ$251,AM$2,FALSE)</f>
        <v>#N/A</v>
      </c>
    </row>
    <row r="39" spans="2:39" x14ac:dyDescent="0.25">
      <c r="C39" s="56" t="s">
        <v>30</v>
      </c>
      <c r="D39" s="3" t="s">
        <v>69</v>
      </c>
      <c r="E39" s="31" t="e">
        <f>VLOOKUP($D39,Résultats!$B$2:$AZ$251,E$2,FALSE)</f>
        <v>#N/A</v>
      </c>
      <c r="F39" s="31" t="e">
        <f>VLOOKUP($D39,Résultats!$B$2:$AZ$251,F$2,FALSE)</f>
        <v>#N/A</v>
      </c>
      <c r="G39" s="31" t="e">
        <f>VLOOKUP($D39,Résultats!$B$2:$AZ$251,G$2,FALSE)</f>
        <v>#N/A</v>
      </c>
      <c r="H39" s="31" t="e">
        <f>VLOOKUP($D39,Résultats!$B$2:$AZ$251,H$2,FALSE)</f>
        <v>#N/A</v>
      </c>
      <c r="I39" s="31" t="e">
        <f>VLOOKUP($D39,Résultats!$B$2:$AZ$251,I$2,FALSE)</f>
        <v>#N/A</v>
      </c>
      <c r="J39" s="31" t="e">
        <f>VLOOKUP($D39,Résultats!$B$2:$AZ$251,J$2,FALSE)</f>
        <v>#N/A</v>
      </c>
      <c r="K39" s="31" t="e">
        <f>VLOOKUP($D39,Résultats!$B$2:$AZ$251,K$2,FALSE)</f>
        <v>#N/A</v>
      </c>
      <c r="L39" s="31" t="e">
        <f>VLOOKUP($D39,Résultats!$B$2:$AZ$251,L$2,FALSE)</f>
        <v>#N/A</v>
      </c>
      <c r="M39" s="31" t="e">
        <f>VLOOKUP($D39,Résultats!$B$2:$AZ$251,M$2,FALSE)</f>
        <v>#N/A</v>
      </c>
      <c r="N39" s="31" t="e">
        <f>VLOOKUP($D39,Résultats!$B$2:$AZ$251,N$2,FALSE)</f>
        <v>#N/A</v>
      </c>
      <c r="O39" s="31" t="e">
        <f>VLOOKUP($D39,Résultats!$B$2:$AZ$251,O$2,FALSE)</f>
        <v>#N/A</v>
      </c>
      <c r="P39" s="31" t="e">
        <f>VLOOKUP($D39,Résultats!$B$2:$AZ$251,P$2,FALSE)</f>
        <v>#N/A</v>
      </c>
      <c r="Q39" s="31" t="e">
        <f>VLOOKUP($D39,Résultats!$B$2:$AZ$251,Q$2,FALSE)</f>
        <v>#N/A</v>
      </c>
      <c r="R39" s="31" t="e">
        <f>VLOOKUP($D39,Résultats!$B$2:$AZ$251,R$2,FALSE)</f>
        <v>#N/A</v>
      </c>
      <c r="S39" s="31" t="e">
        <f>VLOOKUP($D39,Résultats!$B$2:$AZ$251,S$2,FALSE)</f>
        <v>#N/A</v>
      </c>
      <c r="T39" s="31" t="e">
        <f>VLOOKUP($D39,Résultats!$B$2:$AZ$251,T$2,FALSE)</f>
        <v>#N/A</v>
      </c>
      <c r="U39" s="31" t="e">
        <f>VLOOKUP($D39,Résultats!$B$2:$AZ$251,U$2,FALSE)</f>
        <v>#N/A</v>
      </c>
      <c r="V39" s="31" t="e">
        <f>VLOOKUP($D39,Résultats!$B$2:$AZ$251,V$2,FALSE)</f>
        <v>#N/A</v>
      </c>
      <c r="W39" s="31" t="e">
        <f>VLOOKUP($D39,Résultats!$B$2:$AZ$251,W$2,FALSE)</f>
        <v>#N/A</v>
      </c>
      <c r="X39" s="31" t="e">
        <f>VLOOKUP($D39,Résultats!$B$2:$AZ$251,X$2,FALSE)</f>
        <v>#N/A</v>
      </c>
      <c r="Y39" s="31" t="e">
        <f>VLOOKUP($D39,Résultats!$B$2:$AZ$251,Y$2,FALSE)</f>
        <v>#N/A</v>
      </c>
      <c r="Z39" s="31" t="e">
        <f>VLOOKUP($D39,Résultats!$B$2:$AZ$251,Z$2,FALSE)</f>
        <v>#N/A</v>
      </c>
      <c r="AA39" s="31" t="e">
        <f>VLOOKUP($D39,Résultats!$B$2:$AZ$251,AA$2,FALSE)</f>
        <v>#N/A</v>
      </c>
      <c r="AB39" s="31" t="e">
        <f>VLOOKUP($D39,Résultats!$B$2:$AZ$251,AB$2,FALSE)</f>
        <v>#N/A</v>
      </c>
      <c r="AC39" s="31" t="e">
        <f>VLOOKUP($D39,Résultats!$B$2:$AZ$251,AC$2,FALSE)</f>
        <v>#N/A</v>
      </c>
      <c r="AD39" s="31" t="e">
        <f>VLOOKUP($D39,Résultats!$B$2:$AZ$251,AD$2,FALSE)</f>
        <v>#N/A</v>
      </c>
      <c r="AE39" s="31" t="e">
        <f>VLOOKUP($D39,Résultats!$B$2:$AZ$251,AE$2,FALSE)</f>
        <v>#N/A</v>
      </c>
      <c r="AF39" s="31" t="e">
        <f>VLOOKUP($D39,Résultats!$B$2:$AZ$251,AF$2,FALSE)</f>
        <v>#N/A</v>
      </c>
      <c r="AG39" s="31" t="e">
        <f>VLOOKUP($D39,Résultats!$B$2:$AZ$251,AG$2,FALSE)</f>
        <v>#N/A</v>
      </c>
      <c r="AH39" s="31" t="e">
        <f>VLOOKUP($D39,Résultats!$B$2:$AZ$251,AH$2,FALSE)</f>
        <v>#N/A</v>
      </c>
      <c r="AI39" s="31" t="e">
        <f>VLOOKUP($D39,Résultats!$B$2:$AZ$251,AI$2,FALSE)</f>
        <v>#N/A</v>
      </c>
      <c r="AJ39" s="31" t="e">
        <f>VLOOKUP($D39,Résultats!$B$2:$AZ$251,AJ$2,FALSE)</f>
        <v>#N/A</v>
      </c>
      <c r="AK39" s="31" t="e">
        <f>VLOOKUP($D39,Résultats!$B$2:$AZ$251,AK$2,FALSE)</f>
        <v>#N/A</v>
      </c>
      <c r="AL39" s="31" t="e">
        <f>VLOOKUP($D39,Résultats!$B$2:$AZ$251,AL$2,FALSE)</f>
        <v>#N/A</v>
      </c>
      <c r="AM39" s="31" t="e">
        <f>VLOOKUP($D39,Résultats!$B$2:$AZ$251,AM$2,FALSE)</f>
        <v>#N/A</v>
      </c>
    </row>
    <row r="40" spans="2:39" x14ac:dyDescent="0.25">
      <c r="C40" s="56" t="s">
        <v>31</v>
      </c>
      <c r="D40" s="3" t="s">
        <v>70</v>
      </c>
      <c r="E40" s="31" t="e">
        <f>VLOOKUP($D40,Résultats!$B$2:$AZ$251,E$2,FALSE)</f>
        <v>#N/A</v>
      </c>
      <c r="F40" s="31" t="e">
        <f>VLOOKUP($D40,Résultats!$B$2:$AZ$251,F$2,FALSE)</f>
        <v>#N/A</v>
      </c>
      <c r="G40" s="31" t="e">
        <f>VLOOKUP($D40,Résultats!$B$2:$AZ$251,G$2,FALSE)</f>
        <v>#N/A</v>
      </c>
      <c r="H40" s="31" t="e">
        <f>VLOOKUP($D40,Résultats!$B$2:$AZ$251,H$2,FALSE)</f>
        <v>#N/A</v>
      </c>
      <c r="I40" s="31" t="e">
        <f>VLOOKUP($D40,Résultats!$B$2:$AZ$251,I$2,FALSE)</f>
        <v>#N/A</v>
      </c>
      <c r="J40" s="31" t="e">
        <f>VLOOKUP($D40,Résultats!$B$2:$AZ$251,J$2,FALSE)</f>
        <v>#N/A</v>
      </c>
      <c r="K40" s="31" t="e">
        <f>VLOOKUP($D40,Résultats!$B$2:$AZ$251,K$2,FALSE)</f>
        <v>#N/A</v>
      </c>
      <c r="L40" s="31" t="e">
        <f>VLOOKUP($D40,Résultats!$B$2:$AZ$251,L$2,FALSE)</f>
        <v>#N/A</v>
      </c>
      <c r="M40" s="31" t="e">
        <f>VLOOKUP($D40,Résultats!$B$2:$AZ$251,M$2,FALSE)</f>
        <v>#N/A</v>
      </c>
      <c r="N40" s="31" t="e">
        <f>VLOOKUP($D40,Résultats!$B$2:$AZ$251,N$2,FALSE)</f>
        <v>#N/A</v>
      </c>
      <c r="O40" s="31" t="e">
        <f>VLOOKUP($D40,Résultats!$B$2:$AZ$251,O$2,FALSE)</f>
        <v>#N/A</v>
      </c>
      <c r="P40" s="31" t="e">
        <f>VLOOKUP($D40,Résultats!$B$2:$AZ$251,P$2,FALSE)</f>
        <v>#N/A</v>
      </c>
      <c r="Q40" s="31" t="e">
        <f>VLOOKUP($D40,Résultats!$B$2:$AZ$251,Q$2,FALSE)</f>
        <v>#N/A</v>
      </c>
      <c r="R40" s="31" t="e">
        <f>VLOOKUP($D40,Résultats!$B$2:$AZ$251,R$2,FALSE)</f>
        <v>#N/A</v>
      </c>
      <c r="S40" s="31" t="e">
        <f>VLOOKUP($D40,Résultats!$B$2:$AZ$251,S$2,FALSE)</f>
        <v>#N/A</v>
      </c>
      <c r="T40" s="31" t="e">
        <f>VLOOKUP($D40,Résultats!$B$2:$AZ$251,T$2,FALSE)</f>
        <v>#N/A</v>
      </c>
      <c r="U40" s="31" t="e">
        <f>VLOOKUP($D40,Résultats!$B$2:$AZ$251,U$2,FALSE)</f>
        <v>#N/A</v>
      </c>
      <c r="V40" s="31" t="e">
        <f>VLOOKUP($D40,Résultats!$B$2:$AZ$251,V$2,FALSE)</f>
        <v>#N/A</v>
      </c>
      <c r="W40" s="31" t="e">
        <f>VLOOKUP($D40,Résultats!$B$2:$AZ$251,W$2,FALSE)</f>
        <v>#N/A</v>
      </c>
      <c r="X40" s="31" t="e">
        <f>VLOOKUP($D40,Résultats!$B$2:$AZ$251,X$2,FALSE)</f>
        <v>#N/A</v>
      </c>
      <c r="Y40" s="31" t="e">
        <f>VLOOKUP($D40,Résultats!$B$2:$AZ$251,Y$2,FALSE)</f>
        <v>#N/A</v>
      </c>
      <c r="Z40" s="31" t="e">
        <f>VLOOKUP($D40,Résultats!$B$2:$AZ$251,Z$2,FALSE)</f>
        <v>#N/A</v>
      </c>
      <c r="AA40" s="31" t="e">
        <f>VLOOKUP($D40,Résultats!$B$2:$AZ$251,AA$2,FALSE)</f>
        <v>#N/A</v>
      </c>
      <c r="AB40" s="31" t="e">
        <f>VLOOKUP($D40,Résultats!$B$2:$AZ$251,AB$2,FALSE)</f>
        <v>#N/A</v>
      </c>
      <c r="AC40" s="31" t="e">
        <f>VLOOKUP($D40,Résultats!$B$2:$AZ$251,AC$2,FALSE)</f>
        <v>#N/A</v>
      </c>
      <c r="AD40" s="31" t="e">
        <f>VLOOKUP($D40,Résultats!$B$2:$AZ$251,AD$2,FALSE)</f>
        <v>#N/A</v>
      </c>
      <c r="AE40" s="31" t="e">
        <f>VLOOKUP($D40,Résultats!$B$2:$AZ$251,AE$2,FALSE)</f>
        <v>#N/A</v>
      </c>
      <c r="AF40" s="31" t="e">
        <f>VLOOKUP($D40,Résultats!$B$2:$AZ$251,AF$2,FALSE)</f>
        <v>#N/A</v>
      </c>
      <c r="AG40" s="31" t="e">
        <f>VLOOKUP($D40,Résultats!$B$2:$AZ$251,AG$2,FALSE)</f>
        <v>#N/A</v>
      </c>
      <c r="AH40" s="31" t="e">
        <f>VLOOKUP($D40,Résultats!$B$2:$AZ$251,AH$2,FALSE)</f>
        <v>#N/A</v>
      </c>
      <c r="AI40" s="31" t="e">
        <f>VLOOKUP($D40,Résultats!$B$2:$AZ$251,AI$2,FALSE)</f>
        <v>#N/A</v>
      </c>
      <c r="AJ40" s="31" t="e">
        <f>VLOOKUP($D40,Résultats!$B$2:$AZ$251,AJ$2,FALSE)</f>
        <v>#N/A</v>
      </c>
      <c r="AK40" s="31" t="e">
        <f>VLOOKUP($D40,Résultats!$B$2:$AZ$251,AK$2,FALSE)</f>
        <v>#N/A</v>
      </c>
      <c r="AL40" s="31" t="e">
        <f>VLOOKUP($D40,Résultats!$B$2:$AZ$251,AL$2,FALSE)</f>
        <v>#N/A</v>
      </c>
      <c r="AM40" s="31" t="e">
        <f>VLOOKUP($D40,Résultats!$B$2:$AZ$251,AM$2,FALSE)</f>
        <v>#N/A</v>
      </c>
    </row>
    <row r="41" spans="2:39" x14ac:dyDescent="0.25">
      <c r="C41" s="56" t="s">
        <v>32</v>
      </c>
      <c r="D41" s="3" t="s">
        <v>71</v>
      </c>
      <c r="E41" s="31" t="e">
        <f>VLOOKUP($D41,Résultats!$B$2:$AZ$251,E$2,FALSE)</f>
        <v>#N/A</v>
      </c>
      <c r="F41" s="31" t="e">
        <f>VLOOKUP($D41,Résultats!$B$2:$AZ$251,F$2,FALSE)</f>
        <v>#N/A</v>
      </c>
      <c r="G41" s="31" t="e">
        <f>VLOOKUP($D41,Résultats!$B$2:$AZ$251,G$2,FALSE)</f>
        <v>#N/A</v>
      </c>
      <c r="H41" s="31" t="e">
        <f>VLOOKUP($D41,Résultats!$B$2:$AZ$251,H$2,FALSE)</f>
        <v>#N/A</v>
      </c>
      <c r="I41" s="31" t="e">
        <f>VLOOKUP($D41,Résultats!$B$2:$AZ$251,I$2,FALSE)</f>
        <v>#N/A</v>
      </c>
      <c r="J41" s="31" t="e">
        <f>VLOOKUP($D41,Résultats!$B$2:$AZ$251,J$2,FALSE)</f>
        <v>#N/A</v>
      </c>
      <c r="K41" s="31" t="e">
        <f>VLOOKUP($D41,Résultats!$B$2:$AZ$251,K$2,FALSE)</f>
        <v>#N/A</v>
      </c>
      <c r="L41" s="31" t="e">
        <f>VLOOKUP($D41,Résultats!$B$2:$AZ$251,L$2,FALSE)</f>
        <v>#N/A</v>
      </c>
      <c r="M41" s="31" t="e">
        <f>VLOOKUP($D41,Résultats!$B$2:$AZ$251,M$2,FALSE)</f>
        <v>#N/A</v>
      </c>
      <c r="N41" s="31" t="e">
        <f>VLOOKUP($D41,Résultats!$B$2:$AZ$251,N$2,FALSE)</f>
        <v>#N/A</v>
      </c>
      <c r="O41" s="31" t="e">
        <f>VLOOKUP($D41,Résultats!$B$2:$AZ$251,O$2,FALSE)</f>
        <v>#N/A</v>
      </c>
      <c r="P41" s="31" t="e">
        <f>VLOOKUP($D41,Résultats!$B$2:$AZ$251,P$2,FALSE)</f>
        <v>#N/A</v>
      </c>
      <c r="Q41" s="31" t="e">
        <f>VLOOKUP($D41,Résultats!$B$2:$AZ$251,Q$2,FALSE)</f>
        <v>#N/A</v>
      </c>
      <c r="R41" s="31" t="e">
        <f>VLOOKUP($D41,Résultats!$B$2:$AZ$251,R$2,FALSE)</f>
        <v>#N/A</v>
      </c>
      <c r="S41" s="31" t="e">
        <f>VLOOKUP($D41,Résultats!$B$2:$AZ$251,S$2,FALSE)</f>
        <v>#N/A</v>
      </c>
      <c r="T41" s="31" t="e">
        <f>VLOOKUP($D41,Résultats!$B$2:$AZ$251,T$2,FALSE)</f>
        <v>#N/A</v>
      </c>
      <c r="U41" s="31" t="e">
        <f>VLOOKUP($D41,Résultats!$B$2:$AZ$251,U$2,FALSE)</f>
        <v>#N/A</v>
      </c>
      <c r="V41" s="31" t="e">
        <f>VLOOKUP($D41,Résultats!$B$2:$AZ$251,V$2,FALSE)</f>
        <v>#N/A</v>
      </c>
      <c r="W41" s="31" t="e">
        <f>VLOOKUP($D41,Résultats!$B$2:$AZ$251,W$2,FALSE)</f>
        <v>#N/A</v>
      </c>
      <c r="X41" s="31" t="e">
        <f>VLOOKUP($D41,Résultats!$B$2:$AZ$251,X$2,FALSE)</f>
        <v>#N/A</v>
      </c>
      <c r="Y41" s="31" t="e">
        <f>VLOOKUP($D41,Résultats!$B$2:$AZ$251,Y$2,FALSE)</f>
        <v>#N/A</v>
      </c>
      <c r="Z41" s="31" t="e">
        <f>VLOOKUP($D41,Résultats!$B$2:$AZ$251,Z$2,FALSE)</f>
        <v>#N/A</v>
      </c>
      <c r="AA41" s="31" t="e">
        <f>VLOOKUP($D41,Résultats!$B$2:$AZ$251,AA$2,FALSE)</f>
        <v>#N/A</v>
      </c>
      <c r="AB41" s="31" t="e">
        <f>VLOOKUP($D41,Résultats!$B$2:$AZ$251,AB$2,FALSE)</f>
        <v>#N/A</v>
      </c>
      <c r="AC41" s="31" t="e">
        <f>VLOOKUP($D41,Résultats!$B$2:$AZ$251,AC$2,FALSE)</f>
        <v>#N/A</v>
      </c>
      <c r="AD41" s="31" t="e">
        <f>VLOOKUP($D41,Résultats!$B$2:$AZ$251,AD$2,FALSE)</f>
        <v>#N/A</v>
      </c>
      <c r="AE41" s="31" t="e">
        <f>VLOOKUP($D41,Résultats!$B$2:$AZ$251,AE$2,FALSE)</f>
        <v>#N/A</v>
      </c>
      <c r="AF41" s="31" t="e">
        <f>VLOOKUP($D41,Résultats!$B$2:$AZ$251,AF$2,FALSE)</f>
        <v>#N/A</v>
      </c>
      <c r="AG41" s="31" t="e">
        <f>VLOOKUP($D41,Résultats!$B$2:$AZ$251,AG$2,FALSE)</f>
        <v>#N/A</v>
      </c>
      <c r="AH41" s="31" t="e">
        <f>VLOOKUP($D41,Résultats!$B$2:$AZ$251,AH$2,FALSE)</f>
        <v>#N/A</v>
      </c>
      <c r="AI41" s="31" t="e">
        <f>VLOOKUP($D41,Résultats!$B$2:$AZ$251,AI$2,FALSE)</f>
        <v>#N/A</v>
      </c>
      <c r="AJ41" s="31" t="e">
        <f>VLOOKUP($D41,Résultats!$B$2:$AZ$251,AJ$2,FALSE)</f>
        <v>#N/A</v>
      </c>
      <c r="AK41" s="31" t="e">
        <f>VLOOKUP($D41,Résultats!$B$2:$AZ$251,AK$2,FALSE)</f>
        <v>#N/A</v>
      </c>
      <c r="AL41" s="31" t="e">
        <f>VLOOKUP($D41,Résultats!$B$2:$AZ$251,AL$2,FALSE)</f>
        <v>#N/A</v>
      </c>
      <c r="AM41" s="31" t="e">
        <f>VLOOKUP($D41,Résultats!$B$2:$AZ$251,AM$2,FALSE)</f>
        <v>#N/A</v>
      </c>
    </row>
    <row r="42" spans="2:39" x14ac:dyDescent="0.25">
      <c r="C42" s="80" t="s">
        <v>33</v>
      </c>
      <c r="D42" s="7" t="s">
        <v>72</v>
      </c>
      <c r="E42" s="81" t="e">
        <f>VLOOKUP($D42,Résultats!$B$2:$AZ$251,E$2,FALSE)</f>
        <v>#N/A</v>
      </c>
      <c r="F42" s="81" t="e">
        <f>VLOOKUP($D42,Résultats!$B$2:$AZ$251,F$2,FALSE)</f>
        <v>#N/A</v>
      </c>
      <c r="G42" s="81" t="e">
        <f>VLOOKUP($D42,Résultats!$B$2:$AZ$251,G$2,FALSE)</f>
        <v>#N/A</v>
      </c>
      <c r="H42" s="81" t="e">
        <f>VLOOKUP($D42,Résultats!$B$2:$AZ$251,H$2,FALSE)</f>
        <v>#N/A</v>
      </c>
      <c r="I42" s="81" t="e">
        <f>VLOOKUP($D42,Résultats!$B$2:$AZ$251,I$2,FALSE)</f>
        <v>#N/A</v>
      </c>
      <c r="J42" s="81" t="e">
        <f>VLOOKUP($D42,Résultats!$B$2:$AZ$251,J$2,FALSE)</f>
        <v>#N/A</v>
      </c>
      <c r="K42" s="81" t="e">
        <f>VLOOKUP($D42,Résultats!$B$2:$AZ$251,K$2,FALSE)</f>
        <v>#N/A</v>
      </c>
      <c r="L42" s="81" t="e">
        <f>VLOOKUP($D42,Résultats!$B$2:$AZ$251,L$2,FALSE)</f>
        <v>#N/A</v>
      </c>
      <c r="M42" s="81" t="e">
        <f>VLOOKUP($D42,Résultats!$B$2:$AZ$251,M$2,FALSE)</f>
        <v>#N/A</v>
      </c>
      <c r="N42" s="81" t="e">
        <f>VLOOKUP($D42,Résultats!$B$2:$AZ$251,N$2,FALSE)</f>
        <v>#N/A</v>
      </c>
      <c r="O42" s="81" t="e">
        <f>VLOOKUP($D42,Résultats!$B$2:$AZ$251,O$2,FALSE)</f>
        <v>#N/A</v>
      </c>
      <c r="P42" s="81" t="e">
        <f>VLOOKUP($D42,Résultats!$B$2:$AZ$251,P$2,FALSE)</f>
        <v>#N/A</v>
      </c>
      <c r="Q42" s="81" t="e">
        <f>VLOOKUP($D42,Résultats!$B$2:$AZ$251,Q$2,FALSE)</f>
        <v>#N/A</v>
      </c>
      <c r="R42" s="81" t="e">
        <f>VLOOKUP($D42,Résultats!$B$2:$AZ$251,R$2,FALSE)</f>
        <v>#N/A</v>
      </c>
      <c r="S42" s="81" t="e">
        <f>VLOOKUP($D42,Résultats!$B$2:$AZ$251,S$2,FALSE)</f>
        <v>#N/A</v>
      </c>
      <c r="T42" s="81" t="e">
        <f>VLOOKUP($D42,Résultats!$B$2:$AZ$251,T$2,FALSE)</f>
        <v>#N/A</v>
      </c>
      <c r="U42" s="81" t="e">
        <f>VLOOKUP($D42,Résultats!$B$2:$AZ$251,U$2,FALSE)</f>
        <v>#N/A</v>
      </c>
      <c r="V42" s="81" t="e">
        <f>VLOOKUP($D42,Résultats!$B$2:$AZ$251,V$2,FALSE)</f>
        <v>#N/A</v>
      </c>
      <c r="W42" s="81" t="e">
        <f>VLOOKUP($D42,Résultats!$B$2:$AZ$251,W$2,FALSE)</f>
        <v>#N/A</v>
      </c>
      <c r="X42" s="81" t="e">
        <f>VLOOKUP($D42,Résultats!$B$2:$AZ$251,X$2,FALSE)</f>
        <v>#N/A</v>
      </c>
      <c r="Y42" s="81" t="e">
        <f>VLOOKUP($D42,Résultats!$B$2:$AZ$251,Y$2,FALSE)</f>
        <v>#N/A</v>
      </c>
      <c r="Z42" s="81" t="e">
        <f>VLOOKUP($D42,Résultats!$B$2:$AZ$251,Z$2,FALSE)</f>
        <v>#N/A</v>
      </c>
      <c r="AA42" s="81" t="e">
        <f>VLOOKUP($D42,Résultats!$B$2:$AZ$251,AA$2,FALSE)</f>
        <v>#N/A</v>
      </c>
      <c r="AB42" s="81" t="e">
        <f>VLOOKUP($D42,Résultats!$B$2:$AZ$251,AB$2,FALSE)</f>
        <v>#N/A</v>
      </c>
      <c r="AC42" s="81" t="e">
        <f>VLOOKUP($D42,Résultats!$B$2:$AZ$251,AC$2,FALSE)</f>
        <v>#N/A</v>
      </c>
      <c r="AD42" s="81" t="e">
        <f>VLOOKUP($D42,Résultats!$B$2:$AZ$251,AD$2,FALSE)</f>
        <v>#N/A</v>
      </c>
      <c r="AE42" s="81" t="e">
        <f>VLOOKUP($D42,Résultats!$B$2:$AZ$251,AE$2,FALSE)</f>
        <v>#N/A</v>
      </c>
      <c r="AF42" s="81" t="e">
        <f>VLOOKUP($D42,Résultats!$B$2:$AZ$251,AF$2,FALSE)</f>
        <v>#N/A</v>
      </c>
      <c r="AG42" s="81" t="e">
        <f>VLOOKUP($D42,Résultats!$B$2:$AZ$251,AG$2,FALSE)</f>
        <v>#N/A</v>
      </c>
      <c r="AH42" s="81" t="e">
        <f>VLOOKUP($D42,Résultats!$B$2:$AZ$251,AH$2,FALSE)</f>
        <v>#N/A</v>
      </c>
      <c r="AI42" s="81" t="e">
        <f>VLOOKUP($D42,Résultats!$B$2:$AZ$251,AI$2,FALSE)</f>
        <v>#N/A</v>
      </c>
      <c r="AJ42" s="81" t="e">
        <f>VLOOKUP($D42,Résultats!$B$2:$AZ$251,AJ$2,FALSE)</f>
        <v>#N/A</v>
      </c>
      <c r="AK42" s="81" t="e">
        <f>VLOOKUP($D42,Résultats!$B$2:$AZ$251,AK$2,FALSE)</f>
        <v>#N/A</v>
      </c>
      <c r="AL42" s="81" t="e">
        <f>VLOOKUP($D42,Résultats!$B$2:$AZ$251,AL$2,FALSE)</f>
        <v>#N/A</v>
      </c>
      <c r="AM42" s="81" t="e">
        <f>VLOOKUP($D42,Résultats!$B$2:$AZ$251,AM$2,FALSE)</f>
        <v>#N/A</v>
      </c>
    </row>
    <row r="43" spans="2:39" x14ac:dyDescent="0.25">
      <c r="C43" s="56"/>
      <c r="D43" s="3"/>
      <c r="E43" s="127"/>
      <c r="F43" s="127"/>
      <c r="G43" s="127"/>
      <c r="H43" s="127"/>
      <c r="I43" s="127"/>
      <c r="J43" s="126"/>
      <c r="K43" s="31"/>
      <c r="L43" s="31"/>
      <c r="M43" s="31"/>
      <c r="N43" s="127"/>
      <c r="O43" s="126"/>
      <c r="P43" s="31"/>
      <c r="Q43" s="31"/>
      <c r="R43" s="31"/>
      <c r="S43" s="127"/>
      <c r="T43" s="127"/>
      <c r="U43" s="127"/>
      <c r="V43" s="127"/>
      <c r="W43" s="127"/>
      <c r="X43" s="31"/>
      <c r="Y43" s="31"/>
      <c r="Z43" s="31"/>
      <c r="AA43" s="31"/>
      <c r="AB43" s="31"/>
      <c r="AC43" s="130"/>
      <c r="AD43" s="130"/>
      <c r="AE43" s="130"/>
      <c r="AF43" s="130"/>
      <c r="AG43" s="130"/>
      <c r="AH43" s="31"/>
      <c r="AI43" s="31"/>
      <c r="AJ43" s="31"/>
      <c r="AK43" s="31"/>
      <c r="AL43" s="31"/>
      <c r="AM43" s="130"/>
    </row>
    <row r="44" spans="2:39" x14ac:dyDescent="0.25">
      <c r="B44" s="23" t="s">
        <v>191</v>
      </c>
      <c r="C44" s="82" t="s">
        <v>162</v>
      </c>
      <c r="D44" s="82" t="s">
        <v>45</v>
      </c>
      <c r="E44" s="124" t="e">
        <f>VLOOKUP($D49,Résultats!$B$2:$AZ$212,E$2,FALSE)</f>
        <v>#N/A</v>
      </c>
      <c r="F44" s="124" t="e">
        <f>VLOOKUP($D49,Résultats!$B$2:$AZ$212,F$2,FALSE)</f>
        <v>#N/A</v>
      </c>
      <c r="G44" s="124" t="e">
        <f>VLOOKUP($D49,Résultats!$B$2:$AZ$212,G$2,FALSE)</f>
        <v>#N/A</v>
      </c>
      <c r="H44" s="124" t="e">
        <f>VLOOKUP($D49,Résultats!$B$2:$AZ$212,H$2,FALSE)</f>
        <v>#N/A</v>
      </c>
      <c r="I44" s="124" t="e">
        <f>VLOOKUP($D49,Résultats!$B$2:$AZ$212,I$2,FALSE)</f>
        <v>#N/A</v>
      </c>
      <c r="J44" s="124" t="e">
        <f>VLOOKUP($D49,Résultats!$B$2:$AZ$212,J$2,FALSE)</f>
        <v>#N/A</v>
      </c>
      <c r="K44" s="124" t="e">
        <f>VLOOKUP($D49,Résultats!$B$2:$AZ$212,K$2,FALSE)</f>
        <v>#N/A</v>
      </c>
      <c r="L44" s="124" t="e">
        <f>VLOOKUP($D49,Résultats!$B$2:$AZ$212,L$2,FALSE)</f>
        <v>#N/A</v>
      </c>
      <c r="M44" s="124" t="e">
        <f>VLOOKUP($D49,Résultats!$B$2:$AZ$212,M$2,FALSE)</f>
        <v>#N/A</v>
      </c>
      <c r="N44" s="124" t="e">
        <f>VLOOKUP($D49,Résultats!$B$2:$AZ$212,N$2,FALSE)</f>
        <v>#N/A</v>
      </c>
      <c r="O44" s="124" t="e">
        <f>VLOOKUP($D49,Résultats!$B$2:$AZ$212,O$2,FALSE)</f>
        <v>#N/A</v>
      </c>
      <c r="P44" s="124" t="e">
        <f>VLOOKUP($D49,Résultats!$B$2:$AZ$212,P$2,FALSE)</f>
        <v>#N/A</v>
      </c>
      <c r="Q44" s="124" t="e">
        <f>VLOOKUP($D49,Résultats!$B$2:$AZ$212,Q$2,FALSE)</f>
        <v>#N/A</v>
      </c>
      <c r="R44" s="124" t="e">
        <f>VLOOKUP($D49,Résultats!$B$2:$AZ$212,R$2,FALSE)</f>
        <v>#N/A</v>
      </c>
      <c r="S44" s="124" t="e">
        <f>VLOOKUP($D49,Résultats!$B$2:$AZ$212,S$2,FALSE)</f>
        <v>#N/A</v>
      </c>
      <c r="T44" s="124" t="e">
        <f>VLOOKUP($D49,Résultats!$B$2:$AZ$212,T$2,FALSE)</f>
        <v>#N/A</v>
      </c>
      <c r="U44" s="124" t="e">
        <f>VLOOKUP($D49,Résultats!$B$2:$AZ$212,U$2,FALSE)</f>
        <v>#N/A</v>
      </c>
      <c r="V44" s="124" t="e">
        <f>VLOOKUP($D49,Résultats!$B$2:$AZ$212,V$2,FALSE)</f>
        <v>#N/A</v>
      </c>
      <c r="W44" s="124" t="e">
        <f>VLOOKUP($D49,Résultats!$B$2:$AZ$212,W$2,FALSE)</f>
        <v>#N/A</v>
      </c>
      <c r="X44" s="124" t="e">
        <f>VLOOKUP($D49,Résultats!$B$2:$AZ$212,X$2,FALSE)</f>
        <v>#N/A</v>
      </c>
      <c r="Y44" s="124" t="e">
        <f>VLOOKUP($D49,Résultats!$B$2:$AZ$212,Y$2,FALSE)</f>
        <v>#N/A</v>
      </c>
      <c r="Z44" s="124" t="e">
        <f>VLOOKUP($D49,Résultats!$B$2:$AZ$212,Z$2,FALSE)</f>
        <v>#N/A</v>
      </c>
      <c r="AA44" s="124" t="e">
        <f>VLOOKUP($D49,Résultats!$B$2:$AZ$212,AA$2,FALSE)</f>
        <v>#N/A</v>
      </c>
      <c r="AB44" s="124" t="e">
        <f>VLOOKUP($D49,Résultats!$B$2:$AZ$212,AB$2,FALSE)</f>
        <v>#N/A</v>
      </c>
      <c r="AC44" s="124" t="e">
        <f>VLOOKUP($D49,Résultats!$B$2:$AZ$212,AC$2,FALSE)</f>
        <v>#N/A</v>
      </c>
      <c r="AD44" s="124" t="e">
        <f>VLOOKUP($D49,Résultats!$B$2:$AZ$212,AD$2,FALSE)</f>
        <v>#N/A</v>
      </c>
      <c r="AE44" s="124" t="e">
        <f>VLOOKUP($D49,Résultats!$B$2:$AZ$212,AE$2,FALSE)</f>
        <v>#N/A</v>
      </c>
      <c r="AF44" s="124" t="e">
        <f>VLOOKUP($D49,Résultats!$B$2:$AZ$212,AF$2,FALSE)</f>
        <v>#N/A</v>
      </c>
      <c r="AG44" s="124" t="e">
        <f>VLOOKUP($D49,Résultats!$B$2:$AZ$212,AG$2,FALSE)</f>
        <v>#N/A</v>
      </c>
      <c r="AH44" s="124" t="e">
        <f>VLOOKUP($D49,Résultats!$B$2:$AZ$212,AH$2,FALSE)</f>
        <v>#N/A</v>
      </c>
      <c r="AI44" s="124" t="e">
        <f>VLOOKUP($D49,Résultats!$B$2:$AZ$212,AI$2,FALSE)</f>
        <v>#N/A</v>
      </c>
      <c r="AJ44" s="124" t="e">
        <f>VLOOKUP($D49,Résultats!$B$2:$AZ$212,AJ$2,FALSE)</f>
        <v>#N/A</v>
      </c>
      <c r="AK44" s="124" t="e">
        <f>VLOOKUP($D49,Résultats!$B$2:$AZ$212,AK$2,FALSE)</f>
        <v>#N/A</v>
      </c>
      <c r="AL44" s="124" t="e">
        <f>VLOOKUP($D49,Résultats!$B$2:$AZ$212,AL$2,FALSE)</f>
        <v>#N/A</v>
      </c>
      <c r="AM44" s="124" t="e">
        <f>VLOOKUP($D49,Résultats!$B$2:$AZ$212,AM$2,FALSE)</f>
        <v>#N/A</v>
      </c>
    </row>
    <row r="45" spans="2:39" x14ac:dyDescent="0.25">
      <c r="C45" s="56" t="s">
        <v>8</v>
      </c>
      <c r="D45" s="78" t="s">
        <v>60</v>
      </c>
      <c r="E45" s="31" t="e">
        <f>VLOOKUP($D45,Résultats!$B$2:$AZ$212,E$2,FALSE)</f>
        <v>#N/A</v>
      </c>
      <c r="F45" s="31" t="e">
        <f>VLOOKUP($D45,Résultats!$B$2:$AZ$212,F$2,FALSE)</f>
        <v>#N/A</v>
      </c>
      <c r="G45" s="31" t="e">
        <f>VLOOKUP($D45,Résultats!$B$2:$AZ$212,G$2,FALSE)</f>
        <v>#N/A</v>
      </c>
      <c r="H45" s="31" t="e">
        <f>VLOOKUP($D45,Résultats!$B$2:$AZ$212,H$2,FALSE)</f>
        <v>#N/A</v>
      </c>
      <c r="I45" s="31" t="e">
        <f>VLOOKUP($D45,Résultats!$B$2:$AZ$212,I$2,FALSE)</f>
        <v>#N/A</v>
      </c>
      <c r="J45" s="31" t="e">
        <f>VLOOKUP($D45,Résultats!$B$2:$AZ$212,J$2,FALSE)</f>
        <v>#N/A</v>
      </c>
      <c r="K45" s="31" t="e">
        <f>VLOOKUP($D45,Résultats!$B$2:$AZ$212,K$2,FALSE)</f>
        <v>#N/A</v>
      </c>
      <c r="L45" s="31" t="e">
        <f>VLOOKUP($D45,Résultats!$B$2:$AZ$212,L$2,FALSE)</f>
        <v>#N/A</v>
      </c>
      <c r="M45" s="31" t="e">
        <f>VLOOKUP($D45,Résultats!$B$2:$AZ$212,M$2,FALSE)</f>
        <v>#N/A</v>
      </c>
      <c r="N45" s="31" t="e">
        <f>VLOOKUP($D45,Résultats!$B$2:$AZ$212,N$2,FALSE)</f>
        <v>#N/A</v>
      </c>
      <c r="O45" s="31" t="e">
        <f>VLOOKUP($D45,Résultats!$B$2:$AZ$212,O$2,FALSE)</f>
        <v>#N/A</v>
      </c>
      <c r="P45" s="31" t="e">
        <f>VLOOKUP($D45,Résultats!$B$2:$AZ$212,P$2,FALSE)</f>
        <v>#N/A</v>
      </c>
      <c r="Q45" s="31" t="e">
        <f>VLOOKUP($D45,Résultats!$B$2:$AZ$212,Q$2,FALSE)</f>
        <v>#N/A</v>
      </c>
      <c r="R45" s="31" t="e">
        <f>VLOOKUP($D45,Résultats!$B$2:$AZ$212,R$2,FALSE)</f>
        <v>#N/A</v>
      </c>
      <c r="S45" s="31" t="e">
        <f>VLOOKUP($D45,Résultats!$B$2:$AZ$212,S$2,FALSE)</f>
        <v>#N/A</v>
      </c>
      <c r="T45" s="31" t="e">
        <f>VLOOKUP($D45,Résultats!$B$2:$AZ$212,T$2,FALSE)</f>
        <v>#N/A</v>
      </c>
      <c r="U45" s="31" t="e">
        <f>VLOOKUP($D45,Résultats!$B$2:$AZ$212,U$2,FALSE)</f>
        <v>#N/A</v>
      </c>
      <c r="V45" s="31" t="e">
        <f>VLOOKUP($D45,Résultats!$B$2:$AZ$212,V$2,FALSE)</f>
        <v>#N/A</v>
      </c>
      <c r="W45" s="31" t="e">
        <f>VLOOKUP($D45,Résultats!$B$2:$AZ$212,W$2,FALSE)</f>
        <v>#N/A</v>
      </c>
      <c r="X45" s="31" t="e">
        <f>VLOOKUP($D45,Résultats!$B$2:$AZ$212,X$2,FALSE)</f>
        <v>#N/A</v>
      </c>
      <c r="Y45" s="31" t="e">
        <f>VLOOKUP($D45,Résultats!$B$2:$AZ$212,Y$2,FALSE)</f>
        <v>#N/A</v>
      </c>
      <c r="Z45" s="31" t="e">
        <f>VLOOKUP($D45,Résultats!$B$2:$AZ$212,Z$2,FALSE)</f>
        <v>#N/A</v>
      </c>
      <c r="AA45" s="31" t="e">
        <f>VLOOKUP($D45,Résultats!$B$2:$AZ$212,AA$2,FALSE)</f>
        <v>#N/A</v>
      </c>
      <c r="AB45" s="31" t="e">
        <f>VLOOKUP($D45,Résultats!$B$2:$AZ$212,AB$2,FALSE)</f>
        <v>#N/A</v>
      </c>
      <c r="AC45" s="31" t="e">
        <f>VLOOKUP($D45,Résultats!$B$2:$AZ$212,AC$2,FALSE)</f>
        <v>#N/A</v>
      </c>
      <c r="AD45" s="31" t="e">
        <f>VLOOKUP($D45,Résultats!$B$2:$AZ$212,AD$2,FALSE)</f>
        <v>#N/A</v>
      </c>
      <c r="AE45" s="31" t="e">
        <f>VLOOKUP($D45,Résultats!$B$2:$AZ$212,AE$2,FALSE)</f>
        <v>#N/A</v>
      </c>
      <c r="AF45" s="31" t="e">
        <f>VLOOKUP($D45,Résultats!$B$2:$AZ$212,AF$2,FALSE)</f>
        <v>#N/A</v>
      </c>
      <c r="AG45" s="31" t="e">
        <f>VLOOKUP($D45,Résultats!$B$2:$AZ$212,AG$2,FALSE)</f>
        <v>#N/A</v>
      </c>
      <c r="AH45" s="31" t="e">
        <f>VLOOKUP($D45,Résultats!$B$2:$AZ$212,AH$2,FALSE)</f>
        <v>#N/A</v>
      </c>
      <c r="AI45" s="31" t="e">
        <f>VLOOKUP($D45,Résultats!$B$2:$AZ$212,AI$2,FALSE)</f>
        <v>#N/A</v>
      </c>
      <c r="AJ45" s="31" t="e">
        <f>VLOOKUP($D45,Résultats!$B$2:$AZ$212,AJ$2,FALSE)</f>
        <v>#N/A</v>
      </c>
      <c r="AK45" s="31" t="e">
        <f>VLOOKUP($D45,Résultats!$B$2:$AZ$212,AK$2,FALSE)</f>
        <v>#N/A</v>
      </c>
      <c r="AL45" s="31" t="e">
        <f>VLOOKUP($D45,Résultats!$B$2:$AZ$212,AL$2,FALSE)</f>
        <v>#N/A</v>
      </c>
      <c r="AM45" s="31" t="e">
        <f>VLOOKUP($D45,Résultats!$B$2:$AZ$212,AM$2,FALSE)</f>
        <v>#N/A</v>
      </c>
    </row>
    <row r="46" spans="2:39" x14ac:dyDescent="0.25">
      <c r="C46" s="56" t="s">
        <v>6</v>
      </c>
      <c r="D46" s="3" t="s">
        <v>61</v>
      </c>
      <c r="E46" s="31" t="e">
        <f>VLOOKUP($D46,Résultats!$B$2:$AZ$212,E$2,FALSE)</f>
        <v>#N/A</v>
      </c>
      <c r="F46" s="31" t="e">
        <f>VLOOKUP($D46,Résultats!$B$2:$AZ$212,F$2,FALSE)</f>
        <v>#N/A</v>
      </c>
      <c r="G46" s="31" t="e">
        <f>VLOOKUP($D46,Résultats!$B$2:$AZ$212,G$2,FALSE)</f>
        <v>#N/A</v>
      </c>
      <c r="H46" s="31" t="e">
        <f>VLOOKUP($D46,Résultats!$B$2:$AZ$212,H$2,FALSE)</f>
        <v>#N/A</v>
      </c>
      <c r="I46" s="31" t="e">
        <f>VLOOKUP($D46,Résultats!$B$2:$AZ$212,I$2,FALSE)</f>
        <v>#N/A</v>
      </c>
      <c r="J46" s="31" t="e">
        <f>VLOOKUP($D46,Résultats!$B$2:$AZ$212,J$2,FALSE)</f>
        <v>#N/A</v>
      </c>
      <c r="K46" s="31" t="e">
        <f>VLOOKUP($D46,Résultats!$B$2:$AZ$212,K$2,FALSE)</f>
        <v>#N/A</v>
      </c>
      <c r="L46" s="31" t="e">
        <f>VLOOKUP($D46,Résultats!$B$2:$AZ$212,L$2,FALSE)</f>
        <v>#N/A</v>
      </c>
      <c r="M46" s="31" t="e">
        <f>VLOOKUP($D46,Résultats!$B$2:$AZ$212,M$2,FALSE)</f>
        <v>#N/A</v>
      </c>
      <c r="N46" s="31" t="e">
        <f>VLOOKUP($D46,Résultats!$B$2:$AZ$212,N$2,FALSE)</f>
        <v>#N/A</v>
      </c>
      <c r="O46" s="31" t="e">
        <f>VLOOKUP($D46,Résultats!$B$2:$AZ$212,O$2,FALSE)</f>
        <v>#N/A</v>
      </c>
      <c r="P46" s="31" t="e">
        <f>VLOOKUP($D46,Résultats!$B$2:$AZ$212,P$2,FALSE)</f>
        <v>#N/A</v>
      </c>
      <c r="Q46" s="31" t="e">
        <f>VLOOKUP($D46,Résultats!$B$2:$AZ$212,Q$2,FALSE)</f>
        <v>#N/A</v>
      </c>
      <c r="R46" s="31" t="e">
        <f>VLOOKUP($D46,Résultats!$B$2:$AZ$212,R$2,FALSE)</f>
        <v>#N/A</v>
      </c>
      <c r="S46" s="31" t="e">
        <f>VLOOKUP($D46,Résultats!$B$2:$AZ$212,S$2,FALSE)</f>
        <v>#N/A</v>
      </c>
      <c r="T46" s="31" t="e">
        <f>VLOOKUP($D46,Résultats!$B$2:$AZ$212,T$2,FALSE)</f>
        <v>#N/A</v>
      </c>
      <c r="U46" s="31" t="e">
        <f>VLOOKUP($D46,Résultats!$B$2:$AZ$212,U$2,FALSE)</f>
        <v>#N/A</v>
      </c>
      <c r="V46" s="31" t="e">
        <f>VLOOKUP($D46,Résultats!$B$2:$AZ$212,V$2,FALSE)</f>
        <v>#N/A</v>
      </c>
      <c r="W46" s="31" t="e">
        <f>VLOOKUP($D46,Résultats!$B$2:$AZ$212,W$2,FALSE)</f>
        <v>#N/A</v>
      </c>
      <c r="X46" s="31" t="e">
        <f>VLOOKUP($D46,Résultats!$B$2:$AZ$212,X$2,FALSE)</f>
        <v>#N/A</v>
      </c>
      <c r="Y46" s="31" t="e">
        <f>VLOOKUP($D46,Résultats!$B$2:$AZ$212,Y$2,FALSE)</f>
        <v>#N/A</v>
      </c>
      <c r="Z46" s="31" t="e">
        <f>VLOOKUP($D46,Résultats!$B$2:$AZ$212,Z$2,FALSE)</f>
        <v>#N/A</v>
      </c>
      <c r="AA46" s="31" t="e">
        <f>VLOOKUP($D46,Résultats!$B$2:$AZ$212,AA$2,FALSE)</f>
        <v>#N/A</v>
      </c>
      <c r="AB46" s="31" t="e">
        <f>VLOOKUP($D46,Résultats!$B$2:$AZ$212,AB$2,FALSE)</f>
        <v>#N/A</v>
      </c>
      <c r="AC46" s="31" t="e">
        <f>VLOOKUP($D46,Résultats!$B$2:$AZ$212,AC$2,FALSE)</f>
        <v>#N/A</v>
      </c>
      <c r="AD46" s="31" t="e">
        <f>VLOOKUP($D46,Résultats!$B$2:$AZ$212,AD$2,FALSE)</f>
        <v>#N/A</v>
      </c>
      <c r="AE46" s="31" t="e">
        <f>VLOOKUP($D46,Résultats!$B$2:$AZ$212,AE$2,FALSE)</f>
        <v>#N/A</v>
      </c>
      <c r="AF46" s="31" t="e">
        <f>VLOOKUP($D46,Résultats!$B$2:$AZ$212,AF$2,FALSE)</f>
        <v>#N/A</v>
      </c>
      <c r="AG46" s="31" t="e">
        <f>VLOOKUP($D46,Résultats!$B$2:$AZ$212,AG$2,FALSE)</f>
        <v>#N/A</v>
      </c>
      <c r="AH46" s="31" t="e">
        <f>VLOOKUP($D46,Résultats!$B$2:$AZ$212,AH$2,FALSE)</f>
        <v>#N/A</v>
      </c>
      <c r="AI46" s="31" t="e">
        <f>VLOOKUP($D46,Résultats!$B$2:$AZ$212,AI$2,FALSE)</f>
        <v>#N/A</v>
      </c>
      <c r="AJ46" s="31" t="e">
        <f>VLOOKUP($D46,Résultats!$B$2:$AZ$212,AJ$2,FALSE)</f>
        <v>#N/A</v>
      </c>
      <c r="AK46" s="31" t="e">
        <f>VLOOKUP($D46,Résultats!$B$2:$AZ$212,AK$2,FALSE)</f>
        <v>#N/A</v>
      </c>
      <c r="AL46" s="31" t="e">
        <f>VLOOKUP($D46,Résultats!$B$2:$AZ$212,AL$2,FALSE)</f>
        <v>#N/A</v>
      </c>
      <c r="AM46" s="31" t="e">
        <f>VLOOKUP($D46,Résultats!$B$2:$AZ$212,AM$2,FALSE)</f>
        <v>#N/A</v>
      </c>
    </row>
    <row r="47" spans="2:39" x14ac:dyDescent="0.25">
      <c r="C47" s="56" t="s">
        <v>34</v>
      </c>
      <c r="D47" s="3" t="s">
        <v>62</v>
      </c>
      <c r="E47" s="31" t="e">
        <f>VLOOKUP($D47,Résultats!$B$2:$AZ$212,E$2,FALSE)</f>
        <v>#N/A</v>
      </c>
      <c r="F47" s="31" t="e">
        <f>VLOOKUP($D47,Résultats!$B$2:$AZ$212,F$2,FALSE)</f>
        <v>#N/A</v>
      </c>
      <c r="G47" s="31" t="e">
        <f>VLOOKUP($D47,Résultats!$B$2:$AZ$212,G$2,FALSE)</f>
        <v>#N/A</v>
      </c>
      <c r="H47" s="31" t="e">
        <f>VLOOKUP($D47,Résultats!$B$2:$AZ$212,H$2,FALSE)</f>
        <v>#N/A</v>
      </c>
      <c r="I47" s="31" t="e">
        <f>VLOOKUP($D47,Résultats!$B$2:$AZ$212,I$2,FALSE)</f>
        <v>#N/A</v>
      </c>
      <c r="J47" s="31" t="e">
        <f>VLOOKUP($D47,Résultats!$B$2:$AZ$212,J$2,FALSE)</f>
        <v>#N/A</v>
      </c>
      <c r="K47" s="31" t="e">
        <f>VLOOKUP($D47,Résultats!$B$2:$AZ$212,K$2,FALSE)</f>
        <v>#N/A</v>
      </c>
      <c r="L47" s="31" t="e">
        <f>VLOOKUP($D47,Résultats!$B$2:$AZ$212,L$2,FALSE)</f>
        <v>#N/A</v>
      </c>
      <c r="M47" s="31" t="e">
        <f>VLOOKUP($D47,Résultats!$B$2:$AZ$212,M$2,FALSE)</f>
        <v>#N/A</v>
      </c>
      <c r="N47" s="31" t="e">
        <f>VLOOKUP($D47,Résultats!$B$2:$AZ$212,N$2,FALSE)</f>
        <v>#N/A</v>
      </c>
      <c r="O47" s="31" t="e">
        <f>VLOOKUP($D47,Résultats!$B$2:$AZ$212,O$2,FALSE)</f>
        <v>#N/A</v>
      </c>
      <c r="P47" s="31" t="e">
        <f>VLOOKUP($D47,Résultats!$B$2:$AZ$212,P$2,FALSE)</f>
        <v>#N/A</v>
      </c>
      <c r="Q47" s="31" t="e">
        <f>VLOOKUP($D47,Résultats!$B$2:$AZ$212,Q$2,FALSE)</f>
        <v>#N/A</v>
      </c>
      <c r="R47" s="31" t="e">
        <f>VLOOKUP($D47,Résultats!$B$2:$AZ$212,R$2,FALSE)</f>
        <v>#N/A</v>
      </c>
      <c r="S47" s="31" t="e">
        <f>VLOOKUP($D47,Résultats!$B$2:$AZ$212,S$2,FALSE)</f>
        <v>#N/A</v>
      </c>
      <c r="T47" s="31" t="e">
        <f>VLOOKUP($D47,Résultats!$B$2:$AZ$212,T$2,FALSE)</f>
        <v>#N/A</v>
      </c>
      <c r="U47" s="31" t="e">
        <f>VLOOKUP($D47,Résultats!$B$2:$AZ$212,U$2,FALSE)</f>
        <v>#N/A</v>
      </c>
      <c r="V47" s="31" t="e">
        <f>VLOOKUP($D47,Résultats!$B$2:$AZ$212,V$2,FALSE)</f>
        <v>#N/A</v>
      </c>
      <c r="W47" s="31" t="e">
        <f>VLOOKUP($D47,Résultats!$B$2:$AZ$212,W$2,FALSE)</f>
        <v>#N/A</v>
      </c>
      <c r="X47" s="31" t="e">
        <f>VLOOKUP($D47,Résultats!$B$2:$AZ$212,X$2,FALSE)</f>
        <v>#N/A</v>
      </c>
      <c r="Y47" s="31" t="e">
        <f>VLOOKUP($D47,Résultats!$B$2:$AZ$212,Y$2,FALSE)</f>
        <v>#N/A</v>
      </c>
      <c r="Z47" s="31" t="e">
        <f>VLOOKUP($D47,Résultats!$B$2:$AZ$212,Z$2,FALSE)</f>
        <v>#N/A</v>
      </c>
      <c r="AA47" s="31" t="e">
        <f>VLOOKUP($D47,Résultats!$B$2:$AZ$212,AA$2,FALSE)</f>
        <v>#N/A</v>
      </c>
      <c r="AB47" s="31" t="e">
        <f>VLOOKUP($D47,Résultats!$B$2:$AZ$212,AB$2,FALSE)</f>
        <v>#N/A</v>
      </c>
      <c r="AC47" s="31" t="e">
        <f>VLOOKUP($D47,Résultats!$B$2:$AZ$212,AC$2,FALSE)</f>
        <v>#N/A</v>
      </c>
      <c r="AD47" s="31" t="e">
        <f>VLOOKUP($D47,Résultats!$B$2:$AZ$212,AD$2,FALSE)</f>
        <v>#N/A</v>
      </c>
      <c r="AE47" s="31" t="e">
        <f>VLOOKUP($D47,Résultats!$B$2:$AZ$212,AE$2,FALSE)</f>
        <v>#N/A</v>
      </c>
      <c r="AF47" s="31" t="e">
        <f>VLOOKUP($D47,Résultats!$B$2:$AZ$212,AF$2,FALSE)</f>
        <v>#N/A</v>
      </c>
      <c r="AG47" s="31" t="e">
        <f>VLOOKUP($D47,Résultats!$B$2:$AZ$212,AG$2,FALSE)</f>
        <v>#N/A</v>
      </c>
      <c r="AH47" s="31" t="e">
        <f>VLOOKUP($D47,Résultats!$B$2:$AZ$212,AH$2,FALSE)</f>
        <v>#N/A</v>
      </c>
      <c r="AI47" s="31" t="e">
        <f>VLOOKUP($D47,Résultats!$B$2:$AZ$212,AI$2,FALSE)</f>
        <v>#N/A</v>
      </c>
      <c r="AJ47" s="31" t="e">
        <f>VLOOKUP($D47,Résultats!$B$2:$AZ$212,AJ$2,FALSE)</f>
        <v>#N/A</v>
      </c>
      <c r="AK47" s="31" t="e">
        <f>VLOOKUP($D47,Résultats!$B$2:$AZ$212,AK$2,FALSE)</f>
        <v>#N/A</v>
      </c>
      <c r="AL47" s="31" t="e">
        <f>VLOOKUP($D47,Résultats!$B$2:$AZ$212,AL$2,FALSE)</f>
        <v>#N/A</v>
      </c>
      <c r="AM47" s="31" t="e">
        <f>VLOOKUP($D47,Résultats!$B$2:$AZ$212,AM$2,FALSE)</f>
        <v>#N/A</v>
      </c>
    </row>
    <row r="48" spans="2:39" x14ac:dyDescent="0.25">
      <c r="C48" s="56" t="s">
        <v>35</v>
      </c>
      <c r="D48" s="3" t="s">
        <v>63</v>
      </c>
      <c r="E48" s="31" t="e">
        <f>VLOOKUP($D48,Résultats!$B$2:$AZ$212,E$2,FALSE)</f>
        <v>#N/A</v>
      </c>
      <c r="F48" s="31" t="e">
        <f>VLOOKUP($D48,Résultats!$B$2:$AZ$212,F$2,FALSE)</f>
        <v>#N/A</v>
      </c>
      <c r="G48" s="31" t="e">
        <f>VLOOKUP($D48,Résultats!$B$2:$AZ$212,G$2,FALSE)</f>
        <v>#N/A</v>
      </c>
      <c r="H48" s="31" t="e">
        <f>VLOOKUP($D48,Résultats!$B$2:$AZ$212,H$2,FALSE)</f>
        <v>#N/A</v>
      </c>
      <c r="I48" s="31" t="e">
        <f>VLOOKUP($D48,Résultats!$B$2:$AZ$212,I$2,FALSE)</f>
        <v>#N/A</v>
      </c>
      <c r="J48" s="31" t="e">
        <f>VLOOKUP($D48,Résultats!$B$2:$AZ$212,J$2,FALSE)</f>
        <v>#N/A</v>
      </c>
      <c r="K48" s="31" t="e">
        <f>VLOOKUP($D48,Résultats!$B$2:$AZ$212,K$2,FALSE)</f>
        <v>#N/A</v>
      </c>
      <c r="L48" s="31" t="e">
        <f>VLOOKUP($D48,Résultats!$B$2:$AZ$212,L$2,FALSE)</f>
        <v>#N/A</v>
      </c>
      <c r="M48" s="31" t="e">
        <f>VLOOKUP($D48,Résultats!$B$2:$AZ$212,M$2,FALSE)</f>
        <v>#N/A</v>
      </c>
      <c r="N48" s="31" t="e">
        <f>VLOOKUP($D48,Résultats!$B$2:$AZ$212,N$2,FALSE)</f>
        <v>#N/A</v>
      </c>
      <c r="O48" s="31" t="e">
        <f>VLOOKUP($D48,Résultats!$B$2:$AZ$212,O$2,FALSE)</f>
        <v>#N/A</v>
      </c>
      <c r="P48" s="31" t="e">
        <f>VLOOKUP($D48,Résultats!$B$2:$AZ$212,P$2,FALSE)</f>
        <v>#N/A</v>
      </c>
      <c r="Q48" s="31" t="e">
        <f>VLOOKUP($D48,Résultats!$B$2:$AZ$212,Q$2,FALSE)</f>
        <v>#N/A</v>
      </c>
      <c r="R48" s="31" t="e">
        <f>VLOOKUP($D48,Résultats!$B$2:$AZ$212,R$2,FALSE)</f>
        <v>#N/A</v>
      </c>
      <c r="S48" s="31" t="e">
        <f>VLOOKUP($D48,Résultats!$B$2:$AZ$212,S$2,FALSE)</f>
        <v>#N/A</v>
      </c>
      <c r="T48" s="31" t="e">
        <f>VLOOKUP($D48,Résultats!$B$2:$AZ$212,T$2,FALSE)</f>
        <v>#N/A</v>
      </c>
      <c r="U48" s="31" t="e">
        <f>VLOOKUP($D48,Résultats!$B$2:$AZ$212,U$2,FALSE)</f>
        <v>#N/A</v>
      </c>
      <c r="V48" s="31" t="e">
        <f>VLOOKUP($D48,Résultats!$B$2:$AZ$212,V$2,FALSE)</f>
        <v>#N/A</v>
      </c>
      <c r="W48" s="31" t="e">
        <f>VLOOKUP($D48,Résultats!$B$2:$AZ$212,W$2,FALSE)</f>
        <v>#N/A</v>
      </c>
      <c r="X48" s="31" t="e">
        <f>VLOOKUP($D48,Résultats!$B$2:$AZ$212,X$2,FALSE)</f>
        <v>#N/A</v>
      </c>
      <c r="Y48" s="31" t="e">
        <f>VLOOKUP($D48,Résultats!$B$2:$AZ$212,Y$2,FALSE)</f>
        <v>#N/A</v>
      </c>
      <c r="Z48" s="31" t="e">
        <f>VLOOKUP($D48,Résultats!$B$2:$AZ$212,Z$2,FALSE)</f>
        <v>#N/A</v>
      </c>
      <c r="AA48" s="31" t="e">
        <f>VLOOKUP($D48,Résultats!$B$2:$AZ$212,AA$2,FALSE)</f>
        <v>#N/A</v>
      </c>
      <c r="AB48" s="31" t="e">
        <f>VLOOKUP($D48,Résultats!$B$2:$AZ$212,AB$2,FALSE)</f>
        <v>#N/A</v>
      </c>
      <c r="AC48" s="31" t="e">
        <f>VLOOKUP($D48,Résultats!$B$2:$AZ$212,AC$2,FALSE)</f>
        <v>#N/A</v>
      </c>
      <c r="AD48" s="31" t="e">
        <f>VLOOKUP($D48,Résultats!$B$2:$AZ$212,AD$2,FALSE)</f>
        <v>#N/A</v>
      </c>
      <c r="AE48" s="31" t="e">
        <f>VLOOKUP($D48,Résultats!$B$2:$AZ$212,AE$2,FALSE)</f>
        <v>#N/A</v>
      </c>
      <c r="AF48" s="31" t="e">
        <f>VLOOKUP($D48,Résultats!$B$2:$AZ$212,AF$2,FALSE)</f>
        <v>#N/A</v>
      </c>
      <c r="AG48" s="31" t="e">
        <f>VLOOKUP($D48,Résultats!$B$2:$AZ$212,AG$2,FALSE)</f>
        <v>#N/A</v>
      </c>
      <c r="AH48" s="31" t="e">
        <f>VLOOKUP($D48,Résultats!$B$2:$AZ$212,AH$2,FALSE)</f>
        <v>#N/A</v>
      </c>
      <c r="AI48" s="31" t="e">
        <f>VLOOKUP($D48,Résultats!$B$2:$AZ$212,AI$2,FALSE)</f>
        <v>#N/A</v>
      </c>
      <c r="AJ48" s="31" t="e">
        <f>VLOOKUP($D48,Résultats!$B$2:$AZ$212,AJ$2,FALSE)</f>
        <v>#N/A</v>
      </c>
      <c r="AK48" s="31" t="e">
        <f>VLOOKUP($D48,Résultats!$B$2:$AZ$212,AK$2,FALSE)</f>
        <v>#N/A</v>
      </c>
      <c r="AL48" s="31" t="e">
        <f>VLOOKUP($D48,Résultats!$B$2:$AZ$212,AL$2,FALSE)</f>
        <v>#N/A</v>
      </c>
      <c r="AM48" s="31" t="e">
        <f>VLOOKUP($D48,Résultats!$B$2:$AZ$212,AM$2,FALSE)</f>
        <v>#N/A</v>
      </c>
    </row>
    <row r="49" spans="3:40" x14ac:dyDescent="0.25">
      <c r="C49" s="82" t="s">
        <v>162</v>
      </c>
      <c r="D49" s="82" t="s">
        <v>45</v>
      </c>
      <c r="E49" s="83" t="e">
        <f>VLOOKUP($D49,Résultats!$B$2:$AZ$212,E$2,FALSE)</f>
        <v>#N/A</v>
      </c>
      <c r="F49" s="83" t="e">
        <f>VLOOKUP($D49,Résultats!$B$2:$AZ$212,F$2,FALSE)</f>
        <v>#N/A</v>
      </c>
      <c r="G49" s="83" t="e">
        <f>VLOOKUP($D49,Résultats!$B$2:$AZ$212,G$2,FALSE)</f>
        <v>#N/A</v>
      </c>
      <c r="H49" s="83" t="e">
        <f>VLOOKUP($D49,Résultats!$B$2:$AZ$212,H$2,FALSE)</f>
        <v>#N/A</v>
      </c>
      <c r="I49" s="83" t="e">
        <f>VLOOKUP($D49,Résultats!$B$2:$AZ$212,I$2,FALSE)</f>
        <v>#N/A</v>
      </c>
      <c r="J49" s="83" t="e">
        <f>VLOOKUP($D49,Résultats!$B$2:$AZ$212,J$2,FALSE)</f>
        <v>#N/A</v>
      </c>
      <c r="K49" s="83" t="e">
        <f>VLOOKUP($D49,Résultats!$B$2:$AZ$212,K$2,FALSE)</f>
        <v>#N/A</v>
      </c>
      <c r="L49" s="83" t="e">
        <f>VLOOKUP($D49,Résultats!$B$2:$AZ$212,L$2,FALSE)</f>
        <v>#N/A</v>
      </c>
      <c r="M49" s="83" t="e">
        <f>VLOOKUP($D49,Résultats!$B$2:$AZ$212,M$2,FALSE)</f>
        <v>#N/A</v>
      </c>
      <c r="N49" s="83" t="e">
        <f>VLOOKUP($D49,Résultats!$B$2:$AZ$212,N$2,FALSE)</f>
        <v>#N/A</v>
      </c>
      <c r="O49" s="83" t="e">
        <f>VLOOKUP($D49,Résultats!$B$2:$AZ$212,O$2,FALSE)</f>
        <v>#N/A</v>
      </c>
      <c r="P49" s="83" t="e">
        <f>VLOOKUP($D49,Résultats!$B$2:$AZ$212,P$2,FALSE)</f>
        <v>#N/A</v>
      </c>
      <c r="Q49" s="83" t="e">
        <f>VLOOKUP($D49,Résultats!$B$2:$AZ$212,Q$2,FALSE)</f>
        <v>#N/A</v>
      </c>
      <c r="R49" s="83" t="e">
        <f>VLOOKUP($D49,Résultats!$B$2:$AZ$212,R$2,FALSE)</f>
        <v>#N/A</v>
      </c>
      <c r="S49" s="83" t="e">
        <f>VLOOKUP($D49,Résultats!$B$2:$AZ$212,S$2,FALSE)</f>
        <v>#N/A</v>
      </c>
      <c r="T49" s="83" t="e">
        <f>VLOOKUP($D49,Résultats!$B$2:$AZ$212,T$2,FALSE)</f>
        <v>#N/A</v>
      </c>
      <c r="U49" s="83" t="e">
        <f>VLOOKUP($D49,Résultats!$B$2:$AZ$212,U$2,FALSE)</f>
        <v>#N/A</v>
      </c>
      <c r="V49" s="83" t="e">
        <f>VLOOKUP($D49,Résultats!$B$2:$AZ$212,V$2,FALSE)</f>
        <v>#N/A</v>
      </c>
      <c r="W49" s="83" t="e">
        <f>VLOOKUP($D49,Résultats!$B$2:$AZ$212,W$2,FALSE)</f>
        <v>#N/A</v>
      </c>
      <c r="X49" s="83" t="e">
        <f>VLOOKUP($D49,Résultats!$B$2:$AZ$212,X$2,FALSE)</f>
        <v>#N/A</v>
      </c>
      <c r="Y49" s="83" t="e">
        <f>VLOOKUP($D49,Résultats!$B$2:$AZ$212,Y$2,FALSE)</f>
        <v>#N/A</v>
      </c>
      <c r="Z49" s="83" t="e">
        <f>VLOOKUP($D49,Résultats!$B$2:$AZ$212,Z$2,FALSE)</f>
        <v>#N/A</v>
      </c>
      <c r="AA49" s="83" t="e">
        <f>VLOOKUP($D49,Résultats!$B$2:$AZ$212,AA$2,FALSE)</f>
        <v>#N/A</v>
      </c>
      <c r="AB49" s="83" t="e">
        <f>VLOOKUP($D49,Résultats!$B$2:$AZ$212,AB$2,FALSE)</f>
        <v>#N/A</v>
      </c>
      <c r="AC49" s="83" t="e">
        <f>VLOOKUP($D49,Résultats!$B$2:$AZ$212,AC$2,FALSE)</f>
        <v>#N/A</v>
      </c>
      <c r="AD49" s="83" t="e">
        <f>VLOOKUP($D49,Résultats!$B$2:$AZ$212,AD$2,FALSE)</f>
        <v>#N/A</v>
      </c>
      <c r="AE49" s="83" t="e">
        <f>VLOOKUP($D49,Résultats!$B$2:$AZ$212,AE$2,FALSE)</f>
        <v>#N/A</v>
      </c>
      <c r="AF49" s="83" t="e">
        <f>VLOOKUP($D49,Résultats!$B$2:$AZ$212,AF$2,FALSE)</f>
        <v>#N/A</v>
      </c>
      <c r="AG49" s="83" t="e">
        <f>VLOOKUP($D49,Résultats!$B$2:$AZ$212,AG$2,FALSE)</f>
        <v>#N/A</v>
      </c>
      <c r="AH49" s="83" t="e">
        <f>VLOOKUP($D49,Résultats!$B$2:$AZ$212,AH$2,FALSE)</f>
        <v>#N/A</v>
      </c>
      <c r="AI49" s="83" t="e">
        <f>VLOOKUP($D49,Résultats!$B$2:$AZ$212,AI$2,FALSE)</f>
        <v>#N/A</v>
      </c>
      <c r="AJ49" s="83" t="e">
        <f>VLOOKUP($D49,Résultats!$B$2:$AZ$212,AJ$2,FALSE)</f>
        <v>#N/A</v>
      </c>
      <c r="AK49" s="83" t="e">
        <f>VLOOKUP($D49,Résultats!$B$2:$AZ$212,AK$2,FALSE)</f>
        <v>#N/A</v>
      </c>
      <c r="AL49" s="83" t="e">
        <f>VLOOKUP($D49,Résultats!$B$2:$AZ$212,AL$2,FALSE)</f>
        <v>#N/A</v>
      </c>
      <c r="AM49" s="83" t="e">
        <f>VLOOKUP($D49,Résultats!$B$2:$AZ$212,AM$2,FALSE)</f>
        <v>#N/A</v>
      </c>
    </row>
    <row r="50" spans="3:40" x14ac:dyDescent="0.25">
      <c r="C50" s="84" t="s">
        <v>118</v>
      </c>
      <c r="D50" s="3" t="s">
        <v>62</v>
      </c>
      <c r="E50" s="85" t="e">
        <f>VLOOKUP($D50,Résultats!$B$2:$AZ$212,E$2,FALSE)</f>
        <v>#N/A</v>
      </c>
      <c r="F50" s="85" t="e">
        <f>VLOOKUP($D50,Résultats!$B$2:$AZ$212,F$2,FALSE)</f>
        <v>#N/A</v>
      </c>
      <c r="G50" s="85" t="e">
        <f>VLOOKUP($D50,Résultats!$B$2:$AZ$212,G$2,FALSE)</f>
        <v>#N/A</v>
      </c>
      <c r="H50" s="85" t="e">
        <f>VLOOKUP($D50,Résultats!$B$2:$AZ$212,H$2,FALSE)</f>
        <v>#N/A</v>
      </c>
      <c r="I50" s="85" t="e">
        <f>VLOOKUP($D50,Résultats!$B$2:$AZ$212,I$2,FALSE)</f>
        <v>#N/A</v>
      </c>
      <c r="J50" s="85" t="e">
        <f>VLOOKUP($D50,Résultats!$B$2:$AZ$212,J$2,FALSE)</f>
        <v>#N/A</v>
      </c>
      <c r="K50" s="85" t="e">
        <f>VLOOKUP($D50,Résultats!$B$2:$AZ$212,K$2,FALSE)</f>
        <v>#N/A</v>
      </c>
      <c r="L50" s="85" t="e">
        <f>VLOOKUP($D50,Résultats!$B$2:$AZ$212,L$2,FALSE)</f>
        <v>#N/A</v>
      </c>
      <c r="M50" s="85" t="e">
        <f>VLOOKUP($D50,Résultats!$B$2:$AZ$212,M$2,FALSE)</f>
        <v>#N/A</v>
      </c>
      <c r="N50" s="85" t="e">
        <f>VLOOKUP($D50,Résultats!$B$2:$AZ$212,N$2,FALSE)</f>
        <v>#N/A</v>
      </c>
      <c r="O50" s="85" t="e">
        <f>VLOOKUP($D50,Résultats!$B$2:$AZ$212,O$2,FALSE)</f>
        <v>#N/A</v>
      </c>
      <c r="P50" s="85" t="e">
        <f>VLOOKUP($D50,Résultats!$B$2:$AZ$212,P$2,FALSE)</f>
        <v>#N/A</v>
      </c>
      <c r="Q50" s="85" t="e">
        <f>VLOOKUP($D50,Résultats!$B$2:$AZ$212,Q$2,FALSE)</f>
        <v>#N/A</v>
      </c>
      <c r="R50" s="85" t="e">
        <f>VLOOKUP($D50,Résultats!$B$2:$AZ$212,R$2,FALSE)</f>
        <v>#N/A</v>
      </c>
      <c r="S50" s="85" t="e">
        <f>VLOOKUP($D50,Résultats!$B$2:$AZ$212,S$2,FALSE)</f>
        <v>#N/A</v>
      </c>
      <c r="T50" s="85" t="e">
        <f>VLOOKUP($D50,Résultats!$B$2:$AZ$212,T$2,FALSE)</f>
        <v>#N/A</v>
      </c>
      <c r="U50" s="85" t="e">
        <f>VLOOKUP($D50,Résultats!$B$2:$AZ$212,U$2,FALSE)</f>
        <v>#N/A</v>
      </c>
      <c r="V50" s="85" t="e">
        <f>VLOOKUP($D50,Résultats!$B$2:$AZ$212,V$2,FALSE)</f>
        <v>#N/A</v>
      </c>
      <c r="W50" s="85" t="e">
        <f>VLOOKUP($D50,Résultats!$B$2:$AZ$212,W$2,FALSE)</f>
        <v>#N/A</v>
      </c>
      <c r="X50" s="85" t="e">
        <f>VLOOKUP($D50,Résultats!$B$2:$AZ$212,X$2,FALSE)</f>
        <v>#N/A</v>
      </c>
      <c r="Y50" s="85" t="e">
        <f>VLOOKUP($D50,Résultats!$B$2:$AZ$212,Y$2,FALSE)</f>
        <v>#N/A</v>
      </c>
      <c r="Z50" s="85" t="e">
        <f>VLOOKUP($D50,Résultats!$B$2:$AZ$212,Z$2,FALSE)</f>
        <v>#N/A</v>
      </c>
      <c r="AA50" s="85" t="e">
        <f>VLOOKUP($D50,Résultats!$B$2:$AZ$212,AA$2,FALSE)</f>
        <v>#N/A</v>
      </c>
      <c r="AB50" s="85" t="e">
        <f>VLOOKUP($D50,Résultats!$B$2:$AZ$212,AB$2,FALSE)</f>
        <v>#N/A</v>
      </c>
      <c r="AC50" s="85" t="e">
        <f>VLOOKUP($D50,Résultats!$B$2:$AZ$212,AC$2,FALSE)</f>
        <v>#N/A</v>
      </c>
      <c r="AD50" s="85" t="e">
        <f>VLOOKUP($D50,Résultats!$B$2:$AZ$212,AD$2,FALSE)</f>
        <v>#N/A</v>
      </c>
      <c r="AE50" s="85" t="e">
        <f>VLOOKUP($D50,Résultats!$B$2:$AZ$212,AE$2,FALSE)</f>
        <v>#N/A</v>
      </c>
      <c r="AF50" s="85" t="e">
        <f>VLOOKUP($D50,Résultats!$B$2:$AZ$212,AF$2,FALSE)</f>
        <v>#N/A</v>
      </c>
      <c r="AG50" s="85" t="e">
        <f>VLOOKUP($D50,Résultats!$B$2:$AZ$212,AG$2,FALSE)</f>
        <v>#N/A</v>
      </c>
      <c r="AH50" s="85" t="e">
        <f>VLOOKUP($D50,Résultats!$B$2:$AZ$212,AH$2,FALSE)</f>
        <v>#N/A</v>
      </c>
      <c r="AI50" s="85" t="e">
        <f>VLOOKUP($D50,Résultats!$B$2:$AZ$212,AI$2,FALSE)</f>
        <v>#N/A</v>
      </c>
      <c r="AJ50" s="85" t="e">
        <f>VLOOKUP($D50,Résultats!$B$2:$AZ$212,AJ$2,FALSE)</f>
        <v>#N/A</v>
      </c>
      <c r="AK50" s="85" t="e">
        <f>VLOOKUP($D50,Résultats!$B$2:$AZ$212,AK$2,FALSE)</f>
        <v>#N/A</v>
      </c>
      <c r="AL50" s="85" t="e">
        <f>VLOOKUP($D50,Résultats!$B$2:$AZ$212,AL$2,FALSE)</f>
        <v>#N/A</v>
      </c>
      <c r="AM50" s="85" t="e">
        <f>VLOOKUP($D50,Résultats!$B$2:$AZ$212,AM$2,FALSE)</f>
        <v>#N/A</v>
      </c>
    </row>
    <row r="51" spans="3:40" x14ac:dyDescent="0.25">
      <c r="C51" s="86" t="s">
        <v>27</v>
      </c>
      <c r="D51" s="87" t="s">
        <v>53</v>
      </c>
      <c r="E51" s="31" t="e">
        <f>VLOOKUP($D51,Résultats!$B$2:$AZ$212,E$2,FALSE)</f>
        <v>#N/A</v>
      </c>
      <c r="F51" s="31" t="e">
        <f>VLOOKUP($D51,Résultats!$B$2:$AZ$212,F$2,FALSE)</f>
        <v>#N/A</v>
      </c>
      <c r="G51" s="31" t="e">
        <f>VLOOKUP($D51,Résultats!$B$2:$AZ$212,G$2,FALSE)</f>
        <v>#N/A</v>
      </c>
      <c r="H51" s="31" t="e">
        <f>VLOOKUP($D51,Résultats!$B$2:$AZ$212,H$2,FALSE)</f>
        <v>#N/A</v>
      </c>
      <c r="I51" s="31" t="e">
        <f>VLOOKUP($D51,Résultats!$B$2:$AZ$212,I$2,FALSE)</f>
        <v>#N/A</v>
      </c>
      <c r="J51" s="31" t="e">
        <f>VLOOKUP($D51,Résultats!$B$2:$AZ$212,J$2,FALSE)</f>
        <v>#N/A</v>
      </c>
      <c r="K51" s="31" t="e">
        <f>VLOOKUP($D51,Résultats!$B$2:$AZ$212,K$2,FALSE)</f>
        <v>#N/A</v>
      </c>
      <c r="L51" s="31" t="e">
        <f>VLOOKUP($D51,Résultats!$B$2:$AZ$212,L$2,FALSE)</f>
        <v>#N/A</v>
      </c>
      <c r="M51" s="31" t="e">
        <f>VLOOKUP($D51,Résultats!$B$2:$AZ$212,M$2,FALSE)</f>
        <v>#N/A</v>
      </c>
      <c r="N51" s="31" t="e">
        <f>VLOOKUP($D51,Résultats!$B$2:$AZ$212,N$2,FALSE)</f>
        <v>#N/A</v>
      </c>
      <c r="O51" s="31" t="e">
        <f>VLOOKUP($D51,Résultats!$B$2:$AZ$212,O$2,FALSE)</f>
        <v>#N/A</v>
      </c>
      <c r="P51" s="31" t="e">
        <f>VLOOKUP($D51,Résultats!$B$2:$AZ$212,P$2,FALSE)</f>
        <v>#N/A</v>
      </c>
      <c r="Q51" s="31" t="e">
        <f>VLOOKUP($D51,Résultats!$B$2:$AZ$212,Q$2,FALSE)</f>
        <v>#N/A</v>
      </c>
      <c r="R51" s="31" t="e">
        <f>VLOOKUP($D51,Résultats!$B$2:$AZ$212,R$2,FALSE)</f>
        <v>#N/A</v>
      </c>
      <c r="S51" s="31" t="e">
        <f>VLOOKUP($D51,Résultats!$B$2:$AZ$212,S$2,FALSE)</f>
        <v>#N/A</v>
      </c>
      <c r="T51" s="31" t="e">
        <f>VLOOKUP($D51,Résultats!$B$2:$AZ$212,T$2,FALSE)</f>
        <v>#N/A</v>
      </c>
      <c r="U51" s="31" t="e">
        <f>VLOOKUP($D51,Résultats!$B$2:$AZ$212,U$2,FALSE)</f>
        <v>#N/A</v>
      </c>
      <c r="V51" s="31" t="e">
        <f>VLOOKUP($D51,Résultats!$B$2:$AZ$212,V$2,FALSE)</f>
        <v>#N/A</v>
      </c>
      <c r="W51" s="31" t="e">
        <f>VLOOKUP($D51,Résultats!$B$2:$AZ$212,W$2,FALSE)</f>
        <v>#N/A</v>
      </c>
      <c r="X51" s="31" t="e">
        <f>VLOOKUP($D51,Résultats!$B$2:$AZ$212,X$2,FALSE)</f>
        <v>#N/A</v>
      </c>
      <c r="Y51" s="31" t="e">
        <f>VLOOKUP($D51,Résultats!$B$2:$AZ$212,Y$2,FALSE)</f>
        <v>#N/A</v>
      </c>
      <c r="Z51" s="31" t="e">
        <f>VLOOKUP($D51,Résultats!$B$2:$AZ$212,Z$2,FALSE)</f>
        <v>#N/A</v>
      </c>
      <c r="AA51" s="31" t="e">
        <f>VLOOKUP($D51,Résultats!$B$2:$AZ$212,AA$2,FALSE)</f>
        <v>#N/A</v>
      </c>
      <c r="AB51" s="31" t="e">
        <f>VLOOKUP($D51,Résultats!$B$2:$AZ$212,AB$2,FALSE)</f>
        <v>#N/A</v>
      </c>
      <c r="AC51" s="31" t="e">
        <f>VLOOKUP($D51,Résultats!$B$2:$AZ$212,AC$2,FALSE)</f>
        <v>#N/A</v>
      </c>
      <c r="AD51" s="31" t="e">
        <f>VLOOKUP($D51,Résultats!$B$2:$AZ$212,AD$2,FALSE)</f>
        <v>#N/A</v>
      </c>
      <c r="AE51" s="31" t="e">
        <f>VLOOKUP($D51,Résultats!$B$2:$AZ$212,AE$2,FALSE)</f>
        <v>#N/A</v>
      </c>
      <c r="AF51" s="31" t="e">
        <f>VLOOKUP($D51,Résultats!$B$2:$AZ$212,AF$2,FALSE)</f>
        <v>#N/A</v>
      </c>
      <c r="AG51" s="31" t="e">
        <f>VLOOKUP($D51,Résultats!$B$2:$AZ$212,AG$2,FALSE)</f>
        <v>#N/A</v>
      </c>
      <c r="AH51" s="31" t="e">
        <f>VLOOKUP($D51,Résultats!$B$2:$AZ$212,AH$2,FALSE)</f>
        <v>#N/A</v>
      </c>
      <c r="AI51" s="31" t="e">
        <f>VLOOKUP($D51,Résultats!$B$2:$AZ$212,AI$2,FALSE)</f>
        <v>#N/A</v>
      </c>
      <c r="AJ51" s="31" t="e">
        <f>VLOOKUP($D51,Résultats!$B$2:$AZ$212,AJ$2,FALSE)</f>
        <v>#N/A</v>
      </c>
      <c r="AK51" s="31" t="e">
        <f>VLOOKUP($D51,Résultats!$B$2:$AZ$212,AK$2,FALSE)</f>
        <v>#N/A</v>
      </c>
      <c r="AL51" s="31" t="e">
        <f>VLOOKUP($D51,Résultats!$B$2:$AZ$212,AL$2,FALSE)</f>
        <v>#N/A</v>
      </c>
      <c r="AM51" s="31" t="e">
        <f>VLOOKUP($D51,Résultats!$B$2:$AZ$212,AM$2,FALSE)</f>
        <v>#N/A</v>
      </c>
    </row>
    <row r="52" spans="3:40" x14ac:dyDescent="0.25">
      <c r="C52" s="56" t="s">
        <v>28</v>
      </c>
      <c r="D52" s="78" t="s">
        <v>54</v>
      </c>
      <c r="E52" s="31" t="e">
        <f>VLOOKUP($D52,Résultats!$B$2:$AZ$212,E$2,FALSE)</f>
        <v>#N/A</v>
      </c>
      <c r="F52" s="31" t="e">
        <f>VLOOKUP($D52,Résultats!$B$2:$AZ$212,F$2,FALSE)</f>
        <v>#N/A</v>
      </c>
      <c r="G52" s="31" t="e">
        <f>VLOOKUP($D52,Résultats!$B$2:$AZ$212,G$2,FALSE)</f>
        <v>#N/A</v>
      </c>
      <c r="H52" s="31" t="e">
        <f>VLOOKUP($D52,Résultats!$B$2:$AZ$212,H$2,FALSE)</f>
        <v>#N/A</v>
      </c>
      <c r="I52" s="31" t="e">
        <f>VLOOKUP($D52,Résultats!$B$2:$AZ$212,I$2,FALSE)</f>
        <v>#N/A</v>
      </c>
      <c r="J52" s="31" t="e">
        <f>VLOOKUP($D52,Résultats!$B$2:$AZ$212,J$2,FALSE)</f>
        <v>#N/A</v>
      </c>
      <c r="K52" s="31" t="e">
        <f>VLOOKUP($D52,Résultats!$B$2:$AZ$212,K$2,FALSE)</f>
        <v>#N/A</v>
      </c>
      <c r="L52" s="31" t="e">
        <f>VLOOKUP($D52,Résultats!$B$2:$AZ$212,L$2,FALSE)</f>
        <v>#N/A</v>
      </c>
      <c r="M52" s="31" t="e">
        <f>VLOOKUP($D52,Résultats!$B$2:$AZ$212,M$2,FALSE)</f>
        <v>#N/A</v>
      </c>
      <c r="N52" s="31" t="e">
        <f>VLOOKUP($D52,Résultats!$B$2:$AZ$212,N$2,FALSE)</f>
        <v>#N/A</v>
      </c>
      <c r="O52" s="31" t="e">
        <f>VLOOKUP($D52,Résultats!$B$2:$AZ$212,O$2,FALSE)</f>
        <v>#N/A</v>
      </c>
      <c r="P52" s="31" t="e">
        <f>VLOOKUP($D52,Résultats!$B$2:$AZ$212,P$2,FALSE)</f>
        <v>#N/A</v>
      </c>
      <c r="Q52" s="31" t="e">
        <f>VLOOKUP($D52,Résultats!$B$2:$AZ$212,Q$2,FALSE)</f>
        <v>#N/A</v>
      </c>
      <c r="R52" s="31" t="e">
        <f>VLOOKUP($D52,Résultats!$B$2:$AZ$212,R$2,FALSE)</f>
        <v>#N/A</v>
      </c>
      <c r="S52" s="31" t="e">
        <f>VLOOKUP($D52,Résultats!$B$2:$AZ$212,S$2,FALSE)</f>
        <v>#N/A</v>
      </c>
      <c r="T52" s="31" t="e">
        <f>VLOOKUP($D52,Résultats!$B$2:$AZ$212,T$2,FALSE)</f>
        <v>#N/A</v>
      </c>
      <c r="U52" s="31" t="e">
        <f>VLOOKUP($D52,Résultats!$B$2:$AZ$212,U$2,FALSE)</f>
        <v>#N/A</v>
      </c>
      <c r="V52" s="31" t="e">
        <f>VLOOKUP($D52,Résultats!$B$2:$AZ$212,V$2,FALSE)</f>
        <v>#N/A</v>
      </c>
      <c r="W52" s="31" t="e">
        <f>VLOOKUP($D52,Résultats!$B$2:$AZ$212,W$2,FALSE)</f>
        <v>#N/A</v>
      </c>
      <c r="X52" s="31" t="e">
        <f>VLOOKUP($D52,Résultats!$B$2:$AZ$212,X$2,FALSE)</f>
        <v>#N/A</v>
      </c>
      <c r="Y52" s="31" t="e">
        <f>VLOOKUP($D52,Résultats!$B$2:$AZ$212,Y$2,FALSE)</f>
        <v>#N/A</v>
      </c>
      <c r="Z52" s="31" t="e">
        <f>VLOOKUP($D52,Résultats!$B$2:$AZ$212,Z$2,FALSE)</f>
        <v>#N/A</v>
      </c>
      <c r="AA52" s="31" t="e">
        <f>VLOOKUP($D52,Résultats!$B$2:$AZ$212,AA$2,FALSE)</f>
        <v>#N/A</v>
      </c>
      <c r="AB52" s="31" t="e">
        <f>VLOOKUP($D52,Résultats!$B$2:$AZ$212,AB$2,FALSE)</f>
        <v>#N/A</v>
      </c>
      <c r="AC52" s="31" t="e">
        <f>VLOOKUP($D52,Résultats!$B$2:$AZ$212,AC$2,FALSE)</f>
        <v>#N/A</v>
      </c>
      <c r="AD52" s="31" t="e">
        <f>VLOOKUP($D52,Résultats!$B$2:$AZ$212,AD$2,FALSE)</f>
        <v>#N/A</v>
      </c>
      <c r="AE52" s="31" t="e">
        <f>VLOOKUP($D52,Résultats!$B$2:$AZ$212,AE$2,FALSE)</f>
        <v>#N/A</v>
      </c>
      <c r="AF52" s="31" t="e">
        <f>VLOOKUP($D52,Résultats!$B$2:$AZ$212,AF$2,FALSE)</f>
        <v>#N/A</v>
      </c>
      <c r="AG52" s="31" t="e">
        <f>VLOOKUP($D52,Résultats!$B$2:$AZ$212,AG$2,FALSE)</f>
        <v>#N/A</v>
      </c>
      <c r="AH52" s="31" t="e">
        <f>VLOOKUP($D52,Résultats!$B$2:$AZ$212,AH$2,FALSE)</f>
        <v>#N/A</v>
      </c>
      <c r="AI52" s="31" t="e">
        <f>VLOOKUP($D52,Résultats!$B$2:$AZ$212,AI$2,FALSE)</f>
        <v>#N/A</v>
      </c>
      <c r="AJ52" s="31" t="e">
        <f>VLOOKUP($D52,Résultats!$B$2:$AZ$212,AJ$2,FALSE)</f>
        <v>#N/A</v>
      </c>
      <c r="AK52" s="31" t="e">
        <f>VLOOKUP($D52,Résultats!$B$2:$AZ$212,AK$2,FALSE)</f>
        <v>#N/A</v>
      </c>
      <c r="AL52" s="31" t="e">
        <f>VLOOKUP($D52,Résultats!$B$2:$AZ$212,AL$2,FALSE)</f>
        <v>#N/A</v>
      </c>
      <c r="AM52" s="31" t="e">
        <f>VLOOKUP($D52,Résultats!$B$2:$AZ$212,AM$2,FALSE)</f>
        <v>#N/A</v>
      </c>
    </row>
    <row r="53" spans="3:40" x14ac:dyDescent="0.25">
      <c r="C53" s="56" t="s">
        <v>29</v>
      </c>
      <c r="D53" s="78" t="s">
        <v>55</v>
      </c>
      <c r="E53" s="31" t="e">
        <f>VLOOKUP($D53,Résultats!$B$2:$AZ$212,E$2,FALSE)</f>
        <v>#N/A</v>
      </c>
      <c r="F53" s="31" t="e">
        <f>VLOOKUP($D53,Résultats!$B$2:$AZ$212,F$2,FALSE)</f>
        <v>#N/A</v>
      </c>
      <c r="G53" s="31" t="e">
        <f>VLOOKUP($D53,Résultats!$B$2:$AZ$212,G$2,FALSE)</f>
        <v>#N/A</v>
      </c>
      <c r="H53" s="31" t="e">
        <f>VLOOKUP($D53,Résultats!$B$2:$AZ$212,H$2,FALSE)</f>
        <v>#N/A</v>
      </c>
      <c r="I53" s="31" t="e">
        <f>VLOOKUP($D53,Résultats!$B$2:$AZ$212,I$2,FALSE)</f>
        <v>#N/A</v>
      </c>
      <c r="J53" s="31" t="e">
        <f>VLOOKUP($D53,Résultats!$B$2:$AZ$212,J$2,FALSE)</f>
        <v>#N/A</v>
      </c>
      <c r="K53" s="31" t="e">
        <f>VLOOKUP($D53,Résultats!$B$2:$AZ$212,K$2,FALSE)</f>
        <v>#N/A</v>
      </c>
      <c r="L53" s="31" t="e">
        <f>VLOOKUP($D53,Résultats!$B$2:$AZ$212,L$2,FALSE)</f>
        <v>#N/A</v>
      </c>
      <c r="M53" s="31" t="e">
        <f>VLOOKUP($D53,Résultats!$B$2:$AZ$212,M$2,FALSE)</f>
        <v>#N/A</v>
      </c>
      <c r="N53" s="31" t="e">
        <f>VLOOKUP($D53,Résultats!$B$2:$AZ$212,N$2,FALSE)</f>
        <v>#N/A</v>
      </c>
      <c r="O53" s="31" t="e">
        <f>VLOOKUP($D53,Résultats!$B$2:$AZ$212,O$2,FALSE)</f>
        <v>#N/A</v>
      </c>
      <c r="P53" s="31" t="e">
        <f>VLOOKUP($D53,Résultats!$B$2:$AZ$212,P$2,FALSE)</f>
        <v>#N/A</v>
      </c>
      <c r="Q53" s="31" t="e">
        <f>VLOOKUP($D53,Résultats!$B$2:$AZ$212,Q$2,FALSE)</f>
        <v>#N/A</v>
      </c>
      <c r="R53" s="31" t="e">
        <f>VLOOKUP($D53,Résultats!$B$2:$AZ$212,R$2,FALSE)</f>
        <v>#N/A</v>
      </c>
      <c r="S53" s="31" t="e">
        <f>VLOOKUP($D53,Résultats!$B$2:$AZ$212,S$2,FALSE)</f>
        <v>#N/A</v>
      </c>
      <c r="T53" s="31" t="e">
        <f>VLOOKUP($D53,Résultats!$B$2:$AZ$212,T$2,FALSE)</f>
        <v>#N/A</v>
      </c>
      <c r="U53" s="31" t="e">
        <f>VLOOKUP($D53,Résultats!$B$2:$AZ$212,U$2,FALSE)</f>
        <v>#N/A</v>
      </c>
      <c r="V53" s="31" t="e">
        <f>VLOOKUP($D53,Résultats!$B$2:$AZ$212,V$2,FALSE)</f>
        <v>#N/A</v>
      </c>
      <c r="W53" s="31" t="e">
        <f>VLOOKUP($D53,Résultats!$B$2:$AZ$212,W$2,FALSE)</f>
        <v>#N/A</v>
      </c>
      <c r="X53" s="31" t="e">
        <f>VLOOKUP($D53,Résultats!$B$2:$AZ$212,X$2,FALSE)</f>
        <v>#N/A</v>
      </c>
      <c r="Y53" s="31" t="e">
        <f>VLOOKUP($D53,Résultats!$B$2:$AZ$212,Y$2,FALSE)</f>
        <v>#N/A</v>
      </c>
      <c r="Z53" s="31" t="e">
        <f>VLOOKUP($D53,Résultats!$B$2:$AZ$212,Z$2,FALSE)</f>
        <v>#N/A</v>
      </c>
      <c r="AA53" s="31" t="e">
        <f>VLOOKUP($D53,Résultats!$B$2:$AZ$212,AA$2,FALSE)</f>
        <v>#N/A</v>
      </c>
      <c r="AB53" s="31" t="e">
        <f>VLOOKUP($D53,Résultats!$B$2:$AZ$212,AB$2,FALSE)</f>
        <v>#N/A</v>
      </c>
      <c r="AC53" s="31" t="e">
        <f>VLOOKUP($D53,Résultats!$B$2:$AZ$212,AC$2,FALSE)</f>
        <v>#N/A</v>
      </c>
      <c r="AD53" s="31" t="e">
        <f>VLOOKUP($D53,Résultats!$B$2:$AZ$212,AD$2,FALSE)</f>
        <v>#N/A</v>
      </c>
      <c r="AE53" s="31" t="e">
        <f>VLOOKUP($D53,Résultats!$B$2:$AZ$212,AE$2,FALSE)</f>
        <v>#N/A</v>
      </c>
      <c r="AF53" s="31" t="e">
        <f>VLOOKUP($D53,Résultats!$B$2:$AZ$212,AF$2,FALSE)</f>
        <v>#N/A</v>
      </c>
      <c r="AG53" s="31" t="e">
        <f>VLOOKUP($D53,Résultats!$B$2:$AZ$212,AG$2,FALSE)</f>
        <v>#N/A</v>
      </c>
      <c r="AH53" s="31" t="e">
        <f>VLOOKUP($D53,Résultats!$B$2:$AZ$212,AH$2,FALSE)</f>
        <v>#N/A</v>
      </c>
      <c r="AI53" s="31" t="e">
        <f>VLOOKUP($D53,Résultats!$B$2:$AZ$212,AI$2,FALSE)</f>
        <v>#N/A</v>
      </c>
      <c r="AJ53" s="31" t="e">
        <f>VLOOKUP($D53,Résultats!$B$2:$AZ$212,AJ$2,FALSE)</f>
        <v>#N/A</v>
      </c>
      <c r="AK53" s="31" t="e">
        <f>VLOOKUP($D53,Résultats!$B$2:$AZ$212,AK$2,FALSE)</f>
        <v>#N/A</v>
      </c>
      <c r="AL53" s="31" t="e">
        <f>VLOOKUP($D53,Résultats!$B$2:$AZ$212,AL$2,FALSE)</f>
        <v>#N/A</v>
      </c>
      <c r="AM53" s="31" t="e">
        <f>VLOOKUP($D53,Résultats!$B$2:$AZ$212,AM$2,FALSE)</f>
        <v>#N/A</v>
      </c>
    </row>
    <row r="54" spans="3:40" x14ac:dyDescent="0.25">
      <c r="C54" s="56" t="s">
        <v>30</v>
      </c>
      <c r="D54" s="78" t="s">
        <v>56</v>
      </c>
      <c r="E54" s="31" t="e">
        <f>VLOOKUP($D54,Résultats!$B$2:$AZ$212,E$2,FALSE)</f>
        <v>#N/A</v>
      </c>
      <c r="F54" s="31" t="e">
        <f>VLOOKUP($D54,Résultats!$B$2:$AZ$212,F$2,FALSE)</f>
        <v>#N/A</v>
      </c>
      <c r="G54" s="31" t="e">
        <f>VLOOKUP($D54,Résultats!$B$2:$AZ$212,G$2,FALSE)</f>
        <v>#N/A</v>
      </c>
      <c r="H54" s="31" t="e">
        <f>VLOOKUP($D54,Résultats!$B$2:$AZ$212,H$2,FALSE)</f>
        <v>#N/A</v>
      </c>
      <c r="I54" s="31" t="e">
        <f>VLOOKUP($D54,Résultats!$B$2:$AZ$212,I$2,FALSE)</f>
        <v>#N/A</v>
      </c>
      <c r="J54" s="31" t="e">
        <f>VLOOKUP($D54,Résultats!$B$2:$AZ$212,J$2,FALSE)</f>
        <v>#N/A</v>
      </c>
      <c r="K54" s="31" t="e">
        <f>VLOOKUP($D54,Résultats!$B$2:$AZ$212,K$2,FALSE)</f>
        <v>#N/A</v>
      </c>
      <c r="L54" s="31" t="e">
        <f>VLOOKUP($D54,Résultats!$B$2:$AZ$212,L$2,FALSE)</f>
        <v>#N/A</v>
      </c>
      <c r="M54" s="31" t="e">
        <f>VLOOKUP($D54,Résultats!$B$2:$AZ$212,M$2,FALSE)</f>
        <v>#N/A</v>
      </c>
      <c r="N54" s="31" t="e">
        <f>VLOOKUP($D54,Résultats!$B$2:$AZ$212,N$2,FALSE)</f>
        <v>#N/A</v>
      </c>
      <c r="O54" s="31" t="e">
        <f>VLOOKUP($D54,Résultats!$B$2:$AZ$212,O$2,FALSE)</f>
        <v>#N/A</v>
      </c>
      <c r="P54" s="31" t="e">
        <f>VLOOKUP($D54,Résultats!$B$2:$AZ$212,P$2,FALSE)</f>
        <v>#N/A</v>
      </c>
      <c r="Q54" s="31" t="e">
        <f>VLOOKUP($D54,Résultats!$B$2:$AZ$212,Q$2,FALSE)</f>
        <v>#N/A</v>
      </c>
      <c r="R54" s="31" t="e">
        <f>VLOOKUP($D54,Résultats!$B$2:$AZ$212,R$2,FALSE)</f>
        <v>#N/A</v>
      </c>
      <c r="S54" s="31" t="e">
        <f>VLOOKUP($D54,Résultats!$B$2:$AZ$212,S$2,FALSE)</f>
        <v>#N/A</v>
      </c>
      <c r="T54" s="31" t="e">
        <f>VLOOKUP($D54,Résultats!$B$2:$AZ$212,T$2,FALSE)</f>
        <v>#N/A</v>
      </c>
      <c r="U54" s="31" t="e">
        <f>VLOOKUP($D54,Résultats!$B$2:$AZ$212,U$2,FALSE)</f>
        <v>#N/A</v>
      </c>
      <c r="V54" s="31" t="e">
        <f>VLOOKUP($D54,Résultats!$B$2:$AZ$212,V$2,FALSE)</f>
        <v>#N/A</v>
      </c>
      <c r="W54" s="31" t="e">
        <f>VLOOKUP($D54,Résultats!$B$2:$AZ$212,W$2,FALSE)</f>
        <v>#N/A</v>
      </c>
      <c r="X54" s="31" t="e">
        <f>VLOOKUP($D54,Résultats!$B$2:$AZ$212,X$2,FALSE)</f>
        <v>#N/A</v>
      </c>
      <c r="Y54" s="31" t="e">
        <f>VLOOKUP($D54,Résultats!$B$2:$AZ$212,Y$2,FALSE)</f>
        <v>#N/A</v>
      </c>
      <c r="Z54" s="31" t="e">
        <f>VLOOKUP($D54,Résultats!$B$2:$AZ$212,Z$2,FALSE)</f>
        <v>#N/A</v>
      </c>
      <c r="AA54" s="31" t="e">
        <f>VLOOKUP($D54,Résultats!$B$2:$AZ$212,AA$2,FALSE)</f>
        <v>#N/A</v>
      </c>
      <c r="AB54" s="31" t="e">
        <f>VLOOKUP($D54,Résultats!$B$2:$AZ$212,AB$2,FALSE)</f>
        <v>#N/A</v>
      </c>
      <c r="AC54" s="31" t="e">
        <f>VLOOKUP($D54,Résultats!$B$2:$AZ$212,AC$2,FALSE)</f>
        <v>#N/A</v>
      </c>
      <c r="AD54" s="31" t="e">
        <f>VLOOKUP($D54,Résultats!$B$2:$AZ$212,AD$2,FALSE)</f>
        <v>#N/A</v>
      </c>
      <c r="AE54" s="31" t="e">
        <f>VLOOKUP($D54,Résultats!$B$2:$AZ$212,AE$2,FALSE)</f>
        <v>#N/A</v>
      </c>
      <c r="AF54" s="31" t="e">
        <f>VLOOKUP($D54,Résultats!$B$2:$AZ$212,AF$2,FALSE)</f>
        <v>#N/A</v>
      </c>
      <c r="AG54" s="31" t="e">
        <f>VLOOKUP($D54,Résultats!$B$2:$AZ$212,AG$2,FALSE)</f>
        <v>#N/A</v>
      </c>
      <c r="AH54" s="31" t="e">
        <f>VLOOKUP($D54,Résultats!$B$2:$AZ$212,AH$2,FALSE)</f>
        <v>#N/A</v>
      </c>
      <c r="AI54" s="31" t="e">
        <f>VLOOKUP($D54,Résultats!$B$2:$AZ$212,AI$2,FALSE)</f>
        <v>#N/A</v>
      </c>
      <c r="AJ54" s="31" t="e">
        <f>VLOOKUP($D54,Résultats!$B$2:$AZ$212,AJ$2,FALSE)</f>
        <v>#N/A</v>
      </c>
      <c r="AK54" s="31" t="e">
        <f>VLOOKUP($D54,Résultats!$B$2:$AZ$212,AK$2,FALSE)</f>
        <v>#N/A</v>
      </c>
      <c r="AL54" s="31" t="e">
        <f>VLOOKUP($D54,Résultats!$B$2:$AZ$212,AL$2,FALSE)</f>
        <v>#N/A</v>
      </c>
      <c r="AM54" s="31" t="e">
        <f>VLOOKUP($D54,Résultats!$B$2:$AZ$212,AM$2,FALSE)</f>
        <v>#N/A</v>
      </c>
    </row>
    <row r="55" spans="3:40" x14ac:dyDescent="0.25">
      <c r="C55" s="56" t="s">
        <v>31</v>
      </c>
      <c r="D55" s="78" t="s">
        <v>57</v>
      </c>
      <c r="E55" s="31" t="e">
        <f>VLOOKUP($D55,Résultats!$B$2:$AZ$212,E$2,FALSE)</f>
        <v>#N/A</v>
      </c>
      <c r="F55" s="31" t="e">
        <f>VLOOKUP($D55,Résultats!$B$2:$AZ$212,F$2,FALSE)</f>
        <v>#N/A</v>
      </c>
      <c r="G55" s="31" t="e">
        <f>VLOOKUP($D55,Résultats!$B$2:$AZ$212,G$2,FALSE)</f>
        <v>#N/A</v>
      </c>
      <c r="H55" s="31" t="e">
        <f>VLOOKUP($D55,Résultats!$B$2:$AZ$212,H$2,FALSE)</f>
        <v>#N/A</v>
      </c>
      <c r="I55" s="31" t="e">
        <f>VLOOKUP($D55,Résultats!$B$2:$AZ$212,I$2,FALSE)</f>
        <v>#N/A</v>
      </c>
      <c r="J55" s="31" t="e">
        <f>VLOOKUP($D55,Résultats!$B$2:$AZ$212,J$2,FALSE)</f>
        <v>#N/A</v>
      </c>
      <c r="K55" s="31" t="e">
        <f>VLOOKUP($D55,Résultats!$B$2:$AZ$212,K$2,FALSE)</f>
        <v>#N/A</v>
      </c>
      <c r="L55" s="31" t="e">
        <f>VLOOKUP($D55,Résultats!$B$2:$AZ$212,L$2,FALSE)</f>
        <v>#N/A</v>
      </c>
      <c r="M55" s="31" t="e">
        <f>VLOOKUP($D55,Résultats!$B$2:$AZ$212,M$2,FALSE)</f>
        <v>#N/A</v>
      </c>
      <c r="N55" s="31" t="e">
        <f>VLOOKUP($D55,Résultats!$B$2:$AZ$212,N$2,FALSE)</f>
        <v>#N/A</v>
      </c>
      <c r="O55" s="31" t="e">
        <f>VLOOKUP($D55,Résultats!$B$2:$AZ$212,O$2,FALSE)</f>
        <v>#N/A</v>
      </c>
      <c r="P55" s="31" t="e">
        <f>VLOOKUP($D55,Résultats!$B$2:$AZ$212,P$2,FALSE)</f>
        <v>#N/A</v>
      </c>
      <c r="Q55" s="31" t="e">
        <f>VLOOKUP($D55,Résultats!$B$2:$AZ$212,Q$2,FALSE)</f>
        <v>#N/A</v>
      </c>
      <c r="R55" s="31" t="e">
        <f>VLOOKUP($D55,Résultats!$B$2:$AZ$212,R$2,FALSE)</f>
        <v>#N/A</v>
      </c>
      <c r="S55" s="31" t="e">
        <f>VLOOKUP($D55,Résultats!$B$2:$AZ$212,S$2,FALSE)</f>
        <v>#N/A</v>
      </c>
      <c r="T55" s="31" t="e">
        <f>VLOOKUP($D55,Résultats!$B$2:$AZ$212,T$2,FALSE)</f>
        <v>#N/A</v>
      </c>
      <c r="U55" s="31" t="e">
        <f>VLOOKUP($D55,Résultats!$B$2:$AZ$212,U$2,FALSE)</f>
        <v>#N/A</v>
      </c>
      <c r="V55" s="31" t="e">
        <f>VLOOKUP($D55,Résultats!$B$2:$AZ$212,V$2,FALSE)</f>
        <v>#N/A</v>
      </c>
      <c r="W55" s="31" t="e">
        <f>VLOOKUP($D55,Résultats!$B$2:$AZ$212,W$2,FALSE)</f>
        <v>#N/A</v>
      </c>
      <c r="X55" s="31" t="e">
        <f>VLOOKUP($D55,Résultats!$B$2:$AZ$212,X$2,FALSE)</f>
        <v>#N/A</v>
      </c>
      <c r="Y55" s="31" t="e">
        <f>VLOOKUP($D55,Résultats!$B$2:$AZ$212,Y$2,FALSE)</f>
        <v>#N/A</v>
      </c>
      <c r="Z55" s="31" t="e">
        <f>VLOOKUP($D55,Résultats!$B$2:$AZ$212,Z$2,FALSE)</f>
        <v>#N/A</v>
      </c>
      <c r="AA55" s="31" t="e">
        <f>VLOOKUP($D55,Résultats!$B$2:$AZ$212,AA$2,FALSE)</f>
        <v>#N/A</v>
      </c>
      <c r="AB55" s="31" t="e">
        <f>VLOOKUP($D55,Résultats!$B$2:$AZ$212,AB$2,FALSE)</f>
        <v>#N/A</v>
      </c>
      <c r="AC55" s="31" t="e">
        <f>VLOOKUP($D55,Résultats!$B$2:$AZ$212,AC$2,FALSE)</f>
        <v>#N/A</v>
      </c>
      <c r="AD55" s="31" t="e">
        <f>VLOOKUP($D55,Résultats!$B$2:$AZ$212,AD$2,FALSE)</f>
        <v>#N/A</v>
      </c>
      <c r="AE55" s="31" t="e">
        <f>VLOOKUP($D55,Résultats!$B$2:$AZ$212,AE$2,FALSE)</f>
        <v>#N/A</v>
      </c>
      <c r="AF55" s="31" t="e">
        <f>VLOOKUP($D55,Résultats!$B$2:$AZ$212,AF$2,FALSE)</f>
        <v>#N/A</v>
      </c>
      <c r="AG55" s="31" t="e">
        <f>VLOOKUP($D55,Résultats!$B$2:$AZ$212,AG$2,FALSE)</f>
        <v>#N/A</v>
      </c>
      <c r="AH55" s="31" t="e">
        <f>VLOOKUP($D55,Résultats!$B$2:$AZ$212,AH$2,FALSE)</f>
        <v>#N/A</v>
      </c>
      <c r="AI55" s="31" t="e">
        <f>VLOOKUP($D55,Résultats!$B$2:$AZ$212,AI$2,FALSE)</f>
        <v>#N/A</v>
      </c>
      <c r="AJ55" s="31" t="e">
        <f>VLOOKUP($D55,Résultats!$B$2:$AZ$212,AJ$2,FALSE)</f>
        <v>#N/A</v>
      </c>
      <c r="AK55" s="31" t="e">
        <f>VLOOKUP($D55,Résultats!$B$2:$AZ$212,AK$2,FALSE)</f>
        <v>#N/A</v>
      </c>
      <c r="AL55" s="31" t="e">
        <f>VLOOKUP($D55,Résultats!$B$2:$AZ$212,AL$2,FALSE)</f>
        <v>#N/A</v>
      </c>
      <c r="AM55" s="31" t="e">
        <f>VLOOKUP($D55,Résultats!$B$2:$AZ$212,AM$2,FALSE)</f>
        <v>#N/A</v>
      </c>
    </row>
    <row r="56" spans="3:40" x14ac:dyDescent="0.25">
      <c r="C56" s="56" t="s">
        <v>32</v>
      </c>
      <c r="D56" s="78" t="s">
        <v>58</v>
      </c>
      <c r="E56" s="31" t="e">
        <f>VLOOKUP($D56,Résultats!$B$2:$AZ$212,E$2,FALSE)</f>
        <v>#N/A</v>
      </c>
      <c r="F56" s="31" t="e">
        <f>VLOOKUP($D56,Résultats!$B$2:$AZ$212,F$2,FALSE)</f>
        <v>#N/A</v>
      </c>
      <c r="G56" s="31" t="e">
        <f>VLOOKUP($D56,Résultats!$B$2:$AZ$212,G$2,FALSE)</f>
        <v>#N/A</v>
      </c>
      <c r="H56" s="31" t="e">
        <f>VLOOKUP($D56,Résultats!$B$2:$AZ$212,H$2,FALSE)</f>
        <v>#N/A</v>
      </c>
      <c r="I56" s="31" t="e">
        <f>VLOOKUP($D56,Résultats!$B$2:$AZ$212,I$2,FALSE)</f>
        <v>#N/A</v>
      </c>
      <c r="J56" s="31" t="e">
        <f>VLOOKUP($D56,Résultats!$B$2:$AZ$212,J$2,FALSE)</f>
        <v>#N/A</v>
      </c>
      <c r="K56" s="31" t="e">
        <f>VLOOKUP($D56,Résultats!$B$2:$AZ$212,K$2,FALSE)</f>
        <v>#N/A</v>
      </c>
      <c r="L56" s="31" t="e">
        <f>VLOOKUP($D56,Résultats!$B$2:$AZ$212,L$2,FALSE)</f>
        <v>#N/A</v>
      </c>
      <c r="M56" s="31" t="e">
        <f>VLOOKUP($D56,Résultats!$B$2:$AZ$212,M$2,FALSE)</f>
        <v>#N/A</v>
      </c>
      <c r="N56" s="31" t="e">
        <f>VLOOKUP($D56,Résultats!$B$2:$AZ$212,N$2,FALSE)</f>
        <v>#N/A</v>
      </c>
      <c r="O56" s="31" t="e">
        <f>VLOOKUP($D56,Résultats!$B$2:$AZ$212,O$2,FALSE)</f>
        <v>#N/A</v>
      </c>
      <c r="P56" s="31" t="e">
        <f>VLOOKUP($D56,Résultats!$B$2:$AZ$212,P$2,FALSE)</f>
        <v>#N/A</v>
      </c>
      <c r="Q56" s="31" t="e">
        <f>VLOOKUP($D56,Résultats!$B$2:$AZ$212,Q$2,FALSE)</f>
        <v>#N/A</v>
      </c>
      <c r="R56" s="31" t="e">
        <f>VLOOKUP($D56,Résultats!$B$2:$AZ$212,R$2,FALSE)</f>
        <v>#N/A</v>
      </c>
      <c r="S56" s="31" t="e">
        <f>VLOOKUP($D56,Résultats!$B$2:$AZ$212,S$2,FALSE)</f>
        <v>#N/A</v>
      </c>
      <c r="T56" s="31" t="e">
        <f>VLOOKUP($D56,Résultats!$B$2:$AZ$212,T$2,FALSE)</f>
        <v>#N/A</v>
      </c>
      <c r="U56" s="31" t="e">
        <f>VLOOKUP($D56,Résultats!$B$2:$AZ$212,U$2,FALSE)</f>
        <v>#N/A</v>
      </c>
      <c r="V56" s="31" t="e">
        <f>VLOOKUP($D56,Résultats!$B$2:$AZ$212,V$2,FALSE)</f>
        <v>#N/A</v>
      </c>
      <c r="W56" s="31" t="e">
        <f>VLOOKUP($D56,Résultats!$B$2:$AZ$212,W$2,FALSE)</f>
        <v>#N/A</v>
      </c>
      <c r="X56" s="31" t="e">
        <f>VLOOKUP($D56,Résultats!$B$2:$AZ$212,X$2,FALSE)</f>
        <v>#N/A</v>
      </c>
      <c r="Y56" s="31" t="e">
        <f>VLOOKUP($D56,Résultats!$B$2:$AZ$212,Y$2,FALSE)</f>
        <v>#N/A</v>
      </c>
      <c r="Z56" s="31" t="e">
        <f>VLOOKUP($D56,Résultats!$B$2:$AZ$212,Z$2,FALSE)</f>
        <v>#N/A</v>
      </c>
      <c r="AA56" s="31" t="e">
        <f>VLOOKUP($D56,Résultats!$B$2:$AZ$212,AA$2,FALSE)</f>
        <v>#N/A</v>
      </c>
      <c r="AB56" s="31" t="e">
        <f>VLOOKUP($D56,Résultats!$B$2:$AZ$212,AB$2,FALSE)</f>
        <v>#N/A</v>
      </c>
      <c r="AC56" s="31" t="e">
        <f>VLOOKUP($D56,Résultats!$B$2:$AZ$212,AC$2,FALSE)</f>
        <v>#N/A</v>
      </c>
      <c r="AD56" s="31" t="e">
        <f>VLOOKUP($D56,Résultats!$B$2:$AZ$212,AD$2,FALSE)</f>
        <v>#N/A</v>
      </c>
      <c r="AE56" s="31" t="e">
        <f>VLOOKUP($D56,Résultats!$B$2:$AZ$212,AE$2,FALSE)</f>
        <v>#N/A</v>
      </c>
      <c r="AF56" s="31" t="e">
        <f>VLOOKUP($D56,Résultats!$B$2:$AZ$212,AF$2,FALSE)</f>
        <v>#N/A</v>
      </c>
      <c r="AG56" s="31" t="e">
        <f>VLOOKUP($D56,Résultats!$B$2:$AZ$212,AG$2,FALSE)</f>
        <v>#N/A</v>
      </c>
      <c r="AH56" s="31" t="e">
        <f>VLOOKUP($D56,Résultats!$B$2:$AZ$212,AH$2,FALSE)</f>
        <v>#N/A</v>
      </c>
      <c r="AI56" s="31" t="e">
        <f>VLOOKUP($D56,Résultats!$B$2:$AZ$212,AI$2,FALSE)</f>
        <v>#N/A</v>
      </c>
      <c r="AJ56" s="31" t="e">
        <f>VLOOKUP($D56,Résultats!$B$2:$AZ$212,AJ$2,FALSE)</f>
        <v>#N/A</v>
      </c>
      <c r="AK56" s="31" t="e">
        <f>VLOOKUP($D56,Résultats!$B$2:$AZ$212,AK$2,FALSE)</f>
        <v>#N/A</v>
      </c>
      <c r="AL56" s="31" t="e">
        <f>VLOOKUP($D56,Résultats!$B$2:$AZ$212,AL$2,FALSE)</f>
        <v>#N/A</v>
      </c>
      <c r="AM56" s="31" t="e">
        <f>VLOOKUP($D56,Résultats!$B$2:$AZ$212,AM$2,FALSE)</f>
        <v>#N/A</v>
      </c>
    </row>
    <row r="57" spans="3:40" x14ac:dyDescent="0.25">
      <c r="C57" s="56" t="s">
        <v>33</v>
      </c>
      <c r="D57" s="78" t="s">
        <v>59</v>
      </c>
      <c r="E57" s="31" t="e">
        <f>VLOOKUP($D57,Résultats!$B$2:$AZ$212,E$2,FALSE)</f>
        <v>#N/A</v>
      </c>
      <c r="F57" s="31" t="e">
        <f>VLOOKUP($D57,Résultats!$B$2:$AZ$212,F$2,FALSE)</f>
        <v>#N/A</v>
      </c>
      <c r="G57" s="31" t="e">
        <f>VLOOKUP($D57,Résultats!$B$2:$AZ$212,G$2,FALSE)</f>
        <v>#N/A</v>
      </c>
      <c r="H57" s="31" t="e">
        <f>VLOOKUP($D57,Résultats!$B$2:$AZ$212,H$2,FALSE)</f>
        <v>#N/A</v>
      </c>
      <c r="I57" s="31" t="e">
        <f>VLOOKUP($D57,Résultats!$B$2:$AZ$212,I$2,FALSE)</f>
        <v>#N/A</v>
      </c>
      <c r="J57" s="31" t="e">
        <f>VLOOKUP($D57,Résultats!$B$2:$AZ$212,J$2,FALSE)</f>
        <v>#N/A</v>
      </c>
      <c r="K57" s="31" t="e">
        <f>VLOOKUP($D57,Résultats!$B$2:$AZ$212,K$2,FALSE)</f>
        <v>#N/A</v>
      </c>
      <c r="L57" s="31" t="e">
        <f>VLOOKUP($D57,Résultats!$B$2:$AZ$212,L$2,FALSE)</f>
        <v>#N/A</v>
      </c>
      <c r="M57" s="31" t="e">
        <f>VLOOKUP($D57,Résultats!$B$2:$AZ$212,M$2,FALSE)</f>
        <v>#N/A</v>
      </c>
      <c r="N57" s="31" t="e">
        <f>VLOOKUP($D57,Résultats!$B$2:$AZ$212,N$2,FALSE)</f>
        <v>#N/A</v>
      </c>
      <c r="O57" s="31" t="e">
        <f>VLOOKUP($D57,Résultats!$B$2:$AZ$212,O$2,FALSE)</f>
        <v>#N/A</v>
      </c>
      <c r="P57" s="31" t="e">
        <f>VLOOKUP($D57,Résultats!$B$2:$AZ$212,P$2,FALSE)</f>
        <v>#N/A</v>
      </c>
      <c r="Q57" s="31" t="e">
        <f>VLOOKUP($D57,Résultats!$B$2:$AZ$212,Q$2,FALSE)</f>
        <v>#N/A</v>
      </c>
      <c r="R57" s="31" t="e">
        <f>VLOOKUP($D57,Résultats!$B$2:$AZ$212,R$2,FALSE)</f>
        <v>#N/A</v>
      </c>
      <c r="S57" s="31" t="e">
        <f>VLOOKUP($D57,Résultats!$B$2:$AZ$212,S$2,FALSE)</f>
        <v>#N/A</v>
      </c>
      <c r="T57" s="31" t="e">
        <f>VLOOKUP($D57,Résultats!$B$2:$AZ$212,T$2,FALSE)</f>
        <v>#N/A</v>
      </c>
      <c r="U57" s="31" t="e">
        <f>VLOOKUP($D57,Résultats!$B$2:$AZ$212,U$2,FALSE)</f>
        <v>#N/A</v>
      </c>
      <c r="V57" s="31" t="e">
        <f>VLOOKUP($D57,Résultats!$B$2:$AZ$212,V$2,FALSE)</f>
        <v>#N/A</v>
      </c>
      <c r="W57" s="31" t="e">
        <f>VLOOKUP($D57,Résultats!$B$2:$AZ$212,W$2,FALSE)</f>
        <v>#N/A</v>
      </c>
      <c r="X57" s="31" t="e">
        <f>VLOOKUP($D57,Résultats!$B$2:$AZ$212,X$2,FALSE)</f>
        <v>#N/A</v>
      </c>
      <c r="Y57" s="31" t="e">
        <f>VLOOKUP($D57,Résultats!$B$2:$AZ$212,Y$2,FALSE)</f>
        <v>#N/A</v>
      </c>
      <c r="Z57" s="31" t="e">
        <f>VLOOKUP($D57,Résultats!$B$2:$AZ$212,Z$2,FALSE)</f>
        <v>#N/A</v>
      </c>
      <c r="AA57" s="31" t="e">
        <f>VLOOKUP($D57,Résultats!$B$2:$AZ$212,AA$2,FALSE)</f>
        <v>#N/A</v>
      </c>
      <c r="AB57" s="31" t="e">
        <f>VLOOKUP($D57,Résultats!$B$2:$AZ$212,AB$2,FALSE)</f>
        <v>#N/A</v>
      </c>
      <c r="AC57" s="31" t="e">
        <f>VLOOKUP($D57,Résultats!$B$2:$AZ$212,AC$2,FALSE)</f>
        <v>#N/A</v>
      </c>
      <c r="AD57" s="31" t="e">
        <f>VLOOKUP($D57,Résultats!$B$2:$AZ$212,AD$2,FALSE)</f>
        <v>#N/A</v>
      </c>
      <c r="AE57" s="31" t="e">
        <f>VLOOKUP($D57,Résultats!$B$2:$AZ$212,AE$2,FALSE)</f>
        <v>#N/A</v>
      </c>
      <c r="AF57" s="31" t="e">
        <f>VLOOKUP($D57,Résultats!$B$2:$AZ$212,AF$2,FALSE)</f>
        <v>#N/A</v>
      </c>
      <c r="AG57" s="31" t="e">
        <f>VLOOKUP($D57,Résultats!$B$2:$AZ$212,AG$2,FALSE)</f>
        <v>#N/A</v>
      </c>
      <c r="AH57" s="31" t="e">
        <f>VLOOKUP($D57,Résultats!$B$2:$AZ$212,AH$2,FALSE)</f>
        <v>#N/A</v>
      </c>
      <c r="AI57" s="31" t="e">
        <f>VLOOKUP($D57,Résultats!$B$2:$AZ$212,AI$2,FALSE)</f>
        <v>#N/A</v>
      </c>
      <c r="AJ57" s="31" t="e">
        <f>VLOOKUP($D57,Résultats!$B$2:$AZ$212,AJ$2,FALSE)</f>
        <v>#N/A</v>
      </c>
      <c r="AK57" s="31" t="e">
        <f>VLOOKUP($D57,Résultats!$B$2:$AZ$212,AK$2,FALSE)</f>
        <v>#N/A</v>
      </c>
      <c r="AL57" s="31" t="e">
        <f>VLOOKUP($D57,Résultats!$B$2:$AZ$212,AL$2,FALSE)</f>
        <v>#N/A</v>
      </c>
      <c r="AM57" s="31" t="e">
        <f>VLOOKUP($D57,Résultats!$B$2:$AZ$212,AM$2,FALSE)</f>
        <v>#N/A</v>
      </c>
    </row>
    <row r="58" spans="3:40" x14ac:dyDescent="0.25">
      <c r="C58" s="88" t="s">
        <v>119</v>
      </c>
      <c r="D58" s="76" t="s">
        <v>61</v>
      </c>
      <c r="E58" s="85" t="e">
        <f>VLOOKUP($D58,Résultats!$B$2:$AZ$212,E$2,FALSE)</f>
        <v>#N/A</v>
      </c>
      <c r="F58" s="85" t="e">
        <f>VLOOKUP($D58,Résultats!$B$2:$AZ$212,F$2,FALSE)</f>
        <v>#N/A</v>
      </c>
      <c r="G58" s="85" t="e">
        <f>VLOOKUP($D58,Résultats!$B$2:$AZ$212,G$2,FALSE)</f>
        <v>#N/A</v>
      </c>
      <c r="H58" s="85" t="e">
        <f>VLOOKUP($D58,Résultats!$B$2:$AZ$212,H$2,FALSE)</f>
        <v>#N/A</v>
      </c>
      <c r="I58" s="85" t="e">
        <f>VLOOKUP($D58,Résultats!$B$2:$AZ$212,I$2,FALSE)</f>
        <v>#N/A</v>
      </c>
      <c r="J58" s="85" t="e">
        <f>VLOOKUP($D58,Résultats!$B$2:$AZ$212,J$2,FALSE)</f>
        <v>#N/A</v>
      </c>
      <c r="K58" s="85" t="e">
        <f>VLOOKUP($D58,Résultats!$B$2:$AZ$212,K$2,FALSE)</f>
        <v>#N/A</v>
      </c>
      <c r="L58" s="85" t="e">
        <f>VLOOKUP($D58,Résultats!$B$2:$AZ$212,L$2,FALSE)</f>
        <v>#N/A</v>
      </c>
      <c r="M58" s="85" t="e">
        <f>VLOOKUP($D58,Résultats!$B$2:$AZ$212,M$2,FALSE)</f>
        <v>#N/A</v>
      </c>
      <c r="N58" s="85" t="e">
        <f>VLOOKUP($D58,Résultats!$B$2:$AZ$212,N$2,FALSE)</f>
        <v>#N/A</v>
      </c>
      <c r="O58" s="85" t="e">
        <f>VLOOKUP($D58,Résultats!$B$2:$AZ$212,O$2,FALSE)</f>
        <v>#N/A</v>
      </c>
      <c r="P58" s="85" t="e">
        <f>VLOOKUP($D58,Résultats!$B$2:$AZ$212,P$2,FALSE)</f>
        <v>#N/A</v>
      </c>
      <c r="Q58" s="85" t="e">
        <f>VLOOKUP($D58,Résultats!$B$2:$AZ$212,Q$2,FALSE)</f>
        <v>#N/A</v>
      </c>
      <c r="R58" s="85" t="e">
        <f>VLOOKUP($D58,Résultats!$B$2:$AZ$212,R$2,FALSE)</f>
        <v>#N/A</v>
      </c>
      <c r="S58" s="85" t="e">
        <f>VLOOKUP($D58,Résultats!$B$2:$AZ$212,S$2,FALSE)</f>
        <v>#N/A</v>
      </c>
      <c r="T58" s="85" t="e">
        <f>VLOOKUP($D58,Résultats!$B$2:$AZ$212,T$2,FALSE)</f>
        <v>#N/A</v>
      </c>
      <c r="U58" s="85" t="e">
        <f>VLOOKUP($D58,Résultats!$B$2:$AZ$212,U$2,FALSE)</f>
        <v>#N/A</v>
      </c>
      <c r="V58" s="85" t="e">
        <f>VLOOKUP($D58,Résultats!$B$2:$AZ$212,V$2,FALSE)</f>
        <v>#N/A</v>
      </c>
      <c r="W58" s="85" t="e">
        <f>VLOOKUP($D58,Résultats!$B$2:$AZ$212,W$2,FALSE)</f>
        <v>#N/A</v>
      </c>
      <c r="X58" s="85" t="e">
        <f>VLOOKUP($D58,Résultats!$B$2:$AZ$212,X$2,FALSE)</f>
        <v>#N/A</v>
      </c>
      <c r="Y58" s="85" t="e">
        <f>VLOOKUP($D58,Résultats!$B$2:$AZ$212,Y$2,FALSE)</f>
        <v>#N/A</v>
      </c>
      <c r="Z58" s="85" t="e">
        <f>VLOOKUP($D58,Résultats!$B$2:$AZ$212,Z$2,FALSE)</f>
        <v>#N/A</v>
      </c>
      <c r="AA58" s="85" t="e">
        <f>VLOOKUP($D58,Résultats!$B$2:$AZ$212,AA$2,FALSE)</f>
        <v>#N/A</v>
      </c>
      <c r="AB58" s="85" t="e">
        <f>VLOOKUP($D58,Résultats!$B$2:$AZ$212,AB$2,FALSE)</f>
        <v>#N/A</v>
      </c>
      <c r="AC58" s="85" t="e">
        <f>VLOOKUP($D58,Résultats!$B$2:$AZ$212,AC$2,FALSE)</f>
        <v>#N/A</v>
      </c>
      <c r="AD58" s="85" t="e">
        <f>VLOOKUP($D58,Résultats!$B$2:$AZ$212,AD$2,FALSE)</f>
        <v>#N/A</v>
      </c>
      <c r="AE58" s="85" t="e">
        <f>VLOOKUP($D58,Résultats!$B$2:$AZ$212,AE$2,FALSE)</f>
        <v>#N/A</v>
      </c>
      <c r="AF58" s="85" t="e">
        <f>VLOOKUP($D58,Résultats!$B$2:$AZ$212,AF$2,FALSE)</f>
        <v>#N/A</v>
      </c>
      <c r="AG58" s="85" t="e">
        <f>VLOOKUP($D58,Résultats!$B$2:$AZ$212,AG$2,FALSE)</f>
        <v>#N/A</v>
      </c>
      <c r="AH58" s="85" t="e">
        <f>VLOOKUP($D58,Résultats!$B$2:$AZ$212,AH$2,FALSE)</f>
        <v>#N/A</v>
      </c>
      <c r="AI58" s="85" t="e">
        <f>VLOOKUP($D58,Résultats!$B$2:$AZ$212,AI$2,FALSE)</f>
        <v>#N/A</v>
      </c>
      <c r="AJ58" s="85" t="e">
        <f>VLOOKUP($D58,Résultats!$B$2:$AZ$212,AJ$2,FALSE)</f>
        <v>#N/A</v>
      </c>
      <c r="AK58" s="85" t="e">
        <f>VLOOKUP($D58,Résultats!$B$2:$AZ$212,AK$2,FALSE)</f>
        <v>#N/A</v>
      </c>
      <c r="AL58" s="85" t="e">
        <f>VLOOKUP($D58,Résultats!$B$2:$AZ$212,AL$2,FALSE)</f>
        <v>#N/A</v>
      </c>
      <c r="AM58" s="85" t="e">
        <f>VLOOKUP($D58,Résultats!$B$2:$AZ$212,AM$2,FALSE)</f>
        <v>#N/A</v>
      </c>
      <c r="AN58" s="21"/>
    </row>
    <row r="59" spans="3:40" x14ac:dyDescent="0.25">
      <c r="C59" s="56" t="s">
        <v>27</v>
      </c>
      <c r="D59" s="78" t="s">
        <v>46</v>
      </c>
      <c r="E59" s="89" t="e">
        <f>VLOOKUP($D59,Résultats!$B$2:$AZ$212,E$2,FALSE)</f>
        <v>#N/A</v>
      </c>
      <c r="F59" s="89" t="e">
        <f>VLOOKUP($D59,Résultats!$B$2:$AZ$212,F$2,FALSE)</f>
        <v>#N/A</v>
      </c>
      <c r="G59" s="89" t="e">
        <f>VLOOKUP($D59,Résultats!$B$2:$AZ$212,G$2,FALSE)</f>
        <v>#N/A</v>
      </c>
      <c r="H59" s="89" t="e">
        <f>VLOOKUP($D59,Résultats!$B$2:$AZ$212,H$2,FALSE)</f>
        <v>#N/A</v>
      </c>
      <c r="I59" s="89" t="e">
        <f>VLOOKUP($D59,Résultats!$B$2:$AZ$212,I$2,FALSE)</f>
        <v>#N/A</v>
      </c>
      <c r="J59" s="89" t="e">
        <f>VLOOKUP($D59,Résultats!$B$2:$AZ$212,J$2,FALSE)</f>
        <v>#N/A</v>
      </c>
      <c r="K59" s="89" t="e">
        <f>VLOOKUP($D59,Résultats!$B$2:$AZ$212,K$2,FALSE)</f>
        <v>#N/A</v>
      </c>
      <c r="L59" s="89" t="e">
        <f>VLOOKUP($D59,Résultats!$B$2:$AZ$212,L$2,FALSE)</f>
        <v>#N/A</v>
      </c>
      <c r="M59" s="89" t="e">
        <f>VLOOKUP($D59,Résultats!$B$2:$AZ$212,M$2,FALSE)</f>
        <v>#N/A</v>
      </c>
      <c r="N59" s="89" t="e">
        <f>VLOOKUP($D59,Résultats!$B$2:$AZ$212,N$2,FALSE)</f>
        <v>#N/A</v>
      </c>
      <c r="O59" s="89" t="e">
        <f>VLOOKUP($D59,Résultats!$B$2:$AZ$212,O$2,FALSE)</f>
        <v>#N/A</v>
      </c>
      <c r="P59" s="89" t="e">
        <f>VLOOKUP($D59,Résultats!$B$2:$AZ$212,P$2,FALSE)</f>
        <v>#N/A</v>
      </c>
      <c r="Q59" s="89" t="e">
        <f>VLOOKUP($D59,Résultats!$B$2:$AZ$212,Q$2,FALSE)</f>
        <v>#N/A</v>
      </c>
      <c r="R59" s="89" t="e">
        <f>VLOOKUP($D59,Résultats!$B$2:$AZ$212,R$2,FALSE)</f>
        <v>#N/A</v>
      </c>
      <c r="S59" s="89" t="e">
        <f>VLOOKUP($D59,Résultats!$B$2:$AZ$212,S$2,FALSE)</f>
        <v>#N/A</v>
      </c>
      <c r="T59" s="89" t="e">
        <f>VLOOKUP($D59,Résultats!$B$2:$AZ$212,T$2,FALSE)</f>
        <v>#N/A</v>
      </c>
      <c r="U59" s="89" t="e">
        <f>VLOOKUP($D59,Résultats!$B$2:$AZ$212,U$2,FALSE)</f>
        <v>#N/A</v>
      </c>
      <c r="V59" s="89" t="e">
        <f>VLOOKUP($D59,Résultats!$B$2:$AZ$212,V$2,FALSE)</f>
        <v>#N/A</v>
      </c>
      <c r="W59" s="89" t="e">
        <f>VLOOKUP($D59,Résultats!$B$2:$AZ$212,W$2,FALSE)</f>
        <v>#N/A</v>
      </c>
      <c r="X59" s="89" t="e">
        <f>VLOOKUP($D59,Résultats!$B$2:$AZ$212,X$2,FALSE)</f>
        <v>#N/A</v>
      </c>
      <c r="Y59" s="89" t="e">
        <f>VLOOKUP($D59,Résultats!$B$2:$AZ$212,Y$2,FALSE)</f>
        <v>#N/A</v>
      </c>
      <c r="Z59" s="89" t="e">
        <f>VLOOKUP($D59,Résultats!$B$2:$AZ$212,Z$2,FALSE)</f>
        <v>#N/A</v>
      </c>
      <c r="AA59" s="89" t="e">
        <f>VLOOKUP($D59,Résultats!$B$2:$AZ$212,AA$2,FALSE)</f>
        <v>#N/A</v>
      </c>
      <c r="AB59" s="89" t="e">
        <f>VLOOKUP($D59,Résultats!$B$2:$AZ$212,AB$2,FALSE)</f>
        <v>#N/A</v>
      </c>
      <c r="AC59" s="89" t="e">
        <f>VLOOKUP($D59,Résultats!$B$2:$AZ$212,AC$2,FALSE)</f>
        <v>#N/A</v>
      </c>
      <c r="AD59" s="89" t="e">
        <f>VLOOKUP($D59,Résultats!$B$2:$AZ$212,AD$2,FALSE)</f>
        <v>#N/A</v>
      </c>
      <c r="AE59" s="89" t="e">
        <f>VLOOKUP($D59,Résultats!$B$2:$AZ$212,AE$2,FALSE)</f>
        <v>#N/A</v>
      </c>
      <c r="AF59" s="89" t="e">
        <f>VLOOKUP($D59,Résultats!$B$2:$AZ$212,AF$2,FALSE)</f>
        <v>#N/A</v>
      </c>
      <c r="AG59" s="89" t="e">
        <f>VLOOKUP($D59,Résultats!$B$2:$AZ$212,AG$2,FALSE)</f>
        <v>#N/A</v>
      </c>
      <c r="AH59" s="89" t="e">
        <f>VLOOKUP($D59,Résultats!$B$2:$AZ$212,AH$2,FALSE)</f>
        <v>#N/A</v>
      </c>
      <c r="AI59" s="89" t="e">
        <f>VLOOKUP($D59,Résultats!$B$2:$AZ$212,AI$2,FALSE)</f>
        <v>#N/A</v>
      </c>
      <c r="AJ59" s="89" t="e">
        <f>VLOOKUP($D59,Résultats!$B$2:$AZ$212,AJ$2,FALSE)</f>
        <v>#N/A</v>
      </c>
      <c r="AK59" s="89" t="e">
        <f>VLOOKUP($D59,Résultats!$B$2:$AZ$212,AK$2,FALSE)</f>
        <v>#N/A</v>
      </c>
      <c r="AL59" s="89" t="e">
        <f>VLOOKUP($D59,Résultats!$B$2:$AZ$212,AL$2,FALSE)</f>
        <v>#N/A</v>
      </c>
      <c r="AM59" s="89" t="e">
        <f>VLOOKUP($D59,Résultats!$B$2:$AZ$212,AM$2,FALSE)</f>
        <v>#N/A</v>
      </c>
    </row>
    <row r="60" spans="3:40" x14ac:dyDescent="0.25">
      <c r="C60" s="56" t="s">
        <v>28</v>
      </c>
      <c r="D60" s="78" t="s">
        <v>47</v>
      </c>
      <c r="E60" s="89" t="e">
        <f>VLOOKUP($D60,Résultats!$B$2:$AZ$212,E$2,FALSE)</f>
        <v>#N/A</v>
      </c>
      <c r="F60" s="89" t="e">
        <f>VLOOKUP($D60,Résultats!$B$2:$AZ$212,F$2,FALSE)</f>
        <v>#N/A</v>
      </c>
      <c r="G60" s="89" t="e">
        <f>VLOOKUP($D60,Résultats!$B$2:$AZ$212,G$2,FALSE)</f>
        <v>#N/A</v>
      </c>
      <c r="H60" s="89" t="e">
        <f>VLOOKUP($D60,Résultats!$B$2:$AZ$212,H$2,FALSE)</f>
        <v>#N/A</v>
      </c>
      <c r="I60" s="89" t="e">
        <f>VLOOKUP($D60,Résultats!$B$2:$AZ$212,I$2,FALSE)</f>
        <v>#N/A</v>
      </c>
      <c r="J60" s="89" t="e">
        <f>VLOOKUP($D60,Résultats!$B$2:$AZ$212,J$2,FALSE)</f>
        <v>#N/A</v>
      </c>
      <c r="K60" s="89" t="e">
        <f>VLOOKUP($D60,Résultats!$B$2:$AZ$212,K$2,FALSE)</f>
        <v>#N/A</v>
      </c>
      <c r="L60" s="89" t="e">
        <f>VLOOKUP($D60,Résultats!$B$2:$AZ$212,L$2,FALSE)</f>
        <v>#N/A</v>
      </c>
      <c r="M60" s="89" t="e">
        <f>VLOOKUP($D60,Résultats!$B$2:$AZ$212,M$2,FALSE)</f>
        <v>#N/A</v>
      </c>
      <c r="N60" s="89" t="e">
        <f>VLOOKUP($D60,Résultats!$B$2:$AZ$212,N$2,FALSE)</f>
        <v>#N/A</v>
      </c>
      <c r="O60" s="89" t="e">
        <f>VLOOKUP($D60,Résultats!$B$2:$AZ$212,O$2,FALSE)</f>
        <v>#N/A</v>
      </c>
      <c r="P60" s="89" t="e">
        <f>VLOOKUP($D60,Résultats!$B$2:$AZ$212,P$2,FALSE)</f>
        <v>#N/A</v>
      </c>
      <c r="Q60" s="89" t="e">
        <f>VLOOKUP($D60,Résultats!$B$2:$AZ$212,Q$2,FALSE)</f>
        <v>#N/A</v>
      </c>
      <c r="R60" s="89" t="e">
        <f>VLOOKUP($D60,Résultats!$B$2:$AZ$212,R$2,FALSE)</f>
        <v>#N/A</v>
      </c>
      <c r="S60" s="89" t="e">
        <f>VLOOKUP($D60,Résultats!$B$2:$AZ$212,S$2,FALSE)</f>
        <v>#N/A</v>
      </c>
      <c r="T60" s="89" t="e">
        <f>VLOOKUP($D60,Résultats!$B$2:$AZ$212,T$2,FALSE)</f>
        <v>#N/A</v>
      </c>
      <c r="U60" s="89" t="e">
        <f>VLOOKUP($D60,Résultats!$B$2:$AZ$212,U$2,FALSE)</f>
        <v>#N/A</v>
      </c>
      <c r="V60" s="89" t="e">
        <f>VLOOKUP($D60,Résultats!$B$2:$AZ$212,V$2,FALSE)</f>
        <v>#N/A</v>
      </c>
      <c r="W60" s="89" t="e">
        <f>VLOOKUP($D60,Résultats!$B$2:$AZ$212,W$2,FALSE)</f>
        <v>#N/A</v>
      </c>
      <c r="X60" s="89" t="e">
        <f>VLOOKUP($D60,Résultats!$B$2:$AZ$212,X$2,FALSE)</f>
        <v>#N/A</v>
      </c>
      <c r="Y60" s="89" t="e">
        <f>VLOOKUP($D60,Résultats!$B$2:$AZ$212,Y$2,FALSE)</f>
        <v>#N/A</v>
      </c>
      <c r="Z60" s="89" t="e">
        <f>VLOOKUP($D60,Résultats!$B$2:$AZ$212,Z$2,FALSE)</f>
        <v>#N/A</v>
      </c>
      <c r="AA60" s="89" t="e">
        <f>VLOOKUP($D60,Résultats!$B$2:$AZ$212,AA$2,FALSE)</f>
        <v>#N/A</v>
      </c>
      <c r="AB60" s="89" t="e">
        <f>VLOOKUP($D60,Résultats!$B$2:$AZ$212,AB$2,FALSE)</f>
        <v>#N/A</v>
      </c>
      <c r="AC60" s="89" t="e">
        <f>VLOOKUP($D60,Résultats!$B$2:$AZ$212,AC$2,FALSE)</f>
        <v>#N/A</v>
      </c>
      <c r="AD60" s="89" t="e">
        <f>VLOOKUP($D60,Résultats!$B$2:$AZ$212,AD$2,FALSE)</f>
        <v>#N/A</v>
      </c>
      <c r="AE60" s="89" t="e">
        <f>VLOOKUP($D60,Résultats!$B$2:$AZ$212,AE$2,FALSE)</f>
        <v>#N/A</v>
      </c>
      <c r="AF60" s="89" t="e">
        <f>VLOOKUP($D60,Résultats!$B$2:$AZ$212,AF$2,FALSE)</f>
        <v>#N/A</v>
      </c>
      <c r="AG60" s="89" t="e">
        <f>VLOOKUP($D60,Résultats!$B$2:$AZ$212,AG$2,FALSE)</f>
        <v>#N/A</v>
      </c>
      <c r="AH60" s="89" t="e">
        <f>VLOOKUP($D60,Résultats!$B$2:$AZ$212,AH$2,FALSE)</f>
        <v>#N/A</v>
      </c>
      <c r="AI60" s="89" t="e">
        <f>VLOOKUP($D60,Résultats!$B$2:$AZ$212,AI$2,FALSE)</f>
        <v>#N/A</v>
      </c>
      <c r="AJ60" s="89" t="e">
        <f>VLOOKUP($D60,Résultats!$B$2:$AZ$212,AJ$2,FALSE)</f>
        <v>#N/A</v>
      </c>
      <c r="AK60" s="89" t="e">
        <f>VLOOKUP($D60,Résultats!$B$2:$AZ$212,AK$2,FALSE)</f>
        <v>#N/A</v>
      </c>
      <c r="AL60" s="89" t="e">
        <f>VLOOKUP($D60,Résultats!$B$2:$AZ$212,AL$2,FALSE)</f>
        <v>#N/A</v>
      </c>
      <c r="AM60" s="89" t="e">
        <f>VLOOKUP($D60,Résultats!$B$2:$AZ$212,AM$2,FALSE)</f>
        <v>#N/A</v>
      </c>
    </row>
    <row r="61" spans="3:40" x14ac:dyDescent="0.25">
      <c r="C61" s="56" t="s">
        <v>29</v>
      </c>
      <c r="D61" s="78" t="s">
        <v>48</v>
      </c>
      <c r="E61" s="89" t="e">
        <f>VLOOKUP($D61,Résultats!$B$2:$AZ$212,E$2,FALSE)</f>
        <v>#N/A</v>
      </c>
      <c r="F61" s="89" t="e">
        <f>VLOOKUP($D61,Résultats!$B$2:$AZ$212,F$2,FALSE)</f>
        <v>#N/A</v>
      </c>
      <c r="G61" s="89" t="e">
        <f>VLOOKUP($D61,Résultats!$B$2:$AZ$212,G$2,FALSE)</f>
        <v>#N/A</v>
      </c>
      <c r="H61" s="89" t="e">
        <f>VLOOKUP($D61,Résultats!$B$2:$AZ$212,H$2,FALSE)</f>
        <v>#N/A</v>
      </c>
      <c r="I61" s="89" t="e">
        <f>VLOOKUP($D61,Résultats!$B$2:$AZ$212,I$2,FALSE)</f>
        <v>#N/A</v>
      </c>
      <c r="J61" s="89" t="e">
        <f>VLOOKUP($D61,Résultats!$B$2:$AZ$212,J$2,FALSE)</f>
        <v>#N/A</v>
      </c>
      <c r="K61" s="89" t="e">
        <f>VLOOKUP($D61,Résultats!$B$2:$AZ$212,K$2,FALSE)</f>
        <v>#N/A</v>
      </c>
      <c r="L61" s="89" t="e">
        <f>VLOOKUP($D61,Résultats!$B$2:$AZ$212,L$2,FALSE)</f>
        <v>#N/A</v>
      </c>
      <c r="M61" s="89" t="e">
        <f>VLOOKUP($D61,Résultats!$B$2:$AZ$212,M$2,FALSE)</f>
        <v>#N/A</v>
      </c>
      <c r="N61" s="89" t="e">
        <f>VLOOKUP($D61,Résultats!$B$2:$AZ$212,N$2,FALSE)</f>
        <v>#N/A</v>
      </c>
      <c r="O61" s="89" t="e">
        <f>VLOOKUP($D61,Résultats!$B$2:$AZ$212,O$2,FALSE)</f>
        <v>#N/A</v>
      </c>
      <c r="P61" s="89" t="e">
        <f>VLOOKUP($D61,Résultats!$B$2:$AZ$212,P$2,FALSE)</f>
        <v>#N/A</v>
      </c>
      <c r="Q61" s="89" t="e">
        <f>VLOOKUP($D61,Résultats!$B$2:$AZ$212,Q$2,FALSE)</f>
        <v>#N/A</v>
      </c>
      <c r="R61" s="89" t="e">
        <f>VLOOKUP($D61,Résultats!$B$2:$AZ$212,R$2,FALSE)</f>
        <v>#N/A</v>
      </c>
      <c r="S61" s="89" t="e">
        <f>VLOOKUP($D61,Résultats!$B$2:$AZ$212,S$2,FALSE)</f>
        <v>#N/A</v>
      </c>
      <c r="T61" s="89" t="e">
        <f>VLOOKUP($D61,Résultats!$B$2:$AZ$212,T$2,FALSE)</f>
        <v>#N/A</v>
      </c>
      <c r="U61" s="89" t="e">
        <f>VLOOKUP($D61,Résultats!$B$2:$AZ$212,U$2,FALSE)</f>
        <v>#N/A</v>
      </c>
      <c r="V61" s="89" t="e">
        <f>VLOOKUP($D61,Résultats!$B$2:$AZ$212,V$2,FALSE)</f>
        <v>#N/A</v>
      </c>
      <c r="W61" s="89" t="e">
        <f>VLOOKUP($D61,Résultats!$B$2:$AZ$212,W$2,FALSE)</f>
        <v>#N/A</v>
      </c>
      <c r="X61" s="89" t="e">
        <f>VLOOKUP($D61,Résultats!$B$2:$AZ$212,X$2,FALSE)</f>
        <v>#N/A</v>
      </c>
      <c r="Y61" s="89" t="e">
        <f>VLOOKUP($D61,Résultats!$B$2:$AZ$212,Y$2,FALSE)</f>
        <v>#N/A</v>
      </c>
      <c r="Z61" s="89" t="e">
        <f>VLOOKUP($D61,Résultats!$B$2:$AZ$212,Z$2,FALSE)</f>
        <v>#N/A</v>
      </c>
      <c r="AA61" s="89" t="e">
        <f>VLOOKUP($D61,Résultats!$B$2:$AZ$212,AA$2,FALSE)</f>
        <v>#N/A</v>
      </c>
      <c r="AB61" s="89" t="e">
        <f>VLOOKUP($D61,Résultats!$B$2:$AZ$212,AB$2,FALSE)</f>
        <v>#N/A</v>
      </c>
      <c r="AC61" s="89" t="e">
        <f>VLOOKUP($D61,Résultats!$B$2:$AZ$212,AC$2,FALSE)</f>
        <v>#N/A</v>
      </c>
      <c r="AD61" s="89" t="e">
        <f>VLOOKUP($D61,Résultats!$B$2:$AZ$212,AD$2,FALSE)</f>
        <v>#N/A</v>
      </c>
      <c r="AE61" s="89" t="e">
        <f>VLOOKUP($D61,Résultats!$B$2:$AZ$212,AE$2,FALSE)</f>
        <v>#N/A</v>
      </c>
      <c r="AF61" s="89" t="e">
        <f>VLOOKUP($D61,Résultats!$B$2:$AZ$212,AF$2,FALSE)</f>
        <v>#N/A</v>
      </c>
      <c r="AG61" s="89" t="e">
        <f>VLOOKUP($D61,Résultats!$B$2:$AZ$212,AG$2,FALSE)</f>
        <v>#N/A</v>
      </c>
      <c r="AH61" s="89" t="e">
        <f>VLOOKUP($D61,Résultats!$B$2:$AZ$212,AH$2,FALSE)</f>
        <v>#N/A</v>
      </c>
      <c r="AI61" s="89" t="e">
        <f>VLOOKUP($D61,Résultats!$B$2:$AZ$212,AI$2,FALSE)</f>
        <v>#N/A</v>
      </c>
      <c r="AJ61" s="89" t="e">
        <f>VLOOKUP($D61,Résultats!$B$2:$AZ$212,AJ$2,FALSE)</f>
        <v>#N/A</v>
      </c>
      <c r="AK61" s="89" t="e">
        <f>VLOOKUP($D61,Résultats!$B$2:$AZ$212,AK$2,FALSE)</f>
        <v>#N/A</v>
      </c>
      <c r="AL61" s="89" t="e">
        <f>VLOOKUP($D61,Résultats!$B$2:$AZ$212,AL$2,FALSE)</f>
        <v>#N/A</v>
      </c>
      <c r="AM61" s="89" t="e">
        <f>VLOOKUP($D61,Résultats!$B$2:$AZ$212,AM$2,FALSE)</f>
        <v>#N/A</v>
      </c>
    </row>
    <row r="62" spans="3:40" x14ac:dyDescent="0.25">
      <c r="C62" s="56" t="s">
        <v>30</v>
      </c>
      <c r="D62" s="78" t="s">
        <v>49</v>
      </c>
      <c r="E62" s="89" t="e">
        <f>VLOOKUP($D62,Résultats!$B$2:$AZ$212,E$2,FALSE)</f>
        <v>#N/A</v>
      </c>
      <c r="F62" s="89" t="e">
        <f>VLOOKUP($D62,Résultats!$B$2:$AZ$212,F$2,FALSE)</f>
        <v>#N/A</v>
      </c>
      <c r="G62" s="89" t="e">
        <f>VLOOKUP($D62,Résultats!$B$2:$AZ$212,G$2,FALSE)</f>
        <v>#N/A</v>
      </c>
      <c r="H62" s="89" t="e">
        <f>VLOOKUP($D62,Résultats!$B$2:$AZ$212,H$2,FALSE)</f>
        <v>#N/A</v>
      </c>
      <c r="I62" s="89" t="e">
        <f>VLOOKUP($D62,Résultats!$B$2:$AZ$212,I$2,FALSE)</f>
        <v>#N/A</v>
      </c>
      <c r="J62" s="89" t="e">
        <f>VLOOKUP($D62,Résultats!$B$2:$AZ$212,J$2,FALSE)</f>
        <v>#N/A</v>
      </c>
      <c r="K62" s="89" t="e">
        <f>VLOOKUP($D62,Résultats!$B$2:$AZ$212,K$2,FALSE)</f>
        <v>#N/A</v>
      </c>
      <c r="L62" s="89" t="e">
        <f>VLOOKUP($D62,Résultats!$B$2:$AZ$212,L$2,FALSE)</f>
        <v>#N/A</v>
      </c>
      <c r="M62" s="89" t="e">
        <f>VLOOKUP($D62,Résultats!$B$2:$AZ$212,M$2,FALSE)</f>
        <v>#N/A</v>
      </c>
      <c r="N62" s="89" t="e">
        <f>VLOOKUP($D62,Résultats!$B$2:$AZ$212,N$2,FALSE)</f>
        <v>#N/A</v>
      </c>
      <c r="O62" s="89" t="e">
        <f>VLOOKUP($D62,Résultats!$B$2:$AZ$212,O$2,FALSE)</f>
        <v>#N/A</v>
      </c>
      <c r="P62" s="89" t="e">
        <f>VLOOKUP($D62,Résultats!$B$2:$AZ$212,P$2,FALSE)</f>
        <v>#N/A</v>
      </c>
      <c r="Q62" s="89" t="e">
        <f>VLOOKUP($D62,Résultats!$B$2:$AZ$212,Q$2,FALSE)</f>
        <v>#N/A</v>
      </c>
      <c r="R62" s="89" t="e">
        <f>VLOOKUP($D62,Résultats!$B$2:$AZ$212,R$2,FALSE)</f>
        <v>#N/A</v>
      </c>
      <c r="S62" s="89" t="e">
        <f>VLOOKUP($D62,Résultats!$B$2:$AZ$212,S$2,FALSE)</f>
        <v>#N/A</v>
      </c>
      <c r="T62" s="89" t="e">
        <f>VLOOKUP($D62,Résultats!$B$2:$AZ$212,T$2,FALSE)</f>
        <v>#N/A</v>
      </c>
      <c r="U62" s="89" t="e">
        <f>VLOOKUP($D62,Résultats!$B$2:$AZ$212,U$2,FALSE)</f>
        <v>#N/A</v>
      </c>
      <c r="V62" s="89" t="e">
        <f>VLOOKUP($D62,Résultats!$B$2:$AZ$212,V$2,FALSE)</f>
        <v>#N/A</v>
      </c>
      <c r="W62" s="89" t="e">
        <f>VLOOKUP($D62,Résultats!$B$2:$AZ$212,W$2,FALSE)</f>
        <v>#N/A</v>
      </c>
      <c r="X62" s="89" t="e">
        <f>VLOOKUP($D62,Résultats!$B$2:$AZ$212,X$2,FALSE)</f>
        <v>#N/A</v>
      </c>
      <c r="Y62" s="89" t="e">
        <f>VLOOKUP($D62,Résultats!$B$2:$AZ$212,Y$2,FALSE)</f>
        <v>#N/A</v>
      </c>
      <c r="Z62" s="89" t="e">
        <f>VLOOKUP($D62,Résultats!$B$2:$AZ$212,Z$2,FALSE)</f>
        <v>#N/A</v>
      </c>
      <c r="AA62" s="89" t="e">
        <f>VLOOKUP($D62,Résultats!$B$2:$AZ$212,AA$2,FALSE)</f>
        <v>#N/A</v>
      </c>
      <c r="AB62" s="89" t="e">
        <f>VLOOKUP($D62,Résultats!$B$2:$AZ$212,AB$2,FALSE)</f>
        <v>#N/A</v>
      </c>
      <c r="AC62" s="89" t="e">
        <f>VLOOKUP($D62,Résultats!$B$2:$AZ$212,AC$2,FALSE)</f>
        <v>#N/A</v>
      </c>
      <c r="AD62" s="89" t="e">
        <f>VLOOKUP($D62,Résultats!$B$2:$AZ$212,AD$2,FALSE)</f>
        <v>#N/A</v>
      </c>
      <c r="AE62" s="89" t="e">
        <f>VLOOKUP($D62,Résultats!$B$2:$AZ$212,AE$2,FALSE)</f>
        <v>#N/A</v>
      </c>
      <c r="AF62" s="89" t="e">
        <f>VLOOKUP($D62,Résultats!$B$2:$AZ$212,AF$2,FALSE)</f>
        <v>#N/A</v>
      </c>
      <c r="AG62" s="89" t="e">
        <f>VLOOKUP($D62,Résultats!$B$2:$AZ$212,AG$2,FALSE)</f>
        <v>#N/A</v>
      </c>
      <c r="AH62" s="89" t="e">
        <f>VLOOKUP($D62,Résultats!$B$2:$AZ$212,AH$2,FALSE)</f>
        <v>#N/A</v>
      </c>
      <c r="AI62" s="89" t="e">
        <f>VLOOKUP($D62,Résultats!$B$2:$AZ$212,AI$2,FALSE)</f>
        <v>#N/A</v>
      </c>
      <c r="AJ62" s="89" t="e">
        <f>VLOOKUP($D62,Résultats!$B$2:$AZ$212,AJ$2,FALSE)</f>
        <v>#N/A</v>
      </c>
      <c r="AK62" s="89" t="e">
        <f>VLOOKUP($D62,Résultats!$B$2:$AZ$212,AK$2,FALSE)</f>
        <v>#N/A</v>
      </c>
      <c r="AL62" s="89" t="e">
        <f>VLOOKUP($D62,Résultats!$B$2:$AZ$212,AL$2,FALSE)</f>
        <v>#N/A</v>
      </c>
      <c r="AM62" s="89" t="e">
        <f>VLOOKUP($D62,Résultats!$B$2:$AZ$212,AM$2,FALSE)</f>
        <v>#N/A</v>
      </c>
    </row>
    <row r="63" spans="3:40" x14ac:dyDescent="0.25">
      <c r="C63" s="56" t="s">
        <v>31</v>
      </c>
      <c r="D63" s="78" t="s">
        <v>50</v>
      </c>
      <c r="E63" s="89" t="e">
        <f>VLOOKUP($D63,Résultats!$B$2:$AZ$212,E$2,FALSE)</f>
        <v>#N/A</v>
      </c>
      <c r="F63" s="89" t="e">
        <f>VLOOKUP($D63,Résultats!$B$2:$AZ$212,F$2,FALSE)</f>
        <v>#N/A</v>
      </c>
      <c r="G63" s="89" t="e">
        <f>VLOOKUP($D63,Résultats!$B$2:$AZ$212,G$2,FALSE)</f>
        <v>#N/A</v>
      </c>
      <c r="H63" s="89" t="e">
        <f>VLOOKUP($D63,Résultats!$B$2:$AZ$212,H$2,FALSE)</f>
        <v>#N/A</v>
      </c>
      <c r="I63" s="89" t="e">
        <f>VLOOKUP($D63,Résultats!$B$2:$AZ$212,I$2,FALSE)</f>
        <v>#N/A</v>
      </c>
      <c r="J63" s="89" t="e">
        <f>VLOOKUP($D63,Résultats!$B$2:$AZ$212,J$2,FALSE)</f>
        <v>#N/A</v>
      </c>
      <c r="K63" s="89" t="e">
        <f>VLOOKUP($D63,Résultats!$B$2:$AZ$212,K$2,FALSE)</f>
        <v>#N/A</v>
      </c>
      <c r="L63" s="89" t="e">
        <f>VLOOKUP($D63,Résultats!$B$2:$AZ$212,L$2,FALSE)</f>
        <v>#N/A</v>
      </c>
      <c r="M63" s="89" t="e">
        <f>VLOOKUP($D63,Résultats!$B$2:$AZ$212,M$2,FALSE)</f>
        <v>#N/A</v>
      </c>
      <c r="N63" s="89" t="e">
        <f>VLOOKUP($D63,Résultats!$B$2:$AZ$212,N$2,FALSE)</f>
        <v>#N/A</v>
      </c>
      <c r="O63" s="89" t="e">
        <f>VLOOKUP($D63,Résultats!$B$2:$AZ$212,O$2,FALSE)</f>
        <v>#N/A</v>
      </c>
      <c r="P63" s="89" t="e">
        <f>VLOOKUP($D63,Résultats!$B$2:$AZ$212,P$2,FALSE)</f>
        <v>#N/A</v>
      </c>
      <c r="Q63" s="89" t="e">
        <f>VLOOKUP($D63,Résultats!$B$2:$AZ$212,Q$2,FALSE)</f>
        <v>#N/A</v>
      </c>
      <c r="R63" s="89" t="e">
        <f>VLOOKUP($D63,Résultats!$B$2:$AZ$212,R$2,FALSE)</f>
        <v>#N/A</v>
      </c>
      <c r="S63" s="89" t="e">
        <f>VLOOKUP($D63,Résultats!$B$2:$AZ$212,S$2,FALSE)</f>
        <v>#N/A</v>
      </c>
      <c r="T63" s="89" t="e">
        <f>VLOOKUP($D63,Résultats!$B$2:$AZ$212,T$2,FALSE)</f>
        <v>#N/A</v>
      </c>
      <c r="U63" s="89" t="e">
        <f>VLOOKUP($D63,Résultats!$B$2:$AZ$212,U$2,FALSE)</f>
        <v>#N/A</v>
      </c>
      <c r="V63" s="89" t="e">
        <f>VLOOKUP($D63,Résultats!$B$2:$AZ$212,V$2,FALSE)</f>
        <v>#N/A</v>
      </c>
      <c r="W63" s="89" t="e">
        <f>VLOOKUP($D63,Résultats!$B$2:$AZ$212,W$2,FALSE)</f>
        <v>#N/A</v>
      </c>
      <c r="X63" s="89" t="e">
        <f>VLOOKUP($D63,Résultats!$B$2:$AZ$212,X$2,FALSE)</f>
        <v>#N/A</v>
      </c>
      <c r="Y63" s="89" t="e">
        <f>VLOOKUP($D63,Résultats!$B$2:$AZ$212,Y$2,FALSE)</f>
        <v>#N/A</v>
      </c>
      <c r="Z63" s="89" t="e">
        <f>VLOOKUP($D63,Résultats!$B$2:$AZ$212,Z$2,FALSE)</f>
        <v>#N/A</v>
      </c>
      <c r="AA63" s="89" t="e">
        <f>VLOOKUP($D63,Résultats!$B$2:$AZ$212,AA$2,FALSE)</f>
        <v>#N/A</v>
      </c>
      <c r="AB63" s="89" t="e">
        <f>VLOOKUP($D63,Résultats!$B$2:$AZ$212,AB$2,FALSE)</f>
        <v>#N/A</v>
      </c>
      <c r="AC63" s="89" t="e">
        <f>VLOOKUP($D63,Résultats!$B$2:$AZ$212,AC$2,FALSE)</f>
        <v>#N/A</v>
      </c>
      <c r="AD63" s="89" t="e">
        <f>VLOOKUP($D63,Résultats!$B$2:$AZ$212,AD$2,FALSE)</f>
        <v>#N/A</v>
      </c>
      <c r="AE63" s="89" t="e">
        <f>VLOOKUP($D63,Résultats!$B$2:$AZ$212,AE$2,FALSE)</f>
        <v>#N/A</v>
      </c>
      <c r="AF63" s="89" t="e">
        <f>VLOOKUP($D63,Résultats!$B$2:$AZ$212,AF$2,FALSE)</f>
        <v>#N/A</v>
      </c>
      <c r="AG63" s="89" t="e">
        <f>VLOOKUP($D63,Résultats!$B$2:$AZ$212,AG$2,FALSE)</f>
        <v>#N/A</v>
      </c>
      <c r="AH63" s="89" t="e">
        <f>VLOOKUP($D63,Résultats!$B$2:$AZ$212,AH$2,FALSE)</f>
        <v>#N/A</v>
      </c>
      <c r="AI63" s="89" t="e">
        <f>VLOOKUP($D63,Résultats!$B$2:$AZ$212,AI$2,FALSE)</f>
        <v>#N/A</v>
      </c>
      <c r="AJ63" s="89" t="e">
        <f>VLOOKUP($D63,Résultats!$B$2:$AZ$212,AJ$2,FALSE)</f>
        <v>#N/A</v>
      </c>
      <c r="AK63" s="89" t="e">
        <f>VLOOKUP($D63,Résultats!$B$2:$AZ$212,AK$2,FALSE)</f>
        <v>#N/A</v>
      </c>
      <c r="AL63" s="89" t="e">
        <f>VLOOKUP($D63,Résultats!$B$2:$AZ$212,AL$2,FALSE)</f>
        <v>#N/A</v>
      </c>
      <c r="AM63" s="89" t="e">
        <f>VLOOKUP($D63,Résultats!$B$2:$AZ$212,AM$2,FALSE)</f>
        <v>#N/A</v>
      </c>
    </row>
    <row r="64" spans="3:40" x14ac:dyDescent="0.25">
      <c r="C64" s="56" t="s">
        <v>32</v>
      </c>
      <c r="D64" s="78" t="s">
        <v>51</v>
      </c>
      <c r="E64" s="89" t="e">
        <f>VLOOKUP($D64,Résultats!$B$2:$AZ$212,E$2,FALSE)</f>
        <v>#N/A</v>
      </c>
      <c r="F64" s="89" t="e">
        <f>VLOOKUP($D64,Résultats!$B$2:$AZ$212,F$2,FALSE)</f>
        <v>#N/A</v>
      </c>
      <c r="G64" s="89" t="e">
        <f>VLOOKUP($D64,Résultats!$B$2:$AZ$212,G$2,FALSE)</f>
        <v>#N/A</v>
      </c>
      <c r="H64" s="89" t="e">
        <f>VLOOKUP($D64,Résultats!$B$2:$AZ$212,H$2,FALSE)</f>
        <v>#N/A</v>
      </c>
      <c r="I64" s="89" t="e">
        <f>VLOOKUP($D64,Résultats!$B$2:$AZ$212,I$2,FALSE)</f>
        <v>#N/A</v>
      </c>
      <c r="J64" s="89" t="e">
        <f>VLOOKUP($D64,Résultats!$B$2:$AZ$212,J$2,FALSE)</f>
        <v>#N/A</v>
      </c>
      <c r="K64" s="89" t="e">
        <f>VLOOKUP($D64,Résultats!$B$2:$AZ$212,K$2,FALSE)</f>
        <v>#N/A</v>
      </c>
      <c r="L64" s="89" t="e">
        <f>VLOOKUP($D64,Résultats!$B$2:$AZ$212,L$2,FALSE)</f>
        <v>#N/A</v>
      </c>
      <c r="M64" s="89" t="e">
        <f>VLOOKUP($D64,Résultats!$B$2:$AZ$212,M$2,FALSE)</f>
        <v>#N/A</v>
      </c>
      <c r="N64" s="89" t="e">
        <f>VLOOKUP($D64,Résultats!$B$2:$AZ$212,N$2,FALSE)</f>
        <v>#N/A</v>
      </c>
      <c r="O64" s="89" t="e">
        <f>VLOOKUP($D64,Résultats!$B$2:$AZ$212,O$2,FALSE)</f>
        <v>#N/A</v>
      </c>
      <c r="P64" s="89" t="e">
        <f>VLOOKUP($D64,Résultats!$B$2:$AZ$212,P$2,FALSE)</f>
        <v>#N/A</v>
      </c>
      <c r="Q64" s="89" t="e">
        <f>VLOOKUP($D64,Résultats!$B$2:$AZ$212,Q$2,FALSE)</f>
        <v>#N/A</v>
      </c>
      <c r="R64" s="89" t="e">
        <f>VLOOKUP($D64,Résultats!$B$2:$AZ$212,R$2,FALSE)</f>
        <v>#N/A</v>
      </c>
      <c r="S64" s="89" t="e">
        <f>VLOOKUP($D64,Résultats!$B$2:$AZ$212,S$2,FALSE)</f>
        <v>#N/A</v>
      </c>
      <c r="T64" s="89" t="e">
        <f>VLOOKUP($D64,Résultats!$B$2:$AZ$212,T$2,FALSE)</f>
        <v>#N/A</v>
      </c>
      <c r="U64" s="89" t="e">
        <f>VLOOKUP($D64,Résultats!$B$2:$AZ$212,U$2,FALSE)</f>
        <v>#N/A</v>
      </c>
      <c r="V64" s="89" t="e">
        <f>VLOOKUP($D64,Résultats!$B$2:$AZ$212,V$2,FALSE)</f>
        <v>#N/A</v>
      </c>
      <c r="W64" s="89" t="e">
        <f>VLOOKUP($D64,Résultats!$B$2:$AZ$212,W$2,FALSE)</f>
        <v>#N/A</v>
      </c>
      <c r="X64" s="89" t="e">
        <f>VLOOKUP($D64,Résultats!$B$2:$AZ$212,X$2,FALSE)</f>
        <v>#N/A</v>
      </c>
      <c r="Y64" s="89" t="e">
        <f>VLOOKUP($D64,Résultats!$B$2:$AZ$212,Y$2,FALSE)</f>
        <v>#N/A</v>
      </c>
      <c r="Z64" s="89" t="e">
        <f>VLOOKUP($D64,Résultats!$B$2:$AZ$212,Z$2,FALSE)</f>
        <v>#N/A</v>
      </c>
      <c r="AA64" s="89" t="e">
        <f>VLOOKUP($D64,Résultats!$B$2:$AZ$212,AA$2,FALSE)</f>
        <v>#N/A</v>
      </c>
      <c r="AB64" s="89" t="e">
        <f>VLOOKUP($D64,Résultats!$B$2:$AZ$212,AB$2,FALSE)</f>
        <v>#N/A</v>
      </c>
      <c r="AC64" s="89" t="e">
        <f>VLOOKUP($D64,Résultats!$B$2:$AZ$212,AC$2,FALSE)</f>
        <v>#N/A</v>
      </c>
      <c r="AD64" s="89" t="e">
        <f>VLOOKUP($D64,Résultats!$B$2:$AZ$212,AD$2,FALSE)</f>
        <v>#N/A</v>
      </c>
      <c r="AE64" s="89" t="e">
        <f>VLOOKUP($D64,Résultats!$B$2:$AZ$212,AE$2,FALSE)</f>
        <v>#N/A</v>
      </c>
      <c r="AF64" s="89" t="e">
        <f>VLOOKUP($D64,Résultats!$B$2:$AZ$212,AF$2,FALSE)</f>
        <v>#N/A</v>
      </c>
      <c r="AG64" s="89" t="e">
        <f>VLOOKUP($D64,Résultats!$B$2:$AZ$212,AG$2,FALSE)</f>
        <v>#N/A</v>
      </c>
      <c r="AH64" s="89" t="e">
        <f>VLOOKUP($D64,Résultats!$B$2:$AZ$212,AH$2,FALSE)</f>
        <v>#N/A</v>
      </c>
      <c r="AI64" s="89" t="e">
        <f>VLOOKUP($D64,Résultats!$B$2:$AZ$212,AI$2,FALSE)</f>
        <v>#N/A</v>
      </c>
      <c r="AJ64" s="89" t="e">
        <f>VLOOKUP($D64,Résultats!$B$2:$AZ$212,AJ$2,FALSE)</f>
        <v>#N/A</v>
      </c>
      <c r="AK64" s="89" t="e">
        <f>VLOOKUP($D64,Résultats!$B$2:$AZ$212,AK$2,FALSE)</f>
        <v>#N/A</v>
      </c>
      <c r="AL64" s="89" t="e">
        <f>VLOOKUP($D64,Résultats!$B$2:$AZ$212,AL$2,FALSE)</f>
        <v>#N/A</v>
      </c>
      <c r="AM64" s="89" t="e">
        <f>VLOOKUP($D64,Résultats!$B$2:$AZ$212,AM$2,FALSE)</f>
        <v>#N/A</v>
      </c>
    </row>
    <row r="65" spans="2:39" x14ac:dyDescent="0.25">
      <c r="C65" s="56" t="s">
        <v>33</v>
      </c>
      <c r="D65" s="78" t="s">
        <v>52</v>
      </c>
      <c r="E65" s="89" t="e">
        <f>VLOOKUP($D65,Résultats!$B$2:$AZ$212,E$2,FALSE)</f>
        <v>#N/A</v>
      </c>
      <c r="F65" s="89" t="e">
        <f>VLOOKUP($D65,Résultats!$B$2:$AZ$212,F$2,FALSE)</f>
        <v>#N/A</v>
      </c>
      <c r="G65" s="89" t="e">
        <f>VLOOKUP($D65,Résultats!$B$2:$AZ$212,G$2,FALSE)</f>
        <v>#N/A</v>
      </c>
      <c r="H65" s="89" t="e">
        <f>VLOOKUP($D65,Résultats!$B$2:$AZ$212,H$2,FALSE)</f>
        <v>#N/A</v>
      </c>
      <c r="I65" s="89" t="e">
        <f>VLOOKUP($D65,Résultats!$B$2:$AZ$212,I$2,FALSE)</f>
        <v>#N/A</v>
      </c>
      <c r="J65" s="89" t="e">
        <f>VLOOKUP($D65,Résultats!$B$2:$AZ$212,J$2,FALSE)</f>
        <v>#N/A</v>
      </c>
      <c r="K65" s="89" t="e">
        <f>VLOOKUP($D65,Résultats!$B$2:$AZ$212,K$2,FALSE)</f>
        <v>#N/A</v>
      </c>
      <c r="L65" s="89" t="e">
        <f>VLOOKUP($D65,Résultats!$B$2:$AZ$212,L$2,FALSE)</f>
        <v>#N/A</v>
      </c>
      <c r="M65" s="89" t="e">
        <f>VLOOKUP($D65,Résultats!$B$2:$AZ$212,M$2,FALSE)</f>
        <v>#N/A</v>
      </c>
      <c r="N65" s="89" t="e">
        <f>VLOOKUP($D65,Résultats!$B$2:$AZ$212,N$2,FALSE)</f>
        <v>#N/A</v>
      </c>
      <c r="O65" s="89" t="e">
        <f>VLOOKUP($D65,Résultats!$B$2:$AZ$212,O$2,FALSE)</f>
        <v>#N/A</v>
      </c>
      <c r="P65" s="89" t="e">
        <f>VLOOKUP($D65,Résultats!$B$2:$AZ$212,P$2,FALSE)</f>
        <v>#N/A</v>
      </c>
      <c r="Q65" s="89" t="e">
        <f>VLOOKUP($D65,Résultats!$B$2:$AZ$212,Q$2,FALSE)</f>
        <v>#N/A</v>
      </c>
      <c r="R65" s="89" t="e">
        <f>VLOOKUP($D65,Résultats!$B$2:$AZ$212,R$2,FALSE)</f>
        <v>#N/A</v>
      </c>
      <c r="S65" s="89" t="e">
        <f>VLOOKUP($D65,Résultats!$B$2:$AZ$212,S$2,FALSE)</f>
        <v>#N/A</v>
      </c>
      <c r="T65" s="89" t="e">
        <f>VLOOKUP($D65,Résultats!$B$2:$AZ$212,T$2,FALSE)</f>
        <v>#N/A</v>
      </c>
      <c r="U65" s="89" t="e">
        <f>VLOOKUP($D65,Résultats!$B$2:$AZ$212,U$2,FALSE)</f>
        <v>#N/A</v>
      </c>
      <c r="V65" s="89" t="e">
        <f>VLOOKUP($D65,Résultats!$B$2:$AZ$212,V$2,FALSE)</f>
        <v>#N/A</v>
      </c>
      <c r="W65" s="89" t="e">
        <f>VLOOKUP($D65,Résultats!$B$2:$AZ$212,W$2,FALSE)</f>
        <v>#N/A</v>
      </c>
      <c r="X65" s="89" t="e">
        <f>VLOOKUP($D65,Résultats!$B$2:$AZ$212,X$2,FALSE)</f>
        <v>#N/A</v>
      </c>
      <c r="Y65" s="89" t="e">
        <f>VLOOKUP($D65,Résultats!$B$2:$AZ$212,Y$2,FALSE)</f>
        <v>#N/A</v>
      </c>
      <c r="Z65" s="89" t="e">
        <f>VLOOKUP($D65,Résultats!$B$2:$AZ$212,Z$2,FALSE)</f>
        <v>#N/A</v>
      </c>
      <c r="AA65" s="89" t="e">
        <f>VLOOKUP($D65,Résultats!$B$2:$AZ$212,AA$2,FALSE)</f>
        <v>#N/A</v>
      </c>
      <c r="AB65" s="89" t="e">
        <f>VLOOKUP($D65,Résultats!$B$2:$AZ$212,AB$2,FALSE)</f>
        <v>#N/A</v>
      </c>
      <c r="AC65" s="89" t="e">
        <f>VLOOKUP($D65,Résultats!$B$2:$AZ$212,AC$2,FALSE)</f>
        <v>#N/A</v>
      </c>
      <c r="AD65" s="89" t="e">
        <f>VLOOKUP($D65,Résultats!$B$2:$AZ$212,AD$2,FALSE)</f>
        <v>#N/A</v>
      </c>
      <c r="AE65" s="89" t="e">
        <f>VLOOKUP($D65,Résultats!$B$2:$AZ$212,AE$2,FALSE)</f>
        <v>#N/A</v>
      </c>
      <c r="AF65" s="89" t="e">
        <f>VLOOKUP($D65,Résultats!$B$2:$AZ$212,AF$2,FALSE)</f>
        <v>#N/A</v>
      </c>
      <c r="AG65" s="89" t="e">
        <f>VLOOKUP($D65,Résultats!$B$2:$AZ$212,AG$2,FALSE)</f>
        <v>#N/A</v>
      </c>
      <c r="AH65" s="89" t="e">
        <f>VLOOKUP($D65,Résultats!$B$2:$AZ$212,AH$2,FALSE)</f>
        <v>#N/A</v>
      </c>
      <c r="AI65" s="89" t="e">
        <f>VLOOKUP($D65,Résultats!$B$2:$AZ$212,AI$2,FALSE)</f>
        <v>#N/A</v>
      </c>
      <c r="AJ65" s="89" t="e">
        <f>VLOOKUP($D65,Résultats!$B$2:$AZ$212,AJ$2,FALSE)</f>
        <v>#N/A</v>
      </c>
      <c r="AK65" s="89" t="e">
        <f>VLOOKUP($D65,Résultats!$B$2:$AZ$212,AK$2,FALSE)</f>
        <v>#N/A</v>
      </c>
      <c r="AL65" s="89" t="e">
        <f>VLOOKUP($D65,Résultats!$B$2:$AZ$212,AL$2,FALSE)</f>
        <v>#N/A</v>
      </c>
      <c r="AM65" s="89" t="e">
        <f>VLOOKUP($D65,Résultats!$B$2:$AZ$212,AM$2,FALSE)</f>
        <v>#N/A</v>
      </c>
    </row>
    <row r="68" spans="2:39" x14ac:dyDescent="0.25">
      <c r="C68" s="12"/>
      <c r="D68" s="12"/>
      <c r="E68" s="117">
        <v>2016</v>
      </c>
      <c r="F68" s="117">
        <v>2017</v>
      </c>
      <c r="G68" s="117">
        <v>2018</v>
      </c>
      <c r="H68" s="117">
        <v>2019</v>
      </c>
      <c r="I68" s="117">
        <v>2020</v>
      </c>
      <c r="J68" s="26">
        <v>2021</v>
      </c>
      <c r="K68" s="4">
        <v>2022</v>
      </c>
      <c r="L68" s="4">
        <v>2023</v>
      </c>
      <c r="M68" s="4">
        <v>2024</v>
      </c>
      <c r="N68" s="117">
        <v>2025</v>
      </c>
      <c r="O68" s="26">
        <v>2026</v>
      </c>
      <c r="P68" s="4">
        <v>2027</v>
      </c>
      <c r="Q68" s="4">
        <v>2028</v>
      </c>
      <c r="R68" s="4">
        <v>2029</v>
      </c>
      <c r="S68" s="117">
        <v>2030</v>
      </c>
      <c r="T68" s="117">
        <v>2031</v>
      </c>
      <c r="U68" s="117">
        <v>2032</v>
      </c>
      <c r="V68" s="117">
        <v>2033</v>
      </c>
      <c r="W68" s="117">
        <v>2034</v>
      </c>
      <c r="X68" s="118">
        <v>2035</v>
      </c>
      <c r="Y68" s="118">
        <v>2036</v>
      </c>
      <c r="Z68" s="118">
        <v>2037</v>
      </c>
      <c r="AA68" s="118">
        <v>2038</v>
      </c>
      <c r="AB68" s="118">
        <v>2039</v>
      </c>
      <c r="AC68" s="118">
        <v>2040</v>
      </c>
      <c r="AD68" s="118">
        <v>2041</v>
      </c>
      <c r="AE68" s="118">
        <v>2042</v>
      </c>
      <c r="AF68" s="118">
        <v>2043</v>
      </c>
      <c r="AG68" s="118">
        <v>2044</v>
      </c>
      <c r="AH68" s="118">
        <v>2045</v>
      </c>
      <c r="AI68" s="118">
        <v>2046</v>
      </c>
      <c r="AJ68" s="118">
        <v>2047</v>
      </c>
      <c r="AK68" s="118">
        <v>2048</v>
      </c>
      <c r="AL68" s="118">
        <v>2049</v>
      </c>
      <c r="AM68" s="118">
        <v>2050</v>
      </c>
    </row>
    <row r="69" spans="2:39" x14ac:dyDescent="0.25">
      <c r="B69" s="23" t="s">
        <v>192</v>
      </c>
      <c r="C69" s="74" t="s">
        <v>161</v>
      </c>
      <c r="D69" s="74" t="s">
        <v>64</v>
      </c>
      <c r="E69" s="75" t="e">
        <f t="shared" ref="E69:F69" si="11">E26</f>
        <v>#N/A</v>
      </c>
      <c r="F69" s="75" t="e">
        <f t="shared" si="11"/>
        <v>#N/A</v>
      </c>
      <c r="G69" s="75" t="e">
        <f t="shared" ref="G69:AM69" si="12">G26</f>
        <v>#N/A</v>
      </c>
      <c r="H69" s="75" t="e">
        <f t="shared" si="12"/>
        <v>#N/A</v>
      </c>
      <c r="I69" s="75" t="e">
        <f t="shared" si="12"/>
        <v>#N/A</v>
      </c>
      <c r="J69" s="75" t="e">
        <f t="shared" si="12"/>
        <v>#N/A</v>
      </c>
      <c r="K69" s="75" t="e">
        <f t="shared" si="12"/>
        <v>#N/A</v>
      </c>
      <c r="L69" s="75" t="e">
        <f t="shared" si="12"/>
        <v>#N/A</v>
      </c>
      <c r="M69" s="75" t="e">
        <f t="shared" si="12"/>
        <v>#N/A</v>
      </c>
      <c r="N69" s="75" t="e">
        <f t="shared" si="12"/>
        <v>#N/A</v>
      </c>
      <c r="O69" s="75" t="e">
        <f t="shared" si="12"/>
        <v>#N/A</v>
      </c>
      <c r="P69" s="75" t="e">
        <f t="shared" si="12"/>
        <v>#N/A</v>
      </c>
      <c r="Q69" s="75" t="e">
        <f t="shared" si="12"/>
        <v>#N/A</v>
      </c>
      <c r="R69" s="75" t="e">
        <f t="shared" si="12"/>
        <v>#N/A</v>
      </c>
      <c r="S69" s="75" t="e">
        <f t="shared" si="12"/>
        <v>#N/A</v>
      </c>
      <c r="T69" s="75" t="e">
        <f t="shared" si="12"/>
        <v>#N/A</v>
      </c>
      <c r="U69" s="75" t="e">
        <f t="shared" si="12"/>
        <v>#N/A</v>
      </c>
      <c r="V69" s="75" t="e">
        <f t="shared" si="12"/>
        <v>#N/A</v>
      </c>
      <c r="W69" s="75" t="e">
        <f t="shared" si="12"/>
        <v>#N/A</v>
      </c>
      <c r="X69" s="75" t="e">
        <f t="shared" si="12"/>
        <v>#N/A</v>
      </c>
      <c r="Y69" s="75" t="e">
        <f t="shared" si="12"/>
        <v>#N/A</v>
      </c>
      <c r="Z69" s="75" t="e">
        <f t="shared" si="12"/>
        <v>#N/A</v>
      </c>
      <c r="AA69" s="75" t="e">
        <f t="shared" si="12"/>
        <v>#N/A</v>
      </c>
      <c r="AB69" s="75" t="e">
        <f t="shared" si="12"/>
        <v>#N/A</v>
      </c>
      <c r="AC69" s="75" t="e">
        <f t="shared" si="12"/>
        <v>#N/A</v>
      </c>
      <c r="AD69" s="75" t="e">
        <f t="shared" si="12"/>
        <v>#N/A</v>
      </c>
      <c r="AE69" s="75" t="e">
        <f t="shared" si="12"/>
        <v>#N/A</v>
      </c>
      <c r="AF69" s="75" t="e">
        <f t="shared" si="12"/>
        <v>#N/A</v>
      </c>
      <c r="AG69" s="75" t="e">
        <f t="shared" si="12"/>
        <v>#N/A</v>
      </c>
      <c r="AH69" s="75" t="e">
        <f t="shared" si="12"/>
        <v>#N/A</v>
      </c>
      <c r="AI69" s="75" t="e">
        <f t="shared" si="12"/>
        <v>#N/A</v>
      </c>
      <c r="AJ69" s="75" t="e">
        <f t="shared" si="12"/>
        <v>#N/A</v>
      </c>
      <c r="AK69" s="75" t="e">
        <f t="shared" si="12"/>
        <v>#N/A</v>
      </c>
      <c r="AL69" s="75" t="e">
        <f t="shared" si="12"/>
        <v>#N/A</v>
      </c>
      <c r="AM69" s="75" t="e">
        <f t="shared" si="12"/>
        <v>#N/A</v>
      </c>
    </row>
    <row r="70" spans="2:39" x14ac:dyDescent="0.25">
      <c r="C70" s="76" t="s">
        <v>118</v>
      </c>
      <c r="D70" s="76" t="s">
        <v>194</v>
      </c>
      <c r="E70" s="149" t="e">
        <f t="shared" ref="E70:F77" si="13">E27/E$26</f>
        <v>#N/A</v>
      </c>
      <c r="F70" s="149" t="e">
        <f t="shared" si="13"/>
        <v>#N/A</v>
      </c>
      <c r="G70" s="149" t="e">
        <f t="shared" ref="G70:AM77" si="14">G27/G$26</f>
        <v>#N/A</v>
      </c>
      <c r="H70" s="149" t="e">
        <f t="shared" si="14"/>
        <v>#N/A</v>
      </c>
      <c r="I70" s="149" t="e">
        <f t="shared" si="14"/>
        <v>#N/A</v>
      </c>
      <c r="J70" s="148" t="e">
        <f t="shared" si="14"/>
        <v>#N/A</v>
      </c>
      <c r="K70" s="91" t="e">
        <f t="shared" si="14"/>
        <v>#N/A</v>
      </c>
      <c r="L70" s="91" t="e">
        <f t="shared" si="14"/>
        <v>#N/A</v>
      </c>
      <c r="M70" s="91" t="e">
        <f t="shared" si="14"/>
        <v>#N/A</v>
      </c>
      <c r="N70" s="149" t="e">
        <f t="shared" si="14"/>
        <v>#N/A</v>
      </c>
      <c r="O70" s="148" t="e">
        <f t="shared" si="14"/>
        <v>#N/A</v>
      </c>
      <c r="P70" s="91" t="e">
        <f t="shared" si="14"/>
        <v>#N/A</v>
      </c>
      <c r="Q70" s="91" t="e">
        <f t="shared" si="14"/>
        <v>#N/A</v>
      </c>
      <c r="R70" s="91" t="e">
        <f t="shared" si="14"/>
        <v>#N/A</v>
      </c>
      <c r="S70" s="149" t="e">
        <f t="shared" si="14"/>
        <v>#N/A</v>
      </c>
      <c r="T70" s="149" t="e">
        <f t="shared" si="14"/>
        <v>#N/A</v>
      </c>
      <c r="U70" s="149" t="e">
        <f t="shared" si="14"/>
        <v>#N/A</v>
      </c>
      <c r="V70" s="149" t="e">
        <f t="shared" si="14"/>
        <v>#N/A</v>
      </c>
      <c r="W70" s="149" t="e">
        <f t="shared" si="14"/>
        <v>#N/A</v>
      </c>
      <c r="X70" s="143" t="e">
        <f t="shared" si="14"/>
        <v>#N/A</v>
      </c>
      <c r="Y70" s="143" t="e">
        <f t="shared" si="14"/>
        <v>#N/A</v>
      </c>
      <c r="Z70" s="143" t="e">
        <f t="shared" si="14"/>
        <v>#N/A</v>
      </c>
      <c r="AA70" s="143" t="e">
        <f t="shared" si="14"/>
        <v>#N/A</v>
      </c>
      <c r="AB70" s="143" t="e">
        <f t="shared" si="14"/>
        <v>#N/A</v>
      </c>
      <c r="AC70" s="143" t="e">
        <f t="shared" si="14"/>
        <v>#N/A</v>
      </c>
      <c r="AD70" s="143" t="e">
        <f t="shared" si="14"/>
        <v>#N/A</v>
      </c>
      <c r="AE70" s="143" t="e">
        <f t="shared" si="14"/>
        <v>#N/A</v>
      </c>
      <c r="AF70" s="143" t="e">
        <f t="shared" si="14"/>
        <v>#N/A</v>
      </c>
      <c r="AG70" s="143" t="e">
        <f t="shared" si="14"/>
        <v>#N/A</v>
      </c>
      <c r="AH70" s="143" t="e">
        <f t="shared" si="14"/>
        <v>#N/A</v>
      </c>
      <c r="AI70" s="143" t="e">
        <f t="shared" si="14"/>
        <v>#N/A</v>
      </c>
      <c r="AJ70" s="143" t="e">
        <f t="shared" si="14"/>
        <v>#N/A</v>
      </c>
      <c r="AK70" s="143" t="e">
        <f t="shared" si="14"/>
        <v>#N/A</v>
      </c>
      <c r="AL70" s="143" t="e">
        <f t="shared" si="14"/>
        <v>#N/A</v>
      </c>
      <c r="AM70" s="143" t="e">
        <f t="shared" si="14"/>
        <v>#N/A</v>
      </c>
    </row>
    <row r="71" spans="2:39" x14ac:dyDescent="0.25">
      <c r="C71" s="56" t="s">
        <v>27</v>
      </c>
      <c r="D71" s="78" t="s">
        <v>195</v>
      </c>
      <c r="E71" s="136" t="e">
        <f t="shared" si="13"/>
        <v>#N/A</v>
      </c>
      <c r="F71" s="136" t="e">
        <f t="shared" si="13"/>
        <v>#N/A</v>
      </c>
      <c r="G71" s="136" t="e">
        <f t="shared" si="14"/>
        <v>#N/A</v>
      </c>
      <c r="H71" s="136" t="e">
        <f t="shared" si="14"/>
        <v>#N/A</v>
      </c>
      <c r="I71" s="136" t="e">
        <f t="shared" si="14"/>
        <v>#N/A</v>
      </c>
      <c r="J71" s="135" t="e">
        <f t="shared" si="14"/>
        <v>#N/A</v>
      </c>
      <c r="K71" s="92" t="e">
        <f t="shared" si="14"/>
        <v>#N/A</v>
      </c>
      <c r="L71" s="92" t="e">
        <f t="shared" si="14"/>
        <v>#N/A</v>
      </c>
      <c r="M71" s="92" t="e">
        <f t="shared" si="14"/>
        <v>#N/A</v>
      </c>
      <c r="N71" s="136" t="e">
        <f t="shared" si="14"/>
        <v>#N/A</v>
      </c>
      <c r="O71" s="135" t="e">
        <f t="shared" si="14"/>
        <v>#N/A</v>
      </c>
      <c r="P71" s="92" t="e">
        <f t="shared" si="14"/>
        <v>#N/A</v>
      </c>
      <c r="Q71" s="92" t="e">
        <f t="shared" si="14"/>
        <v>#N/A</v>
      </c>
      <c r="R71" s="92" t="e">
        <f t="shared" si="14"/>
        <v>#N/A</v>
      </c>
      <c r="S71" s="136" t="e">
        <f t="shared" si="14"/>
        <v>#N/A</v>
      </c>
      <c r="T71" s="136" t="e">
        <f t="shared" si="14"/>
        <v>#N/A</v>
      </c>
      <c r="U71" s="136" t="e">
        <f t="shared" si="14"/>
        <v>#N/A</v>
      </c>
      <c r="V71" s="136" t="e">
        <f t="shared" si="14"/>
        <v>#N/A</v>
      </c>
      <c r="W71" s="136" t="e">
        <f t="shared" si="14"/>
        <v>#N/A</v>
      </c>
      <c r="X71" s="141" t="e">
        <f t="shared" si="14"/>
        <v>#N/A</v>
      </c>
      <c r="Y71" s="141" t="e">
        <f t="shared" si="14"/>
        <v>#N/A</v>
      </c>
      <c r="Z71" s="141" t="e">
        <f t="shared" si="14"/>
        <v>#N/A</v>
      </c>
      <c r="AA71" s="141" t="e">
        <f t="shared" si="14"/>
        <v>#N/A</v>
      </c>
      <c r="AB71" s="141" t="e">
        <f t="shared" si="14"/>
        <v>#N/A</v>
      </c>
      <c r="AC71" s="141" t="e">
        <f t="shared" si="14"/>
        <v>#N/A</v>
      </c>
      <c r="AD71" s="141" t="e">
        <f t="shared" si="14"/>
        <v>#N/A</v>
      </c>
      <c r="AE71" s="141" t="e">
        <f t="shared" si="14"/>
        <v>#N/A</v>
      </c>
      <c r="AF71" s="141" t="e">
        <f t="shared" si="14"/>
        <v>#N/A</v>
      </c>
      <c r="AG71" s="141" t="e">
        <f t="shared" si="14"/>
        <v>#N/A</v>
      </c>
      <c r="AH71" s="141" t="e">
        <f t="shared" si="14"/>
        <v>#N/A</v>
      </c>
      <c r="AI71" s="141" t="e">
        <f t="shared" si="14"/>
        <v>#N/A</v>
      </c>
      <c r="AJ71" s="141" t="e">
        <f t="shared" si="14"/>
        <v>#N/A</v>
      </c>
      <c r="AK71" s="141" t="e">
        <f t="shared" si="14"/>
        <v>#N/A</v>
      </c>
      <c r="AL71" s="141" t="e">
        <f t="shared" si="14"/>
        <v>#N/A</v>
      </c>
      <c r="AM71" s="141" t="e">
        <f t="shared" si="14"/>
        <v>#N/A</v>
      </c>
    </row>
    <row r="72" spans="2:39" x14ac:dyDescent="0.25">
      <c r="C72" s="56" t="s">
        <v>28</v>
      </c>
      <c r="D72" s="78" t="s">
        <v>196</v>
      </c>
      <c r="E72" s="136" t="e">
        <f t="shared" si="13"/>
        <v>#N/A</v>
      </c>
      <c r="F72" s="136" t="e">
        <f t="shared" si="13"/>
        <v>#N/A</v>
      </c>
      <c r="G72" s="136" t="e">
        <f t="shared" si="14"/>
        <v>#N/A</v>
      </c>
      <c r="H72" s="136" t="e">
        <f t="shared" si="14"/>
        <v>#N/A</v>
      </c>
      <c r="I72" s="136" t="e">
        <f t="shared" si="14"/>
        <v>#N/A</v>
      </c>
      <c r="J72" s="135" t="e">
        <f t="shared" si="14"/>
        <v>#N/A</v>
      </c>
      <c r="K72" s="92" t="e">
        <f t="shared" si="14"/>
        <v>#N/A</v>
      </c>
      <c r="L72" s="92" t="e">
        <f t="shared" si="14"/>
        <v>#N/A</v>
      </c>
      <c r="M72" s="92" t="e">
        <f t="shared" si="14"/>
        <v>#N/A</v>
      </c>
      <c r="N72" s="136" t="e">
        <f t="shared" si="14"/>
        <v>#N/A</v>
      </c>
      <c r="O72" s="135" t="e">
        <f t="shared" si="14"/>
        <v>#N/A</v>
      </c>
      <c r="P72" s="92" t="e">
        <f t="shared" si="14"/>
        <v>#N/A</v>
      </c>
      <c r="Q72" s="92" t="e">
        <f t="shared" si="14"/>
        <v>#N/A</v>
      </c>
      <c r="R72" s="92" t="e">
        <f t="shared" si="14"/>
        <v>#N/A</v>
      </c>
      <c r="S72" s="136" t="e">
        <f t="shared" si="14"/>
        <v>#N/A</v>
      </c>
      <c r="T72" s="136" t="e">
        <f t="shared" si="14"/>
        <v>#N/A</v>
      </c>
      <c r="U72" s="136" t="e">
        <f t="shared" si="14"/>
        <v>#N/A</v>
      </c>
      <c r="V72" s="136" t="e">
        <f t="shared" si="14"/>
        <v>#N/A</v>
      </c>
      <c r="W72" s="136" t="e">
        <f t="shared" si="14"/>
        <v>#N/A</v>
      </c>
      <c r="X72" s="141" t="e">
        <f t="shared" si="14"/>
        <v>#N/A</v>
      </c>
      <c r="Y72" s="141" t="e">
        <f t="shared" si="14"/>
        <v>#N/A</v>
      </c>
      <c r="Z72" s="141" t="e">
        <f t="shared" si="14"/>
        <v>#N/A</v>
      </c>
      <c r="AA72" s="141" t="e">
        <f t="shared" si="14"/>
        <v>#N/A</v>
      </c>
      <c r="AB72" s="141" t="e">
        <f t="shared" si="14"/>
        <v>#N/A</v>
      </c>
      <c r="AC72" s="141" t="e">
        <f t="shared" si="14"/>
        <v>#N/A</v>
      </c>
      <c r="AD72" s="141" t="e">
        <f t="shared" si="14"/>
        <v>#N/A</v>
      </c>
      <c r="AE72" s="141" t="e">
        <f t="shared" si="14"/>
        <v>#N/A</v>
      </c>
      <c r="AF72" s="141" t="e">
        <f t="shared" si="14"/>
        <v>#N/A</v>
      </c>
      <c r="AG72" s="141" t="e">
        <f t="shared" si="14"/>
        <v>#N/A</v>
      </c>
      <c r="AH72" s="141" t="e">
        <f t="shared" si="14"/>
        <v>#N/A</v>
      </c>
      <c r="AI72" s="141" t="e">
        <f t="shared" si="14"/>
        <v>#N/A</v>
      </c>
      <c r="AJ72" s="141" t="e">
        <f t="shared" si="14"/>
        <v>#N/A</v>
      </c>
      <c r="AK72" s="141" t="e">
        <f t="shared" si="14"/>
        <v>#N/A</v>
      </c>
      <c r="AL72" s="141" t="e">
        <f t="shared" si="14"/>
        <v>#N/A</v>
      </c>
      <c r="AM72" s="141" t="e">
        <f t="shared" si="14"/>
        <v>#N/A</v>
      </c>
    </row>
    <row r="73" spans="2:39" x14ac:dyDescent="0.25">
      <c r="C73" s="56" t="s">
        <v>29</v>
      </c>
      <c r="D73" s="78" t="s">
        <v>197</v>
      </c>
      <c r="E73" s="136" t="e">
        <f t="shared" si="13"/>
        <v>#N/A</v>
      </c>
      <c r="F73" s="136" t="e">
        <f t="shared" si="13"/>
        <v>#N/A</v>
      </c>
      <c r="G73" s="136" t="e">
        <f t="shared" si="14"/>
        <v>#N/A</v>
      </c>
      <c r="H73" s="136" t="e">
        <f t="shared" si="14"/>
        <v>#N/A</v>
      </c>
      <c r="I73" s="136" t="e">
        <f t="shared" si="14"/>
        <v>#N/A</v>
      </c>
      <c r="J73" s="135" t="e">
        <f t="shared" si="14"/>
        <v>#N/A</v>
      </c>
      <c r="K73" s="92" t="e">
        <f t="shared" si="14"/>
        <v>#N/A</v>
      </c>
      <c r="L73" s="92" t="e">
        <f t="shared" si="14"/>
        <v>#N/A</v>
      </c>
      <c r="M73" s="92" t="e">
        <f t="shared" si="14"/>
        <v>#N/A</v>
      </c>
      <c r="N73" s="136" t="e">
        <f t="shared" si="14"/>
        <v>#N/A</v>
      </c>
      <c r="O73" s="135" t="e">
        <f t="shared" si="14"/>
        <v>#N/A</v>
      </c>
      <c r="P73" s="92" t="e">
        <f t="shared" si="14"/>
        <v>#N/A</v>
      </c>
      <c r="Q73" s="92" t="e">
        <f t="shared" si="14"/>
        <v>#N/A</v>
      </c>
      <c r="R73" s="92" t="e">
        <f t="shared" si="14"/>
        <v>#N/A</v>
      </c>
      <c r="S73" s="136" t="e">
        <f t="shared" si="14"/>
        <v>#N/A</v>
      </c>
      <c r="T73" s="136" t="e">
        <f t="shared" si="14"/>
        <v>#N/A</v>
      </c>
      <c r="U73" s="136" t="e">
        <f t="shared" si="14"/>
        <v>#N/A</v>
      </c>
      <c r="V73" s="136" t="e">
        <f t="shared" si="14"/>
        <v>#N/A</v>
      </c>
      <c r="W73" s="136" t="e">
        <f t="shared" si="14"/>
        <v>#N/A</v>
      </c>
      <c r="X73" s="141" t="e">
        <f t="shared" si="14"/>
        <v>#N/A</v>
      </c>
      <c r="Y73" s="141" t="e">
        <f t="shared" si="14"/>
        <v>#N/A</v>
      </c>
      <c r="Z73" s="141" t="e">
        <f t="shared" si="14"/>
        <v>#N/A</v>
      </c>
      <c r="AA73" s="141" t="e">
        <f t="shared" si="14"/>
        <v>#N/A</v>
      </c>
      <c r="AB73" s="141" t="e">
        <f t="shared" si="14"/>
        <v>#N/A</v>
      </c>
      <c r="AC73" s="141" t="e">
        <f t="shared" si="14"/>
        <v>#N/A</v>
      </c>
      <c r="AD73" s="141" t="e">
        <f t="shared" si="14"/>
        <v>#N/A</v>
      </c>
      <c r="AE73" s="141" t="e">
        <f t="shared" si="14"/>
        <v>#N/A</v>
      </c>
      <c r="AF73" s="141" t="e">
        <f t="shared" si="14"/>
        <v>#N/A</v>
      </c>
      <c r="AG73" s="141" t="e">
        <f t="shared" si="14"/>
        <v>#N/A</v>
      </c>
      <c r="AH73" s="141" t="e">
        <f t="shared" si="14"/>
        <v>#N/A</v>
      </c>
      <c r="AI73" s="141" t="e">
        <f t="shared" si="14"/>
        <v>#N/A</v>
      </c>
      <c r="AJ73" s="141" t="e">
        <f t="shared" si="14"/>
        <v>#N/A</v>
      </c>
      <c r="AK73" s="141" t="e">
        <f t="shared" si="14"/>
        <v>#N/A</v>
      </c>
      <c r="AL73" s="141" t="e">
        <f t="shared" si="14"/>
        <v>#N/A</v>
      </c>
      <c r="AM73" s="141" t="e">
        <f t="shared" si="14"/>
        <v>#N/A</v>
      </c>
    </row>
    <row r="74" spans="2:39" x14ac:dyDescent="0.25">
      <c r="C74" s="56" t="s">
        <v>30</v>
      </c>
      <c r="D74" s="78" t="s">
        <v>198</v>
      </c>
      <c r="E74" s="136" t="e">
        <f t="shared" si="13"/>
        <v>#N/A</v>
      </c>
      <c r="F74" s="136" t="e">
        <f t="shared" si="13"/>
        <v>#N/A</v>
      </c>
      <c r="G74" s="136" t="e">
        <f t="shared" si="14"/>
        <v>#N/A</v>
      </c>
      <c r="H74" s="136" t="e">
        <f t="shared" si="14"/>
        <v>#N/A</v>
      </c>
      <c r="I74" s="136" t="e">
        <f t="shared" si="14"/>
        <v>#N/A</v>
      </c>
      <c r="J74" s="135" t="e">
        <f t="shared" si="14"/>
        <v>#N/A</v>
      </c>
      <c r="K74" s="92" t="e">
        <f t="shared" si="14"/>
        <v>#N/A</v>
      </c>
      <c r="L74" s="92" t="e">
        <f t="shared" si="14"/>
        <v>#N/A</v>
      </c>
      <c r="M74" s="92" t="e">
        <f t="shared" si="14"/>
        <v>#N/A</v>
      </c>
      <c r="N74" s="136" t="e">
        <f t="shared" si="14"/>
        <v>#N/A</v>
      </c>
      <c r="O74" s="135" t="e">
        <f t="shared" si="14"/>
        <v>#N/A</v>
      </c>
      <c r="P74" s="92" t="e">
        <f t="shared" si="14"/>
        <v>#N/A</v>
      </c>
      <c r="Q74" s="92" t="e">
        <f t="shared" si="14"/>
        <v>#N/A</v>
      </c>
      <c r="R74" s="92" t="e">
        <f t="shared" si="14"/>
        <v>#N/A</v>
      </c>
      <c r="S74" s="136" t="e">
        <f t="shared" si="14"/>
        <v>#N/A</v>
      </c>
      <c r="T74" s="136" t="e">
        <f t="shared" si="14"/>
        <v>#N/A</v>
      </c>
      <c r="U74" s="136" t="e">
        <f t="shared" si="14"/>
        <v>#N/A</v>
      </c>
      <c r="V74" s="136" t="e">
        <f t="shared" si="14"/>
        <v>#N/A</v>
      </c>
      <c r="W74" s="136" t="e">
        <f t="shared" si="14"/>
        <v>#N/A</v>
      </c>
      <c r="X74" s="141" t="e">
        <f t="shared" si="14"/>
        <v>#N/A</v>
      </c>
      <c r="Y74" s="141" t="e">
        <f t="shared" si="14"/>
        <v>#N/A</v>
      </c>
      <c r="Z74" s="141" t="e">
        <f t="shared" si="14"/>
        <v>#N/A</v>
      </c>
      <c r="AA74" s="141" t="e">
        <f t="shared" si="14"/>
        <v>#N/A</v>
      </c>
      <c r="AB74" s="141" t="e">
        <f t="shared" si="14"/>
        <v>#N/A</v>
      </c>
      <c r="AC74" s="141" t="e">
        <f t="shared" si="14"/>
        <v>#N/A</v>
      </c>
      <c r="AD74" s="141" t="e">
        <f t="shared" si="14"/>
        <v>#N/A</v>
      </c>
      <c r="AE74" s="141" t="e">
        <f t="shared" si="14"/>
        <v>#N/A</v>
      </c>
      <c r="AF74" s="141" t="e">
        <f t="shared" si="14"/>
        <v>#N/A</v>
      </c>
      <c r="AG74" s="141" t="e">
        <f t="shared" si="14"/>
        <v>#N/A</v>
      </c>
      <c r="AH74" s="141" t="e">
        <f t="shared" si="14"/>
        <v>#N/A</v>
      </c>
      <c r="AI74" s="141" t="e">
        <f t="shared" si="14"/>
        <v>#N/A</v>
      </c>
      <c r="AJ74" s="141" t="e">
        <f t="shared" si="14"/>
        <v>#N/A</v>
      </c>
      <c r="AK74" s="141" t="e">
        <f t="shared" si="14"/>
        <v>#N/A</v>
      </c>
      <c r="AL74" s="141" t="e">
        <f t="shared" si="14"/>
        <v>#N/A</v>
      </c>
      <c r="AM74" s="141" t="e">
        <f t="shared" si="14"/>
        <v>#N/A</v>
      </c>
    </row>
    <row r="75" spans="2:39" x14ac:dyDescent="0.25">
      <c r="C75" s="56" t="s">
        <v>31</v>
      </c>
      <c r="D75" s="78" t="s">
        <v>199</v>
      </c>
      <c r="E75" s="136" t="e">
        <f t="shared" si="13"/>
        <v>#N/A</v>
      </c>
      <c r="F75" s="136" t="e">
        <f t="shared" si="13"/>
        <v>#N/A</v>
      </c>
      <c r="G75" s="136" t="e">
        <f t="shared" si="14"/>
        <v>#N/A</v>
      </c>
      <c r="H75" s="136" t="e">
        <f t="shared" si="14"/>
        <v>#N/A</v>
      </c>
      <c r="I75" s="136" t="e">
        <f t="shared" si="14"/>
        <v>#N/A</v>
      </c>
      <c r="J75" s="135" t="e">
        <f t="shared" si="14"/>
        <v>#N/A</v>
      </c>
      <c r="K75" s="92" t="e">
        <f t="shared" si="14"/>
        <v>#N/A</v>
      </c>
      <c r="L75" s="92" t="e">
        <f t="shared" si="14"/>
        <v>#N/A</v>
      </c>
      <c r="M75" s="92" t="e">
        <f t="shared" si="14"/>
        <v>#N/A</v>
      </c>
      <c r="N75" s="136" t="e">
        <f t="shared" si="14"/>
        <v>#N/A</v>
      </c>
      <c r="O75" s="135" t="e">
        <f t="shared" si="14"/>
        <v>#N/A</v>
      </c>
      <c r="P75" s="92" t="e">
        <f t="shared" si="14"/>
        <v>#N/A</v>
      </c>
      <c r="Q75" s="92" t="e">
        <f t="shared" si="14"/>
        <v>#N/A</v>
      </c>
      <c r="R75" s="92" t="e">
        <f t="shared" si="14"/>
        <v>#N/A</v>
      </c>
      <c r="S75" s="136" t="e">
        <f t="shared" si="14"/>
        <v>#N/A</v>
      </c>
      <c r="T75" s="136" t="e">
        <f t="shared" si="14"/>
        <v>#N/A</v>
      </c>
      <c r="U75" s="136" t="e">
        <f t="shared" si="14"/>
        <v>#N/A</v>
      </c>
      <c r="V75" s="136" t="e">
        <f t="shared" si="14"/>
        <v>#N/A</v>
      </c>
      <c r="W75" s="136" t="e">
        <f t="shared" si="14"/>
        <v>#N/A</v>
      </c>
      <c r="X75" s="141" t="e">
        <f t="shared" si="14"/>
        <v>#N/A</v>
      </c>
      <c r="Y75" s="141" t="e">
        <f t="shared" si="14"/>
        <v>#N/A</v>
      </c>
      <c r="Z75" s="141" t="e">
        <f t="shared" si="14"/>
        <v>#N/A</v>
      </c>
      <c r="AA75" s="141" t="e">
        <f t="shared" si="14"/>
        <v>#N/A</v>
      </c>
      <c r="AB75" s="141" t="e">
        <f t="shared" si="14"/>
        <v>#N/A</v>
      </c>
      <c r="AC75" s="141" t="e">
        <f t="shared" si="14"/>
        <v>#N/A</v>
      </c>
      <c r="AD75" s="141" t="e">
        <f t="shared" si="14"/>
        <v>#N/A</v>
      </c>
      <c r="AE75" s="141" t="e">
        <f t="shared" si="14"/>
        <v>#N/A</v>
      </c>
      <c r="AF75" s="141" t="e">
        <f t="shared" si="14"/>
        <v>#N/A</v>
      </c>
      <c r="AG75" s="141" t="e">
        <f t="shared" si="14"/>
        <v>#N/A</v>
      </c>
      <c r="AH75" s="141" t="e">
        <f t="shared" si="14"/>
        <v>#N/A</v>
      </c>
      <c r="AI75" s="141" t="e">
        <f t="shared" si="14"/>
        <v>#N/A</v>
      </c>
      <c r="AJ75" s="141" t="e">
        <f t="shared" si="14"/>
        <v>#N/A</v>
      </c>
      <c r="AK75" s="141" t="e">
        <f t="shared" si="14"/>
        <v>#N/A</v>
      </c>
      <c r="AL75" s="141" t="e">
        <f t="shared" si="14"/>
        <v>#N/A</v>
      </c>
      <c r="AM75" s="141" t="e">
        <f t="shared" si="14"/>
        <v>#N/A</v>
      </c>
    </row>
    <row r="76" spans="2:39" x14ac:dyDescent="0.25">
      <c r="C76" s="56" t="s">
        <v>32</v>
      </c>
      <c r="D76" s="78" t="s">
        <v>200</v>
      </c>
      <c r="E76" s="136" t="e">
        <f t="shared" si="13"/>
        <v>#N/A</v>
      </c>
      <c r="F76" s="136" t="e">
        <f t="shared" si="13"/>
        <v>#N/A</v>
      </c>
      <c r="G76" s="136" t="e">
        <f t="shared" si="14"/>
        <v>#N/A</v>
      </c>
      <c r="H76" s="136" t="e">
        <f t="shared" si="14"/>
        <v>#N/A</v>
      </c>
      <c r="I76" s="136" t="e">
        <f t="shared" si="14"/>
        <v>#N/A</v>
      </c>
      <c r="J76" s="135" t="e">
        <f t="shared" si="14"/>
        <v>#N/A</v>
      </c>
      <c r="K76" s="92" t="e">
        <f t="shared" si="14"/>
        <v>#N/A</v>
      </c>
      <c r="L76" s="92" t="e">
        <f t="shared" si="14"/>
        <v>#N/A</v>
      </c>
      <c r="M76" s="92" t="e">
        <f t="shared" si="14"/>
        <v>#N/A</v>
      </c>
      <c r="N76" s="136" t="e">
        <f t="shared" si="14"/>
        <v>#N/A</v>
      </c>
      <c r="O76" s="135" t="e">
        <f t="shared" si="14"/>
        <v>#N/A</v>
      </c>
      <c r="P76" s="92" t="e">
        <f t="shared" si="14"/>
        <v>#N/A</v>
      </c>
      <c r="Q76" s="92" t="e">
        <f t="shared" si="14"/>
        <v>#N/A</v>
      </c>
      <c r="R76" s="92" t="e">
        <f t="shared" si="14"/>
        <v>#N/A</v>
      </c>
      <c r="S76" s="136" t="e">
        <f t="shared" si="14"/>
        <v>#N/A</v>
      </c>
      <c r="T76" s="136" t="e">
        <f t="shared" si="14"/>
        <v>#N/A</v>
      </c>
      <c r="U76" s="136" t="e">
        <f t="shared" si="14"/>
        <v>#N/A</v>
      </c>
      <c r="V76" s="136" t="e">
        <f t="shared" si="14"/>
        <v>#N/A</v>
      </c>
      <c r="W76" s="136" t="e">
        <f t="shared" si="14"/>
        <v>#N/A</v>
      </c>
      <c r="X76" s="141" t="e">
        <f t="shared" si="14"/>
        <v>#N/A</v>
      </c>
      <c r="Y76" s="141" t="e">
        <f t="shared" si="14"/>
        <v>#N/A</v>
      </c>
      <c r="Z76" s="141" t="e">
        <f t="shared" si="14"/>
        <v>#N/A</v>
      </c>
      <c r="AA76" s="141" t="e">
        <f t="shared" si="14"/>
        <v>#N/A</v>
      </c>
      <c r="AB76" s="141" t="e">
        <f t="shared" si="14"/>
        <v>#N/A</v>
      </c>
      <c r="AC76" s="141" t="e">
        <f t="shared" si="14"/>
        <v>#N/A</v>
      </c>
      <c r="AD76" s="141" t="e">
        <f t="shared" si="14"/>
        <v>#N/A</v>
      </c>
      <c r="AE76" s="141" t="e">
        <f t="shared" si="14"/>
        <v>#N/A</v>
      </c>
      <c r="AF76" s="141" t="e">
        <f t="shared" si="14"/>
        <v>#N/A</v>
      </c>
      <c r="AG76" s="141" t="e">
        <f t="shared" si="14"/>
        <v>#N/A</v>
      </c>
      <c r="AH76" s="141" t="e">
        <f t="shared" si="14"/>
        <v>#N/A</v>
      </c>
      <c r="AI76" s="141" t="e">
        <f t="shared" si="14"/>
        <v>#N/A</v>
      </c>
      <c r="AJ76" s="141" t="e">
        <f t="shared" si="14"/>
        <v>#N/A</v>
      </c>
      <c r="AK76" s="141" t="e">
        <f t="shared" si="14"/>
        <v>#N/A</v>
      </c>
      <c r="AL76" s="141" t="e">
        <f t="shared" si="14"/>
        <v>#N/A</v>
      </c>
      <c r="AM76" s="141" t="e">
        <f t="shared" si="14"/>
        <v>#N/A</v>
      </c>
    </row>
    <row r="77" spans="2:39" x14ac:dyDescent="0.25">
      <c r="C77" s="56" t="s">
        <v>33</v>
      </c>
      <c r="D77" s="78" t="s">
        <v>201</v>
      </c>
      <c r="E77" s="151" t="e">
        <f t="shared" si="13"/>
        <v>#N/A</v>
      </c>
      <c r="F77" s="151" t="e">
        <f t="shared" si="13"/>
        <v>#N/A</v>
      </c>
      <c r="G77" s="151" t="e">
        <f t="shared" si="14"/>
        <v>#N/A</v>
      </c>
      <c r="H77" s="151" t="e">
        <f t="shared" si="14"/>
        <v>#N/A</v>
      </c>
      <c r="I77" s="151" t="e">
        <f t="shared" si="14"/>
        <v>#N/A</v>
      </c>
      <c r="J77" s="150" t="e">
        <f t="shared" si="14"/>
        <v>#N/A</v>
      </c>
      <c r="K77" s="93" t="e">
        <f t="shared" si="14"/>
        <v>#N/A</v>
      </c>
      <c r="L77" s="93" t="e">
        <f t="shared" si="14"/>
        <v>#N/A</v>
      </c>
      <c r="M77" s="93" t="e">
        <f t="shared" si="14"/>
        <v>#N/A</v>
      </c>
      <c r="N77" s="151" t="e">
        <f t="shared" si="14"/>
        <v>#N/A</v>
      </c>
      <c r="O77" s="150" t="e">
        <f t="shared" ref="O77:AM85" si="15">O34/O$26</f>
        <v>#N/A</v>
      </c>
      <c r="P77" s="93" t="e">
        <f t="shared" si="15"/>
        <v>#N/A</v>
      </c>
      <c r="Q77" s="93" t="e">
        <f t="shared" si="15"/>
        <v>#N/A</v>
      </c>
      <c r="R77" s="93" t="e">
        <f t="shared" si="15"/>
        <v>#N/A</v>
      </c>
      <c r="S77" s="151" t="e">
        <f t="shared" si="15"/>
        <v>#N/A</v>
      </c>
      <c r="T77" s="151" t="e">
        <f t="shared" si="15"/>
        <v>#N/A</v>
      </c>
      <c r="U77" s="151" t="e">
        <f t="shared" si="15"/>
        <v>#N/A</v>
      </c>
      <c r="V77" s="151" t="e">
        <f t="shared" si="15"/>
        <v>#N/A</v>
      </c>
      <c r="W77" s="151" t="e">
        <f t="shared" si="15"/>
        <v>#N/A</v>
      </c>
      <c r="X77" s="144" t="e">
        <f t="shared" si="15"/>
        <v>#N/A</v>
      </c>
      <c r="Y77" s="144" t="e">
        <f t="shared" si="15"/>
        <v>#N/A</v>
      </c>
      <c r="Z77" s="144" t="e">
        <f t="shared" si="15"/>
        <v>#N/A</v>
      </c>
      <c r="AA77" s="144" t="e">
        <f t="shared" si="15"/>
        <v>#N/A</v>
      </c>
      <c r="AB77" s="144" t="e">
        <f t="shared" si="15"/>
        <v>#N/A</v>
      </c>
      <c r="AC77" s="144" t="e">
        <f t="shared" si="15"/>
        <v>#N/A</v>
      </c>
      <c r="AD77" s="144" t="e">
        <f t="shared" si="15"/>
        <v>#N/A</v>
      </c>
      <c r="AE77" s="144" t="e">
        <f t="shared" si="15"/>
        <v>#N/A</v>
      </c>
      <c r="AF77" s="144" t="e">
        <f t="shared" si="15"/>
        <v>#N/A</v>
      </c>
      <c r="AG77" s="144" t="e">
        <f t="shared" si="15"/>
        <v>#N/A</v>
      </c>
      <c r="AH77" s="144" t="e">
        <f t="shared" si="15"/>
        <v>#N/A</v>
      </c>
      <c r="AI77" s="144" t="e">
        <f t="shared" si="15"/>
        <v>#N/A</v>
      </c>
      <c r="AJ77" s="144" t="e">
        <f t="shared" si="15"/>
        <v>#N/A</v>
      </c>
      <c r="AK77" s="144" t="e">
        <f t="shared" si="15"/>
        <v>#N/A</v>
      </c>
      <c r="AL77" s="144" t="e">
        <f t="shared" si="15"/>
        <v>#N/A</v>
      </c>
      <c r="AM77" s="144" t="e">
        <f t="shared" si="15"/>
        <v>#N/A</v>
      </c>
    </row>
    <row r="78" spans="2:39" x14ac:dyDescent="0.25">
      <c r="C78" s="76" t="s">
        <v>119</v>
      </c>
      <c r="D78" s="76" t="s">
        <v>202</v>
      </c>
      <c r="E78" s="149" t="e">
        <f t="shared" ref="E78:F78" si="16">E35/E$26</f>
        <v>#N/A</v>
      </c>
      <c r="F78" s="149" t="e">
        <f t="shared" si="16"/>
        <v>#N/A</v>
      </c>
      <c r="G78" s="149" t="e">
        <f t="shared" ref="G78:S85" si="17">G35/G$26</f>
        <v>#N/A</v>
      </c>
      <c r="H78" s="149" t="e">
        <f t="shared" si="17"/>
        <v>#N/A</v>
      </c>
      <c r="I78" s="149" t="e">
        <f t="shared" si="17"/>
        <v>#N/A</v>
      </c>
      <c r="J78" s="148" t="e">
        <f t="shared" si="17"/>
        <v>#N/A</v>
      </c>
      <c r="K78" s="91" t="e">
        <f t="shared" si="17"/>
        <v>#N/A</v>
      </c>
      <c r="L78" s="91" t="e">
        <f t="shared" si="17"/>
        <v>#N/A</v>
      </c>
      <c r="M78" s="91" t="e">
        <f t="shared" si="17"/>
        <v>#N/A</v>
      </c>
      <c r="N78" s="149" t="e">
        <f t="shared" si="17"/>
        <v>#N/A</v>
      </c>
      <c r="O78" s="148" t="e">
        <f t="shared" si="17"/>
        <v>#N/A</v>
      </c>
      <c r="P78" s="91" t="e">
        <f t="shared" si="17"/>
        <v>#N/A</v>
      </c>
      <c r="Q78" s="91" t="e">
        <f t="shared" si="17"/>
        <v>#N/A</v>
      </c>
      <c r="R78" s="91" t="e">
        <f t="shared" si="17"/>
        <v>#N/A</v>
      </c>
      <c r="S78" s="149" t="e">
        <f t="shared" si="17"/>
        <v>#N/A</v>
      </c>
      <c r="T78" s="149" t="e">
        <f t="shared" si="15"/>
        <v>#N/A</v>
      </c>
      <c r="U78" s="149" t="e">
        <f t="shared" si="15"/>
        <v>#N/A</v>
      </c>
      <c r="V78" s="149" t="e">
        <f t="shared" si="15"/>
        <v>#N/A</v>
      </c>
      <c r="W78" s="149" t="e">
        <f t="shared" si="15"/>
        <v>#N/A</v>
      </c>
      <c r="X78" s="143" t="e">
        <f t="shared" si="15"/>
        <v>#N/A</v>
      </c>
      <c r="Y78" s="143" t="e">
        <f t="shared" si="15"/>
        <v>#N/A</v>
      </c>
      <c r="Z78" s="143" t="e">
        <f t="shared" si="15"/>
        <v>#N/A</v>
      </c>
      <c r="AA78" s="143" t="e">
        <f t="shared" si="15"/>
        <v>#N/A</v>
      </c>
      <c r="AB78" s="143" t="e">
        <f t="shared" si="15"/>
        <v>#N/A</v>
      </c>
      <c r="AC78" s="143" t="e">
        <f t="shared" si="15"/>
        <v>#N/A</v>
      </c>
      <c r="AD78" s="143" t="e">
        <f t="shared" si="15"/>
        <v>#N/A</v>
      </c>
      <c r="AE78" s="143" t="e">
        <f t="shared" si="15"/>
        <v>#N/A</v>
      </c>
      <c r="AF78" s="143" t="e">
        <f t="shared" si="15"/>
        <v>#N/A</v>
      </c>
      <c r="AG78" s="143" t="e">
        <f t="shared" si="15"/>
        <v>#N/A</v>
      </c>
      <c r="AH78" s="143" t="e">
        <f t="shared" si="15"/>
        <v>#N/A</v>
      </c>
      <c r="AI78" s="143" t="e">
        <f t="shared" si="15"/>
        <v>#N/A</v>
      </c>
      <c r="AJ78" s="143" t="e">
        <f t="shared" si="15"/>
        <v>#N/A</v>
      </c>
      <c r="AK78" s="143" t="e">
        <f t="shared" si="15"/>
        <v>#N/A</v>
      </c>
      <c r="AL78" s="143" t="e">
        <f t="shared" si="15"/>
        <v>#N/A</v>
      </c>
      <c r="AM78" s="143" t="e">
        <f t="shared" si="15"/>
        <v>#N/A</v>
      </c>
    </row>
    <row r="79" spans="2:39" x14ac:dyDescent="0.25">
      <c r="C79" s="56" t="s">
        <v>27</v>
      </c>
      <c r="D79" s="3" t="s">
        <v>203</v>
      </c>
      <c r="E79" s="136" t="e">
        <f t="shared" ref="E79:F79" si="18">E36/E$26</f>
        <v>#N/A</v>
      </c>
      <c r="F79" s="136" t="e">
        <f t="shared" si="18"/>
        <v>#N/A</v>
      </c>
      <c r="G79" s="136" t="e">
        <f t="shared" si="17"/>
        <v>#N/A</v>
      </c>
      <c r="H79" s="136" t="e">
        <f t="shared" si="17"/>
        <v>#N/A</v>
      </c>
      <c r="I79" s="136" t="e">
        <f t="shared" si="17"/>
        <v>#N/A</v>
      </c>
      <c r="J79" s="135" t="e">
        <f t="shared" si="17"/>
        <v>#N/A</v>
      </c>
      <c r="K79" s="92" t="e">
        <f t="shared" si="17"/>
        <v>#N/A</v>
      </c>
      <c r="L79" s="92" t="e">
        <f t="shared" si="17"/>
        <v>#N/A</v>
      </c>
      <c r="M79" s="92" t="e">
        <f t="shared" si="17"/>
        <v>#N/A</v>
      </c>
      <c r="N79" s="136" t="e">
        <f t="shared" si="17"/>
        <v>#N/A</v>
      </c>
      <c r="O79" s="135" t="e">
        <f t="shared" si="17"/>
        <v>#N/A</v>
      </c>
      <c r="P79" s="92" t="e">
        <f t="shared" si="17"/>
        <v>#N/A</v>
      </c>
      <c r="Q79" s="92" t="e">
        <f t="shared" si="17"/>
        <v>#N/A</v>
      </c>
      <c r="R79" s="92" t="e">
        <f t="shared" si="17"/>
        <v>#N/A</v>
      </c>
      <c r="S79" s="136" t="e">
        <f t="shared" si="17"/>
        <v>#N/A</v>
      </c>
      <c r="T79" s="136" t="e">
        <f t="shared" si="15"/>
        <v>#N/A</v>
      </c>
      <c r="U79" s="136" t="e">
        <f t="shared" si="15"/>
        <v>#N/A</v>
      </c>
      <c r="V79" s="136" t="e">
        <f t="shared" si="15"/>
        <v>#N/A</v>
      </c>
      <c r="W79" s="136" t="e">
        <f t="shared" si="15"/>
        <v>#N/A</v>
      </c>
      <c r="X79" s="141" t="e">
        <f t="shared" si="15"/>
        <v>#N/A</v>
      </c>
      <c r="Y79" s="141" t="e">
        <f t="shared" si="15"/>
        <v>#N/A</v>
      </c>
      <c r="Z79" s="141" t="e">
        <f t="shared" si="15"/>
        <v>#N/A</v>
      </c>
      <c r="AA79" s="141" t="e">
        <f t="shared" si="15"/>
        <v>#N/A</v>
      </c>
      <c r="AB79" s="141" t="e">
        <f t="shared" si="15"/>
        <v>#N/A</v>
      </c>
      <c r="AC79" s="141" t="e">
        <f t="shared" si="15"/>
        <v>#N/A</v>
      </c>
      <c r="AD79" s="141" t="e">
        <f t="shared" si="15"/>
        <v>#N/A</v>
      </c>
      <c r="AE79" s="141" t="e">
        <f t="shared" si="15"/>
        <v>#N/A</v>
      </c>
      <c r="AF79" s="141" t="e">
        <f t="shared" si="15"/>
        <v>#N/A</v>
      </c>
      <c r="AG79" s="141" t="e">
        <f t="shared" si="15"/>
        <v>#N/A</v>
      </c>
      <c r="AH79" s="141" t="e">
        <f t="shared" si="15"/>
        <v>#N/A</v>
      </c>
      <c r="AI79" s="141" t="e">
        <f t="shared" si="15"/>
        <v>#N/A</v>
      </c>
      <c r="AJ79" s="141" t="e">
        <f t="shared" si="15"/>
        <v>#N/A</v>
      </c>
      <c r="AK79" s="141" t="e">
        <f t="shared" si="15"/>
        <v>#N/A</v>
      </c>
      <c r="AL79" s="141" t="e">
        <f t="shared" si="15"/>
        <v>#N/A</v>
      </c>
      <c r="AM79" s="141" t="e">
        <f t="shared" si="15"/>
        <v>#N/A</v>
      </c>
    </row>
    <row r="80" spans="2:39" x14ac:dyDescent="0.25">
      <c r="C80" s="56" t="s">
        <v>28</v>
      </c>
      <c r="D80" s="3" t="s">
        <v>204</v>
      </c>
      <c r="E80" s="136" t="e">
        <f t="shared" ref="E80:F80" si="19">E37/E$26</f>
        <v>#N/A</v>
      </c>
      <c r="F80" s="136" t="e">
        <f t="shared" si="19"/>
        <v>#N/A</v>
      </c>
      <c r="G80" s="136" t="e">
        <f t="shared" si="17"/>
        <v>#N/A</v>
      </c>
      <c r="H80" s="136" t="e">
        <f t="shared" si="17"/>
        <v>#N/A</v>
      </c>
      <c r="I80" s="136" t="e">
        <f t="shared" si="17"/>
        <v>#N/A</v>
      </c>
      <c r="J80" s="135" t="e">
        <f t="shared" si="17"/>
        <v>#N/A</v>
      </c>
      <c r="K80" s="92" t="e">
        <f t="shared" si="17"/>
        <v>#N/A</v>
      </c>
      <c r="L80" s="92" t="e">
        <f t="shared" si="17"/>
        <v>#N/A</v>
      </c>
      <c r="M80" s="92" t="e">
        <f t="shared" si="17"/>
        <v>#N/A</v>
      </c>
      <c r="N80" s="136" t="e">
        <f t="shared" si="17"/>
        <v>#N/A</v>
      </c>
      <c r="O80" s="135" t="e">
        <f t="shared" si="17"/>
        <v>#N/A</v>
      </c>
      <c r="P80" s="92" t="e">
        <f t="shared" si="17"/>
        <v>#N/A</v>
      </c>
      <c r="Q80" s="92" t="e">
        <f t="shared" si="17"/>
        <v>#N/A</v>
      </c>
      <c r="R80" s="92" t="e">
        <f t="shared" si="17"/>
        <v>#N/A</v>
      </c>
      <c r="S80" s="136" t="e">
        <f t="shared" si="17"/>
        <v>#N/A</v>
      </c>
      <c r="T80" s="136" t="e">
        <f t="shared" si="15"/>
        <v>#N/A</v>
      </c>
      <c r="U80" s="136" t="e">
        <f t="shared" si="15"/>
        <v>#N/A</v>
      </c>
      <c r="V80" s="136" t="e">
        <f t="shared" si="15"/>
        <v>#N/A</v>
      </c>
      <c r="W80" s="136" t="e">
        <f t="shared" si="15"/>
        <v>#N/A</v>
      </c>
      <c r="X80" s="141" t="e">
        <f t="shared" si="15"/>
        <v>#N/A</v>
      </c>
      <c r="Y80" s="141" t="e">
        <f t="shared" si="15"/>
        <v>#N/A</v>
      </c>
      <c r="Z80" s="141" t="e">
        <f t="shared" si="15"/>
        <v>#N/A</v>
      </c>
      <c r="AA80" s="141" t="e">
        <f t="shared" si="15"/>
        <v>#N/A</v>
      </c>
      <c r="AB80" s="141" t="e">
        <f t="shared" si="15"/>
        <v>#N/A</v>
      </c>
      <c r="AC80" s="141" t="e">
        <f t="shared" si="15"/>
        <v>#N/A</v>
      </c>
      <c r="AD80" s="141" t="e">
        <f t="shared" si="15"/>
        <v>#N/A</v>
      </c>
      <c r="AE80" s="141" t="e">
        <f t="shared" si="15"/>
        <v>#N/A</v>
      </c>
      <c r="AF80" s="141" t="e">
        <f t="shared" si="15"/>
        <v>#N/A</v>
      </c>
      <c r="AG80" s="141" t="e">
        <f t="shared" si="15"/>
        <v>#N/A</v>
      </c>
      <c r="AH80" s="141" t="e">
        <f t="shared" si="15"/>
        <v>#N/A</v>
      </c>
      <c r="AI80" s="141" t="e">
        <f t="shared" si="15"/>
        <v>#N/A</v>
      </c>
      <c r="AJ80" s="141" t="e">
        <f t="shared" si="15"/>
        <v>#N/A</v>
      </c>
      <c r="AK80" s="141" t="e">
        <f t="shared" si="15"/>
        <v>#N/A</v>
      </c>
      <c r="AL80" s="141" t="e">
        <f t="shared" si="15"/>
        <v>#N/A</v>
      </c>
      <c r="AM80" s="141" t="e">
        <f t="shared" si="15"/>
        <v>#N/A</v>
      </c>
    </row>
    <row r="81" spans="2:39" x14ac:dyDescent="0.25">
      <c r="C81" s="56" t="s">
        <v>29</v>
      </c>
      <c r="D81" s="3" t="s">
        <v>205</v>
      </c>
      <c r="E81" s="136" t="e">
        <f t="shared" ref="E81:F81" si="20">E38/E$26</f>
        <v>#N/A</v>
      </c>
      <c r="F81" s="136" t="e">
        <f t="shared" si="20"/>
        <v>#N/A</v>
      </c>
      <c r="G81" s="136" t="e">
        <f t="shared" si="17"/>
        <v>#N/A</v>
      </c>
      <c r="H81" s="136" t="e">
        <f t="shared" si="17"/>
        <v>#N/A</v>
      </c>
      <c r="I81" s="136" t="e">
        <f t="shared" si="17"/>
        <v>#N/A</v>
      </c>
      <c r="J81" s="135" t="e">
        <f t="shared" si="17"/>
        <v>#N/A</v>
      </c>
      <c r="K81" s="92" t="e">
        <f t="shared" si="17"/>
        <v>#N/A</v>
      </c>
      <c r="L81" s="92" t="e">
        <f t="shared" si="17"/>
        <v>#N/A</v>
      </c>
      <c r="M81" s="92" t="e">
        <f t="shared" si="17"/>
        <v>#N/A</v>
      </c>
      <c r="N81" s="136" t="e">
        <f t="shared" si="17"/>
        <v>#N/A</v>
      </c>
      <c r="O81" s="135" t="e">
        <f t="shared" si="17"/>
        <v>#N/A</v>
      </c>
      <c r="P81" s="92" t="e">
        <f t="shared" si="17"/>
        <v>#N/A</v>
      </c>
      <c r="Q81" s="92" t="e">
        <f t="shared" si="17"/>
        <v>#N/A</v>
      </c>
      <c r="R81" s="92" t="e">
        <f t="shared" si="17"/>
        <v>#N/A</v>
      </c>
      <c r="S81" s="136" t="e">
        <f t="shared" si="17"/>
        <v>#N/A</v>
      </c>
      <c r="T81" s="136" t="e">
        <f t="shared" si="15"/>
        <v>#N/A</v>
      </c>
      <c r="U81" s="136" t="e">
        <f t="shared" si="15"/>
        <v>#N/A</v>
      </c>
      <c r="V81" s="136" t="e">
        <f t="shared" si="15"/>
        <v>#N/A</v>
      </c>
      <c r="W81" s="136" t="e">
        <f t="shared" si="15"/>
        <v>#N/A</v>
      </c>
      <c r="X81" s="141" t="e">
        <f t="shared" si="15"/>
        <v>#N/A</v>
      </c>
      <c r="Y81" s="141" t="e">
        <f t="shared" si="15"/>
        <v>#N/A</v>
      </c>
      <c r="Z81" s="141" t="e">
        <f t="shared" si="15"/>
        <v>#N/A</v>
      </c>
      <c r="AA81" s="141" t="e">
        <f t="shared" si="15"/>
        <v>#N/A</v>
      </c>
      <c r="AB81" s="141" t="e">
        <f t="shared" si="15"/>
        <v>#N/A</v>
      </c>
      <c r="AC81" s="141" t="e">
        <f t="shared" si="15"/>
        <v>#N/A</v>
      </c>
      <c r="AD81" s="141" t="e">
        <f t="shared" si="15"/>
        <v>#N/A</v>
      </c>
      <c r="AE81" s="141" t="e">
        <f t="shared" si="15"/>
        <v>#N/A</v>
      </c>
      <c r="AF81" s="141" t="e">
        <f t="shared" si="15"/>
        <v>#N/A</v>
      </c>
      <c r="AG81" s="141" t="e">
        <f t="shared" si="15"/>
        <v>#N/A</v>
      </c>
      <c r="AH81" s="141" t="e">
        <f t="shared" si="15"/>
        <v>#N/A</v>
      </c>
      <c r="AI81" s="141" t="e">
        <f t="shared" si="15"/>
        <v>#N/A</v>
      </c>
      <c r="AJ81" s="141" t="e">
        <f t="shared" si="15"/>
        <v>#N/A</v>
      </c>
      <c r="AK81" s="141" t="e">
        <f t="shared" si="15"/>
        <v>#N/A</v>
      </c>
      <c r="AL81" s="141" t="e">
        <f t="shared" si="15"/>
        <v>#N/A</v>
      </c>
      <c r="AM81" s="141" t="e">
        <f t="shared" si="15"/>
        <v>#N/A</v>
      </c>
    </row>
    <row r="82" spans="2:39" x14ac:dyDescent="0.25">
      <c r="C82" s="56" t="s">
        <v>30</v>
      </c>
      <c r="D82" s="3" t="s">
        <v>206</v>
      </c>
      <c r="E82" s="136" t="e">
        <f t="shared" ref="E82:F82" si="21">E39/E$26</f>
        <v>#N/A</v>
      </c>
      <c r="F82" s="136" t="e">
        <f t="shared" si="21"/>
        <v>#N/A</v>
      </c>
      <c r="G82" s="136" t="e">
        <f t="shared" si="17"/>
        <v>#N/A</v>
      </c>
      <c r="H82" s="136" t="e">
        <f t="shared" si="17"/>
        <v>#N/A</v>
      </c>
      <c r="I82" s="136" t="e">
        <f t="shared" si="17"/>
        <v>#N/A</v>
      </c>
      <c r="J82" s="135" t="e">
        <f t="shared" si="17"/>
        <v>#N/A</v>
      </c>
      <c r="K82" s="92" t="e">
        <f t="shared" si="17"/>
        <v>#N/A</v>
      </c>
      <c r="L82" s="92" t="e">
        <f t="shared" si="17"/>
        <v>#N/A</v>
      </c>
      <c r="M82" s="92" t="e">
        <f t="shared" si="17"/>
        <v>#N/A</v>
      </c>
      <c r="N82" s="136" t="e">
        <f t="shared" si="17"/>
        <v>#N/A</v>
      </c>
      <c r="O82" s="135" t="e">
        <f t="shared" si="17"/>
        <v>#N/A</v>
      </c>
      <c r="P82" s="92" t="e">
        <f t="shared" si="17"/>
        <v>#N/A</v>
      </c>
      <c r="Q82" s="92" t="e">
        <f t="shared" si="17"/>
        <v>#N/A</v>
      </c>
      <c r="R82" s="92" t="e">
        <f t="shared" si="17"/>
        <v>#N/A</v>
      </c>
      <c r="S82" s="136" t="e">
        <f t="shared" si="17"/>
        <v>#N/A</v>
      </c>
      <c r="T82" s="136" t="e">
        <f t="shared" si="15"/>
        <v>#N/A</v>
      </c>
      <c r="U82" s="136" t="e">
        <f t="shared" si="15"/>
        <v>#N/A</v>
      </c>
      <c r="V82" s="136" t="e">
        <f t="shared" si="15"/>
        <v>#N/A</v>
      </c>
      <c r="W82" s="136" t="e">
        <f t="shared" si="15"/>
        <v>#N/A</v>
      </c>
      <c r="X82" s="141" t="e">
        <f t="shared" si="15"/>
        <v>#N/A</v>
      </c>
      <c r="Y82" s="141" t="e">
        <f t="shared" si="15"/>
        <v>#N/A</v>
      </c>
      <c r="Z82" s="141" t="e">
        <f t="shared" si="15"/>
        <v>#N/A</v>
      </c>
      <c r="AA82" s="141" t="e">
        <f t="shared" si="15"/>
        <v>#N/A</v>
      </c>
      <c r="AB82" s="141" t="e">
        <f t="shared" si="15"/>
        <v>#N/A</v>
      </c>
      <c r="AC82" s="141" t="e">
        <f t="shared" si="15"/>
        <v>#N/A</v>
      </c>
      <c r="AD82" s="141" t="e">
        <f t="shared" si="15"/>
        <v>#N/A</v>
      </c>
      <c r="AE82" s="141" t="e">
        <f t="shared" si="15"/>
        <v>#N/A</v>
      </c>
      <c r="AF82" s="141" t="e">
        <f t="shared" si="15"/>
        <v>#N/A</v>
      </c>
      <c r="AG82" s="141" t="e">
        <f t="shared" si="15"/>
        <v>#N/A</v>
      </c>
      <c r="AH82" s="141" t="e">
        <f t="shared" si="15"/>
        <v>#N/A</v>
      </c>
      <c r="AI82" s="141" t="e">
        <f t="shared" si="15"/>
        <v>#N/A</v>
      </c>
      <c r="AJ82" s="141" t="e">
        <f t="shared" si="15"/>
        <v>#N/A</v>
      </c>
      <c r="AK82" s="141" t="e">
        <f t="shared" si="15"/>
        <v>#N/A</v>
      </c>
      <c r="AL82" s="141" t="e">
        <f t="shared" si="15"/>
        <v>#N/A</v>
      </c>
      <c r="AM82" s="141" t="e">
        <f t="shared" si="15"/>
        <v>#N/A</v>
      </c>
    </row>
    <row r="83" spans="2:39" x14ac:dyDescent="0.25">
      <c r="C83" s="56" t="s">
        <v>31</v>
      </c>
      <c r="D83" s="3" t="s">
        <v>207</v>
      </c>
      <c r="E83" s="136" t="e">
        <f t="shared" ref="E83:F83" si="22">E40/E$26</f>
        <v>#N/A</v>
      </c>
      <c r="F83" s="136" t="e">
        <f t="shared" si="22"/>
        <v>#N/A</v>
      </c>
      <c r="G83" s="136" t="e">
        <f t="shared" si="17"/>
        <v>#N/A</v>
      </c>
      <c r="H83" s="136" t="e">
        <f t="shared" si="17"/>
        <v>#N/A</v>
      </c>
      <c r="I83" s="136" t="e">
        <f t="shared" si="17"/>
        <v>#N/A</v>
      </c>
      <c r="J83" s="135" t="e">
        <f t="shared" si="17"/>
        <v>#N/A</v>
      </c>
      <c r="K83" s="92" t="e">
        <f t="shared" si="17"/>
        <v>#N/A</v>
      </c>
      <c r="L83" s="92" t="e">
        <f t="shared" si="17"/>
        <v>#N/A</v>
      </c>
      <c r="M83" s="92" t="e">
        <f t="shared" si="17"/>
        <v>#N/A</v>
      </c>
      <c r="N83" s="136" t="e">
        <f t="shared" si="17"/>
        <v>#N/A</v>
      </c>
      <c r="O83" s="135" t="e">
        <f t="shared" si="17"/>
        <v>#N/A</v>
      </c>
      <c r="P83" s="92" t="e">
        <f t="shared" si="17"/>
        <v>#N/A</v>
      </c>
      <c r="Q83" s="92" t="e">
        <f t="shared" si="17"/>
        <v>#N/A</v>
      </c>
      <c r="R83" s="92" t="e">
        <f t="shared" si="17"/>
        <v>#N/A</v>
      </c>
      <c r="S83" s="136" t="e">
        <f t="shared" si="17"/>
        <v>#N/A</v>
      </c>
      <c r="T83" s="136" t="e">
        <f t="shared" si="15"/>
        <v>#N/A</v>
      </c>
      <c r="U83" s="136" t="e">
        <f t="shared" si="15"/>
        <v>#N/A</v>
      </c>
      <c r="V83" s="136" t="e">
        <f t="shared" si="15"/>
        <v>#N/A</v>
      </c>
      <c r="W83" s="136" t="e">
        <f t="shared" si="15"/>
        <v>#N/A</v>
      </c>
      <c r="X83" s="141" t="e">
        <f t="shared" si="15"/>
        <v>#N/A</v>
      </c>
      <c r="Y83" s="141" t="e">
        <f t="shared" si="15"/>
        <v>#N/A</v>
      </c>
      <c r="Z83" s="141" t="e">
        <f t="shared" si="15"/>
        <v>#N/A</v>
      </c>
      <c r="AA83" s="141" t="e">
        <f t="shared" si="15"/>
        <v>#N/A</v>
      </c>
      <c r="AB83" s="141" t="e">
        <f t="shared" si="15"/>
        <v>#N/A</v>
      </c>
      <c r="AC83" s="141" t="e">
        <f t="shared" si="15"/>
        <v>#N/A</v>
      </c>
      <c r="AD83" s="141" t="e">
        <f t="shared" si="15"/>
        <v>#N/A</v>
      </c>
      <c r="AE83" s="141" t="e">
        <f t="shared" si="15"/>
        <v>#N/A</v>
      </c>
      <c r="AF83" s="141" t="e">
        <f t="shared" si="15"/>
        <v>#N/A</v>
      </c>
      <c r="AG83" s="141" t="e">
        <f t="shared" si="15"/>
        <v>#N/A</v>
      </c>
      <c r="AH83" s="141" t="e">
        <f t="shared" si="15"/>
        <v>#N/A</v>
      </c>
      <c r="AI83" s="141" t="e">
        <f t="shared" si="15"/>
        <v>#N/A</v>
      </c>
      <c r="AJ83" s="141" t="e">
        <f t="shared" si="15"/>
        <v>#N/A</v>
      </c>
      <c r="AK83" s="141" t="e">
        <f t="shared" si="15"/>
        <v>#N/A</v>
      </c>
      <c r="AL83" s="141" t="e">
        <f t="shared" si="15"/>
        <v>#N/A</v>
      </c>
      <c r="AM83" s="141" t="e">
        <f t="shared" si="15"/>
        <v>#N/A</v>
      </c>
    </row>
    <row r="84" spans="2:39" x14ac:dyDescent="0.25">
      <c r="C84" s="56" t="s">
        <v>32</v>
      </c>
      <c r="D84" s="3" t="s">
        <v>208</v>
      </c>
      <c r="E84" s="136" t="e">
        <f t="shared" ref="E84:F84" si="23">E41/E$26</f>
        <v>#N/A</v>
      </c>
      <c r="F84" s="136" t="e">
        <f t="shared" si="23"/>
        <v>#N/A</v>
      </c>
      <c r="G84" s="136" t="e">
        <f t="shared" si="17"/>
        <v>#N/A</v>
      </c>
      <c r="H84" s="136" t="e">
        <f t="shared" si="17"/>
        <v>#N/A</v>
      </c>
      <c r="I84" s="136" t="e">
        <f t="shared" si="17"/>
        <v>#N/A</v>
      </c>
      <c r="J84" s="135" t="e">
        <f t="shared" si="17"/>
        <v>#N/A</v>
      </c>
      <c r="K84" s="92" t="e">
        <f t="shared" si="17"/>
        <v>#N/A</v>
      </c>
      <c r="L84" s="92" t="e">
        <f t="shared" si="17"/>
        <v>#N/A</v>
      </c>
      <c r="M84" s="92" t="e">
        <f t="shared" si="17"/>
        <v>#N/A</v>
      </c>
      <c r="N84" s="136" t="e">
        <f t="shared" si="17"/>
        <v>#N/A</v>
      </c>
      <c r="O84" s="135" t="e">
        <f t="shared" si="17"/>
        <v>#N/A</v>
      </c>
      <c r="P84" s="92" t="e">
        <f t="shared" si="17"/>
        <v>#N/A</v>
      </c>
      <c r="Q84" s="92" t="e">
        <f t="shared" si="17"/>
        <v>#N/A</v>
      </c>
      <c r="R84" s="92" t="e">
        <f t="shared" si="17"/>
        <v>#N/A</v>
      </c>
      <c r="S84" s="136" t="e">
        <f t="shared" si="17"/>
        <v>#N/A</v>
      </c>
      <c r="T84" s="136" t="e">
        <f t="shared" si="15"/>
        <v>#N/A</v>
      </c>
      <c r="U84" s="136" t="e">
        <f t="shared" si="15"/>
        <v>#N/A</v>
      </c>
      <c r="V84" s="136" t="e">
        <f t="shared" si="15"/>
        <v>#N/A</v>
      </c>
      <c r="W84" s="136" t="e">
        <f t="shared" si="15"/>
        <v>#N/A</v>
      </c>
      <c r="X84" s="141" t="e">
        <f t="shared" si="15"/>
        <v>#N/A</v>
      </c>
      <c r="Y84" s="141" t="e">
        <f t="shared" si="15"/>
        <v>#N/A</v>
      </c>
      <c r="Z84" s="141" t="e">
        <f t="shared" si="15"/>
        <v>#N/A</v>
      </c>
      <c r="AA84" s="141" t="e">
        <f t="shared" si="15"/>
        <v>#N/A</v>
      </c>
      <c r="AB84" s="141" t="e">
        <f t="shared" si="15"/>
        <v>#N/A</v>
      </c>
      <c r="AC84" s="141" t="e">
        <f t="shared" si="15"/>
        <v>#N/A</v>
      </c>
      <c r="AD84" s="141" t="e">
        <f t="shared" si="15"/>
        <v>#N/A</v>
      </c>
      <c r="AE84" s="141" t="e">
        <f t="shared" si="15"/>
        <v>#N/A</v>
      </c>
      <c r="AF84" s="141" t="e">
        <f t="shared" si="15"/>
        <v>#N/A</v>
      </c>
      <c r="AG84" s="141" t="e">
        <f t="shared" si="15"/>
        <v>#N/A</v>
      </c>
      <c r="AH84" s="141" t="e">
        <f t="shared" si="15"/>
        <v>#N/A</v>
      </c>
      <c r="AI84" s="141" t="e">
        <f t="shared" si="15"/>
        <v>#N/A</v>
      </c>
      <c r="AJ84" s="141" t="e">
        <f t="shared" si="15"/>
        <v>#N/A</v>
      </c>
      <c r="AK84" s="141" t="e">
        <f t="shared" si="15"/>
        <v>#N/A</v>
      </c>
      <c r="AL84" s="141" t="e">
        <f t="shared" si="15"/>
        <v>#N/A</v>
      </c>
      <c r="AM84" s="141" t="e">
        <f t="shared" si="15"/>
        <v>#N/A</v>
      </c>
    </row>
    <row r="85" spans="2:39" x14ac:dyDescent="0.25">
      <c r="C85" s="80" t="s">
        <v>33</v>
      </c>
      <c r="D85" s="7" t="s">
        <v>209</v>
      </c>
      <c r="E85" s="138" t="e">
        <f t="shared" ref="E85:F85" si="24">E42/E$26</f>
        <v>#N/A</v>
      </c>
      <c r="F85" s="138" t="e">
        <f t="shared" si="24"/>
        <v>#N/A</v>
      </c>
      <c r="G85" s="138" t="e">
        <f t="shared" si="17"/>
        <v>#N/A</v>
      </c>
      <c r="H85" s="138" t="e">
        <f t="shared" si="17"/>
        <v>#N/A</v>
      </c>
      <c r="I85" s="138" t="e">
        <f t="shared" si="17"/>
        <v>#N/A</v>
      </c>
      <c r="J85" s="137" t="e">
        <f t="shared" si="17"/>
        <v>#N/A</v>
      </c>
      <c r="K85" s="94" t="e">
        <f t="shared" si="17"/>
        <v>#N/A</v>
      </c>
      <c r="L85" s="94" t="e">
        <f t="shared" si="17"/>
        <v>#N/A</v>
      </c>
      <c r="M85" s="94" t="e">
        <f t="shared" si="17"/>
        <v>#N/A</v>
      </c>
      <c r="N85" s="138" t="e">
        <f t="shared" si="17"/>
        <v>#N/A</v>
      </c>
      <c r="O85" s="137" t="e">
        <f t="shared" si="17"/>
        <v>#N/A</v>
      </c>
      <c r="P85" s="94" t="e">
        <f t="shared" si="17"/>
        <v>#N/A</v>
      </c>
      <c r="Q85" s="94" t="e">
        <f t="shared" si="17"/>
        <v>#N/A</v>
      </c>
      <c r="R85" s="94" t="e">
        <f t="shared" si="17"/>
        <v>#N/A</v>
      </c>
      <c r="S85" s="138" t="e">
        <f t="shared" si="17"/>
        <v>#N/A</v>
      </c>
      <c r="T85" s="138" t="e">
        <f t="shared" si="15"/>
        <v>#N/A</v>
      </c>
      <c r="U85" s="138" t="e">
        <f t="shared" si="15"/>
        <v>#N/A</v>
      </c>
      <c r="V85" s="138" t="e">
        <f t="shared" si="15"/>
        <v>#N/A</v>
      </c>
      <c r="W85" s="138" t="e">
        <f t="shared" si="15"/>
        <v>#N/A</v>
      </c>
      <c r="X85" s="142" t="e">
        <f t="shared" si="15"/>
        <v>#N/A</v>
      </c>
      <c r="Y85" s="142" t="e">
        <f t="shared" si="15"/>
        <v>#N/A</v>
      </c>
      <c r="Z85" s="142" t="e">
        <f t="shared" si="15"/>
        <v>#N/A</v>
      </c>
      <c r="AA85" s="142" t="e">
        <f t="shared" si="15"/>
        <v>#N/A</v>
      </c>
      <c r="AB85" s="142" t="e">
        <f t="shared" si="15"/>
        <v>#N/A</v>
      </c>
      <c r="AC85" s="142" t="e">
        <f t="shared" si="15"/>
        <v>#N/A</v>
      </c>
      <c r="AD85" s="142" t="e">
        <f t="shared" si="15"/>
        <v>#N/A</v>
      </c>
      <c r="AE85" s="142" t="e">
        <f t="shared" si="15"/>
        <v>#N/A</v>
      </c>
      <c r="AF85" s="142" t="e">
        <f t="shared" si="15"/>
        <v>#N/A</v>
      </c>
      <c r="AG85" s="142" t="e">
        <f t="shared" si="15"/>
        <v>#N/A</v>
      </c>
      <c r="AH85" s="142" t="e">
        <f t="shared" si="15"/>
        <v>#N/A</v>
      </c>
      <c r="AI85" s="142" t="e">
        <f t="shared" si="15"/>
        <v>#N/A</v>
      </c>
      <c r="AJ85" s="142" t="e">
        <f t="shared" si="15"/>
        <v>#N/A</v>
      </c>
      <c r="AK85" s="142" t="e">
        <f t="shared" si="15"/>
        <v>#N/A</v>
      </c>
      <c r="AL85" s="142" t="e">
        <f t="shared" si="15"/>
        <v>#N/A</v>
      </c>
      <c r="AM85" s="142" t="e">
        <f t="shared" si="15"/>
        <v>#N/A</v>
      </c>
    </row>
    <row r="86" spans="2:39" x14ac:dyDescent="0.25">
      <c r="C86" s="56"/>
      <c r="D86" s="3"/>
      <c r="E86" s="136"/>
      <c r="F86" s="136"/>
      <c r="G86" s="136"/>
      <c r="H86" s="136"/>
      <c r="I86" s="136"/>
      <c r="J86" s="135"/>
      <c r="K86" s="92"/>
      <c r="L86" s="92"/>
      <c r="M86" s="92"/>
      <c r="N86" s="136"/>
      <c r="O86" s="135"/>
      <c r="P86" s="92"/>
      <c r="Q86" s="92"/>
      <c r="R86" s="92"/>
      <c r="S86" s="136"/>
      <c r="T86" s="136"/>
      <c r="U86" s="136"/>
      <c r="V86" s="136"/>
      <c r="W86" s="136"/>
      <c r="X86" s="141"/>
      <c r="Y86" s="141"/>
      <c r="Z86" s="141"/>
      <c r="AA86" s="141"/>
      <c r="AB86" s="141"/>
      <c r="AC86" s="141"/>
      <c r="AD86" s="141"/>
      <c r="AE86" s="141"/>
      <c r="AF86" s="141"/>
      <c r="AG86" s="141"/>
      <c r="AH86" s="141"/>
      <c r="AI86" s="141"/>
      <c r="AJ86" s="141"/>
      <c r="AK86" s="141"/>
      <c r="AL86" s="141"/>
      <c r="AM86" s="141"/>
    </row>
    <row r="87" spans="2:39" x14ac:dyDescent="0.25">
      <c r="B87" s="23" t="s">
        <v>193</v>
      </c>
      <c r="C87" s="82" t="s">
        <v>162</v>
      </c>
      <c r="D87" s="82" t="s">
        <v>45</v>
      </c>
      <c r="E87" s="125" t="e">
        <f t="shared" ref="E87:AM87" si="25">E44</f>
        <v>#N/A</v>
      </c>
      <c r="F87" s="125" t="e">
        <f t="shared" si="25"/>
        <v>#N/A</v>
      </c>
      <c r="G87" s="125" t="e">
        <f t="shared" si="25"/>
        <v>#N/A</v>
      </c>
      <c r="H87" s="125" t="e">
        <f t="shared" si="25"/>
        <v>#N/A</v>
      </c>
      <c r="I87" s="125" t="e">
        <f t="shared" si="25"/>
        <v>#N/A</v>
      </c>
      <c r="J87" s="124" t="e">
        <f t="shared" si="25"/>
        <v>#N/A</v>
      </c>
      <c r="K87" s="75" t="e">
        <f t="shared" si="25"/>
        <v>#N/A</v>
      </c>
      <c r="L87" s="75" t="e">
        <f t="shared" si="25"/>
        <v>#N/A</v>
      </c>
      <c r="M87" s="75" t="e">
        <f t="shared" si="25"/>
        <v>#N/A</v>
      </c>
      <c r="N87" s="125" t="e">
        <f t="shared" si="25"/>
        <v>#N/A</v>
      </c>
      <c r="O87" s="124" t="e">
        <f t="shared" si="25"/>
        <v>#N/A</v>
      </c>
      <c r="P87" s="75" t="e">
        <f t="shared" si="25"/>
        <v>#N/A</v>
      </c>
      <c r="Q87" s="75" t="e">
        <f t="shared" si="25"/>
        <v>#N/A</v>
      </c>
      <c r="R87" s="75" t="e">
        <f t="shared" si="25"/>
        <v>#N/A</v>
      </c>
      <c r="S87" s="125" t="e">
        <f t="shared" si="25"/>
        <v>#N/A</v>
      </c>
      <c r="T87" s="125" t="e">
        <f t="shared" si="25"/>
        <v>#N/A</v>
      </c>
      <c r="U87" s="125" t="e">
        <f t="shared" si="25"/>
        <v>#N/A</v>
      </c>
      <c r="V87" s="125" t="e">
        <f t="shared" si="25"/>
        <v>#N/A</v>
      </c>
      <c r="W87" s="125" t="e">
        <f t="shared" si="25"/>
        <v>#N/A</v>
      </c>
      <c r="X87" s="129" t="e">
        <f t="shared" si="25"/>
        <v>#N/A</v>
      </c>
      <c r="Y87" s="129" t="e">
        <f t="shared" si="25"/>
        <v>#N/A</v>
      </c>
      <c r="Z87" s="129" t="e">
        <f t="shared" si="25"/>
        <v>#N/A</v>
      </c>
      <c r="AA87" s="129" t="e">
        <f t="shared" si="25"/>
        <v>#N/A</v>
      </c>
      <c r="AB87" s="129" t="e">
        <f t="shared" si="25"/>
        <v>#N/A</v>
      </c>
      <c r="AC87" s="129" t="e">
        <f t="shared" si="25"/>
        <v>#N/A</v>
      </c>
      <c r="AD87" s="129" t="e">
        <f t="shared" si="25"/>
        <v>#N/A</v>
      </c>
      <c r="AE87" s="129" t="e">
        <f t="shared" si="25"/>
        <v>#N/A</v>
      </c>
      <c r="AF87" s="129" t="e">
        <f t="shared" si="25"/>
        <v>#N/A</v>
      </c>
      <c r="AG87" s="129" t="e">
        <f t="shared" si="25"/>
        <v>#N/A</v>
      </c>
      <c r="AH87" s="129" t="e">
        <f t="shared" si="25"/>
        <v>#N/A</v>
      </c>
      <c r="AI87" s="129" t="e">
        <f t="shared" si="25"/>
        <v>#N/A</v>
      </c>
      <c r="AJ87" s="129" t="e">
        <f t="shared" si="25"/>
        <v>#N/A</v>
      </c>
      <c r="AK87" s="129" t="e">
        <f t="shared" si="25"/>
        <v>#N/A</v>
      </c>
      <c r="AL87" s="129" t="e">
        <f t="shared" si="25"/>
        <v>#N/A</v>
      </c>
      <c r="AM87" s="129" t="e">
        <f t="shared" si="25"/>
        <v>#N/A</v>
      </c>
    </row>
    <row r="88" spans="2:39" x14ac:dyDescent="0.25">
      <c r="C88" s="56" t="s">
        <v>8</v>
      </c>
      <c r="D88" s="78" t="s">
        <v>210</v>
      </c>
      <c r="E88" s="136" t="e">
        <f t="shared" ref="E88:AM91" si="26">E45/E$44</f>
        <v>#N/A</v>
      </c>
      <c r="F88" s="136" t="e">
        <f t="shared" si="26"/>
        <v>#N/A</v>
      </c>
      <c r="G88" s="136" t="e">
        <f t="shared" si="26"/>
        <v>#N/A</v>
      </c>
      <c r="H88" s="136" t="e">
        <f t="shared" si="26"/>
        <v>#N/A</v>
      </c>
      <c r="I88" s="136" t="e">
        <f t="shared" si="26"/>
        <v>#N/A</v>
      </c>
      <c r="J88" s="135" t="e">
        <f t="shared" si="26"/>
        <v>#N/A</v>
      </c>
      <c r="K88" s="92" t="e">
        <f t="shared" si="26"/>
        <v>#N/A</v>
      </c>
      <c r="L88" s="92" t="e">
        <f t="shared" si="26"/>
        <v>#N/A</v>
      </c>
      <c r="M88" s="92" t="e">
        <f t="shared" si="26"/>
        <v>#N/A</v>
      </c>
      <c r="N88" s="136" t="e">
        <f t="shared" si="26"/>
        <v>#N/A</v>
      </c>
      <c r="O88" s="135" t="e">
        <f t="shared" si="26"/>
        <v>#N/A</v>
      </c>
      <c r="P88" s="92" t="e">
        <f t="shared" si="26"/>
        <v>#N/A</v>
      </c>
      <c r="Q88" s="92" t="e">
        <f t="shared" si="26"/>
        <v>#N/A</v>
      </c>
      <c r="R88" s="92" t="e">
        <f t="shared" si="26"/>
        <v>#N/A</v>
      </c>
      <c r="S88" s="136" t="e">
        <f t="shared" si="26"/>
        <v>#N/A</v>
      </c>
      <c r="T88" s="136" t="e">
        <f t="shared" si="26"/>
        <v>#N/A</v>
      </c>
      <c r="U88" s="136" t="e">
        <f t="shared" si="26"/>
        <v>#N/A</v>
      </c>
      <c r="V88" s="136" t="e">
        <f t="shared" si="26"/>
        <v>#N/A</v>
      </c>
      <c r="W88" s="136" t="e">
        <f t="shared" si="26"/>
        <v>#N/A</v>
      </c>
      <c r="X88" s="141" t="e">
        <f t="shared" si="26"/>
        <v>#N/A</v>
      </c>
      <c r="Y88" s="141" t="e">
        <f t="shared" si="26"/>
        <v>#N/A</v>
      </c>
      <c r="Z88" s="141" t="e">
        <f t="shared" si="26"/>
        <v>#N/A</v>
      </c>
      <c r="AA88" s="141" t="e">
        <f t="shared" si="26"/>
        <v>#N/A</v>
      </c>
      <c r="AB88" s="141" t="e">
        <f t="shared" si="26"/>
        <v>#N/A</v>
      </c>
      <c r="AC88" s="141" t="e">
        <f t="shared" si="26"/>
        <v>#N/A</v>
      </c>
      <c r="AD88" s="141" t="e">
        <f t="shared" si="26"/>
        <v>#N/A</v>
      </c>
      <c r="AE88" s="141" t="e">
        <f t="shared" si="26"/>
        <v>#N/A</v>
      </c>
      <c r="AF88" s="141" t="e">
        <f t="shared" si="26"/>
        <v>#N/A</v>
      </c>
      <c r="AG88" s="141" t="e">
        <f t="shared" si="26"/>
        <v>#N/A</v>
      </c>
      <c r="AH88" s="141" t="e">
        <f t="shared" si="26"/>
        <v>#N/A</v>
      </c>
      <c r="AI88" s="141" t="e">
        <f t="shared" si="26"/>
        <v>#N/A</v>
      </c>
      <c r="AJ88" s="141" t="e">
        <f t="shared" si="26"/>
        <v>#N/A</v>
      </c>
      <c r="AK88" s="141" t="e">
        <f t="shared" si="26"/>
        <v>#N/A</v>
      </c>
      <c r="AL88" s="141" t="e">
        <f t="shared" si="26"/>
        <v>#N/A</v>
      </c>
      <c r="AM88" s="141" t="e">
        <f t="shared" si="26"/>
        <v>#N/A</v>
      </c>
    </row>
    <row r="89" spans="2:39" x14ac:dyDescent="0.25">
      <c r="C89" s="56" t="s">
        <v>6</v>
      </c>
      <c r="D89" s="3" t="s">
        <v>211</v>
      </c>
      <c r="E89" s="136" t="e">
        <f t="shared" si="26"/>
        <v>#N/A</v>
      </c>
      <c r="F89" s="136" t="e">
        <f t="shared" si="26"/>
        <v>#N/A</v>
      </c>
      <c r="G89" s="136" t="e">
        <f t="shared" si="26"/>
        <v>#N/A</v>
      </c>
      <c r="H89" s="136" t="e">
        <f t="shared" si="26"/>
        <v>#N/A</v>
      </c>
      <c r="I89" s="136" t="e">
        <f t="shared" si="26"/>
        <v>#N/A</v>
      </c>
      <c r="J89" s="135" t="e">
        <f t="shared" si="26"/>
        <v>#N/A</v>
      </c>
      <c r="K89" s="92" t="e">
        <f t="shared" si="26"/>
        <v>#N/A</v>
      </c>
      <c r="L89" s="92" t="e">
        <f t="shared" si="26"/>
        <v>#N/A</v>
      </c>
      <c r="M89" s="92" t="e">
        <f t="shared" si="26"/>
        <v>#N/A</v>
      </c>
      <c r="N89" s="136" t="e">
        <f t="shared" si="26"/>
        <v>#N/A</v>
      </c>
      <c r="O89" s="135" t="e">
        <f t="shared" si="26"/>
        <v>#N/A</v>
      </c>
      <c r="P89" s="92" t="e">
        <f t="shared" si="26"/>
        <v>#N/A</v>
      </c>
      <c r="Q89" s="92" t="e">
        <f t="shared" si="26"/>
        <v>#N/A</v>
      </c>
      <c r="R89" s="92" t="e">
        <f t="shared" si="26"/>
        <v>#N/A</v>
      </c>
      <c r="S89" s="136" t="e">
        <f t="shared" si="26"/>
        <v>#N/A</v>
      </c>
      <c r="T89" s="136" t="e">
        <f t="shared" si="26"/>
        <v>#N/A</v>
      </c>
      <c r="U89" s="136" t="e">
        <f t="shared" si="26"/>
        <v>#N/A</v>
      </c>
      <c r="V89" s="136" t="e">
        <f t="shared" si="26"/>
        <v>#N/A</v>
      </c>
      <c r="W89" s="136" t="e">
        <f t="shared" si="26"/>
        <v>#N/A</v>
      </c>
      <c r="X89" s="141" t="e">
        <f t="shared" si="26"/>
        <v>#N/A</v>
      </c>
      <c r="Y89" s="141" t="e">
        <f t="shared" si="26"/>
        <v>#N/A</v>
      </c>
      <c r="Z89" s="141" t="e">
        <f t="shared" si="26"/>
        <v>#N/A</v>
      </c>
      <c r="AA89" s="141" t="e">
        <f t="shared" si="26"/>
        <v>#N/A</v>
      </c>
      <c r="AB89" s="141" t="e">
        <f t="shared" si="26"/>
        <v>#N/A</v>
      </c>
      <c r="AC89" s="141" t="e">
        <f t="shared" si="26"/>
        <v>#N/A</v>
      </c>
      <c r="AD89" s="141" t="e">
        <f t="shared" si="26"/>
        <v>#N/A</v>
      </c>
      <c r="AE89" s="141" t="e">
        <f t="shared" si="26"/>
        <v>#N/A</v>
      </c>
      <c r="AF89" s="141" t="e">
        <f t="shared" si="26"/>
        <v>#N/A</v>
      </c>
      <c r="AG89" s="141" t="e">
        <f t="shared" si="26"/>
        <v>#N/A</v>
      </c>
      <c r="AH89" s="141" t="e">
        <f t="shared" si="26"/>
        <v>#N/A</v>
      </c>
      <c r="AI89" s="141" t="e">
        <f t="shared" si="26"/>
        <v>#N/A</v>
      </c>
      <c r="AJ89" s="141" t="e">
        <f t="shared" si="26"/>
        <v>#N/A</v>
      </c>
      <c r="AK89" s="141" t="e">
        <f t="shared" si="26"/>
        <v>#N/A</v>
      </c>
      <c r="AL89" s="141" t="e">
        <f t="shared" si="26"/>
        <v>#N/A</v>
      </c>
      <c r="AM89" s="141" t="e">
        <f t="shared" si="26"/>
        <v>#N/A</v>
      </c>
    </row>
    <row r="90" spans="2:39" x14ac:dyDescent="0.25">
      <c r="C90" s="56" t="s">
        <v>34</v>
      </c>
      <c r="D90" s="3" t="s">
        <v>187</v>
      </c>
      <c r="E90" s="136" t="e">
        <f t="shared" si="26"/>
        <v>#N/A</v>
      </c>
      <c r="F90" s="136" t="e">
        <f t="shared" si="26"/>
        <v>#N/A</v>
      </c>
      <c r="G90" s="136" t="e">
        <f t="shared" si="26"/>
        <v>#N/A</v>
      </c>
      <c r="H90" s="136" t="e">
        <f t="shared" si="26"/>
        <v>#N/A</v>
      </c>
      <c r="I90" s="136" t="e">
        <f t="shared" si="26"/>
        <v>#N/A</v>
      </c>
      <c r="J90" s="135" t="e">
        <f t="shared" si="26"/>
        <v>#N/A</v>
      </c>
      <c r="K90" s="92" t="e">
        <f t="shared" si="26"/>
        <v>#N/A</v>
      </c>
      <c r="L90" s="92" t="e">
        <f t="shared" si="26"/>
        <v>#N/A</v>
      </c>
      <c r="M90" s="92" t="e">
        <f t="shared" si="26"/>
        <v>#N/A</v>
      </c>
      <c r="N90" s="136" t="e">
        <f t="shared" si="26"/>
        <v>#N/A</v>
      </c>
      <c r="O90" s="135" t="e">
        <f t="shared" si="26"/>
        <v>#N/A</v>
      </c>
      <c r="P90" s="92" t="e">
        <f t="shared" si="26"/>
        <v>#N/A</v>
      </c>
      <c r="Q90" s="92" t="e">
        <f t="shared" si="26"/>
        <v>#N/A</v>
      </c>
      <c r="R90" s="92" t="e">
        <f t="shared" si="26"/>
        <v>#N/A</v>
      </c>
      <c r="S90" s="136" t="e">
        <f t="shared" si="26"/>
        <v>#N/A</v>
      </c>
      <c r="T90" s="136" t="e">
        <f t="shared" si="26"/>
        <v>#N/A</v>
      </c>
      <c r="U90" s="136" t="e">
        <f t="shared" si="26"/>
        <v>#N/A</v>
      </c>
      <c r="V90" s="136" t="e">
        <f t="shared" si="26"/>
        <v>#N/A</v>
      </c>
      <c r="W90" s="136" t="e">
        <f t="shared" si="26"/>
        <v>#N/A</v>
      </c>
      <c r="X90" s="141" t="e">
        <f t="shared" si="26"/>
        <v>#N/A</v>
      </c>
      <c r="Y90" s="141" t="e">
        <f t="shared" si="26"/>
        <v>#N/A</v>
      </c>
      <c r="Z90" s="141" t="e">
        <f t="shared" si="26"/>
        <v>#N/A</v>
      </c>
      <c r="AA90" s="141" t="e">
        <f t="shared" si="26"/>
        <v>#N/A</v>
      </c>
      <c r="AB90" s="141" t="e">
        <f t="shared" si="26"/>
        <v>#N/A</v>
      </c>
      <c r="AC90" s="141" t="e">
        <f t="shared" si="26"/>
        <v>#N/A</v>
      </c>
      <c r="AD90" s="141" t="e">
        <f t="shared" si="26"/>
        <v>#N/A</v>
      </c>
      <c r="AE90" s="141" t="e">
        <f t="shared" si="26"/>
        <v>#N/A</v>
      </c>
      <c r="AF90" s="141" t="e">
        <f t="shared" si="26"/>
        <v>#N/A</v>
      </c>
      <c r="AG90" s="141" t="e">
        <f t="shared" si="26"/>
        <v>#N/A</v>
      </c>
      <c r="AH90" s="141" t="e">
        <f t="shared" si="26"/>
        <v>#N/A</v>
      </c>
      <c r="AI90" s="141" t="e">
        <f t="shared" si="26"/>
        <v>#N/A</v>
      </c>
      <c r="AJ90" s="141" t="e">
        <f t="shared" si="26"/>
        <v>#N/A</v>
      </c>
      <c r="AK90" s="141" t="e">
        <f t="shared" si="26"/>
        <v>#N/A</v>
      </c>
      <c r="AL90" s="141" t="e">
        <f t="shared" si="26"/>
        <v>#N/A</v>
      </c>
      <c r="AM90" s="141" t="e">
        <f t="shared" si="26"/>
        <v>#N/A</v>
      </c>
    </row>
    <row r="91" spans="2:39" x14ac:dyDescent="0.25">
      <c r="C91" s="56" t="s">
        <v>35</v>
      </c>
      <c r="D91" s="3" t="s">
        <v>212</v>
      </c>
      <c r="E91" s="136" t="e">
        <f t="shared" si="26"/>
        <v>#N/A</v>
      </c>
      <c r="F91" s="136" t="e">
        <f t="shared" si="26"/>
        <v>#N/A</v>
      </c>
      <c r="G91" s="136" t="e">
        <f t="shared" si="26"/>
        <v>#N/A</v>
      </c>
      <c r="H91" s="136" t="e">
        <f t="shared" si="26"/>
        <v>#N/A</v>
      </c>
      <c r="I91" s="136" t="e">
        <f t="shared" si="26"/>
        <v>#N/A</v>
      </c>
      <c r="J91" s="135" t="e">
        <f t="shared" si="26"/>
        <v>#N/A</v>
      </c>
      <c r="K91" s="92" t="e">
        <f t="shared" si="26"/>
        <v>#N/A</v>
      </c>
      <c r="L91" s="92" t="e">
        <f t="shared" si="26"/>
        <v>#N/A</v>
      </c>
      <c r="M91" s="92" t="e">
        <f t="shared" si="26"/>
        <v>#N/A</v>
      </c>
      <c r="N91" s="136" t="e">
        <f t="shared" si="26"/>
        <v>#N/A</v>
      </c>
      <c r="O91" s="135" t="e">
        <f t="shared" si="26"/>
        <v>#N/A</v>
      </c>
      <c r="P91" s="92" t="e">
        <f t="shared" si="26"/>
        <v>#N/A</v>
      </c>
      <c r="Q91" s="92" t="e">
        <f t="shared" si="26"/>
        <v>#N/A</v>
      </c>
      <c r="R91" s="92" t="e">
        <f t="shared" si="26"/>
        <v>#N/A</v>
      </c>
      <c r="S91" s="136" t="e">
        <f t="shared" si="26"/>
        <v>#N/A</v>
      </c>
      <c r="T91" s="136" t="e">
        <f t="shared" si="26"/>
        <v>#N/A</v>
      </c>
      <c r="U91" s="136" t="e">
        <f t="shared" si="26"/>
        <v>#N/A</v>
      </c>
      <c r="V91" s="136" t="e">
        <f t="shared" si="26"/>
        <v>#N/A</v>
      </c>
      <c r="W91" s="136" t="e">
        <f t="shared" si="26"/>
        <v>#N/A</v>
      </c>
      <c r="X91" s="141" t="e">
        <f t="shared" si="26"/>
        <v>#N/A</v>
      </c>
      <c r="Y91" s="141" t="e">
        <f t="shared" si="26"/>
        <v>#N/A</v>
      </c>
      <c r="Z91" s="141" t="e">
        <f t="shared" si="26"/>
        <v>#N/A</v>
      </c>
      <c r="AA91" s="141" t="e">
        <f t="shared" si="26"/>
        <v>#N/A</v>
      </c>
      <c r="AB91" s="141" t="e">
        <f t="shared" si="26"/>
        <v>#N/A</v>
      </c>
      <c r="AC91" s="141" t="e">
        <f t="shared" si="26"/>
        <v>#N/A</v>
      </c>
      <c r="AD91" s="141" t="e">
        <f t="shared" si="26"/>
        <v>#N/A</v>
      </c>
      <c r="AE91" s="141" t="e">
        <f t="shared" si="26"/>
        <v>#N/A</v>
      </c>
      <c r="AF91" s="141" t="e">
        <f t="shared" si="26"/>
        <v>#N/A</v>
      </c>
      <c r="AG91" s="141" t="e">
        <f t="shared" si="26"/>
        <v>#N/A</v>
      </c>
      <c r="AH91" s="141" t="e">
        <f t="shared" si="26"/>
        <v>#N/A</v>
      </c>
      <c r="AI91" s="141" t="e">
        <f t="shared" si="26"/>
        <v>#N/A</v>
      </c>
      <c r="AJ91" s="141" t="e">
        <f t="shared" si="26"/>
        <v>#N/A</v>
      </c>
      <c r="AK91" s="141" t="e">
        <f t="shared" si="26"/>
        <v>#N/A</v>
      </c>
      <c r="AL91" s="141" t="e">
        <f t="shared" si="26"/>
        <v>#N/A</v>
      </c>
      <c r="AM91" s="141" t="e">
        <f t="shared" si="26"/>
        <v>#N/A</v>
      </c>
    </row>
    <row r="92" spans="2:39" x14ac:dyDescent="0.25">
      <c r="C92" s="82" t="s">
        <v>162</v>
      </c>
      <c r="D92" s="82" t="s">
        <v>45</v>
      </c>
      <c r="E92" s="83" t="e">
        <f>E44</f>
        <v>#N/A</v>
      </c>
      <c r="F92" s="83" t="e">
        <f t="shared" ref="F92:AM92" si="27">F44</f>
        <v>#N/A</v>
      </c>
      <c r="G92" s="83" t="e">
        <f t="shared" si="27"/>
        <v>#N/A</v>
      </c>
      <c r="H92" s="83" t="e">
        <f t="shared" si="27"/>
        <v>#N/A</v>
      </c>
      <c r="I92" s="83" t="e">
        <f t="shared" si="27"/>
        <v>#N/A</v>
      </c>
      <c r="J92" s="83" t="e">
        <f t="shared" si="27"/>
        <v>#N/A</v>
      </c>
      <c r="K92" s="83" t="e">
        <f t="shared" si="27"/>
        <v>#N/A</v>
      </c>
      <c r="L92" s="83" t="e">
        <f t="shared" si="27"/>
        <v>#N/A</v>
      </c>
      <c r="M92" s="83" t="e">
        <f t="shared" si="27"/>
        <v>#N/A</v>
      </c>
      <c r="N92" s="83" t="e">
        <f t="shared" si="27"/>
        <v>#N/A</v>
      </c>
      <c r="O92" s="83" t="e">
        <f t="shared" si="27"/>
        <v>#N/A</v>
      </c>
      <c r="P92" s="83" t="e">
        <f t="shared" si="27"/>
        <v>#N/A</v>
      </c>
      <c r="Q92" s="83" t="e">
        <f t="shared" si="27"/>
        <v>#N/A</v>
      </c>
      <c r="R92" s="83" t="e">
        <f t="shared" si="27"/>
        <v>#N/A</v>
      </c>
      <c r="S92" s="83" t="e">
        <f t="shared" si="27"/>
        <v>#N/A</v>
      </c>
      <c r="T92" s="83" t="e">
        <f t="shared" si="27"/>
        <v>#N/A</v>
      </c>
      <c r="U92" s="83" t="e">
        <f t="shared" si="27"/>
        <v>#N/A</v>
      </c>
      <c r="V92" s="83" t="e">
        <f t="shared" si="27"/>
        <v>#N/A</v>
      </c>
      <c r="W92" s="83" t="e">
        <f t="shared" si="27"/>
        <v>#N/A</v>
      </c>
      <c r="X92" s="83" t="e">
        <f t="shared" si="27"/>
        <v>#N/A</v>
      </c>
      <c r="Y92" s="83" t="e">
        <f t="shared" si="27"/>
        <v>#N/A</v>
      </c>
      <c r="Z92" s="83" t="e">
        <f t="shared" si="27"/>
        <v>#N/A</v>
      </c>
      <c r="AA92" s="83" t="e">
        <f t="shared" si="27"/>
        <v>#N/A</v>
      </c>
      <c r="AB92" s="83" t="e">
        <f t="shared" si="27"/>
        <v>#N/A</v>
      </c>
      <c r="AC92" s="83" t="e">
        <f t="shared" si="27"/>
        <v>#N/A</v>
      </c>
      <c r="AD92" s="83" t="e">
        <f t="shared" si="27"/>
        <v>#N/A</v>
      </c>
      <c r="AE92" s="83" t="e">
        <f t="shared" si="27"/>
        <v>#N/A</v>
      </c>
      <c r="AF92" s="83" t="e">
        <f t="shared" si="27"/>
        <v>#N/A</v>
      </c>
      <c r="AG92" s="83" t="e">
        <f t="shared" si="27"/>
        <v>#N/A</v>
      </c>
      <c r="AH92" s="83" t="e">
        <f t="shared" si="27"/>
        <v>#N/A</v>
      </c>
      <c r="AI92" s="83" t="e">
        <f t="shared" si="27"/>
        <v>#N/A</v>
      </c>
      <c r="AJ92" s="83" t="e">
        <f t="shared" si="27"/>
        <v>#N/A</v>
      </c>
      <c r="AK92" s="83" t="e">
        <f t="shared" si="27"/>
        <v>#N/A</v>
      </c>
      <c r="AL92" s="83" t="e">
        <f t="shared" si="27"/>
        <v>#N/A</v>
      </c>
      <c r="AM92" s="83" t="e">
        <f t="shared" si="27"/>
        <v>#N/A</v>
      </c>
    </row>
    <row r="93" spans="2:39" x14ac:dyDescent="0.25">
      <c r="C93" s="84" t="s">
        <v>118</v>
      </c>
      <c r="D93" s="3" t="s">
        <v>187</v>
      </c>
      <c r="E93" s="153" t="e">
        <f t="shared" ref="E93:AM100" si="28">E50/E$49</f>
        <v>#N/A</v>
      </c>
      <c r="F93" s="153" t="e">
        <f t="shared" si="28"/>
        <v>#N/A</v>
      </c>
      <c r="G93" s="153" t="e">
        <f t="shared" si="28"/>
        <v>#N/A</v>
      </c>
      <c r="H93" s="153" t="e">
        <f t="shared" si="28"/>
        <v>#N/A</v>
      </c>
      <c r="I93" s="153" t="e">
        <f t="shared" si="28"/>
        <v>#N/A</v>
      </c>
      <c r="J93" s="152" t="e">
        <f t="shared" si="28"/>
        <v>#N/A</v>
      </c>
      <c r="K93" s="95" t="e">
        <f t="shared" si="28"/>
        <v>#N/A</v>
      </c>
      <c r="L93" s="95" t="e">
        <f t="shared" si="28"/>
        <v>#N/A</v>
      </c>
      <c r="M93" s="95" t="e">
        <f t="shared" si="28"/>
        <v>#N/A</v>
      </c>
      <c r="N93" s="153" t="e">
        <f t="shared" si="28"/>
        <v>#N/A</v>
      </c>
      <c r="O93" s="152" t="e">
        <f t="shared" si="28"/>
        <v>#N/A</v>
      </c>
      <c r="P93" s="95" t="e">
        <f t="shared" si="28"/>
        <v>#N/A</v>
      </c>
      <c r="Q93" s="95" t="e">
        <f t="shared" si="28"/>
        <v>#N/A</v>
      </c>
      <c r="R93" s="95" t="e">
        <f t="shared" si="28"/>
        <v>#N/A</v>
      </c>
      <c r="S93" s="153" t="e">
        <f t="shared" si="28"/>
        <v>#N/A</v>
      </c>
      <c r="T93" s="153" t="e">
        <f t="shared" si="28"/>
        <v>#N/A</v>
      </c>
      <c r="U93" s="153" t="e">
        <f t="shared" si="28"/>
        <v>#N/A</v>
      </c>
      <c r="V93" s="153" t="e">
        <f t="shared" si="28"/>
        <v>#N/A</v>
      </c>
      <c r="W93" s="153" t="e">
        <f t="shared" si="28"/>
        <v>#N/A</v>
      </c>
      <c r="X93" s="145" t="e">
        <f t="shared" si="28"/>
        <v>#N/A</v>
      </c>
      <c r="Y93" s="145" t="e">
        <f t="shared" si="28"/>
        <v>#N/A</v>
      </c>
      <c r="Z93" s="145" t="e">
        <f t="shared" si="28"/>
        <v>#N/A</v>
      </c>
      <c r="AA93" s="145" t="e">
        <f t="shared" si="28"/>
        <v>#N/A</v>
      </c>
      <c r="AB93" s="145" t="e">
        <f t="shared" si="28"/>
        <v>#N/A</v>
      </c>
      <c r="AC93" s="145" t="e">
        <f t="shared" si="28"/>
        <v>#N/A</v>
      </c>
      <c r="AD93" s="145" t="e">
        <f t="shared" si="28"/>
        <v>#N/A</v>
      </c>
      <c r="AE93" s="145" t="e">
        <f t="shared" si="28"/>
        <v>#N/A</v>
      </c>
      <c r="AF93" s="145" t="e">
        <f t="shared" si="28"/>
        <v>#N/A</v>
      </c>
      <c r="AG93" s="145" t="e">
        <f t="shared" si="28"/>
        <v>#N/A</v>
      </c>
      <c r="AH93" s="145" t="e">
        <f t="shared" si="28"/>
        <v>#N/A</v>
      </c>
      <c r="AI93" s="145" t="e">
        <f t="shared" si="28"/>
        <v>#N/A</v>
      </c>
      <c r="AJ93" s="145" t="e">
        <f t="shared" si="28"/>
        <v>#N/A</v>
      </c>
      <c r="AK93" s="145" t="e">
        <f t="shared" si="28"/>
        <v>#N/A</v>
      </c>
      <c r="AL93" s="145" t="e">
        <f t="shared" si="28"/>
        <v>#N/A</v>
      </c>
      <c r="AM93" s="145" t="e">
        <f t="shared" si="28"/>
        <v>#N/A</v>
      </c>
    </row>
    <row r="94" spans="2:39" x14ac:dyDescent="0.25">
      <c r="C94" s="86" t="s">
        <v>27</v>
      </c>
      <c r="D94" s="87" t="s">
        <v>213</v>
      </c>
      <c r="E94" s="136" t="e">
        <f t="shared" si="28"/>
        <v>#N/A</v>
      </c>
      <c r="F94" s="136" t="e">
        <f t="shared" si="28"/>
        <v>#N/A</v>
      </c>
      <c r="G94" s="136" t="e">
        <f t="shared" si="28"/>
        <v>#N/A</v>
      </c>
      <c r="H94" s="136" t="e">
        <f t="shared" si="28"/>
        <v>#N/A</v>
      </c>
      <c r="I94" s="136" t="e">
        <f t="shared" si="28"/>
        <v>#N/A</v>
      </c>
      <c r="J94" s="135" t="e">
        <f t="shared" si="28"/>
        <v>#N/A</v>
      </c>
      <c r="K94" s="92" t="e">
        <f t="shared" si="28"/>
        <v>#N/A</v>
      </c>
      <c r="L94" s="92" t="e">
        <f t="shared" si="28"/>
        <v>#N/A</v>
      </c>
      <c r="M94" s="92" t="e">
        <f t="shared" si="28"/>
        <v>#N/A</v>
      </c>
      <c r="N94" s="136" t="e">
        <f t="shared" si="28"/>
        <v>#N/A</v>
      </c>
      <c r="O94" s="135" t="e">
        <f t="shared" si="28"/>
        <v>#N/A</v>
      </c>
      <c r="P94" s="92" t="e">
        <f t="shared" si="28"/>
        <v>#N/A</v>
      </c>
      <c r="Q94" s="92" t="e">
        <f t="shared" si="28"/>
        <v>#N/A</v>
      </c>
      <c r="R94" s="92" t="e">
        <f t="shared" si="28"/>
        <v>#N/A</v>
      </c>
      <c r="S94" s="136" t="e">
        <f t="shared" si="28"/>
        <v>#N/A</v>
      </c>
      <c r="T94" s="136" t="e">
        <f t="shared" si="28"/>
        <v>#N/A</v>
      </c>
      <c r="U94" s="136" t="e">
        <f t="shared" si="28"/>
        <v>#N/A</v>
      </c>
      <c r="V94" s="136" t="e">
        <f t="shared" si="28"/>
        <v>#N/A</v>
      </c>
      <c r="W94" s="136" t="e">
        <f t="shared" si="28"/>
        <v>#N/A</v>
      </c>
      <c r="X94" s="141" t="e">
        <f t="shared" si="28"/>
        <v>#N/A</v>
      </c>
      <c r="Y94" s="141" t="e">
        <f t="shared" si="28"/>
        <v>#N/A</v>
      </c>
      <c r="Z94" s="141" t="e">
        <f t="shared" si="28"/>
        <v>#N/A</v>
      </c>
      <c r="AA94" s="141" t="e">
        <f t="shared" si="28"/>
        <v>#N/A</v>
      </c>
      <c r="AB94" s="141" t="e">
        <f t="shared" si="28"/>
        <v>#N/A</v>
      </c>
      <c r="AC94" s="141" t="e">
        <f t="shared" si="28"/>
        <v>#N/A</v>
      </c>
      <c r="AD94" s="141" t="e">
        <f t="shared" si="28"/>
        <v>#N/A</v>
      </c>
      <c r="AE94" s="141" t="e">
        <f t="shared" si="28"/>
        <v>#N/A</v>
      </c>
      <c r="AF94" s="141" t="e">
        <f t="shared" si="28"/>
        <v>#N/A</v>
      </c>
      <c r="AG94" s="141" t="e">
        <f t="shared" si="28"/>
        <v>#N/A</v>
      </c>
      <c r="AH94" s="141" t="e">
        <f t="shared" si="28"/>
        <v>#N/A</v>
      </c>
      <c r="AI94" s="141" t="e">
        <f t="shared" si="28"/>
        <v>#N/A</v>
      </c>
      <c r="AJ94" s="141" t="e">
        <f t="shared" si="28"/>
        <v>#N/A</v>
      </c>
      <c r="AK94" s="141" t="e">
        <f t="shared" si="28"/>
        <v>#N/A</v>
      </c>
      <c r="AL94" s="141" t="e">
        <f t="shared" si="28"/>
        <v>#N/A</v>
      </c>
      <c r="AM94" s="141" t="e">
        <f t="shared" si="28"/>
        <v>#N/A</v>
      </c>
    </row>
    <row r="95" spans="2:39" x14ac:dyDescent="0.25">
      <c r="C95" s="56" t="s">
        <v>28</v>
      </c>
      <c r="D95" s="78" t="s">
        <v>214</v>
      </c>
      <c r="E95" s="136" t="e">
        <f t="shared" si="28"/>
        <v>#N/A</v>
      </c>
      <c r="F95" s="136" t="e">
        <f t="shared" si="28"/>
        <v>#N/A</v>
      </c>
      <c r="G95" s="136" t="e">
        <f t="shared" si="28"/>
        <v>#N/A</v>
      </c>
      <c r="H95" s="136" t="e">
        <f t="shared" si="28"/>
        <v>#N/A</v>
      </c>
      <c r="I95" s="136" t="e">
        <f t="shared" si="28"/>
        <v>#N/A</v>
      </c>
      <c r="J95" s="135" t="e">
        <f t="shared" si="28"/>
        <v>#N/A</v>
      </c>
      <c r="K95" s="92" t="e">
        <f t="shared" si="28"/>
        <v>#N/A</v>
      </c>
      <c r="L95" s="92" t="e">
        <f t="shared" si="28"/>
        <v>#N/A</v>
      </c>
      <c r="M95" s="92" t="e">
        <f t="shared" si="28"/>
        <v>#N/A</v>
      </c>
      <c r="N95" s="136" t="e">
        <f t="shared" si="28"/>
        <v>#N/A</v>
      </c>
      <c r="O95" s="135" t="e">
        <f t="shared" si="28"/>
        <v>#N/A</v>
      </c>
      <c r="P95" s="92" t="e">
        <f t="shared" si="28"/>
        <v>#N/A</v>
      </c>
      <c r="Q95" s="92" t="e">
        <f t="shared" si="28"/>
        <v>#N/A</v>
      </c>
      <c r="R95" s="92" t="e">
        <f t="shared" si="28"/>
        <v>#N/A</v>
      </c>
      <c r="S95" s="136" t="e">
        <f t="shared" si="28"/>
        <v>#N/A</v>
      </c>
      <c r="T95" s="136" t="e">
        <f t="shared" si="28"/>
        <v>#N/A</v>
      </c>
      <c r="U95" s="136" t="e">
        <f t="shared" si="28"/>
        <v>#N/A</v>
      </c>
      <c r="V95" s="136" t="e">
        <f t="shared" si="28"/>
        <v>#N/A</v>
      </c>
      <c r="W95" s="136" t="e">
        <f t="shared" si="28"/>
        <v>#N/A</v>
      </c>
      <c r="X95" s="141" t="e">
        <f t="shared" si="28"/>
        <v>#N/A</v>
      </c>
      <c r="Y95" s="141" t="e">
        <f t="shared" si="28"/>
        <v>#N/A</v>
      </c>
      <c r="Z95" s="141" t="e">
        <f t="shared" si="28"/>
        <v>#N/A</v>
      </c>
      <c r="AA95" s="141" t="e">
        <f t="shared" si="28"/>
        <v>#N/A</v>
      </c>
      <c r="AB95" s="141" t="e">
        <f t="shared" si="28"/>
        <v>#N/A</v>
      </c>
      <c r="AC95" s="141" t="e">
        <f t="shared" si="28"/>
        <v>#N/A</v>
      </c>
      <c r="AD95" s="141" t="e">
        <f t="shared" si="28"/>
        <v>#N/A</v>
      </c>
      <c r="AE95" s="141" t="e">
        <f t="shared" si="28"/>
        <v>#N/A</v>
      </c>
      <c r="AF95" s="141" t="e">
        <f t="shared" si="28"/>
        <v>#N/A</v>
      </c>
      <c r="AG95" s="141" t="e">
        <f t="shared" si="28"/>
        <v>#N/A</v>
      </c>
      <c r="AH95" s="141" t="e">
        <f t="shared" si="28"/>
        <v>#N/A</v>
      </c>
      <c r="AI95" s="141" t="e">
        <f t="shared" si="28"/>
        <v>#N/A</v>
      </c>
      <c r="AJ95" s="141" t="e">
        <f t="shared" si="28"/>
        <v>#N/A</v>
      </c>
      <c r="AK95" s="141" t="e">
        <f t="shared" si="28"/>
        <v>#N/A</v>
      </c>
      <c r="AL95" s="141" t="e">
        <f t="shared" si="28"/>
        <v>#N/A</v>
      </c>
      <c r="AM95" s="141" t="e">
        <f t="shared" si="28"/>
        <v>#N/A</v>
      </c>
    </row>
    <row r="96" spans="2:39" x14ac:dyDescent="0.25">
      <c r="C96" s="56" t="s">
        <v>29</v>
      </c>
      <c r="D96" s="78" t="s">
        <v>215</v>
      </c>
      <c r="E96" s="136" t="e">
        <f t="shared" si="28"/>
        <v>#N/A</v>
      </c>
      <c r="F96" s="136" t="e">
        <f t="shared" si="28"/>
        <v>#N/A</v>
      </c>
      <c r="G96" s="136" t="e">
        <f t="shared" si="28"/>
        <v>#N/A</v>
      </c>
      <c r="H96" s="136" t="e">
        <f t="shared" si="28"/>
        <v>#N/A</v>
      </c>
      <c r="I96" s="136" t="e">
        <f t="shared" si="28"/>
        <v>#N/A</v>
      </c>
      <c r="J96" s="135" t="e">
        <f t="shared" si="28"/>
        <v>#N/A</v>
      </c>
      <c r="K96" s="92" t="e">
        <f t="shared" si="28"/>
        <v>#N/A</v>
      </c>
      <c r="L96" s="92" t="e">
        <f t="shared" si="28"/>
        <v>#N/A</v>
      </c>
      <c r="M96" s="92" t="e">
        <f t="shared" si="28"/>
        <v>#N/A</v>
      </c>
      <c r="N96" s="136" t="e">
        <f t="shared" si="28"/>
        <v>#N/A</v>
      </c>
      <c r="O96" s="135" t="e">
        <f t="shared" si="28"/>
        <v>#N/A</v>
      </c>
      <c r="P96" s="92" t="e">
        <f t="shared" si="28"/>
        <v>#N/A</v>
      </c>
      <c r="Q96" s="92" t="e">
        <f t="shared" si="28"/>
        <v>#N/A</v>
      </c>
      <c r="R96" s="92" t="e">
        <f t="shared" si="28"/>
        <v>#N/A</v>
      </c>
      <c r="S96" s="136" t="e">
        <f t="shared" si="28"/>
        <v>#N/A</v>
      </c>
      <c r="T96" s="136" t="e">
        <f t="shared" si="28"/>
        <v>#N/A</v>
      </c>
      <c r="U96" s="136" t="e">
        <f t="shared" si="28"/>
        <v>#N/A</v>
      </c>
      <c r="V96" s="136" t="e">
        <f t="shared" si="28"/>
        <v>#N/A</v>
      </c>
      <c r="W96" s="136" t="e">
        <f t="shared" si="28"/>
        <v>#N/A</v>
      </c>
      <c r="X96" s="141" t="e">
        <f t="shared" si="28"/>
        <v>#N/A</v>
      </c>
      <c r="Y96" s="141" t="e">
        <f t="shared" si="28"/>
        <v>#N/A</v>
      </c>
      <c r="Z96" s="141" t="e">
        <f t="shared" si="28"/>
        <v>#N/A</v>
      </c>
      <c r="AA96" s="141" t="e">
        <f t="shared" si="28"/>
        <v>#N/A</v>
      </c>
      <c r="AB96" s="141" t="e">
        <f t="shared" si="28"/>
        <v>#N/A</v>
      </c>
      <c r="AC96" s="141" t="e">
        <f t="shared" si="28"/>
        <v>#N/A</v>
      </c>
      <c r="AD96" s="141" t="e">
        <f t="shared" si="28"/>
        <v>#N/A</v>
      </c>
      <c r="AE96" s="141" t="e">
        <f t="shared" si="28"/>
        <v>#N/A</v>
      </c>
      <c r="AF96" s="141" t="e">
        <f t="shared" si="28"/>
        <v>#N/A</v>
      </c>
      <c r="AG96" s="141" t="e">
        <f t="shared" si="28"/>
        <v>#N/A</v>
      </c>
      <c r="AH96" s="141" t="e">
        <f t="shared" si="28"/>
        <v>#N/A</v>
      </c>
      <c r="AI96" s="141" t="e">
        <f t="shared" si="28"/>
        <v>#N/A</v>
      </c>
      <c r="AJ96" s="141" t="e">
        <f t="shared" si="28"/>
        <v>#N/A</v>
      </c>
      <c r="AK96" s="141" t="e">
        <f t="shared" si="28"/>
        <v>#N/A</v>
      </c>
      <c r="AL96" s="141" t="e">
        <f t="shared" si="28"/>
        <v>#N/A</v>
      </c>
      <c r="AM96" s="141" t="e">
        <f t="shared" si="28"/>
        <v>#N/A</v>
      </c>
    </row>
    <row r="97" spans="3:40" x14ac:dyDescent="0.25">
      <c r="C97" s="56" t="s">
        <v>30</v>
      </c>
      <c r="D97" s="78" t="s">
        <v>216</v>
      </c>
      <c r="E97" s="136" t="e">
        <f t="shared" si="28"/>
        <v>#N/A</v>
      </c>
      <c r="F97" s="136" t="e">
        <f t="shared" si="28"/>
        <v>#N/A</v>
      </c>
      <c r="G97" s="136" t="e">
        <f t="shared" si="28"/>
        <v>#N/A</v>
      </c>
      <c r="H97" s="136" t="e">
        <f t="shared" si="28"/>
        <v>#N/A</v>
      </c>
      <c r="I97" s="136" t="e">
        <f t="shared" si="28"/>
        <v>#N/A</v>
      </c>
      <c r="J97" s="135" t="e">
        <f t="shared" si="28"/>
        <v>#N/A</v>
      </c>
      <c r="K97" s="92" t="e">
        <f t="shared" si="28"/>
        <v>#N/A</v>
      </c>
      <c r="L97" s="92" t="e">
        <f t="shared" si="28"/>
        <v>#N/A</v>
      </c>
      <c r="M97" s="92" t="e">
        <f t="shared" si="28"/>
        <v>#N/A</v>
      </c>
      <c r="N97" s="136" t="e">
        <f t="shared" si="28"/>
        <v>#N/A</v>
      </c>
      <c r="O97" s="135" t="e">
        <f t="shared" si="28"/>
        <v>#N/A</v>
      </c>
      <c r="P97" s="92" t="e">
        <f t="shared" si="28"/>
        <v>#N/A</v>
      </c>
      <c r="Q97" s="92" t="e">
        <f t="shared" si="28"/>
        <v>#N/A</v>
      </c>
      <c r="R97" s="92" t="e">
        <f t="shared" si="28"/>
        <v>#N/A</v>
      </c>
      <c r="S97" s="136" t="e">
        <f t="shared" si="28"/>
        <v>#N/A</v>
      </c>
      <c r="T97" s="136" t="e">
        <f t="shared" si="28"/>
        <v>#N/A</v>
      </c>
      <c r="U97" s="136" t="e">
        <f t="shared" si="28"/>
        <v>#N/A</v>
      </c>
      <c r="V97" s="136" t="e">
        <f t="shared" si="28"/>
        <v>#N/A</v>
      </c>
      <c r="W97" s="136" t="e">
        <f t="shared" si="28"/>
        <v>#N/A</v>
      </c>
      <c r="X97" s="141" t="e">
        <f t="shared" si="28"/>
        <v>#N/A</v>
      </c>
      <c r="Y97" s="141" t="e">
        <f t="shared" si="28"/>
        <v>#N/A</v>
      </c>
      <c r="Z97" s="141" t="e">
        <f t="shared" si="28"/>
        <v>#N/A</v>
      </c>
      <c r="AA97" s="141" t="e">
        <f t="shared" si="28"/>
        <v>#N/A</v>
      </c>
      <c r="AB97" s="141" t="e">
        <f t="shared" si="28"/>
        <v>#N/A</v>
      </c>
      <c r="AC97" s="141" t="e">
        <f t="shared" si="28"/>
        <v>#N/A</v>
      </c>
      <c r="AD97" s="141" t="e">
        <f t="shared" si="28"/>
        <v>#N/A</v>
      </c>
      <c r="AE97" s="141" t="e">
        <f t="shared" si="28"/>
        <v>#N/A</v>
      </c>
      <c r="AF97" s="141" t="e">
        <f t="shared" si="28"/>
        <v>#N/A</v>
      </c>
      <c r="AG97" s="141" t="e">
        <f t="shared" si="28"/>
        <v>#N/A</v>
      </c>
      <c r="AH97" s="141" t="e">
        <f t="shared" si="28"/>
        <v>#N/A</v>
      </c>
      <c r="AI97" s="141" t="e">
        <f t="shared" si="28"/>
        <v>#N/A</v>
      </c>
      <c r="AJ97" s="141" t="e">
        <f t="shared" si="28"/>
        <v>#N/A</v>
      </c>
      <c r="AK97" s="141" t="e">
        <f t="shared" si="28"/>
        <v>#N/A</v>
      </c>
      <c r="AL97" s="141" t="e">
        <f t="shared" si="28"/>
        <v>#N/A</v>
      </c>
      <c r="AM97" s="141" t="e">
        <f t="shared" si="28"/>
        <v>#N/A</v>
      </c>
    </row>
    <row r="98" spans="3:40" x14ac:dyDescent="0.25">
      <c r="C98" s="56" t="s">
        <v>31</v>
      </c>
      <c r="D98" s="78" t="s">
        <v>217</v>
      </c>
      <c r="E98" s="136" t="e">
        <f t="shared" si="28"/>
        <v>#N/A</v>
      </c>
      <c r="F98" s="136" t="e">
        <f t="shared" si="28"/>
        <v>#N/A</v>
      </c>
      <c r="G98" s="136" t="e">
        <f t="shared" si="28"/>
        <v>#N/A</v>
      </c>
      <c r="H98" s="136" t="e">
        <f t="shared" si="28"/>
        <v>#N/A</v>
      </c>
      <c r="I98" s="136" t="e">
        <f t="shared" si="28"/>
        <v>#N/A</v>
      </c>
      <c r="J98" s="135" t="e">
        <f t="shared" si="28"/>
        <v>#N/A</v>
      </c>
      <c r="K98" s="92" t="e">
        <f t="shared" si="28"/>
        <v>#N/A</v>
      </c>
      <c r="L98" s="92" t="e">
        <f t="shared" si="28"/>
        <v>#N/A</v>
      </c>
      <c r="M98" s="92" t="e">
        <f t="shared" si="28"/>
        <v>#N/A</v>
      </c>
      <c r="N98" s="136" t="e">
        <f t="shared" si="28"/>
        <v>#N/A</v>
      </c>
      <c r="O98" s="135" t="e">
        <f t="shared" si="28"/>
        <v>#N/A</v>
      </c>
      <c r="P98" s="92" t="e">
        <f t="shared" si="28"/>
        <v>#N/A</v>
      </c>
      <c r="Q98" s="92" t="e">
        <f t="shared" si="28"/>
        <v>#N/A</v>
      </c>
      <c r="R98" s="92" t="e">
        <f t="shared" si="28"/>
        <v>#N/A</v>
      </c>
      <c r="S98" s="136" t="e">
        <f t="shared" si="28"/>
        <v>#N/A</v>
      </c>
      <c r="T98" s="136" t="e">
        <f t="shared" si="28"/>
        <v>#N/A</v>
      </c>
      <c r="U98" s="136" t="e">
        <f t="shared" si="28"/>
        <v>#N/A</v>
      </c>
      <c r="V98" s="136" t="e">
        <f t="shared" si="28"/>
        <v>#N/A</v>
      </c>
      <c r="W98" s="136" t="e">
        <f t="shared" si="28"/>
        <v>#N/A</v>
      </c>
      <c r="X98" s="141" t="e">
        <f t="shared" si="28"/>
        <v>#N/A</v>
      </c>
      <c r="Y98" s="141" t="e">
        <f t="shared" si="28"/>
        <v>#N/A</v>
      </c>
      <c r="Z98" s="141" t="e">
        <f t="shared" si="28"/>
        <v>#N/A</v>
      </c>
      <c r="AA98" s="141" t="e">
        <f t="shared" si="28"/>
        <v>#N/A</v>
      </c>
      <c r="AB98" s="141" t="e">
        <f t="shared" si="28"/>
        <v>#N/A</v>
      </c>
      <c r="AC98" s="141" t="e">
        <f t="shared" si="28"/>
        <v>#N/A</v>
      </c>
      <c r="AD98" s="141" t="e">
        <f t="shared" si="28"/>
        <v>#N/A</v>
      </c>
      <c r="AE98" s="141" t="e">
        <f t="shared" si="28"/>
        <v>#N/A</v>
      </c>
      <c r="AF98" s="141" t="e">
        <f t="shared" si="28"/>
        <v>#N/A</v>
      </c>
      <c r="AG98" s="141" t="e">
        <f t="shared" si="28"/>
        <v>#N/A</v>
      </c>
      <c r="AH98" s="141" t="e">
        <f t="shared" si="28"/>
        <v>#N/A</v>
      </c>
      <c r="AI98" s="141" t="e">
        <f t="shared" si="28"/>
        <v>#N/A</v>
      </c>
      <c r="AJ98" s="141" t="e">
        <f t="shared" si="28"/>
        <v>#N/A</v>
      </c>
      <c r="AK98" s="141" t="e">
        <f t="shared" si="28"/>
        <v>#N/A</v>
      </c>
      <c r="AL98" s="141" t="e">
        <f t="shared" si="28"/>
        <v>#N/A</v>
      </c>
      <c r="AM98" s="141" t="e">
        <f t="shared" si="28"/>
        <v>#N/A</v>
      </c>
    </row>
    <row r="99" spans="3:40" x14ac:dyDescent="0.25">
      <c r="C99" s="56" t="s">
        <v>32</v>
      </c>
      <c r="D99" s="78" t="s">
        <v>218</v>
      </c>
      <c r="E99" s="136" t="e">
        <f t="shared" si="28"/>
        <v>#N/A</v>
      </c>
      <c r="F99" s="136" t="e">
        <f t="shared" si="28"/>
        <v>#N/A</v>
      </c>
      <c r="G99" s="136" t="e">
        <f t="shared" si="28"/>
        <v>#N/A</v>
      </c>
      <c r="H99" s="136" t="e">
        <f t="shared" si="28"/>
        <v>#N/A</v>
      </c>
      <c r="I99" s="136" t="e">
        <f t="shared" si="28"/>
        <v>#N/A</v>
      </c>
      <c r="J99" s="135" t="e">
        <f t="shared" si="28"/>
        <v>#N/A</v>
      </c>
      <c r="K99" s="92" t="e">
        <f t="shared" si="28"/>
        <v>#N/A</v>
      </c>
      <c r="L99" s="92" t="e">
        <f t="shared" si="28"/>
        <v>#N/A</v>
      </c>
      <c r="M99" s="92" t="e">
        <f t="shared" si="28"/>
        <v>#N/A</v>
      </c>
      <c r="N99" s="136" t="e">
        <f t="shared" si="28"/>
        <v>#N/A</v>
      </c>
      <c r="O99" s="135" t="e">
        <f t="shared" si="28"/>
        <v>#N/A</v>
      </c>
      <c r="P99" s="92" t="e">
        <f t="shared" si="28"/>
        <v>#N/A</v>
      </c>
      <c r="Q99" s="92" t="e">
        <f t="shared" si="28"/>
        <v>#N/A</v>
      </c>
      <c r="R99" s="92" t="e">
        <f t="shared" si="28"/>
        <v>#N/A</v>
      </c>
      <c r="S99" s="136" t="e">
        <f t="shared" si="28"/>
        <v>#N/A</v>
      </c>
      <c r="T99" s="136" t="e">
        <f t="shared" si="28"/>
        <v>#N/A</v>
      </c>
      <c r="U99" s="136" t="e">
        <f t="shared" si="28"/>
        <v>#N/A</v>
      </c>
      <c r="V99" s="136" t="e">
        <f t="shared" si="28"/>
        <v>#N/A</v>
      </c>
      <c r="W99" s="136" t="e">
        <f t="shared" si="28"/>
        <v>#N/A</v>
      </c>
      <c r="X99" s="141" t="e">
        <f t="shared" si="28"/>
        <v>#N/A</v>
      </c>
      <c r="Y99" s="141" t="e">
        <f t="shared" si="28"/>
        <v>#N/A</v>
      </c>
      <c r="Z99" s="141" t="e">
        <f t="shared" si="28"/>
        <v>#N/A</v>
      </c>
      <c r="AA99" s="141" t="e">
        <f t="shared" si="28"/>
        <v>#N/A</v>
      </c>
      <c r="AB99" s="141" t="e">
        <f t="shared" si="28"/>
        <v>#N/A</v>
      </c>
      <c r="AC99" s="141" t="e">
        <f t="shared" si="28"/>
        <v>#N/A</v>
      </c>
      <c r="AD99" s="141" t="e">
        <f t="shared" si="28"/>
        <v>#N/A</v>
      </c>
      <c r="AE99" s="141" t="e">
        <f t="shared" si="28"/>
        <v>#N/A</v>
      </c>
      <c r="AF99" s="141" t="e">
        <f t="shared" si="28"/>
        <v>#N/A</v>
      </c>
      <c r="AG99" s="141" t="e">
        <f t="shared" si="28"/>
        <v>#N/A</v>
      </c>
      <c r="AH99" s="141" t="e">
        <f t="shared" si="28"/>
        <v>#N/A</v>
      </c>
      <c r="AI99" s="141" t="e">
        <f t="shared" si="28"/>
        <v>#N/A</v>
      </c>
      <c r="AJ99" s="141" t="e">
        <f t="shared" si="28"/>
        <v>#N/A</v>
      </c>
      <c r="AK99" s="141" t="e">
        <f t="shared" si="28"/>
        <v>#N/A</v>
      </c>
      <c r="AL99" s="141" t="e">
        <f t="shared" si="28"/>
        <v>#N/A</v>
      </c>
      <c r="AM99" s="141" t="e">
        <f t="shared" si="28"/>
        <v>#N/A</v>
      </c>
    </row>
    <row r="100" spans="3:40" x14ac:dyDescent="0.25">
      <c r="C100" s="56" t="s">
        <v>33</v>
      </c>
      <c r="D100" s="78" t="s">
        <v>219</v>
      </c>
      <c r="E100" s="136" t="e">
        <f t="shared" si="28"/>
        <v>#N/A</v>
      </c>
      <c r="F100" s="136" t="e">
        <f t="shared" si="28"/>
        <v>#N/A</v>
      </c>
      <c r="G100" s="136" t="e">
        <f t="shared" si="28"/>
        <v>#N/A</v>
      </c>
      <c r="H100" s="136" t="e">
        <f t="shared" si="28"/>
        <v>#N/A</v>
      </c>
      <c r="I100" s="136" t="e">
        <f t="shared" si="28"/>
        <v>#N/A</v>
      </c>
      <c r="J100" s="135" t="e">
        <f t="shared" si="28"/>
        <v>#N/A</v>
      </c>
      <c r="K100" s="92" t="e">
        <f t="shared" si="28"/>
        <v>#N/A</v>
      </c>
      <c r="L100" s="92" t="e">
        <f t="shared" si="28"/>
        <v>#N/A</v>
      </c>
      <c r="M100" s="92" t="e">
        <f t="shared" si="28"/>
        <v>#N/A</v>
      </c>
      <c r="N100" s="136" t="e">
        <f t="shared" si="28"/>
        <v>#N/A</v>
      </c>
      <c r="O100" s="135" t="e">
        <f t="shared" ref="O100:AM108" si="29">O57/O$49</f>
        <v>#N/A</v>
      </c>
      <c r="P100" s="92" t="e">
        <f t="shared" si="29"/>
        <v>#N/A</v>
      </c>
      <c r="Q100" s="92" t="e">
        <f t="shared" si="29"/>
        <v>#N/A</v>
      </c>
      <c r="R100" s="92" t="e">
        <f t="shared" si="29"/>
        <v>#N/A</v>
      </c>
      <c r="S100" s="136" t="e">
        <f t="shared" si="29"/>
        <v>#N/A</v>
      </c>
      <c r="T100" s="136" t="e">
        <f t="shared" si="29"/>
        <v>#N/A</v>
      </c>
      <c r="U100" s="136" t="e">
        <f t="shared" si="29"/>
        <v>#N/A</v>
      </c>
      <c r="V100" s="136" t="e">
        <f t="shared" si="29"/>
        <v>#N/A</v>
      </c>
      <c r="W100" s="136" t="e">
        <f t="shared" si="29"/>
        <v>#N/A</v>
      </c>
      <c r="X100" s="141" t="e">
        <f t="shared" si="29"/>
        <v>#N/A</v>
      </c>
      <c r="Y100" s="141" t="e">
        <f t="shared" si="29"/>
        <v>#N/A</v>
      </c>
      <c r="Z100" s="141" t="e">
        <f t="shared" si="29"/>
        <v>#N/A</v>
      </c>
      <c r="AA100" s="141" t="e">
        <f t="shared" si="29"/>
        <v>#N/A</v>
      </c>
      <c r="AB100" s="141" t="e">
        <f t="shared" si="29"/>
        <v>#N/A</v>
      </c>
      <c r="AC100" s="141" t="e">
        <f t="shared" si="29"/>
        <v>#N/A</v>
      </c>
      <c r="AD100" s="141" t="e">
        <f t="shared" si="29"/>
        <v>#N/A</v>
      </c>
      <c r="AE100" s="141" t="e">
        <f t="shared" si="29"/>
        <v>#N/A</v>
      </c>
      <c r="AF100" s="141" t="e">
        <f t="shared" si="29"/>
        <v>#N/A</v>
      </c>
      <c r="AG100" s="141" t="e">
        <f t="shared" si="29"/>
        <v>#N/A</v>
      </c>
      <c r="AH100" s="141" t="e">
        <f t="shared" si="29"/>
        <v>#N/A</v>
      </c>
      <c r="AI100" s="141" t="e">
        <f t="shared" si="29"/>
        <v>#N/A</v>
      </c>
      <c r="AJ100" s="141" t="e">
        <f t="shared" si="29"/>
        <v>#N/A</v>
      </c>
      <c r="AK100" s="141" t="e">
        <f t="shared" si="29"/>
        <v>#N/A</v>
      </c>
      <c r="AL100" s="141" t="e">
        <f t="shared" si="29"/>
        <v>#N/A</v>
      </c>
      <c r="AM100" s="141" t="e">
        <f t="shared" si="29"/>
        <v>#N/A</v>
      </c>
    </row>
    <row r="101" spans="3:40" x14ac:dyDescent="0.25">
      <c r="C101" s="88" t="s">
        <v>119</v>
      </c>
      <c r="D101" s="76" t="s">
        <v>211</v>
      </c>
      <c r="E101" s="153" t="e">
        <f t="shared" ref="E101:AM108" si="30">E58/E$49</f>
        <v>#N/A</v>
      </c>
      <c r="F101" s="153" t="e">
        <f t="shared" si="30"/>
        <v>#N/A</v>
      </c>
      <c r="G101" s="153" t="e">
        <f t="shared" si="30"/>
        <v>#N/A</v>
      </c>
      <c r="H101" s="153" t="e">
        <f t="shared" si="30"/>
        <v>#N/A</v>
      </c>
      <c r="I101" s="153" t="e">
        <f t="shared" si="30"/>
        <v>#N/A</v>
      </c>
      <c r="J101" s="152" t="e">
        <f t="shared" si="30"/>
        <v>#N/A</v>
      </c>
      <c r="K101" s="95" t="e">
        <f t="shared" si="30"/>
        <v>#N/A</v>
      </c>
      <c r="L101" s="95" t="e">
        <f t="shared" si="30"/>
        <v>#N/A</v>
      </c>
      <c r="M101" s="95" t="e">
        <f t="shared" si="30"/>
        <v>#N/A</v>
      </c>
      <c r="N101" s="153" t="e">
        <f t="shared" si="30"/>
        <v>#N/A</v>
      </c>
      <c r="O101" s="152" t="e">
        <f t="shared" si="30"/>
        <v>#N/A</v>
      </c>
      <c r="P101" s="95" t="e">
        <f t="shared" si="30"/>
        <v>#N/A</v>
      </c>
      <c r="Q101" s="95" t="e">
        <f t="shared" si="30"/>
        <v>#N/A</v>
      </c>
      <c r="R101" s="95" t="e">
        <f t="shared" si="30"/>
        <v>#N/A</v>
      </c>
      <c r="S101" s="153" t="e">
        <f t="shared" si="30"/>
        <v>#N/A</v>
      </c>
      <c r="T101" s="153" t="e">
        <f t="shared" si="29"/>
        <v>#N/A</v>
      </c>
      <c r="U101" s="153" t="e">
        <f t="shared" si="29"/>
        <v>#N/A</v>
      </c>
      <c r="V101" s="153" t="e">
        <f t="shared" si="29"/>
        <v>#N/A</v>
      </c>
      <c r="W101" s="153" t="e">
        <f t="shared" si="29"/>
        <v>#N/A</v>
      </c>
      <c r="X101" s="145" t="e">
        <f t="shared" si="30"/>
        <v>#N/A</v>
      </c>
      <c r="Y101" s="145" t="e">
        <f t="shared" si="29"/>
        <v>#N/A</v>
      </c>
      <c r="Z101" s="145" t="e">
        <f t="shared" si="29"/>
        <v>#N/A</v>
      </c>
      <c r="AA101" s="145" t="e">
        <f t="shared" si="29"/>
        <v>#N/A</v>
      </c>
      <c r="AB101" s="145" t="e">
        <f t="shared" si="29"/>
        <v>#N/A</v>
      </c>
      <c r="AC101" s="145" t="e">
        <f t="shared" si="30"/>
        <v>#N/A</v>
      </c>
      <c r="AD101" s="145" t="e">
        <f t="shared" si="29"/>
        <v>#N/A</v>
      </c>
      <c r="AE101" s="145" t="e">
        <f t="shared" si="29"/>
        <v>#N/A</v>
      </c>
      <c r="AF101" s="145" t="e">
        <f t="shared" si="29"/>
        <v>#N/A</v>
      </c>
      <c r="AG101" s="145" t="e">
        <f t="shared" si="29"/>
        <v>#N/A</v>
      </c>
      <c r="AH101" s="145" t="e">
        <f t="shared" si="30"/>
        <v>#N/A</v>
      </c>
      <c r="AI101" s="145" t="e">
        <f t="shared" si="29"/>
        <v>#N/A</v>
      </c>
      <c r="AJ101" s="145" t="e">
        <f t="shared" si="29"/>
        <v>#N/A</v>
      </c>
      <c r="AK101" s="145" t="e">
        <f t="shared" si="29"/>
        <v>#N/A</v>
      </c>
      <c r="AL101" s="145" t="e">
        <f t="shared" si="29"/>
        <v>#N/A</v>
      </c>
      <c r="AM101" s="145" t="e">
        <f t="shared" si="30"/>
        <v>#N/A</v>
      </c>
      <c r="AN101" s="162"/>
    </row>
    <row r="102" spans="3:40" x14ac:dyDescent="0.25">
      <c r="C102" s="56" t="s">
        <v>27</v>
      </c>
      <c r="D102" s="78" t="s">
        <v>220</v>
      </c>
      <c r="E102" s="155" t="e">
        <f t="shared" si="30"/>
        <v>#N/A</v>
      </c>
      <c r="F102" s="155" t="e">
        <f t="shared" si="30"/>
        <v>#N/A</v>
      </c>
      <c r="G102" s="155" t="e">
        <f t="shared" si="30"/>
        <v>#N/A</v>
      </c>
      <c r="H102" s="155" t="e">
        <f t="shared" si="30"/>
        <v>#N/A</v>
      </c>
      <c r="I102" s="155" t="e">
        <f t="shared" si="30"/>
        <v>#N/A</v>
      </c>
      <c r="J102" s="154" t="e">
        <f t="shared" si="30"/>
        <v>#N/A</v>
      </c>
      <c r="K102" s="96" t="e">
        <f t="shared" si="30"/>
        <v>#N/A</v>
      </c>
      <c r="L102" s="96" t="e">
        <f t="shared" si="30"/>
        <v>#N/A</v>
      </c>
      <c r="M102" s="96" t="e">
        <f t="shared" si="30"/>
        <v>#N/A</v>
      </c>
      <c r="N102" s="155" t="e">
        <f t="shared" si="30"/>
        <v>#N/A</v>
      </c>
      <c r="O102" s="154" t="e">
        <f t="shared" si="30"/>
        <v>#N/A</v>
      </c>
      <c r="P102" s="96" t="e">
        <f t="shared" si="30"/>
        <v>#N/A</v>
      </c>
      <c r="Q102" s="96" t="e">
        <f t="shared" si="30"/>
        <v>#N/A</v>
      </c>
      <c r="R102" s="96" t="e">
        <f t="shared" si="30"/>
        <v>#N/A</v>
      </c>
      <c r="S102" s="155" t="e">
        <f t="shared" si="30"/>
        <v>#N/A</v>
      </c>
      <c r="T102" s="155" t="e">
        <f t="shared" si="29"/>
        <v>#N/A</v>
      </c>
      <c r="U102" s="155" t="e">
        <f t="shared" si="29"/>
        <v>#N/A</v>
      </c>
      <c r="V102" s="155" t="e">
        <f t="shared" si="29"/>
        <v>#N/A</v>
      </c>
      <c r="W102" s="155" t="e">
        <f t="shared" si="29"/>
        <v>#N/A</v>
      </c>
      <c r="X102" s="146" t="e">
        <f t="shared" si="30"/>
        <v>#N/A</v>
      </c>
      <c r="Y102" s="146" t="e">
        <f t="shared" si="29"/>
        <v>#N/A</v>
      </c>
      <c r="Z102" s="146" t="e">
        <f t="shared" si="29"/>
        <v>#N/A</v>
      </c>
      <c r="AA102" s="146" t="e">
        <f t="shared" si="29"/>
        <v>#N/A</v>
      </c>
      <c r="AB102" s="146" t="e">
        <f t="shared" si="29"/>
        <v>#N/A</v>
      </c>
      <c r="AC102" s="146" t="e">
        <f t="shared" si="30"/>
        <v>#N/A</v>
      </c>
      <c r="AD102" s="146" t="e">
        <f t="shared" si="29"/>
        <v>#N/A</v>
      </c>
      <c r="AE102" s="146" t="e">
        <f t="shared" si="29"/>
        <v>#N/A</v>
      </c>
      <c r="AF102" s="146" t="e">
        <f t="shared" si="29"/>
        <v>#N/A</v>
      </c>
      <c r="AG102" s="146" t="e">
        <f t="shared" si="29"/>
        <v>#N/A</v>
      </c>
      <c r="AH102" s="146" t="e">
        <f t="shared" si="30"/>
        <v>#N/A</v>
      </c>
      <c r="AI102" s="146" t="e">
        <f t="shared" si="29"/>
        <v>#N/A</v>
      </c>
      <c r="AJ102" s="146" t="e">
        <f t="shared" si="29"/>
        <v>#N/A</v>
      </c>
      <c r="AK102" s="146" t="e">
        <f t="shared" si="29"/>
        <v>#N/A</v>
      </c>
      <c r="AL102" s="146" t="e">
        <f t="shared" si="29"/>
        <v>#N/A</v>
      </c>
      <c r="AM102" s="146" t="e">
        <f t="shared" si="30"/>
        <v>#N/A</v>
      </c>
    </row>
    <row r="103" spans="3:40" x14ac:dyDescent="0.25">
      <c r="C103" s="56" t="s">
        <v>28</v>
      </c>
      <c r="D103" s="78" t="s">
        <v>221</v>
      </c>
      <c r="E103" s="155" t="e">
        <f t="shared" si="30"/>
        <v>#N/A</v>
      </c>
      <c r="F103" s="155" t="e">
        <f t="shared" si="30"/>
        <v>#N/A</v>
      </c>
      <c r="G103" s="155" t="e">
        <f t="shared" si="30"/>
        <v>#N/A</v>
      </c>
      <c r="H103" s="155" t="e">
        <f t="shared" si="30"/>
        <v>#N/A</v>
      </c>
      <c r="I103" s="155" t="e">
        <f t="shared" si="30"/>
        <v>#N/A</v>
      </c>
      <c r="J103" s="154" t="e">
        <f t="shared" si="30"/>
        <v>#N/A</v>
      </c>
      <c r="K103" s="96" t="e">
        <f t="shared" si="30"/>
        <v>#N/A</v>
      </c>
      <c r="L103" s="96" t="e">
        <f t="shared" si="30"/>
        <v>#N/A</v>
      </c>
      <c r="M103" s="96" t="e">
        <f t="shared" si="30"/>
        <v>#N/A</v>
      </c>
      <c r="N103" s="155" t="e">
        <f t="shared" si="30"/>
        <v>#N/A</v>
      </c>
      <c r="O103" s="154" t="e">
        <f t="shared" si="30"/>
        <v>#N/A</v>
      </c>
      <c r="P103" s="96" t="e">
        <f t="shared" si="30"/>
        <v>#N/A</v>
      </c>
      <c r="Q103" s="96" t="e">
        <f t="shared" si="30"/>
        <v>#N/A</v>
      </c>
      <c r="R103" s="96" t="e">
        <f t="shared" si="30"/>
        <v>#N/A</v>
      </c>
      <c r="S103" s="155" t="e">
        <f t="shared" si="30"/>
        <v>#N/A</v>
      </c>
      <c r="T103" s="155" t="e">
        <f t="shared" si="29"/>
        <v>#N/A</v>
      </c>
      <c r="U103" s="155" t="e">
        <f t="shared" si="29"/>
        <v>#N/A</v>
      </c>
      <c r="V103" s="155" t="e">
        <f t="shared" si="29"/>
        <v>#N/A</v>
      </c>
      <c r="W103" s="155" t="e">
        <f t="shared" si="29"/>
        <v>#N/A</v>
      </c>
      <c r="X103" s="146" t="e">
        <f t="shared" si="30"/>
        <v>#N/A</v>
      </c>
      <c r="Y103" s="146" t="e">
        <f t="shared" si="29"/>
        <v>#N/A</v>
      </c>
      <c r="Z103" s="146" t="e">
        <f t="shared" si="29"/>
        <v>#N/A</v>
      </c>
      <c r="AA103" s="146" t="e">
        <f t="shared" si="29"/>
        <v>#N/A</v>
      </c>
      <c r="AB103" s="146" t="e">
        <f t="shared" si="29"/>
        <v>#N/A</v>
      </c>
      <c r="AC103" s="146" t="e">
        <f t="shared" si="30"/>
        <v>#N/A</v>
      </c>
      <c r="AD103" s="146" t="e">
        <f t="shared" si="29"/>
        <v>#N/A</v>
      </c>
      <c r="AE103" s="146" t="e">
        <f t="shared" si="29"/>
        <v>#N/A</v>
      </c>
      <c r="AF103" s="146" t="e">
        <f t="shared" si="29"/>
        <v>#N/A</v>
      </c>
      <c r="AG103" s="146" t="e">
        <f t="shared" si="29"/>
        <v>#N/A</v>
      </c>
      <c r="AH103" s="146" t="e">
        <f t="shared" si="30"/>
        <v>#N/A</v>
      </c>
      <c r="AI103" s="146" t="e">
        <f t="shared" si="29"/>
        <v>#N/A</v>
      </c>
      <c r="AJ103" s="146" t="e">
        <f t="shared" si="29"/>
        <v>#N/A</v>
      </c>
      <c r="AK103" s="146" t="e">
        <f t="shared" si="29"/>
        <v>#N/A</v>
      </c>
      <c r="AL103" s="146" t="e">
        <f t="shared" si="29"/>
        <v>#N/A</v>
      </c>
      <c r="AM103" s="146" t="e">
        <f t="shared" si="30"/>
        <v>#N/A</v>
      </c>
    </row>
    <row r="104" spans="3:40" x14ac:dyDescent="0.25">
      <c r="C104" s="56" t="s">
        <v>29</v>
      </c>
      <c r="D104" s="78" t="s">
        <v>222</v>
      </c>
      <c r="E104" s="155" t="e">
        <f t="shared" si="30"/>
        <v>#N/A</v>
      </c>
      <c r="F104" s="155" t="e">
        <f t="shared" si="30"/>
        <v>#N/A</v>
      </c>
      <c r="G104" s="155" t="e">
        <f t="shared" si="30"/>
        <v>#N/A</v>
      </c>
      <c r="H104" s="155" t="e">
        <f t="shared" si="30"/>
        <v>#N/A</v>
      </c>
      <c r="I104" s="155" t="e">
        <f t="shared" si="30"/>
        <v>#N/A</v>
      </c>
      <c r="J104" s="154" t="e">
        <f t="shared" si="30"/>
        <v>#N/A</v>
      </c>
      <c r="K104" s="96" t="e">
        <f t="shared" si="30"/>
        <v>#N/A</v>
      </c>
      <c r="L104" s="96" t="e">
        <f t="shared" si="30"/>
        <v>#N/A</v>
      </c>
      <c r="M104" s="96" t="e">
        <f t="shared" si="30"/>
        <v>#N/A</v>
      </c>
      <c r="N104" s="155" t="e">
        <f t="shared" si="30"/>
        <v>#N/A</v>
      </c>
      <c r="O104" s="154" t="e">
        <f t="shared" si="30"/>
        <v>#N/A</v>
      </c>
      <c r="P104" s="96" t="e">
        <f t="shared" si="30"/>
        <v>#N/A</v>
      </c>
      <c r="Q104" s="96" t="e">
        <f t="shared" si="30"/>
        <v>#N/A</v>
      </c>
      <c r="R104" s="96" t="e">
        <f t="shared" si="30"/>
        <v>#N/A</v>
      </c>
      <c r="S104" s="155" t="e">
        <f t="shared" si="30"/>
        <v>#N/A</v>
      </c>
      <c r="T104" s="155" t="e">
        <f t="shared" si="29"/>
        <v>#N/A</v>
      </c>
      <c r="U104" s="155" t="e">
        <f t="shared" si="29"/>
        <v>#N/A</v>
      </c>
      <c r="V104" s="155" t="e">
        <f t="shared" si="29"/>
        <v>#N/A</v>
      </c>
      <c r="W104" s="155" t="e">
        <f t="shared" si="29"/>
        <v>#N/A</v>
      </c>
      <c r="X104" s="146" t="e">
        <f t="shared" si="30"/>
        <v>#N/A</v>
      </c>
      <c r="Y104" s="146" t="e">
        <f t="shared" si="29"/>
        <v>#N/A</v>
      </c>
      <c r="Z104" s="146" t="e">
        <f t="shared" si="29"/>
        <v>#N/A</v>
      </c>
      <c r="AA104" s="146" t="e">
        <f t="shared" si="29"/>
        <v>#N/A</v>
      </c>
      <c r="AB104" s="146" t="e">
        <f t="shared" si="29"/>
        <v>#N/A</v>
      </c>
      <c r="AC104" s="146" t="e">
        <f t="shared" si="30"/>
        <v>#N/A</v>
      </c>
      <c r="AD104" s="146" t="e">
        <f t="shared" si="29"/>
        <v>#N/A</v>
      </c>
      <c r="AE104" s="146" t="e">
        <f t="shared" si="29"/>
        <v>#N/A</v>
      </c>
      <c r="AF104" s="146" t="e">
        <f t="shared" si="29"/>
        <v>#N/A</v>
      </c>
      <c r="AG104" s="146" t="e">
        <f t="shared" si="29"/>
        <v>#N/A</v>
      </c>
      <c r="AH104" s="146" t="e">
        <f t="shared" si="30"/>
        <v>#N/A</v>
      </c>
      <c r="AI104" s="146" t="e">
        <f t="shared" si="29"/>
        <v>#N/A</v>
      </c>
      <c r="AJ104" s="146" t="e">
        <f t="shared" si="29"/>
        <v>#N/A</v>
      </c>
      <c r="AK104" s="146" t="e">
        <f t="shared" si="29"/>
        <v>#N/A</v>
      </c>
      <c r="AL104" s="146" t="e">
        <f t="shared" si="29"/>
        <v>#N/A</v>
      </c>
      <c r="AM104" s="146" t="e">
        <f t="shared" si="30"/>
        <v>#N/A</v>
      </c>
    </row>
    <row r="105" spans="3:40" x14ac:dyDescent="0.25">
      <c r="C105" s="56" t="s">
        <v>30</v>
      </c>
      <c r="D105" s="78" t="s">
        <v>223</v>
      </c>
      <c r="E105" s="155" t="e">
        <f t="shared" si="30"/>
        <v>#N/A</v>
      </c>
      <c r="F105" s="155" t="e">
        <f t="shared" si="30"/>
        <v>#N/A</v>
      </c>
      <c r="G105" s="155" t="e">
        <f t="shared" si="30"/>
        <v>#N/A</v>
      </c>
      <c r="H105" s="155" t="e">
        <f t="shared" si="30"/>
        <v>#N/A</v>
      </c>
      <c r="I105" s="155" t="e">
        <f t="shared" si="30"/>
        <v>#N/A</v>
      </c>
      <c r="J105" s="154" t="e">
        <f t="shared" si="30"/>
        <v>#N/A</v>
      </c>
      <c r="K105" s="96" t="e">
        <f t="shared" si="30"/>
        <v>#N/A</v>
      </c>
      <c r="L105" s="96" t="e">
        <f t="shared" si="30"/>
        <v>#N/A</v>
      </c>
      <c r="M105" s="96" t="e">
        <f t="shared" si="30"/>
        <v>#N/A</v>
      </c>
      <c r="N105" s="155" t="e">
        <f t="shared" si="30"/>
        <v>#N/A</v>
      </c>
      <c r="O105" s="154" t="e">
        <f t="shared" si="30"/>
        <v>#N/A</v>
      </c>
      <c r="P105" s="96" t="e">
        <f t="shared" si="30"/>
        <v>#N/A</v>
      </c>
      <c r="Q105" s="96" t="e">
        <f t="shared" si="30"/>
        <v>#N/A</v>
      </c>
      <c r="R105" s="96" t="e">
        <f t="shared" si="30"/>
        <v>#N/A</v>
      </c>
      <c r="S105" s="155" t="e">
        <f t="shared" si="30"/>
        <v>#N/A</v>
      </c>
      <c r="T105" s="155" t="e">
        <f t="shared" si="29"/>
        <v>#N/A</v>
      </c>
      <c r="U105" s="155" t="e">
        <f t="shared" si="29"/>
        <v>#N/A</v>
      </c>
      <c r="V105" s="155" t="e">
        <f t="shared" si="29"/>
        <v>#N/A</v>
      </c>
      <c r="W105" s="155" t="e">
        <f t="shared" si="29"/>
        <v>#N/A</v>
      </c>
      <c r="X105" s="146" t="e">
        <f t="shared" si="30"/>
        <v>#N/A</v>
      </c>
      <c r="Y105" s="146" t="e">
        <f t="shared" si="29"/>
        <v>#N/A</v>
      </c>
      <c r="Z105" s="146" t="e">
        <f t="shared" si="29"/>
        <v>#N/A</v>
      </c>
      <c r="AA105" s="146" t="e">
        <f t="shared" si="29"/>
        <v>#N/A</v>
      </c>
      <c r="AB105" s="146" t="e">
        <f t="shared" si="29"/>
        <v>#N/A</v>
      </c>
      <c r="AC105" s="146" t="e">
        <f t="shared" si="30"/>
        <v>#N/A</v>
      </c>
      <c r="AD105" s="146" t="e">
        <f t="shared" si="29"/>
        <v>#N/A</v>
      </c>
      <c r="AE105" s="146" t="e">
        <f t="shared" si="29"/>
        <v>#N/A</v>
      </c>
      <c r="AF105" s="146" t="e">
        <f t="shared" si="29"/>
        <v>#N/A</v>
      </c>
      <c r="AG105" s="146" t="e">
        <f t="shared" si="29"/>
        <v>#N/A</v>
      </c>
      <c r="AH105" s="146" t="e">
        <f t="shared" si="30"/>
        <v>#N/A</v>
      </c>
      <c r="AI105" s="146" t="e">
        <f t="shared" si="29"/>
        <v>#N/A</v>
      </c>
      <c r="AJ105" s="146" t="e">
        <f t="shared" si="29"/>
        <v>#N/A</v>
      </c>
      <c r="AK105" s="146" t="e">
        <f t="shared" si="29"/>
        <v>#N/A</v>
      </c>
      <c r="AL105" s="146" t="e">
        <f t="shared" si="29"/>
        <v>#N/A</v>
      </c>
      <c r="AM105" s="146" t="e">
        <f t="shared" si="30"/>
        <v>#N/A</v>
      </c>
    </row>
    <row r="106" spans="3:40" x14ac:dyDescent="0.25">
      <c r="C106" s="56" t="s">
        <v>31</v>
      </c>
      <c r="D106" s="78" t="s">
        <v>224</v>
      </c>
      <c r="E106" s="155" t="e">
        <f t="shared" si="30"/>
        <v>#N/A</v>
      </c>
      <c r="F106" s="155" t="e">
        <f t="shared" si="30"/>
        <v>#N/A</v>
      </c>
      <c r="G106" s="155" t="e">
        <f t="shared" si="30"/>
        <v>#N/A</v>
      </c>
      <c r="H106" s="155" t="e">
        <f t="shared" si="30"/>
        <v>#N/A</v>
      </c>
      <c r="I106" s="155" t="e">
        <f t="shared" si="30"/>
        <v>#N/A</v>
      </c>
      <c r="J106" s="154" t="e">
        <f t="shared" si="30"/>
        <v>#N/A</v>
      </c>
      <c r="K106" s="96" t="e">
        <f t="shared" si="30"/>
        <v>#N/A</v>
      </c>
      <c r="L106" s="96" t="e">
        <f t="shared" si="30"/>
        <v>#N/A</v>
      </c>
      <c r="M106" s="96" t="e">
        <f t="shared" si="30"/>
        <v>#N/A</v>
      </c>
      <c r="N106" s="155" t="e">
        <f t="shared" si="30"/>
        <v>#N/A</v>
      </c>
      <c r="O106" s="154" t="e">
        <f t="shared" si="30"/>
        <v>#N/A</v>
      </c>
      <c r="P106" s="96" t="e">
        <f t="shared" si="30"/>
        <v>#N/A</v>
      </c>
      <c r="Q106" s="96" t="e">
        <f t="shared" si="30"/>
        <v>#N/A</v>
      </c>
      <c r="R106" s="96" t="e">
        <f t="shared" si="30"/>
        <v>#N/A</v>
      </c>
      <c r="S106" s="155" t="e">
        <f t="shared" si="30"/>
        <v>#N/A</v>
      </c>
      <c r="T106" s="155" t="e">
        <f t="shared" si="29"/>
        <v>#N/A</v>
      </c>
      <c r="U106" s="155" t="e">
        <f t="shared" si="29"/>
        <v>#N/A</v>
      </c>
      <c r="V106" s="155" t="e">
        <f t="shared" si="29"/>
        <v>#N/A</v>
      </c>
      <c r="W106" s="155" t="e">
        <f t="shared" si="29"/>
        <v>#N/A</v>
      </c>
      <c r="X106" s="146" t="e">
        <f t="shared" si="30"/>
        <v>#N/A</v>
      </c>
      <c r="Y106" s="146" t="e">
        <f t="shared" si="29"/>
        <v>#N/A</v>
      </c>
      <c r="Z106" s="146" t="e">
        <f t="shared" si="29"/>
        <v>#N/A</v>
      </c>
      <c r="AA106" s="146" t="e">
        <f t="shared" si="29"/>
        <v>#N/A</v>
      </c>
      <c r="AB106" s="146" t="e">
        <f t="shared" si="29"/>
        <v>#N/A</v>
      </c>
      <c r="AC106" s="146" t="e">
        <f t="shared" si="30"/>
        <v>#N/A</v>
      </c>
      <c r="AD106" s="146" t="e">
        <f t="shared" si="29"/>
        <v>#N/A</v>
      </c>
      <c r="AE106" s="146" t="e">
        <f t="shared" si="29"/>
        <v>#N/A</v>
      </c>
      <c r="AF106" s="146" t="e">
        <f t="shared" si="29"/>
        <v>#N/A</v>
      </c>
      <c r="AG106" s="146" t="e">
        <f t="shared" si="29"/>
        <v>#N/A</v>
      </c>
      <c r="AH106" s="146" t="e">
        <f t="shared" si="30"/>
        <v>#N/A</v>
      </c>
      <c r="AI106" s="146" t="e">
        <f t="shared" si="29"/>
        <v>#N/A</v>
      </c>
      <c r="AJ106" s="146" t="e">
        <f t="shared" si="29"/>
        <v>#N/A</v>
      </c>
      <c r="AK106" s="146" t="e">
        <f t="shared" si="29"/>
        <v>#N/A</v>
      </c>
      <c r="AL106" s="146" t="e">
        <f t="shared" si="29"/>
        <v>#N/A</v>
      </c>
      <c r="AM106" s="146" t="e">
        <f t="shared" si="30"/>
        <v>#N/A</v>
      </c>
    </row>
    <row r="107" spans="3:40" x14ac:dyDescent="0.25">
      <c r="C107" s="56" t="s">
        <v>32</v>
      </c>
      <c r="D107" s="78" t="s">
        <v>225</v>
      </c>
      <c r="E107" s="155" t="e">
        <f t="shared" si="30"/>
        <v>#N/A</v>
      </c>
      <c r="F107" s="155" t="e">
        <f t="shared" si="30"/>
        <v>#N/A</v>
      </c>
      <c r="G107" s="155" t="e">
        <f t="shared" si="30"/>
        <v>#N/A</v>
      </c>
      <c r="H107" s="155" t="e">
        <f t="shared" si="30"/>
        <v>#N/A</v>
      </c>
      <c r="I107" s="155" t="e">
        <f t="shared" si="30"/>
        <v>#N/A</v>
      </c>
      <c r="J107" s="154" t="e">
        <f t="shared" si="30"/>
        <v>#N/A</v>
      </c>
      <c r="K107" s="96" t="e">
        <f t="shared" si="30"/>
        <v>#N/A</v>
      </c>
      <c r="L107" s="96" t="e">
        <f t="shared" si="30"/>
        <v>#N/A</v>
      </c>
      <c r="M107" s="96" t="e">
        <f t="shared" si="30"/>
        <v>#N/A</v>
      </c>
      <c r="N107" s="155" t="e">
        <f t="shared" si="30"/>
        <v>#N/A</v>
      </c>
      <c r="O107" s="154" t="e">
        <f t="shared" si="30"/>
        <v>#N/A</v>
      </c>
      <c r="P107" s="96" t="e">
        <f t="shared" si="30"/>
        <v>#N/A</v>
      </c>
      <c r="Q107" s="96" t="e">
        <f t="shared" si="30"/>
        <v>#N/A</v>
      </c>
      <c r="R107" s="96" t="e">
        <f t="shared" si="30"/>
        <v>#N/A</v>
      </c>
      <c r="S107" s="155" t="e">
        <f t="shared" si="30"/>
        <v>#N/A</v>
      </c>
      <c r="T107" s="155" t="e">
        <f t="shared" si="29"/>
        <v>#N/A</v>
      </c>
      <c r="U107" s="155" t="e">
        <f t="shared" si="29"/>
        <v>#N/A</v>
      </c>
      <c r="V107" s="155" t="e">
        <f t="shared" si="29"/>
        <v>#N/A</v>
      </c>
      <c r="W107" s="155" t="e">
        <f t="shared" si="29"/>
        <v>#N/A</v>
      </c>
      <c r="X107" s="146" t="e">
        <f t="shared" si="30"/>
        <v>#N/A</v>
      </c>
      <c r="Y107" s="146" t="e">
        <f t="shared" si="29"/>
        <v>#N/A</v>
      </c>
      <c r="Z107" s="146" t="e">
        <f t="shared" si="29"/>
        <v>#N/A</v>
      </c>
      <c r="AA107" s="146" t="e">
        <f t="shared" si="29"/>
        <v>#N/A</v>
      </c>
      <c r="AB107" s="146" t="e">
        <f t="shared" si="29"/>
        <v>#N/A</v>
      </c>
      <c r="AC107" s="146" t="e">
        <f t="shared" si="30"/>
        <v>#N/A</v>
      </c>
      <c r="AD107" s="146" t="e">
        <f t="shared" si="29"/>
        <v>#N/A</v>
      </c>
      <c r="AE107" s="146" t="e">
        <f t="shared" si="29"/>
        <v>#N/A</v>
      </c>
      <c r="AF107" s="146" t="e">
        <f t="shared" si="29"/>
        <v>#N/A</v>
      </c>
      <c r="AG107" s="146" t="e">
        <f t="shared" si="29"/>
        <v>#N/A</v>
      </c>
      <c r="AH107" s="146" t="e">
        <f t="shared" si="30"/>
        <v>#N/A</v>
      </c>
      <c r="AI107" s="146" t="e">
        <f t="shared" si="29"/>
        <v>#N/A</v>
      </c>
      <c r="AJ107" s="146" t="e">
        <f t="shared" si="29"/>
        <v>#N/A</v>
      </c>
      <c r="AK107" s="146" t="e">
        <f t="shared" si="29"/>
        <v>#N/A</v>
      </c>
      <c r="AL107" s="146" t="e">
        <f t="shared" si="29"/>
        <v>#N/A</v>
      </c>
      <c r="AM107" s="146" t="e">
        <f t="shared" si="30"/>
        <v>#N/A</v>
      </c>
    </row>
    <row r="108" spans="3:40" x14ac:dyDescent="0.25">
      <c r="C108" s="80" t="s">
        <v>33</v>
      </c>
      <c r="D108" s="90" t="s">
        <v>226</v>
      </c>
      <c r="E108" s="157" t="e">
        <f t="shared" si="30"/>
        <v>#N/A</v>
      </c>
      <c r="F108" s="157" t="e">
        <f t="shared" si="30"/>
        <v>#N/A</v>
      </c>
      <c r="G108" s="157" t="e">
        <f t="shared" si="30"/>
        <v>#N/A</v>
      </c>
      <c r="H108" s="157" t="e">
        <f t="shared" si="30"/>
        <v>#N/A</v>
      </c>
      <c r="I108" s="157" t="e">
        <f t="shared" si="30"/>
        <v>#N/A</v>
      </c>
      <c r="J108" s="156" t="e">
        <f t="shared" si="30"/>
        <v>#N/A</v>
      </c>
      <c r="K108" s="97" t="e">
        <f t="shared" si="30"/>
        <v>#N/A</v>
      </c>
      <c r="L108" s="97" t="e">
        <f t="shared" si="30"/>
        <v>#N/A</v>
      </c>
      <c r="M108" s="97" t="e">
        <f t="shared" si="30"/>
        <v>#N/A</v>
      </c>
      <c r="N108" s="157" t="e">
        <f t="shared" si="30"/>
        <v>#N/A</v>
      </c>
      <c r="O108" s="156" t="e">
        <f t="shared" si="30"/>
        <v>#N/A</v>
      </c>
      <c r="P108" s="97" t="e">
        <f t="shared" si="30"/>
        <v>#N/A</v>
      </c>
      <c r="Q108" s="97" t="e">
        <f t="shared" si="30"/>
        <v>#N/A</v>
      </c>
      <c r="R108" s="97" t="e">
        <f t="shared" si="30"/>
        <v>#N/A</v>
      </c>
      <c r="S108" s="157" t="e">
        <f t="shared" si="30"/>
        <v>#N/A</v>
      </c>
      <c r="T108" s="157" t="e">
        <f t="shared" si="29"/>
        <v>#N/A</v>
      </c>
      <c r="U108" s="157" t="e">
        <f t="shared" si="29"/>
        <v>#N/A</v>
      </c>
      <c r="V108" s="157" t="e">
        <f t="shared" si="29"/>
        <v>#N/A</v>
      </c>
      <c r="W108" s="157" t="e">
        <f t="shared" si="29"/>
        <v>#N/A</v>
      </c>
      <c r="X108" s="147" t="e">
        <f t="shared" si="30"/>
        <v>#N/A</v>
      </c>
      <c r="Y108" s="147" t="e">
        <f t="shared" si="29"/>
        <v>#N/A</v>
      </c>
      <c r="Z108" s="147" t="e">
        <f t="shared" si="29"/>
        <v>#N/A</v>
      </c>
      <c r="AA108" s="147" t="e">
        <f t="shared" si="29"/>
        <v>#N/A</v>
      </c>
      <c r="AB108" s="147" t="e">
        <f t="shared" si="29"/>
        <v>#N/A</v>
      </c>
      <c r="AC108" s="147" t="e">
        <f t="shared" si="30"/>
        <v>#N/A</v>
      </c>
      <c r="AD108" s="147" t="e">
        <f t="shared" si="29"/>
        <v>#N/A</v>
      </c>
      <c r="AE108" s="147" t="e">
        <f t="shared" si="29"/>
        <v>#N/A</v>
      </c>
      <c r="AF108" s="147" t="e">
        <f t="shared" si="29"/>
        <v>#N/A</v>
      </c>
      <c r="AG108" s="147" t="e">
        <f t="shared" si="29"/>
        <v>#N/A</v>
      </c>
      <c r="AH108" s="147" t="e">
        <f t="shared" si="30"/>
        <v>#N/A</v>
      </c>
      <c r="AI108" s="147" t="e">
        <f t="shared" si="29"/>
        <v>#N/A</v>
      </c>
      <c r="AJ108" s="147" t="e">
        <f t="shared" si="29"/>
        <v>#N/A</v>
      </c>
      <c r="AK108" s="147" t="e">
        <f t="shared" si="29"/>
        <v>#N/A</v>
      </c>
      <c r="AL108" s="147" t="e">
        <f t="shared" si="29"/>
        <v>#N/A</v>
      </c>
      <c r="AM108" s="147" t="e">
        <f t="shared" si="30"/>
        <v>#N/A</v>
      </c>
    </row>
  </sheetData>
  <pageMargins left="0.7" right="0.7" top="0.75" bottom="0.75" header="0.3" footer="0.3"/>
  <pageSetup paperSize="9" scale="65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L25"/>
  <sheetViews>
    <sheetView zoomScale="80" zoomScaleNormal="80" workbookViewId="0">
      <selection activeCell="W4" sqref="W4"/>
    </sheetView>
  </sheetViews>
  <sheetFormatPr baseColWidth="10" defaultRowHeight="15" x14ac:dyDescent="0.25"/>
  <cols>
    <col min="2" max="2" width="19.7109375" customWidth="1"/>
    <col min="3" max="3" width="26.140625" customWidth="1"/>
    <col min="4" max="4" width="23" customWidth="1"/>
    <col min="5" max="6" width="13.5703125" customWidth="1"/>
    <col min="7" max="22" width="7.140625" bestFit="1" customWidth="1"/>
    <col min="23" max="23" width="7.85546875" customWidth="1"/>
    <col min="29" max="29" width="11.42578125" customWidth="1"/>
    <col min="32" max="32" width="10.85546875" customWidth="1"/>
    <col min="33" max="33" width="16.28515625" customWidth="1"/>
    <col min="34" max="34" width="13.140625" customWidth="1"/>
    <col min="35" max="35" width="12.7109375" customWidth="1"/>
    <col min="36" max="36" width="14.85546875" customWidth="1"/>
    <col min="37" max="37" width="12.85546875" customWidth="1"/>
    <col min="38" max="38" width="13.5703125" customWidth="1"/>
  </cols>
  <sheetData>
    <row r="1" spans="1:38" ht="23.25" x14ac:dyDescent="0.35">
      <c r="A1" s="1" t="s">
        <v>245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38" s="3" customFormat="1" ht="23.25" x14ac:dyDescent="0.35">
      <c r="A2" s="70"/>
      <c r="D2" s="7"/>
      <c r="E2" s="238">
        <f>'T energie vecteurs'!E5</f>
        <v>4</v>
      </c>
      <c r="F2" s="238">
        <f>E2+9</f>
        <v>13</v>
      </c>
      <c r="G2" s="238">
        <f>F2+3</f>
        <v>16</v>
      </c>
      <c r="H2" s="238">
        <f t="shared" ref="H2:S2" si="0">G2+1</f>
        <v>17</v>
      </c>
      <c r="I2" s="238">
        <f t="shared" si="0"/>
        <v>18</v>
      </c>
      <c r="J2" s="238">
        <f t="shared" si="0"/>
        <v>19</v>
      </c>
      <c r="K2" s="238">
        <f t="shared" si="0"/>
        <v>20</v>
      </c>
      <c r="L2" s="238">
        <f t="shared" si="0"/>
        <v>21</v>
      </c>
      <c r="M2" s="238">
        <f t="shared" si="0"/>
        <v>22</v>
      </c>
      <c r="N2" s="238">
        <f t="shared" si="0"/>
        <v>23</v>
      </c>
      <c r="O2" s="238">
        <f t="shared" si="0"/>
        <v>24</v>
      </c>
      <c r="P2" s="238">
        <f t="shared" si="0"/>
        <v>25</v>
      </c>
      <c r="Q2" s="238">
        <f t="shared" si="0"/>
        <v>26</v>
      </c>
      <c r="R2" s="238">
        <f t="shared" si="0"/>
        <v>27</v>
      </c>
      <c r="S2" s="238">
        <f t="shared" si="0"/>
        <v>28</v>
      </c>
      <c r="T2" s="238">
        <f>S2+5</f>
        <v>33</v>
      </c>
      <c r="U2" s="238">
        <f>T2+5</f>
        <v>38</v>
      </c>
      <c r="V2" s="238">
        <f>U2+5</f>
        <v>43</v>
      </c>
      <c r="W2" s="238">
        <f>V2+5</f>
        <v>48</v>
      </c>
    </row>
    <row r="3" spans="1:38" ht="23.25" x14ac:dyDescent="0.35">
      <c r="A3" s="240"/>
      <c r="B3" s="3"/>
      <c r="C3" s="66"/>
      <c r="D3" s="12"/>
      <c r="E3" s="73">
        <v>2006</v>
      </c>
      <c r="F3" s="73">
        <v>2015</v>
      </c>
      <c r="G3" s="26">
        <v>2018</v>
      </c>
      <c r="H3" s="4">
        <v>2019</v>
      </c>
      <c r="I3" s="108">
        <v>2020</v>
      </c>
      <c r="J3" s="116">
        <v>2021</v>
      </c>
      <c r="K3" s="33">
        <v>2022</v>
      </c>
      <c r="L3" s="4">
        <v>2023</v>
      </c>
      <c r="M3" s="33">
        <v>2024</v>
      </c>
      <c r="N3" s="108">
        <v>2025</v>
      </c>
      <c r="O3" s="116">
        <v>2026</v>
      </c>
      <c r="P3" s="4">
        <v>2027</v>
      </c>
      <c r="Q3" s="33">
        <v>2028</v>
      </c>
      <c r="R3" s="33">
        <v>2029</v>
      </c>
      <c r="S3" s="108">
        <v>2030</v>
      </c>
      <c r="T3" s="118">
        <v>2035</v>
      </c>
      <c r="U3" s="118">
        <v>2040</v>
      </c>
      <c r="V3" s="4">
        <v>2045</v>
      </c>
      <c r="W3" s="118">
        <v>2050</v>
      </c>
      <c r="X3" s="3"/>
      <c r="AG3" s="14"/>
      <c r="AH3" s="102"/>
      <c r="AI3" s="102"/>
      <c r="AJ3" s="102"/>
      <c r="AK3" s="102"/>
      <c r="AL3" s="102"/>
    </row>
    <row r="4" spans="1:38" ht="23.25" x14ac:dyDescent="0.35">
      <c r="A4" s="194" t="str">
        <f>Résultats!B1</f>
        <v>TEND</v>
      </c>
      <c r="B4" s="239" t="s">
        <v>246</v>
      </c>
      <c r="C4" s="5" t="s">
        <v>238</v>
      </c>
      <c r="D4" s="13" t="s">
        <v>81</v>
      </c>
      <c r="E4" s="22" t="e">
        <f>VLOOKUP($D4,Résultats!$B$2:$AX$212,E$2,FALSE)</f>
        <v>#N/A</v>
      </c>
      <c r="F4" s="22" t="e">
        <f>VLOOKUP($D4,Résultats!$B$2:$AX$212,F$2,FALSE)</f>
        <v>#N/A</v>
      </c>
      <c r="G4" s="131" t="e">
        <f>VLOOKUP($D4,Résultats!$B$2:$AX$212,G$2,FALSE)/1000000</f>
        <v>#N/A</v>
      </c>
      <c r="H4" s="22" t="e">
        <f>VLOOKUP($D4,Résultats!$B$2:$AX$212,H$2,FALSE)/1000000</f>
        <v>#N/A</v>
      </c>
      <c r="I4" s="132" t="e">
        <f>VLOOKUP($D4,Résultats!$B$2:$AX$212,I$2,FALSE)/1000000</f>
        <v>#N/A</v>
      </c>
      <c r="J4" s="131" t="e">
        <f>VLOOKUP($D4,Résultats!$B$2:$AX$212,J$2,FALSE)/1000000</f>
        <v>#N/A</v>
      </c>
      <c r="K4" s="22" t="e">
        <f>VLOOKUP($D4,Résultats!$B$2:$AX$212,K$2,FALSE)/1000000</f>
        <v>#N/A</v>
      </c>
      <c r="L4" s="22" t="e">
        <f>VLOOKUP($D4,Résultats!$B$2:$AX$212,L$2,FALSE)/1000000</f>
        <v>#N/A</v>
      </c>
      <c r="M4" s="22" t="e">
        <f>VLOOKUP($D4,Résultats!$B$2:$AX$212,M$2,FALSE)/1000000</f>
        <v>#N/A</v>
      </c>
      <c r="N4" s="132" t="e">
        <f>VLOOKUP($D4,Résultats!$B$2:$AX$212,N$2,FALSE)/1000000</f>
        <v>#N/A</v>
      </c>
      <c r="O4" s="131" t="e">
        <f>VLOOKUP($D4,Résultats!$B$2:$AX$212,O$2,FALSE)/1000000</f>
        <v>#N/A</v>
      </c>
      <c r="P4" s="22" t="e">
        <f>VLOOKUP($D4,Résultats!$B$2:$AX$212,P$2,FALSE)/1000000</f>
        <v>#N/A</v>
      </c>
      <c r="Q4" s="22" t="e">
        <f>VLOOKUP($D4,Résultats!$B$2:$AX$212,Q$2,FALSE)/1000000</f>
        <v>#N/A</v>
      </c>
      <c r="R4" s="22" t="e">
        <f>VLOOKUP($D4,Résultats!$B$2:$AX$212,R$2,FALSE)/1000000</f>
        <v>#N/A</v>
      </c>
      <c r="S4" s="132" t="e">
        <f>VLOOKUP($D4,Résultats!$B$2:$AX$212,S$2,FALSE)/1000000</f>
        <v>#N/A</v>
      </c>
      <c r="T4" s="139" t="e">
        <f>VLOOKUP($D4,Résultats!$B$2:$AX$212,T$2,FALSE)/1000000</f>
        <v>#N/A</v>
      </c>
      <c r="U4" s="139" t="e">
        <f>VLOOKUP($D4,Résultats!$B$2:$AX$212,U$2,FALSE)/1000000</f>
        <v>#N/A</v>
      </c>
      <c r="V4" s="22" t="e">
        <f>VLOOKUP($D4,Résultats!$B$2:$AX$212,V$2,FALSE)/1000000</f>
        <v>#N/A</v>
      </c>
      <c r="W4" s="139" t="e">
        <f>VLOOKUP($D4,Résultats!$B$2:$AX$212,W$2,FALSE)/1000000</f>
        <v>#N/A</v>
      </c>
      <c r="X4" s="3"/>
      <c r="AG4" s="14"/>
      <c r="AH4" s="102"/>
      <c r="AI4" s="102"/>
      <c r="AJ4" s="102"/>
      <c r="AK4" s="102"/>
      <c r="AL4" s="102"/>
    </row>
    <row r="5" spans="1:38" x14ac:dyDescent="0.25">
      <c r="A5" s="3"/>
      <c r="B5" s="241"/>
      <c r="C5" s="56" t="s">
        <v>27</v>
      </c>
      <c r="D5" s="16" t="s">
        <v>82</v>
      </c>
      <c r="E5" s="31" t="e">
        <f>VLOOKUP($D5,Résultats!$B$2:$AX$212,E$2,FALSE)</f>
        <v>#N/A</v>
      </c>
      <c r="F5" s="31" t="e">
        <f>VLOOKUP($D5,Résultats!$B$2:$AX$212,F$2,FALSE)</f>
        <v>#N/A</v>
      </c>
      <c r="G5" s="126" t="e">
        <f>VLOOKUP($D5,Résultats!$B$2:$AX$212,G$2,FALSE)/1000000</f>
        <v>#N/A</v>
      </c>
      <c r="H5" s="31" t="e">
        <f>VLOOKUP($D5,Résultats!$B$2:$AX$212,H$2,FALSE)/1000000</f>
        <v>#N/A</v>
      </c>
      <c r="I5" s="127" t="e">
        <f>VLOOKUP($D5,Résultats!$B$2:$AX$212,I$2,FALSE)/1000000</f>
        <v>#N/A</v>
      </c>
      <c r="J5" s="126" t="e">
        <f>VLOOKUP($D5,Résultats!$B$2:$AX$212,J$2,FALSE)/1000000</f>
        <v>#N/A</v>
      </c>
      <c r="K5" s="31" t="e">
        <f>VLOOKUP($D5,Résultats!$B$2:$AX$212,K$2,FALSE)/1000000</f>
        <v>#N/A</v>
      </c>
      <c r="L5" s="31" t="e">
        <f>VLOOKUP($D5,Résultats!$B$2:$AX$212,L$2,FALSE)/1000000</f>
        <v>#N/A</v>
      </c>
      <c r="M5" s="31" t="e">
        <f>VLOOKUP($D5,Résultats!$B$2:$AX$212,M$2,FALSE)/1000000</f>
        <v>#N/A</v>
      </c>
      <c r="N5" s="127" t="e">
        <f>VLOOKUP($D5,Résultats!$B$2:$AX$212,N$2,FALSE)/1000000</f>
        <v>#N/A</v>
      </c>
      <c r="O5" s="126" t="e">
        <f>VLOOKUP($D5,Résultats!$B$2:$AX$212,O$2,FALSE)/1000000</f>
        <v>#N/A</v>
      </c>
      <c r="P5" s="31" t="e">
        <f>VLOOKUP($D5,Résultats!$B$2:$AX$212,P$2,FALSE)/1000000</f>
        <v>#N/A</v>
      </c>
      <c r="Q5" s="31" t="e">
        <f>VLOOKUP($D5,Résultats!$B$2:$AX$212,Q$2,FALSE)/1000000</f>
        <v>#N/A</v>
      </c>
      <c r="R5" s="31" t="e">
        <f>VLOOKUP($D5,Résultats!$B$2:$AX$212,R$2,FALSE)/1000000</f>
        <v>#N/A</v>
      </c>
      <c r="S5" s="127" t="e">
        <f>VLOOKUP($D5,Résultats!$B$2:$AX$212,S$2,FALSE)/1000000</f>
        <v>#N/A</v>
      </c>
      <c r="T5" s="130" t="e">
        <f>VLOOKUP($D5,Résultats!$B$2:$AX$212,T$2,FALSE)/1000000</f>
        <v>#N/A</v>
      </c>
      <c r="U5" s="130" t="e">
        <f>VLOOKUP($D5,Résultats!$B$2:$AX$212,U$2,FALSE)/1000000</f>
        <v>#N/A</v>
      </c>
      <c r="V5" s="31" t="e">
        <f>VLOOKUP($D5,Résultats!$B$2:$AX$212,V$2,FALSE)/1000000</f>
        <v>#N/A</v>
      </c>
      <c r="W5" s="130" t="e">
        <f>VLOOKUP($D5,Résultats!$B$2:$AX$212,W$2,FALSE)/1000000</f>
        <v>#N/A</v>
      </c>
      <c r="X5" s="3"/>
      <c r="AG5" s="14"/>
      <c r="AH5" s="42"/>
      <c r="AI5" s="42"/>
      <c r="AJ5" s="42"/>
      <c r="AK5" s="42"/>
      <c r="AL5" s="42"/>
    </row>
    <row r="6" spans="1:38" x14ac:dyDescent="0.25">
      <c r="A6" s="3"/>
      <c r="B6" s="241"/>
      <c r="C6" s="56" t="s">
        <v>28</v>
      </c>
      <c r="D6" s="16" t="s">
        <v>83</v>
      </c>
      <c r="E6" s="31" t="e">
        <f>VLOOKUP($D6,Résultats!$B$2:$AX$212,E$2,FALSE)</f>
        <v>#N/A</v>
      </c>
      <c r="F6" s="31" t="e">
        <f>VLOOKUP($D6,Résultats!$B$2:$AX$212,F$2,FALSE)</f>
        <v>#N/A</v>
      </c>
      <c r="G6" s="126" t="e">
        <f>VLOOKUP($D6,Résultats!$B$2:$AX$212,G$2,FALSE)/1000000</f>
        <v>#N/A</v>
      </c>
      <c r="H6" s="31" t="e">
        <f>VLOOKUP($D6,Résultats!$B$2:$AX$212,H$2,FALSE)/1000000</f>
        <v>#N/A</v>
      </c>
      <c r="I6" s="127" t="e">
        <f>VLOOKUP($D6,Résultats!$B$2:$AX$212,I$2,FALSE)/1000000</f>
        <v>#N/A</v>
      </c>
      <c r="J6" s="126" t="e">
        <f>VLOOKUP($D6,Résultats!$B$2:$AX$212,J$2,FALSE)/1000000</f>
        <v>#N/A</v>
      </c>
      <c r="K6" s="31" t="e">
        <f>VLOOKUP($D6,Résultats!$B$2:$AX$212,K$2,FALSE)/1000000</f>
        <v>#N/A</v>
      </c>
      <c r="L6" s="31" t="e">
        <f>VLOOKUP($D6,Résultats!$B$2:$AX$212,L$2,FALSE)/1000000</f>
        <v>#N/A</v>
      </c>
      <c r="M6" s="31" t="e">
        <f>VLOOKUP($D6,Résultats!$B$2:$AX$212,M$2,FALSE)/1000000</f>
        <v>#N/A</v>
      </c>
      <c r="N6" s="127" t="e">
        <f>VLOOKUP($D6,Résultats!$B$2:$AX$212,N$2,FALSE)/1000000</f>
        <v>#N/A</v>
      </c>
      <c r="O6" s="126" t="e">
        <f>VLOOKUP($D6,Résultats!$B$2:$AX$212,O$2,FALSE)/1000000</f>
        <v>#N/A</v>
      </c>
      <c r="P6" s="31" t="e">
        <f>VLOOKUP($D6,Résultats!$B$2:$AX$212,P$2,FALSE)/1000000</f>
        <v>#N/A</v>
      </c>
      <c r="Q6" s="31" t="e">
        <f>VLOOKUP($D6,Résultats!$B$2:$AX$212,Q$2,FALSE)/1000000</f>
        <v>#N/A</v>
      </c>
      <c r="R6" s="31" t="e">
        <f>VLOOKUP($D6,Résultats!$B$2:$AX$212,R$2,FALSE)/1000000</f>
        <v>#N/A</v>
      </c>
      <c r="S6" s="127" t="e">
        <f>VLOOKUP($D6,Résultats!$B$2:$AX$212,S$2,FALSE)/1000000</f>
        <v>#N/A</v>
      </c>
      <c r="T6" s="130" t="e">
        <f>VLOOKUP($D6,Résultats!$B$2:$AX$212,T$2,FALSE)/1000000</f>
        <v>#N/A</v>
      </c>
      <c r="U6" s="130" t="e">
        <f>VLOOKUP($D6,Résultats!$B$2:$AX$212,U$2,FALSE)/1000000</f>
        <v>#N/A</v>
      </c>
      <c r="V6" s="31" t="e">
        <f>VLOOKUP($D6,Résultats!$B$2:$AX$212,V$2,FALSE)/1000000</f>
        <v>#N/A</v>
      </c>
      <c r="W6" s="130" t="e">
        <f>VLOOKUP($D6,Résultats!$B$2:$AX$212,W$2,FALSE)/1000000</f>
        <v>#N/A</v>
      </c>
      <c r="X6" s="3"/>
    </row>
    <row r="7" spans="1:38" x14ac:dyDescent="0.25">
      <c r="A7" s="3"/>
      <c r="B7" s="241"/>
      <c r="C7" s="56" t="s">
        <v>29</v>
      </c>
      <c r="D7" s="16" t="s">
        <v>84</v>
      </c>
      <c r="E7" s="31" t="e">
        <f>VLOOKUP($D7,Résultats!$B$2:$AX$212,E$2,FALSE)</f>
        <v>#N/A</v>
      </c>
      <c r="F7" s="31" t="e">
        <f>VLOOKUP($D7,Résultats!$B$2:$AX$212,F$2,FALSE)</f>
        <v>#N/A</v>
      </c>
      <c r="G7" s="126" t="e">
        <f>VLOOKUP($D7,Résultats!$B$2:$AX$212,G$2,FALSE)/1000000</f>
        <v>#N/A</v>
      </c>
      <c r="H7" s="31" t="e">
        <f>VLOOKUP($D7,Résultats!$B$2:$AX$212,H$2,FALSE)/1000000</f>
        <v>#N/A</v>
      </c>
      <c r="I7" s="127" t="e">
        <f>VLOOKUP($D7,Résultats!$B$2:$AX$212,I$2,FALSE)/1000000</f>
        <v>#N/A</v>
      </c>
      <c r="J7" s="126" t="e">
        <f>VLOOKUP($D7,Résultats!$B$2:$AX$212,J$2,FALSE)/1000000</f>
        <v>#N/A</v>
      </c>
      <c r="K7" s="31" t="e">
        <f>VLOOKUP($D7,Résultats!$B$2:$AX$212,K$2,FALSE)/1000000</f>
        <v>#N/A</v>
      </c>
      <c r="L7" s="31" t="e">
        <f>VLOOKUP($D7,Résultats!$B$2:$AX$212,L$2,FALSE)/1000000</f>
        <v>#N/A</v>
      </c>
      <c r="M7" s="31" t="e">
        <f>VLOOKUP($D7,Résultats!$B$2:$AX$212,M$2,FALSE)/1000000</f>
        <v>#N/A</v>
      </c>
      <c r="N7" s="127" t="e">
        <f>VLOOKUP($D7,Résultats!$B$2:$AX$212,N$2,FALSE)/1000000</f>
        <v>#N/A</v>
      </c>
      <c r="O7" s="126" t="e">
        <f>VLOOKUP($D7,Résultats!$B$2:$AX$212,O$2,FALSE)/1000000</f>
        <v>#N/A</v>
      </c>
      <c r="P7" s="31" t="e">
        <f>VLOOKUP($D7,Résultats!$B$2:$AX$212,P$2,FALSE)/1000000</f>
        <v>#N/A</v>
      </c>
      <c r="Q7" s="31" t="e">
        <f>VLOOKUP($D7,Résultats!$B$2:$AX$212,Q$2,FALSE)/1000000</f>
        <v>#N/A</v>
      </c>
      <c r="R7" s="31" t="e">
        <f>VLOOKUP($D7,Résultats!$B$2:$AX$212,R$2,FALSE)/1000000</f>
        <v>#N/A</v>
      </c>
      <c r="S7" s="127" t="e">
        <f>VLOOKUP($D7,Résultats!$B$2:$AX$212,S$2,FALSE)/1000000</f>
        <v>#N/A</v>
      </c>
      <c r="T7" s="130" t="e">
        <f>VLOOKUP($D7,Résultats!$B$2:$AX$212,T$2,FALSE)/1000000</f>
        <v>#N/A</v>
      </c>
      <c r="U7" s="130" t="e">
        <f>VLOOKUP($D7,Résultats!$B$2:$AX$212,U$2,FALSE)/1000000</f>
        <v>#N/A</v>
      </c>
      <c r="V7" s="31" t="e">
        <f>VLOOKUP($D7,Résultats!$B$2:$AX$212,V$2,FALSE)/1000000</f>
        <v>#N/A</v>
      </c>
      <c r="W7" s="130" t="e">
        <f>VLOOKUP($D7,Résultats!$B$2:$AX$212,W$2,FALSE)/1000000</f>
        <v>#N/A</v>
      </c>
      <c r="X7" s="3"/>
    </row>
    <row r="8" spans="1:38" x14ac:dyDescent="0.25">
      <c r="A8" s="3"/>
      <c r="B8" s="241"/>
      <c r="C8" s="56" t="s">
        <v>30</v>
      </c>
      <c r="D8" s="16" t="s">
        <v>85</v>
      </c>
      <c r="E8" s="31" t="e">
        <f>VLOOKUP($D8,Résultats!$B$2:$AX$212,E$2,FALSE)</f>
        <v>#N/A</v>
      </c>
      <c r="F8" s="31" t="e">
        <f>VLOOKUP($D8,Résultats!$B$2:$AX$212,F$2,FALSE)</f>
        <v>#N/A</v>
      </c>
      <c r="G8" s="126" t="e">
        <f>VLOOKUP($D8,Résultats!$B$2:$AX$212,G$2,FALSE)/1000000</f>
        <v>#N/A</v>
      </c>
      <c r="H8" s="31" t="e">
        <f>VLOOKUP($D8,Résultats!$B$2:$AX$212,H$2,FALSE)/1000000</f>
        <v>#N/A</v>
      </c>
      <c r="I8" s="127" t="e">
        <f>VLOOKUP($D8,Résultats!$B$2:$AX$212,I$2,FALSE)/1000000</f>
        <v>#N/A</v>
      </c>
      <c r="J8" s="126" t="e">
        <f>VLOOKUP($D8,Résultats!$B$2:$AX$212,J$2,FALSE)/1000000</f>
        <v>#N/A</v>
      </c>
      <c r="K8" s="31" t="e">
        <f>VLOOKUP($D8,Résultats!$B$2:$AX$212,K$2,FALSE)/1000000</f>
        <v>#N/A</v>
      </c>
      <c r="L8" s="31" t="e">
        <f>VLOOKUP($D8,Résultats!$B$2:$AX$212,L$2,FALSE)/1000000</f>
        <v>#N/A</v>
      </c>
      <c r="M8" s="31" t="e">
        <f>VLOOKUP($D8,Résultats!$B$2:$AX$212,M$2,FALSE)/1000000</f>
        <v>#N/A</v>
      </c>
      <c r="N8" s="127" t="e">
        <f>VLOOKUP($D8,Résultats!$B$2:$AX$212,N$2,FALSE)/1000000</f>
        <v>#N/A</v>
      </c>
      <c r="O8" s="126" t="e">
        <f>VLOOKUP($D8,Résultats!$B$2:$AX$212,O$2,FALSE)/1000000</f>
        <v>#N/A</v>
      </c>
      <c r="P8" s="31" t="e">
        <f>VLOOKUP($D8,Résultats!$B$2:$AX$212,P$2,FALSE)/1000000</f>
        <v>#N/A</v>
      </c>
      <c r="Q8" s="31" t="e">
        <f>VLOOKUP($D8,Résultats!$B$2:$AX$212,Q$2,FALSE)/1000000</f>
        <v>#N/A</v>
      </c>
      <c r="R8" s="31" t="e">
        <f>VLOOKUP($D8,Résultats!$B$2:$AX$212,R$2,FALSE)/1000000</f>
        <v>#N/A</v>
      </c>
      <c r="S8" s="127" t="e">
        <f>VLOOKUP($D8,Résultats!$B$2:$AX$212,S$2,FALSE)/1000000</f>
        <v>#N/A</v>
      </c>
      <c r="T8" s="130" t="e">
        <f>VLOOKUP($D8,Résultats!$B$2:$AX$212,T$2,FALSE)/1000000</f>
        <v>#N/A</v>
      </c>
      <c r="U8" s="130" t="e">
        <f>VLOOKUP($D8,Résultats!$B$2:$AX$212,U$2,FALSE)/1000000</f>
        <v>#N/A</v>
      </c>
      <c r="V8" s="31" t="e">
        <f>VLOOKUP($D8,Résultats!$B$2:$AX$212,V$2,FALSE)/1000000</f>
        <v>#N/A</v>
      </c>
      <c r="W8" s="130" t="e">
        <f>VLOOKUP($D8,Résultats!$B$2:$AX$212,W$2,FALSE)/1000000</f>
        <v>#N/A</v>
      </c>
      <c r="X8" s="3"/>
    </row>
    <row r="9" spans="1:38" x14ac:dyDescent="0.25">
      <c r="A9" s="3"/>
      <c r="B9" s="241"/>
      <c r="C9" s="56" t="s">
        <v>31</v>
      </c>
      <c r="D9" s="16" t="s">
        <v>86</v>
      </c>
      <c r="E9" s="31" t="e">
        <f>VLOOKUP($D9,Résultats!$B$2:$AX$212,E$2,FALSE)</f>
        <v>#N/A</v>
      </c>
      <c r="F9" s="31" t="e">
        <f>VLOOKUP($D9,Résultats!$B$2:$AX$212,F$2,FALSE)</f>
        <v>#N/A</v>
      </c>
      <c r="G9" s="126" t="e">
        <f>VLOOKUP($D9,Résultats!$B$2:$AX$212,G$2,FALSE)/1000000</f>
        <v>#N/A</v>
      </c>
      <c r="H9" s="31" t="e">
        <f>VLOOKUP($D9,Résultats!$B$2:$AX$212,H$2,FALSE)/1000000</f>
        <v>#N/A</v>
      </c>
      <c r="I9" s="127" t="e">
        <f>VLOOKUP($D9,Résultats!$B$2:$AX$212,I$2,FALSE)/1000000</f>
        <v>#N/A</v>
      </c>
      <c r="J9" s="126" t="e">
        <f>VLOOKUP($D9,Résultats!$B$2:$AX$212,J$2,FALSE)/1000000</f>
        <v>#N/A</v>
      </c>
      <c r="K9" s="31" t="e">
        <f>VLOOKUP($D9,Résultats!$B$2:$AX$212,K$2,FALSE)/1000000</f>
        <v>#N/A</v>
      </c>
      <c r="L9" s="31" t="e">
        <f>VLOOKUP($D9,Résultats!$B$2:$AX$212,L$2,FALSE)/1000000</f>
        <v>#N/A</v>
      </c>
      <c r="M9" s="31" t="e">
        <f>VLOOKUP($D9,Résultats!$B$2:$AX$212,M$2,FALSE)/1000000</f>
        <v>#N/A</v>
      </c>
      <c r="N9" s="127" t="e">
        <f>VLOOKUP($D9,Résultats!$B$2:$AX$212,N$2,FALSE)/1000000</f>
        <v>#N/A</v>
      </c>
      <c r="O9" s="126" t="e">
        <f>VLOOKUP($D9,Résultats!$B$2:$AX$212,O$2,FALSE)/1000000</f>
        <v>#N/A</v>
      </c>
      <c r="P9" s="31" t="e">
        <f>VLOOKUP($D9,Résultats!$B$2:$AX$212,P$2,FALSE)/1000000</f>
        <v>#N/A</v>
      </c>
      <c r="Q9" s="31" t="e">
        <f>VLOOKUP($D9,Résultats!$B$2:$AX$212,Q$2,FALSE)/1000000</f>
        <v>#N/A</v>
      </c>
      <c r="R9" s="31" t="e">
        <f>VLOOKUP($D9,Résultats!$B$2:$AX$212,R$2,FALSE)/1000000</f>
        <v>#N/A</v>
      </c>
      <c r="S9" s="127" t="e">
        <f>VLOOKUP($D9,Résultats!$B$2:$AX$212,S$2,FALSE)/1000000</f>
        <v>#N/A</v>
      </c>
      <c r="T9" s="130" t="e">
        <f>VLOOKUP($D9,Résultats!$B$2:$AX$212,T$2,FALSE)/1000000</f>
        <v>#N/A</v>
      </c>
      <c r="U9" s="130" t="e">
        <f>VLOOKUP($D9,Résultats!$B$2:$AX$212,U$2,FALSE)/1000000</f>
        <v>#N/A</v>
      </c>
      <c r="V9" s="31" t="e">
        <f>VLOOKUP($D9,Résultats!$B$2:$AX$212,V$2,FALSE)/1000000</f>
        <v>#N/A</v>
      </c>
      <c r="W9" s="130" t="e">
        <f>VLOOKUP($D9,Résultats!$B$2:$AX$212,W$2,FALSE)/1000000</f>
        <v>#N/A</v>
      </c>
      <c r="X9" s="3"/>
    </row>
    <row r="10" spans="1:38" x14ac:dyDescent="0.25">
      <c r="A10" s="3"/>
      <c r="B10" s="241"/>
      <c r="C10" s="56" t="s">
        <v>32</v>
      </c>
      <c r="D10" s="16" t="s">
        <v>87</v>
      </c>
      <c r="E10" s="31" t="e">
        <f>VLOOKUP($D10,Résultats!$B$2:$AX$212,E$2,FALSE)</f>
        <v>#N/A</v>
      </c>
      <c r="F10" s="31" t="e">
        <f>VLOOKUP($D10,Résultats!$B$2:$AX$212,F$2,FALSE)</f>
        <v>#N/A</v>
      </c>
      <c r="G10" s="126" t="e">
        <f>VLOOKUP($D10,Résultats!$B$2:$AX$212,G$2,FALSE)/1000000</f>
        <v>#N/A</v>
      </c>
      <c r="H10" s="31" t="e">
        <f>VLOOKUP($D10,Résultats!$B$2:$AX$212,H$2,FALSE)/1000000</f>
        <v>#N/A</v>
      </c>
      <c r="I10" s="127" t="e">
        <f>VLOOKUP($D10,Résultats!$B$2:$AX$212,I$2,FALSE)/1000000</f>
        <v>#N/A</v>
      </c>
      <c r="J10" s="126" t="e">
        <f>VLOOKUP($D10,Résultats!$B$2:$AX$212,J$2,FALSE)/1000000</f>
        <v>#N/A</v>
      </c>
      <c r="K10" s="31" t="e">
        <f>VLOOKUP($D10,Résultats!$B$2:$AX$212,K$2,FALSE)/1000000</f>
        <v>#N/A</v>
      </c>
      <c r="L10" s="31" t="e">
        <f>VLOOKUP($D10,Résultats!$B$2:$AX$212,L$2,FALSE)/1000000</f>
        <v>#N/A</v>
      </c>
      <c r="M10" s="31" t="e">
        <f>VLOOKUP($D10,Résultats!$B$2:$AX$212,M$2,FALSE)/1000000</f>
        <v>#N/A</v>
      </c>
      <c r="N10" s="127" t="e">
        <f>VLOOKUP($D10,Résultats!$B$2:$AX$212,N$2,FALSE)/1000000</f>
        <v>#N/A</v>
      </c>
      <c r="O10" s="126" t="e">
        <f>VLOOKUP($D10,Résultats!$B$2:$AX$212,O$2,FALSE)/1000000</f>
        <v>#N/A</v>
      </c>
      <c r="P10" s="31" t="e">
        <f>VLOOKUP($D10,Résultats!$B$2:$AX$212,P$2,FALSE)/1000000</f>
        <v>#N/A</v>
      </c>
      <c r="Q10" s="31" t="e">
        <f>VLOOKUP($D10,Résultats!$B$2:$AX$212,Q$2,FALSE)/1000000</f>
        <v>#N/A</v>
      </c>
      <c r="R10" s="31" t="e">
        <f>VLOOKUP($D10,Résultats!$B$2:$AX$212,R$2,FALSE)/1000000</f>
        <v>#N/A</v>
      </c>
      <c r="S10" s="127" t="e">
        <f>VLOOKUP($D10,Résultats!$B$2:$AX$212,S$2,FALSE)/1000000</f>
        <v>#N/A</v>
      </c>
      <c r="T10" s="130" t="e">
        <f>VLOOKUP($D10,Résultats!$B$2:$AX$212,T$2,FALSE)/1000000</f>
        <v>#N/A</v>
      </c>
      <c r="U10" s="130" t="e">
        <f>VLOOKUP($D10,Résultats!$B$2:$AX$212,U$2,FALSE)/1000000</f>
        <v>#N/A</v>
      </c>
      <c r="V10" s="31" t="e">
        <f>VLOOKUP($D10,Résultats!$B$2:$AX$212,V$2,FALSE)/1000000</f>
        <v>#N/A</v>
      </c>
      <c r="W10" s="130" t="e">
        <f>VLOOKUP($D10,Résultats!$B$2:$AX$212,W$2,FALSE)/1000000</f>
        <v>#N/A</v>
      </c>
      <c r="X10" s="3"/>
    </row>
    <row r="11" spans="1:38" x14ac:dyDescent="0.25">
      <c r="A11" s="3"/>
      <c r="B11" s="241"/>
      <c r="C11" s="80" t="s">
        <v>33</v>
      </c>
      <c r="D11" s="32" t="s">
        <v>88</v>
      </c>
      <c r="E11" s="20" t="e">
        <f>VLOOKUP($D11,Résultats!$B$2:$AX$212,E$2,FALSE)</f>
        <v>#N/A</v>
      </c>
      <c r="F11" s="20" t="e">
        <f>VLOOKUP($D11,Résultats!$B$2:$AX$212,F$2,FALSE)</f>
        <v>#N/A</v>
      </c>
      <c r="G11" s="113" t="e">
        <f>VLOOKUP($D11,Résultats!$B$2:$AX$212,G$2,FALSE)/1000000</f>
        <v>#N/A</v>
      </c>
      <c r="H11" s="20" t="e">
        <f>VLOOKUP($D11,Résultats!$B$2:$AX$212,H$2,FALSE)/1000000</f>
        <v>#N/A</v>
      </c>
      <c r="I11" s="114" t="e">
        <f>VLOOKUP($D11,Résultats!$B$2:$AX$212,I$2,FALSE)/1000000</f>
        <v>#N/A</v>
      </c>
      <c r="J11" s="113" t="e">
        <f>VLOOKUP($D11,Résultats!$B$2:$AX$212,J$2,FALSE)/1000000</f>
        <v>#N/A</v>
      </c>
      <c r="K11" s="20" t="e">
        <f>VLOOKUP($D11,Résultats!$B$2:$AX$212,K$2,FALSE)/1000000</f>
        <v>#N/A</v>
      </c>
      <c r="L11" s="20" t="e">
        <f>VLOOKUP($D11,Résultats!$B$2:$AX$212,L$2,FALSE)/1000000</f>
        <v>#N/A</v>
      </c>
      <c r="M11" s="20" t="e">
        <f>VLOOKUP($D11,Résultats!$B$2:$AX$212,M$2,FALSE)/1000000</f>
        <v>#N/A</v>
      </c>
      <c r="N11" s="114" t="e">
        <f>VLOOKUP($D11,Résultats!$B$2:$AX$212,N$2,FALSE)/1000000</f>
        <v>#N/A</v>
      </c>
      <c r="O11" s="113" t="e">
        <f>VLOOKUP($D11,Résultats!$B$2:$AX$212,O$2,FALSE)/1000000</f>
        <v>#N/A</v>
      </c>
      <c r="P11" s="20" t="e">
        <f>VLOOKUP($D11,Résultats!$B$2:$AX$212,P$2,FALSE)/1000000</f>
        <v>#N/A</v>
      </c>
      <c r="Q11" s="20" t="e">
        <f>VLOOKUP($D11,Résultats!$B$2:$AX$212,Q$2,FALSE)/1000000</f>
        <v>#N/A</v>
      </c>
      <c r="R11" s="20" t="e">
        <f>VLOOKUP($D11,Résultats!$B$2:$AX$212,R$2,FALSE)/1000000</f>
        <v>#N/A</v>
      </c>
      <c r="S11" s="114" t="e">
        <f>VLOOKUP($D11,Résultats!$B$2:$AX$212,S$2,FALSE)/1000000</f>
        <v>#N/A</v>
      </c>
      <c r="T11" s="122" t="e">
        <f>VLOOKUP($D11,Résultats!$B$2:$AX$212,T$2,FALSE)/1000000</f>
        <v>#N/A</v>
      </c>
      <c r="U11" s="122" t="e">
        <f>VLOOKUP($D11,Résultats!$B$2:$AX$212,U$2,FALSE)/1000000</f>
        <v>#N/A</v>
      </c>
      <c r="V11" s="20" t="e">
        <f>VLOOKUP($D11,Résultats!$B$2:$AX$212,V$2,FALSE)/1000000</f>
        <v>#N/A</v>
      </c>
      <c r="W11" s="122" t="e">
        <f>VLOOKUP($D11,Résultats!$B$2:$AX$212,W$2,FALSE)/1000000</f>
        <v>#N/A</v>
      </c>
      <c r="X11" s="3"/>
    </row>
    <row r="12" spans="1:3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8" x14ac:dyDescent="0.25">
      <c r="A14" s="3"/>
      <c r="B14" s="3"/>
      <c r="C14" s="66"/>
      <c r="D14" s="12"/>
      <c r="E14" s="30">
        <v>2006</v>
      </c>
      <c r="F14" s="30">
        <v>2015</v>
      </c>
      <c r="G14" s="26">
        <v>2018</v>
      </c>
      <c r="H14" s="4">
        <v>2019</v>
      </c>
      <c r="I14" s="108">
        <v>2020</v>
      </c>
      <c r="J14" s="116">
        <v>2021</v>
      </c>
      <c r="K14" s="33">
        <v>2022</v>
      </c>
      <c r="L14" s="4">
        <v>2023</v>
      </c>
      <c r="M14" s="33">
        <v>2024</v>
      </c>
      <c r="N14" s="108">
        <v>2025</v>
      </c>
      <c r="O14" s="116">
        <v>2026</v>
      </c>
      <c r="P14" s="4">
        <v>2027</v>
      </c>
      <c r="Q14" s="33">
        <v>2028</v>
      </c>
      <c r="R14" s="33">
        <v>2029</v>
      </c>
      <c r="S14" s="108">
        <v>2030</v>
      </c>
      <c r="T14" s="4">
        <v>2035</v>
      </c>
      <c r="U14" s="118">
        <v>2040</v>
      </c>
      <c r="V14" s="4">
        <v>2045</v>
      </c>
      <c r="W14" s="118">
        <v>2050</v>
      </c>
      <c r="X14" s="3"/>
    </row>
    <row r="15" spans="1:38" ht="15.75" thickBot="1" x14ac:dyDescent="0.3">
      <c r="A15" s="3"/>
      <c r="B15" s="242" t="s">
        <v>247</v>
      </c>
      <c r="C15" s="5" t="s">
        <v>44</v>
      </c>
      <c r="D15" s="13" t="s">
        <v>81</v>
      </c>
      <c r="E15" s="22" t="e">
        <f>E4/100</f>
        <v>#N/A</v>
      </c>
      <c r="F15" s="22" t="e">
        <f>F4/100</f>
        <v>#N/A</v>
      </c>
      <c r="G15" s="131" t="e">
        <f>G4*1000/100</f>
        <v>#N/A</v>
      </c>
      <c r="H15" s="22" t="e">
        <f t="shared" ref="H15:W15" si="1">H4*1000/100</f>
        <v>#N/A</v>
      </c>
      <c r="I15" s="132" t="e">
        <f t="shared" si="1"/>
        <v>#N/A</v>
      </c>
      <c r="J15" s="131" t="e">
        <f t="shared" si="1"/>
        <v>#N/A</v>
      </c>
      <c r="K15" s="22" t="e">
        <f t="shared" si="1"/>
        <v>#N/A</v>
      </c>
      <c r="L15" s="22" t="e">
        <f t="shared" si="1"/>
        <v>#N/A</v>
      </c>
      <c r="M15" s="22" t="e">
        <f t="shared" si="1"/>
        <v>#N/A</v>
      </c>
      <c r="N15" s="132" t="e">
        <f t="shared" si="1"/>
        <v>#N/A</v>
      </c>
      <c r="O15" s="131" t="e">
        <f t="shared" si="1"/>
        <v>#N/A</v>
      </c>
      <c r="P15" s="22" t="e">
        <f t="shared" si="1"/>
        <v>#N/A</v>
      </c>
      <c r="Q15" s="22" t="e">
        <f t="shared" si="1"/>
        <v>#N/A</v>
      </c>
      <c r="R15" s="22" t="e">
        <f t="shared" si="1"/>
        <v>#N/A</v>
      </c>
      <c r="S15" s="132" t="e">
        <f t="shared" si="1"/>
        <v>#N/A</v>
      </c>
      <c r="T15" s="22" t="e">
        <f t="shared" si="1"/>
        <v>#N/A</v>
      </c>
      <c r="U15" s="139" t="e">
        <f t="shared" si="1"/>
        <v>#N/A</v>
      </c>
      <c r="V15" s="22" t="e">
        <f t="shared" si="1"/>
        <v>#N/A</v>
      </c>
      <c r="W15" s="139" t="e">
        <f t="shared" si="1"/>
        <v>#N/A</v>
      </c>
      <c r="X15" s="3"/>
      <c r="Y15" s="51" t="s">
        <v>248</v>
      </c>
    </row>
    <row r="16" spans="1:38" x14ac:dyDescent="0.25">
      <c r="A16" s="3"/>
      <c r="B16" s="241"/>
      <c r="C16" s="56" t="s">
        <v>27</v>
      </c>
      <c r="D16" s="16" t="s">
        <v>82</v>
      </c>
      <c r="E16" s="98" t="e">
        <f>E5/E$4</f>
        <v>#N/A</v>
      </c>
      <c r="F16" s="98" t="e">
        <f>F5/F$4</f>
        <v>#N/A</v>
      </c>
      <c r="G16" s="133" t="e">
        <f>G5/G$4</f>
        <v>#N/A</v>
      </c>
      <c r="H16" s="98" t="e">
        <f t="shared" ref="H16:W16" si="2">H5/H$4</f>
        <v>#N/A</v>
      </c>
      <c r="I16" s="134" t="e">
        <f t="shared" si="2"/>
        <v>#N/A</v>
      </c>
      <c r="J16" s="133" t="e">
        <f t="shared" si="2"/>
        <v>#N/A</v>
      </c>
      <c r="K16" s="98" t="e">
        <f t="shared" si="2"/>
        <v>#N/A</v>
      </c>
      <c r="L16" s="98" t="e">
        <f t="shared" si="2"/>
        <v>#N/A</v>
      </c>
      <c r="M16" s="98" t="e">
        <f t="shared" si="2"/>
        <v>#N/A</v>
      </c>
      <c r="N16" s="134" t="e">
        <f t="shared" si="2"/>
        <v>#N/A</v>
      </c>
      <c r="O16" s="133" t="e">
        <f t="shared" si="2"/>
        <v>#N/A</v>
      </c>
      <c r="P16" s="98" t="e">
        <f t="shared" si="2"/>
        <v>#N/A</v>
      </c>
      <c r="Q16" s="98" t="e">
        <f t="shared" si="2"/>
        <v>#N/A</v>
      </c>
      <c r="R16" s="98" t="e">
        <f t="shared" si="2"/>
        <v>#N/A</v>
      </c>
      <c r="S16" s="134" t="e">
        <f t="shared" si="2"/>
        <v>#N/A</v>
      </c>
      <c r="T16" s="98" t="e">
        <f t="shared" si="2"/>
        <v>#N/A</v>
      </c>
      <c r="U16" s="140" t="e">
        <f t="shared" si="2"/>
        <v>#N/A</v>
      </c>
      <c r="V16" s="98" t="e">
        <f t="shared" si="2"/>
        <v>#N/A</v>
      </c>
      <c r="W16" s="140" t="e">
        <f t="shared" si="2"/>
        <v>#N/A</v>
      </c>
      <c r="X16" s="3"/>
      <c r="Y16" s="158"/>
      <c r="Z16" s="159">
        <v>2020</v>
      </c>
      <c r="AA16" s="159">
        <v>2030</v>
      </c>
      <c r="AB16" s="160">
        <v>2050</v>
      </c>
    </row>
    <row r="17" spans="1:28" x14ac:dyDescent="0.25">
      <c r="A17" s="3"/>
      <c r="B17" s="241"/>
      <c r="C17" s="56" t="s">
        <v>28</v>
      </c>
      <c r="D17" s="16" t="s">
        <v>83</v>
      </c>
      <c r="E17" s="92" t="e">
        <f t="shared" ref="E17:G22" si="3">E6/E$4</f>
        <v>#N/A</v>
      </c>
      <c r="F17" s="92" t="e">
        <f t="shared" si="3"/>
        <v>#N/A</v>
      </c>
      <c r="G17" s="135" t="e">
        <f t="shared" si="3"/>
        <v>#N/A</v>
      </c>
      <c r="H17" s="92" t="e">
        <f t="shared" ref="H17:W17" si="4">H6/H$4</f>
        <v>#N/A</v>
      </c>
      <c r="I17" s="136" t="e">
        <f t="shared" si="4"/>
        <v>#N/A</v>
      </c>
      <c r="J17" s="135" t="e">
        <f t="shared" si="4"/>
        <v>#N/A</v>
      </c>
      <c r="K17" s="92" t="e">
        <f t="shared" si="4"/>
        <v>#N/A</v>
      </c>
      <c r="L17" s="92" t="e">
        <f t="shared" si="4"/>
        <v>#N/A</v>
      </c>
      <c r="M17" s="92" t="e">
        <f t="shared" si="4"/>
        <v>#N/A</v>
      </c>
      <c r="N17" s="136" t="e">
        <f t="shared" si="4"/>
        <v>#N/A</v>
      </c>
      <c r="O17" s="135" t="e">
        <f t="shared" si="4"/>
        <v>#N/A</v>
      </c>
      <c r="P17" s="92" t="e">
        <f t="shared" si="4"/>
        <v>#N/A</v>
      </c>
      <c r="Q17" s="92" t="e">
        <f t="shared" si="4"/>
        <v>#N/A</v>
      </c>
      <c r="R17" s="92" t="e">
        <f t="shared" si="4"/>
        <v>#N/A</v>
      </c>
      <c r="S17" s="136" t="e">
        <f t="shared" si="4"/>
        <v>#N/A</v>
      </c>
      <c r="T17" s="92" t="e">
        <f t="shared" si="4"/>
        <v>#N/A</v>
      </c>
      <c r="U17" s="141" t="e">
        <f t="shared" si="4"/>
        <v>#N/A</v>
      </c>
      <c r="V17" s="92" t="e">
        <f t="shared" si="4"/>
        <v>#N/A</v>
      </c>
      <c r="W17" s="141" t="e">
        <f t="shared" si="4"/>
        <v>#N/A</v>
      </c>
      <c r="X17" s="3"/>
      <c r="Y17" s="161" t="s">
        <v>164</v>
      </c>
      <c r="Z17" s="162" t="e">
        <f>I16+I17</f>
        <v>#N/A</v>
      </c>
      <c r="AA17" s="162" t="e">
        <f>S16+S17</f>
        <v>#N/A</v>
      </c>
      <c r="AB17" s="163" t="e">
        <f>W16+W17</f>
        <v>#N/A</v>
      </c>
    </row>
    <row r="18" spans="1:28" x14ac:dyDescent="0.25">
      <c r="A18" s="3"/>
      <c r="B18" s="241"/>
      <c r="C18" s="56" t="s">
        <v>29</v>
      </c>
      <c r="D18" s="16" t="s">
        <v>84</v>
      </c>
      <c r="E18" s="92" t="e">
        <f t="shared" si="3"/>
        <v>#N/A</v>
      </c>
      <c r="F18" s="92" t="e">
        <f t="shared" si="3"/>
        <v>#N/A</v>
      </c>
      <c r="G18" s="135" t="e">
        <f t="shared" si="3"/>
        <v>#N/A</v>
      </c>
      <c r="H18" s="92" t="e">
        <f t="shared" ref="H18:W18" si="5">H7/H$4</f>
        <v>#N/A</v>
      </c>
      <c r="I18" s="136" t="e">
        <f t="shared" si="5"/>
        <v>#N/A</v>
      </c>
      <c r="J18" s="135" t="e">
        <f t="shared" si="5"/>
        <v>#N/A</v>
      </c>
      <c r="K18" s="92" t="e">
        <f t="shared" si="5"/>
        <v>#N/A</v>
      </c>
      <c r="L18" s="92" t="e">
        <f t="shared" si="5"/>
        <v>#N/A</v>
      </c>
      <c r="M18" s="92" t="e">
        <f t="shared" si="5"/>
        <v>#N/A</v>
      </c>
      <c r="N18" s="136" t="e">
        <f t="shared" si="5"/>
        <v>#N/A</v>
      </c>
      <c r="O18" s="135" t="e">
        <f t="shared" si="5"/>
        <v>#N/A</v>
      </c>
      <c r="P18" s="92" t="e">
        <f t="shared" si="5"/>
        <v>#N/A</v>
      </c>
      <c r="Q18" s="92" t="e">
        <f t="shared" si="5"/>
        <v>#N/A</v>
      </c>
      <c r="R18" s="92" t="e">
        <f t="shared" si="5"/>
        <v>#N/A</v>
      </c>
      <c r="S18" s="136" t="e">
        <f t="shared" si="5"/>
        <v>#N/A</v>
      </c>
      <c r="T18" s="92" t="e">
        <f t="shared" si="5"/>
        <v>#N/A</v>
      </c>
      <c r="U18" s="141" t="e">
        <f t="shared" si="5"/>
        <v>#N/A</v>
      </c>
      <c r="V18" s="92" t="e">
        <f t="shared" si="5"/>
        <v>#N/A</v>
      </c>
      <c r="W18" s="141" t="e">
        <f t="shared" si="5"/>
        <v>#N/A</v>
      </c>
      <c r="X18" s="3"/>
      <c r="Y18" s="161" t="s">
        <v>165</v>
      </c>
      <c r="Z18" s="162" t="e">
        <f>I18+I19+I20</f>
        <v>#N/A</v>
      </c>
      <c r="AA18" s="162" t="e">
        <f>S18+S19+S20</f>
        <v>#N/A</v>
      </c>
      <c r="AB18" s="163" t="e">
        <f>W18+W19+W20</f>
        <v>#N/A</v>
      </c>
    </row>
    <row r="19" spans="1:28" ht="15.75" thickBot="1" x14ac:dyDescent="0.3">
      <c r="A19" s="3"/>
      <c r="B19" s="241"/>
      <c r="C19" s="56" t="s">
        <v>30</v>
      </c>
      <c r="D19" s="16" t="s">
        <v>85</v>
      </c>
      <c r="E19" s="92" t="e">
        <f t="shared" si="3"/>
        <v>#N/A</v>
      </c>
      <c r="F19" s="92" t="e">
        <f t="shared" si="3"/>
        <v>#N/A</v>
      </c>
      <c r="G19" s="135" t="e">
        <f t="shared" si="3"/>
        <v>#N/A</v>
      </c>
      <c r="H19" s="92" t="e">
        <f t="shared" ref="H19:W19" si="6">H8/H$4</f>
        <v>#N/A</v>
      </c>
      <c r="I19" s="136" t="e">
        <f t="shared" si="6"/>
        <v>#N/A</v>
      </c>
      <c r="J19" s="135" t="e">
        <f t="shared" si="6"/>
        <v>#N/A</v>
      </c>
      <c r="K19" s="92" t="e">
        <f t="shared" si="6"/>
        <v>#N/A</v>
      </c>
      <c r="L19" s="92" t="e">
        <f t="shared" si="6"/>
        <v>#N/A</v>
      </c>
      <c r="M19" s="92" t="e">
        <f t="shared" si="6"/>
        <v>#N/A</v>
      </c>
      <c r="N19" s="136" t="e">
        <f t="shared" si="6"/>
        <v>#N/A</v>
      </c>
      <c r="O19" s="135" t="e">
        <f t="shared" si="6"/>
        <v>#N/A</v>
      </c>
      <c r="P19" s="92" t="e">
        <f t="shared" si="6"/>
        <v>#N/A</v>
      </c>
      <c r="Q19" s="92" t="e">
        <f t="shared" si="6"/>
        <v>#N/A</v>
      </c>
      <c r="R19" s="92" t="e">
        <f t="shared" si="6"/>
        <v>#N/A</v>
      </c>
      <c r="S19" s="136" t="e">
        <f t="shared" si="6"/>
        <v>#N/A</v>
      </c>
      <c r="T19" s="92" t="e">
        <f t="shared" si="6"/>
        <v>#N/A</v>
      </c>
      <c r="U19" s="141" t="e">
        <f t="shared" si="6"/>
        <v>#N/A</v>
      </c>
      <c r="V19" s="92" t="e">
        <f t="shared" si="6"/>
        <v>#N/A</v>
      </c>
      <c r="W19" s="141" t="e">
        <f t="shared" si="6"/>
        <v>#N/A</v>
      </c>
      <c r="X19" s="3"/>
      <c r="Y19" s="164" t="s">
        <v>170</v>
      </c>
      <c r="Z19" s="165" t="e">
        <f>I21+I22</f>
        <v>#N/A</v>
      </c>
      <c r="AA19" s="165" t="e">
        <f>S21+S22</f>
        <v>#N/A</v>
      </c>
      <c r="AB19" s="166" t="e">
        <f>W21+W22</f>
        <v>#N/A</v>
      </c>
    </row>
    <row r="20" spans="1:28" x14ac:dyDescent="0.25">
      <c r="A20" s="3"/>
      <c r="B20" s="241"/>
      <c r="C20" s="56" t="s">
        <v>31</v>
      </c>
      <c r="D20" s="16" t="s">
        <v>86</v>
      </c>
      <c r="E20" s="92" t="e">
        <f t="shared" si="3"/>
        <v>#N/A</v>
      </c>
      <c r="F20" s="92" t="e">
        <f t="shared" si="3"/>
        <v>#N/A</v>
      </c>
      <c r="G20" s="135" t="e">
        <f t="shared" si="3"/>
        <v>#N/A</v>
      </c>
      <c r="H20" s="92" t="e">
        <f t="shared" ref="H20:W20" si="7">H9/H$4</f>
        <v>#N/A</v>
      </c>
      <c r="I20" s="136" t="e">
        <f t="shared" si="7"/>
        <v>#N/A</v>
      </c>
      <c r="J20" s="135" t="e">
        <f t="shared" si="7"/>
        <v>#N/A</v>
      </c>
      <c r="K20" s="92" t="e">
        <f t="shared" si="7"/>
        <v>#N/A</v>
      </c>
      <c r="L20" s="92" t="e">
        <f t="shared" si="7"/>
        <v>#N/A</v>
      </c>
      <c r="M20" s="92" t="e">
        <f t="shared" si="7"/>
        <v>#N/A</v>
      </c>
      <c r="N20" s="136" t="e">
        <f t="shared" si="7"/>
        <v>#N/A</v>
      </c>
      <c r="O20" s="135" t="e">
        <f t="shared" si="7"/>
        <v>#N/A</v>
      </c>
      <c r="P20" s="92" t="e">
        <f t="shared" si="7"/>
        <v>#N/A</v>
      </c>
      <c r="Q20" s="92" t="e">
        <f t="shared" si="7"/>
        <v>#N/A</v>
      </c>
      <c r="R20" s="92" t="e">
        <f t="shared" si="7"/>
        <v>#N/A</v>
      </c>
      <c r="S20" s="136" t="e">
        <f t="shared" si="7"/>
        <v>#N/A</v>
      </c>
      <c r="T20" s="92" t="e">
        <f t="shared" si="7"/>
        <v>#N/A</v>
      </c>
      <c r="U20" s="141" t="e">
        <f t="shared" si="7"/>
        <v>#N/A</v>
      </c>
      <c r="V20" s="92" t="e">
        <f t="shared" si="7"/>
        <v>#N/A</v>
      </c>
      <c r="W20" s="141" t="e">
        <f t="shared" si="7"/>
        <v>#N/A</v>
      </c>
      <c r="X20" s="3"/>
      <c r="Y20" s="227" t="s">
        <v>238</v>
      </c>
      <c r="Z20" s="228" t="e">
        <f>SUM(Z17:Z19)</f>
        <v>#N/A</v>
      </c>
      <c r="AA20" s="228" t="e">
        <f t="shared" ref="AA20:AB20" si="8">SUM(AA17:AA19)</f>
        <v>#N/A</v>
      </c>
      <c r="AB20" s="228" t="e">
        <f t="shared" si="8"/>
        <v>#N/A</v>
      </c>
    </row>
    <row r="21" spans="1:28" x14ac:dyDescent="0.25">
      <c r="A21" s="3"/>
      <c r="B21" s="241"/>
      <c r="C21" s="56" t="s">
        <v>32</v>
      </c>
      <c r="D21" s="16" t="s">
        <v>87</v>
      </c>
      <c r="E21" s="92" t="e">
        <f t="shared" si="3"/>
        <v>#N/A</v>
      </c>
      <c r="F21" s="92" t="e">
        <f t="shared" si="3"/>
        <v>#N/A</v>
      </c>
      <c r="G21" s="135" t="e">
        <f t="shared" si="3"/>
        <v>#N/A</v>
      </c>
      <c r="H21" s="92" t="e">
        <f t="shared" ref="H21:W21" si="9">H10/H$4</f>
        <v>#N/A</v>
      </c>
      <c r="I21" s="136" t="e">
        <f t="shared" si="9"/>
        <v>#N/A</v>
      </c>
      <c r="J21" s="135" t="e">
        <f t="shared" si="9"/>
        <v>#N/A</v>
      </c>
      <c r="K21" s="92" t="e">
        <f t="shared" si="9"/>
        <v>#N/A</v>
      </c>
      <c r="L21" s="92" t="e">
        <f t="shared" si="9"/>
        <v>#N/A</v>
      </c>
      <c r="M21" s="92" t="e">
        <f t="shared" si="9"/>
        <v>#N/A</v>
      </c>
      <c r="N21" s="136" t="e">
        <f t="shared" si="9"/>
        <v>#N/A</v>
      </c>
      <c r="O21" s="135" t="e">
        <f t="shared" si="9"/>
        <v>#N/A</v>
      </c>
      <c r="P21" s="92" t="e">
        <f t="shared" si="9"/>
        <v>#N/A</v>
      </c>
      <c r="Q21" s="92" t="e">
        <f t="shared" si="9"/>
        <v>#N/A</v>
      </c>
      <c r="R21" s="92" t="e">
        <f t="shared" si="9"/>
        <v>#N/A</v>
      </c>
      <c r="S21" s="136" t="e">
        <f t="shared" si="9"/>
        <v>#N/A</v>
      </c>
      <c r="T21" s="92" t="e">
        <f t="shared" si="9"/>
        <v>#N/A</v>
      </c>
      <c r="U21" s="141" t="e">
        <f t="shared" si="9"/>
        <v>#N/A</v>
      </c>
      <c r="V21" s="92" t="e">
        <f t="shared" si="9"/>
        <v>#N/A</v>
      </c>
      <c r="W21" s="141" t="e">
        <f t="shared" si="9"/>
        <v>#N/A</v>
      </c>
      <c r="X21" s="3"/>
    </row>
    <row r="22" spans="1:28" x14ac:dyDescent="0.25">
      <c r="A22" s="3"/>
      <c r="B22" s="241"/>
      <c r="C22" s="80" t="s">
        <v>33</v>
      </c>
      <c r="D22" s="32" t="s">
        <v>88</v>
      </c>
      <c r="E22" s="94" t="e">
        <f t="shared" si="3"/>
        <v>#N/A</v>
      </c>
      <c r="F22" s="94" t="e">
        <f t="shared" si="3"/>
        <v>#N/A</v>
      </c>
      <c r="G22" s="137" t="e">
        <f t="shared" si="3"/>
        <v>#N/A</v>
      </c>
      <c r="H22" s="94" t="e">
        <f t="shared" ref="H22:W22" si="10">H11/H$4</f>
        <v>#N/A</v>
      </c>
      <c r="I22" s="138" t="e">
        <f t="shared" si="10"/>
        <v>#N/A</v>
      </c>
      <c r="J22" s="137" t="e">
        <f t="shared" si="10"/>
        <v>#N/A</v>
      </c>
      <c r="K22" s="94" t="e">
        <f t="shared" si="10"/>
        <v>#N/A</v>
      </c>
      <c r="L22" s="94" t="e">
        <f t="shared" si="10"/>
        <v>#N/A</v>
      </c>
      <c r="M22" s="94" t="e">
        <f t="shared" si="10"/>
        <v>#N/A</v>
      </c>
      <c r="N22" s="138" t="e">
        <f t="shared" si="10"/>
        <v>#N/A</v>
      </c>
      <c r="O22" s="137" t="e">
        <f t="shared" si="10"/>
        <v>#N/A</v>
      </c>
      <c r="P22" s="94" t="e">
        <f t="shared" si="10"/>
        <v>#N/A</v>
      </c>
      <c r="Q22" s="94" t="e">
        <f t="shared" si="10"/>
        <v>#N/A</v>
      </c>
      <c r="R22" s="94" t="e">
        <f t="shared" si="10"/>
        <v>#N/A</v>
      </c>
      <c r="S22" s="138" t="e">
        <f t="shared" si="10"/>
        <v>#N/A</v>
      </c>
      <c r="T22" s="94" t="e">
        <f t="shared" si="10"/>
        <v>#N/A</v>
      </c>
      <c r="U22" s="142" t="e">
        <f t="shared" si="10"/>
        <v>#N/A</v>
      </c>
      <c r="V22" s="94" t="e">
        <f t="shared" si="10"/>
        <v>#N/A</v>
      </c>
      <c r="W22" s="142" t="e">
        <f t="shared" si="10"/>
        <v>#N/A</v>
      </c>
      <c r="X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4:B10"/>
  <sheetViews>
    <sheetView workbookViewId="0">
      <selection activeCell="P29" sqref="P29"/>
    </sheetView>
  </sheetViews>
  <sheetFormatPr baseColWidth="10" defaultRowHeight="15" x14ac:dyDescent="0.25"/>
  <sheetData>
    <row r="4" spans="2:2" x14ac:dyDescent="0.25">
      <c r="B4" t="str">
        <f>Résultats!B1&amp;" : Energie finale par usage et énergie primaire (Mtep)"</f>
        <v>TEND : Energie finale par usage et énergie primaire (Mtep)</v>
      </c>
    </row>
    <row r="5" spans="2:2" x14ac:dyDescent="0.25">
      <c r="B5" t="str">
        <f>Résultats!B1&amp;" : Ventilation du mix electrique (%)"</f>
        <v>TEND : Ventilation du mix electrique (%)</v>
      </c>
    </row>
    <row r="6" spans="2:2" x14ac:dyDescent="0.25">
      <c r="B6" t="str">
        <f>Résultats!B1&amp;" : Ventilation du mix carburant (%)"</f>
        <v>TEND : Ventilation du mix carburant (%)</v>
      </c>
    </row>
    <row r="7" spans="2:2" x14ac:dyDescent="0.25">
      <c r="B7" t="str">
        <f>Résultats!B1&amp;" : Ventilation du mix gaz (%)"</f>
        <v>TEND : Ventilation du mix gaz (%)</v>
      </c>
    </row>
    <row r="8" spans="2:2" x14ac:dyDescent="0.25">
      <c r="B8" t="str">
        <f>Résultats!B1&amp;" : Emissions CO2 (Mt.eqCO2)"</f>
        <v>TEND : Emissions CO2 (Mt.eqCO2)</v>
      </c>
    </row>
    <row r="9" spans="2:2" x14ac:dyDescent="0.25">
      <c r="B9" t="str">
        <f>Résultats!B1&amp;" : Ventilation du parc auto (%)"</f>
        <v>TEND : Ventilation du parc auto (%)</v>
      </c>
    </row>
    <row r="10" spans="2:2" x14ac:dyDescent="0.25">
      <c r="B10" t="str">
        <f>Résultats!B1&amp;" : Ventilation du parc de logements (%)"</f>
        <v>TEND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7</vt:i4>
      </vt:variant>
      <vt:variant>
        <vt:lpstr>Graphiques</vt:lpstr>
      </vt:variant>
      <vt:variant>
        <vt:i4>7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Résultats</vt:lpstr>
      <vt:lpstr>T energie vecteurs</vt:lpstr>
      <vt:lpstr>T energie usages</vt:lpstr>
      <vt:lpstr>T CO2</vt:lpstr>
      <vt:lpstr>T parc auto</vt:lpstr>
      <vt:lpstr>T logement</vt:lpstr>
      <vt:lpstr>Table Graphs</vt:lpstr>
      <vt:lpstr>Graphique1</vt:lpstr>
      <vt:lpstr>Graphique2</vt:lpstr>
      <vt:lpstr>Graphique3</vt:lpstr>
      <vt:lpstr>Graphique4</vt:lpstr>
      <vt:lpstr>Graphique5</vt:lpstr>
      <vt:lpstr>Graphique6</vt:lpstr>
      <vt:lpstr>Graphique7</vt:lpstr>
      <vt:lpstr>'T parc auto'!Zone_d_impression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MONSERAND Alma</cp:lastModifiedBy>
  <cp:lastPrinted>2018-11-29T16:44:02Z</cp:lastPrinted>
  <dcterms:created xsi:type="dcterms:W3CDTF">2016-06-15T08:53:28Z</dcterms:created>
  <dcterms:modified xsi:type="dcterms:W3CDTF">2025-02-27T21:55:53Z</dcterms:modified>
</cp:coreProperties>
</file>