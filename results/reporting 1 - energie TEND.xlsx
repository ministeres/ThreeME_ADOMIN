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9134A66C-3CED-46AD-8DA0-2EE5D78C9AB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1" sheetId="27" r:id="rId4"/>
    <sheet name="Graphique2" sheetId="22" r:id="rId5"/>
    <sheet name="Graphique3" sheetId="23" r:id="rId6"/>
    <sheet name="Graphique4" sheetId="24" r:id="rId7"/>
    <sheet name="T CO2" sheetId="10" r:id="rId8"/>
    <sheet name="Graphique5" sheetId="26" r:id="rId9"/>
    <sheet name="T parc auto" sheetId="25" r:id="rId10"/>
    <sheet name="Graphique6" sheetId="19" r:id="rId11"/>
    <sheet name="T logement" sheetId="14" r:id="rId12"/>
    <sheet name="Graphique7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K53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K40" i="16"/>
  <c r="J40" i="16"/>
  <c r="I40" i="16"/>
  <c r="H40" i="16"/>
  <c r="K39" i="16"/>
  <c r="J39" i="16"/>
  <c r="I39" i="16"/>
  <c r="H39" i="16"/>
  <c r="K38" i="16"/>
  <c r="J38" i="16"/>
  <c r="I38" i="16"/>
  <c r="I37" i="16" s="1"/>
  <c r="H38" i="16"/>
  <c r="R58" i="16"/>
  <c r="Q58" i="16"/>
  <c r="P58" i="16"/>
  <c r="O58" i="16"/>
  <c r="R57" i="16"/>
  <c r="P57" i="16"/>
  <c r="O57" i="16"/>
  <c r="R56" i="16"/>
  <c r="Q56" i="16"/>
  <c r="Q55" i="16" s="1"/>
  <c r="P56" i="16"/>
  <c r="P55" i="16" s="1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Q42" i="16" s="1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123" i="16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K105" i="16"/>
  <c r="J105" i="16"/>
  <c r="I105" i="16"/>
  <c r="H105" i="16"/>
  <c r="K104" i="16"/>
  <c r="J104" i="16"/>
  <c r="I104" i="16"/>
  <c r="H104" i="16"/>
  <c r="K103" i="16"/>
  <c r="J103" i="16"/>
  <c r="I103" i="16"/>
  <c r="H103" i="16"/>
  <c r="I50" i="16" l="1"/>
  <c r="I59" i="16" s="1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S54" i="16"/>
  <c r="O55" i="16"/>
  <c r="O59" i="16" s="1"/>
  <c r="S40" i="16"/>
  <c r="S44" i="16"/>
  <c r="K50" i="16"/>
  <c r="L56" i="16"/>
  <c r="L52" i="16"/>
  <c r="J55" i="16"/>
  <c r="K55" i="16"/>
  <c r="K59" i="16" s="1"/>
  <c r="H42" i="16"/>
  <c r="J37" i="16"/>
  <c r="L38" i="16"/>
  <c r="K37" i="16"/>
  <c r="L40" i="16"/>
  <c r="I42" i="16"/>
  <c r="I46" i="16" s="1"/>
  <c r="L39" i="16"/>
  <c r="J42" i="16"/>
  <c r="K42" i="16"/>
  <c r="L44" i="16"/>
  <c r="J50" i="16"/>
  <c r="J59" i="16" s="1"/>
  <c r="P42" i="16"/>
  <c r="P46" i="16"/>
  <c r="S43" i="16"/>
  <c r="P59" i="16"/>
  <c r="Q59" i="16"/>
  <c r="L43" i="16"/>
  <c r="R55" i="16"/>
  <c r="S58" i="16"/>
  <c r="S53" i="16"/>
  <c r="S37" i="16"/>
  <c r="O42" i="16"/>
  <c r="S57" i="16"/>
  <c r="S41" i="16"/>
  <c r="S50" i="16"/>
  <c r="H50" i="16"/>
  <c r="S56" i="16"/>
  <c r="H55" i="16"/>
  <c r="Q16" i="16"/>
  <c r="Q120" i="16"/>
  <c r="Q107" i="16"/>
  <c r="Q94" i="16"/>
  <c r="Q81" i="16"/>
  <c r="Q68" i="16"/>
  <c r="Q29" i="16"/>
  <c r="H46" i="16" l="1"/>
  <c r="K46" i="16"/>
  <c r="L42" i="16"/>
  <c r="S55" i="16"/>
  <c r="S42" i="16"/>
  <c r="L37" i="16"/>
  <c r="L55" i="16"/>
  <c r="J46" i="16"/>
  <c r="R59" i="16"/>
  <c r="O46" i="16"/>
  <c r="S46" i="16" s="1"/>
  <c r="S59" i="16"/>
  <c r="L50" i="16"/>
  <c r="H59" i="16"/>
  <c r="L59" i="16" s="1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R16" i="16"/>
  <c r="R20" i="16" s="1"/>
  <c r="P29" i="16"/>
  <c r="P33" i="16" s="1"/>
  <c r="Q98" i="16"/>
  <c r="Q85" i="16"/>
  <c r="R29" i="16"/>
  <c r="R33" i="16" s="1"/>
  <c r="Q111" i="16"/>
  <c r="S119" i="16"/>
  <c r="S123" i="16"/>
  <c r="S93" i="16"/>
  <c r="S97" i="16"/>
  <c r="Q124" i="16"/>
  <c r="S106" i="16"/>
  <c r="R107" i="16"/>
  <c r="S110" i="16"/>
  <c r="S121" i="16"/>
  <c r="S109" i="16"/>
  <c r="S122" i="16"/>
  <c r="S19" i="16"/>
  <c r="S18" i="16"/>
  <c r="O16" i="16"/>
  <c r="O20" i="16" s="1"/>
  <c r="Q20" i="16"/>
  <c r="S17" i="16"/>
  <c r="S14" i="16"/>
  <c r="S11" i="16"/>
  <c r="S105" i="16"/>
  <c r="S118" i="16"/>
  <c r="S82" i="16"/>
  <c r="T82" i="16" s="1"/>
  <c r="R94" i="16"/>
  <c r="R98" i="16" s="1"/>
  <c r="S66" i="16"/>
  <c r="S67" i="16"/>
  <c r="S70" i="16"/>
  <c r="S71" i="16"/>
  <c r="S83" i="16"/>
  <c r="T83" i="16" s="1"/>
  <c r="S96" i="16"/>
  <c r="S108" i="16"/>
  <c r="R68" i="16"/>
  <c r="S80" i="16"/>
  <c r="T80" i="16" s="1"/>
  <c r="R120" i="16"/>
  <c r="R124" i="16" s="1"/>
  <c r="S115" i="16"/>
  <c r="S102" i="16"/>
  <c r="S79" i="16"/>
  <c r="T79" i="16" s="1"/>
  <c r="S92" i="16"/>
  <c r="S27" i="16"/>
  <c r="Q72" i="16"/>
  <c r="S95" i="16"/>
  <c r="S89" i="16"/>
  <c r="R81" i="16"/>
  <c r="S76" i="16"/>
  <c r="T76" i="16" s="1"/>
  <c r="S69" i="16"/>
  <c r="S63" i="16"/>
  <c r="S32" i="16"/>
  <c r="S31" i="16"/>
  <c r="O29" i="16"/>
  <c r="O33" i="16" s="1"/>
  <c r="S30" i="16"/>
  <c r="S28" i="16"/>
  <c r="Q33" i="16"/>
  <c r="S24" i="16"/>
  <c r="L46" i="16" l="1"/>
  <c r="S68" i="16"/>
  <c r="S107" i="16"/>
  <c r="S81" i="16"/>
  <c r="S94" i="16"/>
  <c r="R111" i="16"/>
  <c r="S111" i="16" s="1"/>
  <c r="S120" i="16"/>
  <c r="S124" i="16"/>
  <c r="S20" i="16"/>
  <c r="S29" i="16"/>
  <c r="S16" i="16"/>
  <c r="S21" i="16" s="1"/>
  <c r="S98" i="16"/>
  <c r="R72" i="16"/>
  <c r="S72" i="16" s="1"/>
  <c r="R85" i="16"/>
  <c r="S85" i="16" s="1"/>
  <c r="S33" i="16"/>
  <c r="F128" i="16" l="1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K14" i="16"/>
  <c r="E9" i="10" s="1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K15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H108" i="25" l="1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K27" i="16" s="1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L14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91" i="25" s="1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108" i="25" l="1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K66" i="16" s="1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106" i="25" s="1"/>
  <c r="O51" i="25"/>
  <c r="O44" i="25"/>
  <c r="O32" i="25"/>
  <c r="O56" i="25"/>
  <c r="O64" i="25"/>
  <c r="O46" i="25"/>
  <c r="O50" i="25"/>
  <c r="O53" i="25"/>
  <c r="O30" i="25"/>
  <c r="O33" i="25"/>
  <c r="O35" i="25"/>
  <c r="O54" i="25"/>
  <c r="O97" i="25" s="1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89" i="25" l="1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K79" i="16" s="1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K92" i="16" s="1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K118" i="16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<sst xmlns="http://schemas.openxmlformats.org/spreadsheetml/2006/main" count="1749" uniqueCount="608">
  <si>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</si>
  <si>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</si>
  <si>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</si>
  <si>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</si>
  <si>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</si>
  <si>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</si>
  <si>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</si>
  <si>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</si>
  <si>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</si>
  <si>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</si>
  <si>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</si>
  <si>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</si>
  <si>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</si>
  <si>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</si>
  <si>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</si>
  <si>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</si>
  <si>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</si>
  <si>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</si>
  <si>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</si>
  <si>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</si>
  <si>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</si>
  <si>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</si>
  <si>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</si>
  <si>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</si>
  <si>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</si>
  <si>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</si>
  <si>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</si>
  <si>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</si>
  <si>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</si>
  <si>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</si>
  <si>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</si>
  <si>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</si>
  <si>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</si>
  <si>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</si>
  <si>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</si>
  <si>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</si>
  <si>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</si>
  <si>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</si>
  <si>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</si>
  <si>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</si>
  <si>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</si>
  <si>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</si>
  <si>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</si>
  <si>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</si>
  <si>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</si>
  <si>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</si>
  <si>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</si>
  <si>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</si>
  <si>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</si>
  <si>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</si>
  <si>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</si>
  <si>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</si>
  <si>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</si>
  <si>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</si>
  <si>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</si>
  <si>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</si>
  <si>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</si>
  <si>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</si>
  <si>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</si>
  <si>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</si>
  <si>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</si>
  <si>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</si>
  <si>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</si>
  <si>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</si>
  <si>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</si>
  <si>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</si>
  <si>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</si>
  <si>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</si>
  <si>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</si>
  <si>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</si>
  <si>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</si>
  <si>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</si>
  <si>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</si>
  <si>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</si>
  <si>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</si>
  <si>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</si>
  <si>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</si>
  <si>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</si>
  <si>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</si>
  <si>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</si>
  <si>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</si>
  <si>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</si>
  <si>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</si>
  <si>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</si>
  <si>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</si>
  <si>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</si>
  <si>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</si>
  <si>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</si>
  <si>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</si>
  <si>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ER_TRANS_PRIVATE_coal_0</t>
  </si>
  <si>
    <t>ER_TRANS_PRIVATE_oil_0</t>
  </si>
  <si>
    <t>ER_TRANS_PRIVATE_elec_0</t>
  </si>
  <si>
    <t>ER_TRANS_PRIVATE_gas_0</t>
  </si>
  <si>
    <t>ER_TRANS_PUBLIC_coal_0</t>
  </si>
  <si>
    <t>ER_TRANS_PUBLIC_oil_0</t>
  </si>
  <si>
    <t>ER_TRANS_PUBLIC_elec_0</t>
  </si>
  <si>
    <t>ER_TRANS_PUBLIC_gas_0</t>
  </si>
  <si>
    <t>ER_RESIDENTIAL_coal_0</t>
  </si>
  <si>
    <t>ER_RESIDENTIAL_oil_0</t>
  </si>
  <si>
    <t>ER_RESIDENTIAL_elec_0</t>
  </si>
  <si>
    <t>ER_RESIDENTIAL_gas_0</t>
  </si>
  <si>
    <t>ER_TERTIARY_coal_0</t>
  </si>
  <si>
    <t>ER_TERTIARY_oil_0</t>
  </si>
  <si>
    <t>ER_TERTIARY_elec_0</t>
  </si>
  <si>
    <t>ER_TERTIARY_gas_0</t>
  </si>
  <si>
    <t>ER_INDUS_coal_0</t>
  </si>
  <si>
    <t>ER_INDUS_oil_0</t>
  </si>
  <si>
    <t>ER_INDUS_elec_0</t>
  </si>
  <si>
    <t>ER_INDUS_gas_0</t>
  </si>
  <si>
    <t>ER_AGRICULTURE_coal_0</t>
  </si>
  <si>
    <t>ER_AGRICULTURE_oil_0</t>
  </si>
  <si>
    <t>ER_AGRICULTURE_elec_0</t>
  </si>
  <si>
    <t>ER_AGRICULTURE_gas_0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</si>
  <si>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</si>
  <si>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</si>
  <si>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</si>
  <si>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</si>
  <si>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</si>
  <si>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</si>
  <si>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</si>
  <si>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</si>
  <si>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</si>
  <si>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</si>
  <si>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</si>
  <si>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</si>
  <si>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</si>
  <si>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</si>
  <si>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</si>
  <si>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</si>
  <si>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</si>
  <si>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</si>
  <si>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</si>
  <si>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</si>
  <si>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</si>
  <si>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</si>
  <si>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</si>
  <si>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</si>
  <si>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</si>
  <si>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</si>
  <si>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</si>
  <si>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</si>
  <si>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</si>
  <si>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</si>
  <si>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</si>
  <si>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</si>
  <si>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</si>
  <si>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</si>
  <si>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</si>
  <si>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</si>
  <si>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</si>
  <si>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</si>
  <si>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</si>
  <si>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</si>
  <si>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</si>
  <si>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Q_Mtep_indus_21_0</t>
  </si>
  <si>
    <t>Q_Mtep_indus_22_0</t>
  </si>
  <si>
    <t>Q_Mtep_indus_23_0</t>
  </si>
  <si>
    <t>Q_Mtep_indus_24_0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</si>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</sst>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" fillId="0" borderId="0"/>
  </cellStyleXfs>
  <cellXfs count="275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1" fontId="21" fillId="2" borderId="0" xfId="0" applyNumberFormat="1" applyFont="1" applyFill="1" applyAlignment="1">
      <alignment horizontal="right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2" fillId="2" borderId="0" xfId="4" applyFill="1" applyBorder="1"/>
    <xf numFmtId="9" fontId="22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2" fillId="0" borderId="9" xfId="4" applyBorder="1"/>
    <xf numFmtId="165" fontId="22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2" fillId="2" borderId="0" xfId="4" applyFill="1"/>
    <xf numFmtId="2" fontId="22" fillId="2" borderId="0" xfId="4" applyNumberFormat="1" applyFill="1" applyBorder="1" applyAlignment="1">
      <alignment horizontal="right"/>
    </xf>
    <xf numFmtId="164" fontId="22" fillId="2" borderId="0" xfId="4" applyNumberFormat="1" applyFill="1"/>
    <xf numFmtId="1" fontId="22" fillId="2" borderId="0" xfId="4" applyNumberFormat="1" applyFill="1"/>
    <xf numFmtId="164" fontId="22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3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2" fillId="0" borderId="0" xfId="4" applyNumberFormat="1" applyFill="1" applyBorder="1"/>
    <xf numFmtId="1" fontId="22" fillId="0" borderId="0" xfId="4" applyNumberFormat="1" applyFill="1" applyBorder="1"/>
    <xf numFmtId="1" fontId="22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2" fillId="0" borderId="0" xfId="4" applyNumberFormat="1" applyFill="1" applyBorder="1" applyAlignment="1">
      <alignment horizontal="right"/>
    </xf>
    <xf numFmtId="0" fontId="24" fillId="2" borderId="0" xfId="0" applyFont="1" applyFill="1"/>
    <xf numFmtId="0" fontId="25" fillId="2" borderId="0" xfId="0" applyFont="1" applyFill="1"/>
    <xf numFmtId="0" fontId="22" fillId="0" borderId="0" xfId="4" applyFill="1" applyBorder="1"/>
    <xf numFmtId="9" fontId="22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6" fillId="10" borderId="0" xfId="5" applyNumberFormat="1" applyFont="1" applyFill="1" applyAlignment="1">
      <alignment horizontal="left" vertical="center" wrapText="1"/>
    </xf>
    <xf numFmtId="0" fontId="27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164" fontId="21" fillId="2" borderId="0" xfId="0" applyNumberFormat="1" applyFont="1" applyFill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3" fillId="2" borderId="8" xfId="0" applyFont="1" applyFill="1" applyBorder="1" applyAlignment="1">
      <alignment horizontal="left" vertical="center" wrapText="1"/>
    </xf>
    <xf numFmtId="0" fontId="23" fillId="2" borderId="5" xfId="0" applyFont="1" applyFill="1" applyBorder="1" applyAlignment="1">
      <alignment horizontal="left" vertical="center" wrapText="1"/>
    </xf>
    <xf numFmtId="0" fontId="23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62.650208231684388</c:v>
                </c:pt>
                <c:pt idx="1">
                  <c:v>55.514408807593426</c:v>
                </c:pt>
                <c:pt idx="2">
                  <c:v>57.250975718358895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127.64983611629791</c:v>
                </c:pt>
                <c:pt idx="1">
                  <c:v>117.2227393797592</c:v>
                </c:pt>
                <c:pt idx="2">
                  <c:v>97.701931809409615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28.815162048983581</c:v>
                </c:pt>
                <c:pt idx="1">
                  <c:v>22.928967091430298</c:v>
                </c:pt>
                <c:pt idx="2">
                  <c:v>18.123682276939611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96.337396404821448</c:v>
                </c:pt>
                <c:pt idx="1">
                  <c:v>106.80215958833908</c:v>
                </c:pt>
                <c:pt idx="2">
                  <c:v>124.69465867440456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ma.monserand\Documents\GitHub\ThreeME\data\shocks\Bilan%20&#233;nergie%20-%20AMErun2%20-%20AMSrun2.xlsx" TargetMode="External"/><Relationship Id="rId1" Type="http://schemas.openxmlformats.org/officeDocument/2006/relationships/externalLinkPath" Target="/Users/alma.monserand/Documents/GitHub/ThreeME/data/shocks/Bilan%20&#233;nergie%20-%20AMErun2%20-%20AMSrun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AMS"/>
      <sheetName val="Cibles ThreeME v2 "/>
      <sheetName val="Cibles ThreeME v2 AMS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_2023"/>
      <sheetName val="Bilan_E_KP_AMS_2025"/>
      <sheetName val="Bilan_E_KP_AMS_2028"/>
      <sheetName val="Bilan_E_KP_AMS_2030"/>
      <sheetName val="Bilan_E_KP_AMS_2033"/>
      <sheetName val="Bilan_E_KP_AMS_2035"/>
      <sheetName val="Bilan_E_KP_AMS_2038"/>
      <sheetName val="Bilan_E_KP_AMS_2040"/>
      <sheetName val="Bilan_E_KP_AMS_2043"/>
      <sheetName val="Bilan_E_KP_AMS_2045"/>
      <sheetName val="Bilan_E_KP_AMS_2050"/>
      <sheetName val="Bilan_E_KP_AMS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</sheetNames>
    <sheetDataSet>
      <sheetData sheetId="0"/>
      <sheetData sheetId="1"/>
      <sheetData sheetId="2">
        <row r="22">
          <cell r="D22">
            <v>0.95568230636841967</v>
          </cell>
        </row>
      </sheetData>
      <sheetData sheetId="3"/>
      <sheetData sheetId="4"/>
      <sheetData sheetId="5"/>
      <sheetData sheetId="6"/>
      <sheetData sheetId="7"/>
      <sheetData sheetId="8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1.2504899941046146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9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22.254054739303911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0"/>
      <sheetData sheetId="11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26.203729444444445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25.961824722222225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>
        <row r="13">
          <cell r="L13">
            <v>24.298097404469559</v>
          </cell>
        </row>
      </sheetData>
      <sheetData sheetId="14">
        <row r="13">
          <cell r="L13">
            <v>64.055272794649682</v>
          </cell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18.717898630882576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71.534753758802367</v>
          </cell>
        </row>
      </sheetData>
      <sheetData sheetId="16">
        <row r="5">
          <cell r="T5">
            <v>47.147872325239078</v>
          </cell>
          <cell r="U5">
            <v>286.13549908159888</v>
          </cell>
          <cell r="V5">
            <v>451.18068007383562</v>
          </cell>
          <cell r="W5">
            <v>224.79720476317669</v>
          </cell>
          <cell r="X5">
            <v>423.21303469152963</v>
          </cell>
        </row>
        <row r="13"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18.104889666565256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7">
        <row r="13">
          <cell r="L13">
            <v>60.003896317889257</v>
          </cell>
        </row>
      </sheetData>
      <sheetData sheetId="18">
        <row r="13">
          <cell r="L13">
            <v>50.941346245748719</v>
          </cell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17.877746900135776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19">
        <row r="13">
          <cell r="L13">
            <v>38.942042128507637</v>
          </cell>
        </row>
      </sheetData>
      <sheetData sheetId="20">
        <row r="13">
          <cell r="L13">
            <v>31.055970799843635</v>
          </cell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17.844652835962791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1">
        <row r="13">
          <cell r="L13">
            <v>16.706363002811486</v>
          </cell>
        </row>
      </sheetData>
      <sheetData sheetId="22">
        <row r="13">
          <cell r="L13">
            <v>12.7985093299136</v>
          </cell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17.911870236140274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:AW251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7" t="s">
        <v>249</v>
      </c>
      <c r="B1" s="243" t="s">
        <v>185</v>
      </c>
      <c r="C1" s="238">
        <v>2</v>
      </c>
      <c r="D1" s="238">
        <f>C1+1</f>
        <v>3</v>
      </c>
      <c r="E1" s="238">
        <f t="shared" ref="E1:AS1" si="0">D1+1</f>
        <v>4</v>
      </c>
      <c r="F1" s="238">
        <f t="shared" si="0"/>
        <v>5</v>
      </c>
      <c r="G1" s="238">
        <f t="shared" si="0"/>
        <v>6</v>
      </c>
      <c r="H1" s="238">
        <f t="shared" si="0"/>
        <v>7</v>
      </c>
      <c r="I1" s="238">
        <f t="shared" si="0"/>
        <v>8</v>
      </c>
      <c r="J1" s="238">
        <f t="shared" si="0"/>
        <v>9</v>
      </c>
      <c r="K1" s="238">
        <f t="shared" si="0"/>
        <v>10</v>
      </c>
      <c r="L1" s="238">
        <f t="shared" si="0"/>
        <v>11</v>
      </c>
      <c r="M1" s="238">
        <f t="shared" si="0"/>
        <v>12</v>
      </c>
      <c r="N1" s="238">
        <f t="shared" si="0"/>
        <v>13</v>
      </c>
      <c r="O1" s="238">
        <f>N1+1</f>
        <v>14</v>
      </c>
      <c r="P1" s="238">
        <f t="shared" si="0"/>
        <v>15</v>
      </c>
      <c r="Q1" s="238">
        <f t="shared" si="0"/>
        <v>16</v>
      </c>
      <c r="R1" s="238">
        <f t="shared" si="0"/>
        <v>17</v>
      </c>
      <c r="S1" s="238">
        <f t="shared" si="0"/>
        <v>18</v>
      </c>
      <c r="T1" s="238">
        <f t="shared" si="0"/>
        <v>19</v>
      </c>
      <c r="U1" s="238">
        <f t="shared" si="0"/>
        <v>20</v>
      </c>
      <c r="V1" s="238">
        <f t="shared" si="0"/>
        <v>21</v>
      </c>
      <c r="W1" s="238">
        <f t="shared" si="0"/>
        <v>22</v>
      </c>
      <c r="X1" s="238">
        <f t="shared" si="0"/>
        <v>23</v>
      </c>
      <c r="Y1" s="238">
        <f t="shared" si="0"/>
        <v>24</v>
      </c>
      <c r="Z1" s="238">
        <f t="shared" si="0"/>
        <v>25</v>
      </c>
      <c r="AA1" s="238">
        <f t="shared" si="0"/>
        <v>26</v>
      </c>
      <c r="AB1" s="238">
        <f t="shared" si="0"/>
        <v>27</v>
      </c>
      <c r="AC1" s="238">
        <f t="shared" si="0"/>
        <v>28</v>
      </c>
      <c r="AD1" s="238">
        <f t="shared" si="0"/>
        <v>29</v>
      </c>
      <c r="AE1" s="238">
        <f t="shared" si="0"/>
        <v>30</v>
      </c>
      <c r="AF1" s="238">
        <f t="shared" si="0"/>
        <v>31</v>
      </c>
      <c r="AG1" s="238">
        <f t="shared" si="0"/>
        <v>32</v>
      </c>
      <c r="AH1" s="238">
        <f t="shared" si="0"/>
        <v>33</v>
      </c>
      <c r="AI1" s="238">
        <f t="shared" si="0"/>
        <v>34</v>
      </c>
      <c r="AJ1" s="238">
        <f t="shared" si="0"/>
        <v>35</v>
      </c>
      <c r="AK1" s="238">
        <f t="shared" si="0"/>
        <v>36</v>
      </c>
      <c r="AL1" s="238">
        <f t="shared" si="0"/>
        <v>37</v>
      </c>
      <c r="AM1" s="238">
        <f t="shared" si="0"/>
        <v>38</v>
      </c>
      <c r="AN1" s="238">
        <f t="shared" si="0"/>
        <v>39</v>
      </c>
      <c r="AO1" s="238">
        <f t="shared" si="0"/>
        <v>40</v>
      </c>
      <c r="AP1" s="238">
        <f t="shared" si="0"/>
        <v>41</v>
      </c>
      <c r="AQ1" s="238">
        <f t="shared" si="0"/>
        <v>42</v>
      </c>
      <c r="AR1" s="238">
        <f t="shared" si="0"/>
        <v>43</v>
      </c>
      <c r="AS1" s="238">
        <f t="shared" si="0"/>
        <v>44</v>
      </c>
      <c r="AT1" s="238">
        <f>AS1+1</f>
        <v>45</v>
      </c>
      <c r="AU1" s="238">
        <f>AT1+1</f>
        <v>46</v>
      </c>
      <c r="AV1" s="238">
        <f t="shared" ref="AV1:AW1" si="1">AU1+1</f>
        <v>47</v>
      </c>
      <c r="AW1" s="238">
        <f t="shared" si="1"/>
        <v>48</v>
      </c>
    </row>
    <row r="2" spans="1:49" x14ac:dyDescent="0.25">
      <c r="B2" s="246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332</v>
      </c>
      <c r="C3">
        <v>78.155731330970795</v>
      </c>
      <c r="D3">
        <v>79.410546877677106</v>
      </c>
      <c r="E3">
        <v>80.669792340000001</v>
      </c>
      <c r="F3">
        <v>81.250786700000006</v>
      </c>
      <c r="G3">
        <v>78.355801400000004</v>
      </c>
      <c r="H3">
        <v>76.31988149</v>
      </c>
      <c r="I3">
        <v>75.097106449999998</v>
      </c>
      <c r="J3">
        <v>73.62089417</v>
      </c>
      <c r="K3">
        <v>71.808831499999997</v>
      </c>
      <c r="L3">
        <v>70.527297959999999</v>
      </c>
      <c r="M3">
        <v>70.565593919999998</v>
      </c>
      <c r="N3">
        <v>71.259217739999997</v>
      </c>
      <c r="O3">
        <v>69.746538090000001</v>
      </c>
      <c r="P3">
        <v>68.140906950000002</v>
      </c>
      <c r="Q3">
        <v>65.874058520000006</v>
      </c>
      <c r="R3">
        <v>64.649797309999997</v>
      </c>
      <c r="S3">
        <v>63.15258979</v>
      </c>
      <c r="T3">
        <v>62.909338779999999</v>
      </c>
      <c r="U3">
        <v>62.254928249999999</v>
      </c>
      <c r="V3">
        <v>61.843475419999997</v>
      </c>
      <c r="W3">
        <v>61.306990859999999</v>
      </c>
      <c r="X3">
        <v>60.440430489999997</v>
      </c>
      <c r="Y3">
        <v>59.857958699999998</v>
      </c>
      <c r="Z3">
        <v>59.531470630000001</v>
      </c>
      <c r="AA3">
        <v>59.302383990000003</v>
      </c>
      <c r="AB3">
        <v>59.137685179999998</v>
      </c>
      <c r="AC3">
        <v>59.042857439999999</v>
      </c>
      <c r="AD3">
        <v>58.490243560000003</v>
      </c>
      <c r="AE3">
        <v>57.93466454</v>
      </c>
      <c r="AF3">
        <v>57.402855289999998</v>
      </c>
      <c r="AG3">
        <v>56.891572050000001</v>
      </c>
      <c r="AH3">
        <v>56.380629640000002</v>
      </c>
      <c r="AI3">
        <v>56.016950219999998</v>
      </c>
      <c r="AJ3">
        <v>55.683595109999999</v>
      </c>
      <c r="AK3">
        <v>55.376184170000002</v>
      </c>
      <c r="AL3">
        <v>55.090546379999999</v>
      </c>
      <c r="AM3">
        <v>54.817446029999999</v>
      </c>
      <c r="AN3">
        <v>54.52872816</v>
      </c>
      <c r="AO3">
        <v>54.243754979999999</v>
      </c>
      <c r="AP3">
        <v>53.952190090000002</v>
      </c>
      <c r="AQ3">
        <v>53.664888650000002</v>
      </c>
      <c r="AR3">
        <v>53.371021370000001</v>
      </c>
      <c r="AS3">
        <v>53.261339710000001</v>
      </c>
      <c r="AT3">
        <v>53.169698339999997</v>
      </c>
      <c r="AU3">
        <v>53.089620449999998</v>
      </c>
      <c r="AV3">
        <v>53.018559770000003</v>
      </c>
      <c r="AW3">
        <v>52.976338460000001</v>
      </c>
    </row>
    <row r="4" spans="1:49" x14ac:dyDescent="0.25">
      <c r="B4" s="16" t="s">
        <v>333</v>
      </c>
      <c r="C4">
        <v>77.477678819662401</v>
      </c>
      <c r="D4">
        <v>78.721608013977402</v>
      </c>
      <c r="E4">
        <v>80.002338629999997</v>
      </c>
      <c r="F4">
        <v>80.247747660000002</v>
      </c>
      <c r="G4">
        <v>77.070817820000002</v>
      </c>
      <c r="H4">
        <v>74.760127179999998</v>
      </c>
      <c r="I4">
        <v>73.260365550000003</v>
      </c>
      <c r="J4">
        <v>71.525433590000006</v>
      </c>
      <c r="K4">
        <v>69.478559340000004</v>
      </c>
      <c r="L4">
        <v>67.958490530000006</v>
      </c>
      <c r="M4">
        <v>67.716267680000001</v>
      </c>
      <c r="N4">
        <v>68.101173560000007</v>
      </c>
      <c r="O4">
        <v>66.605794439999997</v>
      </c>
      <c r="P4">
        <v>65.020785149999995</v>
      </c>
      <c r="Q4">
        <v>62.804492979999999</v>
      </c>
      <c r="R4">
        <v>61.58148173</v>
      </c>
      <c r="S4">
        <v>60.09699835</v>
      </c>
      <c r="T4">
        <v>59.705042560000003</v>
      </c>
      <c r="U4">
        <v>58.93031371</v>
      </c>
      <c r="V4">
        <v>58.393073280000003</v>
      </c>
      <c r="W4">
        <v>57.734632990000001</v>
      </c>
      <c r="X4">
        <v>56.762510769999999</v>
      </c>
      <c r="Y4">
        <v>56.215665770000001</v>
      </c>
      <c r="Z4">
        <v>55.909236100000001</v>
      </c>
      <c r="AA4">
        <v>55.694291300000003</v>
      </c>
      <c r="AB4">
        <v>55.538732670000002</v>
      </c>
      <c r="AC4">
        <v>55.448739519999997</v>
      </c>
      <c r="AD4">
        <v>54.932745480000001</v>
      </c>
      <c r="AE4">
        <v>54.414070950000003</v>
      </c>
      <c r="AF4">
        <v>53.917836010000002</v>
      </c>
      <c r="AG4">
        <v>53.440525409999999</v>
      </c>
      <c r="AH4">
        <v>52.96365488</v>
      </c>
      <c r="AI4">
        <v>52.620553010000002</v>
      </c>
      <c r="AJ4">
        <v>52.30588006</v>
      </c>
      <c r="AK4">
        <v>52.015514670000002</v>
      </c>
      <c r="AL4">
        <v>51.746103189999999</v>
      </c>
      <c r="AM4">
        <v>51.488417679999998</v>
      </c>
      <c r="AN4">
        <v>51.205302889999999</v>
      </c>
      <c r="AO4">
        <v>50.925372090000003</v>
      </c>
      <c r="AP4">
        <v>50.638901410000003</v>
      </c>
      <c r="AQ4">
        <v>50.35606035</v>
      </c>
      <c r="AR4">
        <v>50.066664000000003</v>
      </c>
      <c r="AS4">
        <v>49.947711179999999</v>
      </c>
      <c r="AT4">
        <v>49.845383069999997</v>
      </c>
      <c r="AU4">
        <v>49.753583140000003</v>
      </c>
      <c r="AV4">
        <v>49.669904340000002</v>
      </c>
      <c r="AW4">
        <v>49.612890200000002</v>
      </c>
    </row>
    <row r="5" spans="1:49" x14ac:dyDescent="0.25">
      <c r="B5" s="16" t="s">
        <v>334</v>
      </c>
      <c r="C5">
        <v>0.67805251130835598</v>
      </c>
      <c r="D5">
        <v>0.68893886369971102</v>
      </c>
      <c r="E5">
        <v>0.66745370510000002</v>
      </c>
      <c r="F5">
        <v>1.003039043</v>
      </c>
      <c r="G5">
        <v>1.2849835789999999</v>
      </c>
      <c r="H5">
        <v>1.559754313</v>
      </c>
      <c r="I5">
        <v>1.836740899</v>
      </c>
      <c r="J5">
        <v>2.0954605800000001</v>
      </c>
      <c r="K5">
        <v>2.330272162</v>
      </c>
      <c r="L5">
        <v>2.5688074350000001</v>
      </c>
      <c r="M5">
        <v>2.849326236</v>
      </c>
      <c r="N5">
        <v>3.1580441800000001</v>
      </c>
      <c r="O5">
        <v>3.1407436510000002</v>
      </c>
      <c r="P5">
        <v>3.1201218019999999</v>
      </c>
      <c r="Q5">
        <v>3.0695655390000001</v>
      </c>
      <c r="R5">
        <v>3.0683155800000002</v>
      </c>
      <c r="S5">
        <v>3.0555914350000002</v>
      </c>
      <c r="T5">
        <v>3.2042962199999998</v>
      </c>
      <c r="U5">
        <v>3.3246145440000001</v>
      </c>
      <c r="V5">
        <v>3.4504021370000002</v>
      </c>
      <c r="W5">
        <v>3.5723578630000001</v>
      </c>
      <c r="X5">
        <v>3.6779197159999999</v>
      </c>
      <c r="Y5">
        <v>3.6422929370000001</v>
      </c>
      <c r="Z5">
        <v>3.622234524</v>
      </c>
      <c r="AA5">
        <v>3.6080926880000002</v>
      </c>
      <c r="AB5">
        <v>3.5989525150000001</v>
      </c>
      <c r="AC5">
        <v>3.5941179170000002</v>
      </c>
      <c r="AD5">
        <v>3.5574980809999999</v>
      </c>
      <c r="AE5">
        <v>3.5205935859999999</v>
      </c>
      <c r="AF5">
        <v>3.4850192820000001</v>
      </c>
      <c r="AG5">
        <v>3.4510466370000001</v>
      </c>
      <c r="AH5">
        <v>3.4169747529999999</v>
      </c>
      <c r="AI5">
        <v>3.3963972099999999</v>
      </c>
      <c r="AJ5">
        <v>3.3777150429999998</v>
      </c>
      <c r="AK5">
        <v>3.3606695019999999</v>
      </c>
      <c r="AL5">
        <v>3.3444431940000001</v>
      </c>
      <c r="AM5">
        <v>3.3290283540000001</v>
      </c>
      <c r="AN5">
        <v>3.3234252720000002</v>
      </c>
      <c r="AO5">
        <v>3.3183828929999999</v>
      </c>
      <c r="AP5">
        <v>3.3132886720000001</v>
      </c>
      <c r="AQ5">
        <v>3.3088283000000001</v>
      </c>
      <c r="AR5">
        <v>3.3043573679999998</v>
      </c>
      <c r="AS5">
        <v>3.3136285220000001</v>
      </c>
      <c r="AT5">
        <v>3.324315269</v>
      </c>
      <c r="AU5">
        <v>3.336037304</v>
      </c>
      <c r="AV5">
        <v>3.3486554320000002</v>
      </c>
      <c r="AW5">
        <v>3.3634482550000002</v>
      </c>
    </row>
    <row r="6" spans="1:49" x14ac:dyDescent="0.25">
      <c r="B6" s="16" t="s">
        <v>335</v>
      </c>
      <c r="C6">
        <v>28.634797354551999</v>
      </c>
      <c r="D6">
        <v>29.094538288267</v>
      </c>
      <c r="E6">
        <v>29.720911040000001</v>
      </c>
      <c r="F6">
        <v>30.518609210000001</v>
      </c>
      <c r="G6">
        <v>31.191116910000002</v>
      </c>
      <c r="H6">
        <v>28.999107680000002</v>
      </c>
      <c r="I6">
        <v>30.086507009999998</v>
      </c>
      <c r="J6">
        <v>31.105670809999999</v>
      </c>
      <c r="K6">
        <v>31.43847667</v>
      </c>
      <c r="L6">
        <v>31.273185470000001</v>
      </c>
      <c r="M6">
        <v>31.096154540000001</v>
      </c>
      <c r="N6">
        <v>30.501051709999999</v>
      </c>
      <c r="O6">
        <v>28.783624029999999</v>
      </c>
      <c r="P6">
        <v>28.27741717</v>
      </c>
      <c r="Q6">
        <v>28.213944269999999</v>
      </c>
      <c r="R6">
        <v>27.262805700000001</v>
      </c>
      <c r="S6">
        <v>26.31808504</v>
      </c>
      <c r="T6">
        <v>26.265722889999999</v>
      </c>
      <c r="U6">
        <v>26.179354060000001</v>
      </c>
      <c r="V6">
        <v>26.22441749</v>
      </c>
      <c r="W6">
        <v>27.180133900000001</v>
      </c>
      <c r="X6">
        <v>28.180512539999999</v>
      </c>
      <c r="Y6">
        <v>28.288598010000001</v>
      </c>
      <c r="Z6">
        <v>28.429977829999999</v>
      </c>
      <c r="AA6">
        <v>28.584435249999999</v>
      </c>
      <c r="AB6">
        <v>28.823172039999999</v>
      </c>
      <c r="AC6">
        <v>29.082800030000001</v>
      </c>
      <c r="AD6">
        <v>28.791682439999999</v>
      </c>
      <c r="AE6">
        <v>28.510269189999999</v>
      </c>
      <c r="AF6">
        <v>28.235643459999999</v>
      </c>
      <c r="AG6">
        <v>27.9349357</v>
      </c>
      <c r="AH6">
        <v>27.63569171</v>
      </c>
      <c r="AI6">
        <v>27.263962299999999</v>
      </c>
      <c r="AJ6">
        <v>26.890677029999999</v>
      </c>
      <c r="AK6">
        <v>26.508404290000001</v>
      </c>
      <c r="AL6">
        <v>26.091153819999999</v>
      </c>
      <c r="AM6">
        <v>25.663732809999999</v>
      </c>
      <c r="AN6">
        <v>25.205713039999999</v>
      </c>
      <c r="AO6">
        <v>24.74225272</v>
      </c>
      <c r="AP6">
        <v>24.270738999999999</v>
      </c>
      <c r="AQ6">
        <v>23.795781999999999</v>
      </c>
      <c r="AR6">
        <v>23.314396039999998</v>
      </c>
      <c r="AS6">
        <v>22.709616279999999</v>
      </c>
      <c r="AT6">
        <v>22.094225999999999</v>
      </c>
      <c r="AU6">
        <v>21.4759812</v>
      </c>
      <c r="AV6">
        <v>20.854402329999999</v>
      </c>
      <c r="AW6">
        <v>20.237557819999999</v>
      </c>
    </row>
    <row r="7" spans="1:49" x14ac:dyDescent="0.25">
      <c r="B7" s="16" t="s">
        <v>336</v>
      </c>
      <c r="C7">
        <v>0.36749349586970598</v>
      </c>
      <c r="D7">
        <v>0.37339372281503302</v>
      </c>
      <c r="E7">
        <v>0.38143247060000002</v>
      </c>
      <c r="F7">
        <v>0.3710886175</v>
      </c>
      <c r="G7">
        <v>0.35933636790000001</v>
      </c>
      <c r="H7">
        <v>0.31652807300000002</v>
      </c>
      <c r="I7">
        <v>0.31114062609999998</v>
      </c>
      <c r="J7">
        <v>0.304776779</v>
      </c>
      <c r="K7">
        <v>0.29185097589999998</v>
      </c>
      <c r="L7">
        <v>0.27506107000000002</v>
      </c>
      <c r="M7">
        <v>0.25913199910000001</v>
      </c>
      <c r="N7">
        <v>0.24081665869999999</v>
      </c>
      <c r="O7">
        <v>0.2091808023</v>
      </c>
      <c r="P7">
        <v>0.1863364747</v>
      </c>
      <c r="Q7">
        <v>0.1652177672</v>
      </c>
      <c r="R7">
        <v>0.13792382789999999</v>
      </c>
      <c r="S7">
        <v>0.11028693689999999</v>
      </c>
      <c r="T7">
        <v>0.14633283750000001</v>
      </c>
      <c r="U7">
        <v>0.18317241649999999</v>
      </c>
      <c r="V7">
        <v>0.22210773619999999</v>
      </c>
      <c r="W7">
        <v>0.23364273059999999</v>
      </c>
      <c r="X7">
        <v>0.245431019</v>
      </c>
      <c r="Y7">
        <v>0.2448597998</v>
      </c>
      <c r="Z7">
        <v>0.24455128700000001</v>
      </c>
      <c r="AA7">
        <v>0.24432696579999999</v>
      </c>
      <c r="AB7">
        <v>0.24479953290000001</v>
      </c>
      <c r="AC7">
        <v>0.24541752950000001</v>
      </c>
      <c r="AD7">
        <v>0.25086962130000001</v>
      </c>
      <c r="AE7">
        <v>0.25640160519999999</v>
      </c>
      <c r="AF7">
        <v>0.2619945119</v>
      </c>
      <c r="AG7">
        <v>0.26778285400000001</v>
      </c>
      <c r="AH7">
        <v>0.2735929627</v>
      </c>
      <c r="AI7">
        <v>0.2734080116</v>
      </c>
      <c r="AJ7">
        <v>0.27322154059999998</v>
      </c>
      <c r="AK7">
        <v>0.27295708120000001</v>
      </c>
      <c r="AL7">
        <v>0.27251010149999999</v>
      </c>
      <c r="AM7">
        <v>0.271968985</v>
      </c>
      <c r="AN7">
        <v>0.27705957990000002</v>
      </c>
      <c r="AO7">
        <v>0.28211619459999998</v>
      </c>
      <c r="AP7">
        <v>0.28710266550000002</v>
      </c>
      <c r="AQ7">
        <v>0.29206639779999999</v>
      </c>
      <c r="AR7">
        <v>0.2969658154</v>
      </c>
      <c r="AS7">
        <v>0.29886960420000003</v>
      </c>
      <c r="AT7">
        <v>0.30064210279999998</v>
      </c>
      <c r="AU7">
        <v>0.30237860509999998</v>
      </c>
      <c r="AV7">
        <v>0.30406820579999999</v>
      </c>
      <c r="AW7">
        <v>0.30582767649999998</v>
      </c>
    </row>
    <row r="8" spans="1:49" x14ac:dyDescent="0.25">
      <c r="B8" t="s">
        <v>337</v>
      </c>
      <c r="C8">
        <v>1.4676116307532601</v>
      </c>
      <c r="D8">
        <v>1.4911746101974399</v>
      </c>
      <c r="E8">
        <v>1.523277926</v>
      </c>
      <c r="F8">
        <v>1.5664371500000001</v>
      </c>
      <c r="G8">
        <v>1.6032836669999999</v>
      </c>
      <c r="H8">
        <v>1.492778191</v>
      </c>
      <c r="I8">
        <v>1.5510065159999999</v>
      </c>
      <c r="J8">
        <v>1.6058783000000001</v>
      </c>
      <c r="K8">
        <v>1.6254205930000001</v>
      </c>
      <c r="L8">
        <v>1.61922645</v>
      </c>
      <c r="M8">
        <v>1.612402119</v>
      </c>
      <c r="N8">
        <v>1.5838450589999999</v>
      </c>
      <c r="O8">
        <v>1.673952884</v>
      </c>
      <c r="P8">
        <v>1.834608529</v>
      </c>
      <c r="Q8">
        <v>2.03580937</v>
      </c>
      <c r="R8">
        <v>2.1826517019999998</v>
      </c>
      <c r="S8">
        <v>2.3337314820000001</v>
      </c>
      <c r="T8">
        <v>2.2515008449999998</v>
      </c>
      <c r="U8">
        <v>2.1642517849999998</v>
      </c>
      <c r="V8">
        <v>2.0853519899999999</v>
      </c>
      <c r="W8">
        <v>1.3853202680000001</v>
      </c>
      <c r="X8">
        <v>0.71702813399999998</v>
      </c>
      <c r="Y8">
        <v>0.72073175280000001</v>
      </c>
      <c r="Z8">
        <v>0.72529970180000003</v>
      </c>
      <c r="AA8">
        <v>0.730219124</v>
      </c>
      <c r="AB8">
        <v>0.73728112509999999</v>
      </c>
      <c r="AC8">
        <v>0.74489717010000001</v>
      </c>
      <c r="AD8">
        <v>0.75267898280000001</v>
      </c>
      <c r="AE8">
        <v>0.76070550150000005</v>
      </c>
      <c r="AF8">
        <v>0.76891289330000001</v>
      </c>
      <c r="AG8">
        <v>0.77725847000000003</v>
      </c>
      <c r="AH8">
        <v>0.785659683</v>
      </c>
      <c r="AI8">
        <v>0.79424986249999996</v>
      </c>
      <c r="AJ8">
        <v>0.80287190779999995</v>
      </c>
      <c r="AK8">
        <v>0.81129867290000002</v>
      </c>
      <c r="AL8">
        <v>0.81962222780000005</v>
      </c>
      <c r="AM8">
        <v>0.82769253600000003</v>
      </c>
      <c r="AN8">
        <v>0.83409408389999995</v>
      </c>
      <c r="AO8">
        <v>0.84037057550000005</v>
      </c>
      <c r="AP8">
        <v>0.84641969930000005</v>
      </c>
      <c r="AQ8">
        <v>0.85238705130000003</v>
      </c>
      <c r="AR8">
        <v>0.85815518400000002</v>
      </c>
      <c r="AS8">
        <v>1.1794435329999999</v>
      </c>
      <c r="AT8">
        <v>1.500479388</v>
      </c>
      <c r="AU8">
        <v>1.821423158</v>
      </c>
      <c r="AV8">
        <v>2.1420856420000001</v>
      </c>
      <c r="AW8">
        <v>2.4632644789999998</v>
      </c>
    </row>
    <row r="9" spans="1:49" x14ac:dyDescent="0.25">
      <c r="B9" t="s">
        <v>338</v>
      </c>
      <c r="C9">
        <v>1.4643633957556199</v>
      </c>
      <c r="D9">
        <v>1.4878742237362399</v>
      </c>
      <c r="E9">
        <v>1.519906486</v>
      </c>
      <c r="F9">
        <v>1.4371305860000001</v>
      </c>
      <c r="G9">
        <v>1.352505888</v>
      </c>
      <c r="H9">
        <v>1.1578961670000001</v>
      </c>
      <c r="I9">
        <v>1.106199596</v>
      </c>
      <c r="J9">
        <v>1.053120437</v>
      </c>
      <c r="K9">
        <v>0.98011425910000005</v>
      </c>
      <c r="L9">
        <v>0.89776790900000003</v>
      </c>
      <c r="M9">
        <v>0.82200675519999999</v>
      </c>
      <c r="N9">
        <v>0.74243811429999995</v>
      </c>
      <c r="O9">
        <v>0.62216875760000001</v>
      </c>
      <c r="P9">
        <v>0.52803332609999998</v>
      </c>
      <c r="Q9">
        <v>0.43699179710000002</v>
      </c>
      <c r="R9">
        <v>0.32796001400000002</v>
      </c>
      <c r="S9">
        <v>0.2173758157</v>
      </c>
      <c r="T9">
        <v>0.2095914851</v>
      </c>
      <c r="U9">
        <v>0.20133648730000001</v>
      </c>
      <c r="V9">
        <v>0.19385386039999999</v>
      </c>
      <c r="W9">
        <v>0.1275416613</v>
      </c>
      <c r="X9">
        <v>6.4224913999999994E-2</v>
      </c>
      <c r="Y9">
        <v>6.4533788499999994E-2</v>
      </c>
      <c r="Z9">
        <v>6.4919669799999996E-2</v>
      </c>
      <c r="AA9">
        <v>6.5336583899999995E-2</v>
      </c>
      <c r="AB9">
        <v>6.5944876900000005E-2</v>
      </c>
      <c r="AC9">
        <v>6.6602244800000002E-2</v>
      </c>
      <c r="AD9">
        <v>6.7281069799999996E-2</v>
      </c>
      <c r="AE9">
        <v>6.7981778600000001E-2</v>
      </c>
      <c r="AF9">
        <v>6.8698651700000002E-2</v>
      </c>
      <c r="AG9">
        <v>6.9426644999999995E-2</v>
      </c>
      <c r="AH9">
        <v>7.0159592399999998E-2</v>
      </c>
      <c r="AI9">
        <v>7.0923514600000001E-2</v>
      </c>
      <c r="AJ9">
        <v>7.1690269700000003E-2</v>
      </c>
      <c r="AK9">
        <v>7.2439576300000003E-2</v>
      </c>
      <c r="AL9">
        <v>7.3179497999999996E-2</v>
      </c>
      <c r="AM9">
        <v>7.3896798599999994E-2</v>
      </c>
      <c r="AN9">
        <v>7.4465265200000005E-2</v>
      </c>
      <c r="AO9">
        <v>7.5022559399999994E-2</v>
      </c>
      <c r="AP9">
        <v>7.5559549399999995E-2</v>
      </c>
      <c r="AQ9">
        <v>7.60892346E-2</v>
      </c>
      <c r="AR9">
        <v>7.6601132099999997E-2</v>
      </c>
      <c r="AS9">
        <v>7.6824450200000005E-2</v>
      </c>
      <c r="AT9">
        <v>7.7013794900000002E-2</v>
      </c>
      <c r="AU9">
        <v>7.7193844499999997E-2</v>
      </c>
      <c r="AV9">
        <v>7.7361919400000007E-2</v>
      </c>
      <c r="AW9">
        <v>7.7547750499999998E-2</v>
      </c>
    </row>
    <row r="10" spans="1:49" x14ac:dyDescent="0.25">
      <c r="B10" t="s">
        <v>339</v>
      </c>
      <c r="C10">
        <v>0.29584764130791702</v>
      </c>
      <c r="D10">
        <v>0.300597570883747</v>
      </c>
      <c r="E10">
        <v>0.30706909919999997</v>
      </c>
      <c r="F10">
        <v>0.65459424209999995</v>
      </c>
      <c r="G10">
        <v>0.98923510739999998</v>
      </c>
      <c r="H10">
        <v>1.1908699810000001</v>
      </c>
      <c r="I10">
        <v>1.486394064</v>
      </c>
      <c r="J10">
        <v>1.7603600800000001</v>
      </c>
      <c r="K10">
        <v>1.9630884500000001</v>
      </c>
      <c r="L10">
        <v>2.0856864480000001</v>
      </c>
      <c r="M10">
        <v>2.1454220820000001</v>
      </c>
      <c r="N10">
        <v>2.1007258470000001</v>
      </c>
      <c r="O10">
        <v>2.2365471870000002</v>
      </c>
      <c r="P10">
        <v>2.4666353079999999</v>
      </c>
      <c r="Q10">
        <v>2.7520970870000001</v>
      </c>
      <c r="R10">
        <v>2.9647090309999999</v>
      </c>
      <c r="S10">
        <v>3.1832964010000002</v>
      </c>
      <c r="T10">
        <v>3.3771834420000002</v>
      </c>
      <c r="U10">
        <v>3.5721258800000002</v>
      </c>
      <c r="V10">
        <v>3.791495426</v>
      </c>
      <c r="W10">
        <v>4.2056569670000004</v>
      </c>
      <c r="X10">
        <v>4.6162509869999999</v>
      </c>
      <c r="Y10">
        <v>4.9610473129999999</v>
      </c>
      <c r="Z10">
        <v>5.3171930060000001</v>
      </c>
      <c r="AA10">
        <v>5.6819045639999999</v>
      </c>
      <c r="AB10">
        <v>5.9583796409999996</v>
      </c>
      <c r="AC10">
        <v>6.2438474920000004</v>
      </c>
      <c r="AD10">
        <v>6.6182569779999998</v>
      </c>
      <c r="AE10">
        <v>6.994639491</v>
      </c>
      <c r="AF10">
        <v>7.372680634</v>
      </c>
      <c r="AG10">
        <v>7.7679979220000002</v>
      </c>
      <c r="AH10">
        <v>8.1641494859999995</v>
      </c>
      <c r="AI10">
        <v>8.5794823030000007</v>
      </c>
      <c r="AJ10">
        <v>8.9964414159999997</v>
      </c>
      <c r="AK10">
        <v>9.4123963310000001</v>
      </c>
      <c r="AL10">
        <v>9.8422945219999995</v>
      </c>
      <c r="AM10">
        <v>10.27017159</v>
      </c>
      <c r="AN10">
        <v>10.69432494</v>
      </c>
      <c r="AO10">
        <v>11.11774728</v>
      </c>
      <c r="AP10">
        <v>11.53887533</v>
      </c>
      <c r="AQ10">
        <v>11.959465440000001</v>
      </c>
      <c r="AR10">
        <v>12.37771586</v>
      </c>
      <c r="AS10">
        <v>12.76536471</v>
      </c>
      <c r="AT10">
        <v>13.1476652</v>
      </c>
      <c r="AU10">
        <v>13.528477000000001</v>
      </c>
      <c r="AV10">
        <v>13.90719161</v>
      </c>
      <c r="AW10">
        <v>14.28912543</v>
      </c>
    </row>
    <row r="11" spans="1:49" x14ac:dyDescent="0.25">
      <c r="B11" t="s">
        <v>340</v>
      </c>
      <c r="C11">
        <v>6.65657192942814E-2</v>
      </c>
      <c r="D11">
        <v>6.7634453448843099E-2</v>
      </c>
      <c r="E11">
        <v>6.9090547299999999E-2</v>
      </c>
      <c r="F11">
        <v>9.4385256299999998E-2</v>
      </c>
      <c r="G11">
        <v>0.12833740499999999</v>
      </c>
      <c r="H11">
        <v>0.1587412762</v>
      </c>
      <c r="I11">
        <v>0.21910884459999999</v>
      </c>
      <c r="J11">
        <v>0.30137735459999998</v>
      </c>
      <c r="K11">
        <v>0.4052429286</v>
      </c>
      <c r="L11">
        <v>0.53630145740000001</v>
      </c>
      <c r="M11">
        <v>0.7094576051</v>
      </c>
      <c r="N11">
        <v>0.92580065369999998</v>
      </c>
      <c r="O11">
        <v>0.98565781480000003</v>
      </c>
      <c r="P11">
        <v>1.0870588299999999</v>
      </c>
      <c r="Q11">
        <v>1.2128632989999999</v>
      </c>
      <c r="R11">
        <v>1.3065624739999999</v>
      </c>
      <c r="S11">
        <v>1.402895048</v>
      </c>
      <c r="T11">
        <v>1.4678864309999999</v>
      </c>
      <c r="U11">
        <v>1.532814873</v>
      </c>
      <c r="V11">
        <v>1.607637019</v>
      </c>
      <c r="W11">
        <v>1.746171041</v>
      </c>
      <c r="X11">
        <v>1.884539092</v>
      </c>
      <c r="Y11">
        <v>2.0381530450000001</v>
      </c>
      <c r="Z11">
        <v>2.19663195</v>
      </c>
      <c r="AA11">
        <v>2.3588602239999998</v>
      </c>
      <c r="AB11">
        <v>2.5297539840000001</v>
      </c>
      <c r="AC11">
        <v>2.70556704</v>
      </c>
      <c r="AD11">
        <v>3.0571042140000002</v>
      </c>
      <c r="AE11">
        <v>3.4094484939999998</v>
      </c>
      <c r="AF11">
        <v>3.7625987489999999</v>
      </c>
      <c r="AG11">
        <v>4.13280387</v>
      </c>
      <c r="AH11">
        <v>4.5035954780000003</v>
      </c>
      <c r="AI11">
        <v>4.8923494910000001</v>
      </c>
      <c r="AJ11">
        <v>5.2826347350000002</v>
      </c>
      <c r="AK11">
        <v>5.6728678959999996</v>
      </c>
      <c r="AL11">
        <v>6.077954794</v>
      </c>
      <c r="AM11">
        <v>6.4822251519999998</v>
      </c>
      <c r="AN11">
        <v>6.8909101919999998</v>
      </c>
      <c r="AO11">
        <v>7.2994694669999998</v>
      </c>
      <c r="AP11">
        <v>7.7067961550000001</v>
      </c>
      <c r="AQ11">
        <v>8.1139782389999997</v>
      </c>
      <c r="AR11">
        <v>8.5197376760000001</v>
      </c>
      <c r="AS11">
        <v>8.7354019380000008</v>
      </c>
      <c r="AT11">
        <v>8.9473642929999997</v>
      </c>
      <c r="AU11">
        <v>9.1583000289999994</v>
      </c>
      <c r="AV11">
        <v>9.3678158580000002</v>
      </c>
      <c r="AW11">
        <v>9.579496571</v>
      </c>
    </row>
    <row r="12" spans="1:49" x14ac:dyDescent="0.25">
      <c r="B12" t="s">
        <v>341</v>
      </c>
      <c r="C12">
        <v>3.32767453113023</v>
      </c>
      <c r="D12">
        <v>3.3811014220943498</v>
      </c>
      <c r="E12">
        <v>3.4538927410000002</v>
      </c>
      <c r="F12">
        <v>3.4216903080000001</v>
      </c>
      <c r="G12">
        <v>3.3739304099999998</v>
      </c>
      <c r="H12">
        <v>3.0263493600000002</v>
      </c>
      <c r="I12">
        <v>3.029252182</v>
      </c>
      <c r="J12">
        <v>3.0215686349999999</v>
      </c>
      <c r="K12">
        <v>2.9463451379999999</v>
      </c>
      <c r="L12">
        <v>2.8276358419999998</v>
      </c>
      <c r="M12">
        <v>2.7126094850000002</v>
      </c>
      <c r="N12">
        <v>2.5669927220000002</v>
      </c>
      <c r="O12">
        <v>2.7329603050000002</v>
      </c>
      <c r="P12">
        <v>3.014117664</v>
      </c>
      <c r="Q12">
        <v>3.3629391480000002</v>
      </c>
      <c r="R12">
        <v>3.6227414040000001</v>
      </c>
      <c r="S12">
        <v>3.8898453609999999</v>
      </c>
      <c r="T12">
        <v>4.1073356270000003</v>
      </c>
      <c r="U12">
        <v>4.3256139310000004</v>
      </c>
      <c r="V12">
        <v>4.5729132699999999</v>
      </c>
      <c r="W12">
        <v>4.4887160489999998</v>
      </c>
      <c r="X12">
        <v>4.4214186379999996</v>
      </c>
      <c r="Y12">
        <v>4.4422334890000004</v>
      </c>
      <c r="Z12">
        <v>4.4683416109999996</v>
      </c>
      <c r="AA12">
        <v>4.4965773010000003</v>
      </c>
      <c r="AB12">
        <v>4.538812536</v>
      </c>
      <c r="AC12">
        <v>4.5844330409999996</v>
      </c>
      <c r="AD12">
        <v>4.6291146899999998</v>
      </c>
      <c r="AE12">
        <v>4.6753031810000003</v>
      </c>
      <c r="AF12">
        <v>4.7226033679999997</v>
      </c>
      <c r="AG12">
        <v>4.770950848</v>
      </c>
      <c r="AH12">
        <v>4.819637266</v>
      </c>
      <c r="AI12">
        <v>4.870670015</v>
      </c>
      <c r="AJ12">
        <v>4.9218916369999999</v>
      </c>
      <c r="AK12">
        <v>4.9719100809999999</v>
      </c>
      <c r="AL12">
        <v>5.0214492990000004</v>
      </c>
      <c r="AM12">
        <v>5.0694324909999997</v>
      </c>
      <c r="AN12">
        <v>5.1073501820000002</v>
      </c>
      <c r="AO12">
        <v>5.1444988589999996</v>
      </c>
      <c r="AP12">
        <v>5.1802529870000003</v>
      </c>
      <c r="AQ12">
        <v>5.2155044960000003</v>
      </c>
      <c r="AR12">
        <v>5.2495353360000001</v>
      </c>
      <c r="AS12">
        <v>5.2644113429999999</v>
      </c>
      <c r="AT12">
        <v>5.2769589540000004</v>
      </c>
      <c r="AU12">
        <v>5.2888695429999997</v>
      </c>
      <c r="AV12">
        <v>5.2999597060000001</v>
      </c>
      <c r="AW12">
        <v>5.3122662800000002</v>
      </c>
    </row>
    <row r="13" spans="1:49" x14ac:dyDescent="0.25">
      <c r="B13" t="s">
        <v>342</v>
      </c>
      <c r="C13">
        <v>0.21556468620722</v>
      </c>
      <c r="D13">
        <v>0.21902564697065</v>
      </c>
      <c r="E13">
        <v>0.22374102330000001</v>
      </c>
      <c r="F13">
        <v>0.25753046829999998</v>
      </c>
      <c r="G13">
        <v>0.29503611660000001</v>
      </c>
      <c r="H13">
        <v>0.30747461619999999</v>
      </c>
      <c r="I13">
        <v>0.35758293159999999</v>
      </c>
      <c r="J13">
        <v>0.41440497380000002</v>
      </c>
      <c r="K13">
        <v>0.46949098690000002</v>
      </c>
      <c r="L13">
        <v>0.52350190019999998</v>
      </c>
      <c r="M13">
        <v>0.58348971449999998</v>
      </c>
      <c r="N13">
        <v>0.64153700260000002</v>
      </c>
      <c r="O13">
        <v>0.5885101277</v>
      </c>
      <c r="P13">
        <v>0.5602377409</v>
      </c>
      <c r="Q13">
        <v>0.53962237300000004</v>
      </c>
      <c r="R13">
        <v>0.50111565270000002</v>
      </c>
      <c r="S13">
        <v>0.4623758288</v>
      </c>
      <c r="T13">
        <v>0.49095502479999997</v>
      </c>
      <c r="U13">
        <v>0.51969828200000001</v>
      </c>
      <c r="V13">
        <v>0.55200735639999998</v>
      </c>
      <c r="W13">
        <v>0.74585268660000004</v>
      </c>
      <c r="X13">
        <v>0.93432772549999998</v>
      </c>
      <c r="Y13">
        <v>0.97880048529999997</v>
      </c>
      <c r="Z13">
        <v>1.025114101</v>
      </c>
      <c r="AA13">
        <v>1.072664313</v>
      </c>
      <c r="AB13">
        <v>1.122937896</v>
      </c>
      <c r="AC13">
        <v>1.174868588</v>
      </c>
      <c r="AD13">
        <v>1.196218633</v>
      </c>
      <c r="AE13">
        <v>1.2179523400000001</v>
      </c>
      <c r="AF13">
        <v>1.239975507</v>
      </c>
      <c r="AG13">
        <v>1.26286451</v>
      </c>
      <c r="AH13">
        <v>1.2858522320000001</v>
      </c>
      <c r="AI13">
        <v>1.3725067470000001</v>
      </c>
      <c r="AJ13">
        <v>1.4595017699999999</v>
      </c>
      <c r="AK13">
        <v>1.546405402</v>
      </c>
      <c r="AL13">
        <v>1.636746096</v>
      </c>
      <c r="AM13">
        <v>1.7268089529999999</v>
      </c>
      <c r="AN13">
        <v>1.753979129</v>
      </c>
      <c r="AO13">
        <v>1.7809212919999999</v>
      </c>
      <c r="AP13">
        <v>1.8074102160000001</v>
      </c>
      <c r="AQ13">
        <v>1.833747644</v>
      </c>
      <c r="AR13">
        <v>1.8596747419999999</v>
      </c>
      <c r="AS13">
        <v>1.886664369</v>
      </c>
      <c r="AT13">
        <v>1.9128378779999999</v>
      </c>
      <c r="AU13">
        <v>1.9387865399999999</v>
      </c>
      <c r="AV13">
        <v>1.964434536</v>
      </c>
      <c r="AW13">
        <v>1.990535081</v>
      </c>
    </row>
    <row r="14" spans="1:49" x14ac:dyDescent="0.25">
      <c r="B14" t="s">
        <v>343</v>
      </c>
      <c r="C14">
        <v>35.839918454870201</v>
      </c>
      <c r="D14">
        <v>36.415339938413297</v>
      </c>
      <c r="E14">
        <v>37.199321339999997</v>
      </c>
      <c r="F14">
        <v>38.321465840000002</v>
      </c>
      <c r="G14">
        <v>39.292781869999999</v>
      </c>
      <c r="H14">
        <v>36.649745340000003</v>
      </c>
      <c r="I14">
        <v>38.147191769999999</v>
      </c>
      <c r="J14">
        <v>39.567157369999997</v>
      </c>
      <c r="K14">
        <v>40.12003</v>
      </c>
      <c r="L14">
        <v>40.038366549999999</v>
      </c>
      <c r="M14">
        <v>39.940674299999998</v>
      </c>
      <c r="N14">
        <v>39.30320777</v>
      </c>
      <c r="O14">
        <v>37.832601910000001</v>
      </c>
      <c r="P14">
        <v>37.954445040000003</v>
      </c>
      <c r="Q14">
        <v>38.719485110000001</v>
      </c>
      <c r="R14">
        <v>38.306469800000002</v>
      </c>
      <c r="S14">
        <v>37.917891910000002</v>
      </c>
      <c r="T14">
        <v>38.316508589999998</v>
      </c>
      <c r="U14">
        <v>38.678367710000003</v>
      </c>
      <c r="V14">
        <v>39.249784140000003</v>
      </c>
      <c r="W14">
        <v>40.113035310000001</v>
      </c>
      <c r="X14">
        <v>41.063733040000002</v>
      </c>
      <c r="Y14">
        <v>41.738957679999999</v>
      </c>
      <c r="Z14">
        <v>42.472029149999997</v>
      </c>
      <c r="AA14">
        <v>43.23432433</v>
      </c>
      <c r="AB14">
        <v>44.021081629999998</v>
      </c>
      <c r="AC14">
        <v>44.848433139999997</v>
      </c>
      <c r="AD14">
        <v>45.363206630000001</v>
      </c>
      <c r="AE14">
        <v>45.892701580000001</v>
      </c>
      <c r="AF14">
        <v>46.433107769999999</v>
      </c>
      <c r="AG14">
        <v>46.984020819999998</v>
      </c>
      <c r="AH14">
        <v>47.538338410000001</v>
      </c>
      <c r="AI14">
        <v>48.117552240000002</v>
      </c>
      <c r="AJ14">
        <v>48.698930310000001</v>
      </c>
      <c r="AK14">
        <v>49.268679329999998</v>
      </c>
      <c r="AL14">
        <v>49.834910360000002</v>
      </c>
      <c r="AM14">
        <v>50.385929320000002</v>
      </c>
      <c r="AN14">
        <v>50.837896409999999</v>
      </c>
      <c r="AO14">
        <v>51.28239894</v>
      </c>
      <c r="AP14">
        <v>51.7131556</v>
      </c>
      <c r="AQ14">
        <v>52.139020500000001</v>
      </c>
      <c r="AR14">
        <v>52.552781789999997</v>
      </c>
      <c r="AS14">
        <v>52.916596230000003</v>
      </c>
      <c r="AT14">
        <v>53.257187610000003</v>
      </c>
      <c r="AU14">
        <v>53.591409919999997</v>
      </c>
      <c r="AV14">
        <v>53.917319800000001</v>
      </c>
      <c r="AW14">
        <v>54.255621089999998</v>
      </c>
    </row>
    <row r="15" spans="1:49" x14ac:dyDescent="0.25">
      <c r="B15" t="s">
        <v>344</v>
      </c>
      <c r="C15">
        <v>36.006525643363197</v>
      </c>
      <c r="D15">
        <v>36.584622059208101</v>
      </c>
      <c r="E15">
        <v>37.372055510000003</v>
      </c>
      <c r="F15">
        <v>38.551811069999999</v>
      </c>
      <c r="G15">
        <v>38.418501089999999</v>
      </c>
      <c r="H15">
        <v>37.678854919999999</v>
      </c>
      <c r="I15">
        <v>39.42760509</v>
      </c>
      <c r="J15">
        <v>40.258883689999998</v>
      </c>
      <c r="K15">
        <v>39.623900849999998</v>
      </c>
      <c r="L15">
        <v>39.777425399999998</v>
      </c>
      <c r="M15">
        <v>40.933576950000003</v>
      </c>
      <c r="N15">
        <v>42.899116980000002</v>
      </c>
      <c r="O15">
        <v>44.182451399999998</v>
      </c>
      <c r="P15">
        <v>44.47364975</v>
      </c>
      <c r="Q15">
        <v>42.681695429999998</v>
      </c>
      <c r="R15">
        <v>41.544350659999999</v>
      </c>
      <c r="S15">
        <v>40.881880109999997</v>
      </c>
      <c r="T15">
        <v>40.70333222</v>
      </c>
      <c r="U15">
        <v>40.54685516</v>
      </c>
      <c r="V15">
        <v>40.564079769999999</v>
      </c>
      <c r="W15">
        <v>40.476542019999997</v>
      </c>
      <c r="X15">
        <v>40.413991250000002</v>
      </c>
      <c r="Y15">
        <v>40.647544490000001</v>
      </c>
      <c r="Z15">
        <v>41.061261199999997</v>
      </c>
      <c r="AA15">
        <v>41.579753599999997</v>
      </c>
      <c r="AB15">
        <v>42.194894439999999</v>
      </c>
      <c r="AC15">
        <v>42.900124079999998</v>
      </c>
      <c r="AD15">
        <v>43.259250639999998</v>
      </c>
      <c r="AE15">
        <v>43.623367700000003</v>
      </c>
      <c r="AF15">
        <v>43.985306710000003</v>
      </c>
      <c r="AG15">
        <v>44.376224540000003</v>
      </c>
      <c r="AH15">
        <v>44.788376220000004</v>
      </c>
      <c r="AI15">
        <v>45.138792969999997</v>
      </c>
      <c r="AJ15">
        <v>45.495562249999999</v>
      </c>
      <c r="AK15">
        <v>45.866296570000003</v>
      </c>
      <c r="AL15">
        <v>46.243883709999999</v>
      </c>
      <c r="AM15">
        <v>46.623123499999998</v>
      </c>
      <c r="AN15">
        <v>46.786385209999999</v>
      </c>
      <c r="AO15">
        <v>46.955317620000002</v>
      </c>
      <c r="AP15">
        <v>47.105416499999997</v>
      </c>
      <c r="AQ15">
        <v>47.242450429999998</v>
      </c>
      <c r="AR15">
        <v>47.35837488</v>
      </c>
      <c r="AS15">
        <v>47.448528060000001</v>
      </c>
      <c r="AT15">
        <v>47.529852200000001</v>
      </c>
      <c r="AU15">
        <v>47.59625097</v>
      </c>
      <c r="AV15">
        <v>47.648086790000001</v>
      </c>
      <c r="AW15">
        <v>47.702807149999998</v>
      </c>
    </row>
    <row r="16" spans="1:49" x14ac:dyDescent="0.25">
      <c r="B16" t="s">
        <v>345</v>
      </c>
      <c r="C16">
        <v>33.108335480742298</v>
      </c>
      <c r="D16">
        <v>33.639900516080203</v>
      </c>
      <c r="E16">
        <v>34.363952900000001</v>
      </c>
      <c r="F16">
        <v>34.38627271</v>
      </c>
      <c r="G16">
        <v>33.240299120000003</v>
      </c>
      <c r="H16">
        <v>31.623241929999999</v>
      </c>
      <c r="I16">
        <v>32.09913143</v>
      </c>
      <c r="J16">
        <v>31.793533650000001</v>
      </c>
      <c r="K16">
        <v>30.354178780000002</v>
      </c>
      <c r="L16">
        <v>29.55848138</v>
      </c>
      <c r="M16">
        <v>29.505931709999999</v>
      </c>
      <c r="N16">
        <v>29.995919350000001</v>
      </c>
      <c r="O16">
        <v>30.762022510000001</v>
      </c>
      <c r="P16">
        <v>30.83291286</v>
      </c>
      <c r="Q16">
        <v>29.464262380000001</v>
      </c>
      <c r="R16">
        <v>28.55639622</v>
      </c>
      <c r="S16">
        <v>27.980479240000001</v>
      </c>
      <c r="T16">
        <v>26.731809500000001</v>
      </c>
      <c r="U16">
        <v>25.48005822</v>
      </c>
      <c r="V16">
        <v>24.313573479999999</v>
      </c>
      <c r="W16">
        <v>25.545720920000001</v>
      </c>
      <c r="X16">
        <v>26.7230557</v>
      </c>
      <c r="Y16">
        <v>26.601234680000001</v>
      </c>
      <c r="Z16">
        <v>26.592487559999999</v>
      </c>
      <c r="AA16">
        <v>26.644811799999999</v>
      </c>
      <c r="AB16">
        <v>26.743580420000001</v>
      </c>
      <c r="AC16">
        <v>26.88986817</v>
      </c>
      <c r="AD16">
        <v>26.852008779999998</v>
      </c>
      <c r="AE16">
        <v>26.814612820000001</v>
      </c>
      <c r="AF16">
        <v>26.77325295</v>
      </c>
      <c r="AG16">
        <v>26.740521820000001</v>
      </c>
      <c r="AH16">
        <v>26.717546209999998</v>
      </c>
      <c r="AI16">
        <v>26.802660370000002</v>
      </c>
      <c r="AJ16">
        <v>26.89016406</v>
      </c>
      <c r="AK16">
        <v>26.98449325</v>
      </c>
      <c r="AL16">
        <v>27.078553280000001</v>
      </c>
      <c r="AM16">
        <v>27.172043250000002</v>
      </c>
      <c r="AN16">
        <v>27.103549699999999</v>
      </c>
      <c r="AO16">
        <v>27.037363809999999</v>
      </c>
      <c r="AP16">
        <v>26.95940354</v>
      </c>
      <c r="AQ16">
        <v>26.873148879999999</v>
      </c>
      <c r="AR16">
        <v>26.77418978</v>
      </c>
      <c r="AS16">
        <v>26.655600679999999</v>
      </c>
      <c r="AT16">
        <v>26.53080465</v>
      </c>
      <c r="AU16">
        <v>26.39650889</v>
      </c>
      <c r="AV16">
        <v>26.253068030000001</v>
      </c>
      <c r="AW16">
        <v>26.11018413</v>
      </c>
    </row>
    <row r="17" spans="2:49" x14ac:dyDescent="0.25">
      <c r="B17" t="s">
        <v>346</v>
      </c>
      <c r="C17">
        <v>1.54983431156195</v>
      </c>
      <c r="D17">
        <v>1.57471740274219</v>
      </c>
      <c r="E17">
        <v>1.608611019</v>
      </c>
      <c r="F17">
        <v>2.643983564</v>
      </c>
      <c r="G17">
        <v>3.550571616</v>
      </c>
      <c r="H17">
        <v>4.3084027550000004</v>
      </c>
      <c r="I17">
        <v>5.2869968900000002</v>
      </c>
      <c r="J17">
        <v>6.0915788659999999</v>
      </c>
      <c r="K17">
        <v>6.5591458200000003</v>
      </c>
      <c r="L17">
        <v>7.0077340970000002</v>
      </c>
      <c r="M17">
        <v>7.4686654409999997</v>
      </c>
      <c r="N17">
        <v>7.8677095860000001</v>
      </c>
      <c r="O17">
        <v>8.1969129600000006</v>
      </c>
      <c r="P17">
        <v>8.3452248230000006</v>
      </c>
      <c r="Q17">
        <v>8.0993002020000002</v>
      </c>
      <c r="R17">
        <v>7.9712371209999997</v>
      </c>
      <c r="S17">
        <v>7.9303321369999997</v>
      </c>
      <c r="T17">
        <v>8.1057153589999995</v>
      </c>
      <c r="U17">
        <v>8.2887707529999997</v>
      </c>
      <c r="V17">
        <v>8.5117889499999997</v>
      </c>
      <c r="W17">
        <v>8.5763465669999999</v>
      </c>
      <c r="X17">
        <v>8.6416421999999997</v>
      </c>
      <c r="Y17">
        <v>8.7987817410000009</v>
      </c>
      <c r="Z17">
        <v>8.9967953129999998</v>
      </c>
      <c r="AA17">
        <v>9.2203986279999999</v>
      </c>
      <c r="AB17">
        <v>9.4693018710000008</v>
      </c>
      <c r="AC17">
        <v>9.7420707310000001</v>
      </c>
      <c r="AD17">
        <v>9.9471632149999998</v>
      </c>
      <c r="AE17">
        <v>10.15464083</v>
      </c>
      <c r="AF17">
        <v>10.362844709999999</v>
      </c>
      <c r="AG17">
        <v>10.579323580000001</v>
      </c>
      <c r="AH17">
        <v>10.80226139</v>
      </c>
      <c r="AI17">
        <v>10.909922480000001</v>
      </c>
      <c r="AJ17">
        <v>11.01937719</v>
      </c>
      <c r="AK17">
        <v>11.13248117</v>
      </c>
      <c r="AL17">
        <v>11.24679136</v>
      </c>
      <c r="AM17">
        <v>11.3617756</v>
      </c>
      <c r="AN17">
        <v>11.45131555</v>
      </c>
      <c r="AO17">
        <v>11.54254062</v>
      </c>
      <c r="AP17">
        <v>11.629418749999999</v>
      </c>
      <c r="AQ17">
        <v>11.713319800000001</v>
      </c>
      <c r="AR17">
        <v>11.792198770000001</v>
      </c>
      <c r="AS17">
        <v>11.81677086</v>
      </c>
      <c r="AT17">
        <v>11.839159739999999</v>
      </c>
      <c r="AU17">
        <v>11.85784552</v>
      </c>
      <c r="AV17">
        <v>11.87291656</v>
      </c>
      <c r="AW17">
        <v>11.8887193</v>
      </c>
    </row>
    <row r="18" spans="2:49" x14ac:dyDescent="0.25">
      <c r="B18" t="s">
        <v>347</v>
      </c>
      <c r="C18">
        <v>0.19372928894524399</v>
      </c>
      <c r="D18">
        <v>0.196839675342774</v>
      </c>
      <c r="E18">
        <v>0.20107637740000001</v>
      </c>
      <c r="F18">
        <v>0.19509552999999999</v>
      </c>
      <c r="G18">
        <v>0.18286534839999999</v>
      </c>
      <c r="H18">
        <v>0.16868527129999999</v>
      </c>
      <c r="I18">
        <v>0.16602302890000001</v>
      </c>
      <c r="J18">
        <v>0.1594476527</v>
      </c>
      <c r="K18">
        <v>0.14760534929999999</v>
      </c>
      <c r="L18">
        <v>0.13937022639999999</v>
      </c>
      <c r="M18">
        <v>0.13489675400000001</v>
      </c>
      <c r="N18">
        <v>0.13297151669999999</v>
      </c>
      <c r="O18">
        <v>0.2056705707</v>
      </c>
      <c r="P18">
        <v>0.27607540120000001</v>
      </c>
      <c r="Q18">
        <v>0.33109929020000001</v>
      </c>
      <c r="R18">
        <v>0.3865454821</v>
      </c>
      <c r="S18">
        <v>0.44351197040000001</v>
      </c>
      <c r="T18">
        <v>0.68773158570000004</v>
      </c>
      <c r="U18">
        <v>0.93616494630000002</v>
      </c>
      <c r="V18">
        <v>1.193829137</v>
      </c>
      <c r="W18">
        <v>0.86725067980000003</v>
      </c>
      <c r="X18">
        <v>0.55900971420000001</v>
      </c>
      <c r="Y18">
        <v>0.56181290530000005</v>
      </c>
      <c r="Z18">
        <v>0.56709876449999996</v>
      </c>
      <c r="AA18">
        <v>0.5738211902</v>
      </c>
      <c r="AB18">
        <v>0.58171543560000005</v>
      </c>
      <c r="AC18">
        <v>0.59083238540000005</v>
      </c>
      <c r="AD18">
        <v>0.61794601370000002</v>
      </c>
      <c r="AE18">
        <v>0.6453530019</v>
      </c>
      <c r="AF18">
        <v>0.67294906480000005</v>
      </c>
      <c r="AG18">
        <v>0.70137901449999995</v>
      </c>
      <c r="AH18">
        <v>0.73039667580000001</v>
      </c>
      <c r="AI18">
        <v>0.76454176929999995</v>
      </c>
      <c r="AJ18">
        <v>0.79911164180000005</v>
      </c>
      <c r="AK18">
        <v>0.8342545549</v>
      </c>
      <c r="AL18">
        <v>0.87037632860000003</v>
      </c>
      <c r="AM18">
        <v>0.90688043019999998</v>
      </c>
      <c r="AN18">
        <v>0.93673363809999999</v>
      </c>
      <c r="AO18">
        <v>0.96685972180000002</v>
      </c>
      <c r="AP18">
        <v>0.99674958800000002</v>
      </c>
      <c r="AQ18">
        <v>1.0264961960000001</v>
      </c>
      <c r="AR18">
        <v>1.055897702</v>
      </c>
      <c r="AS18">
        <v>1.0799059040000001</v>
      </c>
      <c r="AT18">
        <v>1.1038749409999999</v>
      </c>
      <c r="AU18">
        <v>1.127648937</v>
      </c>
      <c r="AV18">
        <v>1.151216547</v>
      </c>
      <c r="AW18">
        <v>1.1749877870000001</v>
      </c>
    </row>
    <row r="19" spans="2:49" x14ac:dyDescent="0.25">
      <c r="B19" t="s">
        <v>348</v>
      </c>
      <c r="C19">
        <v>0.57343869527792402</v>
      </c>
      <c r="D19">
        <v>0.58264543901461296</v>
      </c>
      <c r="E19">
        <v>0.59518607720000005</v>
      </c>
      <c r="F19">
        <v>0.5892515492</v>
      </c>
      <c r="G19">
        <v>0.56356827139999999</v>
      </c>
      <c r="H19">
        <v>0.53046163989999995</v>
      </c>
      <c r="I19">
        <v>0.53272963350000002</v>
      </c>
      <c r="J19">
        <v>0.52205751960000002</v>
      </c>
      <c r="K19">
        <v>0.49313295359999998</v>
      </c>
      <c r="L19">
        <v>0.47510941499999998</v>
      </c>
      <c r="M19">
        <v>0.4692311481</v>
      </c>
      <c r="N19">
        <v>0.4719605073</v>
      </c>
      <c r="O19">
        <v>0.71249003970000002</v>
      </c>
      <c r="P19">
        <v>0.94467766819999999</v>
      </c>
      <c r="Q19">
        <v>1.124546168</v>
      </c>
      <c r="R19">
        <v>1.306322813</v>
      </c>
      <c r="S19">
        <v>1.4934831820000001</v>
      </c>
      <c r="T19">
        <v>1.549256483</v>
      </c>
      <c r="U19">
        <v>1.606841865</v>
      </c>
      <c r="V19">
        <v>1.6726320459999999</v>
      </c>
      <c r="W19">
        <v>1.3069210739999999</v>
      </c>
      <c r="X19">
        <v>0.96191235369999994</v>
      </c>
      <c r="Y19">
        <v>0.96827365379999997</v>
      </c>
      <c r="Z19">
        <v>0.97894069910000003</v>
      </c>
      <c r="AA19">
        <v>0.99212540549999995</v>
      </c>
      <c r="AB19">
        <v>1.00699575</v>
      </c>
      <c r="AC19">
        <v>1.024022341</v>
      </c>
      <c r="AD19">
        <v>1.025762236</v>
      </c>
      <c r="AE19">
        <v>1.027552019</v>
      </c>
      <c r="AF19">
        <v>1.029222291</v>
      </c>
      <c r="AG19">
        <v>1.0313340520000001</v>
      </c>
      <c r="AH19">
        <v>1.033860295</v>
      </c>
      <c r="AI19">
        <v>1.0382227180000001</v>
      </c>
      <c r="AJ19">
        <v>1.042689682</v>
      </c>
      <c r="AK19">
        <v>1.0474337460000001</v>
      </c>
      <c r="AL19">
        <v>1.052243582</v>
      </c>
      <c r="AM19">
        <v>1.057045244</v>
      </c>
      <c r="AN19">
        <v>1.0591776020000001</v>
      </c>
      <c r="AO19">
        <v>1.0614289649999999</v>
      </c>
      <c r="AP19">
        <v>1.0632456779999999</v>
      </c>
      <c r="AQ19">
        <v>1.06475966</v>
      </c>
      <c r="AR19">
        <v>1.0657911920000001</v>
      </c>
      <c r="AS19">
        <v>1.069446734</v>
      </c>
      <c r="AT19">
        <v>1.0729152390000001</v>
      </c>
      <c r="AU19">
        <v>1.0760580369999999</v>
      </c>
      <c r="AV19">
        <v>1.0788818469999999</v>
      </c>
      <c r="AW19">
        <v>1.081780875</v>
      </c>
    </row>
    <row r="20" spans="2:49" x14ac:dyDescent="0.25">
      <c r="B20" t="s">
        <v>349</v>
      </c>
      <c r="C20">
        <v>0.19372928894524399</v>
      </c>
      <c r="D20">
        <v>0.196839675342774</v>
      </c>
      <c r="E20">
        <v>0.20107637740000001</v>
      </c>
      <c r="F20">
        <v>0.20694482149999999</v>
      </c>
      <c r="G20">
        <v>0.205752872</v>
      </c>
      <c r="H20">
        <v>0.20132555090000001</v>
      </c>
      <c r="I20">
        <v>0.21018286580000001</v>
      </c>
      <c r="J20">
        <v>0.21411857810000001</v>
      </c>
      <c r="K20">
        <v>0.21025462680000001</v>
      </c>
      <c r="L20">
        <v>0.2105817421</v>
      </c>
      <c r="M20">
        <v>0.2162018731</v>
      </c>
      <c r="N20">
        <v>0.22606005000000001</v>
      </c>
      <c r="O20">
        <v>0.27022987230000001</v>
      </c>
      <c r="P20">
        <v>0.30959670309999998</v>
      </c>
      <c r="Q20">
        <v>0.33312861830000001</v>
      </c>
      <c r="R20">
        <v>0.35923544200000002</v>
      </c>
      <c r="S20">
        <v>0.38787097459999997</v>
      </c>
      <c r="T20">
        <v>0.45954496360000002</v>
      </c>
      <c r="U20">
        <v>0.53261291040000003</v>
      </c>
      <c r="V20">
        <v>0.60951849570000005</v>
      </c>
      <c r="W20">
        <v>0.48102266220000001</v>
      </c>
      <c r="X20">
        <v>0.3598116354</v>
      </c>
      <c r="Y20">
        <v>0.3659818809</v>
      </c>
      <c r="Z20">
        <v>0.37384582910000003</v>
      </c>
      <c r="AA20">
        <v>0.38276418420000002</v>
      </c>
      <c r="AB20">
        <v>0.39257274180000001</v>
      </c>
      <c r="AC20">
        <v>0.40335391199999998</v>
      </c>
      <c r="AD20">
        <v>0.40436780709999998</v>
      </c>
      <c r="AE20">
        <v>0.40540468229999999</v>
      </c>
      <c r="AF20">
        <v>0.40639773000000001</v>
      </c>
      <c r="AG20">
        <v>0.40759148719999999</v>
      </c>
      <c r="AH20">
        <v>0.40895312020000002</v>
      </c>
      <c r="AI20">
        <v>0.41095619639999997</v>
      </c>
      <c r="AJ20">
        <v>0.41300375909999998</v>
      </c>
      <c r="AK20">
        <v>0.41516430160000001</v>
      </c>
      <c r="AL20">
        <v>0.41739113579999998</v>
      </c>
      <c r="AM20">
        <v>0.41961858829999998</v>
      </c>
      <c r="AN20">
        <v>0.42090812290000001</v>
      </c>
      <c r="AO20">
        <v>0.42224759909999998</v>
      </c>
      <c r="AP20">
        <v>0.42341669199999998</v>
      </c>
      <c r="AQ20">
        <v>0.42446744980000001</v>
      </c>
      <c r="AR20">
        <v>0.4253277761</v>
      </c>
      <c r="AS20">
        <v>0.42697907619999997</v>
      </c>
      <c r="AT20">
        <v>0.4285571151</v>
      </c>
      <c r="AU20">
        <v>0.43000637819999998</v>
      </c>
      <c r="AV20">
        <v>0.43132937719999997</v>
      </c>
      <c r="AW20">
        <v>0.43268361239999997</v>
      </c>
    </row>
    <row r="21" spans="2:49" x14ac:dyDescent="0.25">
      <c r="B21" t="s">
        <v>350</v>
      </c>
      <c r="C21">
        <v>0.38745857789048899</v>
      </c>
      <c r="D21">
        <v>0.39367935068554899</v>
      </c>
      <c r="E21">
        <v>0.40215275490000002</v>
      </c>
      <c r="F21">
        <v>0.53026289609999999</v>
      </c>
      <c r="G21">
        <v>0.67544386739999995</v>
      </c>
      <c r="H21">
        <v>0.84673777230000002</v>
      </c>
      <c r="I21">
        <v>1.1325412459999999</v>
      </c>
      <c r="J21">
        <v>1.47814742</v>
      </c>
      <c r="K21">
        <v>1.8595833159999999</v>
      </c>
      <c r="L21">
        <v>2.3861485340000002</v>
      </c>
      <c r="M21">
        <v>3.1386500289999999</v>
      </c>
      <c r="N21">
        <v>4.2044959720000001</v>
      </c>
      <c r="O21">
        <v>4.0351254479999996</v>
      </c>
      <c r="P21">
        <v>3.7651623019999998</v>
      </c>
      <c r="Q21">
        <v>3.329358773</v>
      </c>
      <c r="R21">
        <v>2.9646135870000001</v>
      </c>
      <c r="S21">
        <v>2.6462026070000002</v>
      </c>
      <c r="T21">
        <v>3.169274326</v>
      </c>
      <c r="U21">
        <v>3.7024064640000001</v>
      </c>
      <c r="V21">
        <v>4.2627376620000001</v>
      </c>
      <c r="W21">
        <v>3.6992801179999999</v>
      </c>
      <c r="X21">
        <v>3.1685596409999999</v>
      </c>
      <c r="Y21">
        <v>3.3514596280000002</v>
      </c>
      <c r="Z21">
        <v>3.5520930310000001</v>
      </c>
      <c r="AA21">
        <v>3.7658323939999998</v>
      </c>
      <c r="AB21">
        <v>4.000728219</v>
      </c>
      <c r="AC21">
        <v>4.2499765390000004</v>
      </c>
      <c r="AD21">
        <v>4.4120025810000003</v>
      </c>
      <c r="AE21">
        <v>4.5758043449999999</v>
      </c>
      <c r="AF21">
        <v>4.7406399629999996</v>
      </c>
      <c r="AG21">
        <v>4.9160745910000001</v>
      </c>
      <c r="AH21">
        <v>5.0953585300000004</v>
      </c>
      <c r="AI21">
        <v>5.212489433</v>
      </c>
      <c r="AJ21">
        <v>5.3312159110000001</v>
      </c>
      <c r="AK21">
        <v>5.4524695530000002</v>
      </c>
      <c r="AL21">
        <v>5.5785280159999999</v>
      </c>
      <c r="AM21">
        <v>5.7057603930000003</v>
      </c>
      <c r="AN21">
        <v>5.8147005959999998</v>
      </c>
      <c r="AO21">
        <v>5.9248769069999998</v>
      </c>
      <c r="AP21">
        <v>6.0331822610000003</v>
      </c>
      <c r="AQ21">
        <v>6.1402584410000003</v>
      </c>
      <c r="AR21">
        <v>6.2449696660000003</v>
      </c>
      <c r="AS21">
        <v>6.3998248139999996</v>
      </c>
      <c r="AT21">
        <v>6.5545405179999996</v>
      </c>
      <c r="AU21">
        <v>6.7081832090000004</v>
      </c>
      <c r="AV21">
        <v>6.8606744309999996</v>
      </c>
      <c r="AW21">
        <v>7.014451448</v>
      </c>
    </row>
    <row r="22" spans="2:49" x14ac:dyDescent="0.25">
      <c r="B22" t="s">
        <v>351</v>
      </c>
      <c r="C22">
        <v>5.5705789795526002</v>
      </c>
      <c r="D22">
        <v>5.6600164269241402</v>
      </c>
      <c r="E22">
        <v>5.7508898210000003</v>
      </c>
      <c r="F22">
        <v>5.8023842989999999</v>
      </c>
      <c r="G22">
        <v>4.8416800809999998</v>
      </c>
      <c r="H22">
        <v>4.2395293430000001</v>
      </c>
      <c r="I22">
        <v>4.1106642520000003</v>
      </c>
      <c r="J22">
        <v>3.931993844</v>
      </c>
      <c r="K22">
        <v>3.8008705599999999</v>
      </c>
      <c r="L22">
        <v>4.0478281269999998</v>
      </c>
      <c r="M22">
        <v>4.1498832410000004</v>
      </c>
      <c r="N22">
        <v>4.2193120510000002</v>
      </c>
      <c r="O22">
        <v>3.311763827</v>
      </c>
      <c r="P22">
        <v>2.7932713140000001</v>
      </c>
      <c r="Q22">
        <v>2.4621726910000001</v>
      </c>
      <c r="R22">
        <v>2.2477257349999999</v>
      </c>
      <c r="S22">
        <v>2.0641504419999999</v>
      </c>
      <c r="T22">
        <v>2.0495688780000001</v>
      </c>
      <c r="U22">
        <v>2.0140022549999999</v>
      </c>
      <c r="V22">
        <v>2.0015286780000001</v>
      </c>
      <c r="W22">
        <v>1.9708051449999999</v>
      </c>
      <c r="X22">
        <v>1.9231889449999999</v>
      </c>
      <c r="Y22">
        <v>1.919773264</v>
      </c>
      <c r="Z22">
        <v>1.9392052129999999</v>
      </c>
      <c r="AA22">
        <v>1.9644814900000001</v>
      </c>
      <c r="AB22">
        <v>1.9928414759999999</v>
      </c>
      <c r="AC22">
        <v>2.0243063010000002</v>
      </c>
      <c r="AD22">
        <v>2.0277288420000001</v>
      </c>
      <c r="AE22">
        <v>2.0341475820000001</v>
      </c>
      <c r="AF22">
        <v>2.0429741859999999</v>
      </c>
      <c r="AG22">
        <v>2.0533135749999998</v>
      </c>
      <c r="AH22">
        <v>2.0651381290000002</v>
      </c>
      <c r="AI22">
        <v>2.0802822870000002</v>
      </c>
      <c r="AJ22">
        <v>2.0955791490000002</v>
      </c>
      <c r="AK22">
        <v>2.1119942790000001</v>
      </c>
      <c r="AL22">
        <v>2.129085603</v>
      </c>
      <c r="AM22">
        <v>2.1461204469999999</v>
      </c>
      <c r="AN22">
        <v>2.1375811740000001</v>
      </c>
      <c r="AO22">
        <v>2.1255028020000002</v>
      </c>
      <c r="AP22">
        <v>2.1106187259999998</v>
      </c>
      <c r="AQ22">
        <v>2.094152094</v>
      </c>
      <c r="AR22">
        <v>2.075141055</v>
      </c>
      <c r="AS22">
        <v>2.0712485300000001</v>
      </c>
      <c r="AT22">
        <v>2.0690471819999998</v>
      </c>
      <c r="AU22">
        <v>2.0666489220000002</v>
      </c>
      <c r="AV22">
        <v>2.0637199919999998</v>
      </c>
      <c r="AW22">
        <v>2.0612994470000001</v>
      </c>
    </row>
    <row r="23" spans="2:49" x14ac:dyDescent="0.25">
      <c r="B23" t="s">
        <v>352</v>
      </c>
      <c r="C23">
        <v>155.572754408756</v>
      </c>
      <c r="D23">
        <v>158.07052530222199</v>
      </c>
      <c r="E23">
        <v>160.99205900000001</v>
      </c>
      <c r="F23">
        <v>163.9264479</v>
      </c>
      <c r="G23">
        <v>160.9087644</v>
      </c>
      <c r="H23">
        <v>154.8880111</v>
      </c>
      <c r="I23">
        <v>156.78256759999999</v>
      </c>
      <c r="J23">
        <v>157.37892909999999</v>
      </c>
      <c r="K23">
        <v>155.35363290000001</v>
      </c>
      <c r="L23">
        <v>154.390918</v>
      </c>
      <c r="M23">
        <v>155.58972840000001</v>
      </c>
      <c r="N23">
        <v>157.68085450000001</v>
      </c>
      <c r="O23">
        <v>155.07335520000001</v>
      </c>
      <c r="P23">
        <v>153.36227310000001</v>
      </c>
      <c r="Q23">
        <v>149.7374117</v>
      </c>
      <c r="R23">
        <v>146.7483435</v>
      </c>
      <c r="S23">
        <v>144.01651229999999</v>
      </c>
      <c r="T23">
        <v>143.97874849999999</v>
      </c>
      <c r="U23">
        <v>143.49415339999999</v>
      </c>
      <c r="V23">
        <v>143.65886800000001</v>
      </c>
      <c r="W23">
        <v>143.8673733</v>
      </c>
      <c r="X23">
        <v>143.84134370000001</v>
      </c>
      <c r="Y23">
        <v>144.16423409999999</v>
      </c>
      <c r="Z23">
        <v>145.00396620000001</v>
      </c>
      <c r="AA23">
        <v>146.0809434</v>
      </c>
      <c r="AB23">
        <v>147.3465027</v>
      </c>
      <c r="AC23">
        <v>148.815721</v>
      </c>
      <c r="AD23">
        <v>149.1404297</v>
      </c>
      <c r="AE23">
        <v>149.48488140000001</v>
      </c>
      <c r="AF23">
        <v>149.86424400000001</v>
      </c>
      <c r="AG23">
        <v>150.30513099999999</v>
      </c>
      <c r="AH23">
        <v>150.7724824</v>
      </c>
      <c r="AI23">
        <v>151.35357769999999</v>
      </c>
      <c r="AJ23">
        <v>151.97366679999999</v>
      </c>
      <c r="AK23">
        <v>152.6231544</v>
      </c>
      <c r="AL23">
        <v>153.2984261</v>
      </c>
      <c r="AM23">
        <v>153.97261929999999</v>
      </c>
      <c r="AN23">
        <v>154.29059100000001</v>
      </c>
      <c r="AO23">
        <v>154.60697429999999</v>
      </c>
      <c r="AP23">
        <v>154.88138090000001</v>
      </c>
      <c r="AQ23">
        <v>155.14051169999999</v>
      </c>
      <c r="AR23">
        <v>155.35731910000001</v>
      </c>
      <c r="AS23">
        <v>155.69771249999999</v>
      </c>
      <c r="AT23">
        <v>156.0257853</v>
      </c>
      <c r="AU23">
        <v>156.34393030000001</v>
      </c>
      <c r="AV23">
        <v>156.6476864</v>
      </c>
      <c r="AW23">
        <v>156.99606610000001</v>
      </c>
    </row>
    <row r="24" spans="2:49" x14ac:dyDescent="0.25">
      <c r="B24" t="s">
        <v>353</v>
      </c>
      <c r="C24">
        <v>2.7703288319169999</v>
      </c>
      <c r="D24">
        <v>2.8148073574016701</v>
      </c>
      <c r="E24">
        <v>2.86</v>
      </c>
      <c r="F24">
        <v>2.9588350019999998</v>
      </c>
      <c r="G24">
        <v>2.8517157389999999</v>
      </c>
      <c r="H24">
        <v>2.9727293170000002</v>
      </c>
      <c r="I24">
        <v>3.0839641709999999</v>
      </c>
      <c r="J24">
        <v>2.9564336689999999</v>
      </c>
      <c r="K24">
        <v>2.8756634700000001</v>
      </c>
      <c r="L24">
        <v>2.8032912140000001</v>
      </c>
      <c r="M24">
        <v>2.9915006690000001</v>
      </c>
      <c r="N24">
        <v>3.158178505</v>
      </c>
      <c r="O24">
        <v>3.237675292</v>
      </c>
      <c r="P24">
        <v>3.2640754740000002</v>
      </c>
      <c r="Q24">
        <v>3.065679625</v>
      </c>
      <c r="R24">
        <v>3.0592625930000001</v>
      </c>
      <c r="S24">
        <v>3.075762551</v>
      </c>
      <c r="T24">
        <v>3.1085011599999999</v>
      </c>
      <c r="U24">
        <v>3.131833485</v>
      </c>
      <c r="V24">
        <v>3.1865276969999998</v>
      </c>
      <c r="W24">
        <v>3.2141145880000002</v>
      </c>
      <c r="X24">
        <v>3.2192492220000002</v>
      </c>
      <c r="Y24">
        <v>3.2511562719999998</v>
      </c>
      <c r="Z24">
        <v>3.295007059</v>
      </c>
      <c r="AA24">
        <v>3.3439423210000001</v>
      </c>
      <c r="AB24">
        <v>3.3940237770000001</v>
      </c>
      <c r="AC24">
        <v>3.4467987230000001</v>
      </c>
      <c r="AD24">
        <v>3.493600303</v>
      </c>
      <c r="AE24">
        <v>3.544705913</v>
      </c>
      <c r="AF24">
        <v>3.5967013699999999</v>
      </c>
      <c r="AG24">
        <v>3.6524103170000002</v>
      </c>
      <c r="AH24">
        <v>3.7146777599999998</v>
      </c>
      <c r="AI24">
        <v>3.7771443210000002</v>
      </c>
      <c r="AJ24">
        <v>3.8450837629999999</v>
      </c>
      <c r="AK24">
        <v>3.9136091849999999</v>
      </c>
      <c r="AL24">
        <v>3.9838602120000002</v>
      </c>
      <c r="AM24">
        <v>4.0550034830000001</v>
      </c>
      <c r="AN24">
        <v>4.1231152590000004</v>
      </c>
      <c r="AO24">
        <v>4.192039136</v>
      </c>
      <c r="AP24">
        <v>4.259766033</v>
      </c>
      <c r="AQ24">
        <v>4.3272847600000004</v>
      </c>
      <c r="AR24">
        <v>4.3941705390000001</v>
      </c>
      <c r="AS24">
        <v>4.4603285469999996</v>
      </c>
      <c r="AT24">
        <v>4.5267397440000003</v>
      </c>
      <c r="AU24">
        <v>4.5942621590000003</v>
      </c>
      <c r="AV24">
        <v>4.6623239080000003</v>
      </c>
      <c r="AW24">
        <v>4.7316963489999999</v>
      </c>
    </row>
    <row r="25" spans="2:49" x14ac:dyDescent="0.25">
      <c r="B25" t="s">
        <v>354</v>
      </c>
      <c r="C25">
        <v>46.663857241186399</v>
      </c>
      <c r="D25">
        <v>47.413060563046002</v>
      </c>
      <c r="E25">
        <v>48.17429259</v>
      </c>
      <c r="F25">
        <v>49.07412386</v>
      </c>
      <c r="G25">
        <v>46.526409209999997</v>
      </c>
      <c r="H25">
        <v>42.407811479999999</v>
      </c>
      <c r="I25">
        <v>42.366779029999996</v>
      </c>
      <c r="J25">
        <v>42.843743590000003</v>
      </c>
      <c r="K25">
        <v>40.834612919999998</v>
      </c>
      <c r="L25">
        <v>40.412368059999999</v>
      </c>
      <c r="M25">
        <v>40.89638703</v>
      </c>
      <c r="N25">
        <v>41.706474739999997</v>
      </c>
      <c r="O25">
        <v>39.403451250000003</v>
      </c>
      <c r="P25">
        <v>37.675730199999997</v>
      </c>
      <c r="Q25">
        <v>35.5143013</v>
      </c>
      <c r="R25">
        <v>33.947808170000002</v>
      </c>
      <c r="S25">
        <v>32.677717399999999</v>
      </c>
      <c r="T25">
        <v>33.043056839999998</v>
      </c>
      <c r="U25">
        <v>33.000449660000001</v>
      </c>
      <c r="V25">
        <v>33.431947819999998</v>
      </c>
      <c r="W25">
        <v>33.749856970000003</v>
      </c>
      <c r="X25">
        <v>33.89331499</v>
      </c>
      <c r="Y25">
        <v>34.306409420000001</v>
      </c>
      <c r="Z25">
        <v>35.101151639999998</v>
      </c>
      <c r="AA25">
        <v>36.066638169999997</v>
      </c>
      <c r="AB25">
        <v>37.188177760000002</v>
      </c>
      <c r="AC25">
        <v>38.490930730000002</v>
      </c>
      <c r="AD25">
        <v>38.784763140000003</v>
      </c>
      <c r="AE25">
        <v>39.139206389999998</v>
      </c>
      <c r="AF25">
        <v>39.532764870000001</v>
      </c>
      <c r="AG25">
        <v>39.969338010000001</v>
      </c>
      <c r="AH25">
        <v>40.451527689999999</v>
      </c>
      <c r="AI25">
        <v>40.991592949999998</v>
      </c>
      <c r="AJ25">
        <v>41.549542889999998</v>
      </c>
      <c r="AK25">
        <v>42.128320019999997</v>
      </c>
      <c r="AL25">
        <v>42.726842140000002</v>
      </c>
      <c r="AM25">
        <v>43.326563559999997</v>
      </c>
      <c r="AN25">
        <v>43.723173780000003</v>
      </c>
      <c r="AO25">
        <v>44.133839000000002</v>
      </c>
      <c r="AP25">
        <v>44.527291980000001</v>
      </c>
      <c r="AQ25">
        <v>44.922280880000002</v>
      </c>
      <c r="AR25">
        <v>45.297793149999997</v>
      </c>
      <c r="AS25">
        <v>45.794834739999999</v>
      </c>
      <c r="AT25">
        <v>46.303156629999997</v>
      </c>
      <c r="AU25">
        <v>46.819611100000003</v>
      </c>
      <c r="AV25">
        <v>47.34001507</v>
      </c>
      <c r="AW25">
        <v>47.892950429999999</v>
      </c>
    </row>
    <row r="26" spans="2:49" x14ac:dyDescent="0.25">
      <c r="B26" t="s">
        <v>355</v>
      </c>
      <c r="C26">
        <v>39.525714811669303</v>
      </c>
      <c r="D26">
        <v>40.160312947925298</v>
      </c>
      <c r="E26">
        <v>40.805099759999997</v>
      </c>
      <c r="F26">
        <v>40.72635725</v>
      </c>
      <c r="G26">
        <v>40.377323519999997</v>
      </c>
      <c r="H26">
        <v>40.314652389999999</v>
      </c>
      <c r="I26">
        <v>40.392865239999999</v>
      </c>
      <c r="J26">
        <v>40.252905509999998</v>
      </c>
      <c r="K26">
        <v>39.880739769999998</v>
      </c>
      <c r="L26">
        <v>39.636099639999998</v>
      </c>
      <c r="M26">
        <v>39.554164329999999</v>
      </c>
      <c r="N26">
        <v>39.686757579999998</v>
      </c>
      <c r="O26">
        <v>40.04717119</v>
      </c>
      <c r="P26">
        <v>40.158452060000002</v>
      </c>
      <c r="Q26">
        <v>39.800278480000003</v>
      </c>
      <c r="R26">
        <v>39.416764239999999</v>
      </c>
      <c r="S26">
        <v>39.002981210000002</v>
      </c>
      <c r="T26">
        <v>38.433177430000001</v>
      </c>
      <c r="U26">
        <v>38.167872420000002</v>
      </c>
      <c r="V26">
        <v>37.891466610000002</v>
      </c>
      <c r="W26">
        <v>37.680613569999998</v>
      </c>
      <c r="X26">
        <v>37.492860290000003</v>
      </c>
      <c r="Y26">
        <v>37.477065510000003</v>
      </c>
      <c r="Z26">
        <v>37.536258109999999</v>
      </c>
      <c r="AA26">
        <v>37.650844620000001</v>
      </c>
      <c r="AB26">
        <v>37.804211209999998</v>
      </c>
      <c r="AC26">
        <v>37.979831709999999</v>
      </c>
      <c r="AD26">
        <v>38.177860520000003</v>
      </c>
      <c r="AE26">
        <v>38.383355389999998</v>
      </c>
      <c r="AF26">
        <v>38.593218999999998</v>
      </c>
      <c r="AG26">
        <v>38.80968223</v>
      </c>
      <c r="AH26">
        <v>39.031438790000003</v>
      </c>
      <c r="AI26">
        <v>39.243912790000003</v>
      </c>
      <c r="AJ26">
        <v>39.454428270000001</v>
      </c>
      <c r="AK26">
        <v>39.665641809999997</v>
      </c>
      <c r="AL26">
        <v>39.872567670000002</v>
      </c>
      <c r="AM26">
        <v>40.074265699999998</v>
      </c>
      <c r="AN26">
        <v>40.255170929999998</v>
      </c>
      <c r="AO26">
        <v>40.417058660000002</v>
      </c>
      <c r="AP26">
        <v>40.552882230000002</v>
      </c>
      <c r="AQ26">
        <v>40.661998830000002</v>
      </c>
      <c r="AR26">
        <v>40.742952330000001</v>
      </c>
      <c r="AS26">
        <v>40.788163709999999</v>
      </c>
      <c r="AT26">
        <v>40.801804769999997</v>
      </c>
      <c r="AU26">
        <v>40.7810457</v>
      </c>
      <c r="AV26">
        <v>40.727461589999997</v>
      </c>
      <c r="AW26">
        <v>40.660303450000001</v>
      </c>
    </row>
    <row r="27" spans="2:49" x14ac:dyDescent="0.25">
      <c r="B27" t="s">
        <v>356</v>
      </c>
      <c r="C27">
        <v>21.072806770403201</v>
      </c>
      <c r="D27">
        <v>21.411137499294501</v>
      </c>
      <c r="E27">
        <v>21.754900240000001</v>
      </c>
      <c r="F27">
        <v>23.111618490000001</v>
      </c>
      <c r="G27">
        <v>23.888674080000001</v>
      </c>
      <c r="H27">
        <v>23.451884719999999</v>
      </c>
      <c r="I27">
        <v>24.614072740000001</v>
      </c>
      <c r="J27">
        <v>25.456155330000001</v>
      </c>
      <c r="K27">
        <v>25.802904689999998</v>
      </c>
      <c r="L27">
        <v>26.259227249999999</v>
      </c>
      <c r="M27">
        <v>27.122504630000002</v>
      </c>
      <c r="N27">
        <v>28.369625389999999</v>
      </c>
      <c r="O27">
        <v>28.0070084</v>
      </c>
      <c r="P27">
        <v>27.606159510000001</v>
      </c>
      <c r="Q27">
        <v>26.857592050000001</v>
      </c>
      <c r="R27">
        <v>25.887347070000001</v>
      </c>
      <c r="S27">
        <v>25.081460539999998</v>
      </c>
      <c r="T27">
        <v>25.092518330000001</v>
      </c>
      <c r="U27">
        <v>25.06799719</v>
      </c>
      <c r="V27">
        <v>25.05561295</v>
      </c>
      <c r="W27">
        <v>25.241943089999999</v>
      </c>
      <c r="X27">
        <v>25.471877800000001</v>
      </c>
      <c r="Y27">
        <v>25.634461380000001</v>
      </c>
      <c r="Z27">
        <v>25.74995908</v>
      </c>
      <c r="AA27">
        <v>25.833057799999999</v>
      </c>
      <c r="AB27">
        <v>25.888672079999999</v>
      </c>
      <c r="AC27">
        <v>25.920056939999998</v>
      </c>
      <c r="AD27">
        <v>25.93146544</v>
      </c>
      <c r="AE27">
        <v>25.918271839999999</v>
      </c>
      <c r="AF27">
        <v>25.882179409999999</v>
      </c>
      <c r="AG27">
        <v>25.833842929999999</v>
      </c>
      <c r="AH27">
        <v>25.77112997</v>
      </c>
      <c r="AI27">
        <v>25.69122527</v>
      </c>
      <c r="AJ27">
        <v>25.599071080000002</v>
      </c>
      <c r="AK27">
        <v>25.493813920000001</v>
      </c>
      <c r="AL27">
        <v>25.377496359999999</v>
      </c>
      <c r="AM27">
        <v>25.250658319999999</v>
      </c>
      <c r="AN27">
        <v>24.978685370000001</v>
      </c>
      <c r="AO27">
        <v>24.680680689999999</v>
      </c>
      <c r="AP27">
        <v>24.37812418</v>
      </c>
      <c r="AQ27">
        <v>24.075727199999999</v>
      </c>
      <c r="AR27">
        <v>23.77450619</v>
      </c>
      <c r="AS27">
        <v>23.476158829999999</v>
      </c>
      <c r="AT27">
        <v>23.179338770000001</v>
      </c>
      <c r="AU27">
        <v>22.884833499999999</v>
      </c>
      <c r="AV27">
        <v>22.592322630000002</v>
      </c>
      <c r="AW27">
        <v>22.301661339999999</v>
      </c>
    </row>
    <row r="28" spans="2:49" x14ac:dyDescent="0.25">
      <c r="B28" t="s">
        <v>357</v>
      </c>
      <c r="C28">
        <v>23.690458989791001</v>
      </c>
      <c r="D28">
        <v>24.070816971768199</v>
      </c>
      <c r="E28">
        <v>24.457281720000001</v>
      </c>
      <c r="F28">
        <v>24.57436478</v>
      </c>
      <c r="G28">
        <v>24.637372160000002</v>
      </c>
      <c r="H28">
        <v>24.824092239999999</v>
      </c>
      <c r="I28">
        <v>24.962266169999999</v>
      </c>
      <c r="J28">
        <v>25.045629089999998</v>
      </c>
      <c r="K28">
        <v>24.918431999999999</v>
      </c>
      <c r="L28">
        <v>24.723423539999999</v>
      </c>
      <c r="M28">
        <v>24.53782661</v>
      </c>
      <c r="N28">
        <v>24.284641919999999</v>
      </c>
      <c r="O28">
        <v>24.100557940000002</v>
      </c>
      <c r="P28">
        <v>24.109233809999999</v>
      </c>
      <c r="Q28">
        <v>24.123276180000001</v>
      </c>
      <c r="R28">
        <v>24.134988490000001</v>
      </c>
      <c r="S28">
        <v>24.045213019999998</v>
      </c>
      <c r="T28">
        <v>23.870078800000002</v>
      </c>
      <c r="U28">
        <v>23.571079739999998</v>
      </c>
      <c r="V28">
        <v>23.225181129999999</v>
      </c>
      <c r="W28">
        <v>22.880502480000001</v>
      </c>
      <c r="X28">
        <v>22.523274099999998</v>
      </c>
      <c r="Y28">
        <v>22.178865510000001</v>
      </c>
      <c r="Z28">
        <v>21.833623110000001</v>
      </c>
      <c r="AA28">
        <v>21.492050410000001</v>
      </c>
      <c r="AB28">
        <v>21.152222770000002</v>
      </c>
      <c r="AC28">
        <v>20.81173609</v>
      </c>
      <c r="AD28">
        <v>20.471324509999999</v>
      </c>
      <c r="AE28">
        <v>20.094546300000001</v>
      </c>
      <c r="AF28">
        <v>19.705966140000001</v>
      </c>
      <c r="AG28">
        <v>19.317717250000001</v>
      </c>
      <c r="AH28">
        <v>18.906835510000001</v>
      </c>
      <c r="AI28">
        <v>18.519323589999999</v>
      </c>
      <c r="AJ28">
        <v>18.151996260000001</v>
      </c>
      <c r="AK28">
        <v>17.798935310000001</v>
      </c>
      <c r="AL28">
        <v>17.458218200000001</v>
      </c>
      <c r="AM28">
        <v>17.128721469999999</v>
      </c>
      <c r="AN28">
        <v>16.800881100000002</v>
      </c>
      <c r="AO28">
        <v>16.477235669999999</v>
      </c>
      <c r="AP28">
        <v>16.160841019999999</v>
      </c>
      <c r="AQ28">
        <v>15.852678839999999</v>
      </c>
      <c r="AR28">
        <v>15.55310929</v>
      </c>
      <c r="AS28">
        <v>15.26063969</v>
      </c>
      <c r="AT28">
        <v>14.976085469999999</v>
      </c>
      <c r="AU28">
        <v>14.700301169999999</v>
      </c>
      <c r="AV28">
        <v>14.433616929999999</v>
      </c>
      <c r="AW28">
        <v>14.17651873</v>
      </c>
    </row>
    <row r="29" spans="2:49" x14ac:dyDescent="0.25">
      <c r="B29" t="s">
        <v>358</v>
      </c>
      <c r="C29">
        <v>22.212930412666701</v>
      </c>
      <c r="D29">
        <v>22.569566195417998</v>
      </c>
      <c r="E29">
        <v>22.940484690000002</v>
      </c>
      <c r="F29">
        <v>23.48114854</v>
      </c>
      <c r="G29">
        <v>22.627269739999999</v>
      </c>
      <c r="H29">
        <v>20.916840959999998</v>
      </c>
      <c r="I29">
        <v>21.362620209999999</v>
      </c>
      <c r="J29">
        <v>20.824061879999999</v>
      </c>
      <c r="K29">
        <v>21.041280059999998</v>
      </c>
      <c r="L29">
        <v>20.556508310000002</v>
      </c>
      <c r="M29">
        <v>20.487345139999999</v>
      </c>
      <c r="N29">
        <v>20.47517641</v>
      </c>
      <c r="O29">
        <v>20.27749116</v>
      </c>
      <c r="P29">
        <v>20.54862202</v>
      </c>
      <c r="Q29">
        <v>20.376284120000001</v>
      </c>
      <c r="R29">
        <v>20.302172949999999</v>
      </c>
      <c r="S29">
        <v>20.133377540000001</v>
      </c>
      <c r="T29">
        <v>20.431415900000001</v>
      </c>
      <c r="U29">
        <v>20.554920889999998</v>
      </c>
      <c r="V29">
        <v>20.868131810000001</v>
      </c>
      <c r="W29">
        <v>21.10034263</v>
      </c>
      <c r="X29">
        <v>21.240767330000001</v>
      </c>
      <c r="Y29">
        <v>21.316276049999999</v>
      </c>
      <c r="Z29">
        <v>21.487967189999999</v>
      </c>
      <c r="AA29">
        <v>21.694410090000002</v>
      </c>
      <c r="AB29">
        <v>21.919195129999999</v>
      </c>
      <c r="AC29">
        <v>22.16636677</v>
      </c>
      <c r="AD29">
        <v>22.28141574</v>
      </c>
      <c r="AE29">
        <v>22.40479556</v>
      </c>
      <c r="AF29">
        <v>22.553413169999999</v>
      </c>
      <c r="AG29">
        <v>22.722140230000001</v>
      </c>
      <c r="AH29">
        <v>22.896872680000001</v>
      </c>
      <c r="AI29">
        <v>23.13037881</v>
      </c>
      <c r="AJ29">
        <v>23.373544559999999</v>
      </c>
      <c r="AK29">
        <v>23.622834109999999</v>
      </c>
      <c r="AL29">
        <v>23.879441480000001</v>
      </c>
      <c r="AM29">
        <v>24.137406769999998</v>
      </c>
      <c r="AN29">
        <v>24.40956452</v>
      </c>
      <c r="AO29">
        <v>24.70612118</v>
      </c>
      <c r="AP29">
        <v>25.002475480000001</v>
      </c>
      <c r="AQ29">
        <v>25.300541160000002</v>
      </c>
      <c r="AR29">
        <v>25.5947876</v>
      </c>
      <c r="AS29">
        <v>25.917587019999999</v>
      </c>
      <c r="AT29">
        <v>26.238659949999999</v>
      </c>
      <c r="AU29">
        <v>26.563876619999998</v>
      </c>
      <c r="AV29">
        <v>26.891946239999999</v>
      </c>
      <c r="AW29">
        <v>27.23293585</v>
      </c>
    </row>
    <row r="30" spans="2:49" x14ac:dyDescent="0.25">
      <c r="B30" t="s">
        <v>359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37390.830399999999</v>
      </c>
      <c r="T30">
        <v>37525.949189999999</v>
      </c>
      <c r="U30">
        <v>37537.636339999997</v>
      </c>
      <c r="V30">
        <v>37517.256710000001</v>
      </c>
      <c r="W30">
        <v>37509.56925</v>
      </c>
      <c r="X30">
        <v>37487.669390000003</v>
      </c>
      <c r="Y30">
        <v>37507.136079999997</v>
      </c>
      <c r="Z30">
        <v>37537.531719999999</v>
      </c>
      <c r="AA30">
        <v>37589.869650000001</v>
      </c>
      <c r="AB30">
        <v>37658.488140000001</v>
      </c>
      <c r="AC30">
        <v>37735.257180000001</v>
      </c>
      <c r="AD30">
        <v>37818.688289999998</v>
      </c>
      <c r="AE30">
        <v>37792.414649999999</v>
      </c>
      <c r="AF30">
        <v>37726.084430000003</v>
      </c>
      <c r="AG30">
        <v>37647.54277</v>
      </c>
      <c r="AH30">
        <v>37464.663670000002</v>
      </c>
      <c r="AI30">
        <v>37348.270629999999</v>
      </c>
      <c r="AJ30">
        <v>37266.953179999997</v>
      </c>
      <c r="AK30">
        <v>37202.21974</v>
      </c>
      <c r="AL30">
        <v>37147.017440000003</v>
      </c>
      <c r="AM30">
        <v>37096.746200000001</v>
      </c>
      <c r="AN30">
        <v>37021.561309999997</v>
      </c>
      <c r="AO30">
        <v>36933.505989999998</v>
      </c>
      <c r="AP30">
        <v>36840.816059999997</v>
      </c>
      <c r="AQ30">
        <v>36745.711949999997</v>
      </c>
      <c r="AR30">
        <v>36648.75376</v>
      </c>
      <c r="AS30">
        <v>36539.820800000001</v>
      </c>
      <c r="AT30">
        <v>36425.902759999997</v>
      </c>
      <c r="AU30">
        <v>36309.788209999999</v>
      </c>
      <c r="AV30">
        <v>36192.728660000001</v>
      </c>
      <c r="AW30">
        <v>36076.698539999998</v>
      </c>
    </row>
    <row r="31" spans="2:49" x14ac:dyDescent="0.25">
      <c r="B31" t="s">
        <v>360</v>
      </c>
      <c r="C31">
        <v>17.998489648965599</v>
      </c>
      <c r="D31">
        <v>18.287461222056098</v>
      </c>
      <c r="E31">
        <v>18.581072330000001</v>
      </c>
      <c r="F31">
        <v>17.559112219999999</v>
      </c>
      <c r="G31">
        <v>43.500128019999998</v>
      </c>
      <c r="H31">
        <v>73.298808629999996</v>
      </c>
      <c r="I31">
        <v>103.35346610000001</v>
      </c>
      <c r="J31">
        <v>142.7632059</v>
      </c>
      <c r="K31">
        <v>178.52899650000001</v>
      </c>
      <c r="L31">
        <v>209.24838209999999</v>
      </c>
      <c r="M31">
        <v>238.12304459999999</v>
      </c>
      <c r="N31">
        <v>253.1926948</v>
      </c>
      <c r="O31">
        <v>263.99269759999999</v>
      </c>
      <c r="P31">
        <v>269.3001117</v>
      </c>
      <c r="Q31">
        <v>293.19606110000001</v>
      </c>
      <c r="R31">
        <v>321.1236864</v>
      </c>
      <c r="S31">
        <v>369.63461760000001</v>
      </c>
      <c r="T31">
        <v>410.32749849999999</v>
      </c>
      <c r="U31">
        <v>477.91893040000002</v>
      </c>
      <c r="V31">
        <v>557.7950333</v>
      </c>
      <c r="W31">
        <v>636.75941079999996</v>
      </c>
      <c r="X31">
        <v>713.23697979999997</v>
      </c>
      <c r="Y31">
        <v>787.08228150000002</v>
      </c>
      <c r="Z31">
        <v>856.33724689999997</v>
      </c>
      <c r="AA31">
        <v>921.79254349999997</v>
      </c>
      <c r="AB31">
        <v>983.1526824</v>
      </c>
      <c r="AC31">
        <v>1040.1610439999999</v>
      </c>
      <c r="AD31">
        <v>1092.9343080000001</v>
      </c>
      <c r="AE31">
        <v>1136.521397</v>
      </c>
      <c r="AF31">
        <v>1174.2570009999999</v>
      </c>
      <c r="AG31">
        <v>1207.6917980000001</v>
      </c>
      <c r="AH31">
        <v>1233.192822</v>
      </c>
      <c r="AI31">
        <v>1258.416363</v>
      </c>
      <c r="AJ31">
        <v>1282.4032540000001</v>
      </c>
      <c r="AK31">
        <v>1304.7030339999999</v>
      </c>
      <c r="AL31">
        <v>1325.27044</v>
      </c>
      <c r="AM31">
        <v>1344.114288</v>
      </c>
      <c r="AN31">
        <v>1361.281428</v>
      </c>
      <c r="AO31">
        <v>1377.358573</v>
      </c>
      <c r="AP31">
        <v>1392.7311970000001</v>
      </c>
      <c r="AQ31">
        <v>1407.575458</v>
      </c>
      <c r="AR31">
        <v>1422.009646</v>
      </c>
      <c r="AS31">
        <v>1435.78422</v>
      </c>
      <c r="AT31">
        <v>1449.255944</v>
      </c>
      <c r="AU31">
        <v>1462.590586</v>
      </c>
      <c r="AV31">
        <v>1475.8933919999999</v>
      </c>
      <c r="AW31">
        <v>1489.316703</v>
      </c>
    </row>
    <row r="32" spans="2:49" x14ac:dyDescent="0.25">
      <c r="B32" t="s">
        <v>361</v>
      </c>
      <c r="C32">
        <v>1571.8931047778699</v>
      </c>
      <c r="D32">
        <v>1597.13035701831</v>
      </c>
      <c r="E32">
        <v>1622.772802</v>
      </c>
      <c r="F32">
        <v>1970.0279969999999</v>
      </c>
      <c r="G32">
        <v>2306.304513</v>
      </c>
      <c r="H32">
        <v>2674.533144</v>
      </c>
      <c r="I32">
        <v>3008.8889960000001</v>
      </c>
      <c r="J32">
        <v>3315.7384040000002</v>
      </c>
      <c r="K32">
        <v>3539.4077459999999</v>
      </c>
      <c r="L32">
        <v>3727.6240699999998</v>
      </c>
      <c r="M32">
        <v>3906.4366500000001</v>
      </c>
      <c r="N32">
        <v>4050.9903389999999</v>
      </c>
      <c r="O32">
        <v>4204.0890289999998</v>
      </c>
      <c r="P32">
        <v>4379.3366100000003</v>
      </c>
      <c r="Q32">
        <v>4559.7067230000002</v>
      </c>
      <c r="R32">
        <v>4735.4887650000001</v>
      </c>
      <c r="S32">
        <v>4892.0621629999996</v>
      </c>
      <c r="T32">
        <v>5005.8403369999996</v>
      </c>
      <c r="U32">
        <v>5110.1066119999996</v>
      </c>
      <c r="V32">
        <v>5203.6407419999996</v>
      </c>
      <c r="W32">
        <v>5282.7739629999996</v>
      </c>
      <c r="X32">
        <v>5342.6150010000001</v>
      </c>
      <c r="Y32">
        <v>5392.5807519999998</v>
      </c>
      <c r="Z32">
        <v>5427.7155089999997</v>
      </c>
      <c r="AA32">
        <v>5450.4169570000004</v>
      </c>
      <c r="AB32">
        <v>5460.5881200000003</v>
      </c>
      <c r="AC32">
        <v>5458.1236650000001</v>
      </c>
      <c r="AD32">
        <v>5444.0696589999998</v>
      </c>
      <c r="AE32">
        <v>5405.0483480000003</v>
      </c>
      <c r="AF32">
        <v>5351.9643429999996</v>
      </c>
      <c r="AG32">
        <v>5289.7598529999996</v>
      </c>
      <c r="AH32">
        <v>5209.4561780000004</v>
      </c>
      <c r="AI32">
        <v>5131.4731309999997</v>
      </c>
      <c r="AJ32">
        <v>5053.0679449999998</v>
      </c>
      <c r="AK32">
        <v>4973.0463659999996</v>
      </c>
      <c r="AL32">
        <v>4891.4013560000003</v>
      </c>
      <c r="AM32">
        <v>4808.325135</v>
      </c>
      <c r="AN32">
        <v>4721.2689840000003</v>
      </c>
      <c r="AO32">
        <v>4631.9382210000003</v>
      </c>
      <c r="AP32">
        <v>4541.5368570000001</v>
      </c>
      <c r="AQ32">
        <v>4450.6580880000001</v>
      </c>
      <c r="AR32">
        <v>4359.690122</v>
      </c>
      <c r="AS32">
        <v>4268.0806060000004</v>
      </c>
      <c r="AT32">
        <v>4176.6750700000002</v>
      </c>
      <c r="AU32">
        <v>4085.915559</v>
      </c>
      <c r="AV32">
        <v>3996.082801</v>
      </c>
      <c r="AW32">
        <v>3907.4778430000001</v>
      </c>
    </row>
    <row r="33" spans="2:49" x14ac:dyDescent="0.25">
      <c r="B33" t="s">
        <v>362</v>
      </c>
      <c r="C33">
        <v>3720.5673609549599</v>
      </c>
      <c r="D33">
        <v>3780.3022733867101</v>
      </c>
      <c r="E33">
        <v>3840.9962489999998</v>
      </c>
      <c r="F33">
        <v>4321.8929959999996</v>
      </c>
      <c r="G33">
        <v>4767.7167330000002</v>
      </c>
      <c r="H33">
        <v>5257.856409</v>
      </c>
      <c r="I33">
        <v>5701.6780419999996</v>
      </c>
      <c r="J33">
        <v>6103.6119420000005</v>
      </c>
      <c r="K33">
        <v>6382.9762899999996</v>
      </c>
      <c r="L33">
        <v>6611.4752349999999</v>
      </c>
      <c r="M33">
        <v>6827.1943600000004</v>
      </c>
      <c r="N33">
        <v>7001.1554429999997</v>
      </c>
      <c r="O33">
        <v>7191.324235</v>
      </c>
      <c r="P33">
        <v>7428.9709160000002</v>
      </c>
      <c r="Q33">
        <v>7666.7770909999999</v>
      </c>
      <c r="R33">
        <v>7896.804408</v>
      </c>
      <c r="S33">
        <v>8084.0164269999996</v>
      </c>
      <c r="T33">
        <v>8215.1439680000003</v>
      </c>
      <c r="U33">
        <v>8310.345292</v>
      </c>
      <c r="V33">
        <v>8380.6612270000005</v>
      </c>
      <c r="W33">
        <v>8431.4837179999995</v>
      </c>
      <c r="X33">
        <v>8455.9518430000007</v>
      </c>
      <c r="Y33">
        <v>8467.8634409999995</v>
      </c>
      <c r="Z33">
        <v>8460.4575179999902</v>
      </c>
      <c r="AA33">
        <v>8436.9402850000006</v>
      </c>
      <c r="AB33">
        <v>8397.2499910000006</v>
      </c>
      <c r="AC33">
        <v>8341.2855770000006</v>
      </c>
      <c r="AD33">
        <v>8270.5525799999996</v>
      </c>
      <c r="AE33">
        <v>8166.6111229999997</v>
      </c>
      <c r="AF33">
        <v>8044.7888759999996</v>
      </c>
      <c r="AG33">
        <v>7911.9679470000001</v>
      </c>
      <c r="AH33">
        <v>7755.9320779999998</v>
      </c>
      <c r="AI33">
        <v>7604.6068059999998</v>
      </c>
      <c r="AJ33">
        <v>7454.1154820000002</v>
      </c>
      <c r="AK33">
        <v>7302.7545579999996</v>
      </c>
      <c r="AL33">
        <v>7150.4842049999997</v>
      </c>
      <c r="AM33">
        <v>6997.5533880000003</v>
      </c>
      <c r="AN33">
        <v>6839.9815799999997</v>
      </c>
      <c r="AO33">
        <v>6680.1109280000001</v>
      </c>
      <c r="AP33">
        <v>6519.6124829999999</v>
      </c>
      <c r="AQ33">
        <v>6359.3056539999998</v>
      </c>
      <c r="AR33">
        <v>6199.7280280000004</v>
      </c>
      <c r="AS33">
        <v>6040.2055739999996</v>
      </c>
      <c r="AT33">
        <v>5881.8576970000004</v>
      </c>
      <c r="AU33">
        <v>5725.277599</v>
      </c>
      <c r="AV33">
        <v>5570.8388960000002</v>
      </c>
      <c r="AW33">
        <v>5418.9255780000003</v>
      </c>
    </row>
    <row r="34" spans="2:49" x14ac:dyDescent="0.25">
      <c r="B34" t="s">
        <v>363</v>
      </c>
      <c r="C34">
        <v>5208.7853750706299</v>
      </c>
      <c r="D34">
        <v>5292.4141090967596</v>
      </c>
      <c r="E34">
        <v>5377.3855290000001</v>
      </c>
      <c r="F34">
        <v>5765.3062970000001</v>
      </c>
      <c r="G34">
        <v>6121.3518610000001</v>
      </c>
      <c r="H34">
        <v>6523.4189319999996</v>
      </c>
      <c r="I34">
        <v>6884.4590740000003</v>
      </c>
      <c r="J34">
        <v>7206.7340519999998</v>
      </c>
      <c r="K34">
        <v>7412.4941639999997</v>
      </c>
      <c r="L34">
        <v>7572.103161</v>
      </c>
      <c r="M34">
        <v>7722.351345</v>
      </c>
      <c r="N34">
        <v>7827.0189920000003</v>
      </c>
      <c r="O34">
        <v>7951.6653100000003</v>
      </c>
      <c r="P34">
        <v>8133.0151400000004</v>
      </c>
      <c r="Q34">
        <v>8310.1070099999997</v>
      </c>
      <c r="R34">
        <v>8483.5469790000006</v>
      </c>
      <c r="S34">
        <v>8606.2770610000007</v>
      </c>
      <c r="T34">
        <v>8691.1503109999994</v>
      </c>
      <c r="U34">
        <v>8729.8031210000008</v>
      </c>
      <c r="V34">
        <v>8740.4033080000008</v>
      </c>
      <c r="W34">
        <v>8734.5198689999997</v>
      </c>
      <c r="X34">
        <v>8705.6759849999999</v>
      </c>
      <c r="Y34">
        <v>8667.0663719999902</v>
      </c>
      <c r="Z34">
        <v>8612.4133089999996</v>
      </c>
      <c r="AA34">
        <v>8544.5603009999995</v>
      </c>
      <c r="AB34">
        <v>8463.4227470000005</v>
      </c>
      <c r="AC34">
        <v>8368.8704780000007</v>
      </c>
      <c r="AD34">
        <v>8262.2691730000006</v>
      </c>
      <c r="AE34">
        <v>8126.5654290000002</v>
      </c>
      <c r="AF34">
        <v>7975.989595</v>
      </c>
      <c r="AG34">
        <v>7816.8751410000004</v>
      </c>
      <c r="AH34">
        <v>7637.9969000000001</v>
      </c>
      <c r="AI34">
        <v>7464.9466270000003</v>
      </c>
      <c r="AJ34">
        <v>7294.0664870000001</v>
      </c>
      <c r="AK34">
        <v>7123.7233329999999</v>
      </c>
      <c r="AL34">
        <v>6953.8322580000004</v>
      </c>
      <c r="AM34">
        <v>6784.5833540000003</v>
      </c>
      <c r="AN34">
        <v>6611.9841560000004</v>
      </c>
      <c r="AO34">
        <v>6438.1727609999998</v>
      </c>
      <c r="AP34">
        <v>6264.6779690000003</v>
      </c>
      <c r="AQ34">
        <v>6092.2407540000004</v>
      </c>
      <c r="AR34">
        <v>5921.3429379999998</v>
      </c>
      <c r="AS34">
        <v>5751.386152</v>
      </c>
      <c r="AT34">
        <v>5583.3673120000003</v>
      </c>
      <c r="AU34">
        <v>5417.8132329999999</v>
      </c>
      <c r="AV34">
        <v>5255.0506960000002</v>
      </c>
      <c r="AW34">
        <v>5095.4086090000001</v>
      </c>
    </row>
    <row r="35" spans="2:49" x14ac:dyDescent="0.25">
      <c r="B35" t="s">
        <v>364</v>
      </c>
      <c r="C35">
        <v>13521.9613593495</v>
      </c>
      <c r="D35">
        <v>13739.0608227762</v>
      </c>
      <c r="E35">
        <v>13959.64589</v>
      </c>
      <c r="F35">
        <v>13633.74929</v>
      </c>
      <c r="G35">
        <v>13309.759749999999</v>
      </c>
      <c r="H35">
        <v>13039.97935</v>
      </c>
      <c r="I35">
        <v>12773.810869999999</v>
      </c>
      <c r="J35">
        <v>12507.686040000001</v>
      </c>
      <c r="K35">
        <v>12194.380370000001</v>
      </c>
      <c r="L35">
        <v>11881.54248</v>
      </c>
      <c r="M35">
        <v>11584.67218</v>
      </c>
      <c r="N35">
        <v>11272.314759999999</v>
      </c>
      <c r="O35">
        <v>10994.14033</v>
      </c>
      <c r="P35">
        <v>10798.59677</v>
      </c>
      <c r="Q35">
        <v>10609.240529999999</v>
      </c>
      <c r="R35">
        <v>10425.6433</v>
      </c>
      <c r="S35">
        <v>10207.550440000001</v>
      </c>
      <c r="T35">
        <v>9996.0169050000004</v>
      </c>
      <c r="U35">
        <v>9717.6458079999902</v>
      </c>
      <c r="V35">
        <v>9416.7848489999997</v>
      </c>
      <c r="W35">
        <v>9123.2087410000004</v>
      </c>
      <c r="X35">
        <v>8832.7907689999902</v>
      </c>
      <c r="Y35">
        <v>8551.9300989999902</v>
      </c>
      <c r="Z35">
        <v>8276.8270479999901</v>
      </c>
      <c r="AA35">
        <v>8008.0862710000001</v>
      </c>
      <c r="AB35">
        <v>7745.0446350000002</v>
      </c>
      <c r="AC35">
        <v>7487.0338519999996</v>
      </c>
      <c r="AD35">
        <v>7234.1725850000003</v>
      </c>
      <c r="AE35">
        <v>6977.5069640000002</v>
      </c>
      <c r="AF35">
        <v>6723.7129949999999</v>
      </c>
      <c r="AG35">
        <v>6475.4443600000004</v>
      </c>
      <c r="AH35">
        <v>6226.8157659999997</v>
      </c>
      <c r="AI35">
        <v>5989.7893990000002</v>
      </c>
      <c r="AJ35">
        <v>5762.0789530000002</v>
      </c>
      <c r="AK35">
        <v>5542.4448769999999</v>
      </c>
      <c r="AL35">
        <v>5330.4467020000002</v>
      </c>
      <c r="AM35">
        <v>5125.8079790000002</v>
      </c>
      <c r="AN35">
        <v>4925.4373759999999</v>
      </c>
      <c r="AO35">
        <v>4730.1611789999997</v>
      </c>
      <c r="AP35">
        <v>4540.5220609999997</v>
      </c>
      <c r="AQ35">
        <v>4356.6816019999997</v>
      </c>
      <c r="AR35">
        <v>4178.6823899999999</v>
      </c>
      <c r="AS35">
        <v>4006.0931599999999</v>
      </c>
      <c r="AT35">
        <v>3839.1923660000002</v>
      </c>
      <c r="AU35">
        <v>3678.050835</v>
      </c>
      <c r="AV35">
        <v>3522.6503710000002</v>
      </c>
      <c r="AW35">
        <v>3372.9726139999998</v>
      </c>
    </row>
    <row r="36" spans="2:49" x14ac:dyDescent="0.25">
      <c r="B36" t="s">
        <v>365</v>
      </c>
      <c r="C36">
        <v>4769.5635809194901</v>
      </c>
      <c r="D36">
        <v>4846.1404669702097</v>
      </c>
      <c r="E36">
        <v>4923.9468200000001</v>
      </c>
      <c r="F36">
        <v>4802.9456920000002</v>
      </c>
      <c r="G36">
        <v>4673.7276009999996</v>
      </c>
      <c r="H36">
        <v>4557.9893220000004</v>
      </c>
      <c r="I36">
        <v>4445.7910519999996</v>
      </c>
      <c r="J36">
        <v>4332.5221449999999</v>
      </c>
      <c r="K36">
        <v>4206.5746069999996</v>
      </c>
      <c r="L36">
        <v>4079.681568</v>
      </c>
      <c r="M36">
        <v>3958.4594010000001</v>
      </c>
      <c r="N36">
        <v>3830.998321</v>
      </c>
      <c r="O36">
        <v>3715.1408219999998</v>
      </c>
      <c r="P36">
        <v>3635.9111090000001</v>
      </c>
      <c r="Q36">
        <v>3556.149856</v>
      </c>
      <c r="R36">
        <v>3475.9556109999999</v>
      </c>
      <c r="S36">
        <v>3377.708556</v>
      </c>
      <c r="T36">
        <v>3259.3133779999998</v>
      </c>
      <c r="U36">
        <v>3113.9819210000001</v>
      </c>
      <c r="V36">
        <v>2961.3863110000002</v>
      </c>
      <c r="W36">
        <v>2815.3647219999998</v>
      </c>
      <c r="X36">
        <v>2675.2339849999998</v>
      </c>
      <c r="Y36">
        <v>2541.6779299999998</v>
      </c>
      <c r="Z36">
        <v>2414.1238520000002</v>
      </c>
      <c r="AA36">
        <v>2292.330461</v>
      </c>
      <c r="AB36">
        <v>2176.025881</v>
      </c>
      <c r="AC36">
        <v>2064.9377669999999</v>
      </c>
      <c r="AD36">
        <v>1958.8797890000001</v>
      </c>
      <c r="AE36">
        <v>1856.8647989999999</v>
      </c>
      <c r="AF36">
        <v>1759.3679079999999</v>
      </c>
      <c r="AG36">
        <v>1666.443489</v>
      </c>
      <c r="AH36">
        <v>1577.4460529999999</v>
      </c>
      <c r="AI36">
        <v>1493.1515529999999</v>
      </c>
      <c r="AJ36">
        <v>1413.168647</v>
      </c>
      <c r="AK36">
        <v>1337.2161699999999</v>
      </c>
      <c r="AL36">
        <v>1265.094304</v>
      </c>
      <c r="AM36">
        <v>1196.6267700000001</v>
      </c>
      <c r="AN36">
        <v>1131.093464</v>
      </c>
      <c r="AO36">
        <v>1068.471783</v>
      </c>
      <c r="AP36">
        <v>1008.717517</v>
      </c>
      <c r="AQ36">
        <v>951.7560221</v>
      </c>
      <c r="AR36">
        <v>897.50418649999995</v>
      </c>
      <c r="AS36">
        <v>845.85648209999999</v>
      </c>
      <c r="AT36">
        <v>796.74098149999998</v>
      </c>
      <c r="AU36">
        <v>750.07568249999997</v>
      </c>
      <c r="AV36">
        <v>705.77417379999997</v>
      </c>
      <c r="AW36">
        <v>663.74980100000005</v>
      </c>
    </row>
    <row r="37" spans="2:49" x14ac:dyDescent="0.25">
      <c r="B37" t="s">
        <v>366</v>
      </c>
      <c r="C37">
        <v>2185.3248924602099</v>
      </c>
      <c r="D37">
        <v>2220.4109904720199</v>
      </c>
      <c r="E37">
        <v>2256.0604069999999</v>
      </c>
      <c r="F37">
        <v>2171.0796930000001</v>
      </c>
      <c r="G37">
        <v>2081.2164200000002</v>
      </c>
      <c r="H37">
        <v>1996.001162</v>
      </c>
      <c r="I37">
        <v>1914.532616</v>
      </c>
      <c r="J37">
        <v>1833.2948859999999</v>
      </c>
      <c r="K37">
        <v>1752.155135</v>
      </c>
      <c r="L37">
        <v>1670.7647360000001</v>
      </c>
      <c r="M37">
        <v>1593.386051</v>
      </c>
      <c r="N37">
        <v>1522.281189</v>
      </c>
      <c r="O37">
        <v>1455.4943920000001</v>
      </c>
      <c r="P37">
        <v>1405.616972</v>
      </c>
      <c r="Q37">
        <v>1354.14517</v>
      </c>
      <c r="R37">
        <v>1301.171685</v>
      </c>
      <c r="S37">
        <v>1244.796468</v>
      </c>
      <c r="T37">
        <v>1184.6289360000001</v>
      </c>
      <c r="U37">
        <v>1118.8162170000001</v>
      </c>
      <c r="V37">
        <v>1053.0034989999999</v>
      </c>
      <c r="W37">
        <v>991.0621165</v>
      </c>
      <c r="X37">
        <v>932.76434500000005</v>
      </c>
      <c r="Y37">
        <v>877.89585409999995</v>
      </c>
      <c r="Z37">
        <v>826.25492150000002</v>
      </c>
      <c r="AA37">
        <v>777.65169079999998</v>
      </c>
      <c r="AB37">
        <v>731.90747369999997</v>
      </c>
      <c r="AC37">
        <v>688.85409289999996</v>
      </c>
      <c r="AD37">
        <v>648.33326390000002</v>
      </c>
      <c r="AE37">
        <v>610.19601309999996</v>
      </c>
      <c r="AF37">
        <v>574.30213000000003</v>
      </c>
      <c r="AG37">
        <v>540.51965170000005</v>
      </c>
      <c r="AH37">
        <v>508.72437810000002</v>
      </c>
      <c r="AI37">
        <v>478.7994147</v>
      </c>
      <c r="AJ37">
        <v>450.6347432</v>
      </c>
      <c r="AK37">
        <v>424.1268172</v>
      </c>
      <c r="AL37">
        <v>399.17818089999997</v>
      </c>
      <c r="AM37">
        <v>375.69711139999998</v>
      </c>
      <c r="AN37">
        <v>353.46651309999999</v>
      </c>
      <c r="AO37">
        <v>332.42683970000002</v>
      </c>
      <c r="AP37">
        <v>312.5210409</v>
      </c>
      <c r="AQ37">
        <v>293.69447220000001</v>
      </c>
      <c r="AR37">
        <v>275.8948072</v>
      </c>
      <c r="AS37">
        <v>259.07195309999997</v>
      </c>
      <c r="AT37">
        <v>243.17796820000001</v>
      </c>
      <c r="AU37">
        <v>228.16698260000001</v>
      </c>
      <c r="AV37">
        <v>213.9951203</v>
      </c>
      <c r="AW37">
        <v>200.62042529999999</v>
      </c>
    </row>
    <row r="38" spans="2:49" x14ac:dyDescent="0.25">
      <c r="B38" t="s">
        <v>367</v>
      </c>
      <c r="C38">
        <v>6.9573204344700098E-3</v>
      </c>
      <c r="D38">
        <v>7.06902246445449E-3</v>
      </c>
      <c r="E38">
        <v>7.1825179100000001E-3</v>
      </c>
      <c r="F38">
        <v>1.77811922E-2</v>
      </c>
      <c r="G38">
        <v>4.2289114799999999E-2</v>
      </c>
      <c r="H38">
        <v>0.1111770514</v>
      </c>
      <c r="I38">
        <v>0.21092037029999999</v>
      </c>
      <c r="J38">
        <v>0.34765670920000002</v>
      </c>
      <c r="K38">
        <v>0.49890455709999998</v>
      </c>
      <c r="L38">
        <v>0.69941698600000002</v>
      </c>
      <c r="M38">
        <v>1.016930517</v>
      </c>
      <c r="N38">
        <v>1.42720772</v>
      </c>
      <c r="O38">
        <v>2.0195603059999998</v>
      </c>
      <c r="P38">
        <v>2.2975554790000001</v>
      </c>
      <c r="Q38">
        <v>2.8112478780000001</v>
      </c>
      <c r="R38">
        <v>3.736218579</v>
      </c>
      <c r="S38">
        <v>5.2056970690000002</v>
      </c>
      <c r="T38">
        <v>7.3466919519999996</v>
      </c>
      <c r="U38">
        <v>12.63529344</v>
      </c>
      <c r="V38">
        <v>21.226404599999999</v>
      </c>
      <c r="W38">
        <v>31.931677449999999</v>
      </c>
      <c r="X38">
        <v>44.914540039999999</v>
      </c>
      <c r="Y38">
        <v>60.739981589999999</v>
      </c>
      <c r="Z38">
        <v>79.493887830000006</v>
      </c>
      <c r="AA38">
        <v>101.4524505</v>
      </c>
      <c r="AB38">
        <v>126.70745169999999</v>
      </c>
      <c r="AC38">
        <v>155.24502899999999</v>
      </c>
      <c r="AD38">
        <v>187.06608940000001</v>
      </c>
      <c r="AE38">
        <v>220.14600849999999</v>
      </c>
      <c r="AF38">
        <v>255.18983539999999</v>
      </c>
      <c r="AG38">
        <v>292.49583999999999</v>
      </c>
      <c r="AH38">
        <v>329.77544590000002</v>
      </c>
      <c r="AI38">
        <v>370.66625570000002</v>
      </c>
      <c r="AJ38">
        <v>414.61116559999999</v>
      </c>
      <c r="AK38">
        <v>461.1746996</v>
      </c>
      <c r="AL38">
        <v>510.12881349999998</v>
      </c>
      <c r="AM38">
        <v>561.27476379999996</v>
      </c>
      <c r="AN38">
        <v>614.58276850000004</v>
      </c>
      <c r="AO38">
        <v>670.30118619999996</v>
      </c>
      <c r="AP38">
        <v>728.61678949999998</v>
      </c>
      <c r="AQ38">
        <v>789.54128660000003</v>
      </c>
      <c r="AR38">
        <v>853.03318479999996</v>
      </c>
      <c r="AS38">
        <v>918.54324699999995</v>
      </c>
      <c r="AT38">
        <v>986.29579020000006</v>
      </c>
      <c r="AU38">
        <v>1056.3674040000001</v>
      </c>
      <c r="AV38">
        <v>1128.7778499999999</v>
      </c>
      <c r="AW38">
        <v>1203.620917</v>
      </c>
    </row>
    <row r="39" spans="2:49" x14ac:dyDescent="0.25">
      <c r="B39" t="s">
        <v>368</v>
      </c>
      <c r="C39">
        <v>1.59483191497851E-2</v>
      </c>
      <c r="D39">
        <v>1.6204374572364899E-2</v>
      </c>
      <c r="E39">
        <v>1.6464540999999999E-2</v>
      </c>
      <c r="F39">
        <v>4.0034392299999999E-2</v>
      </c>
      <c r="G39">
        <v>8.2735307999999896E-2</v>
      </c>
      <c r="H39">
        <v>0.17095687709999999</v>
      </c>
      <c r="I39">
        <v>0.29468510860000002</v>
      </c>
      <c r="J39">
        <v>0.46251157749999999</v>
      </c>
      <c r="K39">
        <v>0.652426281</v>
      </c>
      <c r="L39">
        <v>0.89845845619999998</v>
      </c>
      <c r="M39">
        <v>1.258993601</v>
      </c>
      <c r="N39">
        <v>1.7110739619999999</v>
      </c>
      <c r="O39">
        <v>2.3511493520000002</v>
      </c>
      <c r="P39">
        <v>2.8673108599999999</v>
      </c>
      <c r="Q39">
        <v>3.6476147650000001</v>
      </c>
      <c r="R39">
        <v>4.830361173</v>
      </c>
      <c r="S39">
        <v>6.4799297730000003</v>
      </c>
      <c r="T39">
        <v>8.6774397969999999</v>
      </c>
      <c r="U39">
        <v>13.136630390000001</v>
      </c>
      <c r="V39">
        <v>19.94961279</v>
      </c>
      <c r="W39">
        <v>28.344309800000001</v>
      </c>
      <c r="X39">
        <v>38.403477410000001</v>
      </c>
      <c r="Y39">
        <v>50.544879479999999</v>
      </c>
      <c r="Z39">
        <v>64.775660950000002</v>
      </c>
      <c r="AA39">
        <v>81.264785329999995</v>
      </c>
      <c r="AB39">
        <v>100.03087530000001</v>
      </c>
      <c r="AC39">
        <v>121.01054120000001</v>
      </c>
      <c r="AD39">
        <v>144.154605</v>
      </c>
      <c r="AE39">
        <v>167.88164309999999</v>
      </c>
      <c r="AF39">
        <v>192.72970979999999</v>
      </c>
      <c r="AG39">
        <v>218.89998689999999</v>
      </c>
      <c r="AH39">
        <v>244.67769519999999</v>
      </c>
      <c r="AI39">
        <v>272.73707660000002</v>
      </c>
      <c r="AJ39">
        <v>302.59959709999998</v>
      </c>
      <c r="AK39">
        <v>333.89938860000001</v>
      </c>
      <c r="AL39">
        <v>366.4345227</v>
      </c>
      <c r="AM39">
        <v>400.03082899999998</v>
      </c>
      <c r="AN39">
        <v>434.47135250000002</v>
      </c>
      <c r="AO39">
        <v>469.89531440000002</v>
      </c>
      <c r="AP39">
        <v>506.39233050000001</v>
      </c>
      <c r="AQ39">
        <v>543.92437810000001</v>
      </c>
      <c r="AR39">
        <v>582.41558039999995</v>
      </c>
      <c r="AS39">
        <v>621.45359259999998</v>
      </c>
      <c r="AT39">
        <v>661.14617799999996</v>
      </c>
      <c r="AU39">
        <v>701.49519569999995</v>
      </c>
      <c r="AV39">
        <v>742.46196840000005</v>
      </c>
      <c r="AW39">
        <v>784.04862319999995</v>
      </c>
    </row>
    <row r="40" spans="2:49" x14ac:dyDescent="0.25">
      <c r="B40" t="s">
        <v>369</v>
      </c>
      <c r="C40">
        <v>6.5291776385026298E-2</v>
      </c>
      <c r="D40">
        <v>6.63400569741113E-2</v>
      </c>
      <c r="E40">
        <v>6.7405168000000001E-2</v>
      </c>
      <c r="F40">
        <v>0.16274611980000001</v>
      </c>
      <c r="G40">
        <v>0.3161943042</v>
      </c>
      <c r="H40">
        <v>0.5675690699</v>
      </c>
      <c r="I40">
        <v>0.90900081160000001</v>
      </c>
      <c r="J40">
        <v>1.3670251840000001</v>
      </c>
      <c r="K40">
        <v>1.8977173469999999</v>
      </c>
      <c r="L40">
        <v>2.5690072549999998</v>
      </c>
      <c r="M40">
        <v>3.4691591910000001</v>
      </c>
      <c r="N40">
        <v>4.5553942750000003</v>
      </c>
      <c r="O40">
        <v>6.0534936930000001</v>
      </c>
      <c r="P40">
        <v>7.9729656220000003</v>
      </c>
      <c r="Q40">
        <v>10.538360320000001</v>
      </c>
      <c r="R40">
        <v>13.903484130000001</v>
      </c>
      <c r="S40">
        <v>17.962774190000001</v>
      </c>
      <c r="T40">
        <v>22.733319130000002</v>
      </c>
      <c r="U40">
        <v>29.304583770000001</v>
      </c>
      <c r="V40">
        <v>37.850648120000002</v>
      </c>
      <c r="W40">
        <v>48.071722129999998</v>
      </c>
      <c r="X40">
        <v>59.922374869999999</v>
      </c>
      <c r="Y40">
        <v>73.843653459999999</v>
      </c>
      <c r="Z40">
        <v>89.657850890000006</v>
      </c>
      <c r="AA40">
        <v>107.4352837</v>
      </c>
      <c r="AB40">
        <v>127.04918979999999</v>
      </c>
      <c r="AC40">
        <v>148.28225409999999</v>
      </c>
      <c r="AD40">
        <v>170.9499902</v>
      </c>
      <c r="AE40">
        <v>193.18046530000001</v>
      </c>
      <c r="AF40">
        <v>215.61687839999999</v>
      </c>
      <c r="AG40">
        <v>238.4415913</v>
      </c>
      <c r="AH40">
        <v>259.85155529999997</v>
      </c>
      <c r="AI40">
        <v>282.59388480000001</v>
      </c>
      <c r="AJ40">
        <v>306.02694200000002</v>
      </c>
      <c r="AK40">
        <v>329.69678119999998</v>
      </c>
      <c r="AL40">
        <v>353.35214200000001</v>
      </c>
      <c r="AM40">
        <v>376.7906744</v>
      </c>
      <c r="AN40">
        <v>399.3940025</v>
      </c>
      <c r="AO40">
        <v>421.2724321</v>
      </c>
      <c r="AP40">
        <v>442.47959759999998</v>
      </c>
      <c r="AQ40">
        <v>462.95087389999998</v>
      </c>
      <c r="AR40">
        <v>482.59272559999999</v>
      </c>
      <c r="AS40">
        <v>501.06992550000001</v>
      </c>
      <c r="AT40">
        <v>518.44978060000005</v>
      </c>
      <c r="AU40">
        <v>534.70874289999995</v>
      </c>
      <c r="AV40">
        <v>549.79227370000001</v>
      </c>
      <c r="AW40">
        <v>563.66468940000004</v>
      </c>
    </row>
    <row r="41" spans="2:49" x14ac:dyDescent="0.25">
      <c r="B41" t="s">
        <v>370</v>
      </c>
      <c r="C41">
        <v>1.5338215665531501</v>
      </c>
      <c r="D41">
        <v>1.55844756793281</v>
      </c>
      <c r="E41">
        <v>1.5834689479999999</v>
      </c>
      <c r="F41">
        <v>3.8199750610000001</v>
      </c>
      <c r="G41">
        <v>7.3654924619999997</v>
      </c>
      <c r="H41">
        <v>12.972661759999999</v>
      </c>
      <c r="I41">
        <v>20.547090959999998</v>
      </c>
      <c r="J41">
        <v>30.688629219999999</v>
      </c>
      <c r="K41">
        <v>42.487619559999999</v>
      </c>
      <c r="L41">
        <v>57.350952630000002</v>
      </c>
      <c r="M41">
        <v>76.960617170000006</v>
      </c>
      <c r="N41">
        <v>100.44915690000001</v>
      </c>
      <c r="O41">
        <v>132.67584450000001</v>
      </c>
      <c r="P41">
        <v>177.21449419999999</v>
      </c>
      <c r="Q41">
        <v>235.74127440000001</v>
      </c>
      <c r="R41">
        <v>310.78634010000002</v>
      </c>
      <c r="S41">
        <v>398.96761470000001</v>
      </c>
      <c r="T41">
        <v>499.97953380000001</v>
      </c>
      <c r="U41">
        <v>626.22831989999997</v>
      </c>
      <c r="V41">
        <v>783.09547420000001</v>
      </c>
      <c r="W41">
        <v>969.35582120000004</v>
      </c>
      <c r="X41">
        <v>1183.554758</v>
      </c>
      <c r="Y41">
        <v>1433.6018369999999</v>
      </c>
      <c r="Z41">
        <v>1715.54126</v>
      </c>
      <c r="AA41">
        <v>2030.275416</v>
      </c>
      <c r="AB41">
        <v>2375.100375</v>
      </c>
      <c r="AC41">
        <v>2745.7717160000002</v>
      </c>
      <c r="AD41">
        <v>3138.7840329999999</v>
      </c>
      <c r="AE41">
        <v>3520.592028</v>
      </c>
      <c r="AF41">
        <v>3903.2516220000002</v>
      </c>
      <c r="AG41">
        <v>4290.267906</v>
      </c>
      <c r="AH41">
        <v>4650.2520290000002</v>
      </c>
      <c r="AI41">
        <v>5031.8050139999996</v>
      </c>
      <c r="AJ41">
        <v>5423.7398899999998</v>
      </c>
      <c r="AK41">
        <v>5818.4386759999998</v>
      </c>
      <c r="AL41">
        <v>6211.9675790000001</v>
      </c>
      <c r="AM41">
        <v>6601.3305360000004</v>
      </c>
      <c r="AN41">
        <v>6976.3869359999999</v>
      </c>
      <c r="AO41">
        <v>7339.9864390000002</v>
      </c>
      <c r="AP41">
        <v>7694.0079029999997</v>
      </c>
      <c r="AQ41">
        <v>8038.349193</v>
      </c>
      <c r="AR41">
        <v>8372.4557189999996</v>
      </c>
      <c r="AS41">
        <v>8691.7073010000004</v>
      </c>
      <c r="AT41">
        <v>8998.3010250000007</v>
      </c>
      <c r="AU41">
        <v>9292.9351879999995</v>
      </c>
      <c r="AV41">
        <v>9575.8098499999996</v>
      </c>
      <c r="AW41">
        <v>9847.5081599999994</v>
      </c>
    </row>
    <row r="42" spans="2:49" x14ac:dyDescent="0.25">
      <c r="B42" t="s">
        <v>371</v>
      </c>
      <c r="C42">
        <v>0.60453762790594801</v>
      </c>
      <c r="D42">
        <v>0.61424367506521405</v>
      </c>
      <c r="E42">
        <v>0.62410555599999995</v>
      </c>
      <c r="F42">
        <v>1.505353438</v>
      </c>
      <c r="G42">
        <v>2.8982349379999999</v>
      </c>
      <c r="H42">
        <v>5.0847642219999996</v>
      </c>
      <c r="I42">
        <v>8.0348091069999903</v>
      </c>
      <c r="J42">
        <v>11.98294825</v>
      </c>
      <c r="K42" s="100">
        <v>16.580583699999998</v>
      </c>
      <c r="L42" s="100">
        <v>22.36687216</v>
      </c>
      <c r="M42" s="100">
        <v>29.972187420000001</v>
      </c>
      <c r="N42" s="100">
        <v>39.065611939999997</v>
      </c>
      <c r="O42" s="100">
        <v>51.525964999999999</v>
      </c>
      <c r="P42">
        <v>69.039489329999995</v>
      </c>
      <c r="Q42">
        <v>91.973255230000007</v>
      </c>
      <c r="R42">
        <v>121.2356293</v>
      </c>
      <c r="S42">
        <v>155.4128316</v>
      </c>
      <c r="T42">
        <v>194.3144704</v>
      </c>
      <c r="U42">
        <v>241.51694140000001</v>
      </c>
      <c r="V42">
        <v>299.0780638</v>
      </c>
      <c r="W42">
        <v>367.15585829999998</v>
      </c>
      <c r="X42">
        <v>445.0880621</v>
      </c>
      <c r="Y42">
        <v>535.70902030000002</v>
      </c>
      <c r="Z42">
        <v>637.4088213</v>
      </c>
      <c r="AA42">
        <v>750.40186570000003</v>
      </c>
      <c r="AB42">
        <v>873.57357339999999</v>
      </c>
      <c r="AC42">
        <v>1005.256951</v>
      </c>
      <c r="AD42">
        <v>1144.071428</v>
      </c>
      <c r="AE42">
        <v>1277.816822</v>
      </c>
      <c r="AF42">
        <v>1410.9007240000001</v>
      </c>
      <c r="AG42">
        <v>1544.56303</v>
      </c>
      <c r="AH42">
        <v>1667.5975490000001</v>
      </c>
      <c r="AI42">
        <v>1797.3332479999999</v>
      </c>
      <c r="AJ42">
        <v>1929.6560489999999</v>
      </c>
      <c r="AK42">
        <v>2061.800099</v>
      </c>
      <c r="AL42">
        <v>2192.3487789999999</v>
      </c>
      <c r="AM42">
        <v>2320.2420339999999</v>
      </c>
      <c r="AN42">
        <v>2441.5563750000001</v>
      </c>
      <c r="AO42">
        <v>2557.3266619999999</v>
      </c>
      <c r="AP42">
        <v>2668.2397350000001</v>
      </c>
      <c r="AQ42">
        <v>2774.294609</v>
      </c>
      <c r="AR42">
        <v>2875.3425539999998</v>
      </c>
      <c r="AS42">
        <v>2969.8890500000002</v>
      </c>
      <c r="AT42">
        <v>3058.7410920000002</v>
      </c>
      <c r="AU42">
        <v>3142.1944309999999</v>
      </c>
      <c r="AV42">
        <v>3220.3809729999998</v>
      </c>
      <c r="AW42">
        <v>3293.5536480000001</v>
      </c>
    </row>
    <row r="43" spans="2:49" x14ac:dyDescent="0.25">
      <c r="B43" t="s">
        <v>372</v>
      </c>
      <c r="C43">
        <v>8.2417488223721705E-3</v>
      </c>
      <c r="D43">
        <v>8.3740727655845504E-3</v>
      </c>
      <c r="E43">
        <v>8.5085212099999998E-3</v>
      </c>
      <c r="F43">
        <v>2.0174545200000001E-2</v>
      </c>
      <c r="G43">
        <v>3.27298995E-2</v>
      </c>
      <c r="H43">
        <v>4.0086367499999997E-2</v>
      </c>
      <c r="I43">
        <v>5.0504288500000001E-2</v>
      </c>
      <c r="J43">
        <v>6.4893555199999994E-2</v>
      </c>
      <c r="K43">
        <v>8.1865127900000001E-2</v>
      </c>
      <c r="L43">
        <v>0.1035588912</v>
      </c>
      <c r="M43">
        <v>0.13253494639999999</v>
      </c>
      <c r="N43">
        <v>0.16746920800000001</v>
      </c>
      <c r="O43">
        <v>0.2157608503</v>
      </c>
      <c r="P43">
        <v>0.36685768699999999</v>
      </c>
      <c r="Q43">
        <v>0.46294453540000002</v>
      </c>
      <c r="R43">
        <v>0.57204347980000003</v>
      </c>
      <c r="S43">
        <v>0.70141937180000002</v>
      </c>
      <c r="T43">
        <v>0.85060674189999996</v>
      </c>
      <c r="U43">
        <v>1.0382445140000001</v>
      </c>
      <c r="V43">
        <v>1.272949554</v>
      </c>
      <c r="W43">
        <v>1.5529775459999999</v>
      </c>
      <c r="X43">
        <v>1.8761523950000001</v>
      </c>
      <c r="Y43">
        <v>2.2545897199999998</v>
      </c>
      <c r="Z43">
        <v>2.6823163600000002</v>
      </c>
      <c r="AA43">
        <v>3.160772353</v>
      </c>
      <c r="AB43">
        <v>3.6858960199999999</v>
      </c>
      <c r="AC43">
        <v>4.2512730249999997</v>
      </c>
      <c r="AD43">
        <v>4.8516179839999998</v>
      </c>
      <c r="AE43">
        <v>5.4356488150000004</v>
      </c>
      <c r="AF43">
        <v>6.0218159079999998</v>
      </c>
      <c r="AG43">
        <v>6.6155275820000004</v>
      </c>
      <c r="AH43">
        <v>7.1686899579999999</v>
      </c>
      <c r="AI43">
        <v>7.7558566510000002</v>
      </c>
      <c r="AJ43">
        <v>8.3600016900000007</v>
      </c>
      <c r="AK43">
        <v>8.9695267340000004</v>
      </c>
      <c r="AL43">
        <v>9.5784614349999995</v>
      </c>
      <c r="AM43">
        <v>10.182260510000001</v>
      </c>
      <c r="AN43">
        <v>10.76575287</v>
      </c>
      <c r="AO43">
        <v>11.33339002</v>
      </c>
      <c r="AP43">
        <v>11.88814022</v>
      </c>
      <c r="AQ43">
        <v>12.42992696</v>
      </c>
      <c r="AR43">
        <v>12.95797312</v>
      </c>
      <c r="AS43">
        <v>13.465183489999999</v>
      </c>
      <c r="AT43">
        <v>13.95501827</v>
      </c>
      <c r="AU43">
        <v>14.42862738</v>
      </c>
      <c r="AV43">
        <v>14.88638815</v>
      </c>
      <c r="AW43">
        <v>15.32928701</v>
      </c>
    </row>
    <row r="44" spans="2:49" x14ac:dyDescent="0.25">
      <c r="B44" t="s">
        <v>373</v>
      </c>
      <c r="C44">
        <v>0.101255771246286</v>
      </c>
      <c r="D44">
        <v>0.10288146540575301</v>
      </c>
      <c r="E44">
        <v>0.1045332606</v>
      </c>
      <c r="F44">
        <v>0.25185640120000002</v>
      </c>
      <c r="G44">
        <v>0.48002700450000002</v>
      </c>
      <c r="H44">
        <v>0.82059828779999999</v>
      </c>
      <c r="I44">
        <v>1.2763199489999999</v>
      </c>
      <c r="J44">
        <v>1.884455862</v>
      </c>
      <c r="K44">
        <v>2.59707694</v>
      </c>
      <c r="L44">
        <v>3.4883225919999998</v>
      </c>
      <c r="M44">
        <v>4.6304075109999996</v>
      </c>
      <c r="N44">
        <v>5.979700126</v>
      </c>
      <c r="O44">
        <v>7.812860895</v>
      </c>
      <c r="P44">
        <v>10.698076629999999</v>
      </c>
      <c r="Q44">
        <v>14.389015819999999</v>
      </c>
      <c r="R44">
        <v>18.94533646</v>
      </c>
      <c r="S44">
        <v>24.054397420000001</v>
      </c>
      <c r="T44">
        <v>29.625794119999998</v>
      </c>
      <c r="U44">
        <v>35.158427490000001</v>
      </c>
      <c r="V44">
        <v>41.108583510000003</v>
      </c>
      <c r="W44">
        <v>47.984344620000002</v>
      </c>
      <c r="X44">
        <v>55.641114620000003</v>
      </c>
      <c r="Y44">
        <v>64.345391309999997</v>
      </c>
      <c r="Z44">
        <v>73.842512959999894</v>
      </c>
      <c r="AA44">
        <v>84.100570309999995</v>
      </c>
      <c r="AB44">
        <v>94.949248130000001</v>
      </c>
      <c r="AC44">
        <v>106.172937</v>
      </c>
      <c r="AD44">
        <v>117.59916629999999</v>
      </c>
      <c r="AE44">
        <v>128.04796329999999</v>
      </c>
      <c r="AF44">
        <v>137.99100100000001</v>
      </c>
      <c r="AG44">
        <v>147.55664580000001</v>
      </c>
      <c r="AH44">
        <v>155.77653430000001</v>
      </c>
      <c r="AI44">
        <v>164.1959947</v>
      </c>
      <c r="AJ44">
        <v>172.42402530000001</v>
      </c>
      <c r="AK44">
        <v>180.22541570000001</v>
      </c>
      <c r="AL44">
        <v>187.49969809999999</v>
      </c>
      <c r="AM44">
        <v>194.18707810000001</v>
      </c>
      <c r="AN44">
        <v>199.8906226</v>
      </c>
      <c r="AO44">
        <v>204.75027750000001</v>
      </c>
      <c r="AP44">
        <v>208.8724363</v>
      </c>
      <c r="AQ44">
        <v>212.30963</v>
      </c>
      <c r="AR44">
        <v>215.10390269999999</v>
      </c>
      <c r="AS44">
        <v>217.21434769999999</v>
      </c>
      <c r="AT44">
        <v>218.7465411</v>
      </c>
      <c r="AU44">
        <v>219.76814060000001</v>
      </c>
      <c r="AV44">
        <v>220.33391030000001</v>
      </c>
      <c r="AW44">
        <v>220.50164169999999</v>
      </c>
    </row>
    <row r="45" spans="2:49" x14ac:dyDescent="0.25">
      <c r="B45" t="s">
        <v>374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375</v>
      </c>
      <c r="C46">
        <v>30996.0941631817</v>
      </c>
      <c r="D46">
        <v>31493.7464809423</v>
      </c>
      <c r="E46">
        <v>31999.388770000001</v>
      </c>
      <c r="F46">
        <v>32682.561079999999</v>
      </c>
      <c r="G46">
        <v>33303.577010000001</v>
      </c>
      <c r="H46">
        <v>34123.077129999998</v>
      </c>
      <c r="I46">
        <v>34832.514109999996</v>
      </c>
      <c r="J46">
        <v>35442.350680000003</v>
      </c>
      <c r="K46">
        <v>35666.517310000003</v>
      </c>
      <c r="L46">
        <v>35752.439630000001</v>
      </c>
      <c r="M46">
        <v>35830.623039999999</v>
      </c>
      <c r="N46">
        <v>35757.951739999997</v>
      </c>
      <c r="O46">
        <v>35775.846810000003</v>
      </c>
      <c r="P46">
        <v>36050.747629999998</v>
      </c>
      <c r="Q46">
        <v>36349.322440000004</v>
      </c>
      <c r="R46">
        <v>36639.73444</v>
      </c>
      <c r="S46">
        <v>36782.045729999998</v>
      </c>
      <c r="T46">
        <v>36762.421329999997</v>
      </c>
      <c r="U46">
        <v>36578.617899999997</v>
      </c>
      <c r="V46">
        <v>36313.67497</v>
      </c>
      <c r="W46">
        <v>36015.17254</v>
      </c>
      <c r="X46">
        <v>35658.268909999999</v>
      </c>
      <c r="Y46">
        <v>35286.096729999997</v>
      </c>
      <c r="Z46">
        <v>34874.129410000001</v>
      </c>
      <c r="AA46">
        <v>34431.778509999996</v>
      </c>
      <c r="AB46">
        <v>33957.391530000001</v>
      </c>
      <c r="AC46">
        <v>33449.266470000002</v>
      </c>
      <c r="AD46">
        <v>32911.211360000001</v>
      </c>
      <c r="AE46">
        <v>32279.31407</v>
      </c>
      <c r="AF46">
        <v>31604.382850000002</v>
      </c>
      <c r="AG46">
        <v>30908.702239999999</v>
      </c>
      <c r="AH46">
        <v>30149.564180000001</v>
      </c>
      <c r="AI46">
        <v>29421.183290000001</v>
      </c>
      <c r="AJ46">
        <v>28709.535510000002</v>
      </c>
      <c r="AK46" s="100">
        <v>28008.015149999999</v>
      </c>
      <c r="AL46" s="100">
        <v>27315.707450000002</v>
      </c>
      <c r="AM46" s="100">
        <v>26632.708030000002</v>
      </c>
      <c r="AN46" s="100">
        <v>25944.513500000001</v>
      </c>
      <c r="AO46" s="100">
        <v>25258.64028</v>
      </c>
      <c r="AP46" s="100">
        <v>24580.31912</v>
      </c>
      <c r="AQ46" s="100">
        <v>23911.912049999999</v>
      </c>
      <c r="AR46" s="100">
        <v>23254.85212</v>
      </c>
      <c r="AS46" s="100">
        <v>22606.478149999999</v>
      </c>
      <c r="AT46" s="100">
        <v>21970.267339999999</v>
      </c>
      <c r="AU46" s="100">
        <v>21347.890479999998</v>
      </c>
      <c r="AV46" s="100">
        <v>20740.285449999999</v>
      </c>
      <c r="AW46">
        <v>20148.471570000002</v>
      </c>
    </row>
    <row r="47" spans="2:49" x14ac:dyDescent="0.25">
      <c r="B47" t="s">
        <v>376</v>
      </c>
      <c r="C47">
        <v>2.3360541304970401</v>
      </c>
      <c r="D47" s="100">
        <v>2.3735602351802898</v>
      </c>
      <c r="E47" s="100">
        <v>2.411668513</v>
      </c>
      <c r="F47">
        <v>5.8179211500000001</v>
      </c>
      <c r="G47">
        <v>11.217703029999999</v>
      </c>
      <c r="H47">
        <v>19.76781364</v>
      </c>
      <c r="I47">
        <v>31.323330590000001</v>
      </c>
      <c r="J47">
        <v>46.798120359999999</v>
      </c>
      <c r="K47">
        <v>64.796193509999995</v>
      </c>
      <c r="L47">
        <v>87.476588969999995</v>
      </c>
      <c r="M47">
        <v>117.4408304</v>
      </c>
      <c r="N47" s="100">
        <v>153.3556141</v>
      </c>
      <c r="O47" s="100">
        <v>202.65463460000001</v>
      </c>
      <c r="P47" s="100">
        <v>270.45674980000001</v>
      </c>
      <c r="Q47" s="100">
        <v>359.56371289999998</v>
      </c>
      <c r="R47" s="100">
        <v>474.00941330000001</v>
      </c>
      <c r="S47" s="100">
        <v>608.78466419999995</v>
      </c>
      <c r="T47" s="100">
        <v>763.52785600000004</v>
      </c>
      <c r="U47" s="100">
        <v>959.01844089999997</v>
      </c>
      <c r="V47" s="100">
        <v>1203.5817360000001</v>
      </c>
      <c r="W47" s="100">
        <v>1494.3967110000001</v>
      </c>
      <c r="X47" s="100">
        <v>1829.4004789999999</v>
      </c>
      <c r="Y47" s="100">
        <v>2221.0393530000001</v>
      </c>
      <c r="Z47" s="100">
        <v>2663.4023099999999</v>
      </c>
      <c r="AA47" s="100">
        <v>3158.091144</v>
      </c>
      <c r="AB47" s="100">
        <v>3701.0966090000002</v>
      </c>
      <c r="AC47" s="100">
        <v>4285.9907000000003</v>
      </c>
      <c r="AD47" s="100">
        <v>4907.4769299999998</v>
      </c>
      <c r="AE47" s="100">
        <v>5513.1005789999999</v>
      </c>
      <c r="AF47" s="100">
        <v>6121.7015860000001</v>
      </c>
      <c r="AG47">
        <v>6738.8405279999997</v>
      </c>
      <c r="AH47">
        <v>7315.0994989999999</v>
      </c>
      <c r="AI47">
        <v>7927.0873309999997</v>
      </c>
      <c r="AJ47">
        <v>8557.4176709999902</v>
      </c>
      <c r="AK47">
        <v>9194.2045870000002</v>
      </c>
      <c r="AL47">
        <v>9831.309996</v>
      </c>
      <c r="AM47">
        <v>10464.03818</v>
      </c>
      <c r="AN47">
        <v>11077.04781</v>
      </c>
      <c r="AO47">
        <v>11674.8657</v>
      </c>
      <c r="AP47">
        <v>12260.496929999999</v>
      </c>
      <c r="AQ47">
        <v>12833.7999</v>
      </c>
      <c r="AR47">
        <v>13393.90164</v>
      </c>
      <c r="AS47">
        <v>13933.342650000001</v>
      </c>
      <c r="AT47">
        <v>14455.635420000001</v>
      </c>
      <c r="AU47">
        <v>14961.897730000001</v>
      </c>
      <c r="AV47">
        <v>15452.443209999999</v>
      </c>
      <c r="AW47">
        <v>15928.22697</v>
      </c>
    </row>
    <row r="48" spans="2:49" x14ac:dyDescent="0.25">
      <c r="B48" t="s">
        <v>377</v>
      </c>
      <c r="C48">
        <v>2.1906436884240502E-2</v>
      </c>
      <c r="D48" s="100">
        <v>2.2258151814254699E-2</v>
      </c>
      <c r="E48" s="100">
        <v>2.2615513600000001E-2</v>
      </c>
      <c r="F48">
        <v>2.1808166800000001E-2</v>
      </c>
      <c r="G48">
        <v>5.1452387000000002E-2</v>
      </c>
      <c r="H48">
        <v>8.5486916999999996E-2</v>
      </c>
      <c r="I48" s="100">
        <v>0.1197767746</v>
      </c>
      <c r="J48" s="100">
        <v>0.16460842010000001</v>
      </c>
      <c r="K48" s="100">
        <v>0.2052399818</v>
      </c>
      <c r="L48" s="100">
        <v>0.2401347043</v>
      </c>
      <c r="M48" s="100">
        <v>0.27293587019999999</v>
      </c>
      <c r="N48" s="100">
        <v>0.29010598920000003</v>
      </c>
      <c r="O48" s="100">
        <v>0.3024608412</v>
      </c>
      <c r="P48" s="100">
        <v>0.30863236109999997</v>
      </c>
      <c r="Q48" s="100">
        <v>0.33581017590000001</v>
      </c>
      <c r="R48" s="100">
        <v>0.3675383565</v>
      </c>
      <c r="S48" s="100">
        <v>0.42250217610000002</v>
      </c>
      <c r="T48" s="100">
        <v>0.46859043239999998</v>
      </c>
      <c r="U48" s="100">
        <v>0.54505893579999998</v>
      </c>
      <c r="V48" s="100">
        <v>0.63539582610000001</v>
      </c>
      <c r="W48" s="100">
        <v>0.72468825569999995</v>
      </c>
      <c r="X48" s="100">
        <v>0.81115181749999998</v>
      </c>
      <c r="Y48" s="100">
        <v>0.89463159039999995</v>
      </c>
      <c r="Z48" s="100">
        <v>0.9729104086</v>
      </c>
      <c r="AA48" s="100">
        <v>1.0468839590000001</v>
      </c>
      <c r="AB48" s="100">
        <v>1.1162183050000001</v>
      </c>
      <c r="AC48" s="100">
        <v>1.1806234120000001</v>
      </c>
      <c r="AD48" s="100">
        <v>1.240232153</v>
      </c>
      <c r="AE48" s="100">
        <v>1.2894374609999999</v>
      </c>
      <c r="AF48" s="100">
        <v>1.332017749</v>
      </c>
      <c r="AG48" s="100">
        <v>1.3697299000000001</v>
      </c>
      <c r="AH48" s="100">
        <v>1.3984604410000001</v>
      </c>
      <c r="AI48" s="100">
        <v>1.426879805</v>
      </c>
      <c r="AJ48" s="100">
        <v>1.453901589</v>
      </c>
      <c r="AK48" s="100">
        <v>1.4790156729999999</v>
      </c>
      <c r="AL48">
        <v>1.5021709130000001</v>
      </c>
      <c r="AM48">
        <v>1.523377459</v>
      </c>
      <c r="AN48">
        <v>1.542685694</v>
      </c>
      <c r="AO48">
        <v>1.5607601879999999</v>
      </c>
      <c r="AP48">
        <v>1.5780376490000001</v>
      </c>
      <c r="AQ48">
        <v>1.594717693</v>
      </c>
      <c r="AR48">
        <v>1.610934351</v>
      </c>
      <c r="AS48">
        <v>1.6264051399999999</v>
      </c>
      <c r="AT48">
        <v>1.6415339760000001</v>
      </c>
      <c r="AU48">
        <v>1.6565085850000001</v>
      </c>
      <c r="AV48">
        <v>1.6714481510000001</v>
      </c>
      <c r="AW48">
        <v>1.686525091</v>
      </c>
    </row>
    <row r="49" spans="2:49" x14ac:dyDescent="0.25">
      <c r="B49" t="s">
        <v>378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2542.822412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2132.7737379999999</v>
      </c>
      <c r="T49">
        <v>2004.660314</v>
      </c>
      <c r="U49">
        <v>2096.4621069999998</v>
      </c>
      <c r="V49">
        <v>2187.7166200000001</v>
      </c>
      <c r="W49">
        <v>2199.2099990000002</v>
      </c>
      <c r="X49">
        <v>2184.5453849999999</v>
      </c>
      <c r="Y49">
        <v>2224.62372</v>
      </c>
      <c r="Z49">
        <v>2236.6977539999998</v>
      </c>
      <c r="AA49">
        <v>2260.4280399999998</v>
      </c>
      <c r="AB49">
        <v>2279.7872900000002</v>
      </c>
      <c r="AC49">
        <v>2291.9742200000001</v>
      </c>
      <c r="AD49">
        <v>2303.1521229999998</v>
      </c>
      <c r="AE49">
        <v>2198.3550869999999</v>
      </c>
      <c r="AF49">
        <v>2156.7529949999998</v>
      </c>
      <c r="AG49">
        <v>2140.6397710000001</v>
      </c>
      <c r="AH49">
        <v>2031.6822460000001</v>
      </c>
      <c r="AI49">
        <v>2087.4106969999998</v>
      </c>
      <c r="AJ49">
        <v>2115.6396530000002</v>
      </c>
      <c r="AK49">
        <v>2127.4402759999998</v>
      </c>
      <c r="AL49">
        <v>2133.1635670000001</v>
      </c>
      <c r="AM49">
        <v>2134.847432</v>
      </c>
      <c r="AN49">
        <v>2119.8888489999999</v>
      </c>
      <c r="AO49">
        <v>2115.6090389999999</v>
      </c>
      <c r="AP49">
        <v>2118.8972549999999</v>
      </c>
      <c r="AQ49">
        <v>2124.222162</v>
      </c>
      <c r="AR49">
        <v>2130.0546549999999</v>
      </c>
      <c r="AS49">
        <v>2125.7471449999998</v>
      </c>
      <c r="AT49">
        <v>2127.7887649999998</v>
      </c>
      <c r="AU49">
        <v>2132.3979599999998</v>
      </c>
      <c r="AV49">
        <v>2138.206803</v>
      </c>
      <c r="AW49">
        <v>2146.015418</v>
      </c>
    </row>
    <row r="50" spans="2:49" x14ac:dyDescent="0.25">
      <c r="B50" t="s">
        <v>379</v>
      </c>
      <c r="C50">
        <v>2297.4487143286601</v>
      </c>
      <c r="D50">
        <v>2334.33499656805</v>
      </c>
      <c r="E50">
        <v>2370.8218320000001</v>
      </c>
      <c r="F50">
        <v>2443.138696</v>
      </c>
      <c r="G50">
        <v>2418.5567860000001</v>
      </c>
      <c r="H50">
        <v>2651.1968590000001</v>
      </c>
      <c r="I50">
        <v>2586.206224</v>
      </c>
      <c r="J50">
        <v>2525.6248390000001</v>
      </c>
      <c r="K50">
        <v>2173.4959250000002</v>
      </c>
      <c r="L50">
        <v>2047.5807669999999</v>
      </c>
      <c r="M50">
        <v>2044.567587</v>
      </c>
      <c r="N50">
        <v>1898.0129710000001</v>
      </c>
      <c r="O50">
        <v>1984.5824210000001</v>
      </c>
      <c r="P50">
        <v>2063.6931530000002</v>
      </c>
      <c r="Q50">
        <v>2101.1121990000001</v>
      </c>
      <c r="R50">
        <v>2107.8781140000001</v>
      </c>
      <c r="S50">
        <v>1974.2980170000001</v>
      </c>
      <c r="T50">
        <v>1819.477889</v>
      </c>
      <c r="U50">
        <v>1858.5533069999999</v>
      </c>
      <c r="V50">
        <v>1886.7404750000001</v>
      </c>
      <c r="W50">
        <v>1837.5960990000001</v>
      </c>
      <c r="X50">
        <v>1761.6359279999999</v>
      </c>
      <c r="Y50">
        <v>1725.3730539999999</v>
      </c>
      <c r="Z50">
        <v>1663.6854229999999</v>
      </c>
      <c r="AA50">
        <v>1609.0684819999999</v>
      </c>
      <c r="AB50">
        <v>1551.0117580000001</v>
      </c>
      <c r="AC50">
        <v>1489.3685640000001</v>
      </c>
      <c r="AD50">
        <v>1429.5487929999999</v>
      </c>
      <c r="AE50">
        <v>1304.056325</v>
      </c>
      <c r="AF50">
        <v>1223.851954</v>
      </c>
      <c r="AG50">
        <v>1163.4007360000001</v>
      </c>
      <c r="AH50">
        <v>1059.0208909999999</v>
      </c>
      <c r="AI50">
        <v>1045.1228940000001</v>
      </c>
      <c r="AJ50">
        <v>1019.010058</v>
      </c>
      <c r="AK50">
        <v>987.27584969999998</v>
      </c>
      <c r="AL50">
        <v>955.22259389999999</v>
      </c>
      <c r="AM50">
        <v>923.80690030000005</v>
      </c>
      <c r="AN50">
        <v>887.70535849999999</v>
      </c>
      <c r="AO50">
        <v>858.44306270000004</v>
      </c>
      <c r="AP50" s="100">
        <v>834.17227049999997</v>
      </c>
      <c r="AQ50" s="100">
        <v>812.33504219999998</v>
      </c>
      <c r="AR50" s="100">
        <v>792.14685850000001</v>
      </c>
      <c r="AS50" s="100">
        <v>769.6048174</v>
      </c>
      <c r="AT50" s="100">
        <v>750.68969079999999</v>
      </c>
      <c r="AU50">
        <v>733.81248029999995</v>
      </c>
      <c r="AV50">
        <v>718.3509014</v>
      </c>
      <c r="AW50">
        <v>704.45396449999998</v>
      </c>
    </row>
    <row r="51" spans="2:49" x14ac:dyDescent="0.25">
      <c r="B51" t="s">
        <v>380</v>
      </c>
      <c r="C51" s="100">
        <v>1.1492990066676601</v>
      </c>
      <c r="D51" s="100">
        <v>1.1677513739710099</v>
      </c>
      <c r="E51" s="100">
        <v>1.1860039179999999</v>
      </c>
      <c r="F51" s="100">
        <v>-1.12432407E-6</v>
      </c>
      <c r="G51" s="100">
        <v>26.90676697</v>
      </c>
      <c r="H51" s="100">
        <v>32.191187650000003</v>
      </c>
      <c r="I51" s="100">
        <v>34.086091930000002</v>
      </c>
      <c r="J51" s="100">
        <v>45.094180479999999</v>
      </c>
      <c r="K51" s="100">
        <v>43.617766889999999</v>
      </c>
      <c r="L51" s="100">
        <v>40.538480440000001</v>
      </c>
      <c r="M51">
        <v>40.383323509999997</v>
      </c>
      <c r="N51">
        <v>28.166417599999999</v>
      </c>
      <c r="O51">
        <v>24.725601059999999</v>
      </c>
      <c r="P51">
        <v>18.507049009999999</v>
      </c>
      <c r="Q51">
        <v>37.360954960000001</v>
      </c>
      <c r="R51">
        <v>42.58742831</v>
      </c>
      <c r="S51">
        <v>64.567115549999997</v>
      </c>
      <c r="T51">
        <v>59.17461179</v>
      </c>
      <c r="U51">
        <v>90.387404029999999</v>
      </c>
      <c r="V51">
        <v>107.9889812</v>
      </c>
      <c r="W51">
        <v>111.77585000000001</v>
      </c>
      <c r="X51">
        <v>113.93400490000001</v>
      </c>
      <c r="Y51">
        <v>115.8004182</v>
      </c>
      <c r="Z51">
        <v>115.55392310000001</v>
      </c>
      <c r="AA51">
        <v>115.8280759</v>
      </c>
      <c r="AB51">
        <v>115.5832297</v>
      </c>
      <c r="AC51">
        <v>114.8408719</v>
      </c>
      <c r="AD51">
        <v>113.95920820000001</v>
      </c>
      <c r="AE51">
        <v>107.877342</v>
      </c>
      <c r="AF51">
        <v>104.58980409999999</v>
      </c>
      <c r="AG51">
        <v>102.50873850000001</v>
      </c>
      <c r="AH51">
        <v>96.541717689999999</v>
      </c>
      <c r="AI51">
        <v>97.76429564</v>
      </c>
      <c r="AJ51">
        <v>98.011382650000002</v>
      </c>
      <c r="AK51">
        <v>97.735265490000003</v>
      </c>
      <c r="AL51">
        <v>97.314643899999894</v>
      </c>
      <c r="AM51">
        <v>96.800932360000004</v>
      </c>
      <c r="AN51" s="100">
        <v>96.700529689999996</v>
      </c>
      <c r="AO51" s="100">
        <v>97.105801549999995</v>
      </c>
      <c r="AP51" s="100">
        <v>97.84918476</v>
      </c>
      <c r="AQ51" s="100">
        <v>98.743730659999997</v>
      </c>
      <c r="AR51" s="100">
        <v>99.741792309999994</v>
      </c>
      <c r="AS51" s="100">
        <v>100.4824787</v>
      </c>
      <c r="AT51">
        <v>101.5566457</v>
      </c>
      <c r="AU51">
        <v>102.7948859</v>
      </c>
      <c r="AV51">
        <v>104.1469412</v>
      </c>
      <c r="AW51">
        <v>105.6666479</v>
      </c>
    </row>
    <row r="52" spans="2:49" x14ac:dyDescent="0.25">
      <c r="B52" t="s">
        <v>381</v>
      </c>
      <c r="C52">
        <v>413.74764240035898</v>
      </c>
      <c r="D52">
        <v>420.39049462956399</v>
      </c>
      <c r="E52">
        <v>426.9614105</v>
      </c>
      <c r="F52">
        <v>436.5077</v>
      </c>
      <c r="G52">
        <v>444.6280557</v>
      </c>
      <c r="H52">
        <v>495.07537930000001</v>
      </c>
      <c r="I52">
        <v>481.45517489999997</v>
      </c>
      <c r="J52">
        <v>472.338302</v>
      </c>
      <c r="K52">
        <v>406.03495509999999</v>
      </c>
      <c r="L52">
        <v>382.88374959999999</v>
      </c>
      <c r="M52">
        <v>383.83190439999998</v>
      </c>
      <c r="N52">
        <v>359.40770429999998</v>
      </c>
      <c r="O52">
        <v>375.90315900000002</v>
      </c>
      <c r="P52">
        <v>385.45203220000002</v>
      </c>
      <c r="Q52">
        <v>399.33694370000001</v>
      </c>
      <c r="R52">
        <v>403.76737759999997</v>
      </c>
      <c r="S52">
        <v>393.34783670000002</v>
      </c>
      <c r="T52">
        <v>358.38128210000002</v>
      </c>
      <c r="U52">
        <v>382.36851539999998</v>
      </c>
      <c r="V52">
        <v>394.12863659999999</v>
      </c>
      <c r="W52">
        <v>385.2297355</v>
      </c>
      <c r="X52">
        <v>370.59244799999999</v>
      </c>
      <c r="Y52">
        <v>364.23722179999999</v>
      </c>
      <c r="Z52">
        <v>352.34538950000001</v>
      </c>
      <c r="AA52">
        <v>341.97883080000003</v>
      </c>
      <c r="AB52">
        <v>330.78392530000002</v>
      </c>
      <c r="AC52">
        <v>318.74661040000001</v>
      </c>
      <c r="AD52">
        <v>307.01209260000002</v>
      </c>
      <c r="AE52">
        <v>281.2180803</v>
      </c>
      <c r="AF52">
        <v>264.8600151</v>
      </c>
      <c r="AG52">
        <v>252.6169419</v>
      </c>
      <c r="AH52">
        <v>230.8586698</v>
      </c>
      <c r="AI52">
        <v>228.4555513</v>
      </c>
      <c r="AJ52">
        <v>223.44617529999999</v>
      </c>
      <c r="AK52">
        <v>217.21771140000001</v>
      </c>
      <c r="AL52">
        <v>210.88712870000001</v>
      </c>
      <c r="AM52">
        <v>204.65327110000001</v>
      </c>
      <c r="AN52">
        <v>197.46012949999999</v>
      </c>
      <c r="AO52" s="100">
        <v>191.6971518</v>
      </c>
      <c r="AP52" s="100">
        <v>186.96020669999999</v>
      </c>
      <c r="AQ52" s="100">
        <v>182.70778859999999</v>
      </c>
      <c r="AR52" s="100">
        <v>178.7688881</v>
      </c>
      <c r="AS52" s="100">
        <v>174.22524720000001</v>
      </c>
      <c r="AT52">
        <v>170.43989959999999</v>
      </c>
      <c r="AU52">
        <v>167.05993760000001</v>
      </c>
      <c r="AV52">
        <v>163.95081730000001</v>
      </c>
      <c r="AW52">
        <v>161.15021719999999</v>
      </c>
    </row>
    <row r="53" spans="2:49" x14ac:dyDescent="0.25">
      <c r="B53" t="s">
        <v>382</v>
      </c>
      <c r="C53">
        <v>652.80183578723302</v>
      </c>
      <c r="D53">
        <v>663.28278041553403</v>
      </c>
      <c r="E53">
        <v>673.65022550000003</v>
      </c>
      <c r="F53">
        <v>692.15154050000001</v>
      </c>
      <c r="G53">
        <v>683.52785229999995</v>
      </c>
      <c r="H53">
        <v>752.36409549999996</v>
      </c>
      <c r="I53">
        <v>733.00373549999995</v>
      </c>
      <c r="J53">
        <v>715.52619270000002</v>
      </c>
      <c r="K53">
        <v>615.06300469999996</v>
      </c>
      <c r="L53">
        <v>579.56264099999999</v>
      </c>
      <c r="M53">
        <v>579.35026310000001</v>
      </c>
      <c r="N53">
        <v>549.456773</v>
      </c>
      <c r="O53">
        <v>575.23234100000002</v>
      </c>
      <c r="P53">
        <v>597.21289309999997</v>
      </c>
      <c r="Q53">
        <v>609.25472019999995</v>
      </c>
      <c r="R53">
        <v>613.36617209999997</v>
      </c>
      <c r="S53">
        <v>582.05223939999996</v>
      </c>
      <c r="T53">
        <v>535.32836210000005</v>
      </c>
      <c r="U53">
        <v>551.59821069999998</v>
      </c>
      <c r="V53">
        <v>559.15977610000004</v>
      </c>
      <c r="W53">
        <v>543.8025629</v>
      </c>
      <c r="X53">
        <v>520.43775589999996</v>
      </c>
      <c r="Y53">
        <v>509.32053020000001</v>
      </c>
      <c r="Z53">
        <v>490.70369069999998</v>
      </c>
      <c r="AA53">
        <v>474.15673870000001</v>
      </c>
      <c r="AB53">
        <v>456.60031120000002</v>
      </c>
      <c r="AC53">
        <v>437.9914675</v>
      </c>
      <c r="AD53">
        <v>419.93086069999998</v>
      </c>
      <c r="AE53">
        <v>382.5616359</v>
      </c>
      <c r="AF53">
        <v>358.56664230000001</v>
      </c>
      <c r="AG53">
        <v>340.40194609999998</v>
      </c>
      <c r="AH53">
        <v>309.37401019999999</v>
      </c>
      <c r="AI53">
        <v>304.90602669999998</v>
      </c>
      <c r="AJ53">
        <v>296.83848849999998</v>
      </c>
      <c r="AK53">
        <v>287.11645679999998</v>
      </c>
      <c r="AL53">
        <v>277.30344480000002</v>
      </c>
      <c r="AM53">
        <v>267.68590139999998</v>
      </c>
      <c r="AN53">
        <v>256.48460499999999</v>
      </c>
      <c r="AO53" s="100">
        <v>247.27110880000001</v>
      </c>
      <c r="AP53" s="100">
        <v>239.50819749999999</v>
      </c>
      <c r="AQ53" s="100">
        <v>232.44091080000001</v>
      </c>
      <c r="AR53" s="100">
        <v>225.8348379</v>
      </c>
      <c r="AS53" s="100">
        <v>218.5097428</v>
      </c>
      <c r="AT53">
        <v>212.21688259999999</v>
      </c>
      <c r="AU53">
        <v>206.49753749999999</v>
      </c>
      <c r="AV53">
        <v>201.16860059999999</v>
      </c>
      <c r="AW53">
        <v>196.2641137</v>
      </c>
    </row>
    <row r="54" spans="2:49" x14ac:dyDescent="0.25">
      <c r="B54" t="s">
        <v>383</v>
      </c>
      <c r="C54">
        <v>643.60744373389196</v>
      </c>
      <c r="D54">
        <v>653.94076942376603</v>
      </c>
      <c r="E54">
        <v>664.16219420000004</v>
      </c>
      <c r="F54">
        <v>683.67697129999999</v>
      </c>
      <c r="G54">
        <v>673.13741089999996</v>
      </c>
      <c r="H54">
        <v>738.74142329999995</v>
      </c>
      <c r="I54">
        <v>719.82818329999998</v>
      </c>
      <c r="J54">
        <v>700.92022699999995</v>
      </c>
      <c r="K54">
        <v>602.13048490000006</v>
      </c>
      <c r="L54">
        <v>567.29617559999997</v>
      </c>
      <c r="M54">
        <v>566.71385859999998</v>
      </c>
      <c r="N54">
        <v>529.39697079999996</v>
      </c>
      <c r="O54">
        <v>555.13236199999994</v>
      </c>
      <c r="P54">
        <v>578.93309529999999</v>
      </c>
      <c r="Q54">
        <v>583.74262729999998</v>
      </c>
      <c r="R54">
        <v>588.94531949999998</v>
      </c>
      <c r="S54">
        <v>546.90743129999998</v>
      </c>
      <c r="T54">
        <v>515.18710250000004</v>
      </c>
      <c r="U54">
        <v>521.49449449999997</v>
      </c>
      <c r="V54">
        <v>524.11801720000005</v>
      </c>
      <c r="W54">
        <v>508.2579326</v>
      </c>
      <c r="X54">
        <v>484.95140170000002</v>
      </c>
      <c r="Y54">
        <v>473.48897460000001</v>
      </c>
      <c r="Z54">
        <v>455.17437089999999</v>
      </c>
      <c r="AA54">
        <v>438.75953950000002</v>
      </c>
      <c r="AB54">
        <v>421.48363990000001</v>
      </c>
      <c r="AC54">
        <v>403.29612830000002</v>
      </c>
      <c r="AD54">
        <v>385.68519309999999</v>
      </c>
      <c r="AE54">
        <v>350.31209050000001</v>
      </c>
      <c r="AF54">
        <v>327.457426</v>
      </c>
      <c r="AG54">
        <v>310.06140490000001</v>
      </c>
      <c r="AH54">
        <v>280.93794370000001</v>
      </c>
      <c r="AI54">
        <v>276.24366209999999</v>
      </c>
      <c r="AJ54">
        <v>268.2343679</v>
      </c>
      <c r="AK54">
        <v>258.71958030000002</v>
      </c>
      <c r="AL54">
        <v>249.1514736</v>
      </c>
      <c r="AM54">
        <v>239.8000529</v>
      </c>
      <c r="AN54">
        <v>228.85543770000001</v>
      </c>
      <c r="AO54" s="100">
        <v>219.7590903</v>
      </c>
      <c r="AP54" s="100">
        <v>212.0245352</v>
      </c>
      <c r="AQ54" s="100">
        <v>204.95302469999999</v>
      </c>
      <c r="AR54" s="100">
        <v>198.3288958</v>
      </c>
      <c r="AS54" s="100">
        <v>191.1007108</v>
      </c>
      <c r="AT54">
        <v>184.82693610000001</v>
      </c>
      <c r="AU54">
        <v>179.0982242</v>
      </c>
      <c r="AV54">
        <v>173.74760130000001</v>
      </c>
      <c r="AW54">
        <v>168.7985812</v>
      </c>
    </row>
    <row r="55" spans="2:49" x14ac:dyDescent="0.25">
      <c r="B55" t="s">
        <v>384</v>
      </c>
      <c r="C55">
        <v>413.74764240035898</v>
      </c>
      <c r="D55">
        <v>420.39049462956399</v>
      </c>
      <c r="E55">
        <v>426.9614105</v>
      </c>
      <c r="F55">
        <v>441.88392959999999</v>
      </c>
      <c r="G55">
        <v>425.86666739999998</v>
      </c>
      <c r="H55">
        <v>462.2563902</v>
      </c>
      <c r="I55">
        <v>451.03037810000001</v>
      </c>
      <c r="J55">
        <v>436.4347717</v>
      </c>
      <c r="K55">
        <v>374.61706470000001</v>
      </c>
      <c r="L55">
        <v>357.8530227</v>
      </c>
      <c r="M55">
        <v>356.61454270000002</v>
      </c>
      <c r="N55">
        <v>324.79954659999999</v>
      </c>
      <c r="O55">
        <v>341.80288139999999</v>
      </c>
      <c r="P55">
        <v>354.1634555</v>
      </c>
      <c r="Q55">
        <v>350.57360360000001</v>
      </c>
      <c r="R55">
        <v>346.8647962</v>
      </c>
      <c r="S55">
        <v>303.1893</v>
      </c>
      <c r="T55">
        <v>298.84398970000001</v>
      </c>
      <c r="U55">
        <v>276.9631746</v>
      </c>
      <c r="V55">
        <v>270.76526589999997</v>
      </c>
      <c r="W55">
        <v>260.35241200000002</v>
      </c>
      <c r="X55">
        <v>246.24136540000001</v>
      </c>
      <c r="Y55">
        <v>238.71525819999999</v>
      </c>
      <c r="Z55">
        <v>227.95166069999999</v>
      </c>
      <c r="AA55">
        <v>218.1314022</v>
      </c>
      <c r="AB55">
        <v>208.0222627</v>
      </c>
      <c r="AC55">
        <v>197.58007699999999</v>
      </c>
      <c r="AD55">
        <v>187.5524892</v>
      </c>
      <c r="AE55">
        <v>168.8739435</v>
      </c>
      <c r="AF55">
        <v>156.64761659999999</v>
      </c>
      <c r="AG55">
        <v>147.24389429999999</v>
      </c>
      <c r="AH55">
        <v>132.27989740000001</v>
      </c>
      <c r="AI55">
        <v>129.25691409999999</v>
      </c>
      <c r="AJ55">
        <v>124.63010610000001</v>
      </c>
      <c r="AK55">
        <v>119.311745</v>
      </c>
      <c r="AL55">
        <v>114.02799400000001</v>
      </c>
      <c r="AM55">
        <v>108.91696520000001</v>
      </c>
      <c r="AN55" s="100">
        <v>102.9316446</v>
      </c>
      <c r="AO55" s="100">
        <v>97.904599619999999</v>
      </c>
      <c r="AP55" s="100">
        <v>93.604065950000006</v>
      </c>
      <c r="AQ55" s="100">
        <v>89.684966900000006</v>
      </c>
      <c r="AR55" s="100">
        <v>86.042096799999996</v>
      </c>
      <c r="AS55" s="100">
        <v>82.208477220000006</v>
      </c>
      <c r="AT55">
        <v>78.871791860000002</v>
      </c>
      <c r="AU55">
        <v>75.845652130000005</v>
      </c>
      <c r="AV55">
        <v>73.049898249999998</v>
      </c>
      <c r="AW55">
        <v>70.487891680000004</v>
      </c>
    </row>
    <row r="56" spans="2:49" x14ac:dyDescent="0.25">
      <c r="B56" t="s">
        <v>385</v>
      </c>
      <c r="C56">
        <v>137.915880800119</v>
      </c>
      <c r="D56">
        <v>140.13016487652101</v>
      </c>
      <c r="E56">
        <v>142.32047019999999</v>
      </c>
      <c r="F56">
        <v>149.81594720000001</v>
      </c>
      <c r="G56">
        <v>134.94392260000001</v>
      </c>
      <c r="H56">
        <v>141.31673910000001</v>
      </c>
      <c r="I56">
        <v>138.49114209999999</v>
      </c>
      <c r="J56">
        <v>131.2496007</v>
      </c>
      <c r="K56">
        <v>112.34117999999999</v>
      </c>
      <c r="L56">
        <v>104.4685649</v>
      </c>
      <c r="M56">
        <v>103.1603192</v>
      </c>
      <c r="N56">
        <v>90.254187049999999</v>
      </c>
      <c r="O56">
        <v>94.8474085</v>
      </c>
      <c r="P56">
        <v>106.5273277</v>
      </c>
      <c r="Q56">
        <v>102.0343031</v>
      </c>
      <c r="R56">
        <v>97.613247400000006</v>
      </c>
      <c r="S56">
        <v>75.550725929999999</v>
      </c>
      <c r="T56">
        <v>50.490249069999997</v>
      </c>
      <c r="U56">
        <v>35.741509190000002</v>
      </c>
      <c r="V56">
        <v>30.579797039999999</v>
      </c>
      <c r="W56">
        <v>28.177605620000001</v>
      </c>
      <c r="X56">
        <v>25.478952079999999</v>
      </c>
      <c r="Y56">
        <v>23.810650280000001</v>
      </c>
      <c r="Z56">
        <v>21.956388570000001</v>
      </c>
      <c r="AA56">
        <v>20.213894020000001</v>
      </c>
      <c r="AB56">
        <v>18.538388739999998</v>
      </c>
      <c r="AC56">
        <v>16.913408260000001</v>
      </c>
      <c r="AD56">
        <v>15.40894982</v>
      </c>
      <c r="AE56">
        <v>13.21323293</v>
      </c>
      <c r="AF56">
        <v>11.730449699999999</v>
      </c>
      <c r="AG56">
        <v>10.56781069</v>
      </c>
      <c r="AH56">
        <v>9.0286520580000005</v>
      </c>
      <c r="AI56">
        <v>8.4964444760000006</v>
      </c>
      <c r="AJ56">
        <v>7.8495377040000003</v>
      </c>
      <c r="AK56">
        <v>7.1750906490000004</v>
      </c>
      <c r="AL56">
        <v>6.5379090629999999</v>
      </c>
      <c r="AM56" s="100">
        <v>5.949777375</v>
      </c>
      <c r="AN56" s="100">
        <v>5.2730121160000003</v>
      </c>
      <c r="AO56" s="100">
        <v>4.7053106800000002</v>
      </c>
      <c r="AP56" s="100">
        <v>4.226080455</v>
      </c>
      <c r="AQ56" s="100">
        <v>3.804620576</v>
      </c>
      <c r="AR56" s="100">
        <v>3.4303476270000002</v>
      </c>
      <c r="AS56">
        <v>3.0781606290000001</v>
      </c>
      <c r="AT56">
        <v>2.7775350909999998</v>
      </c>
      <c r="AU56">
        <v>2.5162430489999998</v>
      </c>
      <c r="AV56">
        <v>2.2870429699999999</v>
      </c>
      <c r="AW56">
        <v>2.0865130980000002</v>
      </c>
    </row>
    <row r="57" spans="2:49" x14ac:dyDescent="0.25">
      <c r="B57" t="s">
        <v>386</v>
      </c>
      <c r="C57">
        <v>34.478970200029899</v>
      </c>
      <c r="D57">
        <v>35.032541219130302</v>
      </c>
      <c r="E57">
        <v>35.580117540000003</v>
      </c>
      <c r="F57">
        <v>39.102608709999998</v>
      </c>
      <c r="G57">
        <v>29.54610989</v>
      </c>
      <c r="H57" s="100">
        <v>29.25164448</v>
      </c>
      <c r="I57">
        <v>28.311518249999999</v>
      </c>
      <c r="J57">
        <v>24.061563960000001</v>
      </c>
      <c r="K57">
        <v>19.691468149999999</v>
      </c>
      <c r="L57">
        <v>14.97813303</v>
      </c>
      <c r="M57">
        <v>14.5133752</v>
      </c>
      <c r="N57">
        <v>16.531371249999999</v>
      </c>
      <c r="O57">
        <v>16.93866783</v>
      </c>
      <c r="P57">
        <v>22.89730033</v>
      </c>
      <c r="Q57">
        <v>18.80904645</v>
      </c>
      <c r="R57">
        <v>14.733772979999999</v>
      </c>
      <c r="S57">
        <v>8.6833677320000007</v>
      </c>
      <c r="T57">
        <v>2.0722914019999998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387</v>
      </c>
      <c r="C58" s="100">
        <v>1.1492990066676601</v>
      </c>
      <c r="D58" s="100">
        <v>1.1677513739710099</v>
      </c>
      <c r="E58" s="100">
        <v>2.1781676650000001</v>
      </c>
      <c r="F58" s="100">
        <v>3.5388944059999998</v>
      </c>
      <c r="G58" s="100">
        <v>5.7197675439999998</v>
      </c>
      <c r="H58" s="100">
        <v>9.167084268</v>
      </c>
      <c r="I58">
        <v>12.6427467</v>
      </c>
      <c r="J58">
        <v>17.197572950000001</v>
      </c>
      <c r="K58" s="100">
        <v>20.571969769999999</v>
      </c>
      <c r="L58" s="100">
        <v>26.2441861</v>
      </c>
      <c r="M58">
        <v>34.775453779999999</v>
      </c>
      <c r="N58">
        <v>42.374029460000003</v>
      </c>
      <c r="O58">
        <v>57.733579229999997</v>
      </c>
      <c r="P58">
        <v>77.934846930000006</v>
      </c>
      <c r="Q58">
        <v>102.6298006</v>
      </c>
      <c r="R58">
        <v>132.42388600000001</v>
      </c>
      <c r="S58">
        <v>158.47572160000001</v>
      </c>
      <c r="T58">
        <v>185.18242499999999</v>
      </c>
      <c r="U58">
        <v>237.9088002</v>
      </c>
      <c r="V58">
        <v>300.9761451</v>
      </c>
      <c r="W58">
        <v>361.61390019999999</v>
      </c>
      <c r="X58">
        <v>422.90945699999997</v>
      </c>
      <c r="Y58">
        <v>499.25066670000001</v>
      </c>
      <c r="Z58">
        <v>573.01233090000005</v>
      </c>
      <c r="AA58">
        <v>651.35955799999999</v>
      </c>
      <c r="AB58">
        <v>728.77553230000001</v>
      </c>
      <c r="AC58">
        <v>802.60565670000005</v>
      </c>
      <c r="AD58">
        <v>873.60332989999995</v>
      </c>
      <c r="AE58">
        <v>894.29876200000001</v>
      </c>
      <c r="AF58">
        <v>932.90104120000001</v>
      </c>
      <c r="AG58">
        <v>977.23903510000002</v>
      </c>
      <c r="AH58">
        <v>972.66135489999999</v>
      </c>
      <c r="AI58">
        <v>1042.2878029999999</v>
      </c>
      <c r="AJ58">
        <v>1096.6295950000001</v>
      </c>
      <c r="AK58">
        <v>1140.164426</v>
      </c>
      <c r="AL58">
        <v>1177.9409740000001</v>
      </c>
      <c r="AM58">
        <v>1211.040532</v>
      </c>
      <c r="AN58">
        <v>1232.183491</v>
      </c>
      <c r="AO58">
        <v>1257.165976</v>
      </c>
      <c r="AP58">
        <v>1284.7249839999999</v>
      </c>
      <c r="AQ58">
        <v>1311.8871200000001</v>
      </c>
      <c r="AR58">
        <v>1337.907796</v>
      </c>
      <c r="AS58">
        <v>1356.142327</v>
      </c>
      <c r="AT58">
        <v>1377.099074</v>
      </c>
      <c r="AU58">
        <v>1398.5854790000001</v>
      </c>
      <c r="AV58">
        <v>1419.855902</v>
      </c>
      <c r="AW58">
        <v>1441.5614539999999</v>
      </c>
    </row>
    <row r="59" spans="2:49" x14ac:dyDescent="0.25">
      <c r="B59" t="s">
        <v>388</v>
      </c>
      <c r="C59" s="100">
        <v>3.4228836395600501E-3</v>
      </c>
      <c r="D59" s="100">
        <v>3.4778391435562701E-3</v>
      </c>
      <c r="E59" s="100">
        <v>6.4870972799999996E-3</v>
      </c>
      <c r="F59" s="100">
        <v>1.09937128E-2</v>
      </c>
      <c r="G59" s="100">
        <v>2.5485888200000001E-2</v>
      </c>
      <c r="H59" s="100">
        <v>7.1213838000000002E-2</v>
      </c>
      <c r="I59" s="100">
        <v>0.10585805669999999</v>
      </c>
      <c r="J59" s="100">
        <v>0.14833695920000001</v>
      </c>
      <c r="K59" s="100">
        <v>0.17036896700000001</v>
      </c>
      <c r="L59" s="100">
        <v>0.22795217949999999</v>
      </c>
      <c r="M59">
        <v>0.3559814657</v>
      </c>
      <c r="N59">
        <v>0.46620838079999999</v>
      </c>
      <c r="O59">
        <v>0.67084901109999995</v>
      </c>
      <c r="P59">
        <v>0.37897318810000002</v>
      </c>
      <c r="Q59">
        <v>0.62857017270000004</v>
      </c>
      <c r="R59">
        <v>1.0655330949999999</v>
      </c>
      <c r="S59">
        <v>1.6562894189999999</v>
      </c>
      <c r="T59">
        <v>2.4012797360000002</v>
      </c>
      <c r="U59">
        <v>5.6967510419999998</v>
      </c>
      <c r="V59">
        <v>9.3343637089999998</v>
      </c>
      <c r="W59">
        <v>11.953884889999999</v>
      </c>
      <c r="X59">
        <v>14.86119656</v>
      </c>
      <c r="Y59">
        <v>18.467473309999999</v>
      </c>
      <c r="Z59">
        <v>22.326846339999999</v>
      </c>
      <c r="AA59">
        <v>26.634673759999998</v>
      </c>
      <c r="AB59">
        <v>31.222792380000001</v>
      </c>
      <c r="AC59">
        <v>35.990956769999997</v>
      </c>
      <c r="AD59">
        <v>40.953120980000001</v>
      </c>
      <c r="AE59">
        <v>44.083806719999998</v>
      </c>
      <c r="AF59">
        <v>47.993592040000003</v>
      </c>
      <c r="AG59">
        <v>52.317171449999996</v>
      </c>
      <c r="AH59">
        <v>54.48524347</v>
      </c>
      <c r="AI59">
        <v>60.289365519999997</v>
      </c>
      <c r="AJ59">
        <v>65.74880727</v>
      </c>
      <c r="AK59">
        <v>70.952426099999997</v>
      </c>
      <c r="AL59">
        <v>76.082037339999999</v>
      </c>
      <c r="AM59">
        <v>81.153527659999995</v>
      </c>
      <c r="AN59">
        <v>86.519529120000001</v>
      </c>
      <c r="AO59">
        <v>92.300725349999894</v>
      </c>
      <c r="AP59">
        <v>98.453398849999999</v>
      </c>
      <c r="AQ59">
        <v>104.8170748</v>
      </c>
      <c r="AR59">
        <v>111.34288530000001</v>
      </c>
      <c r="AS59">
        <v>117.5242808</v>
      </c>
      <c r="AT59">
        <v>124.10488960000001</v>
      </c>
      <c r="AU59">
        <v>130.95406980000001</v>
      </c>
      <c r="AV59">
        <v>138.02332820000001</v>
      </c>
      <c r="AW59">
        <v>145.39168240000001</v>
      </c>
    </row>
    <row r="60" spans="2:49" x14ac:dyDescent="0.25">
      <c r="B60" t="s">
        <v>389</v>
      </c>
      <c r="C60" s="100">
        <v>7.8463024968376607E-3</v>
      </c>
      <c r="D60" s="100">
        <v>7.9722774213828399E-3</v>
      </c>
      <c r="E60" s="100">
        <v>1.4870423000000001E-2</v>
      </c>
      <c r="F60" s="100">
        <v>2.4475401099999999E-2</v>
      </c>
      <c r="G60" s="100">
        <v>4.4902807199999999E-2</v>
      </c>
      <c r="H60" s="100">
        <v>9.2772011000000001E-2</v>
      </c>
      <c r="I60" s="100">
        <v>0.1331308598</v>
      </c>
      <c r="J60" s="100">
        <v>0.18403414979999999</v>
      </c>
      <c r="K60" s="100">
        <v>0.21535284029999999</v>
      </c>
      <c r="L60" s="100">
        <v>0.28191562060000003</v>
      </c>
      <c r="M60">
        <v>0.4099503598</v>
      </c>
      <c r="N60">
        <v>0.52132500940000004</v>
      </c>
      <c r="O60">
        <v>0.73418445730000004</v>
      </c>
      <c r="P60">
        <v>0.63371897570000002</v>
      </c>
      <c r="Q60">
        <v>0.92366944770000003</v>
      </c>
      <c r="R60">
        <v>1.3651271469999999</v>
      </c>
      <c r="S60">
        <v>1.8910866580000001</v>
      </c>
      <c r="T60">
        <v>2.5215065129999998</v>
      </c>
      <c r="U60">
        <v>4.9412705819999996</v>
      </c>
      <c r="V60">
        <v>7.585725364</v>
      </c>
      <c r="W60">
        <v>9.5682036430000004</v>
      </c>
      <c r="X60">
        <v>11.72647995</v>
      </c>
      <c r="Y60">
        <v>14.40043015</v>
      </c>
      <c r="Z60">
        <v>17.204009679999999</v>
      </c>
      <c r="AA60">
        <v>20.29945738</v>
      </c>
      <c r="AB60">
        <v>23.54637147</v>
      </c>
      <c r="AC60">
        <v>26.863835030000001</v>
      </c>
      <c r="AD60">
        <v>30.26233088</v>
      </c>
      <c r="AE60">
        <v>32.206720750000002</v>
      </c>
      <c r="AF60">
        <v>34.723457490000001</v>
      </c>
      <c r="AG60">
        <v>37.507318920000003</v>
      </c>
      <c r="AH60">
        <v>38.654178100000003</v>
      </c>
      <c r="AI60">
        <v>42.452187000000002</v>
      </c>
      <c r="AJ60">
        <v>45.905877920000002</v>
      </c>
      <c r="AK60">
        <v>49.099767829999998</v>
      </c>
      <c r="AL60">
        <v>52.176274579999998</v>
      </c>
      <c r="AM60">
        <v>55.151278210000001</v>
      </c>
      <c r="AN60">
        <v>58.110986750000002</v>
      </c>
      <c r="AO60">
        <v>61.285351980000002</v>
      </c>
      <c r="AP60">
        <v>64.634459989999996</v>
      </c>
      <c r="AQ60">
        <v>68.03760973</v>
      </c>
      <c r="AR60">
        <v>71.456316110000003</v>
      </c>
      <c r="AS60">
        <v>74.551157380000006</v>
      </c>
      <c r="AT60">
        <v>77.818572619999998</v>
      </c>
      <c r="AU60">
        <v>81.160510200000004</v>
      </c>
      <c r="AV60">
        <v>84.537902889999998</v>
      </c>
      <c r="AW60">
        <v>87.99052777</v>
      </c>
    </row>
    <row r="61" spans="2:49" x14ac:dyDescent="0.25">
      <c r="B61" t="s">
        <v>390</v>
      </c>
      <c r="C61" s="100">
        <v>3.2122446463563603E-2</v>
      </c>
      <c r="D61" s="100">
        <v>3.2638182731835802E-2</v>
      </c>
      <c r="E61" s="100">
        <v>6.0878913E-2</v>
      </c>
      <c r="F61" s="100">
        <v>9.9048235999999998E-2</v>
      </c>
      <c r="G61" s="100">
        <v>0.1623992209</v>
      </c>
      <c r="H61" s="100">
        <v>0.26876545239999999</v>
      </c>
      <c r="I61" s="100">
        <v>0.3726480405</v>
      </c>
      <c r="J61" s="100">
        <v>0.50801941719999999</v>
      </c>
      <c r="K61" s="100">
        <v>0.60587854819999998</v>
      </c>
      <c r="L61" s="100">
        <v>0.77566436149999995</v>
      </c>
      <c r="M61">
        <v>1.041447335</v>
      </c>
      <c r="N61">
        <v>1.2770388399999999</v>
      </c>
      <c r="O61">
        <v>1.7486461019999999</v>
      </c>
      <c r="P61">
        <v>2.2221466140000001</v>
      </c>
      <c r="Q61">
        <v>2.9640429799999999</v>
      </c>
      <c r="R61">
        <v>3.8920418259999998</v>
      </c>
      <c r="S61">
        <v>4.7544642609999999</v>
      </c>
      <c r="T61">
        <v>5.6686836539999996</v>
      </c>
      <c r="U61">
        <v>7.8342268170000002</v>
      </c>
      <c r="V61">
        <v>10.2698634</v>
      </c>
      <c r="W61">
        <v>12.44758272</v>
      </c>
      <c r="X61">
        <v>14.678401109999999</v>
      </c>
      <c r="Y61">
        <v>17.446124170000001</v>
      </c>
      <c r="Z61" s="100">
        <v>20.157941749999999</v>
      </c>
      <c r="AA61">
        <v>23.05142408</v>
      </c>
      <c r="AB61">
        <v>25.93362866</v>
      </c>
      <c r="AC61">
        <v>28.706546029999998</v>
      </c>
      <c r="AD61">
        <v>31.390221669999999</v>
      </c>
      <c r="AE61">
        <v>32.286356840000003</v>
      </c>
      <c r="AF61">
        <v>33.79996989</v>
      </c>
      <c r="AG61">
        <v>35.50805871</v>
      </c>
      <c r="AH61">
        <v>35.435939900000001</v>
      </c>
      <c r="AI61">
        <v>38.027715110000003</v>
      </c>
      <c r="AJ61">
        <v>40.056226909999999</v>
      </c>
      <c r="AK61">
        <v>41.671424020000003</v>
      </c>
      <c r="AL61">
        <v>43.049289139999999</v>
      </c>
      <c r="AM61">
        <v>44.223952529999998</v>
      </c>
      <c r="AN61">
        <v>44.898634209999997</v>
      </c>
      <c r="AO61">
        <v>45.651882190000002</v>
      </c>
      <c r="AP61">
        <v>46.433059640000003</v>
      </c>
      <c r="AQ61">
        <v>47.12667373</v>
      </c>
      <c r="AR61">
        <v>47.69948041</v>
      </c>
      <c r="AS61">
        <v>47.903585659999997</v>
      </c>
      <c r="AT61">
        <v>48.120341340000003</v>
      </c>
      <c r="AU61">
        <v>48.262035130000001</v>
      </c>
      <c r="AV61">
        <v>48.295254020000002</v>
      </c>
      <c r="AW61">
        <v>48.23443279</v>
      </c>
    </row>
    <row r="62" spans="2:49" x14ac:dyDescent="0.25">
      <c r="B62" t="s">
        <v>391</v>
      </c>
      <c r="C62" s="100">
        <v>0.75461419315223899</v>
      </c>
      <c r="D62" s="100">
        <v>0.76672976811017601</v>
      </c>
      <c r="E62" s="100">
        <v>1.430155447</v>
      </c>
      <c r="F62" s="100">
        <v>2.3235969060000001</v>
      </c>
      <c r="G62" s="100">
        <v>3.755616029</v>
      </c>
      <c r="H62" s="100">
        <v>6.0122713870000002</v>
      </c>
      <c r="I62">
        <v>8.2879255890000003</v>
      </c>
      <c r="J62">
        <v>11.271628270000001</v>
      </c>
      <c r="K62" s="100">
        <v>13.486864949999999</v>
      </c>
      <c r="L62" s="100">
        <v>17.20015214</v>
      </c>
      <c r="M62">
        <v>22.763966929999999</v>
      </c>
      <c r="N62">
        <v>27.72137369</v>
      </c>
      <c r="O62">
        <v>37.751391220000002</v>
      </c>
      <c r="P62">
        <v>51.172441919999997</v>
      </c>
      <c r="Q62">
        <v>67.387504890000002</v>
      </c>
      <c r="R62">
        <v>86.832129469999998</v>
      </c>
      <c r="S62">
        <v>103.72059160000001</v>
      </c>
      <c r="T62">
        <v>120.9602998</v>
      </c>
      <c r="U62">
        <v>154.02542690000001</v>
      </c>
      <c r="V62">
        <v>193.70411419999999</v>
      </c>
      <c r="W62">
        <v>232.3247867</v>
      </c>
      <c r="X62">
        <v>271.21986720000001</v>
      </c>
      <c r="Y62">
        <v>319.66794750000003</v>
      </c>
      <c r="Z62">
        <v>366.26894249999998</v>
      </c>
      <c r="AA62">
        <v>415.648348</v>
      </c>
      <c r="AB62">
        <v>464.25292430000002</v>
      </c>
      <c r="AC62">
        <v>510.38312769999999</v>
      </c>
      <c r="AD62">
        <v>554.52830100000006</v>
      </c>
      <c r="AE62">
        <v>566.44234940000001</v>
      </c>
      <c r="AF62">
        <v>589.75324260000002</v>
      </c>
      <c r="AG62">
        <v>616.61932049999996</v>
      </c>
      <c r="AH62">
        <v>612.35282359999997</v>
      </c>
      <c r="AI62">
        <v>655.09722239999996</v>
      </c>
      <c r="AJ62">
        <v>687.92340630000001</v>
      </c>
      <c r="AK62">
        <v>713.74230880000005</v>
      </c>
      <c r="AL62">
        <v>735.79000159999998</v>
      </c>
      <c r="AM62">
        <v>754.77281389999996</v>
      </c>
      <c r="AN62">
        <v>765.66767470000002</v>
      </c>
      <c r="AO62">
        <v>778.86063019999995</v>
      </c>
      <c r="AP62">
        <v>793.54160960000002</v>
      </c>
      <c r="AQ62">
        <v>807.83574290000001</v>
      </c>
      <c r="AR62">
        <v>821.27920419999998</v>
      </c>
      <c r="AS62">
        <v>829.76717450000001</v>
      </c>
      <c r="AT62">
        <v>839.82730049999998</v>
      </c>
      <c r="AU62">
        <v>850.08484410000005</v>
      </c>
      <c r="AV62">
        <v>860.07560469999999</v>
      </c>
      <c r="AW62">
        <v>870.18642569999997</v>
      </c>
    </row>
    <row r="63" spans="2:49" x14ac:dyDescent="0.25">
      <c r="B63" t="s">
        <v>392</v>
      </c>
      <c r="C63" s="100">
        <v>0.29742225840361802</v>
      </c>
      <c r="D63" s="100">
        <v>0.302197468966243</v>
      </c>
      <c r="E63" s="100">
        <v>0.56367885309999999</v>
      </c>
      <c r="F63" s="100">
        <v>0.91557368809999995</v>
      </c>
      <c r="G63" s="100">
        <v>1.475675939</v>
      </c>
      <c r="H63" s="100">
        <v>2.3459322060000001</v>
      </c>
      <c r="I63" s="100">
        <v>3.2297069170000001</v>
      </c>
      <c r="J63" s="100">
        <v>4.390053644</v>
      </c>
      <c r="K63" s="100">
        <v>5.2566976040000002</v>
      </c>
      <c r="L63" s="100">
        <v>6.6982205649999997</v>
      </c>
      <c r="M63">
        <v>8.8354932290000008</v>
      </c>
      <c r="N63">
        <v>10.74189483</v>
      </c>
      <c r="O63">
        <v>14.608961710000001</v>
      </c>
      <c r="P63">
        <v>20.08982258</v>
      </c>
      <c r="Q63">
        <v>26.385740370000001</v>
      </c>
      <c r="R63">
        <v>33.861036859999999</v>
      </c>
      <c r="S63">
        <v>40.238983769999997</v>
      </c>
      <c r="T63">
        <v>46.672280370000003</v>
      </c>
      <c r="U63">
        <v>57.997719310000001</v>
      </c>
      <c r="V63">
        <v>71.768001290000001</v>
      </c>
      <c r="W63">
        <v>85.670621859999997</v>
      </c>
      <c r="X63">
        <v>99.529607159999998</v>
      </c>
      <c r="Y63">
        <v>116.8026089</v>
      </c>
      <c r="Z63">
        <v>133.21209630000001</v>
      </c>
      <c r="AA63">
        <v>150.48768089999999</v>
      </c>
      <c r="AB63">
        <v>167.31299390000001</v>
      </c>
      <c r="AC63">
        <v>183.07005789999999</v>
      </c>
      <c r="AD63">
        <v>197.94723930000001</v>
      </c>
      <c r="AE63">
        <v>201.04371309999999</v>
      </c>
      <c r="AF63">
        <v>208.24959720000001</v>
      </c>
      <c r="AG63">
        <v>216.6564668</v>
      </c>
      <c r="AH63">
        <v>213.89116759999999</v>
      </c>
      <c r="AI63">
        <v>227.82967249999999</v>
      </c>
      <c r="AJ63">
        <v>238.04828639999999</v>
      </c>
      <c r="AK63">
        <v>245.6532291</v>
      </c>
      <c r="AL63">
        <v>251.83103879999999</v>
      </c>
      <c r="AM63">
        <v>256.85494770000003</v>
      </c>
      <c r="AN63">
        <v>258.60676890000002</v>
      </c>
      <c r="AO63">
        <v>261.10102430000001</v>
      </c>
      <c r="AP63">
        <v>264.04640519999998</v>
      </c>
      <c r="AQ63">
        <v>266.7922082</v>
      </c>
      <c r="AR63">
        <v>269.1870121</v>
      </c>
      <c r="AS63">
        <v>269.87226179999999</v>
      </c>
      <c r="AT63">
        <v>271.05382350000002</v>
      </c>
      <c r="AU63">
        <v>272.26451759999998</v>
      </c>
      <c r="AV63">
        <v>273.35389830000003</v>
      </c>
      <c r="AW63">
        <v>274.44648590000003</v>
      </c>
    </row>
    <row r="64" spans="2:49" x14ac:dyDescent="0.25">
      <c r="B64" t="s">
        <v>393</v>
      </c>
      <c r="C64" s="100">
        <v>4.0548006191711396E-3</v>
      </c>
      <c r="D64">
        <v>4.1199017546743504E-3</v>
      </c>
      <c r="E64">
        <v>7.6847152399999999E-3</v>
      </c>
      <c r="F64">
        <v>1.2133992600000001E-2</v>
      </c>
      <c r="G64">
        <v>1.3664954300000001E-2</v>
      </c>
      <c r="H64" s="100">
        <v>9.1566124700000005E-3</v>
      </c>
      <c r="I64">
        <v>1.2622671199999999E-2</v>
      </c>
      <c r="J64">
        <v>1.71670025E-2</v>
      </c>
      <c r="K64">
        <v>2.05407183E-2</v>
      </c>
      <c r="L64">
        <v>2.61963453E-2</v>
      </c>
      <c r="M64">
        <v>3.4671794200000002E-2</v>
      </c>
      <c r="N64">
        <v>4.22236837E-2</v>
      </c>
      <c r="O64" s="100">
        <v>5.75024487E-2</v>
      </c>
      <c r="P64">
        <v>0.1618848792</v>
      </c>
      <c r="Q64" s="100">
        <v>0.1144297328</v>
      </c>
      <c r="R64" s="100">
        <v>0.13224617120000001</v>
      </c>
      <c r="S64" s="100">
        <v>0.15797806589999999</v>
      </c>
      <c r="T64">
        <v>0.1842583387</v>
      </c>
      <c r="U64">
        <v>0.23489370179999999</v>
      </c>
      <c r="V64">
        <v>0.2957782471</v>
      </c>
      <c r="W64">
        <v>0.35490737779999998</v>
      </c>
      <c r="X64">
        <v>0.41452646879999999</v>
      </c>
      <c r="Y64">
        <v>0.48879923060000002</v>
      </c>
      <c r="Z64">
        <v>0.56034956459999996</v>
      </c>
      <c r="AA64">
        <v>0.63623930880000001</v>
      </c>
      <c r="AB64">
        <v>0.7110514523</v>
      </c>
      <c r="AC64">
        <v>0.78219441739999995</v>
      </c>
      <c r="AD64">
        <v>0.85041984349999999</v>
      </c>
      <c r="AE64">
        <v>0.86942012390000001</v>
      </c>
      <c r="AF64">
        <v>0.9059111406</v>
      </c>
      <c r="AG64">
        <v>0.94793613919999997</v>
      </c>
      <c r="AH64">
        <v>0.94231105749999999</v>
      </c>
      <c r="AI64">
        <v>1.008854337</v>
      </c>
      <c r="AJ64">
        <v>1.0603719009999999</v>
      </c>
      <c r="AK64">
        <v>1.101289849</v>
      </c>
      <c r="AL64">
        <v>1.136553921</v>
      </c>
      <c r="AM64">
        <v>1.1672379799999999</v>
      </c>
      <c r="AN64">
        <v>1.1859929819999999</v>
      </c>
      <c r="AO64">
        <v>1.2084557789999999</v>
      </c>
      <c r="AP64">
        <v>1.233396301</v>
      </c>
      <c r="AQ64">
        <v>1.2579397699999999</v>
      </c>
      <c r="AR64">
        <v>1.281375065</v>
      </c>
      <c r="AS64">
        <v>1.297330688</v>
      </c>
      <c r="AT64">
        <v>1.3159196580000001</v>
      </c>
      <c r="AU64">
        <v>1.3350299889999999</v>
      </c>
      <c r="AV64">
        <v>1.3539488</v>
      </c>
      <c r="AW64">
        <v>1.373298124</v>
      </c>
    </row>
    <row r="65" spans="2:49" x14ac:dyDescent="0.25">
      <c r="B65" t="s">
        <v>394</v>
      </c>
      <c r="C65" s="100">
        <v>4.9816121892674002E-2</v>
      </c>
      <c r="D65" s="100">
        <v>5.0615935843142099E-2</v>
      </c>
      <c r="E65" s="100">
        <v>9.4412215800000004E-2</v>
      </c>
      <c r="F65" s="100">
        <v>0.15307246999999999</v>
      </c>
      <c r="G65" s="100">
        <v>0.2420227053</v>
      </c>
      <c r="H65" s="100">
        <v>0.36697276849999999</v>
      </c>
      <c r="I65" s="100">
        <v>0.50085456689999996</v>
      </c>
      <c r="J65" s="100">
        <v>0.67833351050000001</v>
      </c>
      <c r="K65" s="100">
        <v>0.81626615020000004</v>
      </c>
      <c r="L65" s="100">
        <v>1.034084883</v>
      </c>
      <c r="M65" s="100">
        <v>1.3339426619999999</v>
      </c>
      <c r="N65" s="100">
        <v>1.603965028</v>
      </c>
      <c r="O65" s="100">
        <v>2.162044276</v>
      </c>
      <c r="P65" s="100">
        <v>3.275858784</v>
      </c>
      <c r="Q65" s="100">
        <v>4.2258430159999998</v>
      </c>
      <c r="R65" s="100">
        <v>5.2757714350000002</v>
      </c>
      <c r="S65" s="100">
        <v>6.056327778</v>
      </c>
      <c r="T65" s="100">
        <v>6.7741165680000002</v>
      </c>
      <c r="U65" s="100">
        <v>7.1785108299999996</v>
      </c>
      <c r="V65" s="100">
        <v>8.0182988070000007</v>
      </c>
      <c r="W65" s="100">
        <v>9.2939130809999995</v>
      </c>
      <c r="X65" s="100">
        <v>10.47937851</v>
      </c>
      <c r="Y65" s="100">
        <v>11.977283440000001</v>
      </c>
      <c r="Z65" s="100">
        <v>13.28214466</v>
      </c>
      <c r="AA65" s="100">
        <v>14.60173459</v>
      </c>
      <c r="AB65" s="100">
        <v>15.79577018</v>
      </c>
      <c r="AC65" s="100">
        <v>16.808938770000001</v>
      </c>
      <c r="AD65" s="100">
        <v>17.671696140000002</v>
      </c>
      <c r="AE65" s="100">
        <v>17.366395050000001</v>
      </c>
      <c r="AF65" s="100">
        <v>17.475270829999999</v>
      </c>
      <c r="AG65" s="100">
        <v>17.68276255</v>
      </c>
      <c r="AH65" s="100">
        <v>16.899691149999999</v>
      </c>
      <c r="AI65" s="100">
        <v>17.58278597</v>
      </c>
      <c r="AJ65" s="100">
        <v>17.886618540000001</v>
      </c>
      <c r="AK65" s="100">
        <v>17.94398009</v>
      </c>
      <c r="AL65" s="100">
        <v>17.875777469999999</v>
      </c>
      <c r="AM65" s="100">
        <v>17.71677403</v>
      </c>
      <c r="AN65" s="100">
        <v>17.193904069999999</v>
      </c>
      <c r="AO65" s="100">
        <v>16.757906269999999</v>
      </c>
      <c r="AP65" s="100">
        <v>16.382654500000001</v>
      </c>
      <c r="AQ65" s="100">
        <v>16.01987055</v>
      </c>
      <c r="AR65" s="100">
        <v>15.66152297</v>
      </c>
      <c r="AS65" s="100">
        <v>15.22653667</v>
      </c>
      <c r="AT65" s="100">
        <v>14.858226999999999</v>
      </c>
      <c r="AU65" s="100">
        <v>14.524472449999999</v>
      </c>
      <c r="AV65" s="100">
        <v>14.215964769999999</v>
      </c>
      <c r="AW65">
        <v>13.938600750000001</v>
      </c>
    </row>
    <row r="66" spans="2:49" x14ac:dyDescent="0.25">
      <c r="B66" t="s">
        <v>395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396</v>
      </c>
      <c r="C67">
        <v>5.2121797950038999</v>
      </c>
      <c r="D67">
        <v>5.29586302754001</v>
      </c>
      <c r="E67">
        <v>5.3808898210000002</v>
      </c>
      <c r="F67">
        <v>5.4354083549999999</v>
      </c>
      <c r="G67">
        <v>4.4785857309999999</v>
      </c>
      <c r="H67">
        <v>3.8807068729999998</v>
      </c>
      <c r="I67">
        <v>3.7540045970000002</v>
      </c>
      <c r="J67">
        <v>3.5776002550000001</v>
      </c>
      <c r="K67">
        <v>3.4500698999999999</v>
      </c>
      <c r="L67">
        <v>3.7021434879999999</v>
      </c>
      <c r="M67">
        <v>3.809251519</v>
      </c>
      <c r="N67">
        <v>3.8823198269999999</v>
      </c>
      <c r="O67">
        <v>2.9754537189999999</v>
      </c>
      <c r="P67">
        <v>2.4565310980000001</v>
      </c>
      <c r="Q67">
        <v>2.1260994580000001</v>
      </c>
      <c r="R67">
        <v>1.9163274100000001</v>
      </c>
      <c r="S67">
        <v>1.7388215869999999</v>
      </c>
      <c r="T67">
        <v>1.7321209790000001</v>
      </c>
      <c r="U67">
        <v>1.704645185</v>
      </c>
      <c r="V67">
        <v>1.700369947</v>
      </c>
      <c r="W67">
        <v>1.6767969190000001</v>
      </c>
      <c r="X67">
        <v>1.6360452649999999</v>
      </c>
      <c r="Y67">
        <v>1.637951226</v>
      </c>
      <c r="Z67">
        <v>1.661663806</v>
      </c>
      <c r="AA67">
        <v>1.6905243489999999</v>
      </c>
      <c r="AB67">
        <v>1.7219722589999999</v>
      </c>
      <c r="AC67">
        <v>1.7561564039999999</v>
      </c>
      <c r="AD67">
        <v>1.762000174</v>
      </c>
      <c r="AE67">
        <v>1.7706000479999999</v>
      </c>
      <c r="AF67">
        <v>1.781427887</v>
      </c>
      <c r="AG67">
        <v>1.79363651</v>
      </c>
      <c r="AH67">
        <v>1.807217598</v>
      </c>
      <c r="AI67">
        <v>1.8240344100000001</v>
      </c>
      <c r="AJ67">
        <v>1.840953112</v>
      </c>
      <c r="AK67">
        <v>1.85895173</v>
      </c>
      <c r="AL67">
        <v>1.8776010400000001</v>
      </c>
      <c r="AM67">
        <v>1.8961780619999999</v>
      </c>
      <c r="AN67">
        <v>1.8892041959999999</v>
      </c>
      <c r="AO67">
        <v>1.878805125</v>
      </c>
      <c r="AP67">
        <v>1.8657499740000001</v>
      </c>
      <c r="AQ67">
        <v>1.851270905</v>
      </c>
      <c r="AR67">
        <v>1.834407581</v>
      </c>
      <c r="AS67">
        <v>1.8328256439999999</v>
      </c>
      <c r="AT67">
        <v>1.8331144699999999</v>
      </c>
      <c r="AU67">
        <v>1.833389205</v>
      </c>
      <c r="AV67">
        <v>1.8333081149999999</v>
      </c>
      <c r="AW67">
        <v>1.833853677</v>
      </c>
    </row>
    <row r="68" spans="2:49" x14ac:dyDescent="0.25">
      <c r="B68" t="s">
        <v>397</v>
      </c>
      <c r="C68">
        <v>0.35839918454870201</v>
      </c>
      <c r="D68">
        <v>0.36415339938413299</v>
      </c>
      <c r="E68">
        <v>0.37</v>
      </c>
      <c r="F68">
        <v>0.36697594420000001</v>
      </c>
      <c r="G68">
        <v>0.36309435010000002</v>
      </c>
      <c r="H68">
        <v>0.35882246969999998</v>
      </c>
      <c r="I68">
        <v>0.3566596548</v>
      </c>
      <c r="J68">
        <v>0.35439358869999998</v>
      </c>
      <c r="K68">
        <v>0.35080065970000002</v>
      </c>
      <c r="L68">
        <v>0.34568463840000002</v>
      </c>
      <c r="M68">
        <v>0.3406317224</v>
      </c>
      <c r="N68" s="100">
        <v>0.33699222420000002</v>
      </c>
      <c r="O68" s="100">
        <v>0.33631010779999998</v>
      </c>
      <c r="P68" s="100">
        <v>0.33674021640000001</v>
      </c>
      <c r="Q68" s="100">
        <v>0.33607323319999999</v>
      </c>
      <c r="R68" s="100">
        <v>0.33139832499999999</v>
      </c>
      <c r="S68" s="100">
        <v>0.32532885449999999</v>
      </c>
      <c r="T68" s="100">
        <v>0.31744789940000001</v>
      </c>
      <c r="U68" s="100">
        <v>0.30935707070000001</v>
      </c>
      <c r="V68" s="100">
        <v>0.3011587309</v>
      </c>
      <c r="W68" s="100">
        <v>0.2940082255</v>
      </c>
      <c r="X68" s="100">
        <v>0.2871436798</v>
      </c>
      <c r="Y68" s="100">
        <v>0.28182203770000003</v>
      </c>
      <c r="Z68" s="100">
        <v>0.27754140700000002</v>
      </c>
      <c r="AA68" s="100">
        <v>0.27395714049999997</v>
      </c>
      <c r="AB68" s="100">
        <v>0.2708692177</v>
      </c>
      <c r="AC68" s="100">
        <v>0.2681498967</v>
      </c>
      <c r="AD68">
        <v>0.26572866769999998</v>
      </c>
      <c r="AE68">
        <v>0.26354753330000003</v>
      </c>
      <c r="AF68">
        <v>0.26154629899999998</v>
      </c>
      <c r="AG68">
        <v>0.25967706480000002</v>
      </c>
      <c r="AH68">
        <v>0.25792053129999998</v>
      </c>
      <c r="AI68">
        <v>0.25624787700000001</v>
      </c>
      <c r="AJ68">
        <v>0.25462603680000001</v>
      </c>
      <c r="AK68">
        <v>0.25304254990000002</v>
      </c>
      <c r="AL68">
        <v>0.2514845631</v>
      </c>
      <c r="AM68">
        <v>0.24994238460000001</v>
      </c>
      <c r="AN68">
        <v>0.2483769777</v>
      </c>
      <c r="AO68" s="100">
        <v>0.24669767719999999</v>
      </c>
      <c r="AP68" s="100">
        <v>0.24486875220000001</v>
      </c>
      <c r="AQ68" s="100">
        <v>0.24288118929999999</v>
      </c>
      <c r="AR68" s="100">
        <v>0.24073347349999999</v>
      </c>
      <c r="AS68" s="100">
        <v>0.23842288589999999</v>
      </c>
      <c r="AT68" s="100">
        <v>0.23593271139999999</v>
      </c>
      <c r="AU68" s="100">
        <v>0.2332597169</v>
      </c>
      <c r="AV68" s="100">
        <v>0.2304118765</v>
      </c>
      <c r="AW68" s="100">
        <v>0.22744577060000001</v>
      </c>
    </row>
    <row r="69" spans="2:49" x14ac:dyDescent="0.25">
      <c r="B69" t="s">
        <v>398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399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400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401</v>
      </c>
      <c r="C72">
        <v>2.1503951072922098</v>
      </c>
      <c r="D72">
        <v>2.1849203963048001</v>
      </c>
      <c r="E72">
        <v>2.2200000000000002</v>
      </c>
      <c r="F72">
        <v>2.29221582</v>
      </c>
      <c r="G72">
        <v>2.1902872809999998</v>
      </c>
      <c r="H72">
        <v>2.3150787309999998</v>
      </c>
      <c r="I72">
        <v>2.3854662210000002</v>
      </c>
      <c r="J72">
        <v>2.2583421650000002</v>
      </c>
      <c r="K72">
        <v>2.1755668090000002</v>
      </c>
      <c r="L72">
        <v>2.1222155950000001</v>
      </c>
      <c r="M72">
        <v>2.2773066700000002</v>
      </c>
      <c r="N72">
        <v>2.4414492499999998</v>
      </c>
      <c r="O72">
        <v>2.5326545249999999</v>
      </c>
      <c r="P72">
        <v>2.5478217449999998</v>
      </c>
      <c r="Q72">
        <v>2.3708109089999998</v>
      </c>
      <c r="R72">
        <v>2.3746183099999998</v>
      </c>
      <c r="S72">
        <v>2.3877516889999999</v>
      </c>
      <c r="T72">
        <v>2.4099156709999998</v>
      </c>
      <c r="U72">
        <v>2.4228257590000002</v>
      </c>
      <c r="V72">
        <v>2.4585365210000001</v>
      </c>
      <c r="W72">
        <v>2.4765137890000002</v>
      </c>
      <c r="X72">
        <v>2.476131337</v>
      </c>
      <c r="Y72">
        <v>2.5017146210000001</v>
      </c>
      <c r="Z72">
        <v>2.537822647</v>
      </c>
      <c r="AA72">
        <v>2.5779736070000001</v>
      </c>
      <c r="AB72">
        <v>2.6189116000000001</v>
      </c>
      <c r="AC72">
        <v>2.661800199</v>
      </c>
      <c r="AD72">
        <v>2.6997864499999999</v>
      </c>
      <c r="AE72">
        <v>2.7412940670000001</v>
      </c>
      <c r="AF72">
        <v>2.7837073320000001</v>
      </c>
      <c r="AG72">
        <v>2.8286730179999999</v>
      </c>
      <c r="AH72">
        <v>2.8786578089999999</v>
      </c>
      <c r="AI72">
        <v>2.9290073919999999</v>
      </c>
      <c r="AJ72">
        <v>2.9836067750000002</v>
      </c>
      <c r="AK72">
        <v>3.0387894160000002</v>
      </c>
      <c r="AL72">
        <v>3.0953344459999999</v>
      </c>
      <c r="AM72">
        <v>3.1526933850000001</v>
      </c>
      <c r="AN72">
        <v>3.2062055319999998</v>
      </c>
      <c r="AO72">
        <v>3.259956989</v>
      </c>
      <c r="AP72">
        <v>3.3127384709999999</v>
      </c>
      <c r="AQ72">
        <v>3.3653367350000001</v>
      </c>
      <c r="AR72">
        <v>3.4174478740000001</v>
      </c>
      <c r="AS72">
        <v>3.4686221750000001</v>
      </c>
      <c r="AT72">
        <v>3.5199790599999998</v>
      </c>
      <c r="AU72">
        <v>3.57216004</v>
      </c>
      <c r="AV72">
        <v>3.6247471720000002</v>
      </c>
      <c r="AW72">
        <v>3.67832158</v>
      </c>
    </row>
    <row r="73" spans="2:49" x14ac:dyDescent="0.25">
      <c r="B73" t="s">
        <v>402</v>
      </c>
      <c r="C73">
        <v>17.283948650263198</v>
      </c>
      <c r="D73">
        <v>17.561448036494799</v>
      </c>
      <c r="E73">
        <v>17.843402770000001</v>
      </c>
      <c r="F73">
        <v>18.09738947</v>
      </c>
      <c r="G73">
        <v>16.925291810000001</v>
      </c>
      <c r="H73">
        <v>15.96225184</v>
      </c>
      <c r="I73">
        <v>14.844301529999999</v>
      </c>
      <c r="J73">
        <v>14.736224</v>
      </c>
      <c r="K73">
        <v>13.58383881</v>
      </c>
      <c r="L73">
        <v>13.29400923</v>
      </c>
      <c r="M73">
        <v>13.5555997</v>
      </c>
      <c r="N73">
        <v>14.15502992</v>
      </c>
      <c r="O73">
        <v>13.19655406</v>
      </c>
      <c r="P73">
        <v>11.88641672</v>
      </c>
      <c r="Q73">
        <v>10.5242591</v>
      </c>
      <c r="R73">
        <v>9.6435766100000002</v>
      </c>
      <c r="S73">
        <v>8.8549437999999903</v>
      </c>
      <c r="T73">
        <v>8.7337663550000002</v>
      </c>
      <c r="U73">
        <v>8.5110894259999998</v>
      </c>
      <c r="V73">
        <v>8.3935604060000006</v>
      </c>
      <c r="W73">
        <v>8.2900660889999997</v>
      </c>
      <c r="X73">
        <v>8.1276443910000005</v>
      </c>
      <c r="Y73">
        <v>8.2066527950000001</v>
      </c>
      <c r="Z73">
        <v>8.4250123319999997</v>
      </c>
      <c r="AA73">
        <v>8.6979836339999999</v>
      </c>
      <c r="AB73">
        <v>9.0150538969999996</v>
      </c>
      <c r="AC73">
        <v>9.3824675850000006</v>
      </c>
      <c r="AD73">
        <v>9.4702313549999904</v>
      </c>
      <c r="AE73">
        <v>9.5742216150000008</v>
      </c>
      <c r="AF73">
        <v>9.6893367609999999</v>
      </c>
      <c r="AG73">
        <v>9.8113105889999996</v>
      </c>
      <c r="AH73">
        <v>9.9457036760000008</v>
      </c>
      <c r="AI73">
        <v>10.092786289999999</v>
      </c>
      <c r="AJ73">
        <v>10.243505499999999</v>
      </c>
      <c r="AK73">
        <v>10.40170646</v>
      </c>
      <c r="AL73">
        <v>10.56480711</v>
      </c>
      <c r="AM73">
        <v>10.728680710000001</v>
      </c>
      <c r="AN73">
        <v>10.733093820000001</v>
      </c>
      <c r="AO73">
        <v>10.716582819999999</v>
      </c>
      <c r="AP73">
        <v>10.690597410000001</v>
      </c>
      <c r="AQ73">
        <v>10.6641677</v>
      </c>
      <c r="AR73">
        <v>10.6316712</v>
      </c>
      <c r="AS73">
        <v>10.681070500000001</v>
      </c>
      <c r="AT73">
        <v>10.743533640000001</v>
      </c>
      <c r="AU73">
        <v>10.808509949999999</v>
      </c>
      <c r="AV73">
        <v>10.873915930000001</v>
      </c>
      <c r="AW73">
        <v>10.949307729999999</v>
      </c>
    </row>
    <row r="74" spans="2:49" x14ac:dyDescent="0.25">
      <c r="B74" t="s">
        <v>403</v>
      </c>
      <c r="C74">
        <v>9.6518912203120095</v>
      </c>
      <c r="D74">
        <v>9.8068554558467902</v>
      </c>
      <c r="E74">
        <v>9.9643076920000002</v>
      </c>
      <c r="F74">
        <v>9.5339187380000006</v>
      </c>
      <c r="G74">
        <v>8.8571504609999998</v>
      </c>
      <c r="H74">
        <v>9.0521601670000003</v>
      </c>
      <c r="I74">
        <v>8.4256430219999903</v>
      </c>
      <c r="J74">
        <v>7.8510133780000002</v>
      </c>
      <c r="K74">
        <v>7.4388998649999998</v>
      </c>
      <c r="L74">
        <v>7.2571938090000003</v>
      </c>
      <c r="M74">
        <v>7.1180821349999999</v>
      </c>
      <c r="N74">
        <v>7.1888095700000001</v>
      </c>
      <c r="O74">
        <v>7.1801138660000001</v>
      </c>
      <c r="P74">
        <v>6.9477488320000003</v>
      </c>
      <c r="Q74">
        <v>6.6683585880000003</v>
      </c>
      <c r="R74">
        <v>6.6360026660000004</v>
      </c>
      <c r="S74">
        <v>6.4298124789999997</v>
      </c>
      <c r="T74">
        <v>6.2795432059999996</v>
      </c>
      <c r="U74">
        <v>6.1152615319999999</v>
      </c>
      <c r="V74">
        <v>5.937017838</v>
      </c>
      <c r="W74">
        <v>5.801134555</v>
      </c>
      <c r="X74">
        <v>5.6510821059999996</v>
      </c>
      <c r="Y74">
        <v>5.5858090819999999</v>
      </c>
      <c r="Z74">
        <v>5.5401598710000002</v>
      </c>
      <c r="AA74">
        <v>5.5056713889999997</v>
      </c>
      <c r="AB74">
        <v>5.4796241349999999</v>
      </c>
      <c r="AC74">
        <v>5.4593729160000004</v>
      </c>
      <c r="AD74">
        <v>5.4427947640000003</v>
      </c>
      <c r="AE74">
        <v>5.432243047</v>
      </c>
      <c r="AF74">
        <v>5.4267726329999997</v>
      </c>
      <c r="AG74">
        <v>5.4211793259999999</v>
      </c>
      <c r="AH74">
        <v>5.4180996529999996</v>
      </c>
      <c r="AI74">
        <v>5.4189151280000001</v>
      </c>
      <c r="AJ74">
        <v>5.4209486629999999</v>
      </c>
      <c r="AK74">
        <v>5.4260016279999999</v>
      </c>
      <c r="AL74">
        <v>5.4327084619999999</v>
      </c>
      <c r="AM74">
        <v>5.4415372360000003</v>
      </c>
      <c r="AN74">
        <v>5.431131444</v>
      </c>
      <c r="AO74">
        <v>5.417908937</v>
      </c>
      <c r="AP74">
        <v>5.4018823280000001</v>
      </c>
      <c r="AQ74">
        <v>5.3825051520000002</v>
      </c>
      <c r="AR74">
        <v>5.3587664070000001</v>
      </c>
      <c r="AS74">
        <v>5.3261478020000004</v>
      </c>
      <c r="AT74">
        <v>5.2901580739999998</v>
      </c>
      <c r="AU74">
        <v>5.249235573</v>
      </c>
      <c r="AV74">
        <v>5.203843247</v>
      </c>
      <c r="AW74">
        <v>5.1556695259999996</v>
      </c>
    </row>
    <row r="75" spans="2:49" x14ac:dyDescent="0.25">
      <c r="B75" t="s">
        <v>404</v>
      </c>
      <c r="C75">
        <v>4.6065844460580001</v>
      </c>
      <c r="D75">
        <v>4.68054464938142</v>
      </c>
      <c r="E75">
        <v>4.7556923080000004</v>
      </c>
      <c r="F75">
        <v>4.8598532920000004</v>
      </c>
      <c r="G75">
        <v>4.6764146990000004</v>
      </c>
      <c r="H75">
        <v>4.6137795349999999</v>
      </c>
      <c r="I75">
        <v>4.5415950929999997</v>
      </c>
      <c r="J75" s="42">
        <v>4.3425981949999999</v>
      </c>
      <c r="K75">
        <v>4.1274580350000001</v>
      </c>
      <c r="L75">
        <v>4.049681455</v>
      </c>
      <c r="M75">
        <v>4.0633737950000004</v>
      </c>
      <c r="N75">
        <v>4.1772130589999996</v>
      </c>
      <c r="O75">
        <v>3.9144185</v>
      </c>
      <c r="P75">
        <v>3.6373001679999999</v>
      </c>
      <c r="Q75">
        <v>3.401255946</v>
      </c>
      <c r="R75">
        <v>3.2156950549999999</v>
      </c>
      <c r="S75">
        <v>3.0099111129999998</v>
      </c>
      <c r="T75">
        <v>3.0051883689999999</v>
      </c>
      <c r="U75">
        <v>3.0089517360000002</v>
      </c>
      <c r="V75">
        <v>3.0105893930000001</v>
      </c>
      <c r="W75">
        <v>2.9142873210000002</v>
      </c>
      <c r="X75">
        <v>2.8097945599999998</v>
      </c>
      <c r="Y75">
        <v>2.718774802</v>
      </c>
      <c r="Z75">
        <v>2.6368942799999999</v>
      </c>
      <c r="AA75">
        <v>2.561467903</v>
      </c>
      <c r="AB75">
        <v>2.491576856</v>
      </c>
      <c r="AC75">
        <v>2.4264424249999998</v>
      </c>
      <c r="AD75">
        <v>2.3651854650000002</v>
      </c>
      <c r="AE75">
        <v>2.3084054329999999</v>
      </c>
      <c r="AF75">
        <v>2.2557820070000001</v>
      </c>
      <c r="AG75">
        <v>2.2055461420000002</v>
      </c>
      <c r="AH75">
        <v>2.1580490530000001</v>
      </c>
      <c r="AI75">
        <v>2.1135725330000001</v>
      </c>
      <c r="AJ75">
        <v>2.071409949</v>
      </c>
      <c r="AK75">
        <v>2.0317846089999998</v>
      </c>
      <c r="AL75">
        <v>1.9942667039999999</v>
      </c>
      <c r="AM75">
        <v>1.9587686950000001</v>
      </c>
      <c r="AN75">
        <v>1.9502897850000001</v>
      </c>
      <c r="AO75">
        <v>1.946777988</v>
      </c>
      <c r="AP75">
        <v>1.9441748489999999</v>
      </c>
      <c r="AQ75">
        <v>1.941586601</v>
      </c>
      <c r="AR75">
        <v>1.9388270489999999</v>
      </c>
      <c r="AS75">
        <v>1.935535148</v>
      </c>
      <c r="AT75">
        <v>1.9320250809999999</v>
      </c>
      <c r="AU75">
        <v>1.9281045290000001</v>
      </c>
      <c r="AV75">
        <v>1.923840271</v>
      </c>
      <c r="AW75">
        <v>1.9192569020000001</v>
      </c>
    </row>
    <row r="76" spans="2:49" x14ac:dyDescent="0.25">
      <c r="B76" t="s">
        <v>405</v>
      </c>
      <c r="C76">
        <v>23.690015269078899</v>
      </c>
      <c r="D76">
        <v>24.070366126976499</v>
      </c>
      <c r="E76">
        <v>24.45682364</v>
      </c>
      <c r="F76">
        <v>24.57322538</v>
      </c>
      <c r="G76">
        <v>24.635217749999999</v>
      </c>
      <c r="H76">
        <v>24.820302330000001</v>
      </c>
      <c r="I76">
        <v>24.956271569999998</v>
      </c>
      <c r="J76">
        <v>25.036749520000001</v>
      </c>
      <c r="K76">
        <v>24.906190330000001</v>
      </c>
      <c r="L76">
        <v>24.706916700000001</v>
      </c>
      <c r="M76">
        <v>24.51563625</v>
      </c>
      <c r="N76">
        <v>24.25561944</v>
      </c>
      <c r="O76">
        <v>24.06210536</v>
      </c>
      <c r="P76">
        <v>24.058471999999998</v>
      </c>
      <c r="Q76">
        <v>24.056649969999999</v>
      </c>
      <c r="R76">
        <v>24.048192409999999</v>
      </c>
      <c r="S76">
        <v>23.933606399999999</v>
      </c>
      <c r="T76">
        <v>23.729938189999999</v>
      </c>
      <c r="U76">
        <v>23.39484934</v>
      </c>
      <c r="V76">
        <v>23.003747260000001</v>
      </c>
      <c r="W76">
        <v>22.605239170000001</v>
      </c>
      <c r="X76">
        <v>22.185905399999999</v>
      </c>
      <c r="Y76">
        <v>21.76930806</v>
      </c>
      <c r="Z76">
        <v>21.342536389999999</v>
      </c>
      <c r="AA76">
        <v>20.90980077</v>
      </c>
      <c r="AB76">
        <v>20.469917989999999</v>
      </c>
      <c r="AC76">
        <v>20.0216709</v>
      </c>
      <c r="AD76">
        <v>19.566699929999999</v>
      </c>
      <c r="AE76">
        <v>19.072172640000002</v>
      </c>
      <c r="AF76">
        <v>18.563944920000001</v>
      </c>
      <c r="AG76">
        <v>18.053096579999998</v>
      </c>
      <c r="AH76">
        <v>17.51785125</v>
      </c>
      <c r="AI76">
        <v>17.00543837</v>
      </c>
      <c r="AJ76">
        <v>16.508343799999999</v>
      </c>
      <c r="AK76">
        <v>16.022884919999999</v>
      </c>
      <c r="AL76">
        <v>15.54831033</v>
      </c>
      <c r="AM76">
        <v>15.08441288</v>
      </c>
      <c r="AN76">
        <v>14.62247739</v>
      </c>
      <c r="AO76">
        <v>14.1661573</v>
      </c>
      <c r="AP76">
        <v>13.71796868</v>
      </c>
      <c r="AQ76">
        <v>13.27896893</v>
      </c>
      <c r="AR76">
        <v>12.849742259999999</v>
      </c>
      <c r="AS76">
        <v>12.428854769999999</v>
      </c>
      <c r="AT76">
        <v>12.017878749999999</v>
      </c>
      <c r="AU76">
        <v>11.61751059</v>
      </c>
      <c r="AV76">
        <v>11.22808279</v>
      </c>
      <c r="AW76">
        <v>10.849947999999999</v>
      </c>
    </row>
    <row r="77" spans="2:49" x14ac:dyDescent="0.25">
      <c r="B77" t="s">
        <v>406</v>
      </c>
      <c r="C77">
        <v>20.7498358478441</v>
      </c>
      <c r="D77">
        <v>21.0829811741058</v>
      </c>
      <c r="E77">
        <v>21.429565929999999</v>
      </c>
      <c r="F77">
        <v>21.89418401</v>
      </c>
      <c r="G77">
        <v>21.071439399999999</v>
      </c>
      <c r="H77">
        <v>19.55630888</v>
      </c>
      <c r="I77">
        <v>19.943829019999999</v>
      </c>
      <c r="J77">
        <v>19.395966919999999</v>
      </c>
      <c r="K77">
        <v>19.57687765</v>
      </c>
      <c r="L77">
        <v>19.097281169999999</v>
      </c>
      <c r="M77">
        <v>19.035595369999999</v>
      </c>
      <c r="N77">
        <v>19.041096499999998</v>
      </c>
      <c r="O77">
        <v>18.86069178</v>
      </c>
      <c r="P77">
        <v>19.063147489999999</v>
      </c>
      <c r="Q77">
        <v>18.852724009999999</v>
      </c>
      <c r="R77">
        <v>18.731712259999998</v>
      </c>
      <c r="S77">
        <v>18.536564309999999</v>
      </c>
      <c r="T77">
        <v>18.750986990000001</v>
      </c>
      <c r="U77">
        <v>18.80195046</v>
      </c>
      <c r="V77">
        <v>19.040023999999999</v>
      </c>
      <c r="W77">
        <v>19.219749929999999</v>
      </c>
      <c r="X77">
        <v>19.189872690000001</v>
      </c>
      <c r="Y77">
        <v>19.07569934</v>
      </c>
      <c r="Z77">
        <v>19.049045110000002</v>
      </c>
      <c r="AA77">
        <v>19.049486680000001</v>
      </c>
      <c r="AB77">
        <v>19.062600710000002</v>
      </c>
      <c r="AC77">
        <v>19.091103409999999</v>
      </c>
      <c r="AD77">
        <v>18.945545589999998</v>
      </c>
      <c r="AE77">
        <v>18.80632773</v>
      </c>
      <c r="AF77">
        <v>18.683311639999999</v>
      </c>
      <c r="AG77">
        <v>18.571766390000001</v>
      </c>
      <c r="AH77">
        <v>18.46226819</v>
      </c>
      <c r="AI77">
        <v>18.457230509999999</v>
      </c>
      <c r="AJ77">
        <v>18.45578042</v>
      </c>
      <c r="AK77">
        <v>18.455017139999999</v>
      </c>
      <c r="AL77">
        <v>18.45511934</v>
      </c>
      <c r="AM77">
        <v>18.45135312</v>
      </c>
      <c r="AN77">
        <v>18.58553019</v>
      </c>
      <c r="AO77">
        <v>18.736370950000001</v>
      </c>
      <c r="AP77">
        <v>18.884828349999999</v>
      </c>
      <c r="AQ77">
        <v>19.03232354</v>
      </c>
      <c r="AR77">
        <v>19.174566590000001</v>
      </c>
      <c r="AS77">
        <v>19.421109309999999</v>
      </c>
      <c r="AT77">
        <v>19.666123729999999</v>
      </c>
      <c r="AU77">
        <v>19.91409977</v>
      </c>
      <c r="AV77">
        <v>20.164130369999999</v>
      </c>
      <c r="AW77">
        <v>20.423834719999999</v>
      </c>
    </row>
    <row r="78" spans="2:49" x14ac:dyDescent="0.25">
      <c r="B78" t="s">
        <v>407</v>
      </c>
      <c r="C78">
        <v>0.28090746897060398</v>
      </c>
      <c r="D78">
        <v>0.28541752924702302</v>
      </c>
      <c r="E78">
        <v>0.28999999999999998</v>
      </c>
      <c r="F78">
        <v>0.3008413036</v>
      </c>
      <c r="G78">
        <v>0.30305687669999998</v>
      </c>
      <c r="H78">
        <v>0.29517862119999999</v>
      </c>
      <c r="I78">
        <v>0.31102289119999998</v>
      </c>
      <c r="J78">
        <v>0.31408829929999998</v>
      </c>
      <c r="K78">
        <v>0.32120680670000001</v>
      </c>
      <c r="L78">
        <v>0.31275133719999998</v>
      </c>
      <c r="M78">
        <v>0.32436002079999998</v>
      </c>
      <c r="N78">
        <v>0.31740027170000001</v>
      </c>
      <c r="O78">
        <v>0.30474058799999998</v>
      </c>
      <c r="P78">
        <v>0.31057001569999998</v>
      </c>
      <c r="Q78">
        <v>0.31202432520000001</v>
      </c>
      <c r="R78">
        <v>0.31065554690000002</v>
      </c>
      <c r="S78">
        <v>0.31353083230000001</v>
      </c>
      <c r="T78">
        <v>0.31892401999999997</v>
      </c>
      <c r="U78">
        <v>0.32343432179999998</v>
      </c>
      <c r="V78">
        <v>0.33197687920000002</v>
      </c>
      <c r="W78">
        <v>0.33714995310000001</v>
      </c>
      <c r="X78">
        <v>0.34085503760000002</v>
      </c>
      <c r="Y78">
        <v>0.34365256329999999</v>
      </c>
      <c r="Z78">
        <v>0.34702650750000003</v>
      </c>
      <c r="AA78">
        <v>0.35077979780000001</v>
      </c>
      <c r="AB78">
        <v>0.35452529449999998</v>
      </c>
      <c r="AC78">
        <v>0.35853951150000002</v>
      </c>
      <c r="AD78">
        <v>0.36206389729999999</v>
      </c>
      <c r="AE78">
        <v>0.36610254869999997</v>
      </c>
      <c r="AF78">
        <v>0.37027852239999998</v>
      </c>
      <c r="AG78">
        <v>0.37500771510000003</v>
      </c>
      <c r="AH78">
        <v>0.3804552819</v>
      </c>
      <c r="AI78">
        <v>0.38607295819999998</v>
      </c>
      <c r="AJ78">
        <v>0.39229159159999999</v>
      </c>
      <c r="AK78">
        <v>0.39843816370000001</v>
      </c>
      <c r="AL78">
        <v>0.40474157049999998</v>
      </c>
      <c r="AM78">
        <v>0.41104538769999999</v>
      </c>
      <c r="AN78">
        <v>0.4177090255</v>
      </c>
      <c r="AO78">
        <v>0.4245213343</v>
      </c>
      <c r="AP78">
        <v>0.4311788359</v>
      </c>
      <c r="AQ78">
        <v>0.43779965069999999</v>
      </c>
      <c r="AR78">
        <v>0.4443262885</v>
      </c>
      <c r="AS78">
        <v>0.45098132969999999</v>
      </c>
      <c r="AT78">
        <v>0.45760641330000001</v>
      </c>
      <c r="AU78">
        <v>0.46438945180000002</v>
      </c>
      <c r="AV78">
        <v>0.47124367360000002</v>
      </c>
      <c r="AW78">
        <v>0.4782575114</v>
      </c>
    </row>
    <row r="79" spans="2:49" x14ac:dyDescent="0.25">
      <c r="B79" t="s">
        <v>408</v>
      </c>
      <c r="C79">
        <v>11.323476938849501</v>
      </c>
      <c r="D79">
        <v>11.5052790237851</v>
      </c>
      <c r="E79">
        <v>11.69</v>
      </c>
      <c r="F79">
        <v>11.90020859</v>
      </c>
      <c r="G79">
        <v>11.88724906</v>
      </c>
      <c r="H79">
        <v>10.390552469999999</v>
      </c>
      <c r="I79">
        <v>11.01947882</v>
      </c>
      <c r="J79">
        <v>11.49572064</v>
      </c>
      <c r="K79">
        <v>11.34824832</v>
      </c>
      <c r="L79">
        <v>11.159847839999999</v>
      </c>
      <c r="M79">
        <v>11.084507260000001</v>
      </c>
      <c r="N79">
        <v>10.887530870000001</v>
      </c>
      <c r="O79">
        <v>10.11744974</v>
      </c>
      <c r="P79">
        <v>9.8686400709999997</v>
      </c>
      <c r="Q79">
        <v>9.6940283889999996</v>
      </c>
      <c r="R79">
        <v>9.2975555700000001</v>
      </c>
      <c r="S79">
        <v>8.9540998980000008</v>
      </c>
      <c r="T79">
        <v>9.1781284830000001</v>
      </c>
      <c r="U79">
        <v>9.3330364479999997</v>
      </c>
      <c r="V79">
        <v>9.6501702859999998</v>
      </c>
      <c r="W79">
        <v>10.009089769999999</v>
      </c>
      <c r="X79">
        <v>10.37466731</v>
      </c>
      <c r="Y79">
        <v>10.5773221</v>
      </c>
      <c r="Z79">
        <v>10.84429959</v>
      </c>
      <c r="AA79">
        <v>11.151876529999999</v>
      </c>
      <c r="AB79">
        <v>11.503917250000001</v>
      </c>
      <c r="AC79">
        <v>11.91057363</v>
      </c>
      <c r="AD79">
        <v>11.999115939999999</v>
      </c>
      <c r="AE79">
        <v>12.11038119</v>
      </c>
      <c r="AF79">
        <v>12.23848364</v>
      </c>
      <c r="AG79">
        <v>12.38204258</v>
      </c>
      <c r="AH79">
        <v>12.538909370000001</v>
      </c>
      <c r="AI79">
        <v>12.72791065</v>
      </c>
      <c r="AJ79">
        <v>12.92544157</v>
      </c>
      <c r="AK79">
        <v>13.12668524</v>
      </c>
      <c r="AL79">
        <v>13.33512556</v>
      </c>
      <c r="AM79">
        <v>13.54320405</v>
      </c>
      <c r="AN79">
        <v>13.7956311</v>
      </c>
      <c r="AO79">
        <v>14.076164540000001</v>
      </c>
      <c r="AP79">
        <v>14.360885809999999</v>
      </c>
      <c r="AQ79">
        <v>14.652793320000001</v>
      </c>
      <c r="AR79">
        <v>14.945602510000001</v>
      </c>
      <c r="AS79">
        <v>15.216895689999999</v>
      </c>
      <c r="AT79">
        <v>15.479920529999999</v>
      </c>
      <c r="AU79">
        <v>15.74704945</v>
      </c>
      <c r="AV79">
        <v>16.018158329999999</v>
      </c>
      <c r="AW79">
        <v>16.300642289999999</v>
      </c>
    </row>
    <row r="80" spans="2:49" x14ac:dyDescent="0.25">
      <c r="B80" t="s">
        <v>409</v>
      </c>
      <c r="C80">
        <v>12.401465507675301</v>
      </c>
      <c r="D80">
        <v>12.6005750477687</v>
      </c>
      <c r="E80">
        <v>12.802881360000001</v>
      </c>
      <c r="F80">
        <v>12.94863627</v>
      </c>
      <c r="G80">
        <v>13.33707444</v>
      </c>
      <c r="H80">
        <v>13.0556003</v>
      </c>
      <c r="I80">
        <v>13.32602958</v>
      </c>
      <c r="J80">
        <v>13.686881959999999</v>
      </c>
      <c r="K80">
        <v>14.014462119999999</v>
      </c>
      <c r="L80">
        <v>14.06434836</v>
      </c>
      <c r="M80">
        <v>14.01361107</v>
      </c>
      <c r="N80">
        <v>13.80657761</v>
      </c>
      <c r="O80">
        <v>13.72936226</v>
      </c>
      <c r="P80">
        <v>13.965273270000001</v>
      </c>
      <c r="Q80">
        <v>14.405983389999999</v>
      </c>
      <c r="R80">
        <v>14.459136519999999</v>
      </c>
      <c r="S80">
        <v>14.548182280000001</v>
      </c>
      <c r="T80">
        <v>14.56163527</v>
      </c>
      <c r="U80">
        <v>14.673588240000001</v>
      </c>
      <c r="V80">
        <v>14.805342960000001</v>
      </c>
      <c r="W80">
        <v>14.95400888</v>
      </c>
      <c r="X80">
        <v>15.114046630000001</v>
      </c>
      <c r="Y80">
        <v>15.24585688</v>
      </c>
      <c r="Z80">
        <v>15.397502319999999</v>
      </c>
      <c r="AA80">
        <v>15.55503717</v>
      </c>
      <c r="AB80">
        <v>15.711477690000001</v>
      </c>
      <c r="AC80">
        <v>15.86649334</v>
      </c>
      <c r="AD80">
        <v>16.022499079999999</v>
      </c>
      <c r="AE80">
        <v>16.1809148</v>
      </c>
      <c r="AF80">
        <v>16.339565019999998</v>
      </c>
      <c r="AG80">
        <v>16.497230439999999</v>
      </c>
      <c r="AH80">
        <v>16.65422001</v>
      </c>
      <c r="AI80">
        <v>16.812874900000001</v>
      </c>
      <c r="AJ80">
        <v>16.967388339999999</v>
      </c>
      <c r="AK80">
        <v>17.116187279999998</v>
      </c>
      <c r="AL80">
        <v>17.260586629999999</v>
      </c>
      <c r="AM80">
        <v>17.39844999</v>
      </c>
      <c r="AN80">
        <v>17.544195599999998</v>
      </c>
      <c r="AO80">
        <v>17.678145910000001</v>
      </c>
      <c r="AP80">
        <v>17.800543470000001</v>
      </c>
      <c r="AQ80">
        <v>17.91248586</v>
      </c>
      <c r="AR80">
        <v>18.013024940000001</v>
      </c>
      <c r="AS80">
        <v>18.108534110000001</v>
      </c>
      <c r="AT80">
        <v>18.192283020000001</v>
      </c>
      <c r="AU80">
        <v>18.265279020000001</v>
      </c>
      <c r="AV80">
        <v>18.32660357</v>
      </c>
      <c r="AW80">
        <v>18.388367980000002</v>
      </c>
    </row>
    <row r="81" spans="2:49" x14ac:dyDescent="0.25">
      <c r="B81" t="s">
        <v>410</v>
      </c>
      <c r="C81">
        <v>10.826676236859401</v>
      </c>
      <c r="D81">
        <v>11.000502025829901</v>
      </c>
      <c r="E81">
        <v>11.17711864</v>
      </c>
      <c r="F81">
        <v>11.88502555</v>
      </c>
      <c r="G81">
        <v>12.50056758</v>
      </c>
      <c r="H81">
        <v>11.7872377</v>
      </c>
      <c r="I81">
        <v>12.313194449999999</v>
      </c>
      <c r="J81">
        <v>12.875190659999999</v>
      </c>
      <c r="K81">
        <v>13.221004049999999</v>
      </c>
      <c r="L81">
        <v>13.283189330000001</v>
      </c>
      <c r="M81">
        <v>13.2940246</v>
      </c>
      <c r="N81">
        <v>13.072682670000001</v>
      </c>
      <c r="O81">
        <v>12.45818764</v>
      </c>
      <c r="P81">
        <v>12.511884309999999</v>
      </c>
      <c r="Q81">
        <v>12.96084218</v>
      </c>
      <c r="R81">
        <v>12.834344979999999</v>
      </c>
      <c r="S81">
        <v>12.66223059</v>
      </c>
      <c r="T81">
        <v>12.765736499999999</v>
      </c>
      <c r="U81">
        <v>12.796412650000001</v>
      </c>
      <c r="V81">
        <v>12.833197009999999</v>
      </c>
      <c r="W81">
        <v>13.1091452</v>
      </c>
      <c r="X81">
        <v>13.42823798</v>
      </c>
      <c r="Y81">
        <v>13.64594834</v>
      </c>
      <c r="Z81">
        <v>13.82462005</v>
      </c>
      <c r="AA81">
        <v>13.97294237</v>
      </c>
      <c r="AB81">
        <v>14.09215603</v>
      </c>
      <c r="AC81">
        <v>14.188732460000001</v>
      </c>
      <c r="AD81">
        <v>14.26800106</v>
      </c>
      <c r="AE81">
        <v>14.334224750000001</v>
      </c>
      <c r="AF81">
        <v>14.38824017</v>
      </c>
      <c r="AG81">
        <v>14.43128499</v>
      </c>
      <c r="AH81">
        <v>14.462548269999999</v>
      </c>
      <c r="AI81">
        <v>14.48791962</v>
      </c>
      <c r="AJ81">
        <v>14.503642559999999</v>
      </c>
      <c r="AK81">
        <v>14.50597043</v>
      </c>
      <c r="AL81">
        <v>14.498324419999999</v>
      </c>
      <c r="AM81">
        <v>14.480386899999999</v>
      </c>
      <c r="AN81">
        <v>14.34507003</v>
      </c>
      <c r="AO81">
        <v>14.18418814</v>
      </c>
      <c r="AP81">
        <v>14.017245000000001</v>
      </c>
      <c r="AQ81">
        <v>13.84875751</v>
      </c>
      <c r="AR81">
        <v>13.679494589999999</v>
      </c>
      <c r="AS81">
        <v>13.51252086</v>
      </c>
      <c r="AT81">
        <v>13.34440365</v>
      </c>
      <c r="AU81">
        <v>13.17770084</v>
      </c>
      <c r="AV81">
        <v>13.01183157</v>
      </c>
      <c r="AW81">
        <v>12.84679049</v>
      </c>
    </row>
    <row r="82" spans="2:49" x14ac:dyDescent="0.25">
      <c r="B82" t="s">
        <v>411</v>
      </c>
      <c r="C82">
        <v>4.42659733299524E-4</v>
      </c>
      <c r="D82">
        <v>4.4976677849999601E-4</v>
      </c>
      <c r="E82">
        <v>4.5698792999999998E-4</v>
      </c>
      <c r="F82">
        <v>1.1382258200000001E-3</v>
      </c>
      <c r="G82">
        <v>2.1523179100000002E-3</v>
      </c>
      <c r="H82">
        <v>3.7867752900000002E-3</v>
      </c>
      <c r="I82">
        <v>5.9904382799999996E-3</v>
      </c>
      <c r="J82">
        <v>8.8740894500000007E-3</v>
      </c>
      <c r="K82">
        <v>1.22350134E-2</v>
      </c>
      <c r="L82">
        <v>1.6499171600000001E-2</v>
      </c>
      <c r="M82">
        <v>2.2181736600000002E-2</v>
      </c>
      <c r="N82">
        <v>2.90133404E-2</v>
      </c>
      <c r="O82">
        <v>3.8443056699999999E-2</v>
      </c>
      <c r="P82">
        <v>5.0752064899999998E-2</v>
      </c>
      <c r="Q82">
        <v>6.6615671200000004E-2</v>
      </c>
      <c r="R82">
        <v>8.6784615999999995E-2</v>
      </c>
      <c r="S82">
        <v>0.1115936015</v>
      </c>
      <c r="T82">
        <v>0.14012630349999999</v>
      </c>
      <c r="U82">
        <v>0.1762139583</v>
      </c>
      <c r="V82">
        <v>0.22141492290000001</v>
      </c>
      <c r="W82">
        <v>0.2752418928</v>
      </c>
      <c r="X82">
        <v>0.3373448926</v>
      </c>
      <c r="Y82">
        <v>0.40953134299999999</v>
      </c>
      <c r="Z82">
        <v>0.4910584657</v>
      </c>
      <c r="AA82">
        <v>0.58221933770000001</v>
      </c>
      <c r="AB82">
        <v>0.68227258469999996</v>
      </c>
      <c r="AC82">
        <v>0.79003121980000002</v>
      </c>
      <c r="AD82">
        <v>0.90458898679999999</v>
      </c>
      <c r="AE82">
        <v>1.022336728</v>
      </c>
      <c r="AF82">
        <v>1.141983132</v>
      </c>
      <c r="AG82">
        <v>1.264581577</v>
      </c>
      <c r="AH82">
        <v>1.388944395</v>
      </c>
      <c r="AI82">
        <v>1.5138446000000001</v>
      </c>
      <c r="AJ82">
        <v>1.643611121</v>
      </c>
      <c r="AK82">
        <v>1.776008389</v>
      </c>
      <c r="AL82">
        <v>1.909865258</v>
      </c>
      <c r="AM82">
        <v>2.0442654139999998</v>
      </c>
      <c r="AN82">
        <v>2.1783600359999999</v>
      </c>
      <c r="AO82">
        <v>2.3110342300000002</v>
      </c>
      <c r="AP82">
        <v>2.4428277540000001</v>
      </c>
      <c r="AQ82">
        <v>2.5736648930000001</v>
      </c>
      <c r="AR82">
        <v>2.7033215890000002</v>
      </c>
      <c r="AS82">
        <v>2.8317390819999999</v>
      </c>
      <c r="AT82">
        <v>2.9581604929999998</v>
      </c>
      <c r="AU82">
        <v>3.0827439760000002</v>
      </c>
      <c r="AV82">
        <v>3.2054871490000001</v>
      </c>
      <c r="AW82">
        <v>3.3265233510000001</v>
      </c>
    </row>
    <row r="83" spans="2:49" x14ac:dyDescent="0.25">
      <c r="B83" t="s">
        <v>412</v>
      </c>
      <c r="C83">
        <v>1.1996237928359601</v>
      </c>
      <c r="D83">
        <v>1.2188841408592499</v>
      </c>
      <c r="E83">
        <v>1.238864347</v>
      </c>
      <c r="F83">
        <v>1.2856159039999999</v>
      </c>
      <c r="G83">
        <v>1.2626816080000001</v>
      </c>
      <c r="H83">
        <v>1.1173894849999999</v>
      </c>
      <c r="I83">
        <v>1.171475598</v>
      </c>
      <c r="J83">
        <v>1.1864017259999999</v>
      </c>
      <c r="K83">
        <v>1.202873691</v>
      </c>
      <c r="L83">
        <v>1.2017305030000001</v>
      </c>
      <c r="M83">
        <v>1.2019896189999999</v>
      </c>
      <c r="N83">
        <v>1.190003014</v>
      </c>
      <c r="O83">
        <v>1.184418617</v>
      </c>
      <c r="P83">
        <v>1.247325314</v>
      </c>
      <c r="Q83">
        <v>1.279991155</v>
      </c>
      <c r="R83">
        <v>1.317992563</v>
      </c>
      <c r="S83">
        <v>1.3282547060000001</v>
      </c>
      <c r="T83">
        <v>1.3519580090000001</v>
      </c>
      <c r="U83">
        <v>1.3756820890000001</v>
      </c>
      <c r="V83">
        <v>1.4076820830000001</v>
      </c>
      <c r="W83">
        <v>1.4283996130000001</v>
      </c>
      <c r="X83">
        <v>1.4685811989999999</v>
      </c>
      <c r="Y83">
        <v>1.516646454</v>
      </c>
      <c r="Z83">
        <v>1.567522216</v>
      </c>
      <c r="AA83">
        <v>1.6214691240000001</v>
      </c>
      <c r="AB83">
        <v>1.6767327860000001</v>
      </c>
      <c r="AC83">
        <v>1.7340629750000001</v>
      </c>
      <c r="AD83">
        <v>1.80693766</v>
      </c>
      <c r="AE83">
        <v>1.8787415620000001</v>
      </c>
      <c r="AF83">
        <v>1.9545572879999999</v>
      </c>
      <c r="AG83">
        <v>2.0338735200000002</v>
      </c>
      <c r="AH83">
        <v>2.11326108</v>
      </c>
      <c r="AI83">
        <v>2.188929516</v>
      </c>
      <c r="AJ83">
        <v>2.266555136</v>
      </c>
      <c r="AK83">
        <v>2.3453898230000001</v>
      </c>
      <c r="AL83">
        <v>2.426266928</v>
      </c>
      <c r="AM83">
        <v>2.5085775629999998</v>
      </c>
      <c r="AN83">
        <v>2.5569306209999998</v>
      </c>
      <c r="AO83">
        <v>2.6083447820000001</v>
      </c>
      <c r="AP83">
        <v>2.6604747290000001</v>
      </c>
      <c r="AQ83">
        <v>2.7135192620000002</v>
      </c>
      <c r="AR83">
        <v>2.7670118719999999</v>
      </c>
      <c r="AS83">
        <v>2.7959251549999999</v>
      </c>
      <c r="AT83">
        <v>2.8248135130000001</v>
      </c>
      <c r="AU83">
        <v>2.8542471800000002</v>
      </c>
      <c r="AV83">
        <v>2.8839955079999999</v>
      </c>
      <c r="AW83">
        <v>2.9150394720000001</v>
      </c>
    </row>
    <row r="84" spans="2:49" x14ac:dyDescent="0.25">
      <c r="B84" t="s">
        <v>413</v>
      </c>
      <c r="C84">
        <v>0.33902625565417799</v>
      </c>
      <c r="D84">
        <v>0.34446943184985501</v>
      </c>
      <c r="E84">
        <v>0.35</v>
      </c>
      <c r="F84">
        <v>0.36577787880000001</v>
      </c>
      <c r="G84">
        <v>0.3583715817</v>
      </c>
      <c r="H84">
        <v>0.3624719643</v>
      </c>
      <c r="I84">
        <v>0.38747505869999999</v>
      </c>
      <c r="J84">
        <v>0.3840032042</v>
      </c>
      <c r="K84">
        <v>0.37888985400000003</v>
      </c>
      <c r="L84">
        <v>0.36832428150000002</v>
      </c>
      <c r="M84">
        <v>0.38983397860000002</v>
      </c>
      <c r="N84">
        <v>0.39932898379999998</v>
      </c>
      <c r="O84">
        <v>0.40028017849999997</v>
      </c>
      <c r="P84">
        <v>0.40568371349999999</v>
      </c>
      <c r="Q84">
        <v>0.38284439100000001</v>
      </c>
      <c r="R84">
        <v>0.37398873690000001</v>
      </c>
      <c r="S84">
        <v>0.3744800298</v>
      </c>
      <c r="T84">
        <v>0.37966146919999999</v>
      </c>
      <c r="U84">
        <v>0.3855734039</v>
      </c>
      <c r="V84">
        <v>0.39601429630000001</v>
      </c>
      <c r="W84">
        <v>0.40045084600000003</v>
      </c>
      <c r="X84">
        <v>0.40226284750000002</v>
      </c>
      <c r="Y84">
        <v>0.40578908749999998</v>
      </c>
      <c r="Z84">
        <v>0.41015790410000003</v>
      </c>
      <c r="AA84">
        <v>0.4151889164</v>
      </c>
      <c r="AB84">
        <v>0.4205868821</v>
      </c>
      <c r="AC84">
        <v>0.42645901219999999</v>
      </c>
      <c r="AD84">
        <v>0.43174995560000001</v>
      </c>
      <c r="AE84">
        <v>0.4373092972</v>
      </c>
      <c r="AF84">
        <v>0.4427155163</v>
      </c>
      <c r="AG84">
        <v>0.44872958439999999</v>
      </c>
      <c r="AH84">
        <v>0.45556466899999998</v>
      </c>
      <c r="AI84">
        <v>0.46206397090000001</v>
      </c>
      <c r="AJ84">
        <v>0.46918539570000001</v>
      </c>
      <c r="AK84">
        <v>0.4763816052</v>
      </c>
      <c r="AL84">
        <v>0.48378419540000001</v>
      </c>
      <c r="AM84">
        <v>0.4912647094</v>
      </c>
      <c r="AN84">
        <v>0.49920070189999999</v>
      </c>
      <c r="AO84">
        <v>0.50756081289999999</v>
      </c>
      <c r="AP84">
        <v>0.51584872609999999</v>
      </c>
      <c r="AQ84">
        <v>0.52414837430000005</v>
      </c>
      <c r="AR84">
        <v>0.53239637630000003</v>
      </c>
      <c r="AS84">
        <v>0.5407250428</v>
      </c>
      <c r="AT84">
        <v>0.5491542707</v>
      </c>
      <c r="AU84">
        <v>0.55771266659999996</v>
      </c>
      <c r="AV84">
        <v>0.56633306179999998</v>
      </c>
      <c r="AW84">
        <v>0.5751172577</v>
      </c>
    </row>
    <row r="85" spans="2:49" x14ac:dyDescent="0.25">
      <c r="B85" t="s">
        <v>414</v>
      </c>
      <c r="C85">
        <v>12.8442518570697</v>
      </c>
      <c r="D85">
        <v>13.0504704752259</v>
      </c>
      <c r="E85">
        <v>13.26</v>
      </c>
      <c r="F85">
        <v>13.641117449999999</v>
      </c>
      <c r="G85">
        <v>13.23528262</v>
      </c>
      <c r="H85">
        <v>12.17430029</v>
      </c>
      <c r="I85">
        <v>12.74899409</v>
      </c>
      <c r="J85">
        <v>13.03419871</v>
      </c>
      <c r="K85">
        <v>12.45245588</v>
      </c>
      <c r="L85">
        <v>12.2563675</v>
      </c>
      <c r="M85">
        <v>12.447028550000001</v>
      </c>
      <c r="N85">
        <v>12.78159413</v>
      </c>
      <c r="O85">
        <v>13.113993730000001</v>
      </c>
      <c r="P85">
        <v>13.46414231</v>
      </c>
      <c r="Q85">
        <v>13.169914350000001</v>
      </c>
      <c r="R85">
        <v>13.090348580000001</v>
      </c>
      <c r="S85">
        <v>13.12985211</v>
      </c>
      <c r="T85">
        <v>13.39904102</v>
      </c>
      <c r="U85">
        <v>13.451678599999999</v>
      </c>
      <c r="V85">
        <v>13.68784718</v>
      </c>
      <c r="W85">
        <v>13.7739042</v>
      </c>
      <c r="X85">
        <v>13.754958029999999</v>
      </c>
      <c r="Y85">
        <v>13.884483299999999</v>
      </c>
      <c r="Z85">
        <v>14.170175909999999</v>
      </c>
      <c r="AA85">
        <v>14.526253649999999</v>
      </c>
      <c r="AB85">
        <v>14.94723435</v>
      </c>
      <c r="AC85">
        <v>15.441733109999999</v>
      </c>
      <c r="AD85">
        <v>15.553415680000001</v>
      </c>
      <c r="AE85" s="100">
        <v>15.684003540000001</v>
      </c>
      <c r="AF85" s="100">
        <v>15.82351658</v>
      </c>
      <c r="AG85">
        <v>15.982348330000001</v>
      </c>
      <c r="AH85">
        <v>16.159697040000001</v>
      </c>
      <c r="AI85">
        <v>16.34686159</v>
      </c>
      <c r="AJ85" s="100">
        <v>16.539642709999999</v>
      </c>
      <c r="AK85">
        <v>16.740976589999999</v>
      </c>
      <c r="AL85">
        <v>16.949308429999999</v>
      </c>
      <c r="AM85">
        <v>17.15850073</v>
      </c>
      <c r="AN85">
        <v>17.30524466</v>
      </c>
      <c r="AO85">
        <v>17.462286509999998</v>
      </c>
      <c r="AP85">
        <v>17.610058779999999</v>
      </c>
      <c r="AQ85">
        <v>17.754048959999999</v>
      </c>
      <c r="AR85">
        <v>17.88611186</v>
      </c>
      <c r="AS85">
        <v>18.064042910000001</v>
      </c>
      <c r="AT85">
        <v>18.246587989999998</v>
      </c>
      <c r="AU85">
        <v>18.4306625</v>
      </c>
      <c r="AV85">
        <v>18.614632690000001</v>
      </c>
      <c r="AW85">
        <v>18.809146729999998</v>
      </c>
    </row>
    <row r="86" spans="2:49" x14ac:dyDescent="0.25">
      <c r="B86" t="s">
        <v>415</v>
      </c>
      <c r="C86" s="100">
        <v>17.113958899133198</v>
      </c>
      <c r="D86">
        <v>17.388729044925601</v>
      </c>
      <c r="E86">
        <v>17.667910710000001</v>
      </c>
      <c r="F86">
        <v>17.876826300000001</v>
      </c>
      <c r="G86" s="100">
        <v>17.820004269999998</v>
      </c>
      <c r="H86">
        <v>17.848069450000001</v>
      </c>
      <c r="I86">
        <v>18.284532980000002</v>
      </c>
      <c r="J86">
        <v>18.360616589999999</v>
      </c>
      <c r="K86" s="100">
        <v>18.07657712</v>
      </c>
      <c r="L86" s="100">
        <v>17.968872829999999</v>
      </c>
      <c r="M86" s="100">
        <v>18.0818394</v>
      </c>
      <c r="N86">
        <v>18.35437817</v>
      </c>
      <c r="O86">
        <v>18.80138496</v>
      </c>
      <c r="P86">
        <v>18.90868974</v>
      </c>
      <c r="Q86">
        <v>18.389863259999998</v>
      </c>
      <c r="R86">
        <v>17.99022673</v>
      </c>
      <c r="S86">
        <v>17.699657599999998</v>
      </c>
      <c r="T86">
        <v>17.274551049999999</v>
      </c>
      <c r="U86">
        <v>17.069665570000002</v>
      </c>
      <c r="V86">
        <v>16.847947080000001</v>
      </c>
      <c r="W86">
        <v>16.631461909999999</v>
      </c>
      <c r="X86">
        <v>16.440587870000002</v>
      </c>
      <c r="Y86">
        <v>16.363577509999999</v>
      </c>
      <c r="Z86">
        <v>16.32105451</v>
      </c>
      <c r="AA86">
        <v>16.316178919999999</v>
      </c>
      <c r="AB86">
        <v>16.342240180000001</v>
      </c>
      <c r="AC86">
        <v>16.385815560000001</v>
      </c>
      <c r="AD86">
        <v>16.44683801</v>
      </c>
      <c r="AE86">
        <v>16.506650010000001</v>
      </c>
      <c r="AF86">
        <v>16.565335059999999</v>
      </c>
      <c r="AG86">
        <v>16.631595399999998</v>
      </c>
      <c r="AH86">
        <v>16.701198600000001</v>
      </c>
      <c r="AI86">
        <v>16.75587488</v>
      </c>
      <c r="AJ86">
        <v>16.81146523</v>
      </c>
      <c r="AK86">
        <v>16.87041035</v>
      </c>
      <c r="AL86">
        <v>16.927788020000001</v>
      </c>
      <c r="AM86">
        <v>16.984336079999999</v>
      </c>
      <c r="AN86">
        <v>17.03146692</v>
      </c>
      <c r="AO86">
        <v>17.074306140000001</v>
      </c>
      <c r="AP86">
        <v>17.105587679999999</v>
      </c>
      <c r="AQ86">
        <v>17.124126629999999</v>
      </c>
      <c r="AR86">
        <v>17.130427510000001</v>
      </c>
      <c r="AS86">
        <v>17.115058909999998</v>
      </c>
      <c r="AT86">
        <v>17.083430969999998</v>
      </c>
      <c r="AU86">
        <v>17.033271389999999</v>
      </c>
      <c r="AV86">
        <v>16.966602900000002</v>
      </c>
      <c r="AW86">
        <v>16.888820169999999</v>
      </c>
    </row>
    <row r="87" spans="2:49" x14ac:dyDescent="0.25">
      <c r="B87" t="s">
        <v>416</v>
      </c>
      <c r="C87" s="100">
        <v>5.6395460874857797</v>
      </c>
      <c r="D87" s="100">
        <v>5.7300908240832298</v>
      </c>
      <c r="E87" s="100">
        <v>5.8220892859999998</v>
      </c>
      <c r="F87">
        <v>6.3667396480000003</v>
      </c>
      <c r="G87">
        <v>6.7116918060000001</v>
      </c>
      <c r="H87">
        <v>7.0508674850000004</v>
      </c>
      <c r="I87">
        <v>7.7592831999999996</v>
      </c>
      <c r="J87">
        <v>8.2383664729999904</v>
      </c>
      <c r="K87">
        <v>8.4544426050000006</v>
      </c>
      <c r="L87">
        <v>8.9263564679999998</v>
      </c>
      <c r="M87">
        <v>9.7651062450000001</v>
      </c>
      <c r="N87">
        <v>11.11972967</v>
      </c>
      <c r="O87">
        <v>11.634402250000001</v>
      </c>
      <c r="P87">
        <v>11.45697504</v>
      </c>
      <c r="Q87">
        <v>10.49549393</v>
      </c>
      <c r="R87">
        <v>9.8373070340000002</v>
      </c>
      <c r="S87">
        <v>9.4093188350000005</v>
      </c>
      <c r="T87">
        <v>9.3215934610000009</v>
      </c>
      <c r="U87">
        <v>9.2626327990000004</v>
      </c>
      <c r="V87">
        <v>9.2118265479999994</v>
      </c>
      <c r="W87">
        <v>9.2185105679999904</v>
      </c>
      <c r="X87">
        <v>9.2338452610000008</v>
      </c>
      <c r="Y87">
        <v>9.2697382380000004</v>
      </c>
      <c r="Z87">
        <v>9.2884447439999995</v>
      </c>
      <c r="AA87">
        <v>9.2986475330000005</v>
      </c>
      <c r="AB87">
        <v>9.3049391900000007</v>
      </c>
      <c r="AC87">
        <v>9.3048820570000004</v>
      </c>
      <c r="AD87">
        <v>9.2982789120000007</v>
      </c>
      <c r="AE87">
        <v>9.275641662</v>
      </c>
      <c r="AF87">
        <v>9.2381572260000002</v>
      </c>
      <c r="AG87">
        <v>9.1970118040000006</v>
      </c>
      <c r="AH87">
        <v>9.150532643</v>
      </c>
      <c r="AI87">
        <v>9.0897331119999905</v>
      </c>
      <c r="AJ87">
        <v>9.0240185690000008</v>
      </c>
      <c r="AK87">
        <v>8.9560588800000005</v>
      </c>
      <c r="AL87">
        <v>8.8849052420000003</v>
      </c>
      <c r="AM87">
        <v>8.8115027230000003</v>
      </c>
      <c r="AN87">
        <v>8.6833255579999999</v>
      </c>
      <c r="AO87">
        <v>8.5497145660000005</v>
      </c>
      <c r="AP87">
        <v>8.4167043239999995</v>
      </c>
      <c r="AQ87">
        <v>8.2853830829999904</v>
      </c>
      <c r="AR87">
        <v>8.1561845500000008</v>
      </c>
      <c r="AS87">
        <v>8.0281028190000008</v>
      </c>
      <c r="AT87">
        <v>7.9029100379999999</v>
      </c>
      <c r="AU87" s="100">
        <v>7.7790281349999999</v>
      </c>
      <c r="AV87" s="100">
        <v>7.6566507880000003</v>
      </c>
      <c r="AW87">
        <v>7.5356139539999996</v>
      </c>
    </row>
    <row r="88" spans="2:49" x14ac:dyDescent="0.25">
      <c r="B88" t="s">
        <v>417</v>
      </c>
      <c r="C88" s="100">
        <v>1.0609788529198101E-6</v>
      </c>
      <c r="D88" s="100">
        <v>1.0780132115867701E-6</v>
      </c>
      <c r="E88" s="100">
        <v>1.0953210600000001E-6</v>
      </c>
      <c r="F88" s="100">
        <v>1.17490666E-6</v>
      </c>
      <c r="G88" s="100">
        <v>2.0860707699999999E-6</v>
      </c>
      <c r="H88" s="100">
        <v>3.1269495399999998E-6</v>
      </c>
      <c r="I88" s="100">
        <v>4.1649058100000002E-6</v>
      </c>
      <c r="J88" s="100">
        <v>5.4837957599999998E-6</v>
      </c>
      <c r="K88" s="100">
        <v>6.6631801699999999E-6</v>
      </c>
      <c r="L88" s="100">
        <v>7.6749108800000005E-6</v>
      </c>
      <c r="M88" s="100">
        <v>8.6264946200000007E-6</v>
      </c>
      <c r="N88" s="100">
        <v>9.1395362099999892E-6</v>
      </c>
      <c r="O88" s="100">
        <v>9.5230758600000005E-6</v>
      </c>
      <c r="P88" s="100">
        <v>9.7435944799999996E-6</v>
      </c>
      <c r="Q88" s="100">
        <v>1.0541476799999999E-5</v>
      </c>
      <c r="R88" s="100">
        <v>1.14627582E-5</v>
      </c>
      <c r="S88" s="100">
        <v>1.3015391099999999E-5</v>
      </c>
      <c r="T88" s="100">
        <v>1.43121751E-5</v>
      </c>
      <c r="U88" s="100">
        <v>1.6439012100000001E-5</v>
      </c>
      <c r="V88" s="100">
        <v>1.89428912E-5</v>
      </c>
      <c r="W88" s="100">
        <v>2.1413919299999999E-5</v>
      </c>
      <c r="X88" s="100">
        <v>2.3801746199999999E-5</v>
      </c>
      <c r="Y88" s="100">
        <v>2.61048833E-5</v>
      </c>
      <c r="Z88" s="100">
        <v>2.8261098000000001E-5</v>
      </c>
      <c r="AA88" s="100">
        <v>3.02956468E-5</v>
      </c>
      <c r="AB88" s="100">
        <v>3.2199346800000001E-5</v>
      </c>
      <c r="AC88" s="100">
        <v>3.3964216200000003E-5</v>
      </c>
      <c r="AD88" s="100">
        <v>3.5594204000000003E-5</v>
      </c>
      <c r="AE88" s="100">
        <v>3.6931680299999998E-5</v>
      </c>
      <c r="AF88" s="100">
        <v>3.8083420100000002E-5</v>
      </c>
      <c r="AG88" s="100">
        <v>3.9099033999999999E-5</v>
      </c>
      <c r="AH88" s="100">
        <v>3.9863125900000001E-5</v>
      </c>
      <c r="AI88" s="100">
        <v>4.0619367000000003E-5</v>
      </c>
      <c r="AJ88" s="100">
        <v>4.1337171400000002E-5</v>
      </c>
      <c r="AK88" s="100">
        <v>4.2002204899999998E-5</v>
      </c>
      <c r="AL88" s="100">
        <v>4.2613063499999997E-5</v>
      </c>
      <c r="AM88" s="100">
        <v>4.3170081699999998E-5</v>
      </c>
      <c r="AN88" s="100">
        <v>4.3673893999999999E-5</v>
      </c>
      <c r="AO88" s="100">
        <v>4.4143218500000002E-5</v>
      </c>
      <c r="AP88" s="100">
        <v>4.4590379700000003E-5</v>
      </c>
      <c r="AQ88" s="100">
        <v>4.5021023500000002E-5</v>
      </c>
      <c r="AR88" s="100">
        <v>4.5438938E-5</v>
      </c>
      <c r="AS88" s="100">
        <v>4.5836217499999998E-5</v>
      </c>
      <c r="AT88" s="100">
        <v>4.6224182400000001E-5</v>
      </c>
      <c r="AU88" s="100">
        <v>4.6608108700000002E-5</v>
      </c>
      <c r="AV88" s="100">
        <v>4.6991345700000003E-5</v>
      </c>
      <c r="AW88" s="100">
        <v>4.7378708299999998E-5</v>
      </c>
    </row>
    <row r="89" spans="2:49" x14ac:dyDescent="0.25">
      <c r="B89" t="s">
        <v>418</v>
      </c>
      <c r="C89">
        <v>0.26347077198670499</v>
      </c>
      <c r="D89">
        <v>0.26770088045298701</v>
      </c>
      <c r="E89">
        <v>0.27205441330000002</v>
      </c>
      <c r="F89">
        <v>0.30134862429999998</v>
      </c>
      <c r="G89">
        <v>0.2931487317</v>
      </c>
      <c r="H89">
        <v>0.2431425978</v>
      </c>
      <c r="I89">
        <v>0.24731559359999999</v>
      </c>
      <c r="J89">
        <v>0.2416932349</v>
      </c>
      <c r="K89">
        <v>0.26152871799999999</v>
      </c>
      <c r="L89">
        <v>0.25749663849999999</v>
      </c>
      <c r="M89">
        <v>0.2497601458</v>
      </c>
      <c r="N89">
        <v>0.24407689390000001</v>
      </c>
      <c r="O89">
        <v>0.23238076369999999</v>
      </c>
      <c r="P89">
        <v>0.23814921180000001</v>
      </c>
      <c r="Q89">
        <v>0.24356895579999999</v>
      </c>
      <c r="R89">
        <v>0.25246812489999998</v>
      </c>
      <c r="S89">
        <v>0.26855852460000001</v>
      </c>
      <c r="T89">
        <v>0.32847089979999999</v>
      </c>
      <c r="U89">
        <v>0.37728834389999999</v>
      </c>
      <c r="V89">
        <v>0.4204257226</v>
      </c>
      <c r="W89">
        <v>0.45219308899999999</v>
      </c>
      <c r="X89">
        <v>0.58231344090000003</v>
      </c>
      <c r="Y89">
        <v>0.72393025600000005</v>
      </c>
      <c r="Z89">
        <v>0.87139986390000002</v>
      </c>
      <c r="AA89">
        <v>1.0234542820000001</v>
      </c>
      <c r="AB89">
        <v>1.179861641</v>
      </c>
      <c r="AC89">
        <v>1.341200379</v>
      </c>
      <c r="AD89">
        <v>1.528932492</v>
      </c>
      <c r="AE89">
        <v>1.7197262639999999</v>
      </c>
      <c r="AF89">
        <v>1.9155442439999999</v>
      </c>
      <c r="AG89">
        <v>2.1165003210000002</v>
      </c>
      <c r="AH89">
        <v>2.321343406</v>
      </c>
      <c r="AI89">
        <v>2.4842187920000001</v>
      </c>
      <c r="AJ89">
        <v>2.6512090009999998</v>
      </c>
      <c r="AK89">
        <v>2.8224271440000002</v>
      </c>
      <c r="AL89">
        <v>2.9980552079999998</v>
      </c>
      <c r="AM89">
        <v>3.1774760880000001</v>
      </c>
      <c r="AN89">
        <v>3.2671037040000002</v>
      </c>
      <c r="AO89">
        <v>3.3614054520000001</v>
      </c>
      <c r="AP89">
        <v>3.457172404</v>
      </c>
      <c r="AQ89">
        <v>3.5546983660000002</v>
      </c>
      <c r="AR89">
        <v>3.6532091430000002</v>
      </c>
      <c r="AS89">
        <v>3.700552552</v>
      </c>
      <c r="AT89">
        <v>3.7477227069999999</v>
      </c>
      <c r="AU89">
        <v>3.7955296700000001</v>
      </c>
      <c r="AV89">
        <v>3.8438203629999999</v>
      </c>
      <c r="AW89">
        <v>3.8940616609999998</v>
      </c>
    </row>
    <row r="90" spans="2:49" x14ac:dyDescent="0.25">
      <c r="B90" t="s">
        <v>419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420</v>
      </c>
      <c r="C91" s="100">
        <v>640398.31806251395</v>
      </c>
      <c r="D91">
        <v>650680.12020171306</v>
      </c>
      <c r="E91">
        <v>661127</v>
      </c>
      <c r="F91">
        <v>1875691.4240000001</v>
      </c>
      <c r="G91" s="100">
        <v>3531050.3420000002</v>
      </c>
      <c r="H91">
        <v>5256734.8899999997</v>
      </c>
      <c r="I91">
        <v>6659155</v>
      </c>
      <c r="J91">
        <v>7994934.3710000003</v>
      </c>
      <c r="K91" s="100">
        <v>9407847.8210000005</v>
      </c>
      <c r="L91" s="100">
        <v>10965461.109999999</v>
      </c>
      <c r="M91">
        <v>12666268.359999999</v>
      </c>
      <c r="N91" s="100">
        <v>14455010.630000001</v>
      </c>
      <c r="O91">
        <v>16086364.380000001</v>
      </c>
      <c r="P91">
        <v>18076069.41</v>
      </c>
      <c r="Q91">
        <v>20692600.420000002</v>
      </c>
      <c r="R91">
        <v>24761715.600000001</v>
      </c>
      <c r="S91">
        <v>29800489.16</v>
      </c>
      <c r="T91">
        <v>36015334.119999997</v>
      </c>
      <c r="U91">
        <v>43023155.509999998</v>
      </c>
      <c r="V91">
        <v>50604764.049999997</v>
      </c>
      <c r="W91">
        <v>57860244.409999996</v>
      </c>
      <c r="X91">
        <v>65015184.780000001</v>
      </c>
      <c r="Y91">
        <v>71049428.959999904</v>
      </c>
      <c r="Z91">
        <v>76209264.299999997</v>
      </c>
      <c r="AA91">
        <v>81248549.340000004</v>
      </c>
      <c r="AB91">
        <v>86372363.579999998</v>
      </c>
      <c r="AC91">
        <v>91705637.030000001</v>
      </c>
      <c r="AD91">
        <v>97355321.959999904</v>
      </c>
      <c r="AE91">
        <v>103358213.5</v>
      </c>
      <c r="AF91">
        <v>109745441.7</v>
      </c>
      <c r="AG91">
        <v>116542314.7</v>
      </c>
      <c r="AH91">
        <v>123770202.8</v>
      </c>
      <c r="AI91" s="100">
        <v>131417171.40000001</v>
      </c>
      <c r="AJ91">
        <v>139488505.09999999</v>
      </c>
      <c r="AK91">
        <v>148031783.09999999</v>
      </c>
      <c r="AL91" s="100">
        <v>157087119.09999999</v>
      </c>
      <c r="AM91">
        <v>166686135.09999999</v>
      </c>
      <c r="AN91">
        <v>176820438.09999999</v>
      </c>
      <c r="AO91">
        <v>187514761.40000001</v>
      </c>
      <c r="AP91">
        <v>198806945.59999999</v>
      </c>
      <c r="AQ91">
        <v>210777644.19999999</v>
      </c>
      <c r="AR91" s="100">
        <v>223421097</v>
      </c>
      <c r="AS91">
        <v>236767767.5</v>
      </c>
      <c r="AT91">
        <v>250877000.09999999</v>
      </c>
      <c r="AU91">
        <v>265750853.40000001</v>
      </c>
      <c r="AV91">
        <v>281407169.5</v>
      </c>
      <c r="AW91">
        <v>297835611</v>
      </c>
    </row>
    <row r="92" spans="2:49" x14ac:dyDescent="0.25">
      <c r="B92" t="s">
        <v>421</v>
      </c>
      <c r="C92" s="100">
        <v>41062689.603059798</v>
      </c>
      <c r="D92">
        <v>41721964.366740197</v>
      </c>
      <c r="E92">
        <v>42391824</v>
      </c>
      <c r="F92">
        <v>48327797.350000001</v>
      </c>
      <c r="G92" s="100">
        <v>55246987.710000001</v>
      </c>
      <c r="H92">
        <v>62334992.270000003</v>
      </c>
      <c r="I92">
        <v>67923206.430000007</v>
      </c>
      <c r="J92">
        <v>73311926.799999997</v>
      </c>
      <c r="K92" s="100">
        <v>79019560.629999995</v>
      </c>
      <c r="L92" s="100">
        <v>85686810.739999995</v>
      </c>
      <c r="M92">
        <v>92822209.859999999</v>
      </c>
      <c r="N92">
        <v>99963264.049999997</v>
      </c>
      <c r="O92">
        <v>105740186.90000001</v>
      </c>
      <c r="P92">
        <v>112677970.8</v>
      </c>
      <c r="Q92">
        <v>121504490.40000001</v>
      </c>
      <c r="R92">
        <v>135904659.30000001</v>
      </c>
      <c r="S92">
        <v>152452455</v>
      </c>
      <c r="T92">
        <v>172687406.19999999</v>
      </c>
      <c r="U92">
        <v>193401590.19999999</v>
      </c>
      <c r="V92">
        <v>214939148.69999999</v>
      </c>
      <c r="W92">
        <v>234342017</v>
      </c>
      <c r="X92">
        <v>253437374.90000001</v>
      </c>
      <c r="Y92">
        <v>268849791.60000002</v>
      </c>
      <c r="Z92">
        <v>282461709.69999999</v>
      </c>
      <c r="AA92">
        <v>295272047.19999999</v>
      </c>
      <c r="AB92">
        <v>307818166.30000001</v>
      </c>
      <c r="AC92">
        <v>320393191.69999999</v>
      </c>
      <c r="AD92">
        <v>333175640.5</v>
      </c>
      <c r="AE92">
        <v>346205150.19999999</v>
      </c>
      <c r="AF92">
        <v>359520810.19999999</v>
      </c>
      <c r="AG92">
        <v>373145498.39999998</v>
      </c>
      <c r="AH92">
        <v>387074438.5</v>
      </c>
      <c r="AI92">
        <v>401272037.60000002</v>
      </c>
      <c r="AJ92">
        <v>415729484.19999999</v>
      </c>
      <c r="AK92">
        <v>430484962.89999998</v>
      </c>
      <c r="AL92">
        <v>445569973</v>
      </c>
      <c r="AM92">
        <v>460997655.80000001</v>
      </c>
      <c r="AN92">
        <v>476739775.39999998</v>
      </c>
      <c r="AO92">
        <v>492831911.89999998</v>
      </c>
      <c r="AP92">
        <v>509291827.89999998</v>
      </c>
      <c r="AQ92">
        <v>526173269.69999999</v>
      </c>
      <c r="AR92">
        <v>543409107.60000002</v>
      </c>
      <c r="AS92">
        <v>560977095.70000005</v>
      </c>
      <c r="AT92">
        <v>578895385.29999995</v>
      </c>
      <c r="AU92">
        <v>597096521</v>
      </c>
      <c r="AV92">
        <v>615503794.5</v>
      </c>
      <c r="AW92">
        <v>634033487</v>
      </c>
    </row>
    <row r="93" spans="2:49" x14ac:dyDescent="0.25">
      <c r="B93" t="s">
        <v>422</v>
      </c>
      <c r="C93" s="100">
        <v>291506404.18067801</v>
      </c>
      <c r="D93" s="100">
        <v>296186633.79021603</v>
      </c>
      <c r="E93" s="100">
        <v>300942006</v>
      </c>
      <c r="F93" s="100">
        <v>329969297.60000002</v>
      </c>
      <c r="G93">
        <v>359742700</v>
      </c>
      <c r="H93">
        <v>389215747.30000001</v>
      </c>
      <c r="I93">
        <v>413578731.80000001</v>
      </c>
      <c r="J93">
        <v>437576984.80000001</v>
      </c>
      <c r="K93" s="100">
        <v>463484353.60000002</v>
      </c>
      <c r="L93" s="100">
        <v>491584419.10000002</v>
      </c>
      <c r="M93">
        <v>518896396.89999998</v>
      </c>
      <c r="N93">
        <v>542965479.89999998</v>
      </c>
      <c r="O93">
        <v>562545207</v>
      </c>
      <c r="P93">
        <v>579549240.79999995</v>
      </c>
      <c r="Q93">
        <v>598050840</v>
      </c>
      <c r="R93">
        <v>622216441.10000002</v>
      </c>
      <c r="S93">
        <v>647542988.20000005</v>
      </c>
      <c r="T93">
        <v>674637351.79999995</v>
      </c>
      <c r="U93">
        <v>700801501.20000005</v>
      </c>
      <c r="V93">
        <v>727035789</v>
      </c>
      <c r="W93">
        <v>750844533.10000002</v>
      </c>
      <c r="X93">
        <v>773240083.60000002</v>
      </c>
      <c r="Y93">
        <v>792622111.70000005</v>
      </c>
      <c r="Z93">
        <v>809830746</v>
      </c>
      <c r="AA93">
        <v>825198761.29999995</v>
      </c>
      <c r="AB93">
        <v>838945678.5</v>
      </c>
      <c r="AC93">
        <v>851238700.39999998</v>
      </c>
      <c r="AD93">
        <v>862516434.39999998</v>
      </c>
      <c r="AE93">
        <v>872830197</v>
      </c>
      <c r="AF93">
        <v>882268575</v>
      </c>
      <c r="AG93">
        <v>890919190.89999998</v>
      </c>
      <c r="AH93">
        <v>898942313.29999995</v>
      </c>
      <c r="AI93">
        <v>906275752.20000005</v>
      </c>
      <c r="AJ93">
        <v>912926951.70000005</v>
      </c>
      <c r="AK93">
        <v>919023514.70000005</v>
      </c>
      <c r="AL93">
        <v>924559699.70000005</v>
      </c>
      <c r="AM93">
        <v>929507596.10000002</v>
      </c>
      <c r="AN93">
        <v>933760540.10000002</v>
      </c>
      <c r="AO93">
        <v>937414261.39999998</v>
      </c>
      <c r="AP93">
        <v>940523536.89999998</v>
      </c>
      <c r="AQ93">
        <v>943188400.10000002</v>
      </c>
      <c r="AR93">
        <v>945329009.5</v>
      </c>
      <c r="AS93">
        <v>946953211.5</v>
      </c>
      <c r="AT93">
        <v>948125065</v>
      </c>
      <c r="AU93">
        <v>948800220.89999998</v>
      </c>
      <c r="AV93">
        <v>948942569.60000002</v>
      </c>
      <c r="AW93">
        <v>948524907.5</v>
      </c>
    </row>
    <row r="94" spans="2:49" x14ac:dyDescent="0.25">
      <c r="B94" t="s">
        <v>423</v>
      </c>
      <c r="C94" s="100">
        <v>640671991.67983496</v>
      </c>
      <c r="D94" s="100">
        <v>650958187.73748195</v>
      </c>
      <c r="E94" s="100">
        <v>661409532</v>
      </c>
      <c r="F94" s="100">
        <v>679048358.89999998</v>
      </c>
      <c r="G94" s="100">
        <v>696700866.10000002</v>
      </c>
      <c r="H94" s="100">
        <v>714621712</v>
      </c>
      <c r="I94" s="100">
        <v>730411692.70000005</v>
      </c>
      <c r="J94" s="100">
        <v>746557353</v>
      </c>
      <c r="K94" s="100">
        <v>764544554.29999995</v>
      </c>
      <c r="L94" s="100">
        <v>783836993.60000002</v>
      </c>
      <c r="M94" s="100">
        <v>802262679.70000005</v>
      </c>
      <c r="N94" s="100">
        <v>818139898</v>
      </c>
      <c r="O94" s="100">
        <v>832553063.70000005</v>
      </c>
      <c r="P94" s="100">
        <v>843827707.5</v>
      </c>
      <c r="Q94" s="100">
        <v>854827711.60000002</v>
      </c>
      <c r="R94" s="100">
        <v>864860588.5</v>
      </c>
      <c r="S94">
        <v>874399705.39999998</v>
      </c>
      <c r="T94">
        <v>881924858.20000005</v>
      </c>
      <c r="U94">
        <v>888834801.10000002</v>
      </c>
      <c r="V94">
        <v>895923864.10000002</v>
      </c>
      <c r="W94">
        <v>903812785.70000005</v>
      </c>
      <c r="X94">
        <v>911054906.70000005</v>
      </c>
      <c r="Y94">
        <v>919764352.10000002</v>
      </c>
      <c r="Z94">
        <v>928564849.39999998</v>
      </c>
      <c r="AA94" s="100">
        <v>936777301.5</v>
      </c>
      <c r="AB94" s="100">
        <v>943974916.70000005</v>
      </c>
      <c r="AC94" s="100">
        <v>949957663.60000002</v>
      </c>
      <c r="AD94" s="100">
        <v>955091050</v>
      </c>
      <c r="AE94" s="100">
        <v>959313661.10000002</v>
      </c>
      <c r="AF94" s="100">
        <v>962625380.20000005</v>
      </c>
      <c r="AG94" s="100">
        <v>965053388.39999998</v>
      </c>
      <c r="AH94" s="100">
        <v>966782855.5</v>
      </c>
      <c r="AI94" s="100">
        <v>967684023.39999998</v>
      </c>
      <c r="AJ94" s="100">
        <v>967712032.20000005</v>
      </c>
      <c r="AK94" s="100">
        <v>966987369.20000005</v>
      </c>
      <c r="AL94" s="100">
        <v>965436890.20000005</v>
      </c>
      <c r="AM94" s="100">
        <v>962974895.10000002</v>
      </c>
      <c r="AN94" s="100">
        <v>959384018.20000005</v>
      </c>
      <c r="AO94" s="100">
        <v>954602116.10000002</v>
      </c>
      <c r="AP94" s="100">
        <v>948626135.10000002</v>
      </c>
      <c r="AQ94" s="100">
        <v>941540570</v>
      </c>
      <c r="AR94" s="100">
        <v>933290105.70000005</v>
      </c>
      <c r="AS94" s="100">
        <v>923908440.89999998</v>
      </c>
      <c r="AT94" s="100">
        <v>913454289.39999998</v>
      </c>
      <c r="AU94" s="100">
        <v>901938423.29999995</v>
      </c>
      <c r="AV94" s="100">
        <v>889421485.29999995</v>
      </c>
      <c r="AW94">
        <v>877456259.39999998</v>
      </c>
    </row>
    <row r="95" spans="2:49" x14ac:dyDescent="0.25">
      <c r="B95" t="s">
        <v>424</v>
      </c>
      <c r="C95">
        <v>762047427.55376601</v>
      </c>
      <c r="D95">
        <v>774282345.494367</v>
      </c>
      <c r="E95">
        <v>786713699</v>
      </c>
      <c r="F95">
        <v>767697315.20000005</v>
      </c>
      <c r="G95" s="100">
        <v>747867086.29999995</v>
      </c>
      <c r="H95" s="100">
        <v>728430631.79999995</v>
      </c>
      <c r="I95" s="100">
        <v>714280416.60000002</v>
      </c>
      <c r="J95" s="100">
        <v>700681344.79999995</v>
      </c>
      <c r="K95" s="100">
        <v>685365464.70000005</v>
      </c>
      <c r="L95" s="100">
        <v>668066588.89999998</v>
      </c>
      <c r="M95" s="100">
        <v>651608861.20000005</v>
      </c>
      <c r="N95">
        <v>638329540.5</v>
      </c>
      <c r="O95">
        <v>630965417.79999995</v>
      </c>
      <c r="P95">
        <v>625921224.89999998</v>
      </c>
      <c r="Q95">
        <v>619119672.39999998</v>
      </c>
      <c r="R95">
        <v>605555013.79999995</v>
      </c>
      <c r="S95">
        <v>590111798.29999995</v>
      </c>
      <c r="T95">
        <v>572016337.29999995</v>
      </c>
      <c r="U95">
        <v>554130371.39999998</v>
      </c>
      <c r="V95">
        <v>536554113.60000002</v>
      </c>
      <c r="W95">
        <v>521401326</v>
      </c>
      <c r="X95">
        <v>507283507.69999999</v>
      </c>
      <c r="Y95">
        <v>496368012.30000001</v>
      </c>
      <c r="Z95">
        <v>487667698.19999999</v>
      </c>
      <c r="AA95">
        <v>480434061.60000002</v>
      </c>
      <c r="AB95">
        <v>474272532.80000001</v>
      </c>
      <c r="AC95">
        <v>468927421.19999999</v>
      </c>
      <c r="AD95">
        <v>464229969.80000001</v>
      </c>
      <c r="AE95">
        <v>460069777.5</v>
      </c>
      <c r="AF95">
        <v>456335672.80000001</v>
      </c>
      <c r="AG95" s="100">
        <v>452938025.19999999</v>
      </c>
      <c r="AH95" s="100">
        <v>449829058.60000002</v>
      </c>
      <c r="AI95">
        <v>446962486.89999998</v>
      </c>
      <c r="AJ95" s="100">
        <v>444281461.39999998</v>
      </c>
      <c r="AK95" s="100">
        <v>441750901</v>
      </c>
      <c r="AL95">
        <v>439342184.10000002</v>
      </c>
      <c r="AM95">
        <v>437033668.30000001</v>
      </c>
      <c r="AN95" s="100">
        <v>434760738.60000002</v>
      </c>
      <c r="AO95" s="100">
        <v>432362753.89999998</v>
      </c>
      <c r="AP95" s="100">
        <v>429770246.60000002</v>
      </c>
      <c r="AQ95" s="100">
        <v>426956960.5</v>
      </c>
      <c r="AR95" s="100">
        <v>423919605.19999999</v>
      </c>
      <c r="AS95">
        <v>420647544</v>
      </c>
      <c r="AT95">
        <v>417104610.5</v>
      </c>
      <c r="AU95">
        <v>413282945.39999998</v>
      </c>
      <c r="AV95">
        <v>409193793.10000002</v>
      </c>
      <c r="AW95">
        <v>404856226</v>
      </c>
    </row>
    <row r="96" spans="2:49" x14ac:dyDescent="0.25">
      <c r="B96" t="s">
        <v>425</v>
      </c>
      <c r="C96">
        <v>399231640.45290101</v>
      </c>
      <c r="D96">
        <v>405641433.57550502</v>
      </c>
      <c r="E96">
        <v>412154138</v>
      </c>
      <c r="F96">
        <v>399760841.10000002</v>
      </c>
      <c r="G96" s="100">
        <v>387113174.30000001</v>
      </c>
      <c r="H96" s="100">
        <v>374756494.19999999</v>
      </c>
      <c r="I96" s="100">
        <v>365465593.80000001</v>
      </c>
      <c r="J96" s="100">
        <v>356468435</v>
      </c>
      <c r="K96" s="100">
        <v>346439416.80000001</v>
      </c>
      <c r="L96" s="100">
        <v>335377600.10000002</v>
      </c>
      <c r="M96">
        <v>325017050.10000002</v>
      </c>
      <c r="N96">
        <v>316704904.30000001</v>
      </c>
      <c r="O96">
        <v>311816568.69999999</v>
      </c>
      <c r="P96">
        <v>308486200.69999999</v>
      </c>
      <c r="Q96">
        <v>304380859.89999998</v>
      </c>
      <c r="R96">
        <v>296998277.30000001</v>
      </c>
      <c r="S96">
        <v>288783148.60000002</v>
      </c>
      <c r="T96">
        <v>279421242.80000001</v>
      </c>
      <c r="U96">
        <v>270171193.69999999</v>
      </c>
      <c r="V96">
        <v>261102769.5</v>
      </c>
      <c r="W96">
        <v>253135044.5</v>
      </c>
      <c r="X96">
        <v>245672049.19999999</v>
      </c>
      <c r="Y96">
        <v>239656956.5</v>
      </c>
      <c r="Z96">
        <v>234732631.09999999</v>
      </c>
      <c r="AA96">
        <v>230586477.40000001</v>
      </c>
      <c r="AB96">
        <v>227042044.59999999</v>
      </c>
      <c r="AC96">
        <v>223975151.80000001</v>
      </c>
      <c r="AD96">
        <v>221295672.5</v>
      </c>
      <c r="AE96">
        <v>218939165.59999999</v>
      </c>
      <c r="AF96">
        <v>216842366.59999999</v>
      </c>
      <c r="AG96">
        <v>214953289.09999999</v>
      </c>
      <c r="AH96">
        <v>213239045.59999999</v>
      </c>
      <c r="AI96">
        <v>211670280.09999999</v>
      </c>
      <c r="AJ96">
        <v>210214313.59999999</v>
      </c>
      <c r="AK96">
        <v>208850362.19999999</v>
      </c>
      <c r="AL96">
        <v>207563307.80000001</v>
      </c>
      <c r="AM96">
        <v>206341195.59999999</v>
      </c>
      <c r="AN96">
        <v>205148979.59999999</v>
      </c>
      <c r="AO96">
        <v>203899053.90000001</v>
      </c>
      <c r="AP96">
        <v>202552822.30000001</v>
      </c>
      <c r="AQ96">
        <v>201095257.30000001</v>
      </c>
      <c r="AR96">
        <v>199523140.09999999</v>
      </c>
      <c r="AS96">
        <v>197829166.80000001</v>
      </c>
      <c r="AT96">
        <v>195992691.69999999</v>
      </c>
      <c r="AU96">
        <v>194008575.09999999</v>
      </c>
      <c r="AV96">
        <v>191880709.40000001</v>
      </c>
      <c r="AW96">
        <v>189617282.80000001</v>
      </c>
    </row>
    <row r="97" spans="2:49" x14ac:dyDescent="0.25">
      <c r="B97" t="s">
        <v>426</v>
      </c>
      <c r="C97">
        <v>182970972.649156</v>
      </c>
      <c r="D97" s="100">
        <v>185908630.79867601</v>
      </c>
      <c r="E97" s="100">
        <v>188893454</v>
      </c>
      <c r="F97" s="100">
        <v>191063764.30000001</v>
      </c>
      <c r="G97">
        <v>192370890.30000001</v>
      </c>
      <c r="H97">
        <v>193041127.30000001</v>
      </c>
      <c r="I97" s="100">
        <v>194680942.30000001</v>
      </c>
      <c r="J97" s="100">
        <v>196011318.5</v>
      </c>
      <c r="K97" s="100">
        <v>196206590.80000001</v>
      </c>
      <c r="L97" s="100">
        <v>195081039.30000001</v>
      </c>
      <c r="M97">
        <v>193724931.90000001</v>
      </c>
      <c r="N97">
        <v>193110902.69999999</v>
      </c>
      <c r="O97" s="100">
        <v>194281637.40000001</v>
      </c>
      <c r="P97">
        <v>196119853.19999999</v>
      </c>
      <c r="Q97">
        <v>197106337.90000001</v>
      </c>
      <c r="R97">
        <v>195170429.80000001</v>
      </c>
      <c r="S97">
        <v>192061154.90000001</v>
      </c>
      <c r="T97">
        <v>187527040.90000001</v>
      </c>
      <c r="U97">
        <v>182694963.80000001</v>
      </c>
      <c r="V97">
        <v>177622740.59999999</v>
      </c>
      <c r="W97">
        <v>173128570.40000001</v>
      </c>
      <c r="X97">
        <v>168708415.90000001</v>
      </c>
      <c r="Y97">
        <v>165233441.90000001</v>
      </c>
      <c r="Z97">
        <v>162385010.80000001</v>
      </c>
      <c r="AA97">
        <v>159966826.69999999</v>
      </c>
      <c r="AB97">
        <v>157858983.59999999</v>
      </c>
      <c r="AC97">
        <v>155986406.5</v>
      </c>
      <c r="AD97">
        <v>154300128.09999999</v>
      </c>
      <c r="AE97">
        <v>152766882.5</v>
      </c>
      <c r="AF97">
        <v>151348094.59999999</v>
      </c>
      <c r="AG97">
        <v>150012718.09999999</v>
      </c>
      <c r="AH97">
        <v>148747010</v>
      </c>
      <c r="AI97">
        <v>147536256.80000001</v>
      </c>
      <c r="AJ97">
        <v>146359767</v>
      </c>
      <c r="AK97">
        <v>145209000.5</v>
      </c>
      <c r="AL97">
        <v>144079638.30000001</v>
      </c>
      <c r="AM97">
        <v>142969788.59999999</v>
      </c>
      <c r="AN97">
        <v>141859845.19999999</v>
      </c>
      <c r="AO97">
        <v>140690651.30000001</v>
      </c>
      <c r="AP97">
        <v>139440226.30000001</v>
      </c>
      <c r="AQ97">
        <v>138102586</v>
      </c>
      <c r="AR97">
        <v>136679600.90000001</v>
      </c>
      <c r="AS97">
        <v>135170501.09999999</v>
      </c>
      <c r="AT97">
        <v>133564048.5</v>
      </c>
      <c r="AU97">
        <v>131858746.8</v>
      </c>
      <c r="AV97">
        <v>130059504.59999999</v>
      </c>
      <c r="AW97">
        <v>128174374.3</v>
      </c>
    </row>
    <row r="98" spans="2:49" x14ac:dyDescent="0.25">
      <c r="B98" s="62" t="s">
        <v>427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716124.46569999994</v>
      </c>
      <c r="T98">
        <v>732742.03579999995</v>
      </c>
      <c r="U98">
        <v>737900.40139999997</v>
      </c>
      <c r="V98">
        <v>752324.08959999995</v>
      </c>
      <c r="W98">
        <v>803223.55660000001</v>
      </c>
      <c r="X98">
        <v>860611.84860000003</v>
      </c>
      <c r="Y98">
        <v>926504.94469999999</v>
      </c>
      <c r="Z98">
        <v>1009352.797</v>
      </c>
      <c r="AA98">
        <v>1108930.459</v>
      </c>
      <c r="AB98">
        <v>1226883.068</v>
      </c>
      <c r="AC98">
        <v>1366481.781</v>
      </c>
      <c r="AD98">
        <v>1376157.253</v>
      </c>
      <c r="AE98">
        <v>1386663.442</v>
      </c>
      <c r="AF98">
        <v>1398804.736</v>
      </c>
      <c r="AG98">
        <v>1412330.8319999999</v>
      </c>
      <c r="AH98">
        <v>1426499.2209999999</v>
      </c>
      <c r="AI98">
        <v>1443895.693</v>
      </c>
      <c r="AJ98">
        <v>1461996.6980000001</v>
      </c>
      <c r="AK98">
        <v>1480497.537</v>
      </c>
      <c r="AL98">
        <v>1499465.3019999999</v>
      </c>
      <c r="AM98">
        <v>1518479.9979999999</v>
      </c>
      <c r="AN98">
        <v>1537108.4539999999</v>
      </c>
      <c r="AO98">
        <v>1557231.196</v>
      </c>
      <c r="AP98">
        <v>1577402.162</v>
      </c>
      <c r="AQ98">
        <v>1597760.325</v>
      </c>
      <c r="AR98">
        <v>1617767.36</v>
      </c>
      <c r="AS98">
        <v>1638007.6189999999</v>
      </c>
      <c r="AT98">
        <v>1658165.5079999999</v>
      </c>
      <c r="AU98">
        <v>1678576.4369999999</v>
      </c>
      <c r="AV98">
        <v>1699164.4369999999</v>
      </c>
      <c r="AW98">
        <v>1720545.716</v>
      </c>
    </row>
    <row r="99" spans="2:49" x14ac:dyDescent="0.25">
      <c r="B99" t="s">
        <v>428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12692331.93</v>
      </c>
      <c r="T99">
        <v>13169618.82</v>
      </c>
      <c r="U99">
        <v>13187121.789999999</v>
      </c>
      <c r="V99">
        <v>13498991.880000001</v>
      </c>
      <c r="W99">
        <v>13503830.77</v>
      </c>
      <c r="X99">
        <v>13474305.289999999</v>
      </c>
      <c r="Y99">
        <v>13248223.67</v>
      </c>
      <c r="Z99">
        <v>13194291.369999999</v>
      </c>
      <c r="AA99">
        <v>13200545</v>
      </c>
      <c r="AB99">
        <v>13234841.67</v>
      </c>
      <c r="AC99">
        <v>13298345.310000001</v>
      </c>
      <c r="AD99">
        <v>13314445.24</v>
      </c>
      <c r="AE99" s="100">
        <v>13357378.6</v>
      </c>
      <c r="AF99" s="100">
        <v>13412225.609999999</v>
      </c>
      <c r="AG99">
        <v>13479455.33</v>
      </c>
      <c r="AH99">
        <v>13572690.76</v>
      </c>
      <c r="AI99">
        <v>13671369.630000001</v>
      </c>
      <c r="AJ99" s="100">
        <v>13764554.039999999</v>
      </c>
      <c r="AK99">
        <v>13879129.279999999</v>
      </c>
      <c r="AL99">
        <v>13995323.76</v>
      </c>
      <c r="AM99">
        <v>14105884.939999999</v>
      </c>
      <c r="AN99">
        <v>14185804.68</v>
      </c>
      <c r="AO99">
        <v>14283289.859999999</v>
      </c>
      <c r="AP99">
        <v>14379292.119999999</v>
      </c>
      <c r="AQ99">
        <v>14490368.880000001</v>
      </c>
      <c r="AR99">
        <v>14585243.550000001</v>
      </c>
      <c r="AS99">
        <v>14689244.73</v>
      </c>
      <c r="AT99">
        <v>14791816.310000001</v>
      </c>
      <c r="AU99">
        <v>14889577.65</v>
      </c>
      <c r="AV99">
        <v>14986966.08</v>
      </c>
      <c r="AW99">
        <v>15142924.84</v>
      </c>
    </row>
    <row r="100" spans="2:49" x14ac:dyDescent="0.25">
      <c r="B100" t="s">
        <v>429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13408456.4</v>
      </c>
      <c r="T100">
        <v>13902360.85</v>
      </c>
      <c r="U100">
        <v>13925022.189999999</v>
      </c>
      <c r="V100">
        <v>14251315.970000001</v>
      </c>
      <c r="W100">
        <v>14307054.33</v>
      </c>
      <c r="X100">
        <v>14334917.140000001</v>
      </c>
      <c r="Y100">
        <v>14174728.609999999</v>
      </c>
      <c r="Z100">
        <v>14203644.17</v>
      </c>
      <c r="AA100">
        <v>14309475.460000001</v>
      </c>
      <c r="AB100">
        <v>14461724.74</v>
      </c>
      <c r="AC100">
        <v>14664827.09</v>
      </c>
      <c r="AD100">
        <v>14690602.5</v>
      </c>
      <c r="AE100">
        <v>14744042.050000001</v>
      </c>
      <c r="AF100">
        <v>14811030.34</v>
      </c>
      <c r="AG100">
        <v>14891786.16</v>
      </c>
      <c r="AH100">
        <v>14999189.98</v>
      </c>
      <c r="AI100">
        <v>15115265.32</v>
      </c>
      <c r="AJ100">
        <v>15226550.73</v>
      </c>
      <c r="AK100">
        <v>15359626.82</v>
      </c>
      <c r="AL100">
        <v>15494789.060000001</v>
      </c>
      <c r="AM100">
        <v>15624364.93</v>
      </c>
      <c r="AN100">
        <v>15722913.140000001</v>
      </c>
      <c r="AO100">
        <v>15840521.050000001</v>
      </c>
      <c r="AP100">
        <v>15956694.279999999</v>
      </c>
      <c r="AQ100">
        <v>16088129.210000001</v>
      </c>
      <c r="AR100">
        <v>16203010.91</v>
      </c>
      <c r="AS100">
        <v>16327252.35</v>
      </c>
      <c r="AT100">
        <v>16449981.82</v>
      </c>
      <c r="AU100">
        <v>16568154.09</v>
      </c>
      <c r="AV100">
        <v>16686130.51</v>
      </c>
      <c r="AW100">
        <v>16863470.550000001</v>
      </c>
    </row>
    <row r="101" spans="2:49" x14ac:dyDescent="0.25">
      <c r="B101" t="s">
        <v>430</v>
      </c>
      <c r="C101" s="100">
        <v>144913116.15770999</v>
      </c>
      <c r="D101" s="100">
        <v>147239743.11109701</v>
      </c>
      <c r="E101" s="100">
        <v>149603724.80000001</v>
      </c>
      <c r="F101">
        <v>147428138.80000001</v>
      </c>
      <c r="G101">
        <v>143766548.09999999</v>
      </c>
      <c r="H101">
        <v>143455283</v>
      </c>
      <c r="I101">
        <v>141254503.69999999</v>
      </c>
      <c r="J101">
        <v>138351510.90000001</v>
      </c>
      <c r="K101">
        <v>134666957.30000001</v>
      </c>
      <c r="L101">
        <v>131870893.5</v>
      </c>
      <c r="M101">
        <v>129666847.3</v>
      </c>
      <c r="N101">
        <v>128195058.7</v>
      </c>
      <c r="O101">
        <v>128121770.2</v>
      </c>
      <c r="P101">
        <v>127371130.8</v>
      </c>
      <c r="Q101">
        <v>125431981.5</v>
      </c>
      <c r="R101">
        <v>124415014.7</v>
      </c>
      <c r="S101">
        <v>122720888</v>
      </c>
      <c r="T101">
        <v>119519117.8</v>
      </c>
      <c r="U101">
        <v>116253021.5</v>
      </c>
      <c r="V101">
        <v>112766024.40000001</v>
      </c>
      <c r="W101">
        <v>111862874.90000001</v>
      </c>
      <c r="X101">
        <v>110797769.5</v>
      </c>
      <c r="Y101">
        <v>108941806.8</v>
      </c>
      <c r="Z101">
        <v>107173414.90000001</v>
      </c>
      <c r="AA101">
        <v>105481936.09999999</v>
      </c>
      <c r="AB101">
        <v>103834539.2</v>
      </c>
      <c r="AC101">
        <v>102205792.5</v>
      </c>
      <c r="AD101">
        <v>100635676.2</v>
      </c>
      <c r="AE101">
        <v>98963548.549999997</v>
      </c>
      <c r="AF101">
        <v>97264309.209999904</v>
      </c>
      <c r="AG101">
        <v>95561893.230000004</v>
      </c>
      <c r="AH101">
        <v>93798583.959999904</v>
      </c>
      <c r="AI101">
        <v>92220490.260000005</v>
      </c>
      <c r="AJ101">
        <v>90693356.650000006</v>
      </c>
      <c r="AK101">
        <v>89214926.920000002</v>
      </c>
      <c r="AL101">
        <v>87769979.420000002</v>
      </c>
      <c r="AM101">
        <v>86362118.359999999</v>
      </c>
      <c r="AN101">
        <v>84845316.780000001</v>
      </c>
      <c r="AO101">
        <v>83330120.569999903</v>
      </c>
      <c r="AP101">
        <v>81814104.760000005</v>
      </c>
      <c r="AQ101">
        <v>80297439.790000007</v>
      </c>
      <c r="AR101">
        <v>78779842.260000005</v>
      </c>
      <c r="AS101">
        <v>77225021.150000006</v>
      </c>
      <c r="AT101">
        <v>75667622.650000006</v>
      </c>
      <c r="AU101" s="100">
        <v>74102421.189999998</v>
      </c>
      <c r="AV101" s="100">
        <v>72534998.329999998</v>
      </c>
      <c r="AW101">
        <v>70979198.980000004</v>
      </c>
    </row>
    <row r="102" spans="2:49" x14ac:dyDescent="0.25">
      <c r="B102" t="s">
        <v>431</v>
      </c>
      <c r="C102" s="100">
        <v>1098851.8998263199</v>
      </c>
      <c r="D102" s="100">
        <v>1116494.32251175</v>
      </c>
      <c r="E102" s="100">
        <v>1134420</v>
      </c>
      <c r="F102" s="100">
        <v>1125148.2450000001</v>
      </c>
      <c r="G102" s="100">
        <v>1113247.277</v>
      </c>
      <c r="H102" s="100">
        <v>1100149.692</v>
      </c>
      <c r="I102">
        <v>1093518.5020000001</v>
      </c>
      <c r="J102" s="100">
        <v>1086570.743</v>
      </c>
      <c r="K102" s="100">
        <v>1075554.8230000001</v>
      </c>
      <c r="L102" s="100">
        <v>1059869.101</v>
      </c>
      <c r="M102" s="100">
        <v>1044376.861</v>
      </c>
      <c r="N102" s="100">
        <v>1033218.159</v>
      </c>
      <c r="O102">
        <v>1031126.791</v>
      </c>
      <c r="P102">
        <v>1032445.503</v>
      </c>
      <c r="Q102">
        <v>1030400.5330000001</v>
      </c>
      <c r="R102">
        <v>1016067.264</v>
      </c>
      <c r="S102">
        <v>997458.26789999998</v>
      </c>
      <c r="T102">
        <v>973295.25939999998</v>
      </c>
      <c r="U102">
        <v>948488.77859999996</v>
      </c>
      <c r="V102">
        <v>923352.66890000005</v>
      </c>
      <c r="W102">
        <v>901429.21950000001</v>
      </c>
      <c r="X102">
        <v>880382.52209999994</v>
      </c>
      <c r="Y102">
        <v>864066.36750000005</v>
      </c>
      <c r="Z102">
        <v>850941.95380000002</v>
      </c>
      <c r="AA102">
        <v>839952.59279999998</v>
      </c>
      <c r="AB102">
        <v>830485.02159999998</v>
      </c>
      <c r="AC102">
        <v>822147.5834</v>
      </c>
      <c r="AD102">
        <v>814724.09530000004</v>
      </c>
      <c r="AE102">
        <v>808036.73719999997</v>
      </c>
      <c r="AF102">
        <v>801900.95290000003</v>
      </c>
      <c r="AG102">
        <v>796169.88080000004</v>
      </c>
      <c r="AH102">
        <v>790784.34909999999</v>
      </c>
      <c r="AI102">
        <v>785655.99069999997</v>
      </c>
      <c r="AJ102">
        <v>780683.42890000006</v>
      </c>
      <c r="AK102">
        <v>775828.45799999998</v>
      </c>
      <c r="AL102">
        <v>771051.67050000001</v>
      </c>
      <c r="AM102">
        <v>766323.35129999998</v>
      </c>
      <c r="AN102">
        <v>761523.8138</v>
      </c>
      <c r="AO102">
        <v>756375.0784</v>
      </c>
      <c r="AP102">
        <v>750767.59420000005</v>
      </c>
      <c r="AQ102">
        <v>744673.72629999998</v>
      </c>
      <c r="AR102">
        <v>738088.82979999995</v>
      </c>
      <c r="AS102">
        <v>731004.56819999998</v>
      </c>
      <c r="AT102">
        <v>723369.69319999998</v>
      </c>
      <c r="AU102">
        <v>715174.29209999996</v>
      </c>
      <c r="AV102">
        <v>706442.81339999998</v>
      </c>
      <c r="AW102">
        <v>697348.73270000005</v>
      </c>
    </row>
    <row r="103" spans="2:49" x14ac:dyDescent="0.25">
      <c r="B103" t="s">
        <v>432</v>
      </c>
      <c r="C103">
        <v>1098851.8998263199</v>
      </c>
      <c r="D103">
        <v>1116494.32251175</v>
      </c>
      <c r="E103">
        <v>1134420</v>
      </c>
      <c r="F103">
        <v>1125148.2450000001</v>
      </c>
      <c r="G103">
        <v>1113247.277</v>
      </c>
      <c r="H103">
        <v>1100149.692</v>
      </c>
      <c r="I103">
        <v>1093518.5020000001</v>
      </c>
      <c r="J103">
        <v>1086570.743</v>
      </c>
      <c r="K103">
        <v>1075554.8230000001</v>
      </c>
      <c r="L103">
        <v>1059869.101</v>
      </c>
      <c r="M103">
        <v>1044376.861</v>
      </c>
      <c r="N103">
        <v>1033218.159</v>
      </c>
      <c r="O103">
        <v>1031126.791</v>
      </c>
      <c r="P103">
        <v>1032445.503</v>
      </c>
      <c r="Q103">
        <v>1030400.5330000001</v>
      </c>
      <c r="R103">
        <v>1016067.264</v>
      </c>
      <c r="S103">
        <v>997458.26789999998</v>
      </c>
      <c r="T103">
        <v>973295.25939999998</v>
      </c>
      <c r="U103">
        <v>948488.77859999996</v>
      </c>
      <c r="V103">
        <v>923352.66890000005</v>
      </c>
      <c r="W103">
        <v>901429.21950000001</v>
      </c>
      <c r="X103">
        <v>880382.52209999994</v>
      </c>
      <c r="Y103">
        <v>864066.36750000005</v>
      </c>
      <c r="Z103">
        <v>850941.95380000002</v>
      </c>
      <c r="AA103">
        <v>839952.59279999998</v>
      </c>
      <c r="AB103">
        <v>830485.02159999998</v>
      </c>
      <c r="AC103">
        <v>822147.5834</v>
      </c>
      <c r="AD103">
        <v>814724.09530000004</v>
      </c>
      <c r="AE103">
        <v>808036.73719999997</v>
      </c>
      <c r="AF103">
        <v>801900.95290000003</v>
      </c>
      <c r="AG103">
        <v>796169.88080000004</v>
      </c>
      <c r="AH103">
        <v>790784.34909999999</v>
      </c>
      <c r="AI103">
        <v>785655.99069999997</v>
      </c>
      <c r="AJ103">
        <v>780683.42890000006</v>
      </c>
      <c r="AK103">
        <v>775828.45799999998</v>
      </c>
      <c r="AL103">
        <v>771051.67050000001</v>
      </c>
      <c r="AM103">
        <v>766323.35129999998</v>
      </c>
      <c r="AN103">
        <v>761523.8138</v>
      </c>
      <c r="AO103">
        <v>756375.0784</v>
      </c>
      <c r="AP103">
        <v>750767.59420000005</v>
      </c>
      <c r="AQ103">
        <v>744673.72629999998</v>
      </c>
      <c r="AR103">
        <v>738088.82979999995</v>
      </c>
      <c r="AS103">
        <v>731004.56819999998</v>
      </c>
      <c r="AT103">
        <v>723369.69319999998</v>
      </c>
      <c r="AU103">
        <v>715174.29209999996</v>
      </c>
      <c r="AV103">
        <v>706442.81339999998</v>
      </c>
      <c r="AW103">
        <v>697348.73270000005</v>
      </c>
    </row>
    <row r="104" spans="2:49" x14ac:dyDescent="0.25">
      <c r="B104" t="s">
        <v>433</v>
      </c>
      <c r="C104" s="100">
        <v>105875266.531468</v>
      </c>
      <c r="D104">
        <v>107575128.18195701</v>
      </c>
      <c r="E104">
        <v>109302281.7</v>
      </c>
      <c r="F104">
        <v>107860636.09999999</v>
      </c>
      <c r="G104" s="100">
        <v>105481673.59999999</v>
      </c>
      <c r="H104">
        <v>106240830.90000001</v>
      </c>
      <c r="I104">
        <v>104272422.5</v>
      </c>
      <c r="J104">
        <v>102307173.90000001</v>
      </c>
      <c r="K104" s="100">
        <v>100205983.59999999</v>
      </c>
      <c r="L104" s="100">
        <v>98619193.319999903</v>
      </c>
      <c r="M104">
        <v>97199179.739999995</v>
      </c>
      <c r="N104" s="100">
        <v>96220941.569999903</v>
      </c>
      <c r="O104">
        <v>95530835.530000001</v>
      </c>
      <c r="P104">
        <v>94733913.700000003</v>
      </c>
      <c r="Q104">
        <v>93795207.620000005</v>
      </c>
      <c r="R104">
        <v>93585819.099999994</v>
      </c>
      <c r="S104">
        <v>92517658.079999998</v>
      </c>
      <c r="T104">
        <v>91194096.719999999</v>
      </c>
      <c r="U104">
        <v>89443379.730000004</v>
      </c>
      <c r="V104">
        <v>87496322.069999903</v>
      </c>
      <c r="W104">
        <v>85655361.010000005</v>
      </c>
      <c r="X104">
        <v>83708320.209999904</v>
      </c>
      <c r="Y104">
        <v>82259559.390000001</v>
      </c>
      <c r="Z104">
        <v>80839220.340000004</v>
      </c>
      <c r="AA104">
        <v>79434515.549999997</v>
      </c>
      <c r="AB104">
        <v>78032170.560000002</v>
      </c>
      <c r="AC104">
        <v>76622068.010000005</v>
      </c>
      <c r="AD104">
        <v>75208189.920000002</v>
      </c>
      <c r="AE104">
        <v>73693539.659999996</v>
      </c>
      <c r="AF104">
        <v>72153024.400000006</v>
      </c>
      <c r="AG104">
        <v>70603679.290000007</v>
      </c>
      <c r="AH104">
        <v>68988566.310000002</v>
      </c>
      <c r="AI104" s="100">
        <v>67447867.409999996</v>
      </c>
      <c r="AJ104">
        <v>65956896.189999998</v>
      </c>
      <c r="AK104">
        <v>64509989.270000003</v>
      </c>
      <c r="AL104" s="100">
        <v>63101471.530000001</v>
      </c>
      <c r="AM104">
        <v>61731433.329999998</v>
      </c>
      <c r="AN104">
        <v>60296826.409999996</v>
      </c>
      <c r="AO104">
        <v>58870764.890000001</v>
      </c>
      <c r="AP104">
        <v>57460849.75</v>
      </c>
      <c r="AQ104">
        <v>56068611.68</v>
      </c>
      <c r="AR104" s="100">
        <v>54692762.75</v>
      </c>
      <c r="AS104">
        <v>53313425.670000002</v>
      </c>
      <c r="AT104">
        <v>51954228.020000003</v>
      </c>
      <c r="AU104">
        <v>50612570.600000001</v>
      </c>
      <c r="AV104">
        <v>49290839.25</v>
      </c>
      <c r="AW104">
        <v>47995151.640000001</v>
      </c>
    </row>
    <row r="105" spans="2:49" x14ac:dyDescent="0.25">
      <c r="B105" t="s">
        <v>434</v>
      </c>
      <c r="C105" s="100">
        <v>105875266.531468</v>
      </c>
      <c r="D105">
        <v>107575128.18195701</v>
      </c>
      <c r="E105">
        <v>109302281.7</v>
      </c>
      <c r="F105">
        <v>107860636.09999999</v>
      </c>
      <c r="G105" s="100">
        <v>105481673.59999999</v>
      </c>
      <c r="H105">
        <v>106240830.90000001</v>
      </c>
      <c r="I105">
        <v>104272422.5</v>
      </c>
      <c r="J105">
        <v>102307173.90000001</v>
      </c>
      <c r="K105" s="100">
        <v>100205983.59999999</v>
      </c>
      <c r="L105" s="100">
        <v>98619193.319999903</v>
      </c>
      <c r="M105">
        <v>97199179.739999995</v>
      </c>
      <c r="N105">
        <v>96220941.569999903</v>
      </c>
      <c r="O105">
        <v>95530835.530000001</v>
      </c>
      <c r="P105">
        <v>94733913.700000003</v>
      </c>
      <c r="Q105">
        <v>93795207.620000005</v>
      </c>
      <c r="R105">
        <v>93585819.099999994</v>
      </c>
      <c r="S105">
        <v>92517658.079999998</v>
      </c>
      <c r="T105">
        <v>91194096.719999999</v>
      </c>
      <c r="U105">
        <v>89443379.730000004</v>
      </c>
      <c r="V105">
        <v>87496322.069999903</v>
      </c>
      <c r="W105">
        <v>85655361.010000005</v>
      </c>
      <c r="X105">
        <v>83708320.209999904</v>
      </c>
      <c r="Y105">
        <v>82259559.390000001</v>
      </c>
      <c r="Z105">
        <v>80839220.340000004</v>
      </c>
      <c r="AA105">
        <v>79434515.549999997</v>
      </c>
      <c r="AB105">
        <v>78032170.560000002</v>
      </c>
      <c r="AC105">
        <v>76622068.010000005</v>
      </c>
      <c r="AD105">
        <v>75208189.920000002</v>
      </c>
      <c r="AE105">
        <v>73693539.659999996</v>
      </c>
      <c r="AF105">
        <v>72153024.400000006</v>
      </c>
      <c r="AG105">
        <v>70603679.290000007</v>
      </c>
      <c r="AH105">
        <v>68988566.310000002</v>
      </c>
      <c r="AI105">
        <v>67447867.409999996</v>
      </c>
      <c r="AJ105">
        <v>65956896.189999998</v>
      </c>
      <c r="AK105">
        <v>64509989.270000003</v>
      </c>
      <c r="AL105">
        <v>63101471.530000001</v>
      </c>
      <c r="AM105">
        <v>61731433.329999998</v>
      </c>
      <c r="AN105">
        <v>60296826.409999996</v>
      </c>
      <c r="AO105">
        <v>58870764.890000001</v>
      </c>
      <c r="AP105">
        <v>57460849.75</v>
      </c>
      <c r="AQ105">
        <v>56068611.68</v>
      </c>
      <c r="AR105">
        <v>54692762.75</v>
      </c>
      <c r="AS105">
        <v>53313425.670000002</v>
      </c>
      <c r="AT105">
        <v>51954228.020000003</v>
      </c>
      <c r="AU105">
        <v>50612570.600000001</v>
      </c>
      <c r="AV105">
        <v>49290839.25</v>
      </c>
      <c r="AW105">
        <v>47995151.640000001</v>
      </c>
    </row>
    <row r="106" spans="2:49" x14ac:dyDescent="0.25">
      <c r="B106" t="s">
        <v>435</v>
      </c>
      <c r="C106">
        <v>37938997.726415001</v>
      </c>
      <c r="D106">
        <v>38548120.6066292</v>
      </c>
      <c r="E106">
        <v>39167023.149999999</v>
      </c>
      <c r="F106">
        <v>38442354.469999999</v>
      </c>
      <c r="G106">
        <v>37171627.210000001</v>
      </c>
      <c r="H106">
        <v>36114302.390000001</v>
      </c>
      <c r="I106">
        <v>35888562.740000002</v>
      </c>
      <c r="J106">
        <v>34957766.289999999</v>
      </c>
      <c r="K106" s="100">
        <v>33385418.91</v>
      </c>
      <c r="L106" s="100">
        <v>32191831.100000001</v>
      </c>
      <c r="M106">
        <v>31423290.690000001</v>
      </c>
      <c r="N106">
        <v>30940899.010000002</v>
      </c>
      <c r="O106">
        <v>31559807.879999999</v>
      </c>
      <c r="P106">
        <v>31604771.559999999</v>
      </c>
      <c r="Q106">
        <v>30606373.359999999</v>
      </c>
      <c r="R106">
        <v>29813128.309999999</v>
      </c>
      <c r="S106">
        <v>29205771.620000001</v>
      </c>
      <c r="T106">
        <v>27351725.809999999</v>
      </c>
      <c r="U106">
        <v>25861152.969999999</v>
      </c>
      <c r="V106">
        <v>24346349.710000001</v>
      </c>
      <c r="W106">
        <v>25306084.690000001</v>
      </c>
      <c r="X106">
        <v>26209066.780000001</v>
      </c>
      <c r="Y106">
        <v>25818181.07</v>
      </c>
      <c r="Z106">
        <v>25483252.620000001</v>
      </c>
      <c r="AA106">
        <v>25207467.920000002</v>
      </c>
      <c r="AB106">
        <v>24971883.600000001</v>
      </c>
      <c r="AC106">
        <v>24761576.920000002</v>
      </c>
      <c r="AD106">
        <v>24612762.18</v>
      </c>
      <c r="AE106">
        <v>24461972.149999999</v>
      </c>
      <c r="AF106">
        <v>24309383.859999999</v>
      </c>
      <c r="AG106">
        <v>24162044.059999999</v>
      </c>
      <c r="AH106">
        <v>24019233.300000001</v>
      </c>
      <c r="AI106">
        <v>23986966.870000001</v>
      </c>
      <c r="AJ106">
        <v>23955777.030000001</v>
      </c>
      <c r="AK106">
        <v>23929109.199999999</v>
      </c>
      <c r="AL106">
        <v>23897456.219999999</v>
      </c>
      <c r="AM106">
        <v>23864361.68</v>
      </c>
      <c r="AN106">
        <v>23786966.559999999</v>
      </c>
      <c r="AO106">
        <v>23702980.59</v>
      </c>
      <c r="AP106">
        <v>23602487.420000002</v>
      </c>
      <c r="AQ106">
        <v>23484154.379999999</v>
      </c>
      <c r="AR106">
        <v>23348990.68</v>
      </c>
      <c r="AS106">
        <v>23180590.91</v>
      </c>
      <c r="AT106">
        <v>22990024.940000001</v>
      </c>
      <c r="AU106">
        <v>22774676.300000001</v>
      </c>
      <c r="AV106">
        <v>22537716.260000002</v>
      </c>
      <c r="AW106">
        <v>22286698.600000001</v>
      </c>
    </row>
    <row r="107" spans="2:49" x14ac:dyDescent="0.25">
      <c r="B107" t="s">
        <v>436</v>
      </c>
      <c r="C107" s="100">
        <v>37938997.726415001</v>
      </c>
      <c r="D107" s="100">
        <v>38548120.6066292</v>
      </c>
      <c r="E107" s="100">
        <v>39167023.149999999</v>
      </c>
      <c r="F107" s="100">
        <v>38442354.469999999</v>
      </c>
      <c r="G107" s="100">
        <v>37171627.210000001</v>
      </c>
      <c r="H107">
        <v>36114302.390000001</v>
      </c>
      <c r="I107">
        <v>35888562.740000002</v>
      </c>
      <c r="J107">
        <v>34957766.289999999</v>
      </c>
      <c r="K107" s="100">
        <v>33385418.91</v>
      </c>
      <c r="L107" s="100">
        <v>32191831.100000001</v>
      </c>
      <c r="M107">
        <v>31423290.690000001</v>
      </c>
      <c r="N107">
        <v>30940899.010000002</v>
      </c>
      <c r="O107">
        <v>31559807.879999999</v>
      </c>
      <c r="P107">
        <v>31604771.559999999</v>
      </c>
      <c r="Q107">
        <v>30606373.359999999</v>
      </c>
      <c r="R107">
        <v>29813128.309999999</v>
      </c>
      <c r="S107">
        <v>29205771.620000001</v>
      </c>
      <c r="T107">
        <v>27351725.809999999</v>
      </c>
      <c r="U107">
        <v>25861152.969999999</v>
      </c>
      <c r="V107">
        <v>24346349.710000001</v>
      </c>
      <c r="W107">
        <v>25306084.690000001</v>
      </c>
      <c r="X107">
        <v>26209066.780000001</v>
      </c>
      <c r="Y107">
        <v>25818181.07</v>
      </c>
      <c r="Z107">
        <v>25483252.620000001</v>
      </c>
      <c r="AA107">
        <v>25207467.920000002</v>
      </c>
      <c r="AB107">
        <v>24971883.600000001</v>
      </c>
      <c r="AC107">
        <v>24761576.920000002</v>
      </c>
      <c r="AD107">
        <v>24612762.18</v>
      </c>
      <c r="AE107">
        <v>24461972.149999999</v>
      </c>
      <c r="AF107">
        <v>24309383.859999999</v>
      </c>
      <c r="AG107">
        <v>24162044.059999999</v>
      </c>
      <c r="AH107">
        <v>24019233.300000001</v>
      </c>
      <c r="AI107">
        <v>23986966.870000001</v>
      </c>
      <c r="AJ107">
        <v>23955777.030000001</v>
      </c>
      <c r="AK107">
        <v>23929109.199999999</v>
      </c>
      <c r="AL107">
        <v>23897456.219999999</v>
      </c>
      <c r="AM107">
        <v>23864361.68</v>
      </c>
      <c r="AN107">
        <v>23786966.559999999</v>
      </c>
      <c r="AO107">
        <v>23702980.59</v>
      </c>
      <c r="AP107">
        <v>23602487.420000002</v>
      </c>
      <c r="AQ107">
        <v>23484154.379999999</v>
      </c>
      <c r="AR107">
        <v>23348990.68</v>
      </c>
      <c r="AS107">
        <v>23180590.91</v>
      </c>
      <c r="AT107">
        <v>22990024.940000001</v>
      </c>
      <c r="AU107">
        <v>22774676.300000001</v>
      </c>
      <c r="AV107">
        <v>22537716.260000002</v>
      </c>
      <c r="AW107">
        <v>22286698.600000001</v>
      </c>
    </row>
    <row r="108" spans="2:49" x14ac:dyDescent="0.25">
      <c r="B108" t="s">
        <v>437</v>
      </c>
      <c r="C108">
        <v>7249974.6999914004</v>
      </c>
      <c r="D108">
        <v>7366375.3888705196</v>
      </c>
      <c r="E108">
        <v>7487365.2489999998</v>
      </c>
      <c r="F108">
        <v>7687964.3770000003</v>
      </c>
      <c r="G108" s="100">
        <v>7314987.5549999997</v>
      </c>
      <c r="H108">
        <v>7646804.4119999995</v>
      </c>
      <c r="I108">
        <v>7854812.6940000001</v>
      </c>
      <c r="J108">
        <v>7419711.7070000004</v>
      </c>
      <c r="K108" s="100">
        <v>7116753.7170000002</v>
      </c>
      <c r="L108" s="100">
        <v>6893882.5959999999</v>
      </c>
      <c r="M108">
        <v>7339730.267</v>
      </c>
      <c r="N108">
        <v>7786537.1639999999</v>
      </c>
      <c r="O108">
        <v>8045619.3899999997</v>
      </c>
      <c r="P108">
        <v>8090045.1579999998</v>
      </c>
      <c r="Q108">
        <v>7528317.4759999998</v>
      </c>
      <c r="R108">
        <v>7515814.6040000003</v>
      </c>
      <c r="S108">
        <v>7545403.5180000002</v>
      </c>
      <c r="T108">
        <v>7574277.2039999999</v>
      </c>
      <c r="U108">
        <v>7576504.8739999998</v>
      </c>
      <c r="V108">
        <v>7649852.0630000001</v>
      </c>
      <c r="W108">
        <v>7719794.4450000003</v>
      </c>
      <c r="X108">
        <v>7731008.75</v>
      </c>
      <c r="Y108">
        <v>7803289.8689999999</v>
      </c>
      <c r="Z108">
        <v>7906904.3839999996</v>
      </c>
      <c r="AA108">
        <v>8022967.0360000003</v>
      </c>
      <c r="AB108">
        <v>8141346.7450000001</v>
      </c>
      <c r="AC108">
        <v>8265825.9469999997</v>
      </c>
      <c r="AD108">
        <v>8376711.5190000003</v>
      </c>
      <c r="AE108">
        <v>8498003.5219999999</v>
      </c>
      <c r="AF108">
        <v>8621586.8739999998</v>
      </c>
      <c r="AG108">
        <v>8753067.1640000008</v>
      </c>
      <c r="AH108">
        <v>8900013.5610000007</v>
      </c>
      <c r="AI108">
        <v>9050299.8900000006</v>
      </c>
      <c r="AJ108">
        <v>9213552.2599999998</v>
      </c>
      <c r="AK108">
        <v>9378479.1129999999</v>
      </c>
      <c r="AL108">
        <v>9547521.5449999999</v>
      </c>
      <c r="AM108">
        <v>9718902.5999999996</v>
      </c>
      <c r="AN108">
        <v>9876973.09799999</v>
      </c>
      <c r="AO108">
        <v>10036031.130000001</v>
      </c>
      <c r="AP108">
        <v>10191913.039999999</v>
      </c>
      <c r="AQ108">
        <v>10346979.35</v>
      </c>
      <c r="AR108">
        <v>10500264.24</v>
      </c>
      <c r="AS108">
        <v>10650155.26</v>
      </c>
      <c r="AT108">
        <v>10800377.02</v>
      </c>
      <c r="AU108">
        <v>10952791.68</v>
      </c>
      <c r="AV108">
        <v>11106103.689999999</v>
      </c>
      <c r="AW108">
        <v>11262096.76</v>
      </c>
    </row>
    <row r="109" spans="2:49" x14ac:dyDescent="0.25">
      <c r="B109" t="s">
        <v>438</v>
      </c>
      <c r="C109">
        <v>11428306.3019633</v>
      </c>
      <c r="D109">
        <v>11611791.4562317</v>
      </c>
      <c r="E109">
        <v>11800890.689999999</v>
      </c>
      <c r="F109">
        <v>11972246.51</v>
      </c>
      <c r="G109" s="100">
        <v>11277514</v>
      </c>
      <c r="H109" s="100">
        <v>11411452.67</v>
      </c>
      <c r="I109" s="100">
        <v>11259902.210000001</v>
      </c>
      <c r="J109" s="100">
        <v>10925982.34</v>
      </c>
      <c r="K109" s="100">
        <v>10227970.939999999</v>
      </c>
      <c r="L109" s="100">
        <v>9941675.7970000003</v>
      </c>
      <c r="M109">
        <v>10034534.279999999</v>
      </c>
      <c r="N109">
        <v>10184533.369999999</v>
      </c>
      <c r="O109">
        <v>9461219.09799999</v>
      </c>
      <c r="P109">
        <v>8717157.5889999997</v>
      </c>
      <c r="Q109">
        <v>7836249.6950000003</v>
      </c>
      <c r="R109">
        <v>7294105.6699999999</v>
      </c>
      <c r="S109">
        <v>7014558.4069999997</v>
      </c>
      <c r="T109">
        <v>6852156.676</v>
      </c>
      <c r="U109">
        <v>6770726.9289999995</v>
      </c>
      <c r="V109">
        <v>6739031.9119999995</v>
      </c>
      <c r="W109">
        <v>7013091.9800000004</v>
      </c>
      <c r="X109">
        <v>7233683.0080000004</v>
      </c>
      <c r="Y109">
        <v>7284532.4419999998</v>
      </c>
      <c r="Z109">
        <v>7350259.3530000001</v>
      </c>
      <c r="AA109">
        <v>7424129.1509999996</v>
      </c>
      <c r="AB109">
        <v>7499984.8300000001</v>
      </c>
      <c r="AC109">
        <v>7580712.2740000002</v>
      </c>
      <c r="AD109">
        <v>7660896.8370000003</v>
      </c>
      <c r="AE109">
        <v>7750575.926</v>
      </c>
      <c r="AF109">
        <v>7843207.1119999997</v>
      </c>
      <c r="AG109">
        <v>7941859.3169999998</v>
      </c>
      <c r="AH109">
        <v>8054595.7359999996</v>
      </c>
      <c r="AI109">
        <v>8188995.2199999997</v>
      </c>
      <c r="AJ109">
        <v>8334583.5480000004</v>
      </c>
      <c r="AK109">
        <v>8483581.1270000003</v>
      </c>
      <c r="AL109">
        <v>8636901.2990000006</v>
      </c>
      <c r="AM109">
        <v>8793508.00699999</v>
      </c>
      <c r="AN109">
        <v>8944971.7660000008</v>
      </c>
      <c r="AO109">
        <v>9099915.4010000005</v>
      </c>
      <c r="AP109">
        <v>9254155.0559999999</v>
      </c>
      <c r="AQ109">
        <v>9408615.3010000009</v>
      </c>
      <c r="AR109">
        <v>9562630.5490000006</v>
      </c>
      <c r="AS109">
        <v>9715845.8690000009</v>
      </c>
      <c r="AT109">
        <v>9870572.6410000008</v>
      </c>
      <c r="AU109">
        <v>10027384.779999999</v>
      </c>
      <c r="AV109">
        <v>10185421.470000001</v>
      </c>
      <c r="AW109">
        <v>10345122.35</v>
      </c>
    </row>
    <row r="110" spans="2:49" x14ac:dyDescent="0.25">
      <c r="B110" t="s">
        <v>439</v>
      </c>
      <c r="C110">
        <v>1153294.1412084801</v>
      </c>
      <c r="D110" s="100">
        <v>1171810.6516891399</v>
      </c>
      <c r="E110" s="100">
        <v>1190798.162</v>
      </c>
      <c r="F110" s="100">
        <v>1181023.5859999999</v>
      </c>
      <c r="G110">
        <v>1106010.203</v>
      </c>
      <c r="H110">
        <v>957152.21849999996</v>
      </c>
      <c r="I110" s="100">
        <v>1036791.228</v>
      </c>
      <c r="J110" s="100">
        <v>1012988.627</v>
      </c>
      <c r="K110" s="100">
        <v>966109.23</v>
      </c>
      <c r="L110" s="100">
        <v>952177.63710000005</v>
      </c>
      <c r="M110">
        <v>986106.55310000002</v>
      </c>
      <c r="N110">
        <v>1082697.2549999999</v>
      </c>
      <c r="O110">
        <v>1031587.52</v>
      </c>
      <c r="P110">
        <v>968330.29980000004</v>
      </c>
      <c r="Q110">
        <v>860821.9314</v>
      </c>
      <c r="R110">
        <v>799814.14899999998</v>
      </c>
      <c r="S110">
        <v>715505.61690000002</v>
      </c>
      <c r="T110">
        <v>698436.41850000003</v>
      </c>
      <c r="U110">
        <v>676873.99809999997</v>
      </c>
      <c r="V110">
        <v>673952.78269999998</v>
      </c>
      <c r="W110">
        <v>698017.55249999999</v>
      </c>
      <c r="X110">
        <v>713584.45299999998</v>
      </c>
      <c r="Y110">
        <v>710783.90390000003</v>
      </c>
      <c r="Z110">
        <v>710684.45900000003</v>
      </c>
      <c r="AA110">
        <v>713028.43359999999</v>
      </c>
      <c r="AB110">
        <v>715123.20869999996</v>
      </c>
      <c r="AC110">
        <v>717026.59349999996</v>
      </c>
      <c r="AD110">
        <v>716494.90209999995</v>
      </c>
      <c r="AE110">
        <v>710959.88230000006</v>
      </c>
      <c r="AF110">
        <v>710024.46389999997</v>
      </c>
      <c r="AG110">
        <v>711304.25690000004</v>
      </c>
      <c r="AH110">
        <v>708067.91559999995</v>
      </c>
      <c r="AI110">
        <v>717906.12829999998</v>
      </c>
      <c r="AJ110">
        <v>726154.71939999994</v>
      </c>
      <c r="AK110">
        <v>733005.2611</v>
      </c>
      <c r="AL110">
        <v>739567.9327</v>
      </c>
      <c r="AM110">
        <v>745635.92969999998</v>
      </c>
      <c r="AN110">
        <v>749721.94889999996</v>
      </c>
      <c r="AO110">
        <v>755568.4</v>
      </c>
      <c r="AP110">
        <v>761537.35439999995</v>
      </c>
      <c r="AQ110">
        <v>767551.12049999996</v>
      </c>
      <c r="AR110">
        <v>773336.45570000005</v>
      </c>
      <c r="AS110">
        <v>778464.82169999997</v>
      </c>
      <c r="AT110">
        <v>783950.79839999997</v>
      </c>
      <c r="AU110">
        <v>789752.74450000003</v>
      </c>
      <c r="AV110">
        <v>795624.25280000002</v>
      </c>
      <c r="AW110">
        <v>801865.20279999997</v>
      </c>
    </row>
    <row r="111" spans="2:49" x14ac:dyDescent="0.25">
      <c r="B111" t="s">
        <v>440</v>
      </c>
      <c r="C111">
        <v>6211298.5004764497</v>
      </c>
      <c r="D111">
        <v>6311022.9070030199</v>
      </c>
      <c r="E111">
        <v>6414338.9579999996</v>
      </c>
      <c r="F111">
        <v>6441446.7960000001</v>
      </c>
      <c r="G111">
        <v>5827049.0209999997</v>
      </c>
      <c r="H111">
        <v>5202274.1469999999</v>
      </c>
      <c r="I111">
        <v>4565497.1030000001</v>
      </c>
      <c r="J111">
        <v>4794049.8530000001</v>
      </c>
      <c r="K111">
        <v>4285197.6619999995</v>
      </c>
      <c r="L111">
        <v>4082867.8530000001</v>
      </c>
      <c r="M111">
        <v>4152070.662</v>
      </c>
      <c r="N111">
        <v>4217007.0209999997</v>
      </c>
      <c r="O111">
        <v>4003555.3939999999</v>
      </c>
      <c r="P111">
        <v>3704360.2910000002</v>
      </c>
      <c r="Q111">
        <v>3341176.5329999998</v>
      </c>
      <c r="R111">
        <v>3061729.5290000001</v>
      </c>
      <c r="S111" s="100">
        <v>2818866.7420000001</v>
      </c>
      <c r="T111" s="100">
        <v>2682121.3709999998</v>
      </c>
      <c r="U111" s="100">
        <v>2527828.9210000001</v>
      </c>
      <c r="V111" s="100">
        <v>2394578.4640000002</v>
      </c>
      <c r="W111">
        <v>2496690.4029999999</v>
      </c>
      <c r="X111">
        <v>2585993.9350000001</v>
      </c>
      <c r="Y111">
        <v>2773251.7420000001</v>
      </c>
      <c r="Z111">
        <v>3035899.176</v>
      </c>
      <c r="AA111">
        <v>3352300.4380000001</v>
      </c>
      <c r="AB111">
        <v>3722198.9</v>
      </c>
      <c r="AC111">
        <v>4154482.8879999998</v>
      </c>
      <c r="AD111">
        <v>4172822.4070000001</v>
      </c>
      <c r="AE111">
        <v>4192001.9380000001</v>
      </c>
      <c r="AF111">
        <v>4216141.7680000002</v>
      </c>
      <c r="AG111">
        <v>4243255.4139999999</v>
      </c>
      <c r="AH111">
        <v>4271921.3329999996</v>
      </c>
      <c r="AI111">
        <v>4317136.2240000004</v>
      </c>
      <c r="AJ111">
        <v>4363480.2110000001</v>
      </c>
      <c r="AK111">
        <v>4410292.0080000004</v>
      </c>
      <c r="AL111">
        <v>4457860.2620000001</v>
      </c>
      <c r="AM111">
        <v>4505199.8109999998</v>
      </c>
      <c r="AN111">
        <v>4452760.43</v>
      </c>
      <c r="AO111">
        <v>4383391.9919999996</v>
      </c>
      <c r="AP111">
        <v>4307280.7939999998</v>
      </c>
      <c r="AQ111">
        <v>4228042.3</v>
      </c>
      <c r="AR111">
        <v>4145141.7110000001</v>
      </c>
      <c r="AS111">
        <v>4114223.7179999999</v>
      </c>
      <c r="AT111">
        <v>4091905.1439999999</v>
      </c>
      <c r="AU111">
        <v>4070419.3539999998</v>
      </c>
      <c r="AV111">
        <v>4048047.966</v>
      </c>
      <c r="AW111">
        <v>4025931.773</v>
      </c>
    </row>
    <row r="112" spans="2:49" x14ac:dyDescent="0.25">
      <c r="B112" t="s">
        <v>441</v>
      </c>
      <c r="C112" s="100">
        <v>19068539.7330263</v>
      </c>
      <c r="D112">
        <v>19374691.306334</v>
      </c>
      <c r="E112">
        <v>19692663.129999999</v>
      </c>
      <c r="F112">
        <v>19853506.09</v>
      </c>
      <c r="G112" s="100">
        <v>18039703.539999999</v>
      </c>
      <c r="H112">
        <v>16044152.85</v>
      </c>
      <c r="I112">
        <v>14758811.609999999</v>
      </c>
      <c r="J112">
        <v>15769489.689999999</v>
      </c>
      <c r="K112">
        <v>14123115.880000001</v>
      </c>
      <c r="L112">
        <v>13504642.050000001</v>
      </c>
      <c r="M112">
        <v>13770703.02</v>
      </c>
      <c r="N112">
        <v>13971879.09</v>
      </c>
      <c r="O112">
        <v>13351602.07</v>
      </c>
      <c r="P112">
        <v>12406110.880000001</v>
      </c>
      <c r="Q112">
        <v>11200714.890000001</v>
      </c>
      <c r="R112">
        <v>10324737.119999999</v>
      </c>
      <c r="S112" s="100">
        <v>9535053.2430000007</v>
      </c>
      <c r="T112" s="100">
        <v>9359966.2609999999</v>
      </c>
      <c r="U112" s="100">
        <v>8942804.0439999998</v>
      </c>
      <c r="V112" s="100">
        <v>8679477.3949999996</v>
      </c>
      <c r="W112">
        <v>8328741.54</v>
      </c>
      <c r="X112">
        <v>7907561.4340000004</v>
      </c>
      <c r="Y112">
        <v>7698817.6569999997</v>
      </c>
      <c r="Z112">
        <v>7666433.0930000003</v>
      </c>
      <c r="AA112">
        <v>7682910.2529999996</v>
      </c>
      <c r="AB112">
        <v>7716652.2290000003</v>
      </c>
      <c r="AC112">
        <v>7767555.5180000002</v>
      </c>
      <c r="AD112">
        <v>7779632.1469999999</v>
      </c>
      <c r="AE112">
        <v>7805660.5020000003</v>
      </c>
      <c r="AF112">
        <v>7839386.8590000002</v>
      </c>
      <c r="AG112">
        <v>7878292.3820000002</v>
      </c>
      <c r="AH112">
        <v>7931942.7949999999</v>
      </c>
      <c r="AI112">
        <v>7992939.6509999996</v>
      </c>
      <c r="AJ112">
        <v>8049336.034</v>
      </c>
      <c r="AK112">
        <v>8116934.2439999999</v>
      </c>
      <c r="AL112">
        <v>8184628.1610000003</v>
      </c>
      <c r="AM112">
        <v>8248387.5800000001</v>
      </c>
      <c r="AN112">
        <v>8123336.2829999998</v>
      </c>
      <c r="AO112">
        <v>7971054.8150000004</v>
      </c>
      <c r="AP112">
        <v>7805481.8859999999</v>
      </c>
      <c r="AQ112">
        <v>7641143.2939999998</v>
      </c>
      <c r="AR112">
        <v>7463007.1260000002</v>
      </c>
      <c r="AS112">
        <v>7380200.3470000001</v>
      </c>
      <c r="AT112">
        <v>7312202.9780000001</v>
      </c>
      <c r="AU112">
        <v>7242743.1210000003</v>
      </c>
      <c r="AV112">
        <v>7171483.2249999996</v>
      </c>
      <c r="AW112">
        <v>7126312.6359999999</v>
      </c>
    </row>
    <row r="113" spans="2:49" x14ac:dyDescent="0.25">
      <c r="B113" t="s">
        <v>442</v>
      </c>
      <c r="C113">
        <v>14426006.8404216</v>
      </c>
      <c r="D113">
        <v>14657621.046468699</v>
      </c>
      <c r="E113">
        <v>14897820.91</v>
      </c>
      <c r="F113">
        <v>14865153.460000001</v>
      </c>
      <c r="G113">
        <v>13692369.43</v>
      </c>
      <c r="H113">
        <v>12732258.619999999</v>
      </c>
      <c r="I113">
        <v>11128758.48</v>
      </c>
      <c r="J113">
        <v>10033750.26</v>
      </c>
      <c r="K113">
        <v>9124963.1809999999</v>
      </c>
      <c r="L113">
        <v>8992739.8029999901</v>
      </c>
      <c r="M113">
        <v>8906041.6390000004</v>
      </c>
      <c r="N113">
        <v>9194354.9969999995</v>
      </c>
      <c r="O113">
        <v>8436359.7809999995</v>
      </c>
      <c r="P113">
        <v>7547805.6869999999</v>
      </c>
      <c r="Q113">
        <v>6763842.693</v>
      </c>
      <c r="R113">
        <v>6101633.9390000002</v>
      </c>
      <c r="S113">
        <v>5647759.4589999998</v>
      </c>
      <c r="T113">
        <v>5382811.0199999996</v>
      </c>
      <c r="U113" s="100">
        <v>5041273.28</v>
      </c>
      <c r="V113">
        <v>4736261.8020000001</v>
      </c>
      <c r="W113">
        <v>4807826.585</v>
      </c>
      <c r="X113">
        <v>4839212.125</v>
      </c>
      <c r="Y113">
        <v>5076261.1160000004</v>
      </c>
      <c r="Z113">
        <v>5444685.3119999999</v>
      </c>
      <c r="AA113">
        <v>5889576.8310000002</v>
      </c>
      <c r="AB113">
        <v>6414017.5750000002</v>
      </c>
      <c r="AC113">
        <v>7039306.0140000004</v>
      </c>
      <c r="AD113">
        <v>7030111.5860000001</v>
      </c>
      <c r="AE113">
        <v>7032715.7439999999</v>
      </c>
      <c r="AF113">
        <v>7041074.7419999996</v>
      </c>
      <c r="AG113">
        <v>7053182.0269999998</v>
      </c>
      <c r="AH113">
        <v>7072878.6349999998</v>
      </c>
      <c r="AI113">
        <v>7109102.6339999996</v>
      </c>
      <c r="AJ113">
        <v>7147532.784</v>
      </c>
      <c r="AK113">
        <v>7189281.0499999998</v>
      </c>
      <c r="AL113">
        <v>7232985.1090000002</v>
      </c>
      <c r="AM113">
        <v>7276879.6380000003</v>
      </c>
      <c r="AN113">
        <v>7147194.8650000002</v>
      </c>
      <c r="AO113">
        <v>6990970.5350000001</v>
      </c>
      <c r="AP113">
        <v>6826438.6339999996</v>
      </c>
      <c r="AQ113">
        <v>6660215.5710000005</v>
      </c>
      <c r="AR113">
        <v>6491445.6540000001</v>
      </c>
      <c r="AS113">
        <v>6412362.318</v>
      </c>
      <c r="AT113">
        <v>6348037.0039999997</v>
      </c>
      <c r="AU113">
        <v>6286138.1430000002</v>
      </c>
      <c r="AV113">
        <v>6224021.7230000002</v>
      </c>
      <c r="AW113">
        <v>6162651.1890000002</v>
      </c>
    </row>
    <row r="114" spans="2:49" x14ac:dyDescent="0.25">
      <c r="B114" t="s">
        <v>443</v>
      </c>
      <c r="C114">
        <v>9279692.21316991</v>
      </c>
      <c r="D114">
        <v>9428680.6732538398</v>
      </c>
      <c r="E114">
        <v>9581386.1769999899</v>
      </c>
      <c r="F114">
        <v>9543130.534</v>
      </c>
      <c r="G114">
        <v>9142624.1879999898</v>
      </c>
      <c r="H114">
        <v>8588572.4550000001</v>
      </c>
      <c r="I114">
        <v>8222942.7560000001</v>
      </c>
      <c r="J114">
        <v>7977006.7010000004</v>
      </c>
      <c r="K114">
        <v>7575825.9759999998</v>
      </c>
      <c r="L114">
        <v>7504097.4649999999</v>
      </c>
      <c r="M114">
        <v>7474260.6140000001</v>
      </c>
      <c r="N114">
        <v>7729492.557</v>
      </c>
      <c r="O114">
        <v>7563770.5619999999</v>
      </c>
      <c r="P114">
        <v>7307417.2560000001</v>
      </c>
      <c r="Q114">
        <v>6954559.7039999999</v>
      </c>
      <c r="R114">
        <v>6821421.1799999997</v>
      </c>
      <c r="S114">
        <v>6590445.4589999998</v>
      </c>
      <c r="T114">
        <v>6452315.3930000002</v>
      </c>
      <c r="U114">
        <v>6212100.716</v>
      </c>
      <c r="V114">
        <v>6032902.9570000004</v>
      </c>
      <c r="W114">
        <v>6145739.9029999999</v>
      </c>
      <c r="X114">
        <v>6189050.5710000005</v>
      </c>
      <c r="Y114">
        <v>6183345.6399999997</v>
      </c>
      <c r="Z114">
        <v>6267059.8820000002</v>
      </c>
      <c r="AA114">
        <v>6386438.4409999996</v>
      </c>
      <c r="AB114">
        <v>6540635.8739999998</v>
      </c>
      <c r="AC114">
        <v>6731092.6900000004</v>
      </c>
      <c r="AD114">
        <v>6772587.4380000001</v>
      </c>
      <c r="AE114">
        <v>6825441.0219999999</v>
      </c>
      <c r="AF114">
        <v>6882844.5460000001</v>
      </c>
      <c r="AG114">
        <v>6944818.4299999997</v>
      </c>
      <c r="AH114">
        <v>7014629.523</v>
      </c>
      <c r="AI114">
        <v>7111230.091</v>
      </c>
      <c r="AJ114">
        <v>7210891.2790000001</v>
      </c>
      <c r="AK114">
        <v>7315731.7769999998</v>
      </c>
      <c r="AL114">
        <v>7425284.9850000003</v>
      </c>
      <c r="AM114">
        <v>7535912.4239999996</v>
      </c>
      <c r="AN114">
        <v>7561951.5070000002</v>
      </c>
      <c r="AO114">
        <v>7576075.2580000004</v>
      </c>
      <c r="AP114">
        <v>7580305.9409999996</v>
      </c>
      <c r="AQ114">
        <v>7578074.5880000005</v>
      </c>
      <c r="AR114">
        <v>7566987.6349999998</v>
      </c>
      <c r="AS114">
        <v>7604449.6830000002</v>
      </c>
      <c r="AT114">
        <v>7647957.659</v>
      </c>
      <c r="AU114">
        <v>7691401.193</v>
      </c>
      <c r="AV114">
        <v>7733132.5559999999</v>
      </c>
      <c r="AW114">
        <v>7773888.6440000003</v>
      </c>
    </row>
    <row r="115" spans="2:49" x14ac:dyDescent="0.25">
      <c r="B115" t="s">
        <v>444</v>
      </c>
      <c r="C115">
        <v>10783636.5742715</v>
      </c>
      <c r="D115">
        <v>10956771.347537501</v>
      </c>
      <c r="E115">
        <v>11150806.48</v>
      </c>
      <c r="F115">
        <v>11155248.369999999</v>
      </c>
      <c r="G115">
        <v>11099222.32</v>
      </c>
      <c r="H115">
        <v>10297304.85</v>
      </c>
      <c r="I115">
        <v>10630261.92</v>
      </c>
      <c r="J115">
        <v>10707797.460000001</v>
      </c>
      <c r="K115">
        <v>10466541.49</v>
      </c>
      <c r="L115">
        <v>10414625.02</v>
      </c>
      <c r="M115">
        <v>10418313.140000001</v>
      </c>
      <c r="N115">
        <v>10715459.859999999</v>
      </c>
      <c r="O115">
        <v>10792197.550000001</v>
      </c>
      <c r="P115">
        <v>10935285.75</v>
      </c>
      <c r="Q115">
        <v>10884976.449999999</v>
      </c>
      <c r="R115">
        <v>11078643.359999999</v>
      </c>
      <c r="S115">
        <v>11051953.800000001</v>
      </c>
      <c r="T115">
        <v>10899606.359999999</v>
      </c>
      <c r="U115">
        <v>10836397.01</v>
      </c>
      <c r="V115">
        <v>10831135.01</v>
      </c>
      <c r="W115">
        <v>11144266.07</v>
      </c>
      <c r="X115">
        <v>11403189.640000001</v>
      </c>
      <c r="Y115">
        <v>11500139.83</v>
      </c>
      <c r="Z115">
        <v>11611576.050000001</v>
      </c>
      <c r="AA115">
        <v>11746250.939999999</v>
      </c>
      <c r="AB115">
        <v>11950034.939999999</v>
      </c>
      <c r="AC115">
        <v>12186595.76</v>
      </c>
      <c r="AD115">
        <v>12252069.939999999</v>
      </c>
      <c r="AE115">
        <v>12325496.529999999</v>
      </c>
      <c r="AF115">
        <v>12408144.439999999</v>
      </c>
      <c r="AG115">
        <v>12500708.529999999</v>
      </c>
      <c r="AH115">
        <v>12604651.58</v>
      </c>
      <c r="AI115">
        <v>12746528.09</v>
      </c>
      <c r="AJ115">
        <v>12899353.09</v>
      </c>
      <c r="AK115">
        <v>13063276.73</v>
      </c>
      <c r="AL115">
        <v>13250202.67</v>
      </c>
      <c r="AM115">
        <v>13441945.18</v>
      </c>
      <c r="AN115">
        <v>13628746.449999999</v>
      </c>
      <c r="AO115">
        <v>13820585.48</v>
      </c>
      <c r="AP115">
        <v>14010939.17</v>
      </c>
      <c r="AQ115">
        <v>14199698.25</v>
      </c>
      <c r="AR115">
        <v>14387328.630000001</v>
      </c>
      <c r="AS115">
        <v>14575232.01</v>
      </c>
      <c r="AT115">
        <v>14764342.98</v>
      </c>
      <c r="AU115">
        <v>14955401.15</v>
      </c>
      <c r="AV115">
        <v>15147320.99</v>
      </c>
      <c r="AW115">
        <v>15340052.08</v>
      </c>
    </row>
    <row r="116" spans="2:49" x14ac:dyDescent="0.25">
      <c r="B116" t="s">
        <v>445</v>
      </c>
      <c r="C116">
        <v>584010.86634464201</v>
      </c>
      <c r="D116">
        <v>593387.34970747295</v>
      </c>
      <c r="E116">
        <v>603045.05370000005</v>
      </c>
      <c r="F116">
        <v>619094.54310000001</v>
      </c>
      <c r="G116">
        <v>586723.84770000004</v>
      </c>
      <c r="H116">
        <v>507164.0895</v>
      </c>
      <c r="I116">
        <v>525543.22930000001</v>
      </c>
      <c r="J116">
        <v>526875.11860000005</v>
      </c>
      <c r="K116">
        <v>485171.94130000001</v>
      </c>
      <c r="L116">
        <v>453737.92810000002</v>
      </c>
      <c r="M116">
        <v>444664.36070000002</v>
      </c>
      <c r="N116">
        <v>467867.35379999998</v>
      </c>
      <c r="O116">
        <v>446341.51669999998</v>
      </c>
      <c r="P116">
        <v>428352.84129999997</v>
      </c>
      <c r="Q116">
        <v>397711.3529</v>
      </c>
      <c r="R116">
        <v>368386.22409999999</v>
      </c>
      <c r="S116">
        <v>350897.37239999999</v>
      </c>
      <c r="T116">
        <v>346693.41759999999</v>
      </c>
      <c r="U116">
        <v>338803.31770000001</v>
      </c>
      <c r="V116">
        <v>336578.53399999999</v>
      </c>
      <c r="W116">
        <v>345309.52240000002</v>
      </c>
      <c r="X116">
        <v>351078.6777</v>
      </c>
      <c r="Y116">
        <v>352803.2746</v>
      </c>
      <c r="Z116">
        <v>358864.36869999999</v>
      </c>
      <c r="AA116">
        <v>367177.603</v>
      </c>
      <c r="AB116">
        <v>377134.76770000003</v>
      </c>
      <c r="AC116">
        <v>388944.55339999998</v>
      </c>
      <c r="AD116">
        <v>391064.72639999999</v>
      </c>
      <c r="AE116">
        <v>393301.37420000002</v>
      </c>
      <c r="AF116">
        <v>396032.54710000003</v>
      </c>
      <c r="AG116">
        <v>399192.56920000003</v>
      </c>
      <c r="AH116">
        <v>402460.35749999998</v>
      </c>
      <c r="AI116">
        <v>407562.53879999998</v>
      </c>
      <c r="AJ116">
        <v>412704.90870000003</v>
      </c>
      <c r="AK116">
        <v>417857.72</v>
      </c>
      <c r="AL116">
        <v>423061.52439999999</v>
      </c>
      <c r="AM116">
        <v>428167.10580000002</v>
      </c>
      <c r="AN116">
        <v>431042.13280000002</v>
      </c>
      <c r="AO116">
        <v>433977.44079999998</v>
      </c>
      <c r="AP116">
        <v>436580.12920000002</v>
      </c>
      <c r="AQ116">
        <v>439032.29100000003</v>
      </c>
      <c r="AR116">
        <v>441116.78960000002</v>
      </c>
      <c r="AS116">
        <v>444295.66310000001</v>
      </c>
      <c r="AT116">
        <v>447591.98979999998</v>
      </c>
      <c r="AU116">
        <v>450892.35340000002</v>
      </c>
      <c r="AV116">
        <v>454136.77620000002</v>
      </c>
      <c r="AW116">
        <v>457612.32990000001</v>
      </c>
    </row>
    <row r="117" spans="2:49" x14ac:dyDescent="0.25">
      <c r="B117" t="s">
        <v>446</v>
      </c>
      <c r="C117">
        <v>22712835.5539211</v>
      </c>
      <c r="D117">
        <v>23077497.475414101</v>
      </c>
      <c r="E117">
        <v>23460488.449999999</v>
      </c>
      <c r="F117">
        <v>23550894.68</v>
      </c>
      <c r="G117">
        <v>19990817.68</v>
      </c>
      <c r="H117">
        <v>16633562.59</v>
      </c>
      <c r="I117">
        <v>17081220.460000001</v>
      </c>
      <c r="J117">
        <v>16676859.24</v>
      </c>
      <c r="K117">
        <v>15802209.390000001</v>
      </c>
      <c r="L117">
        <v>16453900.439999999</v>
      </c>
      <c r="M117">
        <v>16816905.23</v>
      </c>
      <c r="N117">
        <v>17152971.09</v>
      </c>
      <c r="O117">
        <v>14363320.460000001</v>
      </c>
      <c r="P117">
        <v>13045125.91</v>
      </c>
      <c r="Q117">
        <v>11927980.83</v>
      </c>
      <c r="R117">
        <v>10988925.699999999</v>
      </c>
      <c r="S117">
        <v>10327670.640000001</v>
      </c>
      <c r="T117">
        <v>10348832.039999999</v>
      </c>
      <c r="U117">
        <v>10200710.289999999</v>
      </c>
      <c r="V117">
        <v>10203716.390000001</v>
      </c>
      <c r="W117">
        <v>10168525.050000001</v>
      </c>
      <c r="X117">
        <v>10032540.970000001</v>
      </c>
      <c r="Y117">
        <v>10004341.279999999</v>
      </c>
      <c r="Z117">
        <v>10093453.35</v>
      </c>
      <c r="AA117">
        <v>10208859.550000001</v>
      </c>
      <c r="AB117">
        <v>10332821.23</v>
      </c>
      <c r="AC117">
        <v>10465756.119999999</v>
      </c>
      <c r="AD117">
        <v>10450296.27</v>
      </c>
      <c r="AE117">
        <v>10450069.619999999</v>
      </c>
      <c r="AF117">
        <v>10462923.67</v>
      </c>
      <c r="AG117">
        <v>10484984.640000001</v>
      </c>
      <c r="AH117">
        <v>10514122.359999999</v>
      </c>
      <c r="AI117">
        <v>10568634.75</v>
      </c>
      <c r="AJ117">
        <v>10622763.560000001</v>
      </c>
      <c r="AK117">
        <v>10681842.32</v>
      </c>
      <c r="AL117">
        <v>10743167.529999999</v>
      </c>
      <c r="AM117">
        <v>10802846.65</v>
      </c>
      <c r="AN117">
        <v>10755520.57</v>
      </c>
      <c r="AO117">
        <v>10698592.619999999</v>
      </c>
      <c r="AP117">
        <v>10629918.17</v>
      </c>
      <c r="AQ117">
        <v>10555388.289999999</v>
      </c>
      <c r="AR117">
        <v>10468662.25</v>
      </c>
      <c r="AS117">
        <v>10445084.41</v>
      </c>
      <c r="AT117">
        <v>10427883.67</v>
      </c>
      <c r="AU117">
        <v>10410151.550000001</v>
      </c>
      <c r="AV117">
        <v>10390619.560000001</v>
      </c>
      <c r="AW117">
        <v>10375334.220000001</v>
      </c>
    </row>
    <row r="118" spans="2:49" x14ac:dyDescent="0.25">
      <c r="B118" t="s">
        <v>447</v>
      </c>
      <c r="C118">
        <v>611949.61832884501</v>
      </c>
      <c r="D118">
        <v>621774.66739182698</v>
      </c>
      <c r="E118">
        <v>631757.4608</v>
      </c>
      <c r="F118">
        <v>620273.50589999999</v>
      </c>
      <c r="G118">
        <v>558597.26870000002</v>
      </c>
      <c r="H118">
        <v>469464.23690000002</v>
      </c>
      <c r="I118">
        <v>503985.47749999998</v>
      </c>
      <c r="J118">
        <v>488113.02500000002</v>
      </c>
      <c r="K118">
        <v>440809.47619999998</v>
      </c>
      <c r="L118">
        <v>418992.364</v>
      </c>
      <c r="M118">
        <v>418037.27830000001</v>
      </c>
      <c r="N118">
        <v>419042.21220000001</v>
      </c>
      <c r="O118">
        <v>387905.8297</v>
      </c>
      <c r="P118">
        <v>374722.11210000003</v>
      </c>
      <c r="Q118">
        <v>333302.81229999999</v>
      </c>
      <c r="R118">
        <v>306928.15759999998</v>
      </c>
      <c r="S118">
        <v>295581.27970000001</v>
      </c>
      <c r="T118">
        <v>294787.95669999998</v>
      </c>
      <c r="U118">
        <v>284127.42940000002</v>
      </c>
      <c r="V118">
        <v>279398.04849999998</v>
      </c>
      <c r="W118">
        <v>304416.3651</v>
      </c>
      <c r="X118">
        <v>328415.81530000002</v>
      </c>
      <c r="Y118">
        <v>335382.76860000001</v>
      </c>
      <c r="Z118">
        <v>348030.86109999998</v>
      </c>
      <c r="AA118">
        <v>363410.52279999998</v>
      </c>
      <c r="AB118">
        <v>381264.84710000001</v>
      </c>
      <c r="AC118">
        <v>402166.47889999999</v>
      </c>
      <c r="AD118">
        <v>401119.47580000001</v>
      </c>
      <c r="AE118">
        <v>400819.79340000002</v>
      </c>
      <c r="AF118">
        <v>400751.31719999999</v>
      </c>
      <c r="AG118">
        <v>401082.1384</v>
      </c>
      <c r="AH118">
        <v>401830.70159999997</v>
      </c>
      <c r="AI118">
        <v>405207.16519999999</v>
      </c>
      <c r="AJ118">
        <v>408536.70380000002</v>
      </c>
      <c r="AK118">
        <v>411965.03830000001</v>
      </c>
      <c r="AL118">
        <v>415401.15179999999</v>
      </c>
      <c r="AM118">
        <v>418689.90990000003</v>
      </c>
      <c r="AN118">
        <v>421095.9094</v>
      </c>
      <c r="AO118">
        <v>424309.32410000003</v>
      </c>
      <c r="AP118">
        <v>427353.32280000002</v>
      </c>
      <c r="AQ118">
        <v>430442.48180000001</v>
      </c>
      <c r="AR118">
        <v>433259.36229999998</v>
      </c>
      <c r="AS118">
        <v>436175.22940000001</v>
      </c>
      <c r="AT118">
        <v>438866.18449999997</v>
      </c>
      <c r="AU118">
        <v>441486.50670000003</v>
      </c>
      <c r="AV118">
        <v>444030.37729999999</v>
      </c>
      <c r="AW118">
        <v>446687.63260000001</v>
      </c>
    </row>
    <row r="119" spans="2:49" x14ac:dyDescent="0.25">
      <c r="B119" t="s">
        <v>448</v>
      </c>
      <c r="C119">
        <v>18604230.451297902</v>
      </c>
      <c r="D119">
        <v>18902927.3889024</v>
      </c>
      <c r="E119">
        <v>19209702.579999998</v>
      </c>
      <c r="F119">
        <v>19523657.620000001</v>
      </c>
      <c r="G119">
        <v>18333440.629999999</v>
      </c>
      <c r="H119">
        <v>16861373.59</v>
      </c>
      <c r="I119">
        <v>16990304.98</v>
      </c>
      <c r="J119">
        <v>16549625.6</v>
      </c>
      <c r="K119">
        <v>15660293.65</v>
      </c>
      <c r="L119">
        <v>15333564.550000001</v>
      </c>
      <c r="M119">
        <v>15379527.029999999</v>
      </c>
      <c r="N119">
        <v>15750766.23</v>
      </c>
      <c r="O119">
        <v>14955305.82</v>
      </c>
      <c r="P119">
        <v>14164061.390000001</v>
      </c>
      <c r="Q119">
        <v>13145111.98</v>
      </c>
      <c r="R119">
        <v>12842707.68</v>
      </c>
      <c r="S119">
        <v>12489134.619999999</v>
      </c>
      <c r="T119">
        <v>12552132.220000001</v>
      </c>
      <c r="U119">
        <v>12336718.66</v>
      </c>
      <c r="V119">
        <v>12296812.51</v>
      </c>
      <c r="W119">
        <v>12769618.68</v>
      </c>
      <c r="X119">
        <v>13146640.529999999</v>
      </c>
      <c r="Y119">
        <v>13113903.380000001</v>
      </c>
      <c r="Z119">
        <v>13210681.529999999</v>
      </c>
      <c r="AA119">
        <v>13328803.439999999</v>
      </c>
      <c r="AB119">
        <v>13456234.09</v>
      </c>
      <c r="AC119">
        <v>13597607.460000001</v>
      </c>
      <c r="AD119">
        <v>13665515.59</v>
      </c>
      <c r="AE119">
        <v>13763107.060000001</v>
      </c>
      <c r="AF119">
        <v>13871499.91</v>
      </c>
      <c r="AG119">
        <v>13992593.74</v>
      </c>
      <c r="AH119">
        <v>14129766.16</v>
      </c>
      <c r="AI119">
        <v>14324879.220000001</v>
      </c>
      <c r="AJ119">
        <v>14524832.140000001</v>
      </c>
      <c r="AK119">
        <v>14732206.1</v>
      </c>
      <c r="AL119">
        <v>14945275.220000001</v>
      </c>
      <c r="AM119">
        <v>15159794.17</v>
      </c>
      <c r="AN119">
        <v>15346569.539999999</v>
      </c>
      <c r="AO119">
        <v>15559976.27</v>
      </c>
      <c r="AP119">
        <v>15770334.880000001</v>
      </c>
      <c r="AQ119">
        <v>15981641.720000001</v>
      </c>
      <c r="AR119">
        <v>16188152.310000001</v>
      </c>
      <c r="AS119">
        <v>16400363.279999999</v>
      </c>
      <c r="AT119">
        <v>16606284.25</v>
      </c>
      <c r="AU119">
        <v>16813780.460000001</v>
      </c>
      <c r="AV119">
        <v>17022023.620000001</v>
      </c>
      <c r="AW119">
        <v>17237301.800000001</v>
      </c>
    </row>
    <row r="120" spans="2:49" x14ac:dyDescent="0.25">
      <c r="B120" t="s">
        <v>449</v>
      </c>
      <c r="C120">
        <v>583438.22926562198</v>
      </c>
      <c r="D120">
        <v>592805.51875492395</v>
      </c>
      <c r="E120">
        <v>602323.20449999999</v>
      </c>
      <c r="F120">
        <v>629532.47730000003</v>
      </c>
      <c r="G120">
        <v>616318.9889</v>
      </c>
      <c r="H120">
        <v>535624.9608</v>
      </c>
      <c r="I120">
        <v>534370.01760000002</v>
      </c>
      <c r="J120">
        <v>544842.78989999997</v>
      </c>
      <c r="K120">
        <v>520992.13530000002</v>
      </c>
      <c r="L120">
        <v>505540.5355</v>
      </c>
      <c r="M120">
        <v>470231.96759999997</v>
      </c>
      <c r="N120">
        <v>429801.99890000001</v>
      </c>
      <c r="O120">
        <v>414813.45890000003</v>
      </c>
      <c r="P120">
        <v>414311.41580000002</v>
      </c>
      <c r="Q120">
        <v>398880.44280000002</v>
      </c>
      <c r="R120">
        <v>399269.54700000002</v>
      </c>
      <c r="S120">
        <v>398773.0575</v>
      </c>
      <c r="T120">
        <v>402037.39789999998</v>
      </c>
      <c r="U120">
        <v>390622.29190000001</v>
      </c>
      <c r="V120">
        <v>388236.66879999998</v>
      </c>
      <c r="W120">
        <v>408403.09950000001</v>
      </c>
      <c r="X120">
        <v>426004.49109999998</v>
      </c>
      <c r="Y120">
        <v>413685.10509999999</v>
      </c>
      <c r="Z120">
        <v>407631.61099999998</v>
      </c>
      <c r="AA120">
        <v>403608.09740000003</v>
      </c>
      <c r="AB120">
        <v>400203.79249999998</v>
      </c>
      <c r="AC120">
        <v>397386.51370000001</v>
      </c>
      <c r="AD120">
        <v>395498.03090000001</v>
      </c>
      <c r="AE120">
        <v>394184.74939999997</v>
      </c>
      <c r="AF120">
        <v>392975.79609999998</v>
      </c>
      <c r="AG120">
        <v>392178.54369999998</v>
      </c>
      <c r="AH120">
        <v>392284.7366</v>
      </c>
      <c r="AI120">
        <v>393991.96889999998</v>
      </c>
      <c r="AJ120">
        <v>395335.44890000002</v>
      </c>
      <c r="AK120">
        <v>397427.24570000003</v>
      </c>
      <c r="AL120">
        <v>399472.29320000001</v>
      </c>
      <c r="AM120">
        <v>401246.70909999998</v>
      </c>
      <c r="AN120">
        <v>401290.99229999998</v>
      </c>
      <c r="AO120">
        <v>402179.21179999999</v>
      </c>
      <c r="AP120">
        <v>402985.01329999999</v>
      </c>
      <c r="AQ120">
        <v>404330.86560000002</v>
      </c>
      <c r="AR120">
        <v>405022.94290000002</v>
      </c>
      <c r="AS120">
        <v>406064.81280000001</v>
      </c>
      <c r="AT120">
        <v>407107.902</v>
      </c>
      <c r="AU120">
        <v>407903.73749999999</v>
      </c>
      <c r="AV120">
        <v>408603.73619999998</v>
      </c>
      <c r="AW120">
        <v>412610.79350000003</v>
      </c>
    </row>
    <row r="121" spans="2:49" x14ac:dyDescent="0.25">
      <c r="B121" t="s">
        <v>450</v>
      </c>
      <c r="C121">
        <v>640997.091904014</v>
      </c>
      <c r="D121">
        <v>651288.50755091803</v>
      </c>
      <c r="E121">
        <v>661996.35600000003</v>
      </c>
      <c r="F121">
        <v>674155.99380000005</v>
      </c>
      <c r="G121">
        <v>633606.37</v>
      </c>
      <c r="H121">
        <v>621189.72939999995</v>
      </c>
      <c r="I121">
        <v>628965.16359999997</v>
      </c>
      <c r="J121">
        <v>603138.81920000003</v>
      </c>
      <c r="K121">
        <v>567574.37679999997</v>
      </c>
      <c r="L121">
        <v>571675.22129999998</v>
      </c>
      <c r="M121">
        <v>581094.93689999997</v>
      </c>
      <c r="N121">
        <v>610746.51170000003</v>
      </c>
      <c r="O121">
        <v>646053.64820000005</v>
      </c>
      <c r="P121">
        <v>659772.75179999997</v>
      </c>
      <c r="Q121">
        <v>614623.97279999999</v>
      </c>
      <c r="R121">
        <v>631888.63489999995</v>
      </c>
      <c r="S121">
        <v>633113.54269999999</v>
      </c>
      <c r="T121">
        <v>632170.50179999997</v>
      </c>
      <c r="U121">
        <v>630992.02960000001</v>
      </c>
      <c r="V121">
        <v>633848.83109999995</v>
      </c>
      <c r="W121">
        <v>635012.23759999999</v>
      </c>
      <c r="X121">
        <v>631345.41570000001</v>
      </c>
      <c r="Y121">
        <v>634195.39549999998</v>
      </c>
      <c r="Z121">
        <v>639232.69240000006</v>
      </c>
      <c r="AA121">
        <v>645318.99170000001</v>
      </c>
      <c r="AB121">
        <v>651386.46519999998</v>
      </c>
      <c r="AC121">
        <v>657691.57460000005</v>
      </c>
      <c r="AD121">
        <v>662548.61069999996</v>
      </c>
      <c r="AE121">
        <v>665945.78260000004</v>
      </c>
      <c r="AF121">
        <v>670567.43999999994</v>
      </c>
      <c r="AG121">
        <v>675636.8014</v>
      </c>
      <c r="AH121">
        <v>679691.56579999998</v>
      </c>
      <c r="AI121">
        <v>686861.30319999997</v>
      </c>
      <c r="AJ121">
        <v>693899.7415</v>
      </c>
      <c r="AK121">
        <v>700749.28209999995</v>
      </c>
      <c r="AL121">
        <v>707712.17449999996</v>
      </c>
      <c r="AM121">
        <v>714701.00959999999</v>
      </c>
      <c r="AN121">
        <v>720308.52529999998</v>
      </c>
      <c r="AO121">
        <v>726349.2844</v>
      </c>
      <c r="AP121">
        <v>732363.80299999996</v>
      </c>
      <c r="AQ121">
        <v>738443.5649</v>
      </c>
      <c r="AR121">
        <v>744536.9571</v>
      </c>
      <c r="AS121">
        <v>750270.73</v>
      </c>
      <c r="AT121">
        <v>756187.59389999998</v>
      </c>
      <c r="AU121">
        <v>762197.00989999995</v>
      </c>
      <c r="AV121">
        <v>768227.00950000004</v>
      </c>
      <c r="AW121">
        <v>774490.67790000001</v>
      </c>
    </row>
    <row r="122" spans="2:49" x14ac:dyDescent="0.25">
      <c r="B122" t="s">
        <v>451</v>
      </c>
      <c r="C122">
        <v>2194958.1052306499</v>
      </c>
      <c r="D122">
        <v>2230198.86758945</v>
      </c>
      <c r="E122">
        <v>2254498.5079999999</v>
      </c>
      <c r="F122">
        <v>2243121.7140000002</v>
      </c>
      <c r="G122">
        <v>2234427.3110000002</v>
      </c>
      <c r="H122">
        <v>2230668.648</v>
      </c>
      <c r="I122">
        <v>2237589.5419999999</v>
      </c>
      <c r="J122">
        <v>2251864.8229999999</v>
      </c>
      <c r="K122">
        <v>2253914.2689999999</v>
      </c>
      <c r="L122">
        <v>2252314.145</v>
      </c>
      <c r="M122">
        <v>2267086.0350000001</v>
      </c>
      <c r="N122">
        <v>2246024.2549999999</v>
      </c>
      <c r="O122">
        <v>2273881.8760000002</v>
      </c>
      <c r="P122">
        <v>2296366.9679999999</v>
      </c>
      <c r="Q122">
        <v>2325273.67</v>
      </c>
      <c r="R122">
        <v>2354810.1979999999</v>
      </c>
      <c r="S122">
        <v>2353561.1430000002</v>
      </c>
      <c r="T122">
        <v>2328295.5580000002</v>
      </c>
      <c r="U122">
        <v>2320856.7050000001</v>
      </c>
      <c r="V122">
        <v>2318659.017</v>
      </c>
      <c r="W122">
        <v>2324993.1260000002</v>
      </c>
      <c r="X122">
        <v>2301553.3670000001</v>
      </c>
      <c r="Y122">
        <v>2277212.074</v>
      </c>
      <c r="Z122">
        <v>2251621.3319999999</v>
      </c>
      <c r="AA122">
        <v>2227818.96</v>
      </c>
      <c r="AB122">
        <v>2203607.9890000001</v>
      </c>
      <c r="AC122">
        <v>2178569.83</v>
      </c>
      <c r="AD122">
        <v>2150385.1850000001</v>
      </c>
      <c r="AE122">
        <v>2115119.344</v>
      </c>
      <c r="AF122">
        <v>2082865.5290000001</v>
      </c>
      <c r="AG122">
        <v>2051738.4879999999</v>
      </c>
      <c r="AH122">
        <v>2015179.392</v>
      </c>
      <c r="AI122">
        <v>2003066.2279999999</v>
      </c>
      <c r="AJ122">
        <v>1990164.9480000001</v>
      </c>
      <c r="AK122">
        <v>1976664.861</v>
      </c>
      <c r="AL122">
        <v>1962913.1640000001</v>
      </c>
      <c r="AM122">
        <v>1948761.61</v>
      </c>
      <c r="AN122">
        <v>1948268.629</v>
      </c>
      <c r="AO122">
        <v>1948463.6669999999</v>
      </c>
      <c r="AP122">
        <v>1948966.4920000001</v>
      </c>
      <c r="AQ122">
        <v>1949445.0490000001</v>
      </c>
      <c r="AR122">
        <v>1949677.9709999999</v>
      </c>
      <c r="AS122">
        <v>1957401.433</v>
      </c>
      <c r="AT122">
        <v>1965379.145</v>
      </c>
      <c r="AU122">
        <v>1973488.0060000001</v>
      </c>
      <c r="AV122">
        <v>1981679.9739999999</v>
      </c>
      <c r="AW122">
        <v>1990334.3130000001</v>
      </c>
    </row>
    <row r="123" spans="2:49" x14ac:dyDescent="0.25">
      <c r="B123" t="s">
        <v>452</v>
      </c>
      <c r="C123">
        <v>48301536.741083004</v>
      </c>
      <c r="D123">
        <v>49077033.537035801</v>
      </c>
      <c r="E123">
        <v>49922164.840000004</v>
      </c>
      <c r="F123">
        <v>49623071.32</v>
      </c>
      <c r="G123">
        <v>48649684.859999999</v>
      </c>
      <c r="H123">
        <v>46898873.25</v>
      </c>
      <c r="I123">
        <v>46511895.030000001</v>
      </c>
      <c r="J123">
        <v>46216129.140000001</v>
      </c>
      <c r="K123">
        <v>45634393.359999999</v>
      </c>
      <c r="L123">
        <v>44782812.100000001</v>
      </c>
      <c r="M123">
        <v>44313096.07</v>
      </c>
      <c r="N123">
        <v>43781031.149999999</v>
      </c>
      <c r="O123">
        <v>43732161.18</v>
      </c>
      <c r="P123">
        <v>43896352.18</v>
      </c>
      <c r="Q123">
        <v>43297090.270000003</v>
      </c>
      <c r="R123">
        <v>42715224.280000001</v>
      </c>
      <c r="S123">
        <v>42164196.07</v>
      </c>
      <c r="T123">
        <v>42890493.149999999</v>
      </c>
      <c r="U123">
        <v>42958181.659999996</v>
      </c>
      <c r="V123">
        <v>43492068.240000002</v>
      </c>
      <c r="W123">
        <v>43883920.5</v>
      </c>
      <c r="X123">
        <v>43902345.68</v>
      </c>
      <c r="Y123">
        <v>43757584.600000001</v>
      </c>
      <c r="Z123">
        <v>43842820.020000003</v>
      </c>
      <c r="AA123">
        <v>43988955.450000003</v>
      </c>
      <c r="AB123">
        <v>44166150.840000004</v>
      </c>
      <c r="AC123">
        <v>44384091.340000004</v>
      </c>
      <c r="AD123">
        <v>44160814.310000002</v>
      </c>
      <c r="AE123">
        <v>43961713.859999999</v>
      </c>
      <c r="AF123">
        <v>43796320.009999998</v>
      </c>
      <c r="AG123">
        <v>43652977.229999997</v>
      </c>
      <c r="AH123">
        <v>43513862.520000003</v>
      </c>
      <c r="AI123">
        <v>43577691.659999996</v>
      </c>
      <c r="AJ123">
        <v>43644816.219999999</v>
      </c>
      <c r="AK123">
        <v>43714070.299999997</v>
      </c>
      <c r="AL123">
        <v>43783911.909999996</v>
      </c>
      <c r="AM123">
        <v>43842505.869999997</v>
      </c>
      <c r="AN123">
        <v>44151600.020000003</v>
      </c>
      <c r="AO123">
        <v>44505272.960000001</v>
      </c>
      <c r="AP123">
        <v>44851760</v>
      </c>
      <c r="AQ123">
        <v>45195692.460000001</v>
      </c>
      <c r="AR123">
        <v>45526335.890000001</v>
      </c>
      <c r="AS123">
        <v>46071805.030000001</v>
      </c>
      <c r="AT123">
        <v>46609061.969999999</v>
      </c>
      <c r="AU123">
        <v>47151391.539999999</v>
      </c>
      <c r="AV123">
        <v>47697039.030000001</v>
      </c>
      <c r="AW123">
        <v>48265330.600000001</v>
      </c>
    </row>
    <row r="124" spans="2:49" x14ac:dyDescent="0.25">
      <c r="B124" t="s">
        <v>453</v>
      </c>
      <c r="C124">
        <v>9397840.0105028208</v>
      </c>
      <c r="D124">
        <v>9548725.3716889191</v>
      </c>
      <c r="E124">
        <v>9705874.77999999</v>
      </c>
      <c r="F124">
        <v>11072178.859999999</v>
      </c>
      <c r="G124">
        <v>9338846.12099999</v>
      </c>
      <c r="H124">
        <v>6731753.125</v>
      </c>
      <c r="I124">
        <v>7984601.7400000002</v>
      </c>
      <c r="J124">
        <v>6289437.8530000001</v>
      </c>
      <c r="K124">
        <v>7287019.4139999999</v>
      </c>
      <c r="L124">
        <v>6539071.9890000001</v>
      </c>
      <c r="M124">
        <v>6551361.8380000005</v>
      </c>
      <c r="N124">
        <v>6711206.1459999997</v>
      </c>
      <c r="O124">
        <v>6115191.1579999998</v>
      </c>
      <c r="P124">
        <v>6474538.4299999997</v>
      </c>
      <c r="Q124">
        <v>6360671.4270000001</v>
      </c>
      <c r="R124">
        <v>6474351.4220000003</v>
      </c>
      <c r="S124">
        <v>6467265.3559999997</v>
      </c>
      <c r="T124">
        <v>6370620.2029999997</v>
      </c>
      <c r="U124">
        <v>6402733.3310000002</v>
      </c>
      <c r="V124">
        <v>6480224.6289999997</v>
      </c>
      <c r="W124">
        <v>6534381.4189999998</v>
      </c>
      <c r="X124">
        <v>6562066.2249999996</v>
      </c>
      <c r="Y124">
        <v>6610270.8669999996</v>
      </c>
      <c r="Z124">
        <v>6675571.1710000001</v>
      </c>
      <c r="AA124">
        <v>6747108.8250000002</v>
      </c>
      <c r="AB124">
        <v>6820803.9100000001</v>
      </c>
      <c r="AC124">
        <v>6898802.0300000003</v>
      </c>
      <c r="AD124">
        <v>6968054.2359999996</v>
      </c>
      <c r="AE124">
        <v>7039406.0829999996</v>
      </c>
      <c r="AF124">
        <v>7117096.4299999997</v>
      </c>
      <c r="AG124">
        <v>7201432.8799999999</v>
      </c>
      <c r="AH124">
        <v>7290987.6699999999</v>
      </c>
      <c r="AI124">
        <v>7393116.1330000004</v>
      </c>
      <c r="AJ124">
        <v>7503121.4359999998</v>
      </c>
      <c r="AK124">
        <v>7616575.0070000002</v>
      </c>
      <c r="AL124">
        <v>7734228.7699999996</v>
      </c>
      <c r="AM124">
        <v>7854539.2960000001</v>
      </c>
      <c r="AN124">
        <v>7970136.3470000001</v>
      </c>
      <c r="AO124">
        <v>8092787.1780000003</v>
      </c>
      <c r="AP124">
        <v>8215652.8119999999</v>
      </c>
      <c r="AQ124">
        <v>8339093.2450000001</v>
      </c>
      <c r="AR124">
        <v>8461085.4079999998</v>
      </c>
      <c r="AS124">
        <v>8582160.5889999997</v>
      </c>
      <c r="AT124">
        <v>8703825.88199999</v>
      </c>
      <c r="AU124">
        <v>8827319.3859999999</v>
      </c>
      <c r="AV124">
        <v>8951928.4309999999</v>
      </c>
      <c r="AW124">
        <v>9080227.4800000004</v>
      </c>
    </row>
    <row r="125" spans="2:49" x14ac:dyDescent="0.25">
      <c r="B125" t="s">
        <v>454</v>
      </c>
      <c r="C125">
        <v>2784044.1169573502</v>
      </c>
      <c r="D125">
        <v>2828742.8457796802</v>
      </c>
      <c r="E125">
        <v>2875233.8760000002</v>
      </c>
      <c r="F125">
        <v>2985460.3080000002</v>
      </c>
      <c r="G125">
        <v>2966103.074</v>
      </c>
      <c r="H125">
        <v>2435010.4270000001</v>
      </c>
      <c r="I125">
        <v>2461098.2779999999</v>
      </c>
      <c r="J125">
        <v>2571423.781</v>
      </c>
      <c r="K125">
        <v>2509770.4210000001</v>
      </c>
      <c r="L125">
        <v>2438549.057</v>
      </c>
      <c r="M125">
        <v>2433694.483</v>
      </c>
      <c r="N125">
        <v>2562163.196</v>
      </c>
      <c r="O125">
        <v>2555727.4550000001</v>
      </c>
      <c r="P125">
        <v>2549515.4679999999</v>
      </c>
      <c r="Q125">
        <v>2627296.2310000001</v>
      </c>
      <c r="R125">
        <v>2660438.7820000001</v>
      </c>
      <c r="S125">
        <v>2624045.1880000001</v>
      </c>
      <c r="T125">
        <v>2573657.87</v>
      </c>
      <c r="U125">
        <v>2539746.4539999999</v>
      </c>
      <c r="V125">
        <v>2512080.6009999998</v>
      </c>
      <c r="W125">
        <v>2511065.145</v>
      </c>
      <c r="X125">
        <v>2494296.196</v>
      </c>
      <c r="Y125">
        <v>2498414.6260000002</v>
      </c>
      <c r="Z125">
        <v>2509658.1869999999</v>
      </c>
      <c r="AA125">
        <v>2530759.088</v>
      </c>
      <c r="AB125">
        <v>2555431.7749999999</v>
      </c>
      <c r="AC125">
        <v>2581803.5950000002</v>
      </c>
      <c r="AD125">
        <v>2605278.36</v>
      </c>
      <c r="AE125">
        <v>2628499.142</v>
      </c>
      <c r="AF125">
        <v>2655972.301</v>
      </c>
      <c r="AG125">
        <v>2686979.79</v>
      </c>
      <c r="AH125">
        <v>2720902.0210000002</v>
      </c>
      <c r="AI125">
        <v>2760799.1770000001</v>
      </c>
      <c r="AJ125">
        <v>2804415.7069999999</v>
      </c>
      <c r="AK125">
        <v>2848989.9079999998</v>
      </c>
      <c r="AL125">
        <v>2895499.2230000002</v>
      </c>
      <c r="AM125">
        <v>2942889.3160000001</v>
      </c>
      <c r="AN125">
        <v>2983007.247</v>
      </c>
      <c r="AO125">
        <v>3022411.5750000002</v>
      </c>
      <c r="AP125">
        <v>3061422.1009999998</v>
      </c>
      <c r="AQ125">
        <v>3099684.037</v>
      </c>
      <c r="AR125">
        <v>3136817.0580000002</v>
      </c>
      <c r="AS125">
        <v>3176852.2069999999</v>
      </c>
      <c r="AT125">
        <v>3217685.1740000001</v>
      </c>
      <c r="AU125">
        <v>3258893.7390000001</v>
      </c>
      <c r="AV125">
        <v>3300210.7749999999</v>
      </c>
      <c r="AW125">
        <v>3342777.9419999998</v>
      </c>
    </row>
    <row r="126" spans="2:49" x14ac:dyDescent="0.25">
      <c r="B126" t="s">
        <v>455</v>
      </c>
      <c r="C126">
        <v>20640520.667746101</v>
      </c>
      <c r="D126">
        <v>20971910.903432399</v>
      </c>
      <c r="E126">
        <v>21313932.760000002</v>
      </c>
      <c r="F126">
        <v>22213166.170000002</v>
      </c>
      <c r="G126">
        <v>21958879.789999999</v>
      </c>
      <c r="H126">
        <v>21691656.050000001</v>
      </c>
      <c r="I126">
        <v>22255344.539999999</v>
      </c>
      <c r="J126">
        <v>22103264.309999999</v>
      </c>
      <c r="K126">
        <v>21469973.260000002</v>
      </c>
      <c r="L126">
        <v>21499544.010000002</v>
      </c>
      <c r="M126">
        <v>22255053.5</v>
      </c>
      <c r="N126">
        <v>23848944.280000001</v>
      </c>
      <c r="O126">
        <v>23785279.57</v>
      </c>
      <c r="P126">
        <v>22880834.739999998</v>
      </c>
      <c r="Q126">
        <v>21140180.079999998</v>
      </c>
      <c r="R126">
        <v>19869032.129999999</v>
      </c>
      <c r="S126">
        <v>18823468.530000001</v>
      </c>
      <c r="T126">
        <v>18260162.43</v>
      </c>
      <c r="U126" s="100">
        <v>17743168.219999999</v>
      </c>
      <c r="V126">
        <v>17226231.579999998</v>
      </c>
      <c r="W126">
        <v>17491219.32</v>
      </c>
      <c r="X126">
        <v>17729403.309999999</v>
      </c>
      <c r="Y126">
        <v>17471337.140000001</v>
      </c>
      <c r="Z126">
        <v>17210273.359999999</v>
      </c>
      <c r="AA126">
        <v>16951154.870000001</v>
      </c>
      <c r="AB126">
        <v>16694839.24</v>
      </c>
      <c r="AC126">
        <v>16440288.15</v>
      </c>
      <c r="AD126">
        <v>16201184.84</v>
      </c>
      <c r="AE126">
        <v>15954306.970000001</v>
      </c>
      <c r="AF126">
        <v>15700804.07</v>
      </c>
      <c r="AG126">
        <v>15447034.460000001</v>
      </c>
      <c r="AH126">
        <v>15194485.48</v>
      </c>
      <c r="AI126">
        <v>14985383.859999999</v>
      </c>
      <c r="AJ126">
        <v>14776577.99</v>
      </c>
      <c r="AK126">
        <v>14571440.560000001</v>
      </c>
      <c r="AL126">
        <v>14367244.460000001</v>
      </c>
      <c r="AM126">
        <v>14165746.539999999</v>
      </c>
      <c r="AN126">
        <v>13954079.029999999</v>
      </c>
      <c r="AO126">
        <v>13749176</v>
      </c>
      <c r="AP126">
        <v>13548599.85</v>
      </c>
      <c r="AQ126">
        <v>13351514.27</v>
      </c>
      <c r="AR126">
        <v>13157910.720000001</v>
      </c>
      <c r="AS126">
        <v>12964459.859999999</v>
      </c>
      <c r="AT126">
        <v>12774891.76</v>
      </c>
      <c r="AU126">
        <v>12587181.59</v>
      </c>
      <c r="AV126">
        <v>12401641.310000001</v>
      </c>
      <c r="AW126">
        <v>12218138.369999999</v>
      </c>
    </row>
    <row r="127" spans="2:49" x14ac:dyDescent="0.25">
      <c r="B127" t="s">
        <v>456</v>
      </c>
      <c r="C127">
        <v>261855678.291933</v>
      </c>
      <c r="D127">
        <v>266059855.90652901</v>
      </c>
      <c r="E127">
        <v>270442862.30000001</v>
      </c>
      <c r="F127">
        <v>272112340.89999998</v>
      </c>
      <c r="G127">
        <v>256685393.90000001</v>
      </c>
      <c r="H127">
        <v>238216576.40000001</v>
      </c>
      <c r="I127">
        <v>235200602.19999999</v>
      </c>
      <c r="J127">
        <v>228636086.80000001</v>
      </c>
      <c r="K127">
        <v>218673859.19999999</v>
      </c>
      <c r="L127">
        <v>212858368.09999999</v>
      </c>
      <c r="M127">
        <v>212015551.19999999</v>
      </c>
      <c r="N127">
        <v>213857371.80000001</v>
      </c>
      <c r="O127">
        <v>205094093.30000001</v>
      </c>
      <c r="P127">
        <v>197526016.59999999</v>
      </c>
      <c r="Q127">
        <v>186417699.90000001</v>
      </c>
      <c r="R127">
        <v>178818605.19999999</v>
      </c>
      <c r="S127">
        <v>171823830.90000001</v>
      </c>
      <c r="T127">
        <v>170757102.59999999</v>
      </c>
      <c r="U127">
        <v>168520312.80000001</v>
      </c>
      <c r="V127">
        <v>167719564.90000001</v>
      </c>
      <c r="W127">
        <v>168594791.5</v>
      </c>
      <c r="X127">
        <v>167864727.59999999</v>
      </c>
      <c r="Y127">
        <v>167630319.90000001</v>
      </c>
      <c r="Z127">
        <v>168702762</v>
      </c>
      <c r="AA127">
        <v>170212809</v>
      </c>
      <c r="AB127">
        <v>172098212.09999999</v>
      </c>
      <c r="AC127">
        <v>174335249.5</v>
      </c>
      <c r="AD127">
        <v>174378516.30000001</v>
      </c>
      <c r="AE127">
        <v>174536100</v>
      </c>
      <c r="AF127">
        <v>174802107.69999999</v>
      </c>
      <c r="AG127">
        <v>175200160.59999999</v>
      </c>
      <c r="AH127">
        <v>175695588.90000001</v>
      </c>
      <c r="AI127">
        <v>176690047.40000001</v>
      </c>
      <c r="AJ127">
        <v>177736426.09999999</v>
      </c>
      <c r="AK127">
        <v>178843207.30000001</v>
      </c>
      <c r="AL127">
        <v>180032386.80000001</v>
      </c>
      <c r="AM127">
        <v>181222123.90000001</v>
      </c>
      <c r="AN127">
        <v>181896524.19999999</v>
      </c>
      <c r="AO127">
        <v>182582321.59999999</v>
      </c>
      <c r="AP127">
        <v>183202558.90000001</v>
      </c>
      <c r="AQ127">
        <v>183805458.09999999</v>
      </c>
      <c r="AR127">
        <v>184340402.69999999</v>
      </c>
      <c r="AS127">
        <v>186260128</v>
      </c>
      <c r="AT127">
        <v>188329270</v>
      </c>
      <c r="AU127">
        <v>190421579.40000001</v>
      </c>
      <c r="AV127">
        <v>192507134.90000001</v>
      </c>
      <c r="AW127">
        <v>194665958.59999999</v>
      </c>
    </row>
    <row r="128" spans="2:49" x14ac:dyDescent="0.25">
      <c r="B128" t="s">
        <v>457</v>
      </c>
      <c r="C128">
        <v>5733144.4507061103</v>
      </c>
      <c r="D128">
        <v>5825191.9393003099</v>
      </c>
      <c r="E128">
        <v>5919233.7230000002</v>
      </c>
      <c r="F128">
        <v>6055548.5259999996</v>
      </c>
      <c r="G128">
        <v>6007230.5489999996</v>
      </c>
      <c r="H128">
        <v>6295205.0930000003</v>
      </c>
      <c r="I128">
        <v>6418654.6430000002</v>
      </c>
      <c r="J128">
        <v>6379219.9720000001</v>
      </c>
      <c r="K128">
        <v>6254065.7429999998</v>
      </c>
      <c r="L128">
        <v>6321660.8710000003</v>
      </c>
      <c r="M128">
        <v>6531245.8159999996</v>
      </c>
      <c r="N128">
        <v>6987254.9249999998</v>
      </c>
      <c r="O128">
        <v>7057155.2800000003</v>
      </c>
      <c r="P128">
        <v>6768032.0219999999</v>
      </c>
      <c r="Q128">
        <v>6138992.9380000001</v>
      </c>
      <c r="R128">
        <v>5701869.926</v>
      </c>
      <c r="S128">
        <v>5368460.9720000001</v>
      </c>
      <c r="T128">
        <v>5131437.9939999999</v>
      </c>
      <c r="U128">
        <v>4913796.4210000001</v>
      </c>
      <c r="V128">
        <v>4695235.824</v>
      </c>
      <c r="W128">
        <v>4842677.6619999995</v>
      </c>
      <c r="X128">
        <v>4972707.1210000003</v>
      </c>
      <c r="Y128">
        <v>4875841.625</v>
      </c>
      <c r="Z128">
        <v>4780032.79</v>
      </c>
      <c r="AA128">
        <v>4686840.6880000001</v>
      </c>
      <c r="AB128">
        <v>4596168.273</v>
      </c>
      <c r="AC128">
        <v>4507418.0779999997</v>
      </c>
      <c r="AD128">
        <v>4425843.3990000002</v>
      </c>
      <c r="AE128">
        <v>4342307.8339999998</v>
      </c>
      <c r="AF128">
        <v>4257162.0750000002</v>
      </c>
      <c r="AG128">
        <v>4172618.45</v>
      </c>
      <c r="AH128">
        <v>4089185.9589999998</v>
      </c>
      <c r="AI128">
        <v>4023752.6779999998</v>
      </c>
      <c r="AJ128">
        <v>3958747</v>
      </c>
      <c r="AK128">
        <v>3895294.2289999998</v>
      </c>
      <c r="AL128">
        <v>3832352.2969999998</v>
      </c>
      <c r="AM128">
        <v>3770550.4270000001</v>
      </c>
      <c r="AN128">
        <v>3704450.6370000001</v>
      </c>
      <c r="AO128">
        <v>3640493.926</v>
      </c>
      <c r="AP128">
        <v>3577908.4670000002</v>
      </c>
      <c r="AQ128">
        <v>3516434.4219999998</v>
      </c>
      <c r="AR128">
        <v>3456086.5720000002</v>
      </c>
      <c r="AS128">
        <v>3395698.94</v>
      </c>
      <c r="AT128">
        <v>3336585.7749999999</v>
      </c>
      <c r="AU128">
        <v>3278057.26</v>
      </c>
      <c r="AV128">
        <v>3220225.0469999998</v>
      </c>
      <c r="AW128">
        <v>3163047.659</v>
      </c>
    </row>
    <row r="129" spans="2:49" x14ac:dyDescent="0.25">
      <c r="B129" t="s">
        <v>458</v>
      </c>
      <c r="C129">
        <v>746221.21464997705</v>
      </c>
      <c r="D129">
        <v>758202.03762327298</v>
      </c>
      <c r="E129">
        <v>770375.21660000004</v>
      </c>
      <c r="F129">
        <v>784831.66059999994</v>
      </c>
      <c r="G129">
        <v>645499.46719999996</v>
      </c>
      <c r="H129">
        <v>572683.96979999996</v>
      </c>
      <c r="I129">
        <v>365249.06479999999</v>
      </c>
      <c r="J129">
        <v>367471.40039999998</v>
      </c>
      <c r="K129">
        <v>338640.03200000001</v>
      </c>
      <c r="L129">
        <v>333403.12890000001</v>
      </c>
      <c r="M129">
        <v>335895.39279999997</v>
      </c>
      <c r="N129">
        <v>324685.8995</v>
      </c>
      <c r="O129">
        <v>273959.26</v>
      </c>
      <c r="P129">
        <v>233634.7561</v>
      </c>
      <c r="Q129">
        <v>203867.1496</v>
      </c>
      <c r="R129">
        <v>181125.68909999999</v>
      </c>
      <c r="S129">
        <v>160487.71040000001</v>
      </c>
      <c r="T129">
        <v>153057.88759999999</v>
      </c>
      <c r="U129">
        <v>142161.921</v>
      </c>
      <c r="V129">
        <v>134253.49110000001</v>
      </c>
      <c r="W129">
        <v>123788.08500000001</v>
      </c>
      <c r="X129">
        <v>113308.9712</v>
      </c>
      <c r="Y129">
        <v>109887.0753</v>
      </c>
      <c r="Z129">
        <v>109490.6345</v>
      </c>
      <c r="AA129">
        <v>109864.6629</v>
      </c>
      <c r="AB129">
        <v>110486.9224</v>
      </c>
      <c r="AC129">
        <v>111346.5484</v>
      </c>
      <c r="AD129">
        <v>111560.7555</v>
      </c>
      <c r="AE129">
        <v>111976.1173</v>
      </c>
      <c r="AF129">
        <v>112512.0322</v>
      </c>
      <c r="AG129">
        <v>113122.50049999999</v>
      </c>
      <c r="AH129">
        <v>113941.26949999999</v>
      </c>
      <c r="AI129">
        <v>114771.60769999999</v>
      </c>
      <c r="AJ129">
        <v>115534.1406</v>
      </c>
      <c r="AK129">
        <v>116450.0298</v>
      </c>
      <c r="AL129">
        <v>117366.9708</v>
      </c>
      <c r="AM129">
        <v>118223.7316</v>
      </c>
      <c r="AN129">
        <v>115573.0675</v>
      </c>
      <c r="AO129">
        <v>112441.98020000001</v>
      </c>
      <c r="AP129">
        <v>109187.9892</v>
      </c>
      <c r="AQ129">
        <v>106043.1793</v>
      </c>
      <c r="AR129">
        <v>102800.69349999999</v>
      </c>
      <c r="AS129">
        <v>101302.05869999999</v>
      </c>
      <c r="AT129">
        <v>100098.9108</v>
      </c>
      <c r="AU129">
        <v>98908.951889999997</v>
      </c>
      <c r="AV129">
        <v>97714.546979999999</v>
      </c>
      <c r="AW129">
        <v>96891.116179999997</v>
      </c>
    </row>
    <row r="130" spans="2:49" x14ac:dyDescent="0.25">
      <c r="B130" t="s">
        <v>459</v>
      </c>
      <c r="C130">
        <v>480333.66960581898</v>
      </c>
      <c r="D130">
        <v>488045.58203966799</v>
      </c>
      <c r="E130">
        <v>495881.31170000002</v>
      </c>
      <c r="F130">
        <v>500882.20049999998</v>
      </c>
      <c r="G130">
        <v>417045.16009999998</v>
      </c>
      <c r="H130">
        <v>385021.92839999998</v>
      </c>
      <c r="I130">
        <v>347545.03419999999</v>
      </c>
      <c r="J130">
        <v>311245.09350000002</v>
      </c>
      <c r="K130">
        <v>299857.76280000003</v>
      </c>
      <c r="L130">
        <v>320483.58199999999</v>
      </c>
      <c r="M130">
        <v>320559.3493</v>
      </c>
      <c r="N130">
        <v>320096.79889999999</v>
      </c>
      <c r="O130">
        <v>237394.25690000001</v>
      </c>
      <c r="P130">
        <v>181310.9731</v>
      </c>
      <c r="Q130">
        <v>152675.9534</v>
      </c>
      <c r="R130">
        <v>134693.23060000001</v>
      </c>
      <c r="S130">
        <v>119985.1787</v>
      </c>
      <c r="T130">
        <v>118235.21279999999</v>
      </c>
      <c r="U130">
        <v>115939.2402</v>
      </c>
      <c r="V130">
        <v>114438.1954</v>
      </c>
      <c r="W130">
        <v>118621.4887</v>
      </c>
      <c r="X130">
        <v>121854.0699</v>
      </c>
      <c r="Y130">
        <v>129713.02989999999</v>
      </c>
      <c r="Z130">
        <v>140442.36069999999</v>
      </c>
      <c r="AA130">
        <v>153127.05110000001</v>
      </c>
      <c r="AB130">
        <v>167999.75829999999</v>
      </c>
      <c r="AC130">
        <v>185701.9662</v>
      </c>
      <c r="AD130">
        <v>186835.2409</v>
      </c>
      <c r="AE130">
        <v>188357.0815</v>
      </c>
      <c r="AF130">
        <v>190084.6256</v>
      </c>
      <c r="AG130">
        <v>191917.04550000001</v>
      </c>
      <c r="AH130">
        <v>193958.16130000001</v>
      </c>
      <c r="AI130">
        <v>196244.09779999999</v>
      </c>
      <c r="AJ130">
        <v>198619.24340000001</v>
      </c>
      <c r="AK130">
        <v>201085.2966</v>
      </c>
      <c r="AL130">
        <v>203620.71789999999</v>
      </c>
      <c r="AM130">
        <v>206162.85079999999</v>
      </c>
      <c r="AN130">
        <v>204969.11180000001</v>
      </c>
      <c r="AO130">
        <v>203028.37599999999</v>
      </c>
      <c r="AP130">
        <v>200675.0865</v>
      </c>
      <c r="AQ130">
        <v>198068.66740000001</v>
      </c>
      <c r="AR130">
        <v>195177.98929999999</v>
      </c>
      <c r="AS130">
        <v>194439.85029999999</v>
      </c>
      <c r="AT130">
        <v>193983.8285</v>
      </c>
      <c r="AU130">
        <v>193527.77549999999</v>
      </c>
      <c r="AV130">
        <v>193004.59659999999</v>
      </c>
      <c r="AW130">
        <v>192450.58979999999</v>
      </c>
    </row>
    <row r="131" spans="2:49" x14ac:dyDescent="0.25">
      <c r="B131" t="s">
        <v>460</v>
      </c>
      <c r="C131">
        <v>1469582.3108926199</v>
      </c>
      <c r="D131">
        <v>1493176.93024387</v>
      </c>
      <c r="E131">
        <v>1517150.3689999999</v>
      </c>
      <c r="F131">
        <v>1533735.541</v>
      </c>
      <c r="G131">
        <v>1321722.6259999999</v>
      </c>
      <c r="H131">
        <v>1268139.5689999999</v>
      </c>
      <c r="I131">
        <v>968904.17110000004</v>
      </c>
      <c r="J131">
        <v>893152.36289999995</v>
      </c>
      <c r="K131">
        <v>889473.34010000003</v>
      </c>
      <c r="L131">
        <v>942277.20620000002</v>
      </c>
      <c r="M131">
        <v>942407.37829999998</v>
      </c>
      <c r="N131">
        <v>944476.99690000003</v>
      </c>
      <c r="O131">
        <v>719672.59790000005</v>
      </c>
      <c r="P131">
        <v>561272.54929999996</v>
      </c>
      <c r="Q131">
        <v>475473.31229999999</v>
      </c>
      <c r="R131">
        <v>429790.98239999998</v>
      </c>
      <c r="S131">
        <v>378564.97</v>
      </c>
      <c r="T131">
        <v>368060.51640000002</v>
      </c>
      <c r="U131">
        <v>354518.27919999999</v>
      </c>
      <c r="V131">
        <v>344081.18579999998</v>
      </c>
      <c r="W131">
        <v>334201.9509</v>
      </c>
      <c r="X131">
        <v>322327.79200000002</v>
      </c>
      <c r="Y131">
        <v>323753.05900000001</v>
      </c>
      <c r="Z131">
        <v>330846.2317</v>
      </c>
      <c r="AA131">
        <v>339953.79969999997</v>
      </c>
      <c r="AB131">
        <v>350946.32270000002</v>
      </c>
      <c r="AC131">
        <v>363942.7549</v>
      </c>
      <c r="AD131">
        <v>368482.8162</v>
      </c>
      <c r="AE131">
        <v>373776.93930000003</v>
      </c>
      <c r="AF131">
        <v>379495.8492</v>
      </c>
      <c r="AG131">
        <v>385456.11810000002</v>
      </c>
      <c r="AH131">
        <v>391862.26370000001</v>
      </c>
      <c r="AI131">
        <v>398914.23129999998</v>
      </c>
      <c r="AJ131">
        <v>406191.66259999998</v>
      </c>
      <c r="AK131">
        <v>413765.85200000001</v>
      </c>
      <c r="AL131">
        <v>421650.08159999998</v>
      </c>
      <c r="AM131">
        <v>429608.73550000001</v>
      </c>
      <c r="AN131">
        <v>428660.67009999999</v>
      </c>
      <c r="AO131">
        <v>426037.18900000001</v>
      </c>
      <c r="AP131">
        <v>422682.28279999999</v>
      </c>
      <c r="AQ131">
        <v>418981.10279999999</v>
      </c>
      <c r="AR131">
        <v>414859.20750000002</v>
      </c>
      <c r="AS131">
        <v>415728.48590000003</v>
      </c>
      <c r="AT131">
        <v>417335.98680000001</v>
      </c>
      <c r="AU131">
        <v>419012.74650000001</v>
      </c>
      <c r="AV131">
        <v>420598.28820000001</v>
      </c>
      <c r="AW131">
        <v>422122.51299999998</v>
      </c>
    </row>
    <row r="132" spans="2:49" x14ac:dyDescent="0.25">
      <c r="B132" t="s">
        <v>461</v>
      </c>
      <c r="C132">
        <v>225722.47732836599</v>
      </c>
      <c r="D132">
        <v>229346.52471387701</v>
      </c>
      <c r="E132">
        <v>233028.7574</v>
      </c>
      <c r="F132">
        <v>236612.7218</v>
      </c>
      <c r="G132">
        <v>214155.27619999999</v>
      </c>
      <c r="H132">
        <v>204028.0607</v>
      </c>
      <c r="I132">
        <v>186532.76879999999</v>
      </c>
      <c r="J132">
        <v>180460.63310000001</v>
      </c>
      <c r="K132">
        <v>182560.00260000001</v>
      </c>
      <c r="L132">
        <v>194292.48069999999</v>
      </c>
      <c r="M132">
        <v>197883.13269999999</v>
      </c>
      <c r="N132">
        <v>202121.02059999999</v>
      </c>
      <c r="O132">
        <v>169152.27040000001</v>
      </c>
      <c r="P132">
        <v>147330.0373</v>
      </c>
      <c r="Q132">
        <v>135376.1721</v>
      </c>
      <c r="R132">
        <v>131402.6746</v>
      </c>
      <c r="S132">
        <v>124091.9065</v>
      </c>
      <c r="T132">
        <v>120899.9676</v>
      </c>
      <c r="U132">
        <v>118936.70389999999</v>
      </c>
      <c r="V132">
        <v>117117.44</v>
      </c>
      <c r="W132">
        <v>114404.66</v>
      </c>
      <c r="X132">
        <v>110532.86320000001</v>
      </c>
      <c r="Y132">
        <v>111087.5876</v>
      </c>
      <c r="Z132">
        <v>112533.06140000001</v>
      </c>
      <c r="AA132">
        <v>114336.0004</v>
      </c>
      <c r="AB132">
        <v>116846.7962</v>
      </c>
      <c r="AC132">
        <v>119689.2972</v>
      </c>
      <c r="AD132">
        <v>120686.70729999999</v>
      </c>
      <c r="AE132">
        <v>121746.60060000001</v>
      </c>
      <c r="AF132">
        <v>122903.59420000001</v>
      </c>
      <c r="AG132">
        <v>124145.54760000001</v>
      </c>
      <c r="AH132">
        <v>125491.3172</v>
      </c>
      <c r="AI132">
        <v>126956.4351</v>
      </c>
      <c r="AJ132">
        <v>128508.93</v>
      </c>
      <c r="AK132">
        <v>130169.34729999999</v>
      </c>
      <c r="AL132">
        <v>132058.17679999999</v>
      </c>
      <c r="AM132">
        <v>133991.97589999999</v>
      </c>
      <c r="AN132">
        <v>133816.05780000001</v>
      </c>
      <c r="AO132">
        <v>133127.7426</v>
      </c>
      <c r="AP132">
        <v>132196.8939</v>
      </c>
      <c r="AQ132">
        <v>131094.16750000001</v>
      </c>
      <c r="AR132">
        <v>129844.35400000001</v>
      </c>
      <c r="AS132">
        <v>129898.5952</v>
      </c>
      <c r="AT132">
        <v>130177.0434</v>
      </c>
      <c r="AU132">
        <v>130467.95540000001</v>
      </c>
      <c r="AV132">
        <v>130722.124</v>
      </c>
      <c r="AW132">
        <v>130929.9142</v>
      </c>
    </row>
    <row r="133" spans="2:49" x14ac:dyDescent="0.25">
      <c r="B133" t="s">
        <v>462</v>
      </c>
      <c r="C133">
        <v>20679763.666016001</v>
      </c>
      <c r="D133">
        <v>21011783.9607329</v>
      </c>
      <c r="E133">
        <v>21361609.239999998</v>
      </c>
      <c r="F133">
        <v>21496865.300000001</v>
      </c>
      <c r="G133">
        <v>18176805.800000001</v>
      </c>
      <c r="H133">
        <v>15176099.039999999</v>
      </c>
      <c r="I133">
        <v>15555308.9</v>
      </c>
      <c r="J133">
        <v>15186907.83</v>
      </c>
      <c r="K133">
        <v>14454035.09</v>
      </c>
      <c r="L133">
        <v>15139783.42</v>
      </c>
      <c r="M133">
        <v>15510405.82</v>
      </c>
      <c r="N133">
        <v>15834622.76</v>
      </c>
      <c r="O133">
        <v>13070944.4</v>
      </c>
      <c r="P133">
        <v>11709054.539999999</v>
      </c>
      <c r="Q133">
        <v>10628376.24</v>
      </c>
      <c r="R133">
        <v>9750257.50699999</v>
      </c>
      <c r="S133">
        <v>9112534.8420000002</v>
      </c>
      <c r="T133">
        <v>9174580.1229999997</v>
      </c>
      <c r="U133">
        <v>9095360.04099999</v>
      </c>
      <c r="V133">
        <v>9152620.4240000006</v>
      </c>
      <c r="W133">
        <v>9088692.8849999998</v>
      </c>
      <c r="X133">
        <v>8943180.7589999996</v>
      </c>
      <c r="Y133">
        <v>8934761.2719999999</v>
      </c>
      <c r="Z133">
        <v>9028232.9350000005</v>
      </c>
      <c r="AA133">
        <v>9144554.2819999997</v>
      </c>
      <c r="AB133">
        <v>9268527.7660000008</v>
      </c>
      <c r="AC133">
        <v>9400600.1530000009</v>
      </c>
      <c r="AD133">
        <v>9398219.4110000003</v>
      </c>
      <c r="AE133">
        <v>9409746.1099999994</v>
      </c>
      <c r="AF133">
        <v>9433230.2699999996</v>
      </c>
      <c r="AG133">
        <v>9465040.0539999995</v>
      </c>
      <c r="AH133">
        <v>9503148.5380000006</v>
      </c>
      <c r="AI133">
        <v>9559882.4810000006</v>
      </c>
      <c r="AJ133">
        <v>9616360.0730000008</v>
      </c>
      <c r="AK133">
        <v>9677240.7310000006</v>
      </c>
      <c r="AL133">
        <v>9740226.2990000006</v>
      </c>
      <c r="AM133">
        <v>9801668.4069999997</v>
      </c>
      <c r="AN133">
        <v>9769299.7320000008</v>
      </c>
      <c r="AO133">
        <v>9728448.6909999996</v>
      </c>
      <c r="AP133">
        <v>9676914.2760000005</v>
      </c>
      <c r="AQ133">
        <v>9620009.9110000003</v>
      </c>
      <c r="AR133">
        <v>9551939.3399999999</v>
      </c>
      <c r="AS133">
        <v>9539762.6860000007</v>
      </c>
      <c r="AT133">
        <v>9532914.3320000004</v>
      </c>
      <c r="AU133">
        <v>9525467.2880000006</v>
      </c>
      <c r="AV133">
        <v>9516314.6150000002</v>
      </c>
      <c r="AW133">
        <v>9511022.5659999996</v>
      </c>
    </row>
    <row r="134" spans="2:49" x14ac:dyDescent="0.25">
      <c r="B134" t="s">
        <v>463</v>
      </c>
      <c r="C134">
        <v>2009388.6600685499</v>
      </c>
      <c r="D134">
        <v>2041650.04496113</v>
      </c>
      <c r="E134">
        <v>2074429.3970000001</v>
      </c>
      <c r="F134">
        <v>2144554.9040000001</v>
      </c>
      <c r="G134">
        <v>1718686.2919999999</v>
      </c>
      <c r="H134">
        <v>1631913.639</v>
      </c>
      <c r="I134">
        <v>1641988.486</v>
      </c>
      <c r="J134">
        <v>1518110.544</v>
      </c>
      <c r="K134">
        <v>1558061.2790000001</v>
      </c>
      <c r="L134">
        <v>1790102.0689999999</v>
      </c>
      <c r="M134">
        <v>1867474.2819999999</v>
      </c>
      <c r="N134">
        <v>1880138.1910000001</v>
      </c>
      <c r="O134">
        <v>1192121.52</v>
      </c>
      <c r="P134">
        <v>820652.16319999995</v>
      </c>
      <c r="Q134">
        <v>660557.46640000003</v>
      </c>
      <c r="R134">
        <v>596594.44649999996</v>
      </c>
      <c r="S134">
        <v>521101.76740000001</v>
      </c>
      <c r="T134">
        <v>527013.49329999997</v>
      </c>
      <c r="U134">
        <v>530750.56960000005</v>
      </c>
      <c r="V134">
        <v>544364.87849999999</v>
      </c>
      <c r="W134">
        <v>556289.74300000002</v>
      </c>
      <c r="X134">
        <v>565318.87289999996</v>
      </c>
      <c r="Y134">
        <v>573972.33759999997</v>
      </c>
      <c r="Z134">
        <v>587552.92200000002</v>
      </c>
      <c r="AA134">
        <v>601696.56759999995</v>
      </c>
      <c r="AB134">
        <v>616184.2794</v>
      </c>
      <c r="AC134">
        <v>631373.4645</v>
      </c>
      <c r="AD134">
        <v>642780.28529999999</v>
      </c>
      <c r="AE134">
        <v>656019.40020000003</v>
      </c>
      <c r="AF134">
        <v>670285.27450000006</v>
      </c>
      <c r="AG134">
        <v>685324.73829999997</v>
      </c>
      <c r="AH134">
        <v>701392.2561</v>
      </c>
      <c r="AI134">
        <v>719140.55790000001</v>
      </c>
      <c r="AJ134">
        <v>737485.00699999998</v>
      </c>
      <c r="AK134">
        <v>756544.27209999994</v>
      </c>
      <c r="AL134">
        <v>776307.70779999997</v>
      </c>
      <c r="AM134">
        <v>796499.19259999995</v>
      </c>
      <c r="AN134">
        <v>816225.54879999999</v>
      </c>
      <c r="AO134">
        <v>837630.11</v>
      </c>
      <c r="AP134">
        <v>859299.61320000002</v>
      </c>
      <c r="AQ134">
        <v>881474.37210000004</v>
      </c>
      <c r="AR134">
        <v>903816.22089999996</v>
      </c>
      <c r="AS134">
        <v>927294.31689999998</v>
      </c>
      <c r="AT134">
        <v>950897.56319999998</v>
      </c>
      <c r="AU134">
        <v>975060.19759999996</v>
      </c>
      <c r="AV134">
        <v>999746.18839999998</v>
      </c>
      <c r="AW134">
        <v>1025364.469</v>
      </c>
    </row>
    <row r="135" spans="2:49" x14ac:dyDescent="0.25">
      <c r="B135" t="s">
        <v>464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465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466</v>
      </c>
      <c r="C137">
        <v>20174774.421468802</v>
      </c>
      <c r="D137">
        <v>20498686.950521201</v>
      </c>
      <c r="E137">
        <v>20827800</v>
      </c>
      <c r="F137">
        <v>19728417.02</v>
      </c>
      <c r="G137">
        <v>18537090.329999998</v>
      </c>
      <c r="H137">
        <v>16322442.32</v>
      </c>
      <c r="I137">
        <v>15247192.5</v>
      </c>
      <c r="J137">
        <v>14382015.380000001</v>
      </c>
      <c r="K137">
        <v>13409740.859999999</v>
      </c>
      <c r="L137">
        <v>12302608.720000001</v>
      </c>
      <c r="M137">
        <v>11244805.630000001</v>
      </c>
      <c r="N137">
        <v>10152463.300000001</v>
      </c>
      <c r="O137">
        <v>8595716.1899999995</v>
      </c>
      <c r="P137">
        <v>7262975.3689999999</v>
      </c>
      <c r="Q137">
        <v>6000199.3839999996</v>
      </c>
      <c r="R137">
        <v>4543883.4610000001</v>
      </c>
      <c r="S137">
        <v>3044063.5780000002</v>
      </c>
      <c r="T137">
        <v>2798327.6869999999</v>
      </c>
      <c r="U137">
        <v>2652136.6439999999</v>
      </c>
      <c r="V137">
        <v>2524922.5</v>
      </c>
      <c r="W137">
        <v>1741774.878</v>
      </c>
      <c r="X137">
        <v>911603.14569999999</v>
      </c>
      <c r="Y137">
        <v>856469.42059999995</v>
      </c>
      <c r="Z137">
        <v>856424.67720000003</v>
      </c>
      <c r="AA137">
        <v>862138.03379999998</v>
      </c>
      <c r="AB137">
        <v>869225.02610000002</v>
      </c>
      <c r="AC137">
        <v>876599.02</v>
      </c>
      <c r="AD137">
        <v>882629.47939999995</v>
      </c>
      <c r="AE137">
        <v>888506.58479999995</v>
      </c>
      <c r="AF137">
        <v>894434.65090000001</v>
      </c>
      <c r="AG137">
        <v>900456.09809999994</v>
      </c>
      <c r="AH137">
        <v>906516.19209999999</v>
      </c>
      <c r="AI137">
        <v>913019.20660000003</v>
      </c>
      <c r="AJ137">
        <v>919544.89850000001</v>
      </c>
      <c r="AK137">
        <v>925862.53700000001</v>
      </c>
      <c r="AL137">
        <v>932043.64650000003</v>
      </c>
      <c r="AM137">
        <v>937930.32570000004</v>
      </c>
      <c r="AN137">
        <v>943309.78170000005</v>
      </c>
      <c r="AO137">
        <v>948379.37349999999</v>
      </c>
      <c r="AP137">
        <v>953071.64729999995</v>
      </c>
      <c r="AQ137">
        <v>957519.57310000004</v>
      </c>
      <c r="AR137">
        <v>961639.85389999999</v>
      </c>
      <c r="AS137">
        <v>965492.59759999998</v>
      </c>
      <c r="AT137">
        <v>969157.30200000003</v>
      </c>
      <c r="AU137">
        <v>972623.14199999999</v>
      </c>
      <c r="AV137">
        <v>975825.00280000002</v>
      </c>
      <c r="AW137">
        <v>979192.08160000003</v>
      </c>
    </row>
    <row r="138" spans="2:49" x14ac:dyDescent="0.25">
      <c r="B138" t="s">
        <v>467</v>
      </c>
      <c r="C138">
        <v>16278956.881142</v>
      </c>
      <c r="D138">
        <v>16540320.799446501</v>
      </c>
      <c r="E138">
        <v>16805881</v>
      </c>
      <c r="F138">
        <v>16657099.779999999</v>
      </c>
      <c r="G138">
        <v>15807545.390000001</v>
      </c>
      <c r="H138">
        <v>15151388.560000001</v>
      </c>
      <c r="I138">
        <v>14670989.970000001</v>
      </c>
      <c r="J138">
        <v>12855429.9</v>
      </c>
      <c r="K138">
        <v>11207601.390000001</v>
      </c>
      <c r="L138">
        <v>9838782.5629999898</v>
      </c>
      <c r="M138">
        <v>8798860.2280000001</v>
      </c>
      <c r="N138">
        <v>7941888.1979999999</v>
      </c>
      <c r="O138">
        <v>7197327.7790000001</v>
      </c>
      <c r="P138">
        <v>6469451.341</v>
      </c>
      <c r="Q138">
        <v>5711303.9740000004</v>
      </c>
      <c r="R138">
        <v>5072925.1550000003</v>
      </c>
      <c r="S138">
        <v>4436184.0990000004</v>
      </c>
      <c r="T138">
        <v>5224098.5279999999</v>
      </c>
      <c r="U138">
        <v>5962559.0530000003</v>
      </c>
      <c r="V138">
        <v>6707099.0619999999</v>
      </c>
      <c r="W138">
        <v>8160575.6569999997</v>
      </c>
      <c r="X138">
        <v>9526528.9130000006</v>
      </c>
      <c r="Y138">
        <v>9650697.13199999</v>
      </c>
      <c r="Z138">
        <v>9812860.3540000003</v>
      </c>
      <c r="AA138">
        <v>9989077.6620000005</v>
      </c>
      <c r="AB138">
        <v>10210114.199999999</v>
      </c>
      <c r="AC138">
        <v>10442103.529999999</v>
      </c>
      <c r="AD138">
        <v>10552625.85</v>
      </c>
      <c r="AE138">
        <v>10658721.300000001</v>
      </c>
      <c r="AF138">
        <v>10765374.99</v>
      </c>
      <c r="AG138">
        <v>10902617.779999999</v>
      </c>
      <c r="AH138">
        <v>11035798.289999999</v>
      </c>
      <c r="AI138">
        <v>11165681.210000001</v>
      </c>
      <c r="AJ138">
        <v>11299079.289999999</v>
      </c>
      <c r="AK138">
        <v>11435412.859999999</v>
      </c>
      <c r="AL138">
        <v>11601647.380000001</v>
      </c>
      <c r="AM138">
        <v>11768214.27</v>
      </c>
      <c r="AN138">
        <v>11845520.960000001</v>
      </c>
      <c r="AO138">
        <v>11922002.619999999</v>
      </c>
      <c r="AP138">
        <v>11995382.369999999</v>
      </c>
      <c r="AQ138">
        <v>12068042.939999999</v>
      </c>
      <c r="AR138">
        <v>12137545.439999999</v>
      </c>
      <c r="AS138">
        <v>12146988.369999999</v>
      </c>
      <c r="AT138">
        <v>12160304.75</v>
      </c>
      <c r="AU138">
        <v>12176040.800000001</v>
      </c>
      <c r="AV138">
        <v>12193629.82</v>
      </c>
      <c r="AW138">
        <v>12217657.02</v>
      </c>
    </row>
    <row r="139" spans="2:49" x14ac:dyDescent="0.25">
      <c r="B139" t="s">
        <v>468</v>
      </c>
      <c r="C139">
        <v>6501803.9853722304</v>
      </c>
      <c r="D139">
        <v>6606192.55142547</v>
      </c>
      <c r="E139">
        <v>6714977.4309999999</v>
      </c>
      <c r="F139">
        <v>6904951.3329999996</v>
      </c>
      <c r="G139">
        <v>6570822.432</v>
      </c>
      <c r="H139">
        <v>6916684.2230000002</v>
      </c>
      <c r="I139">
        <v>7097722.0530000003</v>
      </c>
      <c r="J139">
        <v>6691893.0880000005</v>
      </c>
      <c r="K139">
        <v>6420150.4979999997</v>
      </c>
      <c r="L139">
        <v>6237001.0829999996</v>
      </c>
      <c r="M139">
        <v>6665325.5980000002</v>
      </c>
      <c r="N139">
        <v>7116412.0420000004</v>
      </c>
      <c r="O139">
        <v>7376751.4129999997</v>
      </c>
      <c r="P139">
        <v>7415034.5489999996</v>
      </c>
      <c r="Q139">
        <v>6894028.0939999996</v>
      </c>
      <c r="R139">
        <v>6898848.665</v>
      </c>
      <c r="S139">
        <v>6930277.3640000001</v>
      </c>
      <c r="T139">
        <v>6975857.1229999997</v>
      </c>
      <c r="U139">
        <v>6994989.0310000004</v>
      </c>
      <c r="V139">
        <v>7080174.2939999998</v>
      </c>
      <c r="W139">
        <v>7113232.4189999998</v>
      </c>
      <c r="X139">
        <v>7092634.2379999999</v>
      </c>
      <c r="Y139">
        <v>7165938.2620000001</v>
      </c>
      <c r="Z139">
        <v>7269391.4400000004</v>
      </c>
      <c r="AA139">
        <v>7384427.5779999997</v>
      </c>
      <c r="AB139">
        <v>7501572.7110000001</v>
      </c>
      <c r="AC139">
        <v>7624293.4469999997</v>
      </c>
      <c r="AD139">
        <v>7733518.4859999996</v>
      </c>
      <c r="AE139">
        <v>7852866.0140000004</v>
      </c>
      <c r="AF139">
        <v>7974847.2029999997</v>
      </c>
      <c r="AG139">
        <v>8104110.835</v>
      </c>
      <c r="AH139">
        <v>8247795.9390000002</v>
      </c>
      <c r="AI139">
        <v>8391821.8289999999</v>
      </c>
      <c r="AJ139">
        <v>8548003.0950000007</v>
      </c>
      <c r="AK139">
        <v>8705832.7210000008</v>
      </c>
      <c r="AL139">
        <v>8867638.71199999</v>
      </c>
      <c r="AM139">
        <v>9031758.6290000007</v>
      </c>
      <c r="AN139">
        <v>9182919.3399999999</v>
      </c>
      <c r="AO139">
        <v>9334609.9330000002</v>
      </c>
      <c r="AP139">
        <v>9483358.9069999997</v>
      </c>
      <c r="AQ139">
        <v>9631410.1679999996</v>
      </c>
      <c r="AR139">
        <v>9777883.9670000002</v>
      </c>
      <c r="AS139">
        <v>9921111.7410000004</v>
      </c>
      <c r="AT139">
        <v>10064695.98</v>
      </c>
      <c r="AU139">
        <v>10210464.27</v>
      </c>
      <c r="AV139">
        <v>10357214.16</v>
      </c>
      <c r="AW139">
        <v>10506598.199999999</v>
      </c>
    </row>
    <row r="140" spans="2:49" x14ac:dyDescent="0.25">
      <c r="B140" t="s">
        <v>469</v>
      </c>
      <c r="C140">
        <v>6377150.6112568304</v>
      </c>
      <c r="D140">
        <v>6479537.8270683698</v>
      </c>
      <c r="E140">
        <v>6586237.0690000001</v>
      </c>
      <c r="F140">
        <v>6723888.7589999996</v>
      </c>
      <c r="G140">
        <v>6338463.6059999997</v>
      </c>
      <c r="H140">
        <v>6607967.2580000004</v>
      </c>
      <c r="I140">
        <v>6493362.0180000002</v>
      </c>
      <c r="J140">
        <v>6250564.2719999999</v>
      </c>
      <c r="K140">
        <v>5857691.0099999998</v>
      </c>
      <c r="L140">
        <v>5765410.8689999999</v>
      </c>
      <c r="M140">
        <v>5875167.0460000001</v>
      </c>
      <c r="N140">
        <v>6078418.9419999998</v>
      </c>
      <c r="O140">
        <v>5382294.8739999998</v>
      </c>
      <c r="P140">
        <v>4639430.8159999996</v>
      </c>
      <c r="Q140">
        <v>3942887.8169999998</v>
      </c>
      <c r="R140">
        <v>3536730.0249999999</v>
      </c>
      <c r="S140">
        <v>3255117.7609999999</v>
      </c>
      <c r="T140">
        <v>3223684.1269999999</v>
      </c>
      <c r="U140">
        <v>3251417.1889999998</v>
      </c>
      <c r="V140">
        <v>3309442.179</v>
      </c>
      <c r="W140">
        <v>3369188.2119999998</v>
      </c>
      <c r="X140">
        <v>3406553.946</v>
      </c>
      <c r="Y140">
        <v>3467421.5490000001</v>
      </c>
      <c r="Z140">
        <v>3537355.821</v>
      </c>
      <c r="AA140">
        <v>3611096.162</v>
      </c>
      <c r="AB140">
        <v>3685576.6609999998</v>
      </c>
      <c r="AC140">
        <v>3762338.656</v>
      </c>
      <c r="AD140">
        <v>3835998.9780000001</v>
      </c>
      <c r="AE140">
        <v>3916641.9709999999</v>
      </c>
      <c r="AF140">
        <v>4001113.1570000001</v>
      </c>
      <c r="AG140">
        <v>4088731.7779999999</v>
      </c>
      <c r="AH140">
        <v>4184255.344</v>
      </c>
      <c r="AI140">
        <v>4282815.3990000002</v>
      </c>
      <c r="AJ140">
        <v>4388098.3739999998</v>
      </c>
      <c r="AK140">
        <v>4495968.6220000004</v>
      </c>
      <c r="AL140">
        <v>4607176.4019999998</v>
      </c>
      <c r="AM140">
        <v>4721048.2560000001</v>
      </c>
      <c r="AN140">
        <v>4832437.4879999999</v>
      </c>
      <c r="AO140">
        <v>4945087.0420000004</v>
      </c>
      <c r="AP140">
        <v>5057955.8569999998</v>
      </c>
      <c r="AQ140">
        <v>5171667.6330000004</v>
      </c>
      <c r="AR140">
        <v>5285850.3159999996</v>
      </c>
      <c r="AS140">
        <v>5400409.568</v>
      </c>
      <c r="AT140">
        <v>5516470.4289999995</v>
      </c>
      <c r="AU140">
        <v>5634594.6610000003</v>
      </c>
      <c r="AV140">
        <v>5754322.727</v>
      </c>
      <c r="AW140">
        <v>5875928.6330000004</v>
      </c>
    </row>
    <row r="141" spans="2:49" x14ac:dyDescent="0.25">
      <c r="B141" t="s">
        <v>470</v>
      </c>
      <c r="C141">
        <v>415184.68418409303</v>
      </c>
      <c r="D141">
        <v>421850.60858395998</v>
      </c>
      <c r="E141">
        <v>428797.26770000003</v>
      </c>
      <c r="F141">
        <v>429160.8628</v>
      </c>
      <c r="G141">
        <v>402359.39049999998</v>
      </c>
      <c r="H141">
        <v>363702.21220000001</v>
      </c>
      <c r="I141">
        <v>391606.81640000001</v>
      </c>
      <c r="J141">
        <v>378175.11969999998</v>
      </c>
      <c r="K141">
        <v>361263.69380000001</v>
      </c>
      <c r="L141">
        <v>362651.73200000002</v>
      </c>
      <c r="M141">
        <v>384996.60210000002</v>
      </c>
      <c r="N141">
        <v>441490.61489999999</v>
      </c>
      <c r="O141">
        <v>397132.74979999999</v>
      </c>
      <c r="P141">
        <v>341104.27470000001</v>
      </c>
      <c r="Q141">
        <v>282206.7035</v>
      </c>
      <c r="R141">
        <v>248334.97260000001</v>
      </c>
      <c r="S141">
        <v>207900.5434</v>
      </c>
      <c r="T141">
        <v>206315.7059</v>
      </c>
      <c r="U141">
        <v>205323.53520000001</v>
      </c>
      <c r="V141">
        <v>210603.68710000001</v>
      </c>
      <c r="W141">
        <v>211247.22320000001</v>
      </c>
      <c r="X141">
        <v>209610.96239999999</v>
      </c>
      <c r="Y141">
        <v>211717.93960000001</v>
      </c>
      <c r="Z141">
        <v>214879.75159999999</v>
      </c>
      <c r="AA141">
        <v>218786.53969999999</v>
      </c>
      <c r="AB141">
        <v>222580.8266</v>
      </c>
      <c r="AC141">
        <v>226276.24830000001</v>
      </c>
      <c r="AD141">
        <v>228907.8903</v>
      </c>
      <c r="AE141">
        <v>230018.20869999999</v>
      </c>
      <c r="AF141">
        <v>232804.92939999999</v>
      </c>
      <c r="AG141">
        <v>236271.9271</v>
      </c>
      <c r="AH141">
        <v>238183.56589999999</v>
      </c>
      <c r="AI141">
        <v>243869.7213</v>
      </c>
      <c r="AJ141">
        <v>249023.2023</v>
      </c>
      <c r="AK141">
        <v>253731.17670000001</v>
      </c>
      <c r="AL141">
        <v>258396.40520000001</v>
      </c>
      <c r="AM141">
        <v>262929.73330000002</v>
      </c>
      <c r="AN141">
        <v>266663.20679999999</v>
      </c>
      <c r="AO141">
        <v>270929.33299999998</v>
      </c>
      <c r="AP141">
        <v>275252.13140000001</v>
      </c>
      <c r="AQ141">
        <v>279616.38390000002</v>
      </c>
      <c r="AR141">
        <v>283922.8322</v>
      </c>
      <c r="AS141">
        <v>287969.49570000003</v>
      </c>
      <c r="AT141">
        <v>292159.77970000001</v>
      </c>
      <c r="AU141">
        <v>296502.73959999997</v>
      </c>
      <c r="AV141">
        <v>300909.11580000003</v>
      </c>
      <c r="AW141">
        <v>305494.87550000002</v>
      </c>
    </row>
    <row r="142" spans="2:49" x14ac:dyDescent="0.25">
      <c r="B142" t="s">
        <v>471</v>
      </c>
      <c r="C142">
        <v>4757556.1935294</v>
      </c>
      <c r="D142">
        <v>4833940.2970916703</v>
      </c>
      <c r="E142">
        <v>4913541.3090000004</v>
      </c>
      <c r="F142">
        <v>4950688.33</v>
      </c>
      <c r="G142">
        <v>4480388.9340000004</v>
      </c>
      <c r="H142">
        <v>4062783.1069999998</v>
      </c>
      <c r="I142">
        <v>3413936.4980000001</v>
      </c>
      <c r="J142">
        <v>3547870.9810000001</v>
      </c>
      <c r="K142">
        <v>3176856.9270000001</v>
      </c>
      <c r="L142">
        <v>3046449.0120000001</v>
      </c>
      <c r="M142">
        <v>3112937.48</v>
      </c>
      <c r="N142">
        <v>3187966.6179999998</v>
      </c>
      <c r="O142">
        <v>2923702.6740000001</v>
      </c>
      <c r="P142">
        <v>2583866.2230000002</v>
      </c>
      <c r="Q142">
        <v>2238709.9989999998</v>
      </c>
      <c r="R142">
        <v>1981952.1340000001</v>
      </c>
      <c r="S142">
        <v>1755197.3829999999</v>
      </c>
      <c r="T142">
        <v>1658034.378</v>
      </c>
      <c r="U142">
        <v>1552555.9979999999</v>
      </c>
      <c r="V142">
        <v>1458782.871</v>
      </c>
      <c r="W142">
        <v>1457392.139</v>
      </c>
      <c r="X142">
        <v>1446824.72</v>
      </c>
      <c r="Y142">
        <v>1553984.6129999999</v>
      </c>
      <c r="Z142">
        <v>1710831.2390000001</v>
      </c>
      <c r="AA142">
        <v>1900851.85</v>
      </c>
      <c r="AB142">
        <v>2123376.4190000002</v>
      </c>
      <c r="AC142">
        <v>2383698.8670000001</v>
      </c>
      <c r="AD142">
        <v>2404163.02</v>
      </c>
      <c r="AE142">
        <v>2425323.9160000002</v>
      </c>
      <c r="AF142">
        <v>2449972.6320000002</v>
      </c>
      <c r="AG142">
        <v>2476107.84</v>
      </c>
      <c r="AH142">
        <v>2503066.2089999998</v>
      </c>
      <c r="AI142">
        <v>2535132.8450000002</v>
      </c>
      <c r="AJ142">
        <v>2567922.9640000002</v>
      </c>
      <c r="AK142">
        <v>2600974.5589999999</v>
      </c>
      <c r="AL142">
        <v>2634581.3259999999</v>
      </c>
      <c r="AM142">
        <v>2668062.3369999998</v>
      </c>
      <c r="AN142">
        <v>2620452.477</v>
      </c>
      <c r="AO142">
        <v>2558168.9309999999</v>
      </c>
      <c r="AP142">
        <v>2491478.2949999999</v>
      </c>
      <c r="AQ142">
        <v>2423426.2289999998</v>
      </c>
      <c r="AR142">
        <v>2353990.5260000001</v>
      </c>
      <c r="AS142">
        <v>2326235.1129999999</v>
      </c>
      <c r="AT142">
        <v>2305659.9249999998</v>
      </c>
      <c r="AU142">
        <v>2286039.9670000002</v>
      </c>
      <c r="AV142">
        <v>2266050.1680000001</v>
      </c>
      <c r="AW142">
        <v>2246256.0019999999</v>
      </c>
    </row>
    <row r="143" spans="2:49" x14ac:dyDescent="0.25">
      <c r="B143" t="s">
        <v>472</v>
      </c>
      <c r="C143">
        <v>16503281.675133999</v>
      </c>
      <c r="D143">
        <v>16768247.200565999</v>
      </c>
      <c r="E143">
        <v>17044371.719999999</v>
      </c>
      <c r="F143">
        <v>17200380.690000001</v>
      </c>
      <c r="G143">
        <v>15692458.84</v>
      </c>
      <c r="H143">
        <v>14049912.789999999</v>
      </c>
      <c r="I143">
        <v>12926820.75</v>
      </c>
      <c r="J143">
        <v>13788011.960000001</v>
      </c>
      <c r="K143">
        <v>12347083.41</v>
      </c>
      <c r="L143">
        <v>11830333</v>
      </c>
      <c r="M143">
        <v>12095386.210000001</v>
      </c>
      <c r="N143">
        <v>12338424.970000001</v>
      </c>
      <c r="O143">
        <v>11672418.73</v>
      </c>
      <c r="P143">
        <v>10666441.619999999</v>
      </c>
      <c r="Q143">
        <v>9475826.1980000008</v>
      </c>
      <c r="R143">
        <v>8622836.1510000005</v>
      </c>
      <c r="S143">
        <v>7843739.4100000001</v>
      </c>
      <c r="T143">
        <v>7700499.3109999998</v>
      </c>
      <c r="U143">
        <v>7363506.9539999999</v>
      </c>
      <c r="V143">
        <v>7148560.3789999997</v>
      </c>
      <c r="W143">
        <v>6759390.6859999998</v>
      </c>
      <c r="X143">
        <v>6320562.9139999999</v>
      </c>
      <c r="Y143">
        <v>6160856.4069999997</v>
      </c>
      <c r="Z143">
        <v>6150602.3820000002</v>
      </c>
      <c r="AA143">
        <v>6180612.5700000003</v>
      </c>
      <c r="AB143">
        <v>6224353.8499999996</v>
      </c>
      <c r="AC143">
        <v>6281611.0800000001</v>
      </c>
      <c r="AD143">
        <v>6304506.0049999999</v>
      </c>
      <c r="AE143">
        <v>6339103.8399999999</v>
      </c>
      <c r="AF143">
        <v>6380588.1189999999</v>
      </c>
      <c r="AG143">
        <v>6425881.648</v>
      </c>
      <c r="AH143">
        <v>6483040.5789999999</v>
      </c>
      <c r="AI143">
        <v>6541263.9859999996</v>
      </c>
      <c r="AJ143">
        <v>6595702.0889999997</v>
      </c>
      <c r="AK143">
        <v>6659269.7620000001</v>
      </c>
      <c r="AL143">
        <v>6722992.7879999997</v>
      </c>
      <c r="AM143">
        <v>6783447.4819999998</v>
      </c>
      <c r="AN143">
        <v>6669743.6639999999</v>
      </c>
      <c r="AO143">
        <v>6529054.4189999998</v>
      </c>
      <c r="AP143">
        <v>6376463.9970000004</v>
      </c>
      <c r="AQ143">
        <v>6224665.7819999997</v>
      </c>
      <c r="AR143">
        <v>6061660.5020000003</v>
      </c>
      <c r="AS143">
        <v>5986664.1780000003</v>
      </c>
      <c r="AT143">
        <v>5925613.2999999998</v>
      </c>
      <c r="AU143">
        <v>5863696.8049999997</v>
      </c>
      <c r="AV143">
        <v>5800332.0369999995</v>
      </c>
      <c r="AW143">
        <v>5758015.2939999998</v>
      </c>
    </row>
    <row r="144" spans="2:49" x14ac:dyDescent="0.25">
      <c r="B144" t="s">
        <v>473</v>
      </c>
      <c r="C144">
        <v>11632594.838881901</v>
      </c>
      <c r="D144">
        <v>11819359.911689499</v>
      </c>
      <c r="E144">
        <v>12013990.58</v>
      </c>
      <c r="F144">
        <v>12010771.34</v>
      </c>
      <c r="G144">
        <v>11102676.300000001</v>
      </c>
      <c r="H144">
        <v>10440797.16</v>
      </c>
      <c r="I144">
        <v>8796446.1349999998</v>
      </c>
      <c r="J144">
        <v>7866674.6050000004</v>
      </c>
      <c r="K144">
        <v>7150813.9680000003</v>
      </c>
      <c r="L144">
        <v>7060528.7300000004</v>
      </c>
      <c r="M144">
        <v>7012795.1919999998</v>
      </c>
      <c r="N144">
        <v>7288991.6579999998</v>
      </c>
      <c r="O144">
        <v>6556403.04</v>
      </c>
      <c r="P144">
        <v>5685094.7649999997</v>
      </c>
      <c r="Q144">
        <v>4943963.9009999996</v>
      </c>
      <c r="R144">
        <v>4337009.5630000001</v>
      </c>
      <c r="S144">
        <v>3888971.2089999998</v>
      </c>
      <c r="T144">
        <v>3671738.2349999999</v>
      </c>
      <c r="U144">
        <v>3405594.7579999999</v>
      </c>
      <c r="V144">
        <v>3162655.716</v>
      </c>
      <c r="W144">
        <v>3081285.1579999998</v>
      </c>
      <c r="X144">
        <v>2971389.8590000002</v>
      </c>
      <c r="Y144">
        <v>3115609.6009999998</v>
      </c>
      <c r="Z144">
        <v>3356572.446</v>
      </c>
      <c r="AA144">
        <v>3649566.0819999999</v>
      </c>
      <c r="AB144">
        <v>3994793.1710000001</v>
      </c>
      <c r="AC144">
        <v>4405678.1260000002</v>
      </c>
      <c r="AD144">
        <v>4414790.9790000003</v>
      </c>
      <c r="AE144">
        <v>4431428.6919999998</v>
      </c>
      <c r="AF144">
        <v>4452512.477</v>
      </c>
      <c r="AG144">
        <v>4475361.2110000001</v>
      </c>
      <c r="AH144">
        <v>4502727.699</v>
      </c>
      <c r="AI144">
        <v>4533232.5460000001</v>
      </c>
      <c r="AJ144">
        <v>4564999.2889999999</v>
      </c>
      <c r="AK144">
        <v>4598745.1059999997</v>
      </c>
      <c r="AL144">
        <v>4633814.8159999996</v>
      </c>
      <c r="AM144">
        <v>4668935.2630000003</v>
      </c>
      <c r="AN144">
        <v>4552953.2259999998</v>
      </c>
      <c r="AO144">
        <v>4412196.5920000002</v>
      </c>
      <c r="AP144">
        <v>4265868.1459999997</v>
      </c>
      <c r="AQ144">
        <v>4119760.3870000001</v>
      </c>
      <c r="AR144">
        <v>3973794.9539999999</v>
      </c>
      <c r="AS144">
        <v>3904881.8149999999</v>
      </c>
      <c r="AT144">
        <v>3849336.5159999998</v>
      </c>
      <c r="AU144">
        <v>3796315.2379999999</v>
      </c>
      <c r="AV144">
        <v>3743565.156</v>
      </c>
      <c r="AW144">
        <v>3691524.1159999999</v>
      </c>
    </row>
    <row r="145" spans="2:49" x14ac:dyDescent="0.25">
      <c r="B145" t="s">
        <v>474</v>
      </c>
      <c r="C145">
        <v>3166830.51938263</v>
      </c>
      <c r="D145">
        <v>3217675.0077116699</v>
      </c>
      <c r="E145">
        <v>3270660.8059999999</v>
      </c>
      <c r="F145">
        <v>3287421.1869999999</v>
      </c>
      <c r="G145">
        <v>3225020.3620000002</v>
      </c>
      <c r="H145">
        <v>3123894.602</v>
      </c>
      <c r="I145">
        <v>3028222.2259999998</v>
      </c>
      <c r="J145">
        <v>2941942.594</v>
      </c>
      <c r="K145">
        <v>2799071.84</v>
      </c>
      <c r="L145">
        <v>2793971.1030000001</v>
      </c>
      <c r="M145">
        <v>2824008.1919999998</v>
      </c>
      <c r="N145">
        <v>3007070.4360000002</v>
      </c>
      <c r="O145">
        <v>2935705.6669999999</v>
      </c>
      <c r="P145">
        <v>2760730.9959999998</v>
      </c>
      <c r="Q145">
        <v>2551882.3110000002</v>
      </c>
      <c r="R145">
        <v>2461002.202</v>
      </c>
      <c r="S145">
        <v>2330438.1</v>
      </c>
      <c r="T145">
        <v>2318703.821</v>
      </c>
      <c r="U145">
        <v>2274417.071</v>
      </c>
      <c r="V145">
        <v>2251697.9160000002</v>
      </c>
      <c r="W145">
        <v>2216836.0750000002</v>
      </c>
      <c r="X145">
        <v>2162822.8629999999</v>
      </c>
      <c r="Y145">
        <v>2175024.1490000002</v>
      </c>
      <c r="Z145">
        <v>2220987.5669999998</v>
      </c>
      <c r="AA145">
        <v>2280511.25</v>
      </c>
      <c r="AB145">
        <v>2353504.9640000002</v>
      </c>
      <c r="AC145">
        <v>2440499.6269999999</v>
      </c>
      <c r="AD145">
        <v>2471375.6069999998</v>
      </c>
      <c r="AE145">
        <v>2506864.9939999999</v>
      </c>
      <c r="AF145">
        <v>2544642.4509999999</v>
      </c>
      <c r="AG145">
        <v>2584422.3569999998</v>
      </c>
      <c r="AH145">
        <v>2627371.0860000001</v>
      </c>
      <c r="AI145">
        <v>2673134.0430000001</v>
      </c>
      <c r="AJ145">
        <v>2720313.3330000001</v>
      </c>
      <c r="AK145">
        <v>2769652.8470000001</v>
      </c>
      <c r="AL145">
        <v>2821157.085</v>
      </c>
      <c r="AM145">
        <v>2873287.8569999998</v>
      </c>
      <c r="AN145">
        <v>2886702.4479999999</v>
      </c>
      <c r="AO145">
        <v>2893321.5040000002</v>
      </c>
      <c r="AP145">
        <v>2895372.0469999998</v>
      </c>
      <c r="AQ145">
        <v>2894467.7250000001</v>
      </c>
      <c r="AR145">
        <v>2889779.5649999999</v>
      </c>
      <c r="AS145">
        <v>2907854.3569999998</v>
      </c>
      <c r="AT145">
        <v>2929019.94</v>
      </c>
      <c r="AU145">
        <v>2950301.0929999999</v>
      </c>
      <c r="AV145">
        <v>2970935.6869999999</v>
      </c>
      <c r="AW145">
        <v>2991172.8020000001</v>
      </c>
    </row>
    <row r="146" spans="2:49" x14ac:dyDescent="0.25">
      <c r="B146" t="s">
        <v>475</v>
      </c>
      <c r="C146">
        <v>6723975.7599636996</v>
      </c>
      <c r="D146">
        <v>6831931.3657214995</v>
      </c>
      <c r="E146">
        <v>6946020.0939999996</v>
      </c>
      <c r="F146">
        <v>7003385.9419999998</v>
      </c>
      <c r="G146">
        <v>7029204.7800000003</v>
      </c>
      <c r="H146">
        <v>6607725.4170000004</v>
      </c>
      <c r="I146">
        <v>6867920.2340000002</v>
      </c>
      <c r="J146">
        <v>6943299.1179999998</v>
      </c>
      <c r="K146">
        <v>6824219.1550000003</v>
      </c>
      <c r="L146">
        <v>6840312.6859999998</v>
      </c>
      <c r="M146">
        <v>6899488.5599999996</v>
      </c>
      <c r="N146">
        <v>7192338.8640000001</v>
      </c>
      <c r="O146">
        <v>7196339.0559999999</v>
      </c>
      <c r="P146">
        <v>7197775.1809999999</v>
      </c>
      <c r="Q146">
        <v>7075308.273</v>
      </c>
      <c r="R146">
        <v>7140536.5049999999</v>
      </c>
      <c r="S146">
        <v>7061614.642</v>
      </c>
      <c r="T146">
        <v>7057150.4840000002</v>
      </c>
      <c r="U146">
        <v>7124973.6500000004</v>
      </c>
      <c r="V146">
        <v>7238256.8140000002</v>
      </c>
      <c r="W146">
        <v>7332858.7110000001</v>
      </c>
      <c r="X146">
        <v>7396256.3870000001</v>
      </c>
      <c r="Y146">
        <v>7494792.0659999996</v>
      </c>
      <c r="Z146">
        <v>7602661.4359999998</v>
      </c>
      <c r="AA146">
        <v>7725977.6409999998</v>
      </c>
      <c r="AB146">
        <v>7896077.5190000003</v>
      </c>
      <c r="AC146">
        <v>8088986.3909999998</v>
      </c>
      <c r="AD146">
        <v>8164732.3039999995</v>
      </c>
      <c r="AE146">
        <v>8246561.2510000002</v>
      </c>
      <c r="AF146">
        <v>8335500.9460000005</v>
      </c>
      <c r="AG146">
        <v>8431585.6620000005</v>
      </c>
      <c r="AH146">
        <v>8535665.7980000004</v>
      </c>
      <c r="AI146">
        <v>8651467.5610000007</v>
      </c>
      <c r="AJ146">
        <v>8775005.37099999</v>
      </c>
      <c r="AK146">
        <v>8906506.4829999898</v>
      </c>
      <c r="AL146">
        <v>9054497.5309999995</v>
      </c>
      <c r="AM146">
        <v>9206321.2190000005</v>
      </c>
      <c r="AN146">
        <v>9358622.1779999901</v>
      </c>
      <c r="AO146">
        <v>9514606.8120000008</v>
      </c>
      <c r="AP146">
        <v>9670113.3320000004</v>
      </c>
      <c r="AQ146">
        <v>9825075.5920000002</v>
      </c>
      <c r="AR146">
        <v>9979801.8350000009</v>
      </c>
      <c r="AS146">
        <v>10134990.390000001</v>
      </c>
      <c r="AT146">
        <v>10291451.34</v>
      </c>
      <c r="AU146">
        <v>10449879.07</v>
      </c>
      <c r="AV146">
        <v>10609558.42</v>
      </c>
      <c r="AW146">
        <v>10770456.220000001</v>
      </c>
    </row>
    <row r="147" spans="2:49" x14ac:dyDescent="0.25">
      <c r="B147" t="s">
        <v>476</v>
      </c>
      <c r="C147">
        <v>312332.22295347298</v>
      </c>
      <c r="D147">
        <v>317346.817819711</v>
      </c>
      <c r="E147">
        <v>322572.6018</v>
      </c>
      <c r="F147">
        <v>334218.08439999999</v>
      </c>
      <c r="G147">
        <v>321550.66800000001</v>
      </c>
      <c r="H147">
        <v>280461.49849999999</v>
      </c>
      <c r="I147">
        <v>293137.45189999999</v>
      </c>
      <c r="J147">
        <v>297137.94449999998</v>
      </c>
      <c r="K147">
        <v>277942.12599999999</v>
      </c>
      <c r="L147">
        <v>263003.42619999999</v>
      </c>
      <c r="M147">
        <v>259026.83290000001</v>
      </c>
      <c r="N147">
        <v>273209.3187</v>
      </c>
      <c r="O147">
        <v>251229.68049999999</v>
      </c>
      <c r="P147">
        <v>232616.5931</v>
      </c>
      <c r="Q147">
        <v>211544.58679999999</v>
      </c>
      <c r="R147">
        <v>192568.04949999999</v>
      </c>
      <c r="S147">
        <v>179716.054</v>
      </c>
      <c r="T147">
        <v>181404.6574</v>
      </c>
      <c r="U147">
        <v>181894.53750000001</v>
      </c>
      <c r="V147">
        <v>185757.8903</v>
      </c>
      <c r="W147">
        <v>188023.29060000001</v>
      </c>
      <c r="X147">
        <v>189422.86840000001</v>
      </c>
      <c r="Y147">
        <v>192083.20329999999</v>
      </c>
      <c r="Z147">
        <v>196854.11309999999</v>
      </c>
      <c r="AA147">
        <v>202827.29749999999</v>
      </c>
      <c r="AB147">
        <v>209734.51250000001</v>
      </c>
      <c r="AC147">
        <v>217724.13930000001</v>
      </c>
      <c r="AD147">
        <v>220209.32500000001</v>
      </c>
      <c r="AE147">
        <v>222827.88020000001</v>
      </c>
      <c r="AF147">
        <v>225792.72390000001</v>
      </c>
      <c r="AG147">
        <v>229023.0931</v>
      </c>
      <c r="AH147">
        <v>232330.2414</v>
      </c>
      <c r="AI147">
        <v>236275.71189999999</v>
      </c>
      <c r="AJ147">
        <v>240274.8051</v>
      </c>
      <c r="AK147">
        <v>244283.51449999999</v>
      </c>
      <c r="AL147">
        <v>248347.47210000001</v>
      </c>
      <c r="AM147">
        <v>252363.3486</v>
      </c>
      <c r="AN147">
        <v>255676.1924</v>
      </c>
      <c r="AO147">
        <v>259130.57920000001</v>
      </c>
      <c r="AP147">
        <v>262441.26750000002</v>
      </c>
      <c r="AQ147">
        <v>265706.50630000001</v>
      </c>
      <c r="AR147">
        <v>268789.54509999999</v>
      </c>
      <c r="AS147">
        <v>272204.1948</v>
      </c>
      <c r="AT147">
        <v>275625.99400000001</v>
      </c>
      <c r="AU147">
        <v>279060.99530000001</v>
      </c>
      <c r="AV147">
        <v>282480.85379999998</v>
      </c>
      <c r="AW147">
        <v>286068.52250000002</v>
      </c>
    </row>
    <row r="148" spans="2:49" x14ac:dyDescent="0.25">
      <c r="B148" t="s">
        <v>477</v>
      </c>
      <c r="C148">
        <v>7845653.0561234802</v>
      </c>
      <c r="D148">
        <v>7971617.5536879301</v>
      </c>
      <c r="E148">
        <v>8102887.0319999997</v>
      </c>
      <c r="F148">
        <v>8279890.7939999998</v>
      </c>
      <c r="G148">
        <v>7921651.5690000001</v>
      </c>
      <c r="H148">
        <v>7527655.0329999998</v>
      </c>
      <c r="I148">
        <v>7547208.9469999997</v>
      </c>
      <c r="J148">
        <v>7319183.4910000004</v>
      </c>
      <c r="K148">
        <v>6875309.8619999997</v>
      </c>
      <c r="L148">
        <v>6703387.2249999996</v>
      </c>
      <c r="M148">
        <v>6844714.2690000003</v>
      </c>
      <c r="N148">
        <v>7298971.5439999998</v>
      </c>
      <c r="O148">
        <v>6959569.091</v>
      </c>
      <c r="P148">
        <v>6332883.2319999998</v>
      </c>
      <c r="Q148">
        <v>5646286.7980000004</v>
      </c>
      <c r="R148">
        <v>5317729.7410000004</v>
      </c>
      <c r="S148">
        <v>4940076.8499999996</v>
      </c>
      <c r="T148">
        <v>5025239.0559999999</v>
      </c>
      <c r="U148">
        <v>5032561.3839999996</v>
      </c>
      <c r="V148">
        <v>5121844.5350000001</v>
      </c>
      <c r="W148">
        <v>5190810.6409999998</v>
      </c>
      <c r="X148">
        <v>5228409.0089999996</v>
      </c>
      <c r="Y148">
        <v>5267046.4419999998</v>
      </c>
      <c r="Z148">
        <v>5360630.4689999996</v>
      </c>
      <c r="AA148">
        <v>5462872.5429999996</v>
      </c>
      <c r="AB148">
        <v>5568696.8760000002</v>
      </c>
      <c r="AC148">
        <v>5680183.5029999996</v>
      </c>
      <c r="AD148">
        <v>5755900.5259999996</v>
      </c>
      <c r="AE148">
        <v>5847074.4359999998</v>
      </c>
      <c r="AF148">
        <v>5946043.7779999999</v>
      </c>
      <c r="AG148">
        <v>6050195.2230000002</v>
      </c>
      <c r="AH148">
        <v>6161825.7640000004</v>
      </c>
      <c r="AI148">
        <v>6285785.8210000005</v>
      </c>
      <c r="AJ148">
        <v>6412850.477</v>
      </c>
      <c r="AK148">
        <v>6544010.5630000001</v>
      </c>
      <c r="AL148">
        <v>6678853.1330000004</v>
      </c>
      <c r="AM148">
        <v>6815299.517</v>
      </c>
      <c r="AN148">
        <v>6938078.4989999998</v>
      </c>
      <c r="AO148">
        <v>7071328.4400000004</v>
      </c>
      <c r="AP148">
        <v>7203570.6660000002</v>
      </c>
      <c r="AQ148">
        <v>7336833.267</v>
      </c>
      <c r="AR148">
        <v>7468487.6220000004</v>
      </c>
      <c r="AS148">
        <v>7603039.483</v>
      </c>
      <c r="AT148">
        <v>7735100.8159999996</v>
      </c>
      <c r="AU148">
        <v>7868721.9649999999</v>
      </c>
      <c r="AV148">
        <v>8003540.8480000002</v>
      </c>
      <c r="AW148">
        <v>8142533.4620000003</v>
      </c>
    </row>
    <row r="149" spans="2:49" x14ac:dyDescent="0.25">
      <c r="B149" t="s">
        <v>478</v>
      </c>
      <c r="C149">
        <v>3.3990718667427999</v>
      </c>
      <c r="D149">
        <v>3.4536450650243098</v>
      </c>
      <c r="E149">
        <v>3.5105166080000001</v>
      </c>
      <c r="F149">
        <v>3.721707114</v>
      </c>
      <c r="G149">
        <v>3.6483624190000001</v>
      </c>
      <c r="H149">
        <v>3.4016245839999999</v>
      </c>
      <c r="I149">
        <v>3.3585368880000002</v>
      </c>
      <c r="J149">
        <v>3.3585237540000001</v>
      </c>
      <c r="K149">
        <v>3.2191903819999999</v>
      </c>
      <c r="L149">
        <v>3.2180667629999999</v>
      </c>
      <c r="M149">
        <v>3.2232301400000001</v>
      </c>
      <c r="N149">
        <v>3.3034706190000001</v>
      </c>
      <c r="O149">
        <v>3.4858790810000002</v>
      </c>
      <c r="P149">
        <v>3.622757671</v>
      </c>
      <c r="Q149">
        <v>3.6181634300000001</v>
      </c>
      <c r="R149">
        <v>3.738578988</v>
      </c>
      <c r="S149">
        <v>3.7467191149999999</v>
      </c>
      <c r="T149">
        <v>3.8755250120000002</v>
      </c>
      <c r="U149">
        <v>3.848772919</v>
      </c>
      <c r="V149">
        <v>3.9164063680000001</v>
      </c>
      <c r="W149">
        <v>3.8844795670000001</v>
      </c>
      <c r="X149">
        <v>3.8426792249999999</v>
      </c>
      <c r="Y149">
        <v>3.7590539409999999</v>
      </c>
      <c r="Z149">
        <v>3.73882249</v>
      </c>
      <c r="AA149">
        <v>3.737748345</v>
      </c>
      <c r="AB149">
        <v>3.742059797</v>
      </c>
      <c r="AC149">
        <v>3.7512729650000001</v>
      </c>
      <c r="AD149">
        <v>3.7638754429999999</v>
      </c>
      <c r="AE149">
        <v>3.7842897240000002</v>
      </c>
      <c r="AF149">
        <v>3.8083690419999998</v>
      </c>
      <c r="AG149">
        <v>3.8360324069999998</v>
      </c>
      <c r="AH149">
        <v>3.8729231980000001</v>
      </c>
      <c r="AI149">
        <v>3.909047867</v>
      </c>
      <c r="AJ149">
        <v>3.942129419</v>
      </c>
      <c r="AK149">
        <v>3.9832574040000002</v>
      </c>
      <c r="AL149">
        <v>4.0246044059999999</v>
      </c>
      <c r="AM149">
        <v>4.0637699549999997</v>
      </c>
      <c r="AN149">
        <v>4.0792255690000001</v>
      </c>
      <c r="AO149">
        <v>4.1007208549999996</v>
      </c>
      <c r="AP149">
        <v>4.1211385900000002</v>
      </c>
      <c r="AQ149">
        <v>4.1473188729999997</v>
      </c>
      <c r="AR149">
        <v>4.1669893580000004</v>
      </c>
      <c r="AS149">
        <v>4.1885636100000001</v>
      </c>
      <c r="AT149">
        <v>4.2100810659999999</v>
      </c>
      <c r="AU149">
        <v>4.2295582180000002</v>
      </c>
      <c r="AV149">
        <v>4.2486119650000003</v>
      </c>
      <c r="AW149">
        <v>4.3032898299999998</v>
      </c>
    </row>
    <row r="150" spans="2:49" x14ac:dyDescent="0.25">
      <c r="B150" t="s">
        <v>479</v>
      </c>
      <c r="C150">
        <v>600391.80946004798</v>
      </c>
      <c r="D150">
        <v>610031.29416316305</v>
      </c>
      <c r="E150">
        <v>620076.74470000004</v>
      </c>
      <c r="F150">
        <v>632032.41480000003</v>
      </c>
      <c r="G150">
        <v>594084.57779999997</v>
      </c>
      <c r="H150">
        <v>584882.11569999997</v>
      </c>
      <c r="I150">
        <v>591870.0564</v>
      </c>
      <c r="J150">
        <v>566938.4987</v>
      </c>
      <c r="K150">
        <v>533592.82310000004</v>
      </c>
      <c r="L150">
        <v>538383.91599999997</v>
      </c>
      <c r="M150">
        <v>547718.46900000004</v>
      </c>
      <c r="N150">
        <v>576869.80759999994</v>
      </c>
      <c r="O150">
        <v>610037.90119999996</v>
      </c>
      <c r="P150">
        <v>621592.20790000004</v>
      </c>
      <c r="Q150">
        <v>577339.97779999999</v>
      </c>
      <c r="R150">
        <v>594400.65639999998</v>
      </c>
      <c r="S150">
        <v>595936.12730000005</v>
      </c>
      <c r="T150">
        <v>596452.68279999995</v>
      </c>
      <c r="U150">
        <v>596615.07239999995</v>
      </c>
      <c r="V150">
        <v>600587.79260000004</v>
      </c>
      <c r="W150">
        <v>599872.46019999997</v>
      </c>
      <c r="X150">
        <v>594615.17960000003</v>
      </c>
      <c r="Y150">
        <v>597785.52949999995</v>
      </c>
      <c r="Z150">
        <v>603100.5871</v>
      </c>
      <c r="AA150">
        <v>609407.74230000004</v>
      </c>
      <c r="AB150">
        <v>615688.81039999996</v>
      </c>
      <c r="AC150">
        <v>622184.60889999999</v>
      </c>
      <c r="AD150">
        <v>627246.44649999996</v>
      </c>
      <c r="AE150">
        <v>630945.49699999997</v>
      </c>
      <c r="AF150">
        <v>635831.82900000003</v>
      </c>
      <c r="AG150">
        <v>641132.22250000003</v>
      </c>
      <c r="AH150">
        <v>645463.25930000003</v>
      </c>
      <c r="AI150">
        <v>652598.23120000004</v>
      </c>
      <c r="AJ150">
        <v>659606.82460000005</v>
      </c>
      <c r="AK150">
        <v>666436.93969999999</v>
      </c>
      <c r="AL150">
        <v>673379.82790000003</v>
      </c>
      <c r="AM150">
        <v>680351.14359999995</v>
      </c>
      <c r="AN150">
        <v>685975.77289999998</v>
      </c>
      <c r="AO150">
        <v>691990.29760000005</v>
      </c>
      <c r="AP150">
        <v>697977.67319999996</v>
      </c>
      <c r="AQ150">
        <v>704027.67610000004</v>
      </c>
      <c r="AR150">
        <v>710092.03209999995</v>
      </c>
      <c r="AS150">
        <v>715803.95510000002</v>
      </c>
      <c r="AT150">
        <v>721689.47050000005</v>
      </c>
      <c r="AU150">
        <v>727666.66390000004</v>
      </c>
      <c r="AV150">
        <v>733667.16500000004</v>
      </c>
      <c r="AW150">
        <v>739894.1263</v>
      </c>
    </row>
    <row r="151" spans="2:49" x14ac:dyDescent="0.25">
      <c r="B151" t="s">
        <v>480</v>
      </c>
      <c r="C151">
        <v>2139866.37253871</v>
      </c>
      <c r="D151">
        <v>2174222.6193092102</v>
      </c>
      <c r="E151">
        <v>2197623.4730000002</v>
      </c>
      <c r="F151">
        <v>2183234.6129999999</v>
      </c>
      <c r="G151">
        <v>2173369.8969999999</v>
      </c>
      <c r="H151">
        <v>2169364.19</v>
      </c>
      <c r="I151">
        <v>2173390.7289999998</v>
      </c>
      <c r="J151">
        <v>2185570.9610000001</v>
      </c>
      <c r="K151">
        <v>2186232.523</v>
      </c>
      <c r="L151">
        <v>2182850.7400000002</v>
      </c>
      <c r="M151">
        <v>2195741.8309999998</v>
      </c>
      <c r="N151">
        <v>2173728.5980000002</v>
      </c>
      <c r="O151">
        <v>2202163.6529999999</v>
      </c>
      <c r="P151">
        <v>2221829.977</v>
      </c>
      <c r="Q151">
        <v>2248758.3670000001</v>
      </c>
      <c r="R151">
        <v>2271215.7450000001</v>
      </c>
      <c r="S151">
        <v>2254140.284</v>
      </c>
      <c r="T151">
        <v>2218244.0780000002</v>
      </c>
      <c r="U151">
        <v>2203532.6329999999</v>
      </c>
      <c r="V151">
        <v>2197107.2170000002</v>
      </c>
      <c r="W151">
        <v>2188860.5359999998</v>
      </c>
      <c r="X151">
        <v>2127398.2889999999</v>
      </c>
      <c r="Y151">
        <v>2080748.3940000001</v>
      </c>
      <c r="Z151">
        <v>2033256.372</v>
      </c>
      <c r="AA151">
        <v>1987655.7050000001</v>
      </c>
      <c r="AB151">
        <v>1941992.38</v>
      </c>
      <c r="AC151">
        <v>1895845.93</v>
      </c>
      <c r="AD151">
        <v>1844642.9879999999</v>
      </c>
      <c r="AE151">
        <v>1787645.0830000001</v>
      </c>
      <c r="AF151">
        <v>1733498.7279999999</v>
      </c>
      <c r="AG151">
        <v>1680585.7150000001</v>
      </c>
      <c r="AH151">
        <v>1623487.101</v>
      </c>
      <c r="AI151">
        <v>1593699.493</v>
      </c>
      <c r="AJ151">
        <v>1563168.8859999999</v>
      </c>
      <c r="AK151">
        <v>1532054.2620000001</v>
      </c>
      <c r="AL151">
        <v>1500668.4180000001</v>
      </c>
      <c r="AM151">
        <v>1468856.8770000001</v>
      </c>
      <c r="AN151">
        <v>1459792.513</v>
      </c>
      <c r="AO151">
        <v>1451222.7309999999</v>
      </c>
      <c r="AP151">
        <v>1442854.7220000001</v>
      </c>
      <c r="AQ151">
        <v>1434437.8459999999</v>
      </c>
      <c r="AR151">
        <v>1425808.308</v>
      </c>
      <c r="AS151">
        <v>1433768.493</v>
      </c>
      <c r="AT151">
        <v>1441948.922</v>
      </c>
      <c r="AU151">
        <v>1450260.36</v>
      </c>
      <c r="AV151">
        <v>1458668.243</v>
      </c>
      <c r="AW151">
        <v>1467452.831</v>
      </c>
    </row>
    <row r="152" spans="2:49" x14ac:dyDescent="0.25">
      <c r="B152" t="s">
        <v>481</v>
      </c>
      <c r="C152">
        <v>48247577.676067904</v>
      </c>
      <c r="D152">
        <v>49022208.141778298</v>
      </c>
      <c r="E152">
        <v>49866336.780000001</v>
      </c>
      <c r="F152">
        <v>49559163.979999997</v>
      </c>
      <c r="G152">
        <v>48579244.780000001</v>
      </c>
      <c r="H152">
        <v>46823236.520000003</v>
      </c>
      <c r="I152">
        <v>46429068.020000003</v>
      </c>
      <c r="J152">
        <v>46127187.810000002</v>
      </c>
      <c r="K152">
        <v>45540504.700000003</v>
      </c>
      <c r="L152">
        <v>44684687.130000003</v>
      </c>
      <c r="M152">
        <v>44212395.270000003</v>
      </c>
      <c r="N152">
        <v>43680163.859999999</v>
      </c>
      <c r="O152">
        <v>43621418.909999996</v>
      </c>
      <c r="P152">
        <v>43773864.689999998</v>
      </c>
      <c r="Q152">
        <v>43162112.420000002</v>
      </c>
      <c r="R152">
        <v>42565700.030000001</v>
      </c>
      <c r="S152">
        <v>41997139.68</v>
      </c>
      <c r="T152">
        <v>42643613.399999999</v>
      </c>
      <c r="U152">
        <v>42656437.859999999</v>
      </c>
      <c r="V152">
        <v>43149658.07</v>
      </c>
      <c r="W152">
        <v>43476431.920000002</v>
      </c>
      <c r="X152">
        <v>43292606.57</v>
      </c>
      <c r="Y152">
        <v>42955425.840000004</v>
      </c>
      <c r="Z152">
        <v>42844918.030000001</v>
      </c>
      <c r="AA152">
        <v>42793500.530000001</v>
      </c>
      <c r="AB152">
        <v>42771787.5</v>
      </c>
      <c r="AC152">
        <v>42788434.609999999</v>
      </c>
      <c r="AD152">
        <v>42328378.520000003</v>
      </c>
      <c r="AE152">
        <v>41891866.829999998</v>
      </c>
      <c r="AF152">
        <v>41487349.210000001</v>
      </c>
      <c r="AG152">
        <v>41103635.700000003</v>
      </c>
      <c r="AH152">
        <v>40723030.18</v>
      </c>
      <c r="AI152">
        <v>40588954.159999996</v>
      </c>
      <c r="AJ152">
        <v>40454415.270000003</v>
      </c>
      <c r="AK152">
        <v>40318145.869999997</v>
      </c>
      <c r="AL152">
        <v>40178927.600000001</v>
      </c>
      <c r="AM152">
        <v>40025448.740000002</v>
      </c>
      <c r="AN152">
        <v>40245037.840000004</v>
      </c>
      <c r="AO152">
        <v>40504327.450000003</v>
      </c>
      <c r="AP152">
        <v>40756083.609999999</v>
      </c>
      <c r="AQ152">
        <v>41004531.57</v>
      </c>
      <c r="AR152">
        <v>41239950.68</v>
      </c>
      <c r="AS152">
        <v>41753352.280000001</v>
      </c>
      <c r="AT152">
        <v>42259915.57</v>
      </c>
      <c r="AU152">
        <v>42771687.140000001</v>
      </c>
      <c r="AV152">
        <v>43287087.159999996</v>
      </c>
      <c r="AW152">
        <v>43823673.829999998</v>
      </c>
    </row>
    <row r="153" spans="2:49" x14ac:dyDescent="0.25">
      <c r="B153" t="s">
        <v>482</v>
      </c>
      <c r="C153">
        <v>9181601.5739378203</v>
      </c>
      <c r="D153">
        <v>9329015.1570805702</v>
      </c>
      <c r="E153">
        <v>9482637.0470000003</v>
      </c>
      <c r="F153">
        <v>10821035.050000001</v>
      </c>
      <c r="G153">
        <v>9127373.6050000004</v>
      </c>
      <c r="H153">
        <v>6589328.3930000002</v>
      </c>
      <c r="I153">
        <v>7814048.0530000003</v>
      </c>
      <c r="J153">
        <v>6152599.7790000001</v>
      </c>
      <c r="K153">
        <v>7128876.4850000003</v>
      </c>
      <c r="L153">
        <v>6401203.0719999997</v>
      </c>
      <c r="M153">
        <v>6440366.4539999999</v>
      </c>
      <c r="N153">
        <v>6621321.6600000001</v>
      </c>
      <c r="O153">
        <v>6047102.8389999997</v>
      </c>
      <c r="P153">
        <v>6409527.7249999996</v>
      </c>
      <c r="Q153">
        <v>6302068.0769999996</v>
      </c>
      <c r="R153">
        <v>6416250.3339999998</v>
      </c>
      <c r="S153">
        <v>6409141.2029999997</v>
      </c>
      <c r="T153">
        <v>6313961.6569999997</v>
      </c>
      <c r="U153">
        <v>6346172.7589999996</v>
      </c>
      <c r="V153">
        <v>6423394.7970000003</v>
      </c>
      <c r="W153">
        <v>6474238.2709999997</v>
      </c>
      <c r="X153">
        <v>6499321.8940000003</v>
      </c>
      <c r="Y153">
        <v>6547423.8660000004</v>
      </c>
      <c r="Z153">
        <v>6612300.1310000001</v>
      </c>
      <c r="AA153">
        <v>6683322.8439999996</v>
      </c>
      <c r="AB153">
        <v>6756481.9179999996</v>
      </c>
      <c r="AC153">
        <v>6833903.6119999997</v>
      </c>
      <c r="AD153">
        <v>6902604.0959999999</v>
      </c>
      <c r="AE153">
        <v>6973414.0619999999</v>
      </c>
      <c r="AF153">
        <v>7050530.4280000003</v>
      </c>
      <c r="AG153">
        <v>7134234.6200000001</v>
      </c>
      <c r="AH153">
        <v>7223112.1890000002</v>
      </c>
      <c r="AI153">
        <v>7324238.2719999999</v>
      </c>
      <c r="AJ153">
        <v>7433196.2300000004</v>
      </c>
      <c r="AK153">
        <v>7545575.9390000002</v>
      </c>
      <c r="AL153">
        <v>7662121.3640000001</v>
      </c>
      <c r="AM153">
        <v>7781302.602</v>
      </c>
      <c r="AN153">
        <v>7895730.7620000001</v>
      </c>
      <c r="AO153">
        <v>8017103.557</v>
      </c>
      <c r="AP153">
        <v>8138679.0070000002</v>
      </c>
      <c r="AQ153">
        <v>8260818.9129999997</v>
      </c>
      <c r="AR153">
        <v>8381522.4230000004</v>
      </c>
      <c r="AS153">
        <v>8501288.818</v>
      </c>
      <c r="AT153">
        <v>8621634.5030000005</v>
      </c>
      <c r="AU153">
        <v>8743794.9110000003</v>
      </c>
      <c r="AV153">
        <v>8867064.8949999996</v>
      </c>
      <c r="AW153">
        <v>8993992.5710000005</v>
      </c>
    </row>
    <row r="154" spans="2:49" x14ac:dyDescent="0.25">
      <c r="B154" t="s">
        <v>483</v>
      </c>
      <c r="C154">
        <v>2568505.4482754301</v>
      </c>
      <c r="D154">
        <v>2609743.6340541099</v>
      </c>
      <c r="E154">
        <v>2652718.5619999999</v>
      </c>
      <c r="F154">
        <v>2757431.4580000001</v>
      </c>
      <c r="G154">
        <v>2739866.19</v>
      </c>
      <c r="H154">
        <v>2260926.5750000002</v>
      </c>
      <c r="I154">
        <v>2332540.9670000002</v>
      </c>
      <c r="J154">
        <v>2441605.2579999999</v>
      </c>
      <c r="K154">
        <v>2382634.9410000001</v>
      </c>
      <c r="L154">
        <v>2318069.7740000002</v>
      </c>
      <c r="M154">
        <v>2318031.4920000001</v>
      </c>
      <c r="N154">
        <v>2449495.0729999999</v>
      </c>
      <c r="O154">
        <v>2453983.88</v>
      </c>
      <c r="P154">
        <v>2453478.5499999998</v>
      </c>
      <c r="Q154">
        <v>2531136.2599999998</v>
      </c>
      <c r="R154">
        <v>2572652.0950000002</v>
      </c>
      <c r="S154">
        <v>2544686.0079999999</v>
      </c>
      <c r="T154">
        <v>2505231.639</v>
      </c>
      <c r="U154">
        <v>2480731.409</v>
      </c>
      <c r="V154">
        <v>2461339.15</v>
      </c>
      <c r="W154">
        <v>2465033.3530000001</v>
      </c>
      <c r="X154">
        <v>2453557.5890000002</v>
      </c>
      <c r="Y154">
        <v>2459254.6940000001</v>
      </c>
      <c r="Z154">
        <v>2470901.8840000001</v>
      </c>
      <c r="AA154">
        <v>2492053.8110000002</v>
      </c>
      <c r="AB154">
        <v>2516688.6120000002</v>
      </c>
      <c r="AC154">
        <v>2542989.7659999998</v>
      </c>
      <c r="AD154">
        <v>2566504.35</v>
      </c>
      <c r="AE154">
        <v>2589798.4959999998</v>
      </c>
      <c r="AF154">
        <v>2617294.2880000002</v>
      </c>
      <c r="AG154">
        <v>2648277.1639999999</v>
      </c>
      <c r="AH154">
        <v>2682136.017</v>
      </c>
      <c r="AI154">
        <v>2721834.1770000001</v>
      </c>
      <c r="AJ154">
        <v>2765236.1639999999</v>
      </c>
      <c r="AK154">
        <v>2809595.4909999999</v>
      </c>
      <c r="AL154">
        <v>2855871.5070000002</v>
      </c>
      <c r="AM154">
        <v>2903024.176</v>
      </c>
      <c r="AN154">
        <v>2944431.2889999999</v>
      </c>
      <c r="AO154">
        <v>2985362.6910000001</v>
      </c>
      <c r="AP154">
        <v>3025903.2519999999</v>
      </c>
      <c r="AQ154">
        <v>3065655.804</v>
      </c>
      <c r="AR154">
        <v>3104235.0120000001</v>
      </c>
      <c r="AS154">
        <v>3144931.3130000001</v>
      </c>
      <c r="AT154">
        <v>3186270.0529999998</v>
      </c>
      <c r="AU154">
        <v>3227949.9739999999</v>
      </c>
      <c r="AV154">
        <v>3269728.6979999999</v>
      </c>
      <c r="AW154">
        <v>3312742.1809999999</v>
      </c>
    </row>
    <row r="155" spans="2:49" x14ac:dyDescent="0.25">
      <c r="B155" t="s">
        <v>484</v>
      </c>
      <c r="C155">
        <v>12693844.6626458</v>
      </c>
      <c r="D155">
        <v>12897648.444645001</v>
      </c>
      <c r="E155">
        <v>13110035.4</v>
      </c>
      <c r="F155">
        <v>13388027.189999999</v>
      </c>
      <c r="G155">
        <v>12853954.76</v>
      </c>
      <c r="H155">
        <v>12579592.6</v>
      </c>
      <c r="I155">
        <v>12375428.33</v>
      </c>
      <c r="J155">
        <v>11813246.99</v>
      </c>
      <c r="K155">
        <v>11190983.23</v>
      </c>
      <c r="L155">
        <v>10944011.869999999</v>
      </c>
      <c r="M155">
        <v>10958984.51</v>
      </c>
      <c r="N155">
        <v>11248194.960000001</v>
      </c>
      <c r="O155">
        <v>10553100.34</v>
      </c>
      <c r="P155">
        <v>9812983.1079999898</v>
      </c>
      <c r="Q155">
        <v>9175387.4550000001</v>
      </c>
      <c r="R155">
        <v>8673761.3560000006</v>
      </c>
      <c r="S155">
        <v>8118406.1560000004</v>
      </c>
      <c r="T155">
        <v>8083557.9280000003</v>
      </c>
      <c r="U155">
        <v>8071303.7220000001</v>
      </c>
      <c r="V155">
        <v>8054175.9479999999</v>
      </c>
      <c r="W155">
        <v>7783866.2510000002</v>
      </c>
      <c r="X155">
        <v>7492408.3190000001</v>
      </c>
      <c r="Y155">
        <v>7257034.5640000002</v>
      </c>
      <c r="Z155">
        <v>7044661.2620000001</v>
      </c>
      <c r="AA155">
        <v>6848522.4050000003</v>
      </c>
      <c r="AB155">
        <v>6666244.4079999998</v>
      </c>
      <c r="AC155">
        <v>6496016.8859999999</v>
      </c>
      <c r="AD155">
        <v>6336077.4890000001</v>
      </c>
      <c r="AE155">
        <v>6187555.4680000003</v>
      </c>
      <c r="AF155">
        <v>6049676.2649999997</v>
      </c>
      <c r="AG155">
        <v>5917845.3260000004</v>
      </c>
      <c r="AH155">
        <v>5793053.7039999999</v>
      </c>
      <c r="AI155">
        <v>5675529.0980000002</v>
      </c>
      <c r="AJ155">
        <v>5563974.7659999998</v>
      </c>
      <c r="AK155">
        <v>5459001.7130000005</v>
      </c>
      <c r="AL155">
        <v>5359553.08</v>
      </c>
      <c r="AM155">
        <v>5265354.5590000004</v>
      </c>
      <c r="AN155">
        <v>5240689.7510000002</v>
      </c>
      <c r="AO155">
        <v>5228969.8820000002</v>
      </c>
      <c r="AP155">
        <v>5219566.8059999999</v>
      </c>
      <c r="AQ155">
        <v>5210138.0870000003</v>
      </c>
      <c r="AR155">
        <v>5200194.6900000004</v>
      </c>
      <c r="AS155">
        <v>5188570.0049999999</v>
      </c>
      <c r="AT155">
        <v>5176327.9720000001</v>
      </c>
      <c r="AU155">
        <v>5162963.216</v>
      </c>
      <c r="AV155">
        <v>5148652.2589999996</v>
      </c>
      <c r="AW155">
        <v>5133458.6739999996</v>
      </c>
    </row>
    <row r="156" spans="2:49" x14ac:dyDescent="0.25">
      <c r="B156" t="s">
        <v>485</v>
      </c>
      <c r="C156">
        <v>1234344.16589374</v>
      </c>
      <c r="D156">
        <v>1254161.9607370901</v>
      </c>
      <c r="E156">
        <v>1274814.3799999999</v>
      </c>
      <c r="F156">
        <v>1251541.291</v>
      </c>
      <c r="G156">
        <v>1175205.189</v>
      </c>
      <c r="H156">
        <v>1204844.057</v>
      </c>
      <c r="I156">
        <v>1137644.868</v>
      </c>
      <c r="J156">
        <v>1054689.1880000001</v>
      </c>
      <c r="K156">
        <v>989245.68359999999</v>
      </c>
      <c r="L156">
        <v>957638.31220000004</v>
      </c>
      <c r="M156">
        <v>933884.2561</v>
      </c>
      <c r="N156">
        <v>927675.30149999994</v>
      </c>
      <c r="O156">
        <v>848254.21600000001</v>
      </c>
      <c r="P156">
        <v>772807.07369999995</v>
      </c>
      <c r="Q156">
        <v>715048.74950000003</v>
      </c>
      <c r="R156">
        <v>668621.56460000004</v>
      </c>
      <c r="S156">
        <v>617644.14240000001</v>
      </c>
      <c r="T156">
        <v>615404.0061</v>
      </c>
      <c r="U156">
        <v>615901.41890000005</v>
      </c>
      <c r="V156">
        <v>615818.353</v>
      </c>
      <c r="W156">
        <v>586772.80790000001</v>
      </c>
      <c r="X156">
        <v>555971.34360000002</v>
      </c>
      <c r="Y156">
        <v>530653.2145</v>
      </c>
      <c r="Z156">
        <v>508513.00170000002</v>
      </c>
      <c r="AA156">
        <v>488625.72389999998</v>
      </c>
      <c r="AB156">
        <v>470592.49329999997</v>
      </c>
      <c r="AC156">
        <v>454132.52149999997</v>
      </c>
      <c r="AD156">
        <v>438978.92800000001</v>
      </c>
      <c r="AE156">
        <v>425233.283</v>
      </c>
      <c r="AF156">
        <v>412754.83270000003</v>
      </c>
      <c r="AG156">
        <v>401015.23869999999</v>
      </c>
      <c r="AH156">
        <v>390087.67460000003</v>
      </c>
      <c r="AI156">
        <v>380011.82189999998</v>
      </c>
      <c r="AJ156">
        <v>370593.69</v>
      </c>
      <c r="AK156">
        <v>361861.30440000002</v>
      </c>
      <c r="AL156">
        <v>353702.4448</v>
      </c>
      <c r="AM156">
        <v>346077.91979999997</v>
      </c>
      <c r="AN156">
        <v>345151.0845</v>
      </c>
      <c r="AO156">
        <v>345463.52620000002</v>
      </c>
      <c r="AP156">
        <v>346012.2537</v>
      </c>
      <c r="AQ156">
        <v>346576.8566</v>
      </c>
      <c r="AR156">
        <v>347110.37839999999</v>
      </c>
      <c r="AS156">
        <v>347536.12420000002</v>
      </c>
      <c r="AT156">
        <v>347922.23969999998</v>
      </c>
      <c r="AU156">
        <v>348223.90429999999</v>
      </c>
      <c r="AV156">
        <v>348455.47039999999</v>
      </c>
      <c r="AW156">
        <v>348623.4841</v>
      </c>
    </row>
    <row r="157" spans="2:49" x14ac:dyDescent="0.25">
      <c r="B157" t="s">
        <v>486</v>
      </c>
      <c r="C157">
        <v>16278955.912495499</v>
      </c>
      <c r="D157">
        <v>16540319.8152481</v>
      </c>
      <c r="E157">
        <v>16805880</v>
      </c>
      <c r="F157">
        <v>16657098.810000001</v>
      </c>
      <c r="G157">
        <v>15807544.470000001</v>
      </c>
      <c r="H157">
        <v>15151387.68</v>
      </c>
      <c r="I157">
        <v>14670989.119999999</v>
      </c>
      <c r="J157">
        <v>12855429.09</v>
      </c>
      <c r="K157">
        <v>11207600.630000001</v>
      </c>
      <c r="L157">
        <v>9838781.8350000009</v>
      </c>
      <c r="M157">
        <v>8798859.5250000004</v>
      </c>
      <c r="N157">
        <v>7941887.5120000001</v>
      </c>
      <c r="O157">
        <v>7197327.1050000004</v>
      </c>
      <c r="P157">
        <v>6469450.6830000002</v>
      </c>
      <c r="Q157">
        <v>5711303.3370000003</v>
      </c>
      <c r="R157">
        <v>5072924.5279999999</v>
      </c>
      <c r="S157">
        <v>4436183.4970000004</v>
      </c>
      <c r="T157">
        <v>5224097.9579999996</v>
      </c>
      <c r="U157">
        <v>5962558.5159999998</v>
      </c>
      <c r="V157">
        <v>6707098.5580000002</v>
      </c>
      <c r="W157">
        <v>8160575.1349999998</v>
      </c>
      <c r="X157">
        <v>9526528.3780000005</v>
      </c>
      <c r="Y157">
        <v>9650696.6119999997</v>
      </c>
      <c r="Z157">
        <v>9812859.84799999</v>
      </c>
      <c r="AA157">
        <v>9989077.1679999996</v>
      </c>
      <c r="AB157">
        <v>10210113.710000001</v>
      </c>
      <c r="AC157">
        <v>10442103.050000001</v>
      </c>
      <c r="AD157">
        <v>10552625.390000001</v>
      </c>
      <c r="AE157">
        <v>10658720.85</v>
      </c>
      <c r="AF157">
        <v>10765374.550000001</v>
      </c>
      <c r="AG157">
        <v>10902617.359999999</v>
      </c>
      <c r="AH157">
        <v>11035797.869999999</v>
      </c>
      <c r="AI157">
        <v>11165680.800000001</v>
      </c>
      <c r="AJ157">
        <v>11299078.890000001</v>
      </c>
      <c r="AK157">
        <v>11435412.470000001</v>
      </c>
      <c r="AL157">
        <v>11601646.99</v>
      </c>
      <c r="AM157">
        <v>11768213.9</v>
      </c>
      <c r="AN157">
        <v>11845520.59</v>
      </c>
      <c r="AO157">
        <v>11922002.26</v>
      </c>
      <c r="AP157">
        <v>11995382.02</v>
      </c>
      <c r="AQ157">
        <v>12068042.59</v>
      </c>
      <c r="AR157">
        <v>12137545.1</v>
      </c>
      <c r="AS157">
        <v>12146988.029999999</v>
      </c>
      <c r="AT157">
        <v>12160304.41</v>
      </c>
      <c r="AU157">
        <v>12176040.460000001</v>
      </c>
      <c r="AV157">
        <v>12193629.48</v>
      </c>
      <c r="AW157">
        <v>12217656.67</v>
      </c>
    </row>
    <row r="158" spans="2:49" x14ac:dyDescent="0.25">
      <c r="B158" t="s">
        <v>487</v>
      </c>
      <c r="C158">
        <v>4315668.6239754204</v>
      </c>
      <c r="D158">
        <v>4384958.0796759203</v>
      </c>
      <c r="E158">
        <v>4455360</v>
      </c>
      <c r="F158">
        <v>4312703.7359999996</v>
      </c>
      <c r="G158">
        <v>4152285.4079999998</v>
      </c>
      <c r="H158">
        <v>3747405.8689999999</v>
      </c>
      <c r="I158">
        <v>3587868.5809999998</v>
      </c>
      <c r="J158">
        <v>3468629.6170000001</v>
      </c>
      <c r="K158">
        <v>3314671.0019999999</v>
      </c>
      <c r="L158">
        <v>3116669.9479999999</v>
      </c>
      <c r="M158">
        <v>2919515.477</v>
      </c>
      <c r="N158">
        <v>2701395.8659999999</v>
      </c>
      <c r="O158">
        <v>2367635.1660000002</v>
      </c>
      <c r="P158">
        <v>2095843.88</v>
      </c>
      <c r="Q158">
        <v>1850159.537</v>
      </c>
      <c r="R158">
        <v>1551946.8160000001</v>
      </c>
      <c r="S158">
        <v>1243654.8529999999</v>
      </c>
      <c r="T158">
        <v>1550505.9720000001</v>
      </c>
      <c r="U158">
        <v>1922352.3470000001</v>
      </c>
      <c r="V158">
        <v>2312195.4530000002</v>
      </c>
      <c r="W158">
        <v>2491259.6540000001</v>
      </c>
      <c r="X158">
        <v>2648121.0019999999</v>
      </c>
      <c r="Y158">
        <v>2659044.2949999999</v>
      </c>
      <c r="Z158">
        <v>2655017.5320000001</v>
      </c>
      <c r="AA158">
        <v>2650040.8730000001</v>
      </c>
      <c r="AB158">
        <v>2647566.2949999999</v>
      </c>
      <c r="AC158">
        <v>2645907.5929999999</v>
      </c>
      <c r="AD158">
        <v>2686994.8080000002</v>
      </c>
      <c r="AE158">
        <v>2732561.37</v>
      </c>
      <c r="AF158">
        <v>2778796.3620000002</v>
      </c>
      <c r="AG158">
        <v>2826782.3659999999</v>
      </c>
      <c r="AH158">
        <v>2875019.611</v>
      </c>
      <c r="AI158">
        <v>2866390.7439999999</v>
      </c>
      <c r="AJ158">
        <v>2852036.3620000002</v>
      </c>
      <c r="AK158">
        <v>2836784.0060000001</v>
      </c>
      <c r="AL158">
        <v>2820172.7110000001</v>
      </c>
      <c r="AM158">
        <v>2802893.7450000001</v>
      </c>
      <c r="AN158">
        <v>2841301.91</v>
      </c>
      <c r="AO158">
        <v>2884861.273</v>
      </c>
      <c r="AP158">
        <v>2927866.3590000002</v>
      </c>
      <c r="AQ158">
        <v>2970104.068</v>
      </c>
      <c r="AR158">
        <v>3011223.45</v>
      </c>
      <c r="AS158">
        <v>3034091.5980000002</v>
      </c>
      <c r="AT158">
        <v>3054585.443</v>
      </c>
      <c r="AU158">
        <v>3074315.6880000001</v>
      </c>
      <c r="AV158">
        <v>3093239.1940000001</v>
      </c>
      <c r="AW158">
        <v>3112724.665</v>
      </c>
    </row>
    <row r="159" spans="2:49" x14ac:dyDescent="0.25">
      <c r="B159" t="s">
        <v>488</v>
      </c>
      <c r="C159">
        <v>4315668.6239754204</v>
      </c>
      <c r="D159">
        <v>4384958.0796759203</v>
      </c>
      <c r="E159">
        <v>4455360</v>
      </c>
      <c r="F159">
        <v>4312703.7359999996</v>
      </c>
      <c r="G159">
        <v>4152285.4079999998</v>
      </c>
      <c r="H159">
        <v>3747405.8689999999</v>
      </c>
      <c r="I159">
        <v>3587868.5809999998</v>
      </c>
      <c r="J159">
        <v>3468629.6170000001</v>
      </c>
      <c r="K159">
        <v>3314671.0019999999</v>
      </c>
      <c r="L159">
        <v>3116669.9479999999</v>
      </c>
      <c r="M159">
        <v>2919515.477</v>
      </c>
      <c r="N159">
        <v>2701395.8659999999</v>
      </c>
      <c r="O159">
        <v>2367635.1660000002</v>
      </c>
      <c r="P159">
        <v>2095843.88</v>
      </c>
      <c r="Q159">
        <v>1850159.537</v>
      </c>
      <c r="R159">
        <v>1551946.8160000001</v>
      </c>
      <c r="S159">
        <v>1243654.8529999999</v>
      </c>
      <c r="T159">
        <v>1550505.9720000001</v>
      </c>
      <c r="U159">
        <v>1922352.3470000001</v>
      </c>
      <c r="V159">
        <v>2312195.4530000002</v>
      </c>
      <c r="W159">
        <v>2491259.6540000001</v>
      </c>
      <c r="X159">
        <v>2648121.0019999999</v>
      </c>
      <c r="Y159">
        <v>2659044.2949999999</v>
      </c>
      <c r="Z159">
        <v>2655017.5320000001</v>
      </c>
      <c r="AA159">
        <v>2650040.8730000001</v>
      </c>
      <c r="AB159">
        <v>2647566.2949999999</v>
      </c>
      <c r="AC159">
        <v>2645907.5929999999</v>
      </c>
      <c r="AD159">
        <v>2686994.8080000002</v>
      </c>
      <c r="AE159">
        <v>2732561.37</v>
      </c>
      <c r="AF159">
        <v>2778796.3620000002</v>
      </c>
      <c r="AG159">
        <v>2826782.3659999999</v>
      </c>
      <c r="AH159">
        <v>2875019.611</v>
      </c>
      <c r="AI159">
        <v>2866390.7439999999</v>
      </c>
      <c r="AJ159">
        <v>2852036.3620000002</v>
      </c>
      <c r="AK159">
        <v>2836784.0060000001</v>
      </c>
      <c r="AL159">
        <v>2820172.7110000001</v>
      </c>
      <c r="AM159">
        <v>2802893.7450000001</v>
      </c>
      <c r="AN159">
        <v>2841301.91</v>
      </c>
      <c r="AO159">
        <v>2884861.273</v>
      </c>
      <c r="AP159">
        <v>2927866.3590000002</v>
      </c>
      <c r="AQ159">
        <v>2970104.068</v>
      </c>
      <c r="AR159">
        <v>3011223.45</v>
      </c>
      <c r="AS159">
        <v>3034091.5980000002</v>
      </c>
      <c r="AT159">
        <v>3054585.443</v>
      </c>
      <c r="AU159">
        <v>3074315.6880000001</v>
      </c>
      <c r="AV159">
        <v>3093239.1940000001</v>
      </c>
      <c r="AW159">
        <v>3112724.665</v>
      </c>
    </row>
    <row r="160" spans="2:49" x14ac:dyDescent="0.25">
      <c r="B160" t="s">
        <v>489</v>
      </c>
      <c r="C160">
        <v>8232235.5397947598</v>
      </c>
      <c r="D160">
        <v>8364406.7441781899</v>
      </c>
      <c r="E160">
        <v>8498700</v>
      </c>
      <c r="F160">
        <v>8425133.9179999996</v>
      </c>
      <c r="G160">
        <v>8351172.1220000004</v>
      </c>
      <c r="H160">
        <v>7763208.5250000004</v>
      </c>
      <c r="I160">
        <v>7655956.3109999998</v>
      </c>
      <c r="J160">
        <v>7623505.8219999997</v>
      </c>
      <c r="K160">
        <v>7503300.1969999997</v>
      </c>
      <c r="L160">
        <v>7266089.21</v>
      </c>
      <c r="M160">
        <v>7009761.1490000002</v>
      </c>
      <c r="N160">
        <v>6679582.1090000002</v>
      </c>
      <c r="O160">
        <v>7005701.3380000005</v>
      </c>
      <c r="P160">
        <v>7596687.7479999997</v>
      </c>
      <c r="Q160">
        <v>8362301.6689999998</v>
      </c>
      <c r="R160">
        <v>8969499.3359999899</v>
      </c>
      <c r="S160">
        <v>9556858.9910000004</v>
      </c>
      <c r="T160">
        <v>8846237.5779999997</v>
      </c>
      <c r="U160">
        <v>8055114.0099999998</v>
      </c>
      <c r="V160">
        <v>7311962.0800000001</v>
      </c>
      <c r="W160">
        <v>5350582.9289999995</v>
      </c>
      <c r="X160">
        <v>3006671.2609999999</v>
      </c>
      <c r="Y160">
        <v>2800866.574</v>
      </c>
      <c r="Z160">
        <v>2770283.432</v>
      </c>
      <c r="AA160">
        <v>2757719.7990000001</v>
      </c>
      <c r="AB160">
        <v>2748530.33</v>
      </c>
      <c r="AC160">
        <v>2739958.73</v>
      </c>
      <c r="AD160">
        <v>2730781.9169999999</v>
      </c>
      <c r="AE160">
        <v>2721115.7949999999</v>
      </c>
      <c r="AF160">
        <v>2711598.1460000002</v>
      </c>
      <c r="AG160">
        <v>2701748.0780000002</v>
      </c>
      <c r="AH160">
        <v>2691973.7710000002</v>
      </c>
      <c r="AI160">
        <v>2697823.7220000001</v>
      </c>
      <c r="AJ160">
        <v>2703676.7930000001</v>
      </c>
      <c r="AK160">
        <v>2708893.727</v>
      </c>
      <c r="AL160">
        <v>2713409.8480000002</v>
      </c>
      <c r="AM160">
        <v>2717040.3489999999</v>
      </c>
      <c r="AN160">
        <v>2715647.4070000001</v>
      </c>
      <c r="AO160">
        <v>2713267.287</v>
      </c>
      <c r="AP160">
        <v>2709718.62</v>
      </c>
      <c r="AQ160">
        <v>2705391.1660000002</v>
      </c>
      <c r="AR160">
        <v>2700058.4870000002</v>
      </c>
      <c r="AS160">
        <v>3582112.673</v>
      </c>
      <c r="AT160">
        <v>4565963.5020000003</v>
      </c>
      <c r="AU160">
        <v>5552673.6569999997</v>
      </c>
      <c r="AV160">
        <v>6527271.2130000005</v>
      </c>
      <c r="AW160">
        <v>7490418.7359999996</v>
      </c>
    </row>
    <row r="161" spans="2:49" x14ac:dyDescent="0.25">
      <c r="B161" t="s">
        <v>490</v>
      </c>
      <c r="C161">
        <v>20174774.421468802</v>
      </c>
      <c r="D161">
        <v>20498686.950521201</v>
      </c>
      <c r="E161">
        <v>20827800</v>
      </c>
      <c r="F161">
        <v>19728417.02</v>
      </c>
      <c r="G161">
        <v>18537090.329999998</v>
      </c>
      <c r="H161">
        <v>16322442.32</v>
      </c>
      <c r="I161">
        <v>15247192.5</v>
      </c>
      <c r="J161">
        <v>14382015.380000001</v>
      </c>
      <c r="K161">
        <v>13409740.859999999</v>
      </c>
      <c r="L161">
        <v>12302608.720000001</v>
      </c>
      <c r="M161">
        <v>11244805.630000001</v>
      </c>
      <c r="N161">
        <v>10152463.300000001</v>
      </c>
      <c r="O161">
        <v>8595716.1899999995</v>
      </c>
      <c r="P161">
        <v>7262975.3689999999</v>
      </c>
      <c r="Q161">
        <v>6000199.3839999996</v>
      </c>
      <c r="R161">
        <v>4543883.4610000001</v>
      </c>
      <c r="S161">
        <v>3044063.5780000002</v>
      </c>
      <c r="T161">
        <v>2798327.6869999999</v>
      </c>
      <c r="U161">
        <v>2652136.6439999999</v>
      </c>
      <c r="V161">
        <v>2524922.5</v>
      </c>
      <c r="W161">
        <v>1741774.878</v>
      </c>
      <c r="X161">
        <v>911603.14569999999</v>
      </c>
      <c r="Y161">
        <v>856469.42059999995</v>
      </c>
      <c r="Z161">
        <v>856424.67720000003</v>
      </c>
      <c r="AA161">
        <v>862138.03379999998</v>
      </c>
      <c r="AB161">
        <v>869225.02610000002</v>
      </c>
      <c r="AC161">
        <v>876599.02</v>
      </c>
      <c r="AD161">
        <v>882629.47939999995</v>
      </c>
      <c r="AE161">
        <v>888506.58479999995</v>
      </c>
      <c r="AF161">
        <v>894434.65090000001</v>
      </c>
      <c r="AG161">
        <v>900456.09809999994</v>
      </c>
      <c r="AH161">
        <v>906516.19209999999</v>
      </c>
      <c r="AI161">
        <v>913019.20660000003</v>
      </c>
      <c r="AJ161">
        <v>919544.89850000001</v>
      </c>
      <c r="AK161">
        <v>925862.53700000001</v>
      </c>
      <c r="AL161">
        <v>932043.64650000003</v>
      </c>
      <c r="AM161">
        <v>937930.32570000004</v>
      </c>
      <c r="AN161">
        <v>943309.78170000005</v>
      </c>
      <c r="AO161">
        <v>948379.37349999999</v>
      </c>
      <c r="AP161">
        <v>953071.64729999995</v>
      </c>
      <c r="AQ161">
        <v>957519.57310000004</v>
      </c>
      <c r="AR161">
        <v>961639.85389999999</v>
      </c>
      <c r="AS161">
        <v>965492.59759999998</v>
      </c>
      <c r="AT161">
        <v>969157.30200000003</v>
      </c>
      <c r="AU161">
        <v>972623.14199999999</v>
      </c>
      <c r="AV161">
        <v>975825.00280000002</v>
      </c>
      <c r="AW161">
        <v>979192.08160000003</v>
      </c>
    </row>
    <row r="162" spans="2:49" x14ac:dyDescent="0.25">
      <c r="B162" t="s">
        <v>491</v>
      </c>
      <c r="C162">
        <v>463787.91773491597</v>
      </c>
      <c r="D162">
        <v>471234.182770602</v>
      </c>
      <c r="E162">
        <v>478800</v>
      </c>
      <c r="F162">
        <v>479110.9865</v>
      </c>
      <c r="G162">
        <v>463143.90149999998</v>
      </c>
      <c r="H162">
        <v>440613.11229999998</v>
      </c>
      <c r="I162">
        <v>447243.7782</v>
      </c>
      <c r="J162">
        <v>464934.98800000001</v>
      </c>
      <c r="K162">
        <v>465880.27260000003</v>
      </c>
      <c r="L162">
        <v>476146.23450000002</v>
      </c>
      <c r="M162">
        <v>498849.99550000002</v>
      </c>
      <c r="N162">
        <v>532261.70440000005</v>
      </c>
      <c r="O162">
        <v>508664.20390000002</v>
      </c>
      <c r="P162">
        <v>472559.10590000002</v>
      </c>
      <c r="Q162">
        <v>415959.96220000001</v>
      </c>
      <c r="R162">
        <v>368618.245</v>
      </c>
      <c r="S162">
        <v>327355.37959999999</v>
      </c>
      <c r="T162">
        <v>304921.3812</v>
      </c>
      <c r="U162">
        <v>283184.1888</v>
      </c>
      <c r="V162">
        <v>263102.54259999999</v>
      </c>
      <c r="W162">
        <v>276887.78049999999</v>
      </c>
      <c r="X162">
        <v>290121.53220000002</v>
      </c>
      <c r="Y162">
        <v>287848.18400000001</v>
      </c>
      <c r="Z162">
        <v>286803.05910000001</v>
      </c>
      <c r="AA162">
        <v>286415.03850000002</v>
      </c>
      <c r="AB162">
        <v>286734.7708</v>
      </c>
      <c r="AC162">
        <v>287557.18660000002</v>
      </c>
      <c r="AD162">
        <v>286554.42660000001</v>
      </c>
      <c r="AE162">
        <v>285558.28769999999</v>
      </c>
      <c r="AF162">
        <v>284521.68939999997</v>
      </c>
      <c r="AG162">
        <v>283619.06630000001</v>
      </c>
      <c r="AH162">
        <v>282821.06939999998</v>
      </c>
      <c r="AI162">
        <v>282047.8873</v>
      </c>
      <c r="AJ162">
        <v>281289.06839999999</v>
      </c>
      <c r="AK162">
        <v>280590.29100000003</v>
      </c>
      <c r="AL162">
        <v>279921.52470000001</v>
      </c>
      <c r="AM162">
        <v>279235.45929999999</v>
      </c>
      <c r="AN162">
        <v>277718.16769999999</v>
      </c>
      <c r="AO162">
        <v>276228.56359999999</v>
      </c>
      <c r="AP162">
        <v>274622.99190000002</v>
      </c>
      <c r="AQ162">
        <v>272937.85749999998</v>
      </c>
      <c r="AR162">
        <v>271129.24859999999</v>
      </c>
      <c r="AS162">
        <v>269876.5809</v>
      </c>
      <c r="AT162">
        <v>268561.54340000002</v>
      </c>
      <c r="AU162">
        <v>267150.8469</v>
      </c>
      <c r="AV162">
        <v>265648.13520000002</v>
      </c>
      <c r="AW162">
        <v>264151.6152</v>
      </c>
    </row>
    <row r="163" spans="2:49" x14ac:dyDescent="0.25">
      <c r="B163" t="s">
        <v>492</v>
      </c>
      <c r="C163">
        <v>748170.71461916296</v>
      </c>
      <c r="D163">
        <v>760182.83744504896</v>
      </c>
      <c r="E163">
        <v>772387.81880000001</v>
      </c>
      <c r="F163">
        <v>783013.04410000006</v>
      </c>
      <c r="G163">
        <v>744165.12239999999</v>
      </c>
      <c r="H163">
        <v>730120.18929999997</v>
      </c>
      <c r="I163">
        <v>757090.64069999999</v>
      </c>
      <c r="J163">
        <v>727818.61849999998</v>
      </c>
      <c r="K163">
        <v>696603.21900000004</v>
      </c>
      <c r="L163">
        <v>656881.51370000001</v>
      </c>
      <c r="M163">
        <v>674404.66870000004</v>
      </c>
      <c r="N163">
        <v>670125.12150000001</v>
      </c>
      <c r="O163">
        <v>668867.97660000005</v>
      </c>
      <c r="P163">
        <v>675010.60900000005</v>
      </c>
      <c r="Q163">
        <v>634289.38170000003</v>
      </c>
      <c r="R163">
        <v>616965.93920000002</v>
      </c>
      <c r="S163">
        <v>615126.15399999998</v>
      </c>
      <c r="T163">
        <v>598420.08109999995</v>
      </c>
      <c r="U163">
        <v>581515.84329999995</v>
      </c>
      <c r="V163">
        <v>569677.76890000002</v>
      </c>
      <c r="W163">
        <v>606562.02590000001</v>
      </c>
      <c r="X163">
        <v>638374.51229999994</v>
      </c>
      <c r="Y163">
        <v>637351.60690000001</v>
      </c>
      <c r="Z163">
        <v>637512.94400000002</v>
      </c>
      <c r="AA163">
        <v>638539.4571</v>
      </c>
      <c r="AB163">
        <v>639774.03460000001</v>
      </c>
      <c r="AC163">
        <v>641532.50069999998</v>
      </c>
      <c r="AD163">
        <v>643193.03339999996</v>
      </c>
      <c r="AE163">
        <v>645137.50890000002</v>
      </c>
      <c r="AF163">
        <v>646739.67139999999</v>
      </c>
      <c r="AG163">
        <v>648956.32920000004</v>
      </c>
      <c r="AH163">
        <v>652217.62199999997</v>
      </c>
      <c r="AI163">
        <v>658478.06019999995</v>
      </c>
      <c r="AJ163">
        <v>665549.16449999996</v>
      </c>
      <c r="AK163">
        <v>672646.39199999999</v>
      </c>
      <c r="AL163">
        <v>679882.83310000005</v>
      </c>
      <c r="AM163">
        <v>687143.97120000003</v>
      </c>
      <c r="AN163">
        <v>694053.75809999998</v>
      </c>
      <c r="AO163">
        <v>701421.20030000003</v>
      </c>
      <c r="AP163">
        <v>708554.13249999995</v>
      </c>
      <c r="AQ163">
        <v>715569.18</v>
      </c>
      <c r="AR163">
        <v>722380.27509999997</v>
      </c>
      <c r="AS163">
        <v>729043.52099999995</v>
      </c>
      <c r="AT163">
        <v>735681.04269999999</v>
      </c>
      <c r="AU163">
        <v>742327.40910000005</v>
      </c>
      <c r="AV163">
        <v>748889.52229999995</v>
      </c>
      <c r="AW163">
        <v>755498.55729999999</v>
      </c>
    </row>
    <row r="164" spans="2:49" x14ac:dyDescent="0.25">
      <c r="B164" s="247" t="s">
        <v>493</v>
      </c>
      <c r="C164">
        <v>5051155.6907064496</v>
      </c>
      <c r="D164">
        <v>5132253.62916335</v>
      </c>
      <c r="E164">
        <v>5214653.6210000003</v>
      </c>
      <c r="F164">
        <v>5248357.7529999996</v>
      </c>
      <c r="G164">
        <v>4939050.3899999997</v>
      </c>
      <c r="H164">
        <v>4803485.4139999999</v>
      </c>
      <c r="I164">
        <v>4766540.193</v>
      </c>
      <c r="J164">
        <v>4675418.068</v>
      </c>
      <c r="K164">
        <v>4370279.9249999998</v>
      </c>
      <c r="L164">
        <v>4176264.9270000001</v>
      </c>
      <c r="M164">
        <v>4159367.2319999998</v>
      </c>
      <c r="N164">
        <v>4106114.4309999999</v>
      </c>
      <c r="O164">
        <v>4078924.2239999999</v>
      </c>
      <c r="P164">
        <v>4077726.773</v>
      </c>
      <c r="Q164">
        <v>3893361.878</v>
      </c>
      <c r="R164">
        <v>3757375.6439999999</v>
      </c>
      <c r="S164">
        <v>3759440.6469999999</v>
      </c>
      <c r="T164">
        <v>3628472.548</v>
      </c>
      <c r="U164">
        <v>3519309.7390000001</v>
      </c>
      <c r="V164">
        <v>3429589.733</v>
      </c>
      <c r="W164">
        <v>3643903.7689999999</v>
      </c>
      <c r="X164">
        <v>3827129.0619999999</v>
      </c>
      <c r="Y164">
        <v>3817110.8930000002</v>
      </c>
      <c r="Z164">
        <v>3812903.5320000001</v>
      </c>
      <c r="AA164">
        <v>3813032.9890000001</v>
      </c>
      <c r="AB164">
        <v>3814408.1690000002</v>
      </c>
      <c r="AC164">
        <v>3818373.6170000001</v>
      </c>
      <c r="AD164">
        <v>3824897.8590000002</v>
      </c>
      <c r="AE164">
        <v>3833933.9559999998</v>
      </c>
      <c r="AF164">
        <v>3842093.9559999998</v>
      </c>
      <c r="AG164">
        <v>3853127.5389999999</v>
      </c>
      <c r="AH164">
        <v>3870340.392</v>
      </c>
      <c r="AI164">
        <v>3906179.821</v>
      </c>
      <c r="AJ164">
        <v>3946485.1740000001</v>
      </c>
      <c r="AK164">
        <v>3987612.5049999999</v>
      </c>
      <c r="AL164">
        <v>4029724.8969999999</v>
      </c>
      <c r="AM164">
        <v>4072459.7510000002</v>
      </c>
      <c r="AN164">
        <v>4112534.2779999999</v>
      </c>
      <c r="AO164">
        <v>4154828.3590000002</v>
      </c>
      <c r="AP164">
        <v>4196199.199</v>
      </c>
      <c r="AQ164">
        <v>4236947.6689999998</v>
      </c>
      <c r="AR164">
        <v>4276780.233</v>
      </c>
      <c r="AS164">
        <v>4315436.301</v>
      </c>
      <c r="AT164">
        <v>4354102.2130000005</v>
      </c>
      <c r="AU164">
        <v>4392790.1229999997</v>
      </c>
      <c r="AV164">
        <v>4431098.7429999998</v>
      </c>
      <c r="AW164">
        <v>4469193.7139999997</v>
      </c>
    </row>
    <row r="165" spans="2:49" x14ac:dyDescent="0.25">
      <c r="B165" s="247" t="s">
        <v>494</v>
      </c>
      <c r="C165">
        <v>738109.45702439197</v>
      </c>
      <c r="D165">
        <v>749960.04310518701</v>
      </c>
      <c r="E165">
        <v>762000.89419999998</v>
      </c>
      <c r="F165">
        <v>751862.72309999994</v>
      </c>
      <c r="G165">
        <v>703650.81259999995</v>
      </c>
      <c r="H165">
        <v>593450.00630000001</v>
      </c>
      <c r="I165">
        <v>645184.41189999995</v>
      </c>
      <c r="J165">
        <v>634813.50699999998</v>
      </c>
      <c r="K165">
        <v>604845.53619999997</v>
      </c>
      <c r="L165">
        <v>589525.90500000003</v>
      </c>
      <c r="M165">
        <v>601109.95109999995</v>
      </c>
      <c r="N165">
        <v>641206.64049999998</v>
      </c>
      <c r="O165">
        <v>634454.77020000003</v>
      </c>
      <c r="P165">
        <v>627226.02509999997</v>
      </c>
      <c r="Q165">
        <v>578615.22790000006</v>
      </c>
      <c r="R165">
        <v>551479.1764</v>
      </c>
      <c r="S165">
        <v>507605.0735</v>
      </c>
      <c r="T165">
        <v>492120.71260000003</v>
      </c>
      <c r="U165">
        <v>471550.46289999998</v>
      </c>
      <c r="V165">
        <v>463349.0956</v>
      </c>
      <c r="W165">
        <v>486770.32939999999</v>
      </c>
      <c r="X165">
        <v>503973.49070000002</v>
      </c>
      <c r="Y165">
        <v>499065.96429999999</v>
      </c>
      <c r="Z165">
        <v>495804.70740000001</v>
      </c>
      <c r="AA165">
        <v>494241.89399999997</v>
      </c>
      <c r="AB165">
        <v>492542.38219999999</v>
      </c>
      <c r="AC165">
        <v>490750.34519999998</v>
      </c>
      <c r="AD165">
        <v>487587.01179999998</v>
      </c>
      <c r="AE165">
        <v>480941.67369999998</v>
      </c>
      <c r="AF165">
        <v>477219.53450000001</v>
      </c>
      <c r="AG165">
        <v>475032.32980000001</v>
      </c>
      <c r="AH165">
        <v>469884.34970000002</v>
      </c>
      <c r="AI165">
        <v>474036.40700000001</v>
      </c>
      <c r="AJ165">
        <v>477131.5171</v>
      </c>
      <c r="AK165">
        <v>479274.08439999999</v>
      </c>
      <c r="AL165">
        <v>481171.52750000003</v>
      </c>
      <c r="AM165">
        <v>482706.19640000002</v>
      </c>
      <c r="AN165">
        <v>483058.74200000003</v>
      </c>
      <c r="AO165">
        <v>484639.06699999998</v>
      </c>
      <c r="AP165">
        <v>486285.2231</v>
      </c>
      <c r="AQ165">
        <v>487934.73670000001</v>
      </c>
      <c r="AR165">
        <v>489413.62349999999</v>
      </c>
      <c r="AS165">
        <v>490495.326</v>
      </c>
      <c r="AT165">
        <v>491791.01870000002</v>
      </c>
      <c r="AU165">
        <v>493250.0049</v>
      </c>
      <c r="AV165">
        <v>494715.13699999999</v>
      </c>
      <c r="AW165">
        <v>496370.3273</v>
      </c>
    </row>
    <row r="166" spans="2:49" x14ac:dyDescent="0.25">
      <c r="B166" s="247" t="s">
        <v>495</v>
      </c>
      <c r="C166">
        <v>1453742.3069470399</v>
      </c>
      <c r="D166">
        <v>1477082.6099113501</v>
      </c>
      <c r="E166">
        <v>1500797.649</v>
      </c>
      <c r="F166">
        <v>1490758.4669999999</v>
      </c>
      <c r="G166">
        <v>1346660.0870000001</v>
      </c>
      <c r="H166">
        <v>1139491.041</v>
      </c>
      <c r="I166">
        <v>1151560.605</v>
      </c>
      <c r="J166">
        <v>1246178.872</v>
      </c>
      <c r="K166">
        <v>1108340.7350000001</v>
      </c>
      <c r="L166">
        <v>1036418.84</v>
      </c>
      <c r="M166">
        <v>1039133.182</v>
      </c>
      <c r="N166">
        <v>1029040.403</v>
      </c>
      <c r="O166">
        <v>1079852.72</v>
      </c>
      <c r="P166">
        <v>1120494.067</v>
      </c>
      <c r="Q166">
        <v>1102466.534</v>
      </c>
      <c r="R166">
        <v>1079777.395</v>
      </c>
      <c r="S166">
        <v>1063669.3600000001</v>
      </c>
      <c r="T166">
        <v>1024086.9939999999</v>
      </c>
      <c r="U166">
        <v>975272.92330000002</v>
      </c>
      <c r="V166">
        <v>935795.59349999996</v>
      </c>
      <c r="W166">
        <v>1039298.265</v>
      </c>
      <c r="X166">
        <v>1139169.2150000001</v>
      </c>
      <c r="Y166">
        <v>1219267.128</v>
      </c>
      <c r="Z166">
        <v>1325067.9369999999</v>
      </c>
      <c r="AA166">
        <v>1451448.588</v>
      </c>
      <c r="AB166">
        <v>1598822.4809999999</v>
      </c>
      <c r="AC166">
        <v>1770784.0209999999</v>
      </c>
      <c r="AD166">
        <v>1768659.388</v>
      </c>
      <c r="AE166">
        <v>1766678.0220000001</v>
      </c>
      <c r="AF166">
        <v>1766169.1359999999</v>
      </c>
      <c r="AG166">
        <v>1767147.574</v>
      </c>
      <c r="AH166">
        <v>1768855.1240000001</v>
      </c>
      <c r="AI166">
        <v>1782003.38</v>
      </c>
      <c r="AJ166">
        <v>1795557.246</v>
      </c>
      <c r="AK166">
        <v>1809317.449</v>
      </c>
      <c r="AL166">
        <v>1823278.9350000001</v>
      </c>
      <c r="AM166">
        <v>1837137.4739999999</v>
      </c>
      <c r="AN166">
        <v>1832307.953</v>
      </c>
      <c r="AO166">
        <v>1825223.061</v>
      </c>
      <c r="AP166">
        <v>1815802.4979999999</v>
      </c>
      <c r="AQ166">
        <v>1804616.0719999999</v>
      </c>
      <c r="AR166">
        <v>1791151.1839999999</v>
      </c>
      <c r="AS166">
        <v>1787988.605</v>
      </c>
      <c r="AT166">
        <v>1786245.219</v>
      </c>
      <c r="AU166">
        <v>1784379.3870000001</v>
      </c>
      <c r="AV166">
        <v>1781997.798</v>
      </c>
      <c r="AW166">
        <v>1779675.7720000001</v>
      </c>
    </row>
    <row r="167" spans="2:49" x14ac:dyDescent="0.25">
      <c r="B167" s="247" t="s">
        <v>496</v>
      </c>
      <c r="C167">
        <v>1819036.8432423901</v>
      </c>
      <c r="D167">
        <v>1848242.0681447799</v>
      </c>
      <c r="E167">
        <v>1877916.192</v>
      </c>
      <c r="F167">
        <v>1868293.7390000001</v>
      </c>
      <c r="G167">
        <v>1701745.2290000001</v>
      </c>
      <c r="H167">
        <v>1421556.0919999999</v>
      </c>
      <c r="I167">
        <v>1466741.79</v>
      </c>
      <c r="J167">
        <v>1614006.325</v>
      </c>
      <c r="K167">
        <v>1437392.4410000001</v>
      </c>
      <c r="L167">
        <v>1340905.9210000001</v>
      </c>
      <c r="M167">
        <v>1339421.419</v>
      </c>
      <c r="N167">
        <v>1308768.2169999999</v>
      </c>
      <c r="O167">
        <v>1405224.077</v>
      </c>
      <c r="P167">
        <v>1506034.4990000001</v>
      </c>
      <c r="Q167">
        <v>1521021.54</v>
      </c>
      <c r="R167">
        <v>1520775.284</v>
      </c>
      <c r="S167">
        <v>1530826.1229999999</v>
      </c>
      <c r="T167">
        <v>1506409.0619999999</v>
      </c>
      <c r="U167">
        <v>1437135.1680000001</v>
      </c>
      <c r="V167">
        <v>1396663.5249999999</v>
      </c>
      <c r="W167">
        <v>1445562.7690000001</v>
      </c>
      <c r="X167">
        <v>1473689.5490000001</v>
      </c>
      <c r="Y167">
        <v>1428074.176</v>
      </c>
      <c r="Z167">
        <v>1406340.077</v>
      </c>
      <c r="AA167">
        <v>1392433.02</v>
      </c>
      <c r="AB167">
        <v>1381811.456</v>
      </c>
      <c r="AC167">
        <v>1374597.89</v>
      </c>
      <c r="AD167">
        <v>1363565.3870000001</v>
      </c>
      <c r="AE167">
        <v>1354580.544</v>
      </c>
      <c r="AF167">
        <v>1346286.7080000001</v>
      </c>
      <c r="AG167">
        <v>1339288.233</v>
      </c>
      <c r="AH167">
        <v>1334960.946</v>
      </c>
      <c r="AI167">
        <v>1336904.058</v>
      </c>
      <c r="AJ167">
        <v>1338099.804</v>
      </c>
      <c r="AK167">
        <v>1341214.453</v>
      </c>
      <c r="AL167">
        <v>1344268.402</v>
      </c>
      <c r="AM167">
        <v>1346716.3659999999</v>
      </c>
      <c r="AN167">
        <v>1338019.551</v>
      </c>
      <c r="AO167">
        <v>1329558.416</v>
      </c>
      <c r="AP167">
        <v>1319829.8999999999</v>
      </c>
      <c r="AQ167">
        <v>1310434.3330000001</v>
      </c>
      <c r="AR167">
        <v>1298545.93</v>
      </c>
      <c r="AS167">
        <v>1292234.1100000001</v>
      </c>
      <c r="AT167">
        <v>1286490.767</v>
      </c>
      <c r="AU167">
        <v>1280137.365</v>
      </c>
      <c r="AV167">
        <v>1273436.6410000001</v>
      </c>
      <c r="AW167">
        <v>1271406.2250000001</v>
      </c>
    </row>
    <row r="168" spans="2:49" x14ac:dyDescent="0.25">
      <c r="B168" s="247" t="s">
        <v>497</v>
      </c>
      <c r="C168">
        <v>2313078.33193391</v>
      </c>
      <c r="D168">
        <v>2350215.5527395001</v>
      </c>
      <c r="E168">
        <v>2387949.0240000002</v>
      </c>
      <c r="F168">
        <v>2353499.915</v>
      </c>
      <c r="G168">
        <v>2172647.9730000002</v>
      </c>
      <c r="H168">
        <v>1906439.5290000001</v>
      </c>
      <c r="I168">
        <v>1984767.3119999999</v>
      </c>
      <c r="J168">
        <v>1855830.561</v>
      </c>
      <c r="K168">
        <v>1674291.4509999999</v>
      </c>
      <c r="L168">
        <v>1611727.4920000001</v>
      </c>
      <c r="M168">
        <v>1572687.098</v>
      </c>
      <c r="N168">
        <v>1585266.54</v>
      </c>
      <c r="O168">
        <v>1642562.4839999999</v>
      </c>
      <c r="P168">
        <v>1681399.949</v>
      </c>
      <c r="Q168">
        <v>1667202.8389999999</v>
      </c>
      <c r="R168">
        <v>1629931.145</v>
      </c>
      <c r="S168">
        <v>1638803.0719999999</v>
      </c>
      <c r="T168">
        <v>1592837.5719999999</v>
      </c>
      <c r="U168">
        <v>1519739.2830000001</v>
      </c>
      <c r="V168">
        <v>1459167.8910000001</v>
      </c>
      <c r="W168">
        <v>1607919.9380000001</v>
      </c>
      <c r="X168">
        <v>1745968.196</v>
      </c>
      <c r="Y168">
        <v>1830938.486</v>
      </c>
      <c r="Z168">
        <v>1947670.5060000001</v>
      </c>
      <c r="AA168">
        <v>2086883.699</v>
      </c>
      <c r="AB168">
        <v>2251224.6460000002</v>
      </c>
      <c r="AC168">
        <v>2447925.9219999998</v>
      </c>
      <c r="AD168">
        <v>2428485.3650000002</v>
      </c>
      <c r="AE168">
        <v>2412929.9700000002</v>
      </c>
      <c r="AF168">
        <v>2398477.639</v>
      </c>
      <c r="AG168">
        <v>2385903.7710000002</v>
      </c>
      <c r="AH168">
        <v>2376192.7749999999</v>
      </c>
      <c r="AI168">
        <v>2379625.9900000002</v>
      </c>
      <c r="AJ168">
        <v>2383914.2519999999</v>
      </c>
      <c r="AK168">
        <v>2389450.648</v>
      </c>
      <c r="AL168">
        <v>2395549.5750000002</v>
      </c>
      <c r="AM168">
        <v>2401781.5240000002</v>
      </c>
      <c r="AN168">
        <v>2389272.5269999998</v>
      </c>
      <c r="AO168">
        <v>2375745.5669999998</v>
      </c>
      <c r="AP168">
        <v>2359895.4019999998</v>
      </c>
      <c r="AQ168">
        <v>2342386.5159999998</v>
      </c>
      <c r="AR168">
        <v>2322472.7110000001</v>
      </c>
      <c r="AS168">
        <v>2313040.6529999999</v>
      </c>
      <c r="AT168">
        <v>2304716.66</v>
      </c>
      <c r="AU168">
        <v>2296295.1290000002</v>
      </c>
      <c r="AV168">
        <v>2287451.9700000002</v>
      </c>
      <c r="AW168">
        <v>2278676.483</v>
      </c>
    </row>
    <row r="169" spans="2:49" x14ac:dyDescent="0.25">
      <c r="B169" s="247" t="s">
        <v>498</v>
      </c>
      <c r="C169">
        <v>4643279.3828946501</v>
      </c>
      <c r="D169">
        <v>4717828.7352982899</v>
      </c>
      <c r="E169">
        <v>4793575.0020000003</v>
      </c>
      <c r="F169">
        <v>4721973.8059999999</v>
      </c>
      <c r="G169">
        <v>4595881.2</v>
      </c>
      <c r="H169">
        <v>4196538.284</v>
      </c>
      <c r="I169">
        <v>4225816.3590000002</v>
      </c>
      <c r="J169">
        <v>4141911.7450000001</v>
      </c>
      <c r="K169">
        <v>3887280.7960000001</v>
      </c>
      <c r="L169">
        <v>3767849.1549999998</v>
      </c>
      <c r="M169">
        <v>3707845.0430000001</v>
      </c>
      <c r="N169">
        <v>3777945.1239999998</v>
      </c>
      <c r="O169">
        <v>3908392.2969999998</v>
      </c>
      <c r="P169">
        <v>3985413.7110000001</v>
      </c>
      <c r="Q169">
        <v>3927204.08</v>
      </c>
      <c r="R169">
        <v>3930627.9950000001</v>
      </c>
      <c r="S169">
        <v>3881442.389</v>
      </c>
      <c r="T169">
        <v>3765551.0550000002</v>
      </c>
      <c r="U169">
        <v>3583165.3650000002</v>
      </c>
      <c r="V169">
        <v>3437123.855</v>
      </c>
      <c r="W169">
        <v>3594701.878</v>
      </c>
      <c r="X169">
        <v>3703899.9169999999</v>
      </c>
      <c r="Y169">
        <v>3684568.432</v>
      </c>
      <c r="Z169">
        <v>3715226.0839999998</v>
      </c>
      <c r="AA169">
        <v>3765973.3909999998</v>
      </c>
      <c r="AB169">
        <v>3836184.5869999998</v>
      </c>
      <c r="AC169">
        <v>3926650.3080000002</v>
      </c>
      <c r="AD169">
        <v>3932729.014</v>
      </c>
      <c r="AE169">
        <v>3944799.0890000002</v>
      </c>
      <c r="AF169">
        <v>3958706.2459999998</v>
      </c>
      <c r="AG169">
        <v>3974939.9539999999</v>
      </c>
      <c r="AH169">
        <v>3995396.1740000001</v>
      </c>
      <c r="AI169">
        <v>4039181.8169999998</v>
      </c>
      <c r="AJ169">
        <v>4084386.2829999998</v>
      </c>
      <c r="AK169">
        <v>4132313.077</v>
      </c>
      <c r="AL169">
        <v>4182477.818</v>
      </c>
      <c r="AM169">
        <v>4233015.8320000004</v>
      </c>
      <c r="AN169">
        <v>4246588.3899999997</v>
      </c>
      <c r="AO169">
        <v>4256716.5659999996</v>
      </c>
      <c r="AP169">
        <v>4262251.6119999997</v>
      </c>
      <c r="AQ169">
        <v>4264625.76</v>
      </c>
      <c r="AR169">
        <v>4262348.8619999997</v>
      </c>
      <c r="AS169">
        <v>4280866.84</v>
      </c>
      <c r="AT169">
        <v>4301601.733</v>
      </c>
      <c r="AU169">
        <v>4322087.3540000003</v>
      </c>
      <c r="AV169">
        <v>4341598.5810000002</v>
      </c>
      <c r="AW169">
        <v>4360593.3289999999</v>
      </c>
    </row>
    <row r="170" spans="2:49" x14ac:dyDescent="0.25">
      <c r="B170" s="247" t="s">
        <v>499</v>
      </c>
      <c r="C170">
        <v>3833938.33697946</v>
      </c>
      <c r="D170">
        <v>3895493.45710216</v>
      </c>
      <c r="E170">
        <v>3971757.6260000002</v>
      </c>
      <c r="F170">
        <v>3915249.7059999998</v>
      </c>
      <c r="G170">
        <v>3855862.267</v>
      </c>
      <c r="H170">
        <v>3485551.3739999998</v>
      </c>
      <c r="I170">
        <v>3575808.9130000002</v>
      </c>
      <c r="J170">
        <v>3584037.71</v>
      </c>
      <c r="K170">
        <v>3459762.3280000002</v>
      </c>
      <c r="L170">
        <v>3380019.8530000001</v>
      </c>
      <c r="M170">
        <v>3320941.4509999999</v>
      </c>
      <c r="N170">
        <v>3320999.9750000001</v>
      </c>
      <c r="O170">
        <v>3426706.2239999999</v>
      </c>
      <c r="P170">
        <v>3590180.5279999999</v>
      </c>
      <c r="Q170">
        <v>3674292.0019999999</v>
      </c>
      <c r="R170">
        <v>3806704.179</v>
      </c>
      <c r="S170">
        <v>3866247.2560000001</v>
      </c>
      <c r="T170">
        <v>3721555.9040000001</v>
      </c>
      <c r="U170">
        <v>3592486.6540000001</v>
      </c>
      <c r="V170">
        <v>3475760.7560000001</v>
      </c>
      <c r="W170">
        <v>3697002.6970000002</v>
      </c>
      <c r="X170">
        <v>3896400.389</v>
      </c>
      <c r="Y170">
        <v>3894260.173</v>
      </c>
      <c r="Z170">
        <v>3896381.554</v>
      </c>
      <c r="AA170">
        <v>3905937.2990000001</v>
      </c>
      <c r="AB170">
        <v>3937110.6209999998</v>
      </c>
      <c r="AC170">
        <v>3977920.0759999999</v>
      </c>
      <c r="AD170">
        <v>3966650.9279999998</v>
      </c>
      <c r="AE170">
        <v>3957188.6809999999</v>
      </c>
      <c r="AF170">
        <v>3949739.8960000002</v>
      </c>
      <c r="AG170">
        <v>3944977.3229999999</v>
      </c>
      <c r="AH170">
        <v>3943494.46</v>
      </c>
      <c r="AI170">
        <v>3968104.0929999999</v>
      </c>
      <c r="AJ170">
        <v>3995838.7850000001</v>
      </c>
      <c r="AK170">
        <v>4026600.9029999999</v>
      </c>
      <c r="AL170">
        <v>4063646.9589999998</v>
      </c>
      <c r="AM170">
        <v>4101631.9819999998</v>
      </c>
      <c r="AN170">
        <v>4136308.2170000002</v>
      </c>
      <c r="AO170">
        <v>4172850.9210000001</v>
      </c>
      <c r="AP170">
        <v>4208628.9409999996</v>
      </c>
      <c r="AQ170">
        <v>4243528.49</v>
      </c>
      <c r="AR170">
        <v>4277682.4440000001</v>
      </c>
      <c r="AS170">
        <v>4310343.0240000002</v>
      </c>
      <c r="AT170">
        <v>4342714.5920000002</v>
      </c>
      <c r="AU170">
        <v>4375054.1220000004</v>
      </c>
      <c r="AV170">
        <v>4407040.4369999999</v>
      </c>
      <c r="AW170">
        <v>4438665.9419999998</v>
      </c>
    </row>
    <row r="171" spans="2:49" x14ac:dyDescent="0.25">
      <c r="B171" s="247" t="s">
        <v>500</v>
      </c>
      <c r="C171">
        <v>271678.64339116903</v>
      </c>
      <c r="D171">
        <v>276040.53188776103</v>
      </c>
      <c r="E171">
        <v>280472.45189999999</v>
      </c>
      <c r="F171">
        <v>284876.45870000002</v>
      </c>
      <c r="G171">
        <v>265173.17969999998</v>
      </c>
      <c r="H171">
        <v>226702.59099999999</v>
      </c>
      <c r="I171">
        <v>232405.7775</v>
      </c>
      <c r="J171">
        <v>229737.1741</v>
      </c>
      <c r="K171">
        <v>207229.81529999999</v>
      </c>
      <c r="L171">
        <v>190734.5019</v>
      </c>
      <c r="M171">
        <v>185637.52780000001</v>
      </c>
      <c r="N171">
        <v>194658.03510000001</v>
      </c>
      <c r="O171">
        <v>195111.83619999999</v>
      </c>
      <c r="P171">
        <v>195736.2482</v>
      </c>
      <c r="Q171">
        <v>186166.76610000001</v>
      </c>
      <c r="R171">
        <v>175818.1746</v>
      </c>
      <c r="S171">
        <v>171181.31839999999</v>
      </c>
      <c r="T171">
        <v>165288.76019999999</v>
      </c>
      <c r="U171">
        <v>156908.78020000001</v>
      </c>
      <c r="V171">
        <v>150820.64369999999</v>
      </c>
      <c r="W171">
        <v>157286.23180000001</v>
      </c>
      <c r="X171">
        <v>161655.80929999999</v>
      </c>
      <c r="Y171">
        <v>160720.07130000001</v>
      </c>
      <c r="Z171">
        <v>162010.25570000001</v>
      </c>
      <c r="AA171">
        <v>164350.30559999999</v>
      </c>
      <c r="AB171">
        <v>167400.25520000001</v>
      </c>
      <c r="AC171">
        <v>171220.41409999999</v>
      </c>
      <c r="AD171">
        <v>170855.4014</v>
      </c>
      <c r="AE171">
        <v>170473.49400000001</v>
      </c>
      <c r="AF171">
        <v>170239.82310000001</v>
      </c>
      <c r="AG171">
        <v>170169.4761</v>
      </c>
      <c r="AH171">
        <v>170130.11610000001</v>
      </c>
      <c r="AI171">
        <v>171286.82689999999</v>
      </c>
      <c r="AJ171">
        <v>172430.1036</v>
      </c>
      <c r="AK171">
        <v>173574.20550000001</v>
      </c>
      <c r="AL171">
        <v>174714.05230000001</v>
      </c>
      <c r="AM171">
        <v>175803.75709999999</v>
      </c>
      <c r="AN171">
        <v>175365.94029999999</v>
      </c>
      <c r="AO171">
        <v>174846.8616</v>
      </c>
      <c r="AP171">
        <v>174138.86170000001</v>
      </c>
      <c r="AQ171">
        <v>173325.78469999999</v>
      </c>
      <c r="AR171">
        <v>172327.2445</v>
      </c>
      <c r="AS171">
        <v>172091.46830000001</v>
      </c>
      <c r="AT171">
        <v>171965.99590000001</v>
      </c>
      <c r="AU171">
        <v>171831.35800000001</v>
      </c>
      <c r="AV171">
        <v>171655.92240000001</v>
      </c>
      <c r="AW171">
        <v>171543.80739999999</v>
      </c>
    </row>
    <row r="172" spans="2:49" x14ac:dyDescent="0.25">
      <c r="B172" s="247" t="s">
        <v>501</v>
      </c>
      <c r="C172">
        <v>2033071.8879050901</v>
      </c>
      <c r="D172">
        <v>2065713.51468114</v>
      </c>
      <c r="E172">
        <v>2098879.213</v>
      </c>
      <c r="F172">
        <v>2054029.3870000001</v>
      </c>
      <c r="G172">
        <v>1814011.88</v>
      </c>
      <c r="H172">
        <v>1457463.5530000001</v>
      </c>
      <c r="I172">
        <v>1525911.5649999999</v>
      </c>
      <c r="J172">
        <v>1489951.4129999999</v>
      </c>
      <c r="K172">
        <v>1348174.304</v>
      </c>
      <c r="L172">
        <v>1314117.0220000001</v>
      </c>
      <c r="M172">
        <v>1306499.4099999999</v>
      </c>
      <c r="N172">
        <v>1318348.3359999999</v>
      </c>
      <c r="O172">
        <v>1292376.057</v>
      </c>
      <c r="P172">
        <v>1336071.3659999999</v>
      </c>
      <c r="Q172">
        <v>1299604.595</v>
      </c>
      <c r="R172">
        <v>1238668.193</v>
      </c>
      <c r="S172">
        <v>1215135.801</v>
      </c>
      <c r="T172">
        <v>1174251.92</v>
      </c>
      <c r="U172">
        <v>1105350.253</v>
      </c>
      <c r="V172">
        <v>1051095.9639999999</v>
      </c>
      <c r="W172">
        <v>1079832.1680000001</v>
      </c>
      <c r="X172">
        <v>1089360.2109999999</v>
      </c>
      <c r="Y172">
        <v>1069580.0109999999</v>
      </c>
      <c r="Z172">
        <v>1065220.412</v>
      </c>
      <c r="AA172">
        <v>1064305.2720000001</v>
      </c>
      <c r="AB172">
        <v>1064293.4609999999</v>
      </c>
      <c r="AC172">
        <v>1065155.9720000001</v>
      </c>
      <c r="AD172">
        <v>1052076.8570000001</v>
      </c>
      <c r="AE172">
        <v>1040323.507</v>
      </c>
      <c r="AF172">
        <v>1029693.402</v>
      </c>
      <c r="AG172">
        <v>1019944.5870000001</v>
      </c>
      <c r="AH172">
        <v>1010973.822</v>
      </c>
      <c r="AI172">
        <v>1008752.268</v>
      </c>
      <c r="AJ172">
        <v>1006403.487</v>
      </c>
      <c r="AK172">
        <v>1004601.59</v>
      </c>
      <c r="AL172">
        <v>1002941.227</v>
      </c>
      <c r="AM172">
        <v>1001178.247</v>
      </c>
      <c r="AN172">
        <v>986220.83600000001</v>
      </c>
      <c r="AO172">
        <v>970143.92940000002</v>
      </c>
      <c r="AP172">
        <v>953003.89859999996</v>
      </c>
      <c r="AQ172">
        <v>935378.37860000005</v>
      </c>
      <c r="AR172">
        <v>916722.90729999996</v>
      </c>
      <c r="AS172">
        <v>905321.71880000003</v>
      </c>
      <c r="AT172">
        <v>894969.33409999998</v>
      </c>
      <c r="AU172">
        <v>884684.26340000005</v>
      </c>
      <c r="AV172">
        <v>874304.94770000002</v>
      </c>
      <c r="AW172">
        <v>864311.65659999999</v>
      </c>
    </row>
    <row r="173" spans="2:49" x14ac:dyDescent="0.25">
      <c r="B173" s="247" t="s">
        <v>502</v>
      </c>
      <c r="C173">
        <v>611949.61832884501</v>
      </c>
      <c r="D173">
        <v>621774.66739182698</v>
      </c>
      <c r="E173">
        <v>631757.4608</v>
      </c>
      <c r="F173">
        <v>620273.50589999999</v>
      </c>
      <c r="G173">
        <v>558597.26870000002</v>
      </c>
      <c r="H173">
        <v>469464.23690000002</v>
      </c>
      <c r="I173">
        <v>503985.47749999998</v>
      </c>
      <c r="J173">
        <v>488113.02500000002</v>
      </c>
      <c r="K173">
        <v>440809.47619999998</v>
      </c>
      <c r="L173">
        <v>418992.364</v>
      </c>
      <c r="M173">
        <v>418037.27830000001</v>
      </c>
      <c r="N173">
        <v>419042.21220000001</v>
      </c>
      <c r="O173">
        <v>387905.8297</v>
      </c>
      <c r="P173">
        <v>374722.11210000003</v>
      </c>
      <c r="Q173">
        <v>333302.81229999999</v>
      </c>
      <c r="R173">
        <v>306928.15759999998</v>
      </c>
      <c r="S173">
        <v>295581.27970000001</v>
      </c>
      <c r="T173">
        <v>294787.95669999998</v>
      </c>
      <c r="U173">
        <v>284127.42940000002</v>
      </c>
      <c r="V173">
        <v>279398.04849999998</v>
      </c>
      <c r="W173">
        <v>304416.3651</v>
      </c>
      <c r="X173">
        <v>328415.81530000002</v>
      </c>
      <c r="Y173">
        <v>335382.76860000001</v>
      </c>
      <c r="Z173">
        <v>348030.86109999998</v>
      </c>
      <c r="AA173">
        <v>363410.52279999998</v>
      </c>
      <c r="AB173">
        <v>381264.84710000001</v>
      </c>
      <c r="AC173">
        <v>402166.47889999999</v>
      </c>
      <c r="AD173">
        <v>401119.47580000001</v>
      </c>
      <c r="AE173">
        <v>400819.79340000002</v>
      </c>
      <c r="AF173">
        <v>400751.31719999999</v>
      </c>
      <c r="AG173">
        <v>401082.1384</v>
      </c>
      <c r="AH173">
        <v>401830.70159999997</v>
      </c>
      <c r="AI173">
        <v>405207.16519999999</v>
      </c>
      <c r="AJ173">
        <v>408536.70380000002</v>
      </c>
      <c r="AK173">
        <v>411965.03830000001</v>
      </c>
      <c r="AL173">
        <v>415401.15179999999</v>
      </c>
      <c r="AM173">
        <v>418689.90990000003</v>
      </c>
      <c r="AN173">
        <v>421095.9094</v>
      </c>
      <c r="AO173">
        <v>424309.32410000003</v>
      </c>
      <c r="AP173">
        <v>427353.32280000002</v>
      </c>
      <c r="AQ173">
        <v>430442.48180000001</v>
      </c>
      <c r="AR173">
        <v>433259.36229999998</v>
      </c>
      <c r="AS173">
        <v>436175.22940000001</v>
      </c>
      <c r="AT173">
        <v>438866.18449999997</v>
      </c>
      <c r="AU173">
        <v>441486.50670000003</v>
      </c>
      <c r="AV173">
        <v>444030.37729999999</v>
      </c>
      <c r="AW173">
        <v>446687.63260000001</v>
      </c>
    </row>
    <row r="174" spans="2:49" x14ac:dyDescent="0.25">
      <c r="B174" s="247" t="s">
        <v>503</v>
      </c>
      <c r="C174">
        <v>8749188.7351059392</v>
      </c>
      <c r="D174">
        <v>8889659.7902533505</v>
      </c>
      <c r="E174">
        <v>9032386.1539999899</v>
      </c>
      <c r="F174">
        <v>9099211.9230000004</v>
      </c>
      <c r="G174">
        <v>8693102.773</v>
      </c>
      <c r="H174">
        <v>7701804.9189999998</v>
      </c>
      <c r="I174">
        <v>7801107.5499999998</v>
      </c>
      <c r="J174">
        <v>7712331.568</v>
      </c>
      <c r="K174">
        <v>7226922.5070000002</v>
      </c>
      <c r="L174">
        <v>6840075.2580000004</v>
      </c>
      <c r="M174">
        <v>6667338.483</v>
      </c>
      <c r="N174">
        <v>6571656.4989999998</v>
      </c>
      <c r="O174">
        <v>6803615.2050000001</v>
      </c>
      <c r="P174">
        <v>7010525.9900000002</v>
      </c>
      <c r="Q174">
        <v>6838267.7149999999</v>
      </c>
      <c r="R174">
        <v>6928383.4890000001</v>
      </c>
      <c r="S174">
        <v>7027956</v>
      </c>
      <c r="T174">
        <v>6999879.6679999996</v>
      </c>
      <c r="U174">
        <v>6773406.7060000002</v>
      </c>
      <c r="V174">
        <v>6630603.0980000002</v>
      </c>
      <c r="W174">
        <v>7022518.2989999996</v>
      </c>
      <c r="X174">
        <v>7352912.6440000003</v>
      </c>
      <c r="Y174">
        <v>7272884.6040000003</v>
      </c>
      <c r="Z174">
        <v>7262498.1440000003</v>
      </c>
      <c r="AA174">
        <v>7264234.3300000001</v>
      </c>
      <c r="AB174">
        <v>7271352.9390000002</v>
      </c>
      <c r="AC174">
        <v>7286050.4910000004</v>
      </c>
      <c r="AD174">
        <v>7266834.7740000002</v>
      </c>
      <c r="AE174">
        <v>7260013.2259999998</v>
      </c>
      <c r="AF174">
        <v>7255170.8590000002</v>
      </c>
      <c r="AG174">
        <v>7257073.7790000001</v>
      </c>
      <c r="AH174">
        <v>7266548.1370000001</v>
      </c>
      <c r="AI174">
        <v>7319952.841</v>
      </c>
      <c r="AJ174">
        <v>7374496.6579999998</v>
      </c>
      <c r="AK174">
        <v>7431651.2630000003</v>
      </c>
      <c r="AL174">
        <v>7490114.3810000001</v>
      </c>
      <c r="AM174">
        <v>7547995.4589999998</v>
      </c>
      <c r="AN174">
        <v>7592265.4929999998</v>
      </c>
      <c r="AO174">
        <v>7651017.7199999997</v>
      </c>
      <c r="AP174">
        <v>7707464.5990000004</v>
      </c>
      <c r="AQ174">
        <v>7763334.085</v>
      </c>
      <c r="AR174">
        <v>7815848.4630000005</v>
      </c>
      <c r="AS174">
        <v>7870029.4749999996</v>
      </c>
      <c r="AT174">
        <v>7920285.8679999998</v>
      </c>
      <c r="AU174">
        <v>7969998.2949999999</v>
      </c>
      <c r="AV174">
        <v>8018736.585</v>
      </c>
      <c r="AW174">
        <v>8069403.8650000002</v>
      </c>
    </row>
    <row r="175" spans="2:49" x14ac:dyDescent="0.25">
      <c r="B175" s="247" t="s">
        <v>504</v>
      </c>
      <c r="C175">
        <v>583434.83019375498</v>
      </c>
      <c r="D175">
        <v>592802.06510985899</v>
      </c>
      <c r="E175">
        <v>602319.69400000002</v>
      </c>
      <c r="F175">
        <v>629528.75560000003</v>
      </c>
      <c r="G175">
        <v>616315.34050000005</v>
      </c>
      <c r="H175">
        <v>535621.55920000002</v>
      </c>
      <c r="I175">
        <v>534366.65899999999</v>
      </c>
      <c r="J175">
        <v>544839.4314</v>
      </c>
      <c r="K175">
        <v>520988.91609999997</v>
      </c>
      <c r="L175">
        <v>505537.3174</v>
      </c>
      <c r="M175">
        <v>470228.74430000002</v>
      </c>
      <c r="N175">
        <v>429798.69540000003</v>
      </c>
      <c r="O175">
        <v>414809.973</v>
      </c>
      <c r="P175">
        <v>414307.79300000001</v>
      </c>
      <c r="Q175">
        <v>398876.82459999999</v>
      </c>
      <c r="R175">
        <v>399265.80839999998</v>
      </c>
      <c r="S175">
        <v>398769.31079999998</v>
      </c>
      <c r="T175">
        <v>402033.52240000002</v>
      </c>
      <c r="U175">
        <v>390618.44309999997</v>
      </c>
      <c r="V175">
        <v>388232.7524</v>
      </c>
      <c r="W175">
        <v>408399.21509999997</v>
      </c>
      <c r="X175">
        <v>426000.64840000001</v>
      </c>
      <c r="Y175">
        <v>413681.34610000002</v>
      </c>
      <c r="Z175">
        <v>407627.87209999998</v>
      </c>
      <c r="AA175">
        <v>403604.35969999997</v>
      </c>
      <c r="AB175">
        <v>400200.05040000001</v>
      </c>
      <c r="AC175">
        <v>397382.76240000001</v>
      </c>
      <c r="AD175">
        <v>395494.26699999999</v>
      </c>
      <c r="AE175">
        <v>394180.96509999997</v>
      </c>
      <c r="AF175">
        <v>392971.9877</v>
      </c>
      <c r="AG175">
        <v>392174.70760000002</v>
      </c>
      <c r="AH175">
        <v>392280.86369999999</v>
      </c>
      <c r="AI175">
        <v>393988.05989999999</v>
      </c>
      <c r="AJ175">
        <v>395331.50679999997</v>
      </c>
      <c r="AK175">
        <v>397423.26240000001</v>
      </c>
      <c r="AL175">
        <v>399468.26860000001</v>
      </c>
      <c r="AM175">
        <v>401242.64539999998</v>
      </c>
      <c r="AN175">
        <v>401286.913</v>
      </c>
      <c r="AO175">
        <v>402175.11109999998</v>
      </c>
      <c r="AP175">
        <v>402980.8922</v>
      </c>
      <c r="AQ175">
        <v>404326.71830000001</v>
      </c>
      <c r="AR175">
        <v>405018.77590000001</v>
      </c>
      <c r="AS175">
        <v>406060.62420000002</v>
      </c>
      <c r="AT175">
        <v>407103.69189999998</v>
      </c>
      <c r="AU175">
        <v>407899.50790000003</v>
      </c>
      <c r="AV175">
        <v>408599.48759999999</v>
      </c>
      <c r="AW175">
        <v>412606.4902</v>
      </c>
    </row>
    <row r="176" spans="2:49" x14ac:dyDescent="0.25">
      <c r="B176" s="247" t="s">
        <v>505</v>
      </c>
      <c r="C176">
        <v>40605.282443966003</v>
      </c>
      <c r="D176">
        <v>41257.2133877546</v>
      </c>
      <c r="E176">
        <v>41919.611290000001</v>
      </c>
      <c r="F176">
        <v>42123.57905</v>
      </c>
      <c r="G176">
        <v>39521.79219</v>
      </c>
      <c r="H176">
        <v>36307.613720000001</v>
      </c>
      <c r="I176">
        <v>37095.107210000002</v>
      </c>
      <c r="J176">
        <v>36200.320509999998</v>
      </c>
      <c r="K176">
        <v>33981.55371</v>
      </c>
      <c r="L176">
        <v>33291.30528</v>
      </c>
      <c r="M176">
        <v>33376.467900000003</v>
      </c>
      <c r="N176">
        <v>33876.704080000003</v>
      </c>
      <c r="O176">
        <v>36015.746939999997</v>
      </c>
      <c r="P176">
        <v>38180.54393</v>
      </c>
      <c r="Q176">
        <v>37283.995009999999</v>
      </c>
      <c r="R176">
        <v>37487.978519999997</v>
      </c>
      <c r="S176">
        <v>37177.415419999998</v>
      </c>
      <c r="T176">
        <v>35717.819060000002</v>
      </c>
      <c r="U176">
        <v>34376.957249999999</v>
      </c>
      <c r="V176">
        <v>33261.03847</v>
      </c>
      <c r="W176">
        <v>35139.777399999999</v>
      </c>
      <c r="X176">
        <v>36730.236140000001</v>
      </c>
      <c r="Y176">
        <v>36409.866020000001</v>
      </c>
      <c r="Z176">
        <v>36132.10529</v>
      </c>
      <c r="AA176">
        <v>35911.249389999997</v>
      </c>
      <c r="AB176">
        <v>35697.654750000002</v>
      </c>
      <c r="AC176">
        <v>35506.965709999997</v>
      </c>
      <c r="AD176">
        <v>35302.164109999998</v>
      </c>
      <c r="AE176">
        <v>35000.285669999997</v>
      </c>
      <c r="AF176">
        <v>34735.61105</v>
      </c>
      <c r="AG176">
        <v>34504.578909999997</v>
      </c>
      <c r="AH176">
        <v>34228.306479999999</v>
      </c>
      <c r="AI176">
        <v>34263.072010000004</v>
      </c>
      <c r="AJ176">
        <v>34292.916920000003</v>
      </c>
      <c r="AK176">
        <v>34312.342329999999</v>
      </c>
      <c r="AL176">
        <v>34332.346649999999</v>
      </c>
      <c r="AM176">
        <v>34349.865960000003</v>
      </c>
      <c r="AN176">
        <v>34332.752350000002</v>
      </c>
      <c r="AO176">
        <v>34358.986810000002</v>
      </c>
      <c r="AP176">
        <v>34386.12977</v>
      </c>
      <c r="AQ176">
        <v>34415.88884</v>
      </c>
      <c r="AR176">
        <v>34444.924919999998</v>
      </c>
      <c r="AS176">
        <v>34466.774969999999</v>
      </c>
      <c r="AT176">
        <v>34498.123390000001</v>
      </c>
      <c r="AU176">
        <v>34530.346030000001</v>
      </c>
      <c r="AV176">
        <v>34559.844499999999</v>
      </c>
      <c r="AW176">
        <v>34596.551610000002</v>
      </c>
    </row>
    <row r="177" spans="2:49" x14ac:dyDescent="0.25">
      <c r="B177" s="247" t="s">
        <v>506</v>
      </c>
      <c r="C177">
        <v>55091.732691944802</v>
      </c>
      <c r="D177">
        <v>55976.248280239903</v>
      </c>
      <c r="E177">
        <v>56875.034549999997</v>
      </c>
      <c r="F177">
        <v>59887.1011</v>
      </c>
      <c r="G177">
        <v>61057.413610000003</v>
      </c>
      <c r="H177">
        <v>61304.45824</v>
      </c>
      <c r="I177">
        <v>64198.812109999999</v>
      </c>
      <c r="J177">
        <v>66293.861239999998</v>
      </c>
      <c r="K177">
        <v>67681.745320000002</v>
      </c>
      <c r="L177">
        <v>69463.405530000004</v>
      </c>
      <c r="M177">
        <v>71344.204230000003</v>
      </c>
      <c r="N177">
        <v>72295.656700000007</v>
      </c>
      <c r="O177">
        <v>71718.223499999905</v>
      </c>
      <c r="P177">
        <v>74536.991030000005</v>
      </c>
      <c r="Q177">
        <v>76515.303480000002</v>
      </c>
      <c r="R177">
        <v>83594.453339999905</v>
      </c>
      <c r="S177">
        <v>99420.859160000007</v>
      </c>
      <c r="T177">
        <v>110051.4798</v>
      </c>
      <c r="U177">
        <v>117324.0727</v>
      </c>
      <c r="V177">
        <v>121551.7997</v>
      </c>
      <c r="W177">
        <v>136132.5901</v>
      </c>
      <c r="X177">
        <v>174155.0785</v>
      </c>
      <c r="Y177">
        <v>196463.67929999999</v>
      </c>
      <c r="Z177">
        <v>218364.96059999999</v>
      </c>
      <c r="AA177">
        <v>240163.25520000001</v>
      </c>
      <c r="AB177">
        <v>261615.60879999999</v>
      </c>
      <c r="AC177">
        <v>282723.90019999997</v>
      </c>
      <c r="AD177">
        <v>305742.19760000001</v>
      </c>
      <c r="AE177">
        <v>327474.26049999997</v>
      </c>
      <c r="AF177">
        <v>349366.80009999999</v>
      </c>
      <c r="AG177">
        <v>371152.77299999999</v>
      </c>
      <c r="AH177">
        <v>391692.29119999998</v>
      </c>
      <c r="AI177">
        <v>409366.73540000001</v>
      </c>
      <c r="AJ177">
        <v>426996.06140000001</v>
      </c>
      <c r="AK177">
        <v>444610.59850000002</v>
      </c>
      <c r="AL177">
        <v>462244.74619999999</v>
      </c>
      <c r="AM177">
        <v>479904.7329</v>
      </c>
      <c r="AN177">
        <v>488476.11589999998</v>
      </c>
      <c r="AO177">
        <v>497240.93520000001</v>
      </c>
      <c r="AP177">
        <v>506111.77010000002</v>
      </c>
      <c r="AQ177">
        <v>515007.20380000002</v>
      </c>
      <c r="AR177">
        <v>523869.66269999999</v>
      </c>
      <c r="AS177">
        <v>523632.94010000001</v>
      </c>
      <c r="AT177">
        <v>523430.22330000001</v>
      </c>
      <c r="AU177">
        <v>523227.64610000001</v>
      </c>
      <c r="AV177">
        <v>523011.73080000002</v>
      </c>
      <c r="AW177">
        <v>522881.48200000002</v>
      </c>
    </row>
    <row r="178" spans="2:49" x14ac:dyDescent="0.25">
      <c r="B178" s="247" t="s">
        <v>507</v>
      </c>
      <c r="C178">
        <v>53959.065015136701</v>
      </c>
      <c r="D178">
        <v>54825.395257508797</v>
      </c>
      <c r="E178">
        <v>55828.062830000003</v>
      </c>
      <c r="F178">
        <v>63907.347659999999</v>
      </c>
      <c r="G178">
        <v>70440.07948</v>
      </c>
      <c r="H178">
        <v>75636.724159999998</v>
      </c>
      <c r="I178">
        <v>82827.014509999906</v>
      </c>
      <c r="J178">
        <v>88941.32617</v>
      </c>
      <c r="K178">
        <v>93888.656539999996</v>
      </c>
      <c r="L178">
        <v>98124.976209999906</v>
      </c>
      <c r="M178">
        <v>100700.8064</v>
      </c>
      <c r="N178">
        <v>100867.2827</v>
      </c>
      <c r="O178">
        <v>110742.2745</v>
      </c>
      <c r="P178">
        <v>122487.48729999999</v>
      </c>
      <c r="Q178">
        <v>134977.84349999999</v>
      </c>
      <c r="R178">
        <v>149524.24400000001</v>
      </c>
      <c r="S178">
        <v>167056.3941</v>
      </c>
      <c r="T178">
        <v>246879.7433</v>
      </c>
      <c r="U178">
        <v>301743.79700000002</v>
      </c>
      <c r="V178">
        <v>342410.17570000002</v>
      </c>
      <c r="W178">
        <v>407488.58189999999</v>
      </c>
      <c r="X178">
        <v>609739.10889999999</v>
      </c>
      <c r="Y178">
        <v>802158.75260000001</v>
      </c>
      <c r="Z178">
        <v>997901.98860000004</v>
      </c>
      <c r="AA178">
        <v>1195454.9210000001</v>
      </c>
      <c r="AB178">
        <v>1394363.344</v>
      </c>
      <c r="AC178">
        <v>1595656.723</v>
      </c>
      <c r="AD178">
        <v>1832435.7819999999</v>
      </c>
      <c r="AE178">
        <v>2069847.0349999999</v>
      </c>
      <c r="AF178">
        <v>2308970.7990000001</v>
      </c>
      <c r="AG178">
        <v>2549341.5279999999</v>
      </c>
      <c r="AH178">
        <v>2790832.3319999999</v>
      </c>
      <c r="AI178">
        <v>2988737.5079999999</v>
      </c>
      <c r="AJ178">
        <v>3190400.943</v>
      </c>
      <c r="AK178">
        <v>3395924.4279999998</v>
      </c>
      <c r="AL178">
        <v>3604984.3089999999</v>
      </c>
      <c r="AM178">
        <v>3817057.13</v>
      </c>
      <c r="AN178">
        <v>3906562.1830000002</v>
      </c>
      <c r="AO178">
        <v>4000945.5120000001</v>
      </c>
      <c r="AP178">
        <v>4095676.39</v>
      </c>
      <c r="AQ178">
        <v>4191160.889</v>
      </c>
      <c r="AR178">
        <v>4286385.2130000005</v>
      </c>
      <c r="AS178">
        <v>4318452.7560000001</v>
      </c>
      <c r="AT178">
        <v>4349146.3990000002</v>
      </c>
      <c r="AU178">
        <v>4379704.4040000001</v>
      </c>
      <c r="AV178">
        <v>4409951.8679999998</v>
      </c>
      <c r="AW178">
        <v>4441656.7699999996</v>
      </c>
    </row>
    <row r="179" spans="2:49" x14ac:dyDescent="0.25">
      <c r="B179" s="247" t="s">
        <v>508</v>
      </c>
      <c r="C179">
        <v>216238.436565001</v>
      </c>
      <c r="D179">
        <v>219710.21460835601</v>
      </c>
      <c r="E179">
        <v>223237.73319999999</v>
      </c>
      <c r="F179">
        <v>251143.81049999999</v>
      </c>
      <c r="G179">
        <v>211472.51620000001</v>
      </c>
      <c r="H179">
        <v>142424.73180000001</v>
      </c>
      <c r="I179">
        <v>170553.6875</v>
      </c>
      <c r="J179">
        <v>136838.07370000001</v>
      </c>
      <c r="K179">
        <v>158142.92920000001</v>
      </c>
      <c r="L179">
        <v>137868.91709999999</v>
      </c>
      <c r="M179">
        <v>110995.38370000001</v>
      </c>
      <c r="N179">
        <v>89884.486040000003</v>
      </c>
      <c r="O179">
        <v>68088.318650000001</v>
      </c>
      <c r="P179">
        <v>65010.704919999996</v>
      </c>
      <c r="Q179">
        <v>58603.349600000001</v>
      </c>
      <c r="R179">
        <v>58101.088129999996</v>
      </c>
      <c r="S179">
        <v>58124.153389999999</v>
      </c>
      <c r="T179">
        <v>56658.546130000002</v>
      </c>
      <c r="U179">
        <v>56560.572330000003</v>
      </c>
      <c r="V179">
        <v>56829.831639999997</v>
      </c>
      <c r="W179">
        <v>60143.147559999998</v>
      </c>
      <c r="X179">
        <v>62744.330900000001</v>
      </c>
      <c r="Y179">
        <v>62847.000169999999</v>
      </c>
      <c r="Z179">
        <v>63271.039940000002</v>
      </c>
      <c r="AA179">
        <v>63785.98171</v>
      </c>
      <c r="AB179">
        <v>64321.991699999999</v>
      </c>
      <c r="AC179">
        <v>64898.417930000003</v>
      </c>
      <c r="AD179">
        <v>65450.139649999997</v>
      </c>
      <c r="AE179">
        <v>65992.020940000002</v>
      </c>
      <c r="AF179">
        <v>66566.002519999995</v>
      </c>
      <c r="AG179">
        <v>67198.260169999994</v>
      </c>
      <c r="AH179">
        <v>67875.481020000007</v>
      </c>
      <c r="AI179">
        <v>68877.860719999997</v>
      </c>
      <c r="AJ179">
        <v>69925.206170000005</v>
      </c>
      <c r="AK179">
        <v>70999.068369999906</v>
      </c>
      <c r="AL179">
        <v>72107.405939999997</v>
      </c>
      <c r="AM179">
        <v>73236.693710000007</v>
      </c>
      <c r="AN179">
        <v>74405.585000000006</v>
      </c>
      <c r="AO179">
        <v>75683.620989999996</v>
      </c>
      <c r="AP179">
        <v>76973.805139999997</v>
      </c>
      <c r="AQ179">
        <v>78274.332590000005</v>
      </c>
      <c r="AR179">
        <v>79562.984280000004</v>
      </c>
      <c r="AS179">
        <v>80871.770579999997</v>
      </c>
      <c r="AT179">
        <v>82191.37904</v>
      </c>
      <c r="AU179">
        <v>83524.474419999999</v>
      </c>
      <c r="AV179">
        <v>84863.536139999997</v>
      </c>
      <c r="AW179">
        <v>86234.909299999999</v>
      </c>
    </row>
    <row r="180" spans="2:49" x14ac:dyDescent="0.25">
      <c r="B180" s="247" t="s">
        <v>509</v>
      </c>
      <c r="C180">
        <v>215538.66868192199</v>
      </c>
      <c r="D180">
        <v>218999.21172556799</v>
      </c>
      <c r="E180">
        <v>222515.3149</v>
      </c>
      <c r="F180">
        <v>228028.85010000001</v>
      </c>
      <c r="G180">
        <v>226236.88389999999</v>
      </c>
      <c r="H180">
        <v>174083.85200000001</v>
      </c>
      <c r="I180">
        <v>128557.3106</v>
      </c>
      <c r="J180">
        <v>129818.5239</v>
      </c>
      <c r="K180">
        <v>127135.4804</v>
      </c>
      <c r="L180">
        <v>120479.2831</v>
      </c>
      <c r="M180">
        <v>115662.99129999999</v>
      </c>
      <c r="N180">
        <v>112668.1234</v>
      </c>
      <c r="O180">
        <v>101743.5754</v>
      </c>
      <c r="P180">
        <v>96036.917799999996</v>
      </c>
      <c r="Q180">
        <v>96159.970350000003</v>
      </c>
      <c r="R180">
        <v>87786.687319999997</v>
      </c>
      <c r="S180">
        <v>79359.180470000007</v>
      </c>
      <c r="T180">
        <v>68426.231039999999</v>
      </c>
      <c r="U180">
        <v>59015.044670000003</v>
      </c>
      <c r="V180">
        <v>50741.450830000002</v>
      </c>
      <c r="W180">
        <v>46031.791850000001</v>
      </c>
      <c r="X180">
        <v>40738.607609999999</v>
      </c>
      <c r="Y180">
        <v>39159.932739999997</v>
      </c>
      <c r="Z180">
        <v>38756.303399999997</v>
      </c>
      <c r="AA180">
        <v>38705.2765</v>
      </c>
      <c r="AB180">
        <v>38743.163110000001</v>
      </c>
      <c r="AC180">
        <v>38813.829109999999</v>
      </c>
      <c r="AD180">
        <v>38774.009319999997</v>
      </c>
      <c r="AE180">
        <v>38700.646739999996</v>
      </c>
      <c r="AF180">
        <v>38678.012150000002</v>
      </c>
      <c r="AG180">
        <v>38702.625310000003</v>
      </c>
      <c r="AH180">
        <v>38766.003779999999</v>
      </c>
      <c r="AI180">
        <v>38964.999450000003</v>
      </c>
      <c r="AJ180">
        <v>39179.543559999998</v>
      </c>
      <c r="AK180">
        <v>39394.417329999997</v>
      </c>
      <c r="AL180">
        <v>39627.71574</v>
      </c>
      <c r="AM180">
        <v>39865.140330000002</v>
      </c>
      <c r="AN180">
        <v>38575.958250000003</v>
      </c>
      <c r="AO180">
        <v>37048.884389999999</v>
      </c>
      <c r="AP180">
        <v>35518.84979</v>
      </c>
      <c r="AQ180">
        <v>34028.23343</v>
      </c>
      <c r="AR180">
        <v>32582.04624</v>
      </c>
      <c r="AS180">
        <v>31920.894059999999</v>
      </c>
      <c r="AT180">
        <v>31415.121719999999</v>
      </c>
      <c r="AU180">
        <v>30943.764800000001</v>
      </c>
      <c r="AV180">
        <v>30482.077000000001</v>
      </c>
      <c r="AW180">
        <v>30035.760460000001</v>
      </c>
    </row>
    <row r="181" spans="2:49" x14ac:dyDescent="0.25">
      <c r="B181" s="247" t="s">
        <v>510</v>
      </c>
      <c r="C181">
        <v>7946676.0051002903</v>
      </c>
      <c r="D181">
        <v>8074262.4587873695</v>
      </c>
      <c r="E181">
        <v>8203897.3540000003</v>
      </c>
      <c r="F181">
        <v>8825138.9790000003</v>
      </c>
      <c r="G181">
        <v>9104925.0270000007</v>
      </c>
      <c r="H181">
        <v>9112063.4560000002</v>
      </c>
      <c r="I181">
        <v>9879916.2190000005</v>
      </c>
      <c r="J181">
        <v>10290017.32</v>
      </c>
      <c r="K181">
        <v>10278990.029999999</v>
      </c>
      <c r="L181">
        <v>10555532.140000001</v>
      </c>
      <c r="M181">
        <v>11296068.98</v>
      </c>
      <c r="N181">
        <v>12600749.32</v>
      </c>
      <c r="O181">
        <v>13232179.24</v>
      </c>
      <c r="P181">
        <v>13067851.630000001</v>
      </c>
      <c r="Q181">
        <v>11964792.619999999</v>
      </c>
      <c r="R181">
        <v>11195270.77</v>
      </c>
      <c r="S181">
        <v>10705062.380000001</v>
      </c>
      <c r="T181">
        <v>10176604.5</v>
      </c>
      <c r="U181">
        <v>9671864.5010000002</v>
      </c>
      <c r="V181">
        <v>9172055.6309999898</v>
      </c>
      <c r="W181">
        <v>9707353.06399999</v>
      </c>
      <c r="X181">
        <v>10236994.99</v>
      </c>
      <c r="Y181">
        <v>10214302.57</v>
      </c>
      <c r="Z181">
        <v>10165612.09</v>
      </c>
      <c r="AA181">
        <v>10102632.470000001</v>
      </c>
      <c r="AB181">
        <v>10028594.83</v>
      </c>
      <c r="AC181">
        <v>9944271.2650000006</v>
      </c>
      <c r="AD181">
        <v>9865107.3509999998</v>
      </c>
      <c r="AE181">
        <v>9766751.5059999898</v>
      </c>
      <c r="AF181">
        <v>9651127.8100000005</v>
      </c>
      <c r="AG181">
        <v>9529189.1309999898</v>
      </c>
      <c r="AH181">
        <v>9401431.7750000004</v>
      </c>
      <c r="AI181">
        <v>9309854.7589999996</v>
      </c>
      <c r="AJ181">
        <v>9212603.22299999</v>
      </c>
      <c r="AK181">
        <v>9112438.8440000005</v>
      </c>
      <c r="AL181">
        <v>9007691.3829999994</v>
      </c>
      <c r="AM181">
        <v>8900391.9849999994</v>
      </c>
      <c r="AN181">
        <v>8713389.2740000002</v>
      </c>
      <c r="AO181">
        <v>8520206.12099999</v>
      </c>
      <c r="AP181">
        <v>8329033.0470000003</v>
      </c>
      <c r="AQ181">
        <v>8141376.1789999995</v>
      </c>
      <c r="AR181">
        <v>7957716.034</v>
      </c>
      <c r="AS181">
        <v>7775889.8590000002</v>
      </c>
      <c r="AT181">
        <v>7598563.7829999998</v>
      </c>
      <c r="AU181">
        <v>7424218.375</v>
      </c>
      <c r="AV181">
        <v>7252989.0480000004</v>
      </c>
      <c r="AW181">
        <v>7084679.6950000003</v>
      </c>
    </row>
    <row r="182" spans="2:49" x14ac:dyDescent="0.25">
      <c r="B182" s="247" t="s">
        <v>511</v>
      </c>
      <c r="C182">
        <v>4498800.2848123703</v>
      </c>
      <c r="D182">
        <v>4571029.97856321</v>
      </c>
      <c r="E182">
        <v>4644419.3430000003</v>
      </c>
      <c r="F182">
        <v>4804007.2359999996</v>
      </c>
      <c r="G182">
        <v>4832025.3600000003</v>
      </c>
      <c r="H182">
        <v>5090361.0360000003</v>
      </c>
      <c r="I182">
        <v>5281009.7750000004</v>
      </c>
      <c r="J182">
        <v>5324530.784</v>
      </c>
      <c r="K182">
        <v>5264820.0590000004</v>
      </c>
      <c r="L182">
        <v>5364022.5590000004</v>
      </c>
      <c r="M182">
        <v>5597361.5590000004</v>
      </c>
      <c r="N182">
        <v>6059579.6229999997</v>
      </c>
      <c r="O182">
        <v>6208901.0640000002</v>
      </c>
      <c r="P182">
        <v>5995224.9479999999</v>
      </c>
      <c r="Q182">
        <v>5423944.1880000001</v>
      </c>
      <c r="R182">
        <v>5033248.3619999997</v>
      </c>
      <c r="S182">
        <v>4750816.83</v>
      </c>
      <c r="T182">
        <v>4516033.9879999999</v>
      </c>
      <c r="U182">
        <v>4297895.0020000003</v>
      </c>
      <c r="V182">
        <v>4079417.4709999999</v>
      </c>
      <c r="W182">
        <v>4255904.8540000003</v>
      </c>
      <c r="X182">
        <v>4416735.7779999999</v>
      </c>
      <c r="Y182">
        <v>4345188.4110000003</v>
      </c>
      <c r="Z182">
        <v>4271519.7879999997</v>
      </c>
      <c r="AA182">
        <v>4198214.9639999997</v>
      </c>
      <c r="AB182">
        <v>4125575.7790000001</v>
      </c>
      <c r="AC182">
        <v>4053285.557</v>
      </c>
      <c r="AD182">
        <v>3986864.4709999999</v>
      </c>
      <c r="AE182">
        <v>3917074.551</v>
      </c>
      <c r="AF182">
        <v>3844407.2420000001</v>
      </c>
      <c r="AG182">
        <v>3771603.2119999998</v>
      </c>
      <c r="AH182">
        <v>3699098.2850000001</v>
      </c>
      <c r="AI182">
        <v>3643740.8560000001</v>
      </c>
      <c r="AJ182">
        <v>3588153.31</v>
      </c>
      <c r="AK182">
        <v>3533432.9240000001</v>
      </c>
      <c r="AL182">
        <v>3478649.852</v>
      </c>
      <c r="AM182">
        <v>3424472.5070000002</v>
      </c>
      <c r="AN182">
        <v>3359299.5529999998</v>
      </c>
      <c r="AO182">
        <v>3295030.4</v>
      </c>
      <c r="AP182">
        <v>3231896.213</v>
      </c>
      <c r="AQ182">
        <v>3169857.5660000001</v>
      </c>
      <c r="AR182">
        <v>3108976.193</v>
      </c>
      <c r="AS182">
        <v>3048162.8160000001</v>
      </c>
      <c r="AT182">
        <v>2988663.5350000001</v>
      </c>
      <c r="AU182">
        <v>2929833.3560000001</v>
      </c>
      <c r="AV182">
        <v>2871769.5759999999</v>
      </c>
      <c r="AW182">
        <v>2814424.1749999998</v>
      </c>
    </row>
    <row r="183" spans="2:49" x14ac:dyDescent="0.25">
      <c r="B183" t="s">
        <v>512</v>
      </c>
      <c r="C183">
        <v>0.96864644472622397</v>
      </c>
      <c r="D183">
        <v>0.984198376713873</v>
      </c>
      <c r="E183">
        <v>1</v>
      </c>
      <c r="F183">
        <v>0.97559456710000003</v>
      </c>
      <c r="G183">
        <v>0.92537481629999996</v>
      </c>
      <c r="H183">
        <v>0.87840017569999995</v>
      </c>
      <c r="I183">
        <v>0.84694413120000001</v>
      </c>
      <c r="J183">
        <v>0.80678822480000001</v>
      </c>
      <c r="K183">
        <v>0.76292042189999998</v>
      </c>
      <c r="L183">
        <v>0.72824716860000005</v>
      </c>
      <c r="M183">
        <v>0.70288582519999998</v>
      </c>
      <c r="N183">
        <v>0.68636935870000004</v>
      </c>
      <c r="O183">
        <v>0.67331662449999996</v>
      </c>
      <c r="P183">
        <v>0.65783470970000002</v>
      </c>
      <c r="Q183">
        <v>0.63760182099999996</v>
      </c>
      <c r="R183">
        <v>0.6268303207</v>
      </c>
      <c r="S183">
        <v>0.60133516909999996</v>
      </c>
      <c r="T183">
        <v>0.56953244110000001</v>
      </c>
      <c r="U183">
        <v>0.53662480209999996</v>
      </c>
      <c r="V183">
        <v>0.5048113071</v>
      </c>
      <c r="W183">
        <v>0.52174057789999995</v>
      </c>
      <c r="X183">
        <v>0.53521042870000002</v>
      </c>
      <c r="Y183">
        <v>0.51999000630000003</v>
      </c>
      <c r="Z183">
        <v>0.50684873799999997</v>
      </c>
      <c r="AA183">
        <v>0.49473773840000002</v>
      </c>
      <c r="AB183">
        <v>0.48339312899999998</v>
      </c>
      <c r="AC183">
        <v>0.47265370909999999</v>
      </c>
      <c r="AD183">
        <v>0.4606662527</v>
      </c>
      <c r="AE183">
        <v>0.4487497332</v>
      </c>
      <c r="AF183">
        <v>0.43716628790000001</v>
      </c>
      <c r="AG183">
        <v>0.42577671569999997</v>
      </c>
      <c r="AH183">
        <v>0.41462402500000001</v>
      </c>
      <c r="AI183">
        <v>0.4062990159</v>
      </c>
      <c r="AJ183">
        <v>0.39809466999999998</v>
      </c>
      <c r="AK183">
        <v>0.39015815190000003</v>
      </c>
      <c r="AL183">
        <v>0.38244308220000001</v>
      </c>
      <c r="AM183">
        <v>0.37487856060000002</v>
      </c>
      <c r="AN183">
        <v>0.36723593110000002</v>
      </c>
      <c r="AO183">
        <v>0.35985211969999997</v>
      </c>
      <c r="AP183">
        <v>0.35259150929999999</v>
      </c>
      <c r="AQ183">
        <v>0.34550431920000002</v>
      </c>
      <c r="AR183">
        <v>0.34222350959999998</v>
      </c>
      <c r="AS183">
        <v>0.3417023233</v>
      </c>
      <c r="AT183">
        <v>0.34175731390000003</v>
      </c>
      <c r="AU183">
        <v>0.34193636350000001</v>
      </c>
      <c r="AV183">
        <v>0.34212579450000002</v>
      </c>
      <c r="AW183">
        <v>0.34252027010000002</v>
      </c>
    </row>
    <row r="184" spans="2:49" x14ac:dyDescent="0.25">
      <c r="B184" t="s">
        <v>513</v>
      </c>
      <c r="C184">
        <v>8232235.5397947598</v>
      </c>
      <c r="D184">
        <v>8364406.7441781899</v>
      </c>
      <c r="E184">
        <v>8498700</v>
      </c>
      <c r="F184">
        <v>8425133.9179999996</v>
      </c>
      <c r="G184">
        <v>8351172.1220000004</v>
      </c>
      <c r="H184">
        <v>7763208.5250000004</v>
      </c>
      <c r="I184">
        <v>7655956.3109999998</v>
      </c>
      <c r="J184">
        <v>7623505.8219999997</v>
      </c>
      <c r="K184">
        <v>7503300.1969999997</v>
      </c>
      <c r="L184">
        <v>7266089.21</v>
      </c>
      <c r="M184">
        <v>7009761.1490000002</v>
      </c>
      <c r="N184">
        <v>6679582.1090000002</v>
      </c>
      <c r="O184">
        <v>7005701.3380000005</v>
      </c>
      <c r="P184">
        <v>7596687.7479999997</v>
      </c>
      <c r="Q184">
        <v>8362301.6689999998</v>
      </c>
      <c r="R184">
        <v>8969499.3359999899</v>
      </c>
      <c r="S184">
        <v>9556858.9910000004</v>
      </c>
      <c r="T184">
        <v>8846237.5779999997</v>
      </c>
      <c r="U184">
        <v>8055114.0099999998</v>
      </c>
      <c r="V184">
        <v>7311962.0800000001</v>
      </c>
      <c r="W184">
        <v>5350582.9289999995</v>
      </c>
      <c r="X184">
        <v>3006671.2609999999</v>
      </c>
      <c r="Y184">
        <v>2800866.574</v>
      </c>
      <c r="Z184">
        <v>2770283.432</v>
      </c>
      <c r="AA184">
        <v>2757719.7990000001</v>
      </c>
      <c r="AB184">
        <v>2748530.33</v>
      </c>
      <c r="AC184">
        <v>2739958.73</v>
      </c>
      <c r="AD184">
        <v>2730781.9169999999</v>
      </c>
      <c r="AE184">
        <v>2721115.7949999999</v>
      </c>
      <c r="AF184">
        <v>2711598.1460000002</v>
      </c>
      <c r="AG184">
        <v>2701748.0780000002</v>
      </c>
      <c r="AH184">
        <v>2691973.7710000002</v>
      </c>
      <c r="AI184">
        <v>2697823.7220000001</v>
      </c>
      <c r="AJ184">
        <v>2703676.7930000001</v>
      </c>
      <c r="AK184">
        <v>2708893.727</v>
      </c>
      <c r="AL184">
        <v>2713409.8480000002</v>
      </c>
      <c r="AM184">
        <v>2717040.3489999999</v>
      </c>
      <c r="AN184">
        <v>2715647.4070000001</v>
      </c>
      <c r="AO184">
        <v>2713267.287</v>
      </c>
      <c r="AP184">
        <v>2709718.62</v>
      </c>
      <c r="AQ184">
        <v>2705391.1660000002</v>
      </c>
      <c r="AR184">
        <v>2700058.4870000002</v>
      </c>
      <c r="AS184">
        <v>3582112.673</v>
      </c>
      <c r="AT184">
        <v>4565963.5020000003</v>
      </c>
      <c r="AU184">
        <v>5552673.6569999997</v>
      </c>
      <c r="AV184">
        <v>6527271.2130000005</v>
      </c>
      <c r="AW184">
        <v>7490418.7359999996</v>
      </c>
    </row>
    <row r="185" spans="2:49" x14ac:dyDescent="0.25">
      <c r="B185" t="s">
        <v>514</v>
      </c>
      <c r="C185">
        <v>463787.91773491597</v>
      </c>
      <c r="D185">
        <v>471234.182770602</v>
      </c>
      <c r="E185">
        <v>478800</v>
      </c>
      <c r="F185">
        <v>479110.9865</v>
      </c>
      <c r="G185">
        <v>463143.90149999998</v>
      </c>
      <c r="H185">
        <v>440613.11229999998</v>
      </c>
      <c r="I185">
        <v>447243.7782</v>
      </c>
      <c r="J185">
        <v>464934.98800000001</v>
      </c>
      <c r="K185">
        <v>465880.27260000003</v>
      </c>
      <c r="L185">
        <v>476146.23450000002</v>
      </c>
      <c r="M185">
        <v>498849.99550000002</v>
      </c>
      <c r="N185">
        <v>532261.70440000005</v>
      </c>
      <c r="O185">
        <v>508664.20390000002</v>
      </c>
      <c r="P185">
        <v>472559.10590000002</v>
      </c>
      <c r="Q185">
        <v>415959.96220000001</v>
      </c>
      <c r="R185">
        <v>368618.245</v>
      </c>
      <c r="S185">
        <v>327355.37959999999</v>
      </c>
      <c r="T185">
        <v>304921.3812</v>
      </c>
      <c r="U185">
        <v>283184.1888</v>
      </c>
      <c r="V185">
        <v>263102.54259999999</v>
      </c>
      <c r="W185">
        <v>276887.78049999999</v>
      </c>
      <c r="X185">
        <v>290121.53220000002</v>
      </c>
      <c r="Y185">
        <v>287848.18400000001</v>
      </c>
      <c r="Z185">
        <v>286803.05910000001</v>
      </c>
      <c r="AA185">
        <v>286415.03850000002</v>
      </c>
      <c r="AB185">
        <v>286734.7708</v>
      </c>
      <c r="AC185">
        <v>287557.18660000002</v>
      </c>
      <c r="AD185">
        <v>286554.42660000001</v>
      </c>
      <c r="AE185">
        <v>285558.28769999999</v>
      </c>
      <c r="AF185">
        <v>284521.68939999997</v>
      </c>
      <c r="AG185">
        <v>283619.06630000001</v>
      </c>
      <c r="AH185">
        <v>282821.06939999998</v>
      </c>
      <c r="AI185">
        <v>282047.8873</v>
      </c>
      <c r="AJ185">
        <v>281289.06839999999</v>
      </c>
      <c r="AK185">
        <v>280590.29100000003</v>
      </c>
      <c r="AL185">
        <v>279921.52470000001</v>
      </c>
      <c r="AM185">
        <v>279235.45929999999</v>
      </c>
      <c r="AN185">
        <v>277718.16769999999</v>
      </c>
      <c r="AO185">
        <v>276228.56359999999</v>
      </c>
      <c r="AP185">
        <v>274622.99190000002</v>
      </c>
      <c r="AQ185">
        <v>272937.85749999998</v>
      </c>
      <c r="AR185">
        <v>271129.24859999999</v>
      </c>
      <c r="AS185">
        <v>269876.5809</v>
      </c>
      <c r="AT185">
        <v>268561.54340000002</v>
      </c>
      <c r="AU185">
        <v>267150.8469</v>
      </c>
      <c r="AV185">
        <v>265648.13520000002</v>
      </c>
      <c r="AW185">
        <v>264151.6152</v>
      </c>
    </row>
    <row r="186" spans="2:49" x14ac:dyDescent="0.25">
      <c r="B186" t="s">
        <v>515</v>
      </c>
      <c r="C186">
        <v>247860837.32111701</v>
      </c>
      <c r="D186">
        <v>251840323.237167</v>
      </c>
      <c r="E186">
        <v>255964957.80000001</v>
      </c>
      <c r="F186">
        <v>257615652.30000001</v>
      </c>
      <c r="G186">
        <v>242588222.19999999</v>
      </c>
      <c r="H186">
        <v>225711394</v>
      </c>
      <c r="I186">
        <v>222056364.69999999</v>
      </c>
      <c r="J186">
        <v>215309619.30000001</v>
      </c>
      <c r="K186">
        <v>205775483.69999999</v>
      </c>
      <c r="L186">
        <v>200036684.90000001</v>
      </c>
      <c r="M186">
        <v>199189412.69999999</v>
      </c>
      <c r="N186">
        <v>200779448.69999999</v>
      </c>
      <c r="O186">
        <v>192138428.5</v>
      </c>
      <c r="P186">
        <v>184335416.19999999</v>
      </c>
      <c r="Q186">
        <v>173299692.59999999</v>
      </c>
      <c r="R186">
        <v>165707601.40000001</v>
      </c>
      <c r="S186">
        <v>158811033.80000001</v>
      </c>
      <c r="T186">
        <v>157814354</v>
      </c>
      <c r="U186">
        <v>155640057.90000001</v>
      </c>
      <c r="V186">
        <v>154791368.80000001</v>
      </c>
      <c r="W186">
        <v>155345997.40000001</v>
      </c>
      <c r="X186">
        <v>154361339.40000001</v>
      </c>
      <c r="Y186">
        <v>154049729.90000001</v>
      </c>
      <c r="Z186">
        <v>155001797.30000001</v>
      </c>
      <c r="AA186">
        <v>156363826.90000001</v>
      </c>
      <c r="AB186">
        <v>158039310.69999999</v>
      </c>
      <c r="AC186">
        <v>160035162.30000001</v>
      </c>
      <c r="AD186">
        <v>160036284.09999999</v>
      </c>
      <c r="AE186">
        <v>160138740.19999999</v>
      </c>
      <c r="AF186">
        <v>160336849.09999999</v>
      </c>
      <c r="AG186">
        <v>160654330.5</v>
      </c>
      <c r="AH186">
        <v>161056603.69999999</v>
      </c>
      <c r="AI186">
        <v>161914230.40000001</v>
      </c>
      <c r="AJ186">
        <v>162814097.80000001</v>
      </c>
      <c r="AK186">
        <v>163763582.40000001</v>
      </c>
      <c r="AL186">
        <v>164775062.90000001</v>
      </c>
      <c r="AM186">
        <v>165783899.09999999</v>
      </c>
      <c r="AN186">
        <v>166289882.19999999</v>
      </c>
      <c r="AO186">
        <v>166798892</v>
      </c>
      <c r="AP186">
        <v>167244806.69999999</v>
      </c>
      <c r="AQ186">
        <v>167674521.09999999</v>
      </c>
      <c r="AR186">
        <v>168039624.59999999</v>
      </c>
      <c r="AS186">
        <v>169784367.40000001</v>
      </c>
      <c r="AT186">
        <v>171678329.40000001</v>
      </c>
      <c r="AU186">
        <v>173593730.30000001</v>
      </c>
      <c r="AV186">
        <v>175501639.90000001</v>
      </c>
      <c r="AW186">
        <v>177479627.59999999</v>
      </c>
    </row>
    <row r="187" spans="2:49" x14ac:dyDescent="0.25">
      <c r="B187" t="s">
        <v>516</v>
      </c>
      <c r="C187">
        <v>41023493.601484403</v>
      </c>
      <c r="D187">
        <v>41682139.060681202</v>
      </c>
      <c r="E187">
        <v>42351359.289999999</v>
      </c>
      <c r="F187">
        <v>41470050.439999998</v>
      </c>
      <c r="G187">
        <v>36451433.25</v>
      </c>
      <c r="H187">
        <v>31845269.809999999</v>
      </c>
      <c r="I187">
        <v>30263210.890000001</v>
      </c>
      <c r="J187">
        <v>28692416.399999999</v>
      </c>
      <c r="K187">
        <v>27210020.460000001</v>
      </c>
      <c r="L187">
        <v>27111182.670000002</v>
      </c>
      <c r="M187">
        <v>26481811.699999999</v>
      </c>
      <c r="N187">
        <v>25681742.609999999</v>
      </c>
      <c r="O187">
        <v>20497531.07</v>
      </c>
      <c r="P187">
        <v>17089099.760000002</v>
      </c>
      <c r="Q187">
        <v>14504597.220000001</v>
      </c>
      <c r="R187">
        <v>12209193.1</v>
      </c>
      <c r="S187">
        <v>9999349.9269999899</v>
      </c>
      <c r="T187">
        <v>9726811.602</v>
      </c>
      <c r="U187">
        <v>9470717.38199999</v>
      </c>
      <c r="V187">
        <v>9326402.2890000008</v>
      </c>
      <c r="W187">
        <v>8448962.5549999997</v>
      </c>
      <c r="X187">
        <v>7455784.2070000004</v>
      </c>
      <c r="Y187">
        <v>7408274.3269999996</v>
      </c>
      <c r="Z187">
        <v>7503079.9019999998</v>
      </c>
      <c r="AA187">
        <v>7624235.4299999997</v>
      </c>
      <c r="AB187">
        <v>7757114.0609999998</v>
      </c>
      <c r="AC187">
        <v>7901224.6370000001</v>
      </c>
      <c r="AD187">
        <v>7930630.1749999998</v>
      </c>
      <c r="AE187">
        <v>7970906.7779999999</v>
      </c>
      <c r="AF187">
        <v>8020146.2010000004</v>
      </c>
      <c r="AG187">
        <v>8075002.1390000004</v>
      </c>
      <c r="AH187">
        <v>8135386.5829999996</v>
      </c>
      <c r="AI187">
        <v>8209156.8480000002</v>
      </c>
      <c r="AJ187">
        <v>8283357.3480000002</v>
      </c>
      <c r="AK187">
        <v>8361669.4550000001</v>
      </c>
      <c r="AL187">
        <v>8442447.8080000002</v>
      </c>
      <c r="AM187">
        <v>8522642.5730000008</v>
      </c>
      <c r="AN187">
        <v>8500126.5669999998</v>
      </c>
      <c r="AO187">
        <v>8463599.8719999995</v>
      </c>
      <c r="AP187">
        <v>8416071.5439999998</v>
      </c>
      <c r="AQ187">
        <v>8362603.193</v>
      </c>
      <c r="AR187">
        <v>8299270.1780000003</v>
      </c>
      <c r="AS187">
        <v>8296795.1749999998</v>
      </c>
      <c r="AT187">
        <v>8301615.1830000002</v>
      </c>
      <c r="AU187">
        <v>8306179.9610000001</v>
      </c>
      <c r="AV187">
        <v>8309057.4630000005</v>
      </c>
      <c r="AW187">
        <v>8314606.7879999997</v>
      </c>
    </row>
    <row r="188" spans="2:49" x14ac:dyDescent="0.25">
      <c r="B188" t="s">
        <v>517</v>
      </c>
      <c r="C188">
        <v>156021257.172526</v>
      </c>
      <c r="D188">
        <v>158526228.92293701</v>
      </c>
      <c r="E188">
        <v>161152553</v>
      </c>
      <c r="F188">
        <v>162982851.59999999</v>
      </c>
      <c r="G188">
        <v>154549322.19999999</v>
      </c>
      <c r="H188">
        <v>145717544.59999999</v>
      </c>
      <c r="I188">
        <v>142378342</v>
      </c>
      <c r="J188">
        <v>137023996.90000001</v>
      </c>
      <c r="K188">
        <v>130980730.8</v>
      </c>
      <c r="L188">
        <v>126289197.09999999</v>
      </c>
      <c r="M188">
        <v>125665973.7</v>
      </c>
      <c r="N188">
        <v>126696665.2</v>
      </c>
      <c r="O188">
        <v>121714797.90000001</v>
      </c>
      <c r="P188">
        <v>116639959.2</v>
      </c>
      <c r="Q188">
        <v>109770600.3</v>
      </c>
      <c r="R188">
        <v>105303277.3</v>
      </c>
      <c r="S188">
        <v>100848046.2</v>
      </c>
      <c r="T188">
        <v>102008104.09999999</v>
      </c>
      <c r="U188">
        <v>102423132.40000001</v>
      </c>
      <c r="V188">
        <v>103773600.8</v>
      </c>
      <c r="W188">
        <v>105151505</v>
      </c>
      <c r="X188">
        <v>105563999.3</v>
      </c>
      <c r="Y188">
        <v>105411229.8</v>
      </c>
      <c r="Z188">
        <v>105987698.90000001</v>
      </c>
      <c r="AA188">
        <v>106841408.5</v>
      </c>
      <c r="AB188">
        <v>107921319.5</v>
      </c>
      <c r="AC188">
        <v>109220363.40000001</v>
      </c>
      <c r="AD188">
        <v>109144979.8</v>
      </c>
      <c r="AE188">
        <v>109157463.59999999</v>
      </c>
      <c r="AF188">
        <v>109264252.59999999</v>
      </c>
      <c r="AG188">
        <v>109469511.8</v>
      </c>
      <c r="AH188">
        <v>109734949.3</v>
      </c>
      <c r="AI188">
        <v>110277334.40000001</v>
      </c>
      <c r="AJ188">
        <v>110856849.40000001</v>
      </c>
      <c r="AK188">
        <v>111470566.40000001</v>
      </c>
      <c r="AL188">
        <v>112140167.3</v>
      </c>
      <c r="AM188">
        <v>112808543.5</v>
      </c>
      <c r="AN188">
        <v>113427292.2</v>
      </c>
      <c r="AO188">
        <v>114051938.2</v>
      </c>
      <c r="AP188">
        <v>114637601.3</v>
      </c>
      <c r="AQ188">
        <v>115216009.8</v>
      </c>
      <c r="AR188">
        <v>115754536.90000001</v>
      </c>
      <c r="AS188">
        <v>116737928.59999999</v>
      </c>
      <c r="AT188">
        <v>117754340.90000001</v>
      </c>
      <c r="AU188">
        <v>118787812.40000001</v>
      </c>
      <c r="AV188">
        <v>119828118.90000001</v>
      </c>
      <c r="AW188">
        <v>120931944.90000001</v>
      </c>
    </row>
    <row r="189" spans="2:49" x14ac:dyDescent="0.25">
      <c r="B189" t="s">
        <v>518</v>
      </c>
      <c r="C189">
        <v>50816086.547106199</v>
      </c>
      <c r="D189">
        <v>51631955.253548898</v>
      </c>
      <c r="E189">
        <v>52461045.490000002</v>
      </c>
      <c r="F189">
        <v>53162750.240000002</v>
      </c>
      <c r="G189">
        <v>51587466.780000001</v>
      </c>
      <c r="H189">
        <v>48148579.579999998</v>
      </c>
      <c r="I189">
        <v>49414811.840000004</v>
      </c>
      <c r="J189">
        <v>49593206.009999998</v>
      </c>
      <c r="K189">
        <v>47584732.469999999</v>
      </c>
      <c r="L189">
        <v>46636305.060000002</v>
      </c>
      <c r="M189">
        <v>47041627.219999999</v>
      </c>
      <c r="N189">
        <v>48401040.93</v>
      </c>
      <c r="O189">
        <v>49926099.539999999</v>
      </c>
      <c r="P189">
        <v>50606357.280000001</v>
      </c>
      <c r="Q189">
        <v>49024495.159999996</v>
      </c>
      <c r="R189">
        <v>48195130.969999999</v>
      </c>
      <c r="S189">
        <v>47963637.729999997</v>
      </c>
      <c r="T189">
        <v>46079438.270000003</v>
      </c>
      <c r="U189">
        <v>43746208.109999999</v>
      </c>
      <c r="V189">
        <v>41691365.710000001</v>
      </c>
      <c r="W189">
        <v>41745529.810000002</v>
      </c>
      <c r="X189">
        <v>41341555.829999998</v>
      </c>
      <c r="Y189">
        <v>41230225.770000003</v>
      </c>
      <c r="Z189">
        <v>41511018.579999998</v>
      </c>
      <c r="AA189">
        <v>41898182.920000002</v>
      </c>
      <c r="AB189">
        <v>42360877.079999998</v>
      </c>
      <c r="AC189">
        <v>42913574.310000002</v>
      </c>
      <c r="AD189">
        <v>42960674.130000003</v>
      </c>
      <c r="AE189">
        <v>43010369.829999998</v>
      </c>
      <c r="AF189">
        <v>43052450.289999999</v>
      </c>
      <c r="AG189">
        <v>43109816.530000001</v>
      </c>
      <c r="AH189">
        <v>43186267.840000004</v>
      </c>
      <c r="AI189">
        <v>43427739.140000001</v>
      </c>
      <c r="AJ189">
        <v>43673891.07</v>
      </c>
      <c r="AK189">
        <v>43931346.530000001</v>
      </c>
      <c r="AL189">
        <v>44192447.829999998</v>
      </c>
      <c r="AM189">
        <v>44452713.079999998</v>
      </c>
      <c r="AN189">
        <v>44362463.530000001</v>
      </c>
      <c r="AO189">
        <v>44283353.909999996</v>
      </c>
      <c r="AP189">
        <v>44191133.829999998</v>
      </c>
      <c r="AQ189">
        <v>44095908.100000001</v>
      </c>
      <c r="AR189">
        <v>43985817.57</v>
      </c>
      <c r="AS189">
        <v>44749643.649999999</v>
      </c>
      <c r="AT189">
        <v>45622373.359999999</v>
      </c>
      <c r="AU189">
        <v>46499738.009999998</v>
      </c>
      <c r="AV189">
        <v>47364463.5</v>
      </c>
      <c r="AW189">
        <v>48233075.909999996</v>
      </c>
    </row>
    <row r="190" spans="2:49" x14ac:dyDescent="0.25">
      <c r="B190" t="s">
        <v>519</v>
      </c>
      <c r="C190">
        <v>392773953.478827</v>
      </c>
      <c r="D190">
        <v>399080066.34826499</v>
      </c>
      <c r="E190">
        <v>405568682.60000002</v>
      </c>
      <c r="F190">
        <v>405043791.19999999</v>
      </c>
      <c r="G190">
        <v>386354770.30000001</v>
      </c>
      <c r="H190">
        <v>369166677</v>
      </c>
      <c r="I190">
        <v>363310868.5</v>
      </c>
      <c r="J190">
        <v>353661130.19999999</v>
      </c>
      <c r="K190">
        <v>340442441.10000002</v>
      </c>
      <c r="L190">
        <v>331907578.39999998</v>
      </c>
      <c r="M190">
        <v>328856260</v>
      </c>
      <c r="N190">
        <v>328974507.5</v>
      </c>
      <c r="O190">
        <v>320260198.69999999</v>
      </c>
      <c r="P190">
        <v>311706547</v>
      </c>
      <c r="Q190">
        <v>298731674.19999999</v>
      </c>
      <c r="R190">
        <v>290122616.10000002</v>
      </c>
      <c r="S190">
        <v>281531921.80000001</v>
      </c>
      <c r="T190">
        <v>277333471.80000001</v>
      </c>
      <c r="U190">
        <v>271893079.39999998</v>
      </c>
      <c r="V190">
        <v>267557393.30000001</v>
      </c>
      <c r="W190">
        <v>267208872.30000001</v>
      </c>
      <c r="X190">
        <v>265159108.90000001</v>
      </c>
      <c r="Y190">
        <v>262991536.69999999</v>
      </c>
      <c r="Z190">
        <v>262175212.30000001</v>
      </c>
      <c r="AA190">
        <v>261845763</v>
      </c>
      <c r="AB190">
        <v>261873849.80000001</v>
      </c>
      <c r="AC190">
        <v>262240954.80000001</v>
      </c>
      <c r="AD190">
        <v>260671960.30000001</v>
      </c>
      <c r="AE190">
        <v>259102288.80000001</v>
      </c>
      <c r="AF190">
        <v>257601158.30000001</v>
      </c>
      <c r="AG190">
        <v>256216223.69999999</v>
      </c>
      <c r="AH190">
        <v>254855187.69999999</v>
      </c>
      <c r="AI190">
        <v>254134720.69999999</v>
      </c>
      <c r="AJ190">
        <v>253507454.40000001</v>
      </c>
      <c r="AK190">
        <v>252978509.30000001</v>
      </c>
      <c r="AL190">
        <v>252545042.40000001</v>
      </c>
      <c r="AM190">
        <v>252146017.5</v>
      </c>
      <c r="AN190">
        <v>251135199</v>
      </c>
      <c r="AO190">
        <v>250129012.59999999</v>
      </c>
      <c r="AP190">
        <v>249058911.40000001</v>
      </c>
      <c r="AQ190">
        <v>247971960.90000001</v>
      </c>
      <c r="AR190">
        <v>246819466.90000001</v>
      </c>
      <c r="AS190">
        <v>247009388.5</v>
      </c>
      <c r="AT190">
        <v>247345952.09999999</v>
      </c>
      <c r="AU190">
        <v>247696151.5</v>
      </c>
      <c r="AV190">
        <v>248036638.19999999</v>
      </c>
      <c r="AW190">
        <v>248458826.5</v>
      </c>
    </row>
    <row r="191" spans="2:49" x14ac:dyDescent="0.25">
      <c r="B191" t="s">
        <v>520</v>
      </c>
      <c r="C191">
        <v>42122345.501310699</v>
      </c>
      <c r="D191">
        <v>42798633.383193001</v>
      </c>
      <c r="E191">
        <v>43485779.289999999</v>
      </c>
      <c r="F191">
        <v>42595198.689999998</v>
      </c>
      <c r="G191">
        <v>37564680.530000001</v>
      </c>
      <c r="H191">
        <v>32945419.5</v>
      </c>
      <c r="I191">
        <v>31356729.390000001</v>
      </c>
      <c r="J191">
        <v>29778987.140000001</v>
      </c>
      <c r="K191">
        <v>28285575.280000001</v>
      </c>
      <c r="L191">
        <v>28171051.77</v>
      </c>
      <c r="M191">
        <v>27526188.559999999</v>
      </c>
      <c r="N191">
        <v>26714960.77</v>
      </c>
      <c r="O191">
        <v>21528657.859999999</v>
      </c>
      <c r="P191">
        <v>18121545.260000002</v>
      </c>
      <c r="Q191">
        <v>15534997.75</v>
      </c>
      <c r="R191">
        <v>13225260.359999999</v>
      </c>
      <c r="S191">
        <v>10996808.199999999</v>
      </c>
      <c r="T191">
        <v>10700106.859999999</v>
      </c>
      <c r="U191">
        <v>10419206.16</v>
      </c>
      <c r="V191">
        <v>10249754.960000001</v>
      </c>
      <c r="W191">
        <v>9350391.7740000002</v>
      </c>
      <c r="X191">
        <v>8336166.7290000003</v>
      </c>
      <c r="Y191">
        <v>8272340.6940000001</v>
      </c>
      <c r="Z191">
        <v>8354021.8559999997</v>
      </c>
      <c r="AA191">
        <v>8464188.023</v>
      </c>
      <c r="AB191">
        <v>8587599.0820000004</v>
      </c>
      <c r="AC191">
        <v>8723372.2210000008</v>
      </c>
      <c r="AD191">
        <v>8745354.2699999996</v>
      </c>
      <c r="AE191">
        <v>8778943.5150000006</v>
      </c>
      <c r="AF191">
        <v>8822047.1539999899</v>
      </c>
      <c r="AG191">
        <v>8871172.0199999996</v>
      </c>
      <c r="AH191">
        <v>8926170.932</v>
      </c>
      <c r="AI191">
        <v>8994812.8389999997</v>
      </c>
      <c r="AJ191">
        <v>9064040.7760000005</v>
      </c>
      <c r="AK191">
        <v>9137497.9130000006</v>
      </c>
      <c r="AL191">
        <v>9213499.4790000003</v>
      </c>
      <c r="AM191">
        <v>9288965.9250000007</v>
      </c>
      <c r="AN191">
        <v>9261650.3809999898</v>
      </c>
      <c r="AO191">
        <v>9219974.9509999994</v>
      </c>
      <c r="AP191">
        <v>9166839.1380000003</v>
      </c>
      <c r="AQ191">
        <v>9107276.9189999998</v>
      </c>
      <c r="AR191">
        <v>9037359.0079999994</v>
      </c>
      <c r="AS191">
        <v>9027799.7430000007</v>
      </c>
      <c r="AT191">
        <v>9024984.8760000002</v>
      </c>
      <c r="AU191">
        <v>9021354.2530000005</v>
      </c>
      <c r="AV191">
        <v>9015500.2770000007</v>
      </c>
      <c r="AW191">
        <v>9011955.5209999997</v>
      </c>
    </row>
    <row r="192" spans="2:49" x14ac:dyDescent="0.25">
      <c r="B192" t="s">
        <v>521</v>
      </c>
      <c r="C192">
        <v>261896523.70399499</v>
      </c>
      <c r="D192">
        <v>266101357.10489401</v>
      </c>
      <c r="E192">
        <v>270454834.69999999</v>
      </c>
      <c r="F192">
        <v>270843487.80000001</v>
      </c>
      <c r="G192">
        <v>260030995.80000001</v>
      </c>
      <c r="H192">
        <v>251958375.5</v>
      </c>
      <c r="I192">
        <v>246650764.5</v>
      </c>
      <c r="J192">
        <v>239331170.69999999</v>
      </c>
      <c r="K192">
        <v>231186714.40000001</v>
      </c>
      <c r="L192">
        <v>224908390.5</v>
      </c>
      <c r="M192">
        <v>222865153.5</v>
      </c>
      <c r="N192">
        <v>222917606.80000001</v>
      </c>
      <c r="O192">
        <v>217245633.40000001</v>
      </c>
      <c r="P192">
        <v>211373872.90000001</v>
      </c>
      <c r="Q192">
        <v>203565807.90000001</v>
      </c>
      <c r="R192">
        <v>198889096.40000001</v>
      </c>
      <c r="S192">
        <v>193365704.19999999</v>
      </c>
      <c r="T192">
        <v>193202200.80000001</v>
      </c>
      <c r="U192">
        <v>191866512.09999999</v>
      </c>
      <c r="V192">
        <v>191269922.90000001</v>
      </c>
      <c r="W192">
        <v>190806866</v>
      </c>
      <c r="X192">
        <v>189272319.5</v>
      </c>
      <c r="Y192">
        <v>187670789.19999999</v>
      </c>
      <c r="Z192">
        <v>186826919.19999999</v>
      </c>
      <c r="AA192">
        <v>186275924.09999999</v>
      </c>
      <c r="AB192">
        <v>185953490.09999999</v>
      </c>
      <c r="AC192">
        <v>185842431.40000001</v>
      </c>
      <c r="AD192">
        <v>184353169.69999999</v>
      </c>
      <c r="AE192">
        <v>182851003.30000001</v>
      </c>
      <c r="AF192">
        <v>181417277</v>
      </c>
      <c r="AG192">
        <v>180073191.09999999</v>
      </c>
      <c r="AH192">
        <v>178723515.59999999</v>
      </c>
      <c r="AI192">
        <v>177725201.90000001</v>
      </c>
      <c r="AJ192">
        <v>176813745.5</v>
      </c>
      <c r="AK192">
        <v>175980555.69999999</v>
      </c>
      <c r="AL192">
        <v>175241638.80000001</v>
      </c>
      <c r="AM192">
        <v>174539976.80000001</v>
      </c>
      <c r="AN192">
        <v>173724118.59999999</v>
      </c>
      <c r="AO192">
        <v>172922703.09999999</v>
      </c>
      <c r="AP192">
        <v>172098451</v>
      </c>
      <c r="AQ192">
        <v>171284621.5</v>
      </c>
      <c r="AR192">
        <v>170447299.69999999</v>
      </c>
      <c r="AS192">
        <v>170051354.19999999</v>
      </c>
      <c r="AT192">
        <v>169708568.90000001</v>
      </c>
      <c r="AU192">
        <v>169400383</v>
      </c>
      <c r="AV192">
        <v>169118958.09999999</v>
      </c>
      <c r="AW192">
        <v>168927096.5</v>
      </c>
    </row>
    <row r="193" spans="2:49" x14ac:dyDescent="0.25">
      <c r="B193" t="s">
        <v>522</v>
      </c>
      <c r="C193">
        <v>88755084.273521304</v>
      </c>
      <c r="D193">
        <v>90180075.860178098</v>
      </c>
      <c r="E193">
        <v>91628068.650000006</v>
      </c>
      <c r="F193">
        <v>91605104.709999904</v>
      </c>
      <c r="G193">
        <v>88759093.989999995</v>
      </c>
      <c r="H193">
        <v>84262881.969999999</v>
      </c>
      <c r="I193">
        <v>85303374.579999998</v>
      </c>
      <c r="J193">
        <v>84550972.310000002</v>
      </c>
      <c r="K193">
        <v>80970151.390000001</v>
      </c>
      <c r="L193">
        <v>78828136.159999996</v>
      </c>
      <c r="M193">
        <v>78464917.909999996</v>
      </c>
      <c r="N193">
        <v>79341939.939999998</v>
      </c>
      <c r="O193">
        <v>81485907.420000002</v>
      </c>
      <c r="P193">
        <v>82211128.840000004</v>
      </c>
      <c r="Q193">
        <v>79630868.519999996</v>
      </c>
      <c r="R193">
        <v>78008259.280000001</v>
      </c>
      <c r="S193">
        <v>77169409.349999994</v>
      </c>
      <c r="T193">
        <v>73431164.069999903</v>
      </c>
      <c r="U193">
        <v>69607361.069999903</v>
      </c>
      <c r="V193">
        <v>66037715.409999996</v>
      </c>
      <c r="W193">
        <v>67051614.5</v>
      </c>
      <c r="X193">
        <v>67550622.599999994</v>
      </c>
      <c r="Y193">
        <v>67048406.840000004</v>
      </c>
      <c r="Z193">
        <v>66994271.200000003</v>
      </c>
      <c r="AA193">
        <v>67105650.840000004</v>
      </c>
      <c r="AB193">
        <v>67332760.680000007</v>
      </c>
      <c r="AC193">
        <v>67675151.239999995</v>
      </c>
      <c r="AD193">
        <v>67573436.310000002</v>
      </c>
      <c r="AE193">
        <v>67472341.980000004</v>
      </c>
      <c r="AF193">
        <v>67361834.150000006</v>
      </c>
      <c r="AG193">
        <v>67271860.590000004</v>
      </c>
      <c r="AH193">
        <v>67205501.140000001</v>
      </c>
      <c r="AI193">
        <v>67414706.010000005</v>
      </c>
      <c r="AJ193">
        <v>67629668.099999994</v>
      </c>
      <c r="AK193">
        <v>67860455.719999999</v>
      </c>
      <c r="AL193">
        <v>68089904.040000007</v>
      </c>
      <c r="AM193">
        <v>68317074.760000005</v>
      </c>
      <c r="AN193">
        <v>68149430.090000004</v>
      </c>
      <c r="AO193">
        <v>67986334.5</v>
      </c>
      <c r="AP193">
        <v>67793621.260000005</v>
      </c>
      <c r="AQ193">
        <v>67580062.480000004</v>
      </c>
      <c r="AR193">
        <v>67334808.25</v>
      </c>
      <c r="AS193">
        <v>67930234.569999903</v>
      </c>
      <c r="AT193">
        <v>68612398.299999997</v>
      </c>
      <c r="AU193">
        <v>69274414.310000002</v>
      </c>
      <c r="AV193">
        <v>69902179.760000005</v>
      </c>
      <c r="AW193">
        <v>70519774.510000005</v>
      </c>
    </row>
    <row r="194" spans="2:49" x14ac:dyDescent="0.25">
      <c r="B194" t="s">
        <v>523</v>
      </c>
      <c r="C194">
        <v>419119515.24800497</v>
      </c>
      <c r="D194">
        <v>425848614.63336003</v>
      </c>
      <c r="E194">
        <v>432797081.30000001</v>
      </c>
      <c r="F194">
        <v>432625612.60000002</v>
      </c>
      <c r="G194">
        <v>413261459.69999999</v>
      </c>
      <c r="H194">
        <v>393309513.39999998</v>
      </c>
      <c r="I194">
        <v>388325088.89999998</v>
      </c>
      <c r="J194">
        <v>379298112.30000001</v>
      </c>
      <c r="K194">
        <v>365432223.69999999</v>
      </c>
      <c r="L194">
        <v>356630062.60000002</v>
      </c>
      <c r="M194">
        <v>353623550.10000002</v>
      </c>
      <c r="N194">
        <v>354111248.5</v>
      </c>
      <c r="O194">
        <v>345495039.60000002</v>
      </c>
      <c r="P194">
        <v>337720940.19999999</v>
      </c>
      <c r="Q194">
        <v>324912275.39999998</v>
      </c>
      <c r="R194">
        <v>316588821.10000002</v>
      </c>
      <c r="S194">
        <v>307953175.30000001</v>
      </c>
      <c r="T194">
        <v>304178581.19999999</v>
      </c>
      <c r="U194">
        <v>298698356.5</v>
      </c>
      <c r="V194">
        <v>294736905.30000001</v>
      </c>
      <c r="W194">
        <v>294764720.69999999</v>
      </c>
      <c r="X194">
        <v>292997414.19999999</v>
      </c>
      <c r="Y194">
        <v>290746855.39999998</v>
      </c>
      <c r="Z194">
        <v>290079821.10000002</v>
      </c>
      <c r="AA194">
        <v>290004220.5</v>
      </c>
      <c r="AB194">
        <v>290394476.10000002</v>
      </c>
      <c r="AC194">
        <v>291205869.10000002</v>
      </c>
      <c r="AD194">
        <v>289704795</v>
      </c>
      <c r="AE194">
        <v>288243690.60000002</v>
      </c>
      <c r="AF194">
        <v>286877447.30000001</v>
      </c>
      <c r="AG194">
        <v>285653840</v>
      </c>
      <c r="AH194">
        <v>284493362.89999998</v>
      </c>
      <c r="AI194">
        <v>284025803</v>
      </c>
      <c r="AJ194">
        <v>283656333.5</v>
      </c>
      <c r="AK194">
        <v>283417761</v>
      </c>
      <c r="AL194">
        <v>283297155.30000001</v>
      </c>
      <c r="AM194">
        <v>283208607.19999999</v>
      </c>
      <c r="AN194">
        <v>282464754.10000002</v>
      </c>
      <c r="AO194">
        <v>281752963.19999999</v>
      </c>
      <c r="AP194">
        <v>280973358</v>
      </c>
      <c r="AQ194">
        <v>280191027.10000002</v>
      </c>
      <c r="AR194">
        <v>279323255.89999998</v>
      </c>
      <c r="AS194">
        <v>279812401.5</v>
      </c>
      <c r="AT194">
        <v>280446874.5</v>
      </c>
      <c r="AU194">
        <v>281092154.69999999</v>
      </c>
      <c r="AV194">
        <v>281728263.69999999</v>
      </c>
      <c r="AW194">
        <v>282508628.10000002</v>
      </c>
    </row>
    <row r="195" spans="2:49" x14ac:dyDescent="0.25">
      <c r="B195" t="s">
        <v>524</v>
      </c>
      <c r="C195">
        <v>255.88316116441601</v>
      </c>
      <c r="D195">
        <v>259.991448084664</v>
      </c>
      <c r="E195">
        <v>264.98908549999999</v>
      </c>
      <c r="F195">
        <v>273.12589259999999</v>
      </c>
      <c r="G195">
        <v>274.99908240000002</v>
      </c>
      <c r="H195">
        <v>265.6088282</v>
      </c>
      <c r="I195">
        <v>274.13773959999997</v>
      </c>
      <c r="J195">
        <v>276.03428020000001</v>
      </c>
      <c r="K195">
        <v>273.36892110000002</v>
      </c>
      <c r="L195">
        <v>270.53243700000002</v>
      </c>
      <c r="M195">
        <v>270.11316110000001</v>
      </c>
      <c r="N195">
        <v>269.5739888</v>
      </c>
      <c r="O195">
        <v>260.36585830000001</v>
      </c>
      <c r="P195">
        <v>255.61681300000001</v>
      </c>
      <c r="Q195">
        <v>250.2016228</v>
      </c>
      <c r="R195">
        <v>242.85762990000001</v>
      </c>
      <c r="S195">
        <v>235.8140822</v>
      </c>
      <c r="T195">
        <v>234.1915328</v>
      </c>
      <c r="U195">
        <v>232.03253570000001</v>
      </c>
      <c r="V195">
        <v>230.9461087</v>
      </c>
      <c r="W195">
        <v>240.6414145</v>
      </c>
      <c r="X195">
        <v>250.35106110000001</v>
      </c>
      <c r="Y195">
        <v>251.86898600000001</v>
      </c>
      <c r="Z195">
        <v>253.9965378</v>
      </c>
      <c r="AA195">
        <v>256.38383879999998</v>
      </c>
      <c r="AB195">
        <v>258.70546710000002</v>
      </c>
      <c r="AC195">
        <v>261.28301390000001</v>
      </c>
      <c r="AD195">
        <v>258.44443189999998</v>
      </c>
      <c r="AE195">
        <v>255.7220714</v>
      </c>
      <c r="AF195">
        <v>253.12063570000001</v>
      </c>
      <c r="AG195">
        <v>250.66174079999999</v>
      </c>
      <c r="AH195">
        <v>248.29455909999999</v>
      </c>
      <c r="AI195">
        <v>246.40538230000001</v>
      </c>
      <c r="AJ195">
        <v>244.57716640000001</v>
      </c>
      <c r="AK195">
        <v>242.77756149999999</v>
      </c>
      <c r="AL195">
        <v>241.07660670000001</v>
      </c>
      <c r="AM195">
        <v>239.37124460000001</v>
      </c>
      <c r="AN195">
        <v>237.4563564</v>
      </c>
      <c r="AO195">
        <v>235.55872389999999</v>
      </c>
      <c r="AP195">
        <v>233.62885560000001</v>
      </c>
      <c r="AQ195">
        <v>231.707042</v>
      </c>
      <c r="AR195">
        <v>229.75628549999999</v>
      </c>
      <c r="AS195">
        <v>228.61276340000001</v>
      </c>
      <c r="AT195">
        <v>227.4263727</v>
      </c>
      <c r="AU195">
        <v>226.22106020000001</v>
      </c>
      <c r="AV195">
        <v>224.99054720000001</v>
      </c>
      <c r="AW195">
        <v>223.81917530000001</v>
      </c>
    </row>
    <row r="196" spans="2:49" x14ac:dyDescent="0.25">
      <c r="B196" t="s">
        <v>525</v>
      </c>
      <c r="C196">
        <v>5.5705789795526002</v>
      </c>
      <c r="D196">
        <v>5.6600164269241402</v>
      </c>
      <c r="E196">
        <v>5.7508898210000003</v>
      </c>
      <c r="F196">
        <v>5.8023842989999999</v>
      </c>
      <c r="G196">
        <v>4.8416800809999998</v>
      </c>
      <c r="H196">
        <v>4.2395293430000001</v>
      </c>
      <c r="I196">
        <v>4.1106642520000003</v>
      </c>
      <c r="J196">
        <v>3.931993844</v>
      </c>
      <c r="K196">
        <v>3.8008705599999999</v>
      </c>
      <c r="L196">
        <v>4.0478281269999998</v>
      </c>
      <c r="M196">
        <v>4.1498832410000004</v>
      </c>
      <c r="N196">
        <v>4.2193120510000002</v>
      </c>
      <c r="O196">
        <v>3.311763827</v>
      </c>
      <c r="P196">
        <v>2.7932713140000001</v>
      </c>
      <c r="Q196">
        <v>2.4621726910000001</v>
      </c>
      <c r="R196">
        <v>2.2477257349999999</v>
      </c>
      <c r="S196">
        <v>2.0641504419999999</v>
      </c>
      <c r="T196">
        <v>2.0495688780000001</v>
      </c>
      <c r="U196">
        <v>2.0140022549999999</v>
      </c>
      <c r="V196">
        <v>2.0015286780000001</v>
      </c>
      <c r="W196">
        <v>1.9708051449999999</v>
      </c>
      <c r="X196">
        <v>1.9231889449999999</v>
      </c>
      <c r="Y196">
        <v>1.919773264</v>
      </c>
      <c r="Z196">
        <v>1.9392052129999999</v>
      </c>
      <c r="AA196">
        <v>1.9644814900000001</v>
      </c>
      <c r="AB196">
        <v>1.9928414759999999</v>
      </c>
      <c r="AC196">
        <v>2.0243063010000002</v>
      </c>
      <c r="AD196">
        <v>2.0277288420000001</v>
      </c>
      <c r="AE196">
        <v>2.0341475820000001</v>
      </c>
      <c r="AF196">
        <v>2.0429741859999999</v>
      </c>
      <c r="AG196">
        <v>2.0533135749999998</v>
      </c>
      <c r="AH196">
        <v>2.0651381290000002</v>
      </c>
      <c r="AI196">
        <v>2.0802822870000002</v>
      </c>
      <c r="AJ196">
        <v>2.0955791490000002</v>
      </c>
      <c r="AK196">
        <v>2.1119942790000001</v>
      </c>
      <c r="AL196">
        <v>2.129085603</v>
      </c>
      <c r="AM196">
        <v>2.1461204469999999</v>
      </c>
      <c r="AN196">
        <v>2.1375811740000001</v>
      </c>
      <c r="AO196">
        <v>2.1255028020000002</v>
      </c>
      <c r="AP196">
        <v>2.1106187259999998</v>
      </c>
      <c r="AQ196">
        <v>2.094152094</v>
      </c>
      <c r="AR196">
        <v>2.075141055</v>
      </c>
      <c r="AS196">
        <v>2.0712485300000001</v>
      </c>
      <c r="AT196">
        <v>2.0690471819999998</v>
      </c>
      <c r="AU196">
        <v>2.0666489220000002</v>
      </c>
      <c r="AV196">
        <v>2.0637199919999998</v>
      </c>
      <c r="AW196">
        <v>2.0612994470000001</v>
      </c>
    </row>
    <row r="197" spans="2:49" x14ac:dyDescent="0.25">
      <c r="B197" t="s">
        <v>526</v>
      </c>
      <c r="C197">
        <v>5.5705789795526002</v>
      </c>
      <c r="D197">
        <v>5.6600164269241402</v>
      </c>
      <c r="E197">
        <v>5.7508898210000003</v>
      </c>
      <c r="F197">
        <v>5.8023842989999999</v>
      </c>
      <c r="G197">
        <v>4.8416800809999998</v>
      </c>
      <c r="H197">
        <v>4.2395293430000001</v>
      </c>
      <c r="I197">
        <v>4.1106642520000003</v>
      </c>
      <c r="J197">
        <v>3.931993844</v>
      </c>
      <c r="K197">
        <v>3.8008705599999999</v>
      </c>
      <c r="L197">
        <v>4.0478281269999998</v>
      </c>
      <c r="M197">
        <v>4.1498832410000004</v>
      </c>
      <c r="N197">
        <v>4.2193120510000002</v>
      </c>
      <c r="O197">
        <v>3.311763827</v>
      </c>
      <c r="P197">
        <v>2.7932713140000001</v>
      </c>
      <c r="Q197">
        <v>2.4621726910000001</v>
      </c>
      <c r="R197">
        <v>2.2477257349999999</v>
      </c>
      <c r="S197">
        <v>2.0641504419999999</v>
      </c>
      <c r="T197">
        <v>2.0495688780000001</v>
      </c>
      <c r="U197">
        <v>2.0140022549999999</v>
      </c>
      <c r="V197">
        <v>2.0015286780000001</v>
      </c>
      <c r="W197">
        <v>1.9708051449999999</v>
      </c>
      <c r="X197">
        <v>1.9231889449999999</v>
      </c>
      <c r="Y197">
        <v>1.919773264</v>
      </c>
      <c r="Z197">
        <v>1.9392052129999999</v>
      </c>
      <c r="AA197">
        <v>1.9644814900000001</v>
      </c>
      <c r="AB197">
        <v>1.9928414759999999</v>
      </c>
      <c r="AC197">
        <v>2.0243063010000002</v>
      </c>
      <c r="AD197">
        <v>2.0277288420000001</v>
      </c>
      <c r="AE197">
        <v>2.0341475820000001</v>
      </c>
      <c r="AF197">
        <v>2.0429741859999999</v>
      </c>
      <c r="AG197">
        <v>2.0533135749999998</v>
      </c>
      <c r="AH197">
        <v>2.0651381290000002</v>
      </c>
      <c r="AI197">
        <v>2.0802822870000002</v>
      </c>
      <c r="AJ197">
        <v>2.0955791490000002</v>
      </c>
      <c r="AK197">
        <v>2.1119942790000001</v>
      </c>
      <c r="AL197">
        <v>2.129085603</v>
      </c>
      <c r="AM197">
        <v>2.1461204469999999</v>
      </c>
      <c r="AN197">
        <v>2.1375811740000001</v>
      </c>
      <c r="AO197">
        <v>2.1255028020000002</v>
      </c>
      <c r="AP197">
        <v>2.1106187259999998</v>
      </c>
      <c r="AQ197">
        <v>2.094152094</v>
      </c>
      <c r="AR197">
        <v>2.075141055</v>
      </c>
      <c r="AS197">
        <v>2.0712485300000001</v>
      </c>
      <c r="AT197">
        <v>2.0690471819999998</v>
      </c>
      <c r="AU197">
        <v>2.0666489220000002</v>
      </c>
      <c r="AV197">
        <v>2.0637199919999998</v>
      </c>
      <c r="AW197">
        <v>2.0612994470000001</v>
      </c>
    </row>
    <row r="198" spans="2:49" x14ac:dyDescent="0.25">
      <c r="B198" t="s">
        <v>527</v>
      </c>
      <c r="C198">
        <v>82.165927612137295</v>
      </c>
      <c r="D198">
        <v>83.485128157272499</v>
      </c>
      <c r="E198">
        <v>84.843357019999999</v>
      </c>
      <c r="F198">
        <v>85.045908870000005</v>
      </c>
      <c r="G198">
        <v>81.624260620000001</v>
      </c>
      <c r="H198">
        <v>79.124560709999997</v>
      </c>
      <c r="I198">
        <v>77.486417860000003</v>
      </c>
      <c r="J198">
        <v>75.228504700000002</v>
      </c>
      <c r="K198">
        <v>72.706965150000002</v>
      </c>
      <c r="L198">
        <v>70.792601189999999</v>
      </c>
      <c r="M198">
        <v>70.250823490000002</v>
      </c>
      <c r="N198">
        <v>70.388874259999994</v>
      </c>
      <c r="O198">
        <v>68.679020769999994</v>
      </c>
      <c r="P198">
        <v>66.884343009999995</v>
      </c>
      <c r="Q198">
        <v>64.449662669999995</v>
      </c>
      <c r="R198">
        <v>63.042763190000002</v>
      </c>
      <c r="S198">
        <v>61.374863349999998</v>
      </c>
      <c r="T198">
        <v>61.209870289999998</v>
      </c>
      <c r="U198">
        <v>60.647858720000002</v>
      </c>
      <c r="V198">
        <v>60.325086800000001</v>
      </c>
      <c r="W198">
        <v>60.085327769999999</v>
      </c>
      <c r="X198">
        <v>59.506675260000002</v>
      </c>
      <c r="Y198">
        <v>58.995597529999998</v>
      </c>
      <c r="Z198">
        <v>58.73587981</v>
      </c>
      <c r="AA198">
        <v>58.571695290000001</v>
      </c>
      <c r="AB198">
        <v>58.479807350000002</v>
      </c>
      <c r="AC198">
        <v>58.456639899999999</v>
      </c>
      <c r="AD198">
        <v>57.972482370000002</v>
      </c>
      <c r="AE198">
        <v>57.484369180000002</v>
      </c>
      <c r="AF198">
        <v>57.018856370000002</v>
      </c>
      <c r="AG198">
        <v>56.581079250000002</v>
      </c>
      <c r="AH198">
        <v>56.142572049999998</v>
      </c>
      <c r="AI198">
        <v>55.836883610000001</v>
      </c>
      <c r="AJ198">
        <v>55.560636649999999</v>
      </c>
      <c r="AK198">
        <v>55.309542829999998</v>
      </c>
      <c r="AL198">
        <v>55.088016039999999</v>
      </c>
      <c r="AM198">
        <v>54.878310970000001</v>
      </c>
      <c r="AN198">
        <v>54.617464759999997</v>
      </c>
      <c r="AO198">
        <v>54.359564890000001</v>
      </c>
      <c r="AP198">
        <v>54.094231620000002</v>
      </c>
      <c r="AQ198">
        <v>53.832320809999999</v>
      </c>
      <c r="AR198">
        <v>53.562944999999999</v>
      </c>
      <c r="AS198">
        <v>53.446712269999999</v>
      </c>
      <c r="AT198">
        <v>53.348220009999999</v>
      </c>
      <c r="AU198">
        <v>53.260952930000002</v>
      </c>
      <c r="AV198">
        <v>53.18234073</v>
      </c>
      <c r="AW198">
        <v>53.132247749999998</v>
      </c>
    </row>
    <row r="199" spans="2:49" x14ac:dyDescent="0.25">
      <c r="B199" t="s">
        <v>528</v>
      </c>
      <c r="C199">
        <v>0.67805251130835598</v>
      </c>
      <c r="D199">
        <v>0.68893886369971102</v>
      </c>
      <c r="E199">
        <v>0.66745370510000002</v>
      </c>
      <c r="F199">
        <v>1.003039043</v>
      </c>
      <c r="G199">
        <v>1.2849835789999999</v>
      </c>
      <c r="H199">
        <v>1.559754313</v>
      </c>
      <c r="I199">
        <v>1.836740899</v>
      </c>
      <c r="J199">
        <v>2.0954605800000001</v>
      </c>
      <c r="K199">
        <v>2.330272162</v>
      </c>
      <c r="L199">
        <v>2.5688074350000001</v>
      </c>
      <c r="M199">
        <v>2.849326236</v>
      </c>
      <c r="N199">
        <v>3.1580441800000001</v>
      </c>
      <c r="O199">
        <v>3.1407436510000002</v>
      </c>
      <c r="P199">
        <v>3.1201218019999999</v>
      </c>
      <c r="Q199">
        <v>3.0695655390000001</v>
      </c>
      <c r="R199">
        <v>3.0683155800000002</v>
      </c>
      <c r="S199">
        <v>3.0555914350000002</v>
      </c>
      <c r="T199">
        <v>3.2042962199999998</v>
      </c>
      <c r="U199">
        <v>3.3246145440000001</v>
      </c>
      <c r="V199">
        <v>3.4504021370000002</v>
      </c>
      <c r="W199">
        <v>3.5723578630000001</v>
      </c>
      <c r="X199">
        <v>3.6779197159999999</v>
      </c>
      <c r="Y199">
        <v>3.6422929370000001</v>
      </c>
      <c r="Z199">
        <v>3.622234524</v>
      </c>
      <c r="AA199">
        <v>3.6080926880000002</v>
      </c>
      <c r="AB199">
        <v>3.5989525150000001</v>
      </c>
      <c r="AC199">
        <v>3.5941179170000002</v>
      </c>
      <c r="AD199">
        <v>3.5574980809999999</v>
      </c>
      <c r="AE199">
        <v>3.5205935859999999</v>
      </c>
      <c r="AF199">
        <v>3.4850192820000001</v>
      </c>
      <c r="AG199">
        <v>3.4510466370000001</v>
      </c>
      <c r="AH199">
        <v>3.4169747529999999</v>
      </c>
      <c r="AI199">
        <v>3.3963972099999999</v>
      </c>
      <c r="AJ199">
        <v>3.3777150429999998</v>
      </c>
      <c r="AK199">
        <v>3.3606695019999999</v>
      </c>
      <c r="AL199">
        <v>3.3444431940000001</v>
      </c>
      <c r="AM199">
        <v>3.3290283540000001</v>
      </c>
      <c r="AN199">
        <v>3.3234252720000002</v>
      </c>
      <c r="AO199">
        <v>3.3183828929999999</v>
      </c>
      <c r="AP199">
        <v>3.3132886720000001</v>
      </c>
      <c r="AQ199">
        <v>3.3088283000000001</v>
      </c>
      <c r="AR199">
        <v>3.3043573679999998</v>
      </c>
      <c r="AS199">
        <v>3.3136285220000001</v>
      </c>
      <c r="AT199">
        <v>3.324315269</v>
      </c>
      <c r="AU199">
        <v>3.336037304</v>
      </c>
      <c r="AV199">
        <v>3.3486554320000002</v>
      </c>
      <c r="AW199">
        <v>3.3634482550000002</v>
      </c>
    </row>
    <row r="200" spans="2:49" x14ac:dyDescent="0.25">
      <c r="B200" t="s">
        <v>529</v>
      </c>
      <c r="C200">
        <v>82.165927612137295</v>
      </c>
      <c r="D200">
        <v>83.485128157272499</v>
      </c>
      <c r="E200">
        <v>84.843357019999999</v>
      </c>
      <c r="F200">
        <v>85.045908870000005</v>
      </c>
      <c r="G200">
        <v>81.624260620000001</v>
      </c>
      <c r="H200">
        <v>79.124560709999997</v>
      </c>
      <c r="I200">
        <v>77.486417860000003</v>
      </c>
      <c r="J200">
        <v>75.228504700000002</v>
      </c>
      <c r="K200">
        <v>72.706965150000002</v>
      </c>
      <c r="L200">
        <v>70.792601189999999</v>
      </c>
      <c r="M200">
        <v>70.250823490000002</v>
      </c>
      <c r="N200">
        <v>70.388874259999994</v>
      </c>
      <c r="O200">
        <v>68.679020769999994</v>
      </c>
      <c r="P200">
        <v>66.884343009999995</v>
      </c>
      <c r="Q200">
        <v>64.449662669999995</v>
      </c>
      <c r="R200">
        <v>63.042763190000002</v>
      </c>
      <c r="S200">
        <v>61.374863349999998</v>
      </c>
      <c r="T200">
        <v>61.209870289999998</v>
      </c>
      <c r="U200">
        <v>60.647858720000002</v>
      </c>
      <c r="V200">
        <v>60.325086800000001</v>
      </c>
      <c r="W200">
        <v>60.085327769999999</v>
      </c>
      <c r="X200">
        <v>59.506675260000002</v>
      </c>
      <c r="Y200">
        <v>58.995597529999998</v>
      </c>
      <c r="Z200">
        <v>58.73587981</v>
      </c>
      <c r="AA200">
        <v>58.571695290000001</v>
      </c>
      <c r="AB200">
        <v>58.479807350000002</v>
      </c>
      <c r="AC200">
        <v>58.456639899999999</v>
      </c>
      <c r="AD200">
        <v>57.972482370000002</v>
      </c>
      <c r="AE200">
        <v>57.484369180000002</v>
      </c>
      <c r="AF200">
        <v>57.018856370000002</v>
      </c>
      <c r="AG200">
        <v>56.581079250000002</v>
      </c>
      <c r="AH200">
        <v>56.142572049999998</v>
      </c>
      <c r="AI200">
        <v>55.836883610000001</v>
      </c>
      <c r="AJ200">
        <v>55.560636649999999</v>
      </c>
      <c r="AK200">
        <v>55.309542829999998</v>
      </c>
      <c r="AL200">
        <v>55.088016039999999</v>
      </c>
      <c r="AM200">
        <v>54.878310970000001</v>
      </c>
      <c r="AN200">
        <v>54.617464759999997</v>
      </c>
      <c r="AO200">
        <v>54.359564890000001</v>
      </c>
      <c r="AP200">
        <v>54.094231620000002</v>
      </c>
      <c r="AQ200">
        <v>53.832320809999999</v>
      </c>
      <c r="AR200">
        <v>53.562944999999999</v>
      </c>
      <c r="AS200">
        <v>53.446712269999999</v>
      </c>
      <c r="AT200">
        <v>53.348220009999999</v>
      </c>
      <c r="AU200">
        <v>53.260952930000002</v>
      </c>
      <c r="AV200">
        <v>53.18234073</v>
      </c>
      <c r="AW200">
        <v>53.132247749999998</v>
      </c>
    </row>
    <row r="201" spans="2:49" x14ac:dyDescent="0.25">
      <c r="B201" t="s">
        <v>530</v>
      </c>
      <c r="C201">
        <v>0.67805251130835598</v>
      </c>
      <c r="D201">
        <v>0.68893886369971102</v>
      </c>
      <c r="E201">
        <v>0.66745370510000002</v>
      </c>
      <c r="F201">
        <v>1.003039043</v>
      </c>
      <c r="G201">
        <v>1.2849835789999999</v>
      </c>
      <c r="H201">
        <v>1.559754313</v>
      </c>
      <c r="I201">
        <v>1.836740899</v>
      </c>
      <c r="J201">
        <v>2.0954605800000001</v>
      </c>
      <c r="K201">
        <v>2.330272162</v>
      </c>
      <c r="L201">
        <v>2.5688074350000001</v>
      </c>
      <c r="M201">
        <v>2.849326236</v>
      </c>
      <c r="N201">
        <v>3.1580441800000001</v>
      </c>
      <c r="O201">
        <v>3.1407436510000002</v>
      </c>
      <c r="P201">
        <v>3.1201218019999999</v>
      </c>
      <c r="Q201">
        <v>3.0695655390000001</v>
      </c>
      <c r="R201">
        <v>3.0683155800000002</v>
      </c>
      <c r="S201">
        <v>3.0555914350000002</v>
      </c>
      <c r="T201">
        <v>3.2042962199999998</v>
      </c>
      <c r="U201">
        <v>3.3246145440000001</v>
      </c>
      <c r="V201">
        <v>3.4504021370000002</v>
      </c>
      <c r="W201">
        <v>3.5723578630000001</v>
      </c>
      <c r="X201">
        <v>3.6779197159999999</v>
      </c>
      <c r="Y201">
        <v>3.6422929370000001</v>
      </c>
      <c r="Z201">
        <v>3.622234524</v>
      </c>
      <c r="AA201">
        <v>3.6080926880000002</v>
      </c>
      <c r="AB201">
        <v>3.5989525150000001</v>
      </c>
      <c r="AC201">
        <v>3.5941179170000002</v>
      </c>
      <c r="AD201">
        <v>3.5574980809999999</v>
      </c>
      <c r="AE201">
        <v>3.5205935859999999</v>
      </c>
      <c r="AF201">
        <v>3.4850192820000001</v>
      </c>
      <c r="AG201">
        <v>3.4510466370000001</v>
      </c>
      <c r="AH201">
        <v>3.4169747529999999</v>
      </c>
      <c r="AI201">
        <v>3.3963972099999999</v>
      </c>
      <c r="AJ201">
        <v>3.3777150429999998</v>
      </c>
      <c r="AK201">
        <v>3.3606695019999999</v>
      </c>
      <c r="AL201">
        <v>3.3444431940000001</v>
      </c>
      <c r="AM201">
        <v>3.3290283540000001</v>
      </c>
      <c r="AN201">
        <v>3.3234252720000002</v>
      </c>
      <c r="AO201">
        <v>3.3183828929999999</v>
      </c>
      <c r="AP201">
        <v>3.3132886720000001</v>
      </c>
      <c r="AQ201">
        <v>3.3088283000000001</v>
      </c>
      <c r="AR201">
        <v>3.3043573679999998</v>
      </c>
      <c r="AS201">
        <v>3.3136285220000001</v>
      </c>
      <c r="AT201">
        <v>3.324315269</v>
      </c>
      <c r="AU201">
        <v>3.336037304</v>
      </c>
      <c r="AV201">
        <v>3.3486554320000002</v>
      </c>
      <c r="AW201">
        <v>3.3634482550000002</v>
      </c>
    </row>
    <row r="202" spans="2:49" x14ac:dyDescent="0.25">
      <c r="B202" t="s">
        <v>531</v>
      </c>
      <c r="C202">
        <v>114.221490567207</v>
      </c>
      <c r="D202">
        <v>116.055353544252</v>
      </c>
      <c r="E202">
        <v>118.4723395</v>
      </c>
      <c r="F202">
        <v>124.21431920000001</v>
      </c>
      <c r="G202">
        <v>129.74264550000001</v>
      </c>
      <c r="H202">
        <v>124.77291409999999</v>
      </c>
      <c r="I202">
        <v>132.09328579999999</v>
      </c>
      <c r="J202">
        <v>134.63580210000001</v>
      </c>
      <c r="K202">
        <v>134.65785690000001</v>
      </c>
      <c r="L202">
        <v>132.91596390000001</v>
      </c>
      <c r="M202">
        <v>131.24242079999999</v>
      </c>
      <c r="N202">
        <v>128.12296480000001</v>
      </c>
      <c r="O202">
        <v>120.6130182</v>
      </c>
      <c r="P202">
        <v>117.5959482</v>
      </c>
      <c r="Q202">
        <v>116.23975470000001</v>
      </c>
      <c r="R202">
        <v>111.63357379999999</v>
      </c>
      <c r="S202">
        <v>107.07950940000001</v>
      </c>
      <c r="T202">
        <v>105.3691699</v>
      </c>
      <c r="U202">
        <v>103.5664975</v>
      </c>
      <c r="V202">
        <v>102.2845688</v>
      </c>
      <c r="W202">
        <v>112.0322075</v>
      </c>
      <c r="X202">
        <v>122.32625059999999</v>
      </c>
      <c r="Y202">
        <v>123.4862895</v>
      </c>
      <c r="Z202">
        <v>124.7687372</v>
      </c>
      <c r="AA202">
        <v>126.0967583</v>
      </c>
      <c r="AB202">
        <v>127.2714972</v>
      </c>
      <c r="AC202">
        <v>128.52779509999999</v>
      </c>
      <c r="AD202">
        <v>125.1391672</v>
      </c>
      <c r="AE202">
        <v>121.8724086</v>
      </c>
      <c r="AF202">
        <v>118.7128563</v>
      </c>
      <c r="AG202">
        <v>115.5894393</v>
      </c>
      <c r="AH202">
        <v>112.54864600000001</v>
      </c>
      <c r="AI202">
        <v>109.7360427</v>
      </c>
      <c r="AJ202">
        <v>106.978647</v>
      </c>
      <c r="AK202">
        <v>104.2474117</v>
      </c>
      <c r="AL202">
        <v>101.51069390000001</v>
      </c>
      <c r="AM202">
        <v>98.792415879999893</v>
      </c>
      <c r="AN202">
        <v>96.153931389999997</v>
      </c>
      <c r="AO202">
        <v>93.539437739999997</v>
      </c>
      <c r="AP202">
        <v>90.938854090000007</v>
      </c>
      <c r="AQ202">
        <v>88.368271300000004</v>
      </c>
      <c r="AR202">
        <v>85.816312060000001</v>
      </c>
      <c r="AS202">
        <v>83.418745920000006</v>
      </c>
      <c r="AT202">
        <v>80.9939605</v>
      </c>
      <c r="AU202">
        <v>78.569613559999894</v>
      </c>
      <c r="AV202">
        <v>76.143856929999998</v>
      </c>
      <c r="AW202">
        <v>73.745385650000003</v>
      </c>
    </row>
    <row r="203" spans="2:49" x14ac:dyDescent="0.25">
      <c r="B203" t="s">
        <v>532</v>
      </c>
      <c r="C203">
        <v>1.2736350545564401</v>
      </c>
      <c r="D203">
        <v>1.2940836773262701</v>
      </c>
      <c r="E203">
        <v>1.321034456</v>
      </c>
      <c r="F203">
        <v>1.3103361440000001</v>
      </c>
      <c r="G203">
        <v>1.294840797</v>
      </c>
      <c r="H203">
        <v>1.178108784</v>
      </c>
      <c r="I203">
        <v>1.180011739</v>
      </c>
      <c r="J203">
        <v>1.1129040299999999</v>
      </c>
      <c r="K203">
        <v>1.0301464440000001</v>
      </c>
      <c r="L203">
        <v>0.94126701710000005</v>
      </c>
      <c r="M203">
        <v>0.86058358189999995</v>
      </c>
      <c r="N203">
        <v>0.77813890200000002</v>
      </c>
      <c r="O203">
        <v>0.67206482990000005</v>
      </c>
      <c r="P203">
        <v>0.59220157179999999</v>
      </c>
      <c r="Q203">
        <v>0.51849112929999996</v>
      </c>
      <c r="R203">
        <v>0.42877367170000003</v>
      </c>
      <c r="S203">
        <v>0.33955308569999998</v>
      </c>
      <c r="T203">
        <v>0.44331598900000002</v>
      </c>
      <c r="U203">
        <v>0.54611429310000004</v>
      </c>
      <c r="V203">
        <v>0.65154825839999997</v>
      </c>
      <c r="W203">
        <v>0.72064056310000002</v>
      </c>
      <c r="X203">
        <v>0.79329367260000005</v>
      </c>
      <c r="Y203">
        <v>0.79457156070000001</v>
      </c>
      <c r="Z203">
        <v>0.79649861710000003</v>
      </c>
      <c r="AA203">
        <v>0.79856866260000003</v>
      </c>
      <c r="AB203">
        <v>0.79977215869999996</v>
      </c>
      <c r="AC203">
        <v>0.80137031420000004</v>
      </c>
      <c r="AD203">
        <v>0.80626160950000003</v>
      </c>
      <c r="AE203">
        <v>0.81108490050000004</v>
      </c>
      <c r="AF203">
        <v>0.81579047680000005</v>
      </c>
      <c r="AG203">
        <v>0.82121506840000003</v>
      </c>
      <c r="AH203">
        <v>0.82641899929999996</v>
      </c>
      <c r="AI203">
        <v>0.81496581310000005</v>
      </c>
      <c r="AJ203">
        <v>0.80373689960000005</v>
      </c>
      <c r="AK203">
        <v>0.79251724099999998</v>
      </c>
      <c r="AL203">
        <v>0.78134266090000004</v>
      </c>
      <c r="AM203">
        <v>0.77012995799999995</v>
      </c>
      <c r="AN203">
        <v>0.77739798090000001</v>
      </c>
      <c r="AO203">
        <v>0.78441649489999998</v>
      </c>
      <c r="AP203">
        <v>0.79109304970000005</v>
      </c>
      <c r="AQ203">
        <v>0.79755785499999998</v>
      </c>
      <c r="AR203">
        <v>0.80370448059999999</v>
      </c>
      <c r="AS203">
        <v>0.80635754179999997</v>
      </c>
      <c r="AT203">
        <v>0.80865340750000003</v>
      </c>
      <c r="AU203">
        <v>0.81084363230000001</v>
      </c>
      <c r="AV203">
        <v>0.81290012759999997</v>
      </c>
      <c r="AW203">
        <v>0.81512859530000004</v>
      </c>
    </row>
    <row r="204" spans="2:49" x14ac:dyDescent="0.25">
      <c r="B204" t="s">
        <v>533</v>
      </c>
      <c r="C204">
        <v>3.4574974609126801</v>
      </c>
      <c r="D204">
        <v>3.51300870100687</v>
      </c>
      <c r="E204">
        <v>3.5861711399999998</v>
      </c>
      <c r="F204">
        <v>3.7398502200000001</v>
      </c>
      <c r="G204">
        <v>3.8856010990000001</v>
      </c>
      <c r="H204">
        <v>3.7171874730000001</v>
      </c>
      <c r="I204">
        <v>3.9148996039999999</v>
      </c>
      <c r="J204">
        <v>4.0662756800000004</v>
      </c>
      <c r="K204">
        <v>4.1507686210000001</v>
      </c>
      <c r="L204">
        <v>4.1872290940000001</v>
      </c>
      <c r="M204">
        <v>4.2306301250000002</v>
      </c>
      <c r="N204">
        <v>4.2306958210000003</v>
      </c>
      <c r="O204">
        <v>4.449503215</v>
      </c>
      <c r="P204">
        <v>4.827766767</v>
      </c>
      <c r="Q204">
        <v>5.2942803420000004</v>
      </c>
      <c r="R204">
        <v>5.6274852639999997</v>
      </c>
      <c r="S204">
        <v>5.9639408349999998</v>
      </c>
      <c r="T204">
        <v>5.6847352600000001</v>
      </c>
      <c r="U204">
        <v>5.3996080900000001</v>
      </c>
      <c r="V204">
        <v>5.1398980539999997</v>
      </c>
      <c r="W204">
        <v>3.5495325489999998</v>
      </c>
      <c r="X204">
        <v>1.9037852980000001</v>
      </c>
      <c r="Y204">
        <v>1.905422256</v>
      </c>
      <c r="Z204">
        <v>1.908708071</v>
      </c>
      <c r="AA204">
        <v>1.9124305180000001</v>
      </c>
      <c r="AB204">
        <v>1.9148969730000001</v>
      </c>
      <c r="AC204">
        <v>1.918305454</v>
      </c>
      <c r="AD204">
        <v>1.9006084999999999</v>
      </c>
      <c r="AE204">
        <v>1.883428047</v>
      </c>
      <c r="AF204">
        <v>1.866604588</v>
      </c>
      <c r="AG204">
        <v>1.8515125779999999</v>
      </c>
      <c r="AH204">
        <v>1.8364864590000001</v>
      </c>
      <c r="AI204">
        <v>1.825382807</v>
      </c>
      <c r="AJ204">
        <v>1.8142630630000001</v>
      </c>
      <c r="AK204">
        <v>1.802650573</v>
      </c>
      <c r="AL204">
        <v>1.791969739</v>
      </c>
      <c r="AM204">
        <v>1.780697975</v>
      </c>
      <c r="AN204">
        <v>1.77167082</v>
      </c>
      <c r="AO204">
        <v>1.7623392689999999</v>
      </c>
      <c r="AP204">
        <v>1.7525040039999999</v>
      </c>
      <c r="AQ204">
        <v>1.742463273</v>
      </c>
      <c r="AR204">
        <v>1.7319892539999999</v>
      </c>
      <c r="AS204">
        <v>2.3635717199999999</v>
      </c>
      <c r="AT204">
        <v>2.9856006279999998</v>
      </c>
      <c r="AU204">
        <v>3.598455795</v>
      </c>
      <c r="AV204">
        <v>4.2018369819999997</v>
      </c>
      <c r="AW204">
        <v>4.7973350049999999</v>
      </c>
    </row>
    <row r="205" spans="2:49" x14ac:dyDescent="0.25">
      <c r="B205" t="s">
        <v>534</v>
      </c>
      <c r="C205">
        <v>5.0750954082325404</v>
      </c>
      <c r="D205">
        <v>5.1565777065978304</v>
      </c>
      <c r="E205">
        <v>5.2639693569999997</v>
      </c>
      <c r="F205">
        <v>5.074594212</v>
      </c>
      <c r="G205">
        <v>4.8736503149999999</v>
      </c>
      <c r="H205">
        <v>4.3096576960000004</v>
      </c>
      <c r="I205">
        <v>4.1953007720000004</v>
      </c>
      <c r="J205">
        <v>4.1071774379999999</v>
      </c>
      <c r="K205">
        <v>3.9517593689999999</v>
      </c>
      <c r="L205">
        <v>3.7576273169999999</v>
      </c>
      <c r="M205">
        <v>3.5787161709999999</v>
      </c>
      <c r="N205">
        <v>3.3735029939999999</v>
      </c>
      <c r="O205">
        <v>2.807789401</v>
      </c>
      <c r="P205">
        <v>2.3545793709999998</v>
      </c>
      <c r="Q205">
        <v>1.921976489</v>
      </c>
      <c r="R205">
        <v>1.4272705510000001</v>
      </c>
      <c r="S205">
        <v>0.9358242671</v>
      </c>
      <c r="T205">
        <v>0.89214693479999996</v>
      </c>
      <c r="U205">
        <v>0.8474681906</v>
      </c>
      <c r="V205">
        <v>0.80670689650000005</v>
      </c>
      <c r="W205">
        <v>0.55492881279999995</v>
      </c>
      <c r="X205">
        <v>0.29122644800000003</v>
      </c>
      <c r="Y205">
        <v>0.29389929129999998</v>
      </c>
      <c r="Z205">
        <v>0.29686554869999998</v>
      </c>
      <c r="AA205">
        <v>0.29994232469999998</v>
      </c>
      <c r="AB205">
        <v>0.3026384775</v>
      </c>
      <c r="AC205">
        <v>0.30552787580000001</v>
      </c>
      <c r="AD205">
        <v>0.30347539140000002</v>
      </c>
      <c r="AE205">
        <v>0.30151067069999998</v>
      </c>
      <c r="AF205">
        <v>0.2996087643</v>
      </c>
      <c r="AG205">
        <v>0.2979189632</v>
      </c>
      <c r="AH205">
        <v>0.29624576460000002</v>
      </c>
      <c r="AI205">
        <v>0.29527404390000001</v>
      </c>
      <c r="AJ205">
        <v>0.2943057047</v>
      </c>
      <c r="AK205">
        <v>0.29326333500000001</v>
      </c>
      <c r="AL205">
        <v>0.29232300890000001</v>
      </c>
      <c r="AM205">
        <v>0.2912915083</v>
      </c>
      <c r="AN205">
        <v>0.29069259939999997</v>
      </c>
      <c r="AO205">
        <v>0.290048625</v>
      </c>
      <c r="AP205">
        <v>0.28932632279999998</v>
      </c>
      <c r="AQ205">
        <v>0.2885744073</v>
      </c>
      <c r="AR205">
        <v>0.28775479970000001</v>
      </c>
      <c r="AS205">
        <v>0.28765707229999998</v>
      </c>
      <c r="AT205">
        <v>0.28743710459999999</v>
      </c>
      <c r="AU205">
        <v>0.28718526859999999</v>
      </c>
      <c r="AV205">
        <v>0.28689195090000003</v>
      </c>
      <c r="AW205">
        <v>0.28666505910000001</v>
      </c>
    </row>
    <row r="206" spans="2:49" x14ac:dyDescent="0.25">
      <c r="B206" t="s">
        <v>535</v>
      </c>
      <c r="C206">
        <v>0.35516190417563898</v>
      </c>
      <c r="D206">
        <v>0.36086414342755202</v>
      </c>
      <c r="E206">
        <v>0.36837955350000001</v>
      </c>
      <c r="F206">
        <v>0.78356577159999996</v>
      </c>
      <c r="G206">
        <v>1.1823836640000001</v>
      </c>
      <c r="H206">
        <v>1.438265449</v>
      </c>
      <c r="I206">
        <v>1.789111575</v>
      </c>
      <c r="J206">
        <v>2.1184051890000002</v>
      </c>
      <c r="K206">
        <v>2.3693411630000001</v>
      </c>
      <c r="L206">
        <v>2.5305081540000001</v>
      </c>
      <c r="M206">
        <v>2.617793061</v>
      </c>
      <c r="N206">
        <v>2.5831971569999999</v>
      </c>
      <c r="O206">
        <v>2.7462603240000001</v>
      </c>
      <c r="P206">
        <v>3.0089203449999999</v>
      </c>
      <c r="Q206">
        <v>3.3292411249999998</v>
      </c>
      <c r="R206">
        <v>3.5680732239999999</v>
      </c>
      <c r="S206">
        <v>3.8105936800000002</v>
      </c>
      <c r="T206">
        <v>3.9844129939999999</v>
      </c>
      <c r="U206">
        <v>4.1542715829999999</v>
      </c>
      <c r="V206">
        <v>4.3455534680000003</v>
      </c>
      <c r="W206">
        <v>5.0110082340000002</v>
      </c>
      <c r="X206">
        <v>5.6997044600000004</v>
      </c>
      <c r="Y206">
        <v>6.1409746329999999</v>
      </c>
      <c r="Z206">
        <v>6.5968516450000001</v>
      </c>
      <c r="AA206">
        <v>7.0642427229999996</v>
      </c>
      <c r="AB206">
        <v>7.4049093050000003</v>
      </c>
      <c r="AC206">
        <v>7.7556980649999998</v>
      </c>
      <c r="AD206">
        <v>8.1461397380000005</v>
      </c>
      <c r="AE206">
        <v>8.5320145160000003</v>
      </c>
      <c r="AF206">
        <v>8.9132100730000001</v>
      </c>
      <c r="AG206">
        <v>9.3093199220000002</v>
      </c>
      <c r="AH206">
        <v>9.7000199309999999</v>
      </c>
      <c r="AI206">
        <v>10.11570519</v>
      </c>
      <c r="AJ206">
        <v>10.52765703</v>
      </c>
      <c r="AK206">
        <v>10.93317394</v>
      </c>
      <c r="AL206">
        <v>11.3506874</v>
      </c>
      <c r="AM206">
        <v>11.76082016</v>
      </c>
      <c r="AN206">
        <v>12.18376733</v>
      </c>
      <c r="AO206">
        <v>12.60211997</v>
      </c>
      <c r="AP206">
        <v>13.01426193</v>
      </c>
      <c r="AQ206">
        <v>13.422185410000001</v>
      </c>
      <c r="AR206">
        <v>13.82401039</v>
      </c>
      <c r="AS206">
        <v>14.235801759999999</v>
      </c>
      <c r="AT206">
        <v>14.640788990000001</v>
      </c>
      <c r="AU206">
        <v>15.043186739999999</v>
      </c>
      <c r="AV206">
        <v>15.442350810000001</v>
      </c>
      <c r="AW206">
        <v>15.844077</v>
      </c>
    </row>
    <row r="207" spans="2:49" x14ac:dyDescent="0.25">
      <c r="B207" t="s">
        <v>536</v>
      </c>
      <c r="C207">
        <v>7.99114284395189E-2</v>
      </c>
      <c r="D207">
        <v>8.1194432271199296E-2</v>
      </c>
      <c r="E207">
        <v>8.2885399499999998E-2</v>
      </c>
      <c r="F207">
        <v>0.1129815257</v>
      </c>
      <c r="G207">
        <v>0.1533953354</v>
      </c>
      <c r="H207">
        <v>0.19171874050000001</v>
      </c>
      <c r="I207">
        <v>0.26373233010000002</v>
      </c>
      <c r="J207">
        <v>0.36267543159999999</v>
      </c>
      <c r="K207">
        <v>0.48910620980000002</v>
      </c>
      <c r="L207">
        <v>0.65068036100000004</v>
      </c>
      <c r="M207">
        <v>0.8656633172</v>
      </c>
      <c r="N207">
        <v>1.138428234</v>
      </c>
      <c r="O207">
        <v>1.210291008</v>
      </c>
      <c r="P207">
        <v>1.3260466259999999</v>
      </c>
      <c r="Q207">
        <v>1.467213637</v>
      </c>
      <c r="R207">
        <v>1.5724681680000001</v>
      </c>
      <c r="S207">
        <v>1.679348176</v>
      </c>
      <c r="T207">
        <v>1.7318176139999999</v>
      </c>
      <c r="U207">
        <v>1.782616145</v>
      </c>
      <c r="V207">
        <v>1.8425639060000001</v>
      </c>
      <c r="W207">
        <v>2.0805494919999998</v>
      </c>
      <c r="X207">
        <v>2.326848322</v>
      </c>
      <c r="Y207">
        <v>2.5229040079999998</v>
      </c>
      <c r="Z207">
        <v>2.7252828839999999</v>
      </c>
      <c r="AA207">
        <v>2.9327421789999999</v>
      </c>
      <c r="AB207">
        <v>3.143908234</v>
      </c>
      <c r="AC207">
        <v>3.3606780249999999</v>
      </c>
      <c r="AD207">
        <v>3.7628635770000001</v>
      </c>
      <c r="AE207">
        <v>4.1588224929999997</v>
      </c>
      <c r="AF207">
        <v>4.5487977480000001</v>
      </c>
      <c r="AG207">
        <v>4.9528326079999996</v>
      </c>
      <c r="AH207">
        <v>5.350828763</v>
      </c>
      <c r="AI207">
        <v>5.7683626329999997</v>
      </c>
      <c r="AJ207">
        <v>6.1817516670000003</v>
      </c>
      <c r="AK207">
        <v>6.5894432500000004</v>
      </c>
      <c r="AL207">
        <v>7.0094391829999996</v>
      </c>
      <c r="AM207">
        <v>7.4230779460000003</v>
      </c>
      <c r="AN207">
        <v>7.8506354460000001</v>
      </c>
      <c r="AO207">
        <v>8.2740493819999994</v>
      </c>
      <c r="AP207">
        <v>8.6922044720000002</v>
      </c>
      <c r="AQ207">
        <v>9.1063702539999998</v>
      </c>
      <c r="AR207">
        <v>9.5152404140000009</v>
      </c>
      <c r="AS207">
        <v>9.7416292510000009</v>
      </c>
      <c r="AT207">
        <v>9.9634779699999996</v>
      </c>
      <c r="AU207">
        <v>10.183704909999999</v>
      </c>
      <c r="AV207">
        <v>10.40189155</v>
      </c>
      <c r="AW207">
        <v>10.621943379999999</v>
      </c>
    </row>
    <row r="208" spans="2:49" x14ac:dyDescent="0.25">
      <c r="B208" t="s">
        <v>537</v>
      </c>
      <c r="C208">
        <v>4.4799793836545803</v>
      </c>
      <c r="D208">
        <v>4.5519069017495504</v>
      </c>
      <c r="E208">
        <v>4.6467055889999997</v>
      </c>
      <c r="F208">
        <v>4.6098465119999998</v>
      </c>
      <c r="G208">
        <v>4.5556130189999999</v>
      </c>
      <c r="H208">
        <v>4.1447610060000004</v>
      </c>
      <c r="I208">
        <v>4.1509169259999998</v>
      </c>
      <c r="J208">
        <v>4.0726440320000004</v>
      </c>
      <c r="K208">
        <v>3.9261700240000001</v>
      </c>
      <c r="L208">
        <v>3.7401129320000002</v>
      </c>
      <c r="M208">
        <v>3.5684596769999999</v>
      </c>
      <c r="N208">
        <v>3.3700998210000002</v>
      </c>
      <c r="O208">
        <v>3.58762055</v>
      </c>
      <c r="P208">
        <v>3.9359791209999999</v>
      </c>
      <c r="Q208">
        <v>4.3607617550000004</v>
      </c>
      <c r="R208">
        <v>4.6797603719999996</v>
      </c>
      <c r="S208">
        <v>5.0044112839999997</v>
      </c>
      <c r="T208">
        <v>5.2113371129999999</v>
      </c>
      <c r="U208">
        <v>5.4133847880000001</v>
      </c>
      <c r="V208">
        <v>5.6435687750000003</v>
      </c>
      <c r="W208">
        <v>5.757731368</v>
      </c>
      <c r="X208">
        <v>5.8758991329999999</v>
      </c>
      <c r="Y208">
        <v>5.9150818100000002</v>
      </c>
      <c r="Z208">
        <v>5.9599359300000003</v>
      </c>
      <c r="AA208">
        <v>6.0067559260000003</v>
      </c>
      <c r="AB208">
        <v>6.0573026460000001</v>
      </c>
      <c r="AC208">
        <v>6.1116538340000002</v>
      </c>
      <c r="AD208">
        <v>6.104295273</v>
      </c>
      <c r="AE208">
        <v>6.0988593289999997</v>
      </c>
      <c r="AF208">
        <v>6.0948688969999996</v>
      </c>
      <c r="AG208">
        <v>6.0933201199999996</v>
      </c>
      <c r="AH208">
        <v>6.0922931599999997</v>
      </c>
      <c r="AI208">
        <v>6.1003550049999999</v>
      </c>
      <c r="AJ208">
        <v>6.1087123099999996</v>
      </c>
      <c r="AK208">
        <v>6.1157548799999999</v>
      </c>
      <c r="AL208">
        <v>6.1234176439999999</v>
      </c>
      <c r="AM208">
        <v>6.129363433</v>
      </c>
      <c r="AN208">
        <v>6.1355708560000002</v>
      </c>
      <c r="AO208">
        <v>6.1409440719999999</v>
      </c>
      <c r="AP208">
        <v>6.1447689289999996</v>
      </c>
      <c r="AQ208">
        <v>6.1480687530000004</v>
      </c>
      <c r="AR208">
        <v>6.1500247339999996</v>
      </c>
      <c r="AS208">
        <v>6.1528911910000001</v>
      </c>
      <c r="AT208">
        <v>6.1531590180000002</v>
      </c>
      <c r="AU208">
        <v>6.1527580789999998</v>
      </c>
      <c r="AV208">
        <v>6.1514806279999998</v>
      </c>
      <c r="AW208">
        <v>6.1516401480000003</v>
      </c>
    </row>
    <row r="209" spans="2:49" x14ac:dyDescent="0.25">
      <c r="B209" t="s">
        <v>538</v>
      </c>
      <c r="C209">
        <v>1.4169855567767899</v>
      </c>
      <c r="D209">
        <v>1.4397357182278101</v>
      </c>
      <c r="E209">
        <v>1.469719867</v>
      </c>
      <c r="F209">
        <v>1.7339682809999999</v>
      </c>
      <c r="G209">
        <v>2.0378530000000001</v>
      </c>
      <c r="H209">
        <v>2.2049549160000002</v>
      </c>
      <c r="I209">
        <v>2.6261412489999998</v>
      </c>
      <c r="J209">
        <v>2.9323781050000002</v>
      </c>
      <c r="K209">
        <v>3.2118171000000002</v>
      </c>
      <c r="L209">
        <v>3.470806294</v>
      </c>
      <c r="M209">
        <v>3.7511813790000001</v>
      </c>
      <c r="N209">
        <v>4.007704876</v>
      </c>
      <c r="O209">
        <v>3.6487053829999998</v>
      </c>
      <c r="P209">
        <v>3.4294567310000001</v>
      </c>
      <c r="Q209">
        <v>3.2556311359999999</v>
      </c>
      <c r="R209">
        <v>2.9892369959999998</v>
      </c>
      <c r="S209">
        <v>2.7263314900000002</v>
      </c>
      <c r="T209">
        <v>2.863073966</v>
      </c>
      <c r="U209">
        <v>2.9978298290000001</v>
      </c>
      <c r="V209">
        <v>3.1489565129999999</v>
      </c>
      <c r="W209">
        <v>4.0918929129999997</v>
      </c>
      <c r="X209">
        <v>4.8822441830000001</v>
      </c>
      <c r="Y209">
        <v>4.8817141639999999</v>
      </c>
      <c r="Z209">
        <v>4.8662196849999999</v>
      </c>
      <c r="AA209">
        <v>4.8319787180000002</v>
      </c>
      <c r="AB209">
        <v>4.8283011729999998</v>
      </c>
      <c r="AC209">
        <v>4.8105011559999999</v>
      </c>
      <c r="AD209">
        <v>4.7512945909999997</v>
      </c>
      <c r="AE209">
        <v>4.6910127209999999</v>
      </c>
      <c r="AF209">
        <v>4.6293053019999997</v>
      </c>
      <c r="AG209">
        <v>4.5797464369999998</v>
      </c>
      <c r="AH209">
        <v>4.5281930749999999</v>
      </c>
      <c r="AI209">
        <v>4.5967504400000001</v>
      </c>
      <c r="AJ209">
        <v>4.6405579760000002</v>
      </c>
      <c r="AK209">
        <v>4.6588021700000004</v>
      </c>
      <c r="AL209">
        <v>4.7171727800000003</v>
      </c>
      <c r="AM209">
        <v>4.7546883480000002</v>
      </c>
      <c r="AN209">
        <v>4.7396020170000002</v>
      </c>
      <c r="AO209">
        <v>4.722247372</v>
      </c>
      <c r="AP209">
        <v>4.7021033839999999</v>
      </c>
      <c r="AQ209">
        <v>4.6799838679999999</v>
      </c>
      <c r="AR209">
        <v>4.6552926499999998</v>
      </c>
      <c r="AS209">
        <v>4.6580673939999997</v>
      </c>
      <c r="AT209">
        <v>4.6573053680000003</v>
      </c>
      <c r="AU209">
        <v>4.6544732379999996</v>
      </c>
      <c r="AV209">
        <v>4.6494207809999999</v>
      </c>
      <c r="AW209">
        <v>4.6439027729999998</v>
      </c>
    </row>
    <row r="210" spans="2:49" x14ac:dyDescent="0.25">
      <c r="B210" t="s">
        <v>539</v>
      </c>
      <c r="C210">
        <v>114.221490567207</v>
      </c>
      <c r="D210">
        <v>116.055353544252</v>
      </c>
      <c r="E210">
        <v>118.4723395</v>
      </c>
      <c r="F210">
        <v>124.21431920000001</v>
      </c>
      <c r="G210">
        <v>129.74264550000001</v>
      </c>
      <c r="H210">
        <v>124.77291409999999</v>
      </c>
      <c r="I210">
        <v>132.09328579999999</v>
      </c>
      <c r="J210">
        <v>134.63580210000001</v>
      </c>
      <c r="K210">
        <v>134.65785690000001</v>
      </c>
      <c r="L210">
        <v>132.91596390000001</v>
      </c>
      <c r="M210">
        <v>131.24242079999999</v>
      </c>
      <c r="N210">
        <v>128.12296480000001</v>
      </c>
      <c r="O210">
        <v>120.6130182</v>
      </c>
      <c r="P210">
        <v>117.5959482</v>
      </c>
      <c r="Q210">
        <v>116.23975470000001</v>
      </c>
      <c r="R210">
        <v>111.63357379999999</v>
      </c>
      <c r="S210">
        <v>107.07950940000001</v>
      </c>
      <c r="T210">
        <v>105.3691699</v>
      </c>
      <c r="U210">
        <v>103.5664975</v>
      </c>
      <c r="V210">
        <v>102.2845688</v>
      </c>
      <c r="W210">
        <v>112.0322075</v>
      </c>
      <c r="X210">
        <v>122.32625059999999</v>
      </c>
      <c r="Y210">
        <v>123.4862895</v>
      </c>
      <c r="Z210">
        <v>124.7687372</v>
      </c>
      <c r="AA210">
        <v>126.0967583</v>
      </c>
      <c r="AB210">
        <v>127.2714972</v>
      </c>
      <c r="AC210">
        <v>128.52779509999999</v>
      </c>
      <c r="AD210">
        <v>125.1391672</v>
      </c>
      <c r="AE210">
        <v>121.8724086</v>
      </c>
      <c r="AF210">
        <v>118.7128563</v>
      </c>
      <c r="AG210">
        <v>115.5894393</v>
      </c>
      <c r="AH210">
        <v>112.54864600000001</v>
      </c>
      <c r="AI210">
        <v>109.7360427</v>
      </c>
      <c r="AJ210">
        <v>106.978647</v>
      </c>
      <c r="AK210">
        <v>104.2474117</v>
      </c>
      <c r="AL210">
        <v>101.51069390000001</v>
      </c>
      <c r="AM210">
        <v>98.792415879999893</v>
      </c>
      <c r="AN210">
        <v>96.153931389999997</v>
      </c>
      <c r="AO210">
        <v>93.539437739999997</v>
      </c>
      <c r="AP210">
        <v>90.938854090000007</v>
      </c>
      <c r="AQ210">
        <v>88.368271300000004</v>
      </c>
      <c r="AR210">
        <v>85.816312060000001</v>
      </c>
      <c r="AS210">
        <v>83.418745920000006</v>
      </c>
      <c r="AT210">
        <v>80.9939605</v>
      </c>
      <c r="AU210">
        <v>78.569613559999894</v>
      </c>
      <c r="AV210">
        <v>76.143856929999998</v>
      </c>
      <c r="AW210">
        <v>73.745385650000003</v>
      </c>
    </row>
    <row r="211" spans="2:49" x14ac:dyDescent="0.25">
      <c r="B211" t="s">
        <v>540</v>
      </c>
      <c r="C211">
        <v>1.2736350545564401</v>
      </c>
      <c r="D211">
        <v>1.2940836773262701</v>
      </c>
      <c r="E211">
        <v>1.321034456</v>
      </c>
      <c r="F211">
        <v>1.3103361440000001</v>
      </c>
      <c r="G211">
        <v>1.294840797</v>
      </c>
      <c r="H211">
        <v>1.178108784</v>
      </c>
      <c r="I211">
        <v>1.180011739</v>
      </c>
      <c r="J211">
        <v>1.1129040299999999</v>
      </c>
      <c r="K211">
        <v>1.0301464440000001</v>
      </c>
      <c r="L211">
        <v>0.94126701710000005</v>
      </c>
      <c r="M211">
        <v>0.86058358189999995</v>
      </c>
      <c r="N211">
        <v>0.77813890200000002</v>
      </c>
      <c r="O211">
        <v>0.67206482990000005</v>
      </c>
      <c r="P211">
        <v>0.59220157179999999</v>
      </c>
      <c r="Q211">
        <v>0.51849112929999996</v>
      </c>
      <c r="R211">
        <v>0.42877367170000003</v>
      </c>
      <c r="S211">
        <v>0.33955308569999998</v>
      </c>
      <c r="T211">
        <v>0.44331598900000002</v>
      </c>
      <c r="U211">
        <v>0.54611429310000004</v>
      </c>
      <c r="V211">
        <v>0.65154825839999997</v>
      </c>
      <c r="W211">
        <v>0.72064056310000002</v>
      </c>
      <c r="X211">
        <v>0.79329367260000005</v>
      </c>
      <c r="Y211">
        <v>0.79457156070000001</v>
      </c>
      <c r="Z211">
        <v>0.79649861710000003</v>
      </c>
      <c r="AA211">
        <v>0.79856866260000003</v>
      </c>
      <c r="AB211">
        <v>0.79977215869999996</v>
      </c>
      <c r="AC211">
        <v>0.80137031420000004</v>
      </c>
      <c r="AD211">
        <v>0.80626160950000003</v>
      </c>
      <c r="AE211">
        <v>0.81108490050000004</v>
      </c>
      <c r="AF211">
        <v>0.81579047680000005</v>
      </c>
      <c r="AG211">
        <v>0.82121506840000003</v>
      </c>
      <c r="AH211">
        <v>0.82641899929999996</v>
      </c>
      <c r="AI211">
        <v>0.81496581310000005</v>
      </c>
      <c r="AJ211">
        <v>0.80373689960000005</v>
      </c>
      <c r="AK211">
        <v>0.79251724099999998</v>
      </c>
      <c r="AL211">
        <v>0.78134266090000004</v>
      </c>
      <c r="AM211">
        <v>0.77012995799999995</v>
      </c>
      <c r="AN211">
        <v>0.77739798090000001</v>
      </c>
      <c r="AO211">
        <v>0.78441649489999998</v>
      </c>
      <c r="AP211">
        <v>0.79109304970000005</v>
      </c>
      <c r="AQ211">
        <v>0.79755785499999998</v>
      </c>
      <c r="AR211">
        <v>0.80370448059999999</v>
      </c>
      <c r="AS211">
        <v>0.80635754179999997</v>
      </c>
      <c r="AT211">
        <v>0.80865340750000003</v>
      </c>
      <c r="AU211">
        <v>0.81084363230000001</v>
      </c>
      <c r="AV211">
        <v>0.81290012759999997</v>
      </c>
      <c r="AW211">
        <v>0.81512859530000004</v>
      </c>
    </row>
    <row r="212" spans="2:49" x14ac:dyDescent="0.25">
      <c r="B212" t="s">
        <v>541</v>
      </c>
      <c r="C212">
        <v>3.4574974609126801</v>
      </c>
      <c r="D212">
        <v>3.51300870100687</v>
      </c>
      <c r="E212">
        <v>3.5861711399999998</v>
      </c>
      <c r="F212">
        <v>3.7398502200000001</v>
      </c>
      <c r="G212">
        <v>3.8856010990000001</v>
      </c>
      <c r="H212">
        <v>3.7171874730000001</v>
      </c>
      <c r="I212">
        <v>3.9148996039999999</v>
      </c>
      <c r="J212">
        <v>4.0662756800000004</v>
      </c>
      <c r="K212">
        <v>4.1507686210000001</v>
      </c>
      <c r="L212">
        <v>4.1872290940000001</v>
      </c>
      <c r="M212">
        <v>4.2306301250000002</v>
      </c>
      <c r="N212">
        <v>4.2306958210000003</v>
      </c>
      <c r="O212">
        <v>4.449503215</v>
      </c>
      <c r="P212">
        <v>4.827766767</v>
      </c>
      <c r="Q212">
        <v>5.2942803420000004</v>
      </c>
      <c r="R212">
        <v>5.6274852639999997</v>
      </c>
      <c r="S212">
        <v>5.9639408349999998</v>
      </c>
      <c r="T212">
        <v>5.6847352600000001</v>
      </c>
      <c r="U212">
        <v>5.3996080900000001</v>
      </c>
      <c r="V212">
        <v>5.1398980539999997</v>
      </c>
      <c r="W212">
        <v>3.5495325489999998</v>
      </c>
      <c r="X212">
        <v>1.9037852980000001</v>
      </c>
      <c r="Y212">
        <v>1.905422256</v>
      </c>
      <c r="Z212">
        <v>1.908708071</v>
      </c>
      <c r="AA212">
        <v>1.9124305180000001</v>
      </c>
      <c r="AB212">
        <v>1.9148969730000001</v>
      </c>
      <c r="AC212">
        <v>1.918305454</v>
      </c>
      <c r="AD212">
        <v>1.9006084999999999</v>
      </c>
      <c r="AE212">
        <v>1.883428047</v>
      </c>
      <c r="AF212">
        <v>1.866604588</v>
      </c>
      <c r="AG212">
        <v>1.8515125779999999</v>
      </c>
      <c r="AH212">
        <v>1.8364864590000001</v>
      </c>
      <c r="AI212">
        <v>1.825382807</v>
      </c>
      <c r="AJ212">
        <v>1.8142630630000001</v>
      </c>
      <c r="AK212">
        <v>1.802650573</v>
      </c>
      <c r="AL212">
        <v>1.791969739</v>
      </c>
      <c r="AM212">
        <v>1.780697975</v>
      </c>
      <c r="AN212">
        <v>1.77167082</v>
      </c>
      <c r="AO212">
        <v>1.7623392689999999</v>
      </c>
      <c r="AP212">
        <v>1.7525040039999999</v>
      </c>
      <c r="AQ212">
        <v>1.742463273</v>
      </c>
      <c r="AR212">
        <v>1.7319892539999999</v>
      </c>
      <c r="AS212">
        <v>2.3635717199999999</v>
      </c>
      <c r="AT212">
        <v>2.9856006279999998</v>
      </c>
      <c r="AU212">
        <v>3.598455795</v>
      </c>
      <c r="AV212">
        <v>4.2018369819999997</v>
      </c>
      <c r="AW212">
        <v>4.7973350049999999</v>
      </c>
    </row>
    <row r="213" spans="2:49" x14ac:dyDescent="0.25">
      <c r="B213" t="s">
        <v>542</v>
      </c>
      <c r="C213">
        <v>5.0750954082325404</v>
      </c>
      <c r="D213">
        <v>5.1565777065978304</v>
      </c>
      <c r="E213">
        <v>5.2639693569999997</v>
      </c>
      <c r="F213">
        <v>5.074594212</v>
      </c>
      <c r="G213">
        <v>4.8736503149999999</v>
      </c>
      <c r="H213">
        <v>4.3096576960000004</v>
      </c>
      <c r="I213">
        <v>4.1953007720000004</v>
      </c>
      <c r="J213">
        <v>4.1071774379999999</v>
      </c>
      <c r="K213">
        <v>3.9517593689999999</v>
      </c>
      <c r="L213">
        <v>3.7576273169999999</v>
      </c>
      <c r="M213">
        <v>3.5787161709999999</v>
      </c>
      <c r="N213">
        <v>3.3735029939999999</v>
      </c>
      <c r="O213">
        <v>2.807789401</v>
      </c>
      <c r="P213">
        <v>2.3545793709999998</v>
      </c>
      <c r="Q213">
        <v>1.921976489</v>
      </c>
      <c r="R213">
        <v>1.4272705510000001</v>
      </c>
      <c r="S213">
        <v>0.9358242671</v>
      </c>
      <c r="T213">
        <v>0.89214693479999996</v>
      </c>
      <c r="U213">
        <v>0.8474681906</v>
      </c>
      <c r="V213">
        <v>0.80670689650000005</v>
      </c>
      <c r="W213">
        <v>0.55492881279999995</v>
      </c>
      <c r="X213">
        <v>0.29122644800000003</v>
      </c>
      <c r="Y213">
        <v>0.29389929129999998</v>
      </c>
      <c r="Z213">
        <v>0.29686554869999998</v>
      </c>
      <c r="AA213">
        <v>0.29994232469999998</v>
      </c>
      <c r="AB213">
        <v>0.3026384775</v>
      </c>
      <c r="AC213">
        <v>0.30552787580000001</v>
      </c>
      <c r="AD213">
        <v>0.30347539140000002</v>
      </c>
      <c r="AE213">
        <v>0.30151067069999998</v>
      </c>
      <c r="AF213">
        <v>0.2996087643</v>
      </c>
      <c r="AG213">
        <v>0.2979189632</v>
      </c>
      <c r="AH213">
        <v>0.29624576460000002</v>
      </c>
      <c r="AI213">
        <v>0.29527404390000001</v>
      </c>
      <c r="AJ213">
        <v>0.2943057047</v>
      </c>
      <c r="AK213">
        <v>0.29326333500000001</v>
      </c>
      <c r="AL213">
        <v>0.29232300890000001</v>
      </c>
      <c r="AM213">
        <v>0.2912915083</v>
      </c>
      <c r="AN213">
        <v>0.29069259939999997</v>
      </c>
      <c r="AO213">
        <v>0.290048625</v>
      </c>
      <c r="AP213">
        <v>0.28932632279999998</v>
      </c>
      <c r="AQ213">
        <v>0.2885744073</v>
      </c>
      <c r="AR213">
        <v>0.28775479970000001</v>
      </c>
      <c r="AS213">
        <v>0.28765707229999998</v>
      </c>
      <c r="AT213">
        <v>0.28743710459999999</v>
      </c>
      <c r="AU213">
        <v>0.28718526859999999</v>
      </c>
      <c r="AV213">
        <v>0.28689195090000003</v>
      </c>
      <c r="AW213">
        <v>0.28666505910000001</v>
      </c>
    </row>
    <row r="214" spans="2:49" x14ac:dyDescent="0.25">
      <c r="B214" t="s">
        <v>543</v>
      </c>
      <c r="C214">
        <v>0.35516190417563898</v>
      </c>
      <c r="D214">
        <v>0.36086414342755202</v>
      </c>
      <c r="E214">
        <v>0.36837955350000001</v>
      </c>
      <c r="F214">
        <v>0.78356577159999996</v>
      </c>
      <c r="G214">
        <v>1.1823836640000001</v>
      </c>
      <c r="H214">
        <v>1.438265449</v>
      </c>
      <c r="I214">
        <v>1.789111575</v>
      </c>
      <c r="J214">
        <v>2.1184051890000002</v>
      </c>
      <c r="K214">
        <v>2.3693411630000001</v>
      </c>
      <c r="L214">
        <v>2.5305081540000001</v>
      </c>
      <c r="M214">
        <v>2.617793061</v>
      </c>
      <c r="N214">
        <v>2.5831971569999999</v>
      </c>
      <c r="O214">
        <v>2.7462603240000001</v>
      </c>
      <c r="P214">
        <v>3.0089203449999999</v>
      </c>
      <c r="Q214">
        <v>3.3292411249999998</v>
      </c>
      <c r="R214">
        <v>3.5680732239999999</v>
      </c>
      <c r="S214">
        <v>3.8105936800000002</v>
      </c>
      <c r="T214">
        <v>3.9844129939999999</v>
      </c>
      <c r="U214">
        <v>4.1542715829999999</v>
      </c>
      <c r="V214">
        <v>4.3455534680000003</v>
      </c>
      <c r="W214">
        <v>5.0110082340000002</v>
      </c>
      <c r="X214">
        <v>5.6997044600000004</v>
      </c>
      <c r="Y214">
        <v>6.1409746329999999</v>
      </c>
      <c r="Z214">
        <v>6.5968516450000001</v>
      </c>
      <c r="AA214">
        <v>7.0642427229999996</v>
      </c>
      <c r="AB214">
        <v>7.4049093050000003</v>
      </c>
      <c r="AC214">
        <v>7.7556980649999998</v>
      </c>
      <c r="AD214">
        <v>8.1461397380000005</v>
      </c>
      <c r="AE214">
        <v>8.5320145160000003</v>
      </c>
      <c r="AF214">
        <v>8.9132100730000001</v>
      </c>
      <c r="AG214">
        <v>9.3093199220000002</v>
      </c>
      <c r="AH214">
        <v>9.7000199309999999</v>
      </c>
      <c r="AI214">
        <v>10.11570519</v>
      </c>
      <c r="AJ214">
        <v>10.52765703</v>
      </c>
      <c r="AK214">
        <v>10.93317394</v>
      </c>
      <c r="AL214">
        <v>11.3506874</v>
      </c>
      <c r="AM214">
        <v>11.76082016</v>
      </c>
      <c r="AN214">
        <v>12.18376733</v>
      </c>
      <c r="AO214">
        <v>12.60211997</v>
      </c>
      <c r="AP214">
        <v>13.01426193</v>
      </c>
      <c r="AQ214">
        <v>13.422185410000001</v>
      </c>
      <c r="AR214">
        <v>13.82401039</v>
      </c>
      <c r="AS214">
        <v>14.235801759999999</v>
      </c>
      <c r="AT214">
        <v>14.640788990000001</v>
      </c>
      <c r="AU214">
        <v>15.043186739999999</v>
      </c>
      <c r="AV214">
        <v>15.442350810000001</v>
      </c>
      <c r="AW214">
        <v>15.844077</v>
      </c>
    </row>
    <row r="215" spans="2:49" x14ac:dyDescent="0.25">
      <c r="B215" t="s">
        <v>544</v>
      </c>
      <c r="C215">
        <v>7.99114284395189E-2</v>
      </c>
      <c r="D215">
        <v>8.1194432271199296E-2</v>
      </c>
      <c r="E215">
        <v>8.2885399499999998E-2</v>
      </c>
      <c r="F215">
        <v>0.1129815257</v>
      </c>
      <c r="G215">
        <v>0.1533953354</v>
      </c>
      <c r="H215">
        <v>0.19171874050000001</v>
      </c>
      <c r="I215">
        <v>0.26373233010000002</v>
      </c>
      <c r="J215">
        <v>0.36267543159999999</v>
      </c>
      <c r="K215">
        <v>0.48910620980000002</v>
      </c>
      <c r="L215">
        <v>0.65068036100000004</v>
      </c>
      <c r="M215">
        <v>0.8656633172</v>
      </c>
      <c r="N215">
        <v>1.138428234</v>
      </c>
      <c r="O215">
        <v>1.210291008</v>
      </c>
      <c r="P215">
        <v>1.3260466259999999</v>
      </c>
      <c r="Q215">
        <v>1.467213637</v>
      </c>
      <c r="R215">
        <v>1.5724681680000001</v>
      </c>
      <c r="S215">
        <v>1.679348176</v>
      </c>
      <c r="T215">
        <v>1.7318176139999999</v>
      </c>
      <c r="U215">
        <v>1.782616145</v>
      </c>
      <c r="V215">
        <v>1.8425639060000001</v>
      </c>
      <c r="W215">
        <v>2.0805494919999998</v>
      </c>
      <c r="X215">
        <v>2.326848322</v>
      </c>
      <c r="Y215">
        <v>2.5229040079999998</v>
      </c>
      <c r="Z215">
        <v>2.7252828839999999</v>
      </c>
      <c r="AA215">
        <v>2.9327421789999999</v>
      </c>
      <c r="AB215">
        <v>3.143908234</v>
      </c>
      <c r="AC215">
        <v>3.3606780249999999</v>
      </c>
      <c r="AD215">
        <v>3.7628635770000001</v>
      </c>
      <c r="AE215">
        <v>4.1588224929999997</v>
      </c>
      <c r="AF215">
        <v>4.5487977480000001</v>
      </c>
      <c r="AG215">
        <v>4.9528326079999996</v>
      </c>
      <c r="AH215">
        <v>5.350828763</v>
      </c>
      <c r="AI215">
        <v>5.7683626329999997</v>
      </c>
      <c r="AJ215">
        <v>6.1817516670000003</v>
      </c>
      <c r="AK215">
        <v>6.5894432500000004</v>
      </c>
      <c r="AL215">
        <v>7.0094391829999996</v>
      </c>
      <c r="AM215">
        <v>7.4230779460000003</v>
      </c>
      <c r="AN215">
        <v>7.8506354460000001</v>
      </c>
      <c r="AO215">
        <v>8.2740493819999994</v>
      </c>
      <c r="AP215">
        <v>8.6922044720000002</v>
      </c>
      <c r="AQ215">
        <v>9.1063702539999998</v>
      </c>
      <c r="AR215">
        <v>9.5152404140000009</v>
      </c>
      <c r="AS215">
        <v>9.7416292510000009</v>
      </c>
      <c r="AT215">
        <v>9.9634779699999996</v>
      </c>
      <c r="AU215">
        <v>10.183704909999999</v>
      </c>
      <c r="AV215">
        <v>10.40189155</v>
      </c>
      <c r="AW215">
        <v>10.621943379999999</v>
      </c>
    </row>
    <row r="216" spans="2:49" x14ac:dyDescent="0.25">
      <c r="B216" t="s">
        <v>545</v>
      </c>
      <c r="C216">
        <v>4.4799793836545803</v>
      </c>
      <c r="D216">
        <v>4.5519069017495504</v>
      </c>
      <c r="E216">
        <v>4.6467055889999997</v>
      </c>
      <c r="F216">
        <v>4.6098465119999998</v>
      </c>
      <c r="G216">
        <v>4.5556130189999999</v>
      </c>
      <c r="H216">
        <v>4.1447610060000004</v>
      </c>
      <c r="I216">
        <v>4.1509169259999998</v>
      </c>
      <c r="J216">
        <v>4.0726440320000004</v>
      </c>
      <c r="K216">
        <v>3.9261700240000001</v>
      </c>
      <c r="L216">
        <v>3.7401129320000002</v>
      </c>
      <c r="M216">
        <v>3.5684596769999999</v>
      </c>
      <c r="N216">
        <v>3.3700998210000002</v>
      </c>
      <c r="O216">
        <v>3.58762055</v>
      </c>
      <c r="P216">
        <v>3.9359791209999999</v>
      </c>
      <c r="Q216">
        <v>4.3607617550000004</v>
      </c>
      <c r="R216">
        <v>4.6797603719999996</v>
      </c>
      <c r="S216">
        <v>5.0044112839999997</v>
      </c>
      <c r="T216">
        <v>5.2113371129999999</v>
      </c>
      <c r="U216">
        <v>5.4133847880000001</v>
      </c>
      <c r="V216">
        <v>5.6435687750000003</v>
      </c>
      <c r="W216">
        <v>5.757731368</v>
      </c>
      <c r="X216">
        <v>5.8758991329999999</v>
      </c>
      <c r="Y216">
        <v>5.9150818100000002</v>
      </c>
      <c r="Z216">
        <v>5.9599359300000003</v>
      </c>
      <c r="AA216">
        <v>6.0067559260000003</v>
      </c>
      <c r="AB216">
        <v>6.0573026460000001</v>
      </c>
      <c r="AC216">
        <v>6.1116538340000002</v>
      </c>
      <c r="AD216">
        <v>6.104295273</v>
      </c>
      <c r="AE216">
        <v>6.0988593289999997</v>
      </c>
      <c r="AF216">
        <v>6.0948688969999996</v>
      </c>
      <c r="AG216">
        <v>6.0933201199999996</v>
      </c>
      <c r="AH216">
        <v>6.0922931599999997</v>
      </c>
      <c r="AI216">
        <v>6.1003550049999999</v>
      </c>
      <c r="AJ216">
        <v>6.1087123099999996</v>
      </c>
      <c r="AK216">
        <v>6.1157548799999999</v>
      </c>
      <c r="AL216">
        <v>6.1234176439999999</v>
      </c>
      <c r="AM216">
        <v>6.129363433</v>
      </c>
      <c r="AN216">
        <v>6.1355708560000002</v>
      </c>
      <c r="AO216">
        <v>6.1409440719999999</v>
      </c>
      <c r="AP216">
        <v>6.1447689289999996</v>
      </c>
      <c r="AQ216">
        <v>6.1480687530000004</v>
      </c>
      <c r="AR216">
        <v>6.1500247339999996</v>
      </c>
      <c r="AS216">
        <v>6.1528911910000001</v>
      </c>
      <c r="AT216">
        <v>6.1531590180000002</v>
      </c>
      <c r="AU216">
        <v>6.1527580789999998</v>
      </c>
      <c r="AV216">
        <v>6.1514806279999998</v>
      </c>
      <c r="AW216">
        <v>6.1516401480000003</v>
      </c>
    </row>
    <row r="217" spans="2:49" x14ac:dyDescent="0.25">
      <c r="B217" t="s">
        <v>546</v>
      </c>
      <c r="C217">
        <v>1.4169855567767899</v>
      </c>
      <c r="D217">
        <v>1.4397357182278101</v>
      </c>
      <c r="E217">
        <v>1.469719867</v>
      </c>
      <c r="F217">
        <v>1.7339682809999999</v>
      </c>
      <c r="G217">
        <v>2.0378530000000001</v>
      </c>
      <c r="H217">
        <v>2.2049549160000002</v>
      </c>
      <c r="I217">
        <v>2.6261412489999998</v>
      </c>
      <c r="J217">
        <v>2.9323781050000002</v>
      </c>
      <c r="K217">
        <v>3.2118171000000002</v>
      </c>
      <c r="L217">
        <v>3.470806294</v>
      </c>
      <c r="M217">
        <v>3.7511813790000001</v>
      </c>
      <c r="N217">
        <v>4.007704876</v>
      </c>
      <c r="O217">
        <v>3.6487053829999998</v>
      </c>
      <c r="P217">
        <v>3.4294567310000001</v>
      </c>
      <c r="Q217">
        <v>3.2556311359999999</v>
      </c>
      <c r="R217">
        <v>2.9892369959999998</v>
      </c>
      <c r="S217">
        <v>2.7263314900000002</v>
      </c>
      <c r="T217">
        <v>2.863073966</v>
      </c>
      <c r="U217">
        <v>2.9978298290000001</v>
      </c>
      <c r="V217">
        <v>3.1489565129999999</v>
      </c>
      <c r="W217">
        <v>4.0918929129999997</v>
      </c>
      <c r="X217">
        <v>4.8822441830000001</v>
      </c>
      <c r="Y217">
        <v>4.8817141639999999</v>
      </c>
      <c r="Z217">
        <v>4.8662196849999999</v>
      </c>
      <c r="AA217">
        <v>4.8319787180000002</v>
      </c>
      <c r="AB217">
        <v>4.8283011729999998</v>
      </c>
      <c r="AC217">
        <v>4.8105011559999999</v>
      </c>
      <c r="AD217">
        <v>4.7512945909999997</v>
      </c>
      <c r="AE217">
        <v>4.6910127209999999</v>
      </c>
      <c r="AF217">
        <v>4.6293053019999997</v>
      </c>
      <c r="AG217">
        <v>4.5797464369999998</v>
      </c>
      <c r="AH217">
        <v>4.5281930749999999</v>
      </c>
      <c r="AI217">
        <v>4.5967504400000001</v>
      </c>
      <c r="AJ217">
        <v>4.6405579760000002</v>
      </c>
      <c r="AK217">
        <v>4.6588021700000004</v>
      </c>
      <c r="AL217">
        <v>4.7171727800000003</v>
      </c>
      <c r="AM217">
        <v>4.7546883480000002</v>
      </c>
      <c r="AN217">
        <v>4.7396020170000002</v>
      </c>
      <c r="AO217">
        <v>4.722247372</v>
      </c>
      <c r="AP217">
        <v>4.7021033839999999</v>
      </c>
      <c r="AQ217">
        <v>4.6799838679999999</v>
      </c>
      <c r="AR217">
        <v>4.6552926499999998</v>
      </c>
      <c r="AS217">
        <v>4.6580673939999997</v>
      </c>
      <c r="AT217">
        <v>4.6573053680000003</v>
      </c>
      <c r="AU217">
        <v>4.6544732379999996</v>
      </c>
      <c r="AV217">
        <v>4.6494207809999999</v>
      </c>
      <c r="AW217">
        <v>4.6439027729999998</v>
      </c>
    </row>
    <row r="218" spans="2:49" x14ac:dyDescent="0.25">
      <c r="B218" t="s">
        <v>547</v>
      </c>
      <c r="C218">
        <v>34.067295461021303</v>
      </c>
      <c r="D218">
        <v>34.614256909026899</v>
      </c>
      <c r="E218">
        <v>35.35928097</v>
      </c>
      <c r="F218">
        <v>35.38224726</v>
      </c>
      <c r="G218">
        <v>34.203081330000003</v>
      </c>
      <c r="H218">
        <v>32.539187210000001</v>
      </c>
      <c r="I218">
        <v>33.028860520000002</v>
      </c>
      <c r="J218">
        <v>32.760039169999999</v>
      </c>
      <c r="K218">
        <v>31.32264936</v>
      </c>
      <c r="L218">
        <v>30.54829281</v>
      </c>
      <c r="M218">
        <v>30.542939650000001</v>
      </c>
      <c r="N218">
        <v>31.102383459999999</v>
      </c>
      <c r="O218">
        <v>31.819432200000001</v>
      </c>
      <c r="P218">
        <v>31.815267370000001</v>
      </c>
      <c r="Q218">
        <v>30.328958759999999</v>
      </c>
      <c r="R218">
        <v>29.32267877</v>
      </c>
      <c r="S218">
        <v>28.660984670000001</v>
      </c>
      <c r="T218">
        <v>27.365679199999999</v>
      </c>
      <c r="U218">
        <v>26.068740699999999</v>
      </c>
      <c r="V218">
        <v>24.860510290000001</v>
      </c>
      <c r="W218">
        <v>26.12131445</v>
      </c>
      <c r="X218">
        <v>27.32615951</v>
      </c>
      <c r="Y218">
        <v>27.19961266</v>
      </c>
      <c r="Z218">
        <v>27.188692939999999</v>
      </c>
      <c r="AA218">
        <v>27.240210560000001</v>
      </c>
      <c r="AB218">
        <v>27.339643840000001</v>
      </c>
      <c r="AC218">
        <v>27.48764122</v>
      </c>
      <c r="AD218">
        <v>27.447697300000002</v>
      </c>
      <c r="AE218">
        <v>27.408230570000001</v>
      </c>
      <c r="AF218">
        <v>27.364715820000001</v>
      </c>
      <c r="AG218">
        <v>27.330108320000001</v>
      </c>
      <c r="AH218">
        <v>27.305473840000001</v>
      </c>
      <c r="AI218">
        <v>27.388980709999998</v>
      </c>
      <c r="AJ218">
        <v>27.474906969999999</v>
      </c>
      <c r="AK218">
        <v>27.567783540000001</v>
      </c>
      <c r="AL218">
        <v>27.660453350000001</v>
      </c>
      <c r="AM218">
        <v>27.75251712</v>
      </c>
      <c r="AN218">
        <v>27.680869430000001</v>
      </c>
      <c r="AO218">
        <v>27.61158696</v>
      </c>
      <c r="AP218">
        <v>27.530289029999999</v>
      </c>
      <c r="AQ218">
        <v>27.440531320000002</v>
      </c>
      <c r="AR218">
        <v>27.33781248</v>
      </c>
      <c r="AS218">
        <v>27.216619340000001</v>
      </c>
      <c r="AT218">
        <v>27.089089609999998</v>
      </c>
      <c r="AU218">
        <v>26.951861300000001</v>
      </c>
      <c r="AV218">
        <v>26.805296609999999</v>
      </c>
      <c r="AW218">
        <v>26.659301750000001</v>
      </c>
    </row>
    <row r="219" spans="2:49" x14ac:dyDescent="0.25">
      <c r="B219" t="s">
        <v>548</v>
      </c>
      <c r="C219">
        <v>1.54983431156195</v>
      </c>
      <c r="D219">
        <v>1.57471740274219</v>
      </c>
      <c r="E219">
        <v>1.608611019</v>
      </c>
      <c r="F219">
        <v>2.643983564</v>
      </c>
      <c r="G219">
        <v>3.550571616</v>
      </c>
      <c r="H219">
        <v>4.3084027550000004</v>
      </c>
      <c r="I219">
        <v>5.2869968900000002</v>
      </c>
      <c r="J219">
        <v>6.0915788659999999</v>
      </c>
      <c r="K219">
        <v>6.5591458200000003</v>
      </c>
      <c r="L219">
        <v>7.0077340970000002</v>
      </c>
      <c r="M219">
        <v>7.4686654409999997</v>
      </c>
      <c r="N219">
        <v>7.8677095860000001</v>
      </c>
      <c r="O219">
        <v>8.1969129600000006</v>
      </c>
      <c r="P219">
        <v>8.3452248230000006</v>
      </c>
      <c r="Q219">
        <v>8.0993002020000002</v>
      </c>
      <c r="R219">
        <v>7.9712371209999997</v>
      </c>
      <c r="S219">
        <v>7.9303321369999997</v>
      </c>
      <c r="T219">
        <v>8.1057153589999995</v>
      </c>
      <c r="U219">
        <v>8.2887707529999997</v>
      </c>
      <c r="V219">
        <v>8.5117889499999997</v>
      </c>
      <c r="W219">
        <v>8.5763465669999999</v>
      </c>
      <c r="X219">
        <v>8.6416421999999997</v>
      </c>
      <c r="Y219">
        <v>8.7987817410000009</v>
      </c>
      <c r="Z219">
        <v>8.9967953129999998</v>
      </c>
      <c r="AA219">
        <v>9.2203986279999999</v>
      </c>
      <c r="AB219">
        <v>9.4693018710000008</v>
      </c>
      <c r="AC219">
        <v>9.7420707310000001</v>
      </c>
      <c r="AD219">
        <v>9.9471632149999998</v>
      </c>
      <c r="AE219">
        <v>10.15464083</v>
      </c>
      <c r="AF219">
        <v>10.362844709999999</v>
      </c>
      <c r="AG219">
        <v>10.579323580000001</v>
      </c>
      <c r="AH219">
        <v>10.80226139</v>
      </c>
      <c r="AI219">
        <v>10.909922480000001</v>
      </c>
      <c r="AJ219">
        <v>11.01937719</v>
      </c>
      <c r="AK219">
        <v>11.13248117</v>
      </c>
      <c r="AL219">
        <v>11.24679136</v>
      </c>
      <c r="AM219">
        <v>11.3617756</v>
      </c>
      <c r="AN219">
        <v>11.45131555</v>
      </c>
      <c r="AO219">
        <v>11.54254062</v>
      </c>
      <c r="AP219">
        <v>11.629418749999999</v>
      </c>
      <c r="AQ219">
        <v>11.713319800000001</v>
      </c>
      <c r="AR219">
        <v>11.792198770000001</v>
      </c>
      <c r="AS219">
        <v>11.81677086</v>
      </c>
      <c r="AT219">
        <v>11.839159739999999</v>
      </c>
      <c r="AU219">
        <v>11.85784552</v>
      </c>
      <c r="AV219">
        <v>11.87291656</v>
      </c>
      <c r="AW219">
        <v>11.8887193</v>
      </c>
    </row>
    <row r="220" spans="2:49" x14ac:dyDescent="0.25">
      <c r="B220" t="s">
        <v>549</v>
      </c>
      <c r="C220">
        <v>0.19372928894524399</v>
      </c>
      <c r="D220">
        <v>0.196839675342774</v>
      </c>
      <c r="E220">
        <v>0.20107637740000001</v>
      </c>
      <c r="F220">
        <v>0.19509552999999999</v>
      </c>
      <c r="G220">
        <v>0.18286534839999999</v>
      </c>
      <c r="H220">
        <v>0.16868527129999999</v>
      </c>
      <c r="I220">
        <v>0.16602302890000001</v>
      </c>
      <c r="J220">
        <v>0.1594476527</v>
      </c>
      <c r="K220">
        <v>0.14760534929999999</v>
      </c>
      <c r="L220">
        <v>0.13937022639999999</v>
      </c>
      <c r="M220">
        <v>0.13489675400000001</v>
      </c>
      <c r="N220">
        <v>0.13297151669999999</v>
      </c>
      <c r="O220">
        <v>0.2056705707</v>
      </c>
      <c r="P220">
        <v>0.27607540120000001</v>
      </c>
      <c r="Q220">
        <v>0.33109929020000001</v>
      </c>
      <c r="R220">
        <v>0.3865454821</v>
      </c>
      <c r="S220">
        <v>0.44351197040000001</v>
      </c>
      <c r="T220">
        <v>0.68773158570000004</v>
      </c>
      <c r="U220">
        <v>0.93616494630000002</v>
      </c>
      <c r="V220">
        <v>1.193829137</v>
      </c>
      <c r="W220">
        <v>0.86725067980000003</v>
      </c>
      <c r="X220">
        <v>0.55900971420000001</v>
      </c>
      <c r="Y220">
        <v>0.56181290530000005</v>
      </c>
      <c r="Z220">
        <v>0.56709876449999996</v>
      </c>
      <c r="AA220">
        <v>0.5738211902</v>
      </c>
      <c r="AB220">
        <v>0.58171543560000005</v>
      </c>
      <c r="AC220">
        <v>0.59083238540000005</v>
      </c>
      <c r="AD220">
        <v>0.61794601370000002</v>
      </c>
      <c r="AE220">
        <v>0.6453530019</v>
      </c>
      <c r="AF220">
        <v>0.67294906480000005</v>
      </c>
      <c r="AG220">
        <v>0.70137901449999995</v>
      </c>
      <c r="AH220">
        <v>0.73039667580000001</v>
      </c>
      <c r="AI220">
        <v>0.76454176929999995</v>
      </c>
      <c r="AJ220">
        <v>0.79911164180000005</v>
      </c>
      <c r="AK220">
        <v>0.8342545549</v>
      </c>
      <c r="AL220">
        <v>0.87037632860000003</v>
      </c>
      <c r="AM220">
        <v>0.90688043019999998</v>
      </c>
      <c r="AN220">
        <v>0.93673363809999999</v>
      </c>
      <c r="AO220">
        <v>0.96685972180000002</v>
      </c>
      <c r="AP220">
        <v>0.99674958800000002</v>
      </c>
      <c r="AQ220">
        <v>1.0264961960000001</v>
      </c>
      <c r="AR220">
        <v>1.055897702</v>
      </c>
      <c r="AS220">
        <v>1.0799059040000001</v>
      </c>
      <c r="AT220">
        <v>1.1038749409999999</v>
      </c>
      <c r="AU220">
        <v>1.127648937</v>
      </c>
      <c r="AV220">
        <v>1.151216547</v>
      </c>
      <c r="AW220">
        <v>1.1749877870000001</v>
      </c>
    </row>
    <row r="221" spans="2:49" x14ac:dyDescent="0.25">
      <c r="B221" t="s">
        <v>550</v>
      </c>
      <c r="C221">
        <v>0.71679836909740502</v>
      </c>
      <c r="D221">
        <v>0.72830679876826598</v>
      </c>
      <c r="E221">
        <v>0.74398259649999998</v>
      </c>
      <c r="F221">
        <v>0.73656443650000003</v>
      </c>
      <c r="G221">
        <v>0.70446033919999995</v>
      </c>
      <c r="H221">
        <v>0.66307704980000004</v>
      </c>
      <c r="I221">
        <v>0.66591204189999997</v>
      </c>
      <c r="J221">
        <v>0.66672745739999995</v>
      </c>
      <c r="K221">
        <v>0.64460897660000005</v>
      </c>
      <c r="L221">
        <v>0.63687772040000001</v>
      </c>
      <c r="M221">
        <v>0.6463262555</v>
      </c>
      <c r="N221">
        <v>0.66940513400000001</v>
      </c>
      <c r="O221">
        <v>0.97170607450000002</v>
      </c>
      <c r="P221">
        <v>1.236851581</v>
      </c>
      <c r="Q221">
        <v>1.4110258920000001</v>
      </c>
      <c r="R221">
        <v>1.567872919</v>
      </c>
      <c r="S221">
        <v>1.7110624139999999</v>
      </c>
      <c r="T221">
        <v>1.7598421390000001</v>
      </c>
      <c r="U221">
        <v>1.809574005</v>
      </c>
      <c r="V221">
        <v>1.867341852</v>
      </c>
      <c r="W221">
        <v>1.469217878</v>
      </c>
      <c r="X221">
        <v>1.0888423549999999</v>
      </c>
      <c r="Y221">
        <v>1.0928161649999999</v>
      </c>
      <c r="Z221">
        <v>1.10159279</v>
      </c>
      <c r="AA221">
        <v>1.1131230270000001</v>
      </c>
      <c r="AB221">
        <v>1.126677403</v>
      </c>
      <c r="AC221">
        <v>1.1425451659999999</v>
      </c>
      <c r="AD221">
        <v>1.1434397620000001</v>
      </c>
      <c r="AE221">
        <v>1.144386369</v>
      </c>
      <c r="AF221">
        <v>1.145196345</v>
      </c>
      <c r="AG221">
        <v>1.146519351</v>
      </c>
      <c r="AH221">
        <v>1.148298512</v>
      </c>
      <c r="AI221">
        <v>1.1520899410000001</v>
      </c>
      <c r="AJ221">
        <v>1.155988413</v>
      </c>
      <c r="AK221">
        <v>1.160184745</v>
      </c>
      <c r="AL221">
        <v>1.164475385</v>
      </c>
      <c r="AM221">
        <v>1.168747508</v>
      </c>
      <c r="AN221">
        <v>1.1700893939999999</v>
      </c>
      <c r="AO221">
        <v>1.171558543</v>
      </c>
      <c r="AP221">
        <v>1.1725440439999999</v>
      </c>
      <c r="AQ221">
        <v>1.1731924979999999</v>
      </c>
      <c r="AR221">
        <v>1.1733069309999999</v>
      </c>
      <c r="AS221">
        <v>1.176352281</v>
      </c>
      <c r="AT221">
        <v>1.179185377</v>
      </c>
      <c r="AU221">
        <v>1.181654454</v>
      </c>
      <c r="AV221">
        <v>1.1837677769999999</v>
      </c>
      <c r="AW221">
        <v>1.1859583920000001</v>
      </c>
    </row>
    <row r="222" spans="2:49" x14ac:dyDescent="0.25">
      <c r="B222" t="s">
        <v>551</v>
      </c>
      <c r="C222">
        <v>0.19372928894524399</v>
      </c>
      <c r="D222">
        <v>0.196839675342774</v>
      </c>
      <c r="E222">
        <v>0.20107637740000001</v>
      </c>
      <c r="F222">
        <v>0.20694482149999999</v>
      </c>
      <c r="G222">
        <v>0.205752872</v>
      </c>
      <c r="H222">
        <v>0.20132555090000001</v>
      </c>
      <c r="I222">
        <v>0.21018286580000001</v>
      </c>
      <c r="J222">
        <v>0.21411857810000001</v>
      </c>
      <c r="K222">
        <v>0.21025462680000001</v>
      </c>
      <c r="L222">
        <v>0.2105817421</v>
      </c>
      <c r="M222">
        <v>0.2162018731</v>
      </c>
      <c r="N222">
        <v>0.22606005000000001</v>
      </c>
      <c r="O222">
        <v>0.27022987230000001</v>
      </c>
      <c r="P222">
        <v>0.30959670309999998</v>
      </c>
      <c r="Q222">
        <v>0.33312861830000001</v>
      </c>
      <c r="R222">
        <v>0.35923544200000002</v>
      </c>
      <c r="S222">
        <v>0.38787097459999997</v>
      </c>
      <c r="T222">
        <v>0.45954496360000002</v>
      </c>
      <c r="U222">
        <v>0.53261291040000003</v>
      </c>
      <c r="V222">
        <v>0.60951849570000005</v>
      </c>
      <c r="W222">
        <v>0.48102266220000001</v>
      </c>
      <c r="X222">
        <v>0.3598116354</v>
      </c>
      <c r="Y222">
        <v>0.3659818809</v>
      </c>
      <c r="Z222">
        <v>0.37384582910000003</v>
      </c>
      <c r="AA222">
        <v>0.38276418420000002</v>
      </c>
      <c r="AB222">
        <v>0.39257274180000001</v>
      </c>
      <c r="AC222">
        <v>0.40335391199999998</v>
      </c>
      <c r="AD222">
        <v>0.40436780709999998</v>
      </c>
      <c r="AE222">
        <v>0.40540468229999999</v>
      </c>
      <c r="AF222">
        <v>0.40639773000000001</v>
      </c>
      <c r="AG222">
        <v>0.40759148719999999</v>
      </c>
      <c r="AH222">
        <v>0.40895312020000002</v>
      </c>
      <c r="AI222">
        <v>0.41095619639999997</v>
      </c>
      <c r="AJ222">
        <v>0.41300375909999998</v>
      </c>
      <c r="AK222">
        <v>0.41516430160000001</v>
      </c>
      <c r="AL222">
        <v>0.41739113579999998</v>
      </c>
      <c r="AM222">
        <v>0.41961858829999998</v>
      </c>
      <c r="AN222">
        <v>0.42090812290000001</v>
      </c>
      <c r="AO222">
        <v>0.42224759909999998</v>
      </c>
      <c r="AP222">
        <v>0.42341669199999998</v>
      </c>
      <c r="AQ222">
        <v>0.42446744980000001</v>
      </c>
      <c r="AR222">
        <v>0.4253277761</v>
      </c>
      <c r="AS222">
        <v>0.42697907619999997</v>
      </c>
      <c r="AT222">
        <v>0.4285571151</v>
      </c>
      <c r="AU222">
        <v>0.43000637819999998</v>
      </c>
      <c r="AV222">
        <v>0.43132937719999997</v>
      </c>
      <c r="AW222">
        <v>0.43268361239999997</v>
      </c>
    </row>
    <row r="223" spans="2:49" x14ac:dyDescent="0.25">
      <c r="B223" t="s">
        <v>552</v>
      </c>
      <c r="C223">
        <v>0.38745857789048899</v>
      </c>
      <c r="D223">
        <v>0.39367935068554899</v>
      </c>
      <c r="E223">
        <v>0.40215275490000002</v>
      </c>
      <c r="F223">
        <v>0.53026289609999999</v>
      </c>
      <c r="G223">
        <v>0.67544386739999995</v>
      </c>
      <c r="H223">
        <v>0.84673777230000002</v>
      </c>
      <c r="I223">
        <v>1.1325412459999999</v>
      </c>
      <c r="J223">
        <v>1.47814742</v>
      </c>
      <c r="K223">
        <v>1.8595833159999999</v>
      </c>
      <c r="L223">
        <v>2.3861485340000002</v>
      </c>
      <c r="M223">
        <v>3.1386500289999999</v>
      </c>
      <c r="N223">
        <v>4.2044959720000001</v>
      </c>
      <c r="O223">
        <v>4.0351254479999996</v>
      </c>
      <c r="P223">
        <v>3.7651623019999998</v>
      </c>
      <c r="Q223">
        <v>3.329358773</v>
      </c>
      <c r="R223">
        <v>2.9646135870000001</v>
      </c>
      <c r="S223">
        <v>2.6462026070000002</v>
      </c>
      <c r="T223">
        <v>3.169274326</v>
      </c>
      <c r="U223">
        <v>3.7024064640000001</v>
      </c>
      <c r="V223">
        <v>4.2627376620000001</v>
      </c>
      <c r="W223">
        <v>3.6992801179999999</v>
      </c>
      <c r="X223">
        <v>3.1685596409999999</v>
      </c>
      <c r="Y223">
        <v>3.3514596280000002</v>
      </c>
      <c r="Z223">
        <v>3.5520930310000001</v>
      </c>
      <c r="AA223">
        <v>3.7658323939999998</v>
      </c>
      <c r="AB223">
        <v>4.000728219</v>
      </c>
      <c r="AC223">
        <v>4.2499765390000004</v>
      </c>
      <c r="AD223">
        <v>4.4120025810000003</v>
      </c>
      <c r="AE223">
        <v>4.5758043449999999</v>
      </c>
      <c r="AF223">
        <v>4.7406399629999996</v>
      </c>
      <c r="AG223">
        <v>4.9160745910000001</v>
      </c>
      <c r="AH223">
        <v>5.0953585300000004</v>
      </c>
      <c r="AI223">
        <v>5.212489433</v>
      </c>
      <c r="AJ223">
        <v>5.3312159110000001</v>
      </c>
      <c r="AK223">
        <v>5.4524695530000002</v>
      </c>
      <c r="AL223">
        <v>5.5785280159999999</v>
      </c>
      <c r="AM223">
        <v>5.7057603930000003</v>
      </c>
      <c r="AN223">
        <v>5.8147005959999998</v>
      </c>
      <c r="AO223">
        <v>5.9248769069999998</v>
      </c>
      <c r="AP223">
        <v>6.0331822610000003</v>
      </c>
      <c r="AQ223">
        <v>6.1402584410000003</v>
      </c>
      <c r="AR223">
        <v>6.2449696660000003</v>
      </c>
      <c r="AS223">
        <v>6.3998248139999996</v>
      </c>
      <c r="AT223">
        <v>6.5545405179999996</v>
      </c>
      <c r="AU223">
        <v>6.7081832090000004</v>
      </c>
      <c r="AV223">
        <v>6.8606744309999996</v>
      </c>
      <c r="AW223">
        <v>7.014451448</v>
      </c>
    </row>
    <row r="224" spans="2:49" x14ac:dyDescent="0.25">
      <c r="B224" t="s">
        <v>553</v>
      </c>
      <c r="C224">
        <v>34.067295461021303</v>
      </c>
      <c r="D224">
        <v>34.614256909026899</v>
      </c>
      <c r="E224">
        <v>35.35928097</v>
      </c>
      <c r="F224">
        <v>35.38224726</v>
      </c>
      <c r="G224">
        <v>34.203081330000003</v>
      </c>
      <c r="H224">
        <v>32.539187210000001</v>
      </c>
      <c r="I224">
        <v>33.028860520000002</v>
      </c>
      <c r="J224">
        <v>32.760039169999999</v>
      </c>
      <c r="K224">
        <v>31.32264936</v>
      </c>
      <c r="L224">
        <v>30.54829281</v>
      </c>
      <c r="M224">
        <v>30.542939650000001</v>
      </c>
      <c r="N224">
        <v>31.102383459999999</v>
      </c>
      <c r="O224">
        <v>31.819432200000001</v>
      </c>
      <c r="P224">
        <v>31.815267370000001</v>
      </c>
      <c r="Q224">
        <v>30.328958759999999</v>
      </c>
      <c r="R224">
        <v>29.32267877</v>
      </c>
      <c r="S224">
        <v>28.660984670000001</v>
      </c>
      <c r="T224">
        <v>27.365679199999999</v>
      </c>
      <c r="U224">
        <v>26.068740699999999</v>
      </c>
      <c r="V224">
        <v>24.860510290000001</v>
      </c>
      <c r="W224">
        <v>26.12131445</v>
      </c>
      <c r="X224">
        <v>27.32615951</v>
      </c>
      <c r="Y224">
        <v>27.19961266</v>
      </c>
      <c r="Z224">
        <v>27.188692939999999</v>
      </c>
      <c r="AA224">
        <v>27.240210560000001</v>
      </c>
      <c r="AB224">
        <v>27.339643840000001</v>
      </c>
      <c r="AC224">
        <v>27.48764122</v>
      </c>
      <c r="AD224">
        <v>27.447697300000002</v>
      </c>
      <c r="AE224">
        <v>27.408230570000001</v>
      </c>
      <c r="AF224">
        <v>27.364715820000001</v>
      </c>
      <c r="AG224">
        <v>27.330108320000001</v>
      </c>
      <c r="AH224">
        <v>27.305473840000001</v>
      </c>
      <c r="AI224">
        <v>27.388980709999998</v>
      </c>
      <c r="AJ224">
        <v>27.474906969999999</v>
      </c>
      <c r="AK224">
        <v>27.567783540000001</v>
      </c>
      <c r="AL224">
        <v>27.660453350000001</v>
      </c>
      <c r="AM224">
        <v>27.75251712</v>
      </c>
      <c r="AN224">
        <v>27.680869430000001</v>
      </c>
      <c r="AO224">
        <v>27.61158696</v>
      </c>
      <c r="AP224">
        <v>27.530289029999999</v>
      </c>
      <c r="AQ224">
        <v>27.440531320000002</v>
      </c>
      <c r="AR224">
        <v>27.33781248</v>
      </c>
      <c r="AS224">
        <v>27.216619340000001</v>
      </c>
      <c r="AT224">
        <v>27.089089609999998</v>
      </c>
      <c r="AU224">
        <v>26.951861300000001</v>
      </c>
      <c r="AV224">
        <v>26.805296609999999</v>
      </c>
      <c r="AW224">
        <v>26.659301750000001</v>
      </c>
    </row>
    <row r="225" spans="2:49" x14ac:dyDescent="0.25">
      <c r="B225" t="s">
        <v>554</v>
      </c>
      <c r="C225">
        <v>1.54983431156195</v>
      </c>
      <c r="D225">
        <v>1.57471740274219</v>
      </c>
      <c r="E225">
        <v>1.608611019</v>
      </c>
      <c r="F225">
        <v>2.643983564</v>
      </c>
      <c r="G225">
        <v>3.550571616</v>
      </c>
      <c r="H225">
        <v>4.3084027550000004</v>
      </c>
      <c r="I225">
        <v>5.2869968900000002</v>
      </c>
      <c r="J225">
        <v>6.0915788659999999</v>
      </c>
      <c r="K225">
        <v>6.5591458200000003</v>
      </c>
      <c r="L225">
        <v>7.0077340970000002</v>
      </c>
      <c r="M225">
        <v>7.4686654409999997</v>
      </c>
      <c r="N225">
        <v>7.8677095860000001</v>
      </c>
      <c r="O225">
        <v>8.1969129600000006</v>
      </c>
      <c r="P225">
        <v>8.3452248230000006</v>
      </c>
      <c r="Q225">
        <v>8.0993002020000002</v>
      </c>
      <c r="R225">
        <v>7.9712371209999997</v>
      </c>
      <c r="S225">
        <v>7.9303321369999997</v>
      </c>
      <c r="T225">
        <v>8.1057153589999995</v>
      </c>
      <c r="U225">
        <v>8.2887707529999997</v>
      </c>
      <c r="V225">
        <v>8.5117889499999997</v>
      </c>
      <c r="W225">
        <v>8.5763465669999999</v>
      </c>
      <c r="X225">
        <v>8.6416421999999997</v>
      </c>
      <c r="Y225">
        <v>8.7987817410000009</v>
      </c>
      <c r="Z225">
        <v>8.9967953129999998</v>
      </c>
      <c r="AA225">
        <v>9.2203986279999999</v>
      </c>
      <c r="AB225">
        <v>9.4693018710000008</v>
      </c>
      <c r="AC225">
        <v>9.7420707310000001</v>
      </c>
      <c r="AD225">
        <v>9.9471632149999998</v>
      </c>
      <c r="AE225">
        <v>10.15464083</v>
      </c>
      <c r="AF225">
        <v>10.362844709999999</v>
      </c>
      <c r="AG225">
        <v>10.579323580000001</v>
      </c>
      <c r="AH225">
        <v>10.80226139</v>
      </c>
      <c r="AI225">
        <v>10.909922480000001</v>
      </c>
      <c r="AJ225">
        <v>11.01937719</v>
      </c>
      <c r="AK225">
        <v>11.13248117</v>
      </c>
      <c r="AL225">
        <v>11.24679136</v>
      </c>
      <c r="AM225">
        <v>11.3617756</v>
      </c>
      <c r="AN225">
        <v>11.45131555</v>
      </c>
      <c r="AO225">
        <v>11.54254062</v>
      </c>
      <c r="AP225">
        <v>11.629418749999999</v>
      </c>
      <c r="AQ225">
        <v>11.713319800000001</v>
      </c>
      <c r="AR225">
        <v>11.792198770000001</v>
      </c>
      <c r="AS225">
        <v>11.81677086</v>
      </c>
      <c r="AT225">
        <v>11.839159739999999</v>
      </c>
      <c r="AU225">
        <v>11.85784552</v>
      </c>
      <c r="AV225">
        <v>11.87291656</v>
      </c>
      <c r="AW225">
        <v>11.8887193</v>
      </c>
    </row>
    <row r="226" spans="2:49" x14ac:dyDescent="0.25">
      <c r="B226" t="s">
        <v>555</v>
      </c>
      <c r="C226">
        <v>0.19372928894524399</v>
      </c>
      <c r="D226">
        <v>0.196839675342774</v>
      </c>
      <c r="E226">
        <v>0.20107637740000001</v>
      </c>
      <c r="F226">
        <v>0.19509552999999999</v>
      </c>
      <c r="G226">
        <v>0.18286534839999999</v>
      </c>
      <c r="H226">
        <v>0.16868527129999999</v>
      </c>
      <c r="I226">
        <v>0.16602302890000001</v>
      </c>
      <c r="J226">
        <v>0.1594476527</v>
      </c>
      <c r="K226">
        <v>0.14760534929999999</v>
      </c>
      <c r="L226">
        <v>0.13937022639999999</v>
      </c>
      <c r="M226">
        <v>0.13489675400000001</v>
      </c>
      <c r="N226">
        <v>0.13297151669999999</v>
      </c>
      <c r="O226">
        <v>0.2056705707</v>
      </c>
      <c r="P226">
        <v>0.27607540120000001</v>
      </c>
      <c r="Q226">
        <v>0.33109929020000001</v>
      </c>
      <c r="R226">
        <v>0.3865454821</v>
      </c>
      <c r="S226">
        <v>0.44351197040000001</v>
      </c>
      <c r="T226">
        <v>0.68773158570000004</v>
      </c>
      <c r="U226">
        <v>0.93616494630000002</v>
      </c>
      <c r="V226">
        <v>1.193829137</v>
      </c>
      <c r="W226">
        <v>0.86725067980000003</v>
      </c>
      <c r="X226">
        <v>0.55900971420000001</v>
      </c>
      <c r="Y226">
        <v>0.56181290530000005</v>
      </c>
      <c r="Z226">
        <v>0.56709876449999996</v>
      </c>
      <c r="AA226">
        <v>0.5738211902</v>
      </c>
      <c r="AB226">
        <v>0.58171543560000005</v>
      </c>
      <c r="AC226">
        <v>0.59083238540000005</v>
      </c>
      <c r="AD226">
        <v>0.61794601370000002</v>
      </c>
      <c r="AE226">
        <v>0.6453530019</v>
      </c>
      <c r="AF226">
        <v>0.67294906480000005</v>
      </c>
      <c r="AG226">
        <v>0.70137901449999995</v>
      </c>
      <c r="AH226">
        <v>0.73039667580000001</v>
      </c>
      <c r="AI226">
        <v>0.76454176929999995</v>
      </c>
      <c r="AJ226">
        <v>0.79911164180000005</v>
      </c>
      <c r="AK226">
        <v>0.8342545549</v>
      </c>
      <c r="AL226">
        <v>0.87037632860000003</v>
      </c>
      <c r="AM226">
        <v>0.90688043019999998</v>
      </c>
      <c r="AN226">
        <v>0.93673363809999999</v>
      </c>
      <c r="AO226">
        <v>0.96685972180000002</v>
      </c>
      <c r="AP226">
        <v>0.99674958800000002</v>
      </c>
      <c r="AQ226">
        <v>1.0264961960000001</v>
      </c>
      <c r="AR226">
        <v>1.055897702</v>
      </c>
      <c r="AS226">
        <v>1.0799059040000001</v>
      </c>
      <c r="AT226">
        <v>1.1038749409999999</v>
      </c>
      <c r="AU226">
        <v>1.127648937</v>
      </c>
      <c r="AV226">
        <v>1.151216547</v>
      </c>
      <c r="AW226">
        <v>1.1749877870000001</v>
      </c>
    </row>
    <row r="227" spans="2:49" x14ac:dyDescent="0.25">
      <c r="B227" t="s">
        <v>556</v>
      </c>
      <c r="C227">
        <v>0.71679836909740502</v>
      </c>
      <c r="D227">
        <v>0.72830679876826598</v>
      </c>
      <c r="E227">
        <v>0.74398259649999998</v>
      </c>
      <c r="F227">
        <v>0.73656443650000003</v>
      </c>
      <c r="G227">
        <v>0.70446033919999995</v>
      </c>
      <c r="H227">
        <v>0.66307704980000004</v>
      </c>
      <c r="I227">
        <v>0.66591204189999997</v>
      </c>
      <c r="J227">
        <v>0.66672745739999995</v>
      </c>
      <c r="K227">
        <v>0.64460897660000005</v>
      </c>
      <c r="L227">
        <v>0.63687772040000001</v>
      </c>
      <c r="M227">
        <v>0.6463262555</v>
      </c>
      <c r="N227">
        <v>0.66940513400000001</v>
      </c>
      <c r="O227">
        <v>0.97170607450000002</v>
      </c>
      <c r="P227">
        <v>1.236851581</v>
      </c>
      <c r="Q227">
        <v>1.4110258920000001</v>
      </c>
      <c r="R227">
        <v>1.567872919</v>
      </c>
      <c r="S227">
        <v>1.7110624139999999</v>
      </c>
      <c r="T227">
        <v>1.7598421390000001</v>
      </c>
      <c r="U227">
        <v>1.809574005</v>
      </c>
      <c r="V227">
        <v>1.867341852</v>
      </c>
      <c r="W227">
        <v>1.469217878</v>
      </c>
      <c r="X227">
        <v>1.0888423549999999</v>
      </c>
      <c r="Y227">
        <v>1.0928161649999999</v>
      </c>
      <c r="Z227">
        <v>1.10159279</v>
      </c>
      <c r="AA227">
        <v>1.1131230270000001</v>
      </c>
      <c r="AB227">
        <v>1.126677403</v>
      </c>
      <c r="AC227">
        <v>1.1425451659999999</v>
      </c>
      <c r="AD227">
        <v>1.1434397620000001</v>
      </c>
      <c r="AE227">
        <v>1.144386369</v>
      </c>
      <c r="AF227">
        <v>1.145196345</v>
      </c>
      <c r="AG227">
        <v>1.146519351</v>
      </c>
      <c r="AH227">
        <v>1.148298512</v>
      </c>
      <c r="AI227">
        <v>1.1520899410000001</v>
      </c>
      <c r="AJ227">
        <v>1.155988413</v>
      </c>
      <c r="AK227">
        <v>1.160184745</v>
      </c>
      <c r="AL227">
        <v>1.164475385</v>
      </c>
      <c r="AM227">
        <v>1.168747508</v>
      </c>
      <c r="AN227">
        <v>1.1700893939999999</v>
      </c>
      <c r="AO227">
        <v>1.171558543</v>
      </c>
      <c r="AP227">
        <v>1.1725440439999999</v>
      </c>
      <c r="AQ227">
        <v>1.1731924979999999</v>
      </c>
      <c r="AR227">
        <v>1.1733069309999999</v>
      </c>
      <c r="AS227">
        <v>1.176352281</v>
      </c>
      <c r="AT227">
        <v>1.179185377</v>
      </c>
      <c r="AU227">
        <v>1.181654454</v>
      </c>
      <c r="AV227">
        <v>1.1837677769999999</v>
      </c>
      <c r="AW227">
        <v>1.1859583920000001</v>
      </c>
    </row>
    <row r="228" spans="2:49" x14ac:dyDescent="0.25">
      <c r="B228" t="s">
        <v>557</v>
      </c>
      <c r="C228">
        <v>0.19372928894524399</v>
      </c>
      <c r="D228">
        <v>0.196839675342774</v>
      </c>
      <c r="E228">
        <v>0.20107637740000001</v>
      </c>
      <c r="F228">
        <v>0.20694482149999999</v>
      </c>
      <c r="G228">
        <v>0.205752872</v>
      </c>
      <c r="H228">
        <v>0.20132555090000001</v>
      </c>
      <c r="I228">
        <v>0.21018286580000001</v>
      </c>
      <c r="J228">
        <v>0.21411857810000001</v>
      </c>
      <c r="K228">
        <v>0.21025462680000001</v>
      </c>
      <c r="L228">
        <v>0.2105817421</v>
      </c>
      <c r="M228">
        <v>0.2162018731</v>
      </c>
      <c r="N228">
        <v>0.22606005000000001</v>
      </c>
      <c r="O228">
        <v>0.27022987230000001</v>
      </c>
      <c r="P228">
        <v>0.30959670309999998</v>
      </c>
      <c r="Q228">
        <v>0.33312861830000001</v>
      </c>
      <c r="R228">
        <v>0.35923544200000002</v>
      </c>
      <c r="S228">
        <v>0.38787097459999997</v>
      </c>
      <c r="T228">
        <v>0.45954496360000002</v>
      </c>
      <c r="U228">
        <v>0.53261291040000003</v>
      </c>
      <c r="V228">
        <v>0.60951849570000005</v>
      </c>
      <c r="W228">
        <v>0.48102266220000001</v>
      </c>
      <c r="X228">
        <v>0.3598116354</v>
      </c>
      <c r="Y228">
        <v>0.3659818809</v>
      </c>
      <c r="Z228">
        <v>0.37384582910000003</v>
      </c>
      <c r="AA228">
        <v>0.38276418420000002</v>
      </c>
      <c r="AB228">
        <v>0.39257274180000001</v>
      </c>
      <c r="AC228">
        <v>0.40335391199999998</v>
      </c>
      <c r="AD228">
        <v>0.40436780709999998</v>
      </c>
      <c r="AE228">
        <v>0.40540468229999999</v>
      </c>
      <c r="AF228">
        <v>0.40639773000000001</v>
      </c>
      <c r="AG228">
        <v>0.40759148719999999</v>
      </c>
      <c r="AH228">
        <v>0.40895312020000002</v>
      </c>
      <c r="AI228">
        <v>0.41095619639999997</v>
      </c>
      <c r="AJ228">
        <v>0.41300375909999998</v>
      </c>
      <c r="AK228">
        <v>0.41516430160000001</v>
      </c>
      <c r="AL228">
        <v>0.41739113579999998</v>
      </c>
      <c r="AM228">
        <v>0.41961858829999998</v>
      </c>
      <c r="AN228">
        <v>0.42090812290000001</v>
      </c>
      <c r="AO228">
        <v>0.42224759909999998</v>
      </c>
      <c r="AP228">
        <v>0.42341669199999998</v>
      </c>
      <c r="AQ228">
        <v>0.42446744980000001</v>
      </c>
      <c r="AR228">
        <v>0.4253277761</v>
      </c>
      <c r="AS228">
        <v>0.42697907619999997</v>
      </c>
      <c r="AT228">
        <v>0.4285571151</v>
      </c>
      <c r="AU228">
        <v>0.43000637819999998</v>
      </c>
      <c r="AV228">
        <v>0.43132937719999997</v>
      </c>
      <c r="AW228">
        <v>0.43268361239999997</v>
      </c>
    </row>
    <row r="229" spans="2:49" x14ac:dyDescent="0.25">
      <c r="B229" t="s">
        <v>558</v>
      </c>
      <c r="C229">
        <v>0.38745857789048899</v>
      </c>
      <c r="D229">
        <v>0.39367935068554899</v>
      </c>
      <c r="E229">
        <v>0.40215275490000002</v>
      </c>
      <c r="F229">
        <v>0.53026289609999999</v>
      </c>
      <c r="G229">
        <v>0.67544386739999995</v>
      </c>
      <c r="H229">
        <v>0.84673777230000002</v>
      </c>
      <c r="I229">
        <v>1.1325412459999999</v>
      </c>
      <c r="J229">
        <v>1.47814742</v>
      </c>
      <c r="K229">
        <v>1.8595833159999999</v>
      </c>
      <c r="L229">
        <v>2.3861485340000002</v>
      </c>
      <c r="M229">
        <v>3.1386500289999999</v>
      </c>
      <c r="N229">
        <v>4.2044959720000001</v>
      </c>
      <c r="O229">
        <v>4.0351254479999996</v>
      </c>
      <c r="P229">
        <v>3.7651623019999998</v>
      </c>
      <c r="Q229">
        <v>3.329358773</v>
      </c>
      <c r="R229">
        <v>2.9646135870000001</v>
      </c>
      <c r="S229">
        <v>2.6462026070000002</v>
      </c>
      <c r="T229">
        <v>3.169274326</v>
      </c>
      <c r="U229">
        <v>3.7024064640000001</v>
      </c>
      <c r="V229">
        <v>4.2627376620000001</v>
      </c>
      <c r="W229">
        <v>3.6992801179999999</v>
      </c>
      <c r="X229">
        <v>3.1685596409999999</v>
      </c>
      <c r="Y229">
        <v>3.3514596280000002</v>
      </c>
      <c r="Z229">
        <v>3.5520930310000001</v>
      </c>
      <c r="AA229">
        <v>3.7658323939999998</v>
      </c>
      <c r="AB229">
        <v>4.000728219</v>
      </c>
      <c r="AC229">
        <v>4.2499765390000004</v>
      </c>
      <c r="AD229">
        <v>4.4120025810000003</v>
      </c>
      <c r="AE229">
        <v>4.5758043449999999</v>
      </c>
      <c r="AF229">
        <v>4.7406399629999996</v>
      </c>
      <c r="AG229">
        <v>4.9160745910000001</v>
      </c>
      <c r="AH229">
        <v>5.0953585300000004</v>
      </c>
      <c r="AI229">
        <v>5.212489433</v>
      </c>
      <c r="AJ229">
        <v>5.3312159110000001</v>
      </c>
      <c r="AK229">
        <v>5.4524695530000002</v>
      </c>
      <c r="AL229">
        <v>5.5785280159999999</v>
      </c>
      <c r="AM229">
        <v>5.7057603930000003</v>
      </c>
      <c r="AN229">
        <v>5.8147005959999998</v>
      </c>
      <c r="AO229">
        <v>5.9248769069999998</v>
      </c>
      <c r="AP229">
        <v>6.0331822610000003</v>
      </c>
      <c r="AQ229">
        <v>6.1402584410000003</v>
      </c>
      <c r="AR229">
        <v>6.2449696660000003</v>
      </c>
      <c r="AS229">
        <v>6.3998248139999996</v>
      </c>
      <c r="AT229">
        <v>6.5545405179999996</v>
      </c>
      <c r="AU229">
        <v>6.7081832090000004</v>
      </c>
      <c r="AV229">
        <v>6.8606744309999996</v>
      </c>
      <c r="AW229">
        <v>7.014451448</v>
      </c>
    </row>
    <row r="230" spans="2:49" x14ac:dyDescent="0.25">
      <c r="B230" t="s">
        <v>559</v>
      </c>
      <c r="C230">
        <v>1.1905732046364299</v>
      </c>
      <c r="D230">
        <v>1.2096882425386799</v>
      </c>
      <c r="E230">
        <v>1.2322287510000001</v>
      </c>
      <c r="F230">
        <v>1.2389622259999999</v>
      </c>
      <c r="G230">
        <v>1.1448929240000001</v>
      </c>
      <c r="H230">
        <v>0.92876467789999995</v>
      </c>
      <c r="I230">
        <v>1.0123775079999999</v>
      </c>
      <c r="J230">
        <v>1.03673671</v>
      </c>
      <c r="K230">
        <v>0.98058697539999995</v>
      </c>
      <c r="L230">
        <v>0.97794198389999998</v>
      </c>
      <c r="M230">
        <v>0.98440482100000004</v>
      </c>
      <c r="N230">
        <v>0.99421558899999996</v>
      </c>
      <c r="O230">
        <v>0.94035735769999995</v>
      </c>
      <c r="P230">
        <v>0.9567826572</v>
      </c>
      <c r="Q230">
        <v>0.93798211470000004</v>
      </c>
      <c r="R230">
        <v>0.8896387228</v>
      </c>
      <c r="S230">
        <v>0.86537000649999996</v>
      </c>
      <c r="T230">
        <v>0.88334082150000004</v>
      </c>
      <c r="U230">
        <v>0.88477150410000005</v>
      </c>
      <c r="V230">
        <v>0.90134895650000002</v>
      </c>
      <c r="W230">
        <v>0.90720278389999998</v>
      </c>
      <c r="X230">
        <v>0.90808556669999996</v>
      </c>
      <c r="Y230">
        <v>0.90784236380000005</v>
      </c>
      <c r="Z230">
        <v>0.91561073000000004</v>
      </c>
      <c r="AA230">
        <v>0.9253587418</v>
      </c>
      <c r="AB230">
        <v>0.93577570259999998</v>
      </c>
      <c r="AC230">
        <v>0.9470071417</v>
      </c>
      <c r="AD230">
        <v>0.9451411301</v>
      </c>
      <c r="AE230">
        <v>0.94480551410000002</v>
      </c>
      <c r="AF230">
        <v>0.94570002399999997</v>
      </c>
      <c r="AG230">
        <v>0.9476149908</v>
      </c>
      <c r="AH230">
        <v>0.95023085370000004</v>
      </c>
      <c r="AI230">
        <v>0.95494294229999999</v>
      </c>
      <c r="AJ230">
        <v>0.95972165190000003</v>
      </c>
      <c r="AK230">
        <v>0.96486215269999998</v>
      </c>
      <c r="AL230">
        <v>0.97020644820000002</v>
      </c>
      <c r="AM230">
        <v>0.9753606614</v>
      </c>
      <c r="AN230">
        <v>0.97793185059999999</v>
      </c>
      <c r="AO230">
        <v>0.98137339749999997</v>
      </c>
      <c r="AP230">
        <v>0.98448906120000002</v>
      </c>
      <c r="AQ230">
        <v>0.98764694500000005</v>
      </c>
      <c r="AR230">
        <v>0.99020187029999995</v>
      </c>
      <c r="AS230">
        <v>0.99428085399999999</v>
      </c>
      <c r="AT230">
        <v>0.99823744579999996</v>
      </c>
      <c r="AU230">
        <v>1.0022220239999999</v>
      </c>
      <c r="AV230">
        <v>1.0062169750000001</v>
      </c>
      <c r="AW230">
        <v>1.010841616</v>
      </c>
    </row>
    <row r="231" spans="2:49" x14ac:dyDescent="0.25">
      <c r="B231" t="s">
        <v>560</v>
      </c>
      <c r="C231">
        <v>1.7112081308179601</v>
      </c>
      <c r="D231">
        <v>1.7386821308642</v>
      </c>
      <c r="E231">
        <v>1.767092841</v>
      </c>
      <c r="F231">
        <v>1.7891781309999999</v>
      </c>
      <c r="G231">
        <v>1.807270699</v>
      </c>
      <c r="H231">
        <v>1.699858359</v>
      </c>
      <c r="I231">
        <v>1.7754200149999999</v>
      </c>
      <c r="J231">
        <v>1.806896582</v>
      </c>
      <c r="K231">
        <v>1.7878849640000001</v>
      </c>
      <c r="L231">
        <v>1.7991558240000001</v>
      </c>
      <c r="M231">
        <v>1.8185877779999999</v>
      </c>
      <c r="N231">
        <v>1.8954507620000001</v>
      </c>
      <c r="O231">
        <v>1.8937554999999999</v>
      </c>
      <c r="P231">
        <v>1.898060538</v>
      </c>
      <c r="Q231">
        <v>1.8733378000000001</v>
      </c>
      <c r="R231">
        <v>1.893373057</v>
      </c>
      <c r="S231">
        <v>1.8757407829999999</v>
      </c>
      <c r="T231">
        <v>1.8806704519999999</v>
      </c>
      <c r="U231">
        <v>1.9045931359999999</v>
      </c>
      <c r="V231">
        <v>1.9408582679999999</v>
      </c>
      <c r="W231">
        <v>1.972320002</v>
      </c>
      <c r="X231">
        <v>1.995999332</v>
      </c>
      <c r="Y231">
        <v>2.0224788060000001</v>
      </c>
      <c r="Z231">
        <v>2.0512636290000001</v>
      </c>
      <c r="AA231">
        <v>2.0841533499999998</v>
      </c>
      <c r="AB231">
        <v>2.1296337670000001</v>
      </c>
      <c r="AC231">
        <v>2.181241838</v>
      </c>
      <c r="AD231">
        <v>2.201155704</v>
      </c>
      <c r="AE231">
        <v>2.222736743</v>
      </c>
      <c r="AF231">
        <v>2.2462446780000001</v>
      </c>
      <c r="AG231">
        <v>2.2717244270000001</v>
      </c>
      <c r="AH231">
        <v>2.2993578320000001</v>
      </c>
      <c r="AI231">
        <v>2.330388954</v>
      </c>
      <c r="AJ231">
        <v>2.3635185949999999</v>
      </c>
      <c r="AK231">
        <v>2.3987571380000001</v>
      </c>
      <c r="AL231">
        <v>2.4384041270000001</v>
      </c>
      <c r="AM231">
        <v>2.4790604580000002</v>
      </c>
      <c r="AN231">
        <v>2.5205959779999998</v>
      </c>
      <c r="AO231">
        <v>2.5631825410000002</v>
      </c>
      <c r="AP231">
        <v>2.6056789180000002</v>
      </c>
      <c r="AQ231">
        <v>2.6480762599999998</v>
      </c>
      <c r="AR231">
        <v>2.6904584150000002</v>
      </c>
      <c r="AS231">
        <v>2.7331631079999998</v>
      </c>
      <c r="AT231">
        <v>2.776236763</v>
      </c>
      <c r="AU231">
        <v>2.819903466</v>
      </c>
      <c r="AV231">
        <v>2.8639655240000002</v>
      </c>
      <c r="AW231">
        <v>2.908419275</v>
      </c>
    </row>
    <row r="232" spans="2:49" x14ac:dyDescent="0.25">
      <c r="B232" t="s">
        <v>561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562</v>
      </c>
      <c r="C233">
        <v>1.5692072404564801</v>
      </c>
      <c r="D233">
        <v>1.5944013702764701</v>
      </c>
      <c r="E233">
        <v>1.6257313120000001</v>
      </c>
      <c r="F233">
        <v>1.652133643</v>
      </c>
      <c r="G233">
        <v>1.6777587220000001</v>
      </c>
      <c r="H233">
        <v>1.5628901100000001</v>
      </c>
      <c r="I233">
        <v>1.653037318</v>
      </c>
      <c r="J233">
        <v>1.708504899</v>
      </c>
      <c r="K233">
        <v>1.7007008640000001</v>
      </c>
      <c r="L233">
        <v>1.7128056300000001</v>
      </c>
      <c r="M233">
        <v>1.7344943450000001</v>
      </c>
      <c r="N233">
        <v>1.7872898909999999</v>
      </c>
      <c r="O233">
        <v>1.851604493</v>
      </c>
      <c r="P233">
        <v>1.948503114</v>
      </c>
      <c r="Q233">
        <v>2.0033969639999998</v>
      </c>
      <c r="R233">
        <v>2.0846399230000001</v>
      </c>
      <c r="S233">
        <v>2.1265502610000002</v>
      </c>
      <c r="T233">
        <v>2.133356026</v>
      </c>
      <c r="U233">
        <v>2.1523416530000001</v>
      </c>
      <c r="V233">
        <v>2.183374583</v>
      </c>
      <c r="W233">
        <v>2.2056797779999999</v>
      </c>
      <c r="X233">
        <v>2.2189311420000002</v>
      </c>
      <c r="Y233">
        <v>2.2407307040000002</v>
      </c>
      <c r="Z233">
        <v>2.2654774880000002</v>
      </c>
      <c r="AA233">
        <v>2.2951499430000002</v>
      </c>
      <c r="AB233">
        <v>2.3389710940000001</v>
      </c>
      <c r="AC233">
        <v>2.389587745</v>
      </c>
      <c r="AD233">
        <v>2.4061068410000002</v>
      </c>
      <c r="AE233">
        <v>2.4239056200000002</v>
      </c>
      <c r="AF233">
        <v>2.4431459539999998</v>
      </c>
      <c r="AG233">
        <v>2.4648668630000001</v>
      </c>
      <c r="AH233">
        <v>2.4889309929999999</v>
      </c>
      <c r="AI233">
        <v>2.5160158259999998</v>
      </c>
      <c r="AJ233">
        <v>2.5452915269999998</v>
      </c>
      <c r="AK233">
        <v>2.5767186820000001</v>
      </c>
      <c r="AL233">
        <v>2.6126953080000002</v>
      </c>
      <c r="AM233">
        <v>2.6495632800000002</v>
      </c>
      <c r="AN233">
        <v>2.6880885920000002</v>
      </c>
      <c r="AO233">
        <v>2.7282856419999999</v>
      </c>
      <c r="AP233">
        <v>2.768450772</v>
      </c>
      <c r="AQ233">
        <v>2.808508024</v>
      </c>
      <c r="AR233">
        <v>2.8485428439999998</v>
      </c>
      <c r="AS233">
        <v>2.8885485499999999</v>
      </c>
      <c r="AT233">
        <v>2.9289391359999999</v>
      </c>
      <c r="AU233">
        <v>2.9699038359999999</v>
      </c>
      <c r="AV233">
        <v>3.0112370369999999</v>
      </c>
      <c r="AW233">
        <v>3.0529446299999998</v>
      </c>
    </row>
    <row r="234" spans="2:49" x14ac:dyDescent="0.25">
      <c r="B234" t="s">
        <v>563</v>
      </c>
      <c r="C234">
        <v>0.99151022292981705</v>
      </c>
      <c r="D234">
        <v>0.99151022292981705</v>
      </c>
      <c r="E234">
        <v>0.99190345759999998</v>
      </c>
      <c r="F234">
        <v>0.98792100869999999</v>
      </c>
      <c r="G234">
        <v>0.98397037750000005</v>
      </c>
      <c r="H234">
        <v>0.98000820379999998</v>
      </c>
      <c r="I234">
        <v>0.9761115038</v>
      </c>
      <c r="J234">
        <v>0.97221898500000004</v>
      </c>
      <c r="K234">
        <v>0.96833727970000005</v>
      </c>
      <c r="L234">
        <v>0.96448315539999996</v>
      </c>
      <c r="M234">
        <v>0.96063606479999997</v>
      </c>
      <c r="N234">
        <v>0.95683058629999995</v>
      </c>
      <c r="O234">
        <v>0.95615953710000001</v>
      </c>
      <c r="P234">
        <v>0.95545162979999998</v>
      </c>
      <c r="Q234">
        <v>0.95469101670000001</v>
      </c>
      <c r="R234">
        <v>0.95388984600000004</v>
      </c>
      <c r="S234">
        <v>0.95301136949999998</v>
      </c>
      <c r="T234">
        <v>0.9505433593</v>
      </c>
      <c r="U234">
        <v>0.94818202510000005</v>
      </c>
      <c r="V234">
        <v>0.94590513909999996</v>
      </c>
      <c r="W234">
        <v>0.94354619269999995</v>
      </c>
      <c r="X234">
        <v>0.94109336919999997</v>
      </c>
      <c r="Y234">
        <v>0.94113983359999998</v>
      </c>
      <c r="Z234">
        <v>0.94118100500000001</v>
      </c>
      <c r="AA234">
        <v>0.9412233914</v>
      </c>
      <c r="AB234">
        <v>0.94125820289999995</v>
      </c>
      <c r="AC234">
        <v>0.94129569930000001</v>
      </c>
      <c r="AD234">
        <v>0.94138381839999996</v>
      </c>
      <c r="AE234">
        <v>0.94147696680000004</v>
      </c>
      <c r="AF234">
        <v>0.94157465439999999</v>
      </c>
      <c r="AG234">
        <v>0.94166912859999996</v>
      </c>
      <c r="AH234">
        <v>0.94176933399999996</v>
      </c>
      <c r="AI234">
        <v>0.94179002410000001</v>
      </c>
      <c r="AJ234">
        <v>0.94181080110000004</v>
      </c>
      <c r="AK234">
        <v>0.94183171210000005</v>
      </c>
      <c r="AL234">
        <v>0.94186504689999995</v>
      </c>
      <c r="AM234">
        <v>0.94189823009999996</v>
      </c>
      <c r="AN234">
        <v>0.94174472269999998</v>
      </c>
      <c r="AO234">
        <v>0.94158492309999997</v>
      </c>
      <c r="AP234">
        <v>0.94141774970000003</v>
      </c>
      <c r="AQ234">
        <v>0.94124218589999997</v>
      </c>
      <c r="AR234">
        <v>0.94105836099999995</v>
      </c>
      <c r="AS234">
        <v>0.940822253</v>
      </c>
      <c r="AT234">
        <v>0.94057986049999998</v>
      </c>
      <c r="AU234">
        <v>0.94033150219999995</v>
      </c>
      <c r="AV234">
        <v>0.94007687660000006</v>
      </c>
      <c r="AW234">
        <v>0.93981456819999998</v>
      </c>
    </row>
    <row r="235" spans="2:49" x14ac:dyDescent="0.25">
      <c r="B235" t="s">
        <v>564</v>
      </c>
      <c r="C235">
        <v>8.4897770701825997E-3</v>
      </c>
      <c r="D235">
        <v>8.4897770701825997E-3</v>
      </c>
      <c r="E235">
        <v>8.0965420199999999E-3</v>
      </c>
      <c r="F235">
        <v>1.20789917E-2</v>
      </c>
      <c r="G235">
        <v>1.60296199E-2</v>
      </c>
      <c r="H235">
        <v>1.99917906E-2</v>
      </c>
      <c r="I235">
        <v>2.3893451699999999E-2</v>
      </c>
      <c r="J235">
        <v>2.7781014900000001E-2</v>
      </c>
      <c r="K235">
        <v>3.16627191E-2</v>
      </c>
      <c r="L235">
        <v>3.5516844800000003E-2</v>
      </c>
      <c r="M235">
        <v>3.9363935199999998E-2</v>
      </c>
      <c r="N235">
        <v>4.3169414099999998E-2</v>
      </c>
      <c r="O235">
        <v>4.3840463199999999E-2</v>
      </c>
      <c r="P235">
        <v>4.4548369400000003E-2</v>
      </c>
      <c r="Q235">
        <v>4.5308981599999999E-2</v>
      </c>
      <c r="R235">
        <v>4.6110150000000003E-2</v>
      </c>
      <c r="S235">
        <v>4.6988618199999999E-2</v>
      </c>
      <c r="T235">
        <v>4.9456640900000001E-2</v>
      </c>
      <c r="U235">
        <v>5.1817943300000002E-2</v>
      </c>
      <c r="V235">
        <v>5.4094819099999997E-2</v>
      </c>
      <c r="W235">
        <v>5.6453804599999997E-2</v>
      </c>
      <c r="X235">
        <v>5.8906630699999997E-2</v>
      </c>
      <c r="Y235">
        <v>5.8860167900000003E-2</v>
      </c>
      <c r="Z235">
        <v>5.8818994800000003E-2</v>
      </c>
      <c r="AA235">
        <v>5.8776612200000002E-2</v>
      </c>
      <c r="AB235">
        <v>5.8741798800000002E-2</v>
      </c>
      <c r="AC235">
        <v>5.8704300399999999E-2</v>
      </c>
      <c r="AD235">
        <v>5.8616181599999997E-2</v>
      </c>
      <c r="AE235">
        <v>5.8523033100000003E-2</v>
      </c>
      <c r="AF235">
        <v>5.8425345599999998E-2</v>
      </c>
      <c r="AG235">
        <v>5.8330871399999998E-2</v>
      </c>
      <c r="AH235">
        <v>5.8230666E-2</v>
      </c>
      <c r="AI235">
        <v>5.8209975900000002E-2</v>
      </c>
      <c r="AJ235">
        <v>5.8189198900000003E-2</v>
      </c>
      <c r="AK235">
        <v>5.8168289400000003E-2</v>
      </c>
      <c r="AL235">
        <v>5.8134959600000001E-2</v>
      </c>
      <c r="AM235">
        <v>5.8101768400000003E-2</v>
      </c>
      <c r="AN235">
        <v>5.8255297300000002E-2</v>
      </c>
      <c r="AO235">
        <v>5.8415100599999999E-2</v>
      </c>
      <c r="AP235">
        <v>5.8582277199999998E-2</v>
      </c>
      <c r="AQ235">
        <v>5.8757843800000001E-2</v>
      </c>
      <c r="AR235">
        <v>5.8941674300000003E-2</v>
      </c>
      <c r="AS235">
        <v>5.9177747000000003E-2</v>
      </c>
      <c r="AT235">
        <v>5.9420139499999997E-2</v>
      </c>
      <c r="AU235">
        <v>5.9668497799999998E-2</v>
      </c>
      <c r="AV235">
        <v>5.99231229E-2</v>
      </c>
      <c r="AW235">
        <v>6.0185431400000003E-2</v>
      </c>
    </row>
    <row r="236" spans="2:49" x14ac:dyDescent="0.25">
      <c r="B236" t="s">
        <v>565</v>
      </c>
      <c r="C236">
        <v>0.79896379760487002</v>
      </c>
      <c r="D236">
        <v>0.79896379760486902</v>
      </c>
      <c r="E236">
        <v>0.79896379760000003</v>
      </c>
      <c r="F236">
        <v>0.79638417930000005</v>
      </c>
      <c r="G236">
        <v>0.79381292349999999</v>
      </c>
      <c r="H236">
        <v>0.79124992149999995</v>
      </c>
      <c r="I236">
        <v>0.78869496409999995</v>
      </c>
      <c r="J236">
        <v>0.78614873760000004</v>
      </c>
      <c r="K236">
        <v>0.78361049890000001</v>
      </c>
      <c r="L236">
        <v>0.78108042430000002</v>
      </c>
      <c r="M236">
        <v>0.77855857679999996</v>
      </c>
      <c r="N236">
        <v>0.77604484610000002</v>
      </c>
      <c r="O236">
        <v>0.76081534360000003</v>
      </c>
      <c r="P236">
        <v>0.74503571710000005</v>
      </c>
      <c r="Q236">
        <v>0.72867559849999997</v>
      </c>
      <c r="R236">
        <v>0.71170238610000003</v>
      </c>
      <c r="S236">
        <v>0.69408090759999996</v>
      </c>
      <c r="T236">
        <v>0.68549363910000005</v>
      </c>
      <c r="U236">
        <v>0.67684744149999998</v>
      </c>
      <c r="V236">
        <v>0.66814170500000003</v>
      </c>
      <c r="W236">
        <v>0.67758856440000004</v>
      </c>
      <c r="X236">
        <v>0.68626280289999997</v>
      </c>
      <c r="Y236">
        <v>0.67775046439999997</v>
      </c>
      <c r="Z236">
        <v>0.66938119799999996</v>
      </c>
      <c r="AA236">
        <v>0.66115142400000004</v>
      </c>
      <c r="AB236">
        <v>0.65475837579999996</v>
      </c>
      <c r="AC236">
        <v>0.64846858409999997</v>
      </c>
      <c r="AD236">
        <v>0.63469239909999997</v>
      </c>
      <c r="AE236">
        <v>0.62123754360000005</v>
      </c>
      <c r="AF236">
        <v>0.60809290650000003</v>
      </c>
      <c r="AG236">
        <v>0.59456247500000003</v>
      </c>
      <c r="AH236">
        <v>0.58133482650000001</v>
      </c>
      <c r="AI236">
        <v>0.56661158</v>
      </c>
      <c r="AJ236">
        <v>0.55218208830000004</v>
      </c>
      <c r="AK236">
        <v>0.53803764659999997</v>
      </c>
      <c r="AL236">
        <v>0.52355173470000005</v>
      </c>
      <c r="AM236">
        <v>0.50934324659999997</v>
      </c>
      <c r="AN236">
        <v>0.49580558520000001</v>
      </c>
      <c r="AO236">
        <v>0.48247065569999997</v>
      </c>
      <c r="AP236">
        <v>0.46933393699999998</v>
      </c>
      <c r="AQ236">
        <v>0.45639104219999999</v>
      </c>
      <c r="AR236">
        <v>0.44363771299999999</v>
      </c>
      <c r="AS236">
        <v>0.42915867419999998</v>
      </c>
      <c r="AT236">
        <v>0.41485904499999998</v>
      </c>
      <c r="AU236">
        <v>0.40073551400000001</v>
      </c>
      <c r="AV236">
        <v>0.3867848485</v>
      </c>
      <c r="AW236">
        <v>0.37300389229999997</v>
      </c>
    </row>
    <row r="237" spans="2:49" x14ac:dyDescent="0.25">
      <c r="B237" t="s">
        <v>566</v>
      </c>
      <c r="C237">
        <v>1.02537481030392E-2</v>
      </c>
      <c r="D237">
        <v>1.02537481030392E-2</v>
      </c>
      <c r="E237">
        <v>1.02537481E-2</v>
      </c>
      <c r="F237">
        <v>9.6835705099999995E-3</v>
      </c>
      <c r="G237">
        <v>9.1450990200000002E-3</v>
      </c>
      <c r="H237">
        <v>8.6365696399999907E-3</v>
      </c>
      <c r="I237">
        <v>8.1563155499999995E-3</v>
      </c>
      <c r="J237">
        <v>7.7027716799999996E-3</v>
      </c>
      <c r="K237">
        <v>7.2744456200000002E-3</v>
      </c>
      <c r="L237">
        <v>6.8699371E-3</v>
      </c>
      <c r="M237">
        <v>6.4879224899999999E-3</v>
      </c>
      <c r="N237">
        <v>6.1271502600000003E-3</v>
      </c>
      <c r="O237">
        <v>5.5291148799999999E-3</v>
      </c>
      <c r="P237">
        <v>4.9094769999999998E-3</v>
      </c>
      <c r="Q237">
        <v>4.26704449E-3</v>
      </c>
      <c r="R237">
        <v>3.6005361499999999E-3</v>
      </c>
      <c r="S237">
        <v>2.9085724599999998E-3</v>
      </c>
      <c r="T237">
        <v>3.81905458E-3</v>
      </c>
      <c r="U237">
        <v>4.7357845900000001E-3</v>
      </c>
      <c r="V237">
        <v>5.65882699E-3</v>
      </c>
      <c r="W237">
        <v>5.8246086300000003E-3</v>
      </c>
      <c r="X237">
        <v>5.9768316400000002E-3</v>
      </c>
      <c r="Y237">
        <v>5.8664569700000004E-3</v>
      </c>
      <c r="Z237">
        <v>5.7579374300000003E-3</v>
      </c>
      <c r="AA237">
        <v>5.6512266199999998E-3</v>
      </c>
      <c r="AB237">
        <v>5.5609613100000002E-3</v>
      </c>
      <c r="AC237">
        <v>5.4721539100000003E-3</v>
      </c>
      <c r="AD237">
        <v>5.5302444400000001E-3</v>
      </c>
      <c r="AE237">
        <v>5.5869799900000001E-3</v>
      </c>
      <c r="AF237">
        <v>5.6424074200000004E-3</v>
      </c>
      <c r="AG237">
        <v>5.6994452499999999E-3</v>
      </c>
      <c r="AH237">
        <v>5.7552066799999996E-3</v>
      </c>
      <c r="AI237">
        <v>5.6820847899999999E-3</v>
      </c>
      <c r="AJ237">
        <v>5.6104218100000002E-3</v>
      </c>
      <c r="AK237">
        <v>5.5401745099999998E-3</v>
      </c>
      <c r="AL237">
        <v>5.4682570700000004E-3</v>
      </c>
      <c r="AM237">
        <v>5.39771696E-3</v>
      </c>
      <c r="AN237">
        <v>5.4498631700000003E-3</v>
      </c>
      <c r="AO237">
        <v>5.5012284800000002E-3</v>
      </c>
      <c r="AP237">
        <v>5.5518303100000003E-3</v>
      </c>
      <c r="AQ237">
        <v>5.60168553E-3</v>
      </c>
      <c r="AR237">
        <v>5.6508105499999996E-3</v>
      </c>
      <c r="AS237">
        <v>5.6479370500000002E-3</v>
      </c>
      <c r="AT237">
        <v>5.6450991200000002E-3</v>
      </c>
      <c r="AU237">
        <v>5.6422961400000001E-3</v>
      </c>
      <c r="AV237">
        <v>5.6395274799999999E-3</v>
      </c>
      <c r="AW237">
        <v>5.6367924799999997E-3</v>
      </c>
    </row>
    <row r="238" spans="2:49" x14ac:dyDescent="0.25">
      <c r="B238" t="s">
        <v>567</v>
      </c>
      <c r="C238">
        <v>4.0949078402655603E-2</v>
      </c>
      <c r="D238">
        <v>4.0949078402655603E-2</v>
      </c>
      <c r="E238">
        <v>4.0949078399999998E-2</v>
      </c>
      <c r="F238">
        <v>4.0876232399999997E-2</v>
      </c>
      <c r="G238">
        <v>4.0803517800000001E-2</v>
      </c>
      <c r="H238">
        <v>4.07309301E-2</v>
      </c>
      <c r="I238">
        <v>4.0658459600000002E-2</v>
      </c>
      <c r="J238">
        <v>4.0586142800000002E-2</v>
      </c>
      <c r="K238">
        <v>4.05139427E-2</v>
      </c>
      <c r="L238">
        <v>4.0441869399999997E-2</v>
      </c>
      <c r="M238">
        <v>4.0369927299999997E-2</v>
      </c>
      <c r="N238">
        <v>4.0298111900000003E-2</v>
      </c>
      <c r="O238">
        <v>4.42463061E-2</v>
      </c>
      <c r="P238">
        <v>4.8337119099999999E-2</v>
      </c>
      <c r="Q238">
        <v>5.2578420000000001E-2</v>
      </c>
      <c r="R238">
        <v>5.6978670600000003E-2</v>
      </c>
      <c r="S238">
        <v>6.1546972800000002E-2</v>
      </c>
      <c r="T238">
        <v>5.87605951E-2</v>
      </c>
      <c r="U238">
        <v>5.5955096500000003E-2</v>
      </c>
      <c r="V238">
        <v>5.3130279599999997E-2</v>
      </c>
      <c r="W238">
        <v>3.4535413799999998E-2</v>
      </c>
      <c r="X238">
        <v>1.7461348000000002E-2</v>
      </c>
      <c r="Y238">
        <v>1.7267602999999999E-2</v>
      </c>
      <c r="Z238">
        <v>1.7077114399999999E-2</v>
      </c>
      <c r="AA238">
        <v>1.6889800699999999E-2</v>
      </c>
      <c r="AB238">
        <v>1.6748364500000001E-2</v>
      </c>
      <c r="AC238">
        <v>1.6609212799999998E-2</v>
      </c>
      <c r="AD238">
        <v>1.6592279099999999E-2</v>
      </c>
      <c r="AE238">
        <v>1.6575740299999999E-2</v>
      </c>
      <c r="AF238">
        <v>1.65595828E-2</v>
      </c>
      <c r="AG238">
        <v>1.6543038600000001E-2</v>
      </c>
      <c r="AH238">
        <v>1.65268646E-2</v>
      </c>
      <c r="AI238">
        <v>1.6506447800000001E-2</v>
      </c>
      <c r="AJ238">
        <v>1.64864383E-2</v>
      </c>
      <c r="AK238">
        <v>1.6466824000000001E-2</v>
      </c>
      <c r="AL238">
        <v>1.6446748300000001E-2</v>
      </c>
      <c r="AM238">
        <v>1.64270571E-2</v>
      </c>
      <c r="AN238">
        <v>1.6406935399999999E-2</v>
      </c>
      <c r="AO238">
        <v>1.6387115099999999E-2</v>
      </c>
      <c r="AP238">
        <v>1.63675894E-2</v>
      </c>
      <c r="AQ238">
        <v>1.6348351800000001E-2</v>
      </c>
      <c r="AR238">
        <v>1.6329395900000002E-2</v>
      </c>
      <c r="AS238">
        <v>2.22887264E-2</v>
      </c>
      <c r="AT238">
        <v>2.8174213699999999E-2</v>
      </c>
      <c r="AU238">
        <v>3.39872222E-2</v>
      </c>
      <c r="AV238">
        <v>3.9729082499999999E-2</v>
      </c>
      <c r="AW238">
        <v>4.5401092699999999E-2</v>
      </c>
    </row>
    <row r="239" spans="2:49" x14ac:dyDescent="0.25">
      <c r="B239" t="s">
        <v>568</v>
      </c>
      <c r="C239">
        <v>4.0858446639591303E-2</v>
      </c>
      <c r="D239">
        <v>4.0858446639591303E-2</v>
      </c>
      <c r="E239">
        <v>4.0858446600000001E-2</v>
      </c>
      <c r="F239">
        <v>3.7501973100000002E-2</v>
      </c>
      <c r="G239">
        <v>3.4421231400000002E-2</v>
      </c>
      <c r="H239">
        <v>3.1593567000000003E-2</v>
      </c>
      <c r="I239">
        <v>2.89981835E-2</v>
      </c>
      <c r="J239">
        <v>2.6616024700000001E-2</v>
      </c>
      <c r="K239">
        <v>2.4429549500000002E-2</v>
      </c>
      <c r="L239">
        <v>2.2422689900000001E-2</v>
      </c>
      <c r="M239">
        <v>2.0580693000000001E-2</v>
      </c>
      <c r="N239">
        <v>1.8890013300000001E-2</v>
      </c>
      <c r="O239">
        <v>1.6445307100000001E-2</v>
      </c>
      <c r="P239">
        <v>1.3912292099999999E-2</v>
      </c>
      <c r="Q239">
        <v>1.1286095100000001E-2</v>
      </c>
      <c r="R239">
        <v>8.5614784899999997E-3</v>
      </c>
      <c r="S239">
        <v>5.7328032499999997E-3</v>
      </c>
      <c r="T239">
        <v>5.47000478E-3</v>
      </c>
      <c r="U239">
        <v>5.2054029300000002E-3</v>
      </c>
      <c r="V239">
        <v>4.9389790600000002E-3</v>
      </c>
      <c r="W239">
        <v>3.1795564899999998E-3</v>
      </c>
      <c r="X239">
        <v>1.56403009E-3</v>
      </c>
      <c r="Y239">
        <v>1.54612841E-3</v>
      </c>
      <c r="Z239">
        <v>1.5285276199999999E-3</v>
      </c>
      <c r="AA239">
        <v>1.5112201799999999E-3</v>
      </c>
      <c r="AB239">
        <v>1.4980294500000001E-3</v>
      </c>
      <c r="AC239">
        <v>1.48505176E-3</v>
      </c>
      <c r="AD239">
        <v>1.4831638899999999E-3</v>
      </c>
      <c r="AE239">
        <v>1.48132004E-3</v>
      </c>
      <c r="AF239">
        <v>1.47951871E-3</v>
      </c>
      <c r="AG239">
        <v>1.47766504E-3</v>
      </c>
      <c r="AH239">
        <v>1.47585285E-3</v>
      </c>
      <c r="AI239">
        <v>1.47396348E-3</v>
      </c>
      <c r="AJ239">
        <v>1.4721118E-3</v>
      </c>
      <c r="AK239">
        <v>1.4702966899999999E-3</v>
      </c>
      <c r="AL239">
        <v>1.4684384400000001E-3</v>
      </c>
      <c r="AM239">
        <v>1.4666157700000001E-3</v>
      </c>
      <c r="AN239">
        <v>1.4647589700000001E-3</v>
      </c>
      <c r="AO239">
        <v>1.4629299899999999E-3</v>
      </c>
      <c r="AP239">
        <v>1.4611281800000001E-3</v>
      </c>
      <c r="AQ239">
        <v>1.4593529699999999E-3</v>
      </c>
      <c r="AR239">
        <v>1.4576037500000001E-3</v>
      </c>
      <c r="AS239">
        <v>1.45180257E-3</v>
      </c>
      <c r="AT239">
        <v>1.44607326E-3</v>
      </c>
      <c r="AU239">
        <v>1.44041451E-3</v>
      </c>
      <c r="AV239">
        <v>1.43482502E-3</v>
      </c>
      <c r="AW239">
        <v>1.4293035300000001E-3</v>
      </c>
    </row>
    <row r="240" spans="2:49" x14ac:dyDescent="0.25">
      <c r="B240" t="s">
        <v>569</v>
      </c>
      <c r="C240">
        <v>8.2546962733871607E-3</v>
      </c>
      <c r="D240">
        <v>8.2546962733871607E-3</v>
      </c>
      <c r="E240">
        <v>8.2546962700000004E-3</v>
      </c>
      <c r="F240">
        <v>1.7081659700000001E-2</v>
      </c>
      <c r="G240">
        <v>2.5176001699999999E-2</v>
      </c>
      <c r="H240">
        <v>3.2493267999999999E-2</v>
      </c>
      <c r="I240">
        <v>3.8964693100000003E-2</v>
      </c>
      <c r="J240">
        <v>4.44904359E-2</v>
      </c>
      <c r="K240">
        <v>4.8930383500000001E-2</v>
      </c>
      <c r="L240">
        <v>5.20921944E-2</v>
      </c>
      <c r="M240">
        <v>5.37152194E-2</v>
      </c>
      <c r="N240">
        <v>5.3449221399999997E-2</v>
      </c>
      <c r="O240">
        <v>5.9116927499999999E-2</v>
      </c>
      <c r="P240">
        <v>6.4989365699999996E-2</v>
      </c>
      <c r="Q240">
        <v>7.1077831999999896E-2</v>
      </c>
      <c r="R240">
        <v>7.7394473399999997E-2</v>
      </c>
      <c r="S240">
        <v>8.3952356399999997E-2</v>
      </c>
      <c r="T240">
        <v>8.81391225E-2</v>
      </c>
      <c r="U240">
        <v>9.2354618700000002E-2</v>
      </c>
      <c r="V240">
        <v>9.6599141599999896E-2</v>
      </c>
      <c r="W240">
        <v>0.1048451445</v>
      </c>
      <c r="X240">
        <v>0.1124167397</v>
      </c>
      <c r="Y240">
        <v>0.1188589169</v>
      </c>
      <c r="Z240">
        <v>0.1251928175</v>
      </c>
      <c r="AA240">
        <v>0.13142114790000001</v>
      </c>
      <c r="AB240">
        <v>0.1353528671</v>
      </c>
      <c r="AC240">
        <v>0.13922108389999999</v>
      </c>
      <c r="AD240">
        <v>0.14589482249999999</v>
      </c>
      <c r="AE240">
        <v>0.1524128947</v>
      </c>
      <c r="AF240">
        <v>0.15878068449999999</v>
      </c>
      <c r="AG240">
        <v>0.16533276180000001</v>
      </c>
      <c r="AH240">
        <v>0.17173821719999999</v>
      </c>
      <c r="AI240">
        <v>0.17830255079999999</v>
      </c>
      <c r="AJ240">
        <v>0.1847359143</v>
      </c>
      <c r="AK240">
        <v>0.1910421886</v>
      </c>
      <c r="AL240">
        <v>0.1974979875</v>
      </c>
      <c r="AM240">
        <v>0.20383015130000001</v>
      </c>
      <c r="AN240">
        <v>0.21036127909999999</v>
      </c>
      <c r="AO240">
        <v>0.21679460149999999</v>
      </c>
      <c r="AP240">
        <v>0.2231322989</v>
      </c>
      <c r="AQ240">
        <v>0.22937648760000001</v>
      </c>
      <c r="AR240">
        <v>0.23552922179999999</v>
      </c>
      <c r="AS240">
        <v>0.2412355598</v>
      </c>
      <c r="AT240">
        <v>0.2468711884</v>
      </c>
      <c r="AU240">
        <v>0.25243741520000001</v>
      </c>
      <c r="AV240">
        <v>0.25793551469999998</v>
      </c>
      <c r="AW240">
        <v>0.26336672890000001</v>
      </c>
    </row>
    <row r="241" spans="2:49" x14ac:dyDescent="0.25">
      <c r="B241" t="s">
        <v>570</v>
      </c>
      <c r="C241">
        <v>1.85730666151211E-3</v>
      </c>
      <c r="D241">
        <v>1.85730666151211E-3</v>
      </c>
      <c r="E241">
        <v>1.8573066599999999E-3</v>
      </c>
      <c r="F241">
        <v>2.4629865800000002E-3</v>
      </c>
      <c r="G241">
        <v>3.26618284E-3</v>
      </c>
      <c r="H241">
        <v>4.3313064599999999E-3</v>
      </c>
      <c r="I241">
        <v>5.7437721900000004E-3</v>
      </c>
      <c r="J241">
        <v>7.6168563700000002E-3</v>
      </c>
      <c r="K241">
        <v>1.0100763400000001E-2</v>
      </c>
      <c r="L241">
        <v>1.3394688199999999E-2</v>
      </c>
      <c r="M241">
        <v>1.7762784899999998E-2</v>
      </c>
      <c r="N241">
        <v>2.3555346000000001E-2</v>
      </c>
      <c r="O241">
        <v>2.60531331E-2</v>
      </c>
      <c r="P241">
        <v>2.8641146700000002E-2</v>
      </c>
      <c r="Q241">
        <v>3.1324365100000001E-2</v>
      </c>
      <c r="R241">
        <v>3.4108141299999999E-2</v>
      </c>
      <c r="S241">
        <v>3.6998233999999998E-2</v>
      </c>
      <c r="T241">
        <v>3.8309503799999998E-2</v>
      </c>
      <c r="U241">
        <v>3.9629771699999997E-2</v>
      </c>
      <c r="V241">
        <v>4.0959130500000003E-2</v>
      </c>
      <c r="W241">
        <v>4.3531262000000001E-2</v>
      </c>
      <c r="X241">
        <v>4.5893029000000002E-2</v>
      </c>
      <c r="Y241">
        <v>4.8830951999999997E-2</v>
      </c>
      <c r="Z241">
        <v>5.1719496099999998E-2</v>
      </c>
      <c r="AA241">
        <v>5.4559895300000001E-2</v>
      </c>
      <c r="AB241">
        <v>5.7466874500000001E-2</v>
      </c>
      <c r="AC241">
        <v>6.0326902000000002E-2</v>
      </c>
      <c r="AD241">
        <v>6.7391713300000003E-2</v>
      </c>
      <c r="AE241">
        <v>7.4291736600000005E-2</v>
      </c>
      <c r="AF241">
        <v>8.1032671099999995E-2</v>
      </c>
      <c r="AG241">
        <v>8.7961902800000005E-2</v>
      </c>
      <c r="AH241">
        <v>9.4736072599999999E-2</v>
      </c>
      <c r="AI241">
        <v>0.1016749453</v>
      </c>
      <c r="AJ241">
        <v>0.1084753752</v>
      </c>
      <c r="AK241">
        <v>0.1151414645</v>
      </c>
      <c r="AL241">
        <v>0.1219617882</v>
      </c>
      <c r="AM241">
        <v>0.12865149540000001</v>
      </c>
      <c r="AN241">
        <v>0.13554672130000001</v>
      </c>
      <c r="AO241">
        <v>0.14233868920000001</v>
      </c>
      <c r="AP241">
        <v>0.1490297012</v>
      </c>
      <c r="AQ241">
        <v>0.1556219915</v>
      </c>
      <c r="AR241">
        <v>0.16211772899999999</v>
      </c>
      <c r="AS241">
        <v>0.1650786816</v>
      </c>
      <c r="AT241">
        <v>0.16800294369999999</v>
      </c>
      <c r="AU241">
        <v>0.170891194</v>
      </c>
      <c r="AV241">
        <v>0.17374409399999999</v>
      </c>
      <c r="AW241">
        <v>0.1765622878</v>
      </c>
    </row>
    <row r="242" spans="2:49" x14ac:dyDescent="0.25">
      <c r="B242" t="s">
        <v>571</v>
      </c>
      <c r="C242">
        <v>9.2848272947954696E-2</v>
      </c>
      <c r="D242">
        <v>9.2848272947954599E-2</v>
      </c>
      <c r="E242">
        <v>9.2848272900000001E-2</v>
      </c>
      <c r="F242">
        <v>8.9289128800000006E-2</v>
      </c>
      <c r="G242">
        <v>8.5866420499999999E-2</v>
      </c>
      <c r="H242">
        <v>8.2574909599999996E-2</v>
      </c>
      <c r="I242">
        <v>7.9409548600000004E-2</v>
      </c>
      <c r="J242">
        <v>7.6365572800000003E-2</v>
      </c>
      <c r="K242">
        <v>7.3438258699999995E-2</v>
      </c>
      <c r="L242">
        <v>7.0623154300000004E-2</v>
      </c>
      <c r="M242">
        <v>6.7915966199999997E-2</v>
      </c>
      <c r="N242">
        <v>6.53125502E-2</v>
      </c>
      <c r="O242">
        <v>7.2238232799999996E-2</v>
      </c>
      <c r="P242">
        <v>7.9414088699999996E-2</v>
      </c>
      <c r="Q242">
        <v>8.6853921400000006E-2</v>
      </c>
      <c r="R242">
        <v>9.4572573699999996E-2</v>
      </c>
      <c r="S242">
        <v>0.1025860124</v>
      </c>
      <c r="T242">
        <v>0.10719493450000001</v>
      </c>
      <c r="U242">
        <v>0.11183548359999999</v>
      </c>
      <c r="V242">
        <v>0.1165079861</v>
      </c>
      <c r="W242">
        <v>0.1119016806</v>
      </c>
      <c r="X242">
        <v>0.1076721065</v>
      </c>
      <c r="Y242">
        <v>0.1064289509</v>
      </c>
      <c r="Z242">
        <v>0.1052066899</v>
      </c>
      <c r="AA242">
        <v>0.10400480049999999</v>
      </c>
      <c r="AB242">
        <v>0.1031054292</v>
      </c>
      <c r="AC242">
        <v>0.102220584</v>
      </c>
      <c r="AD242">
        <v>0.10204557910000001</v>
      </c>
      <c r="AE242">
        <v>0.1018746559</v>
      </c>
      <c r="AF242">
        <v>0.10170767360000001</v>
      </c>
      <c r="AG242">
        <v>0.1015441158</v>
      </c>
      <c r="AH242">
        <v>0.101384218</v>
      </c>
      <c r="AI242">
        <v>0.1012243929</v>
      </c>
      <c r="AJ242">
        <v>0.1010677567</v>
      </c>
      <c r="AK242">
        <v>0.1009142146</v>
      </c>
      <c r="AL242">
        <v>0.10076168000000001</v>
      </c>
      <c r="AM242">
        <v>0.10061206690000001</v>
      </c>
      <c r="AN242">
        <v>0.1004634442</v>
      </c>
      <c r="AO242">
        <v>0.1003170474</v>
      </c>
      <c r="AP242">
        <v>0.1001728266</v>
      </c>
      <c r="AQ242">
        <v>0.1000307337</v>
      </c>
      <c r="AR242">
        <v>9.9890721900000007E-2</v>
      </c>
      <c r="AS242">
        <v>9.9485071199999997E-2</v>
      </c>
      <c r="AT242">
        <v>9.9084446399999998E-2</v>
      </c>
      <c r="AU242">
        <v>9.8688755399999994E-2</v>
      </c>
      <c r="AV242">
        <v>9.8297907599999998E-2</v>
      </c>
      <c r="AW242">
        <v>9.7911814099999994E-2</v>
      </c>
    </row>
    <row r="243" spans="2:49" x14ac:dyDescent="0.25">
      <c r="B243" t="s">
        <v>572</v>
      </c>
      <c r="C243">
        <v>6.0146533669896496E-3</v>
      </c>
      <c r="D243">
        <v>6.0146533669896496E-3</v>
      </c>
      <c r="E243">
        <v>6.0146533700000003E-3</v>
      </c>
      <c r="F243">
        <v>6.7202666100000001E-3</v>
      </c>
      <c r="G243">
        <v>7.5086596899999998E-3</v>
      </c>
      <c r="H243">
        <v>8.3895431800000003E-3</v>
      </c>
      <c r="I243">
        <v>9.3737653599999995E-3</v>
      </c>
      <c r="J243">
        <v>1.04734583E-2</v>
      </c>
      <c r="K243">
        <v>1.17021594E-2</v>
      </c>
      <c r="L243">
        <v>1.3075006E-2</v>
      </c>
      <c r="M243">
        <v>1.4608909999999999E-2</v>
      </c>
      <c r="N243">
        <v>1.63227645E-2</v>
      </c>
      <c r="O243">
        <v>1.55556345E-2</v>
      </c>
      <c r="P243">
        <v>1.4760793899999999E-2</v>
      </c>
      <c r="Q243">
        <v>1.39367134E-2</v>
      </c>
      <c r="R243">
        <v>1.30817499E-2</v>
      </c>
      <c r="S243">
        <v>1.21941332E-2</v>
      </c>
      <c r="T243">
        <v>1.28131462E-2</v>
      </c>
      <c r="U243">
        <v>1.34364069E-2</v>
      </c>
      <c r="V243">
        <v>1.40639592E-2</v>
      </c>
      <c r="W243">
        <v>1.8593773399999999E-2</v>
      </c>
      <c r="X243">
        <v>2.2753112200000002E-2</v>
      </c>
      <c r="Y243">
        <v>2.34505253E-2</v>
      </c>
      <c r="Z243">
        <v>2.4136216700000001E-2</v>
      </c>
      <c r="AA243">
        <v>2.48104793E-2</v>
      </c>
      <c r="AB243">
        <v>2.5509093600000001E-2</v>
      </c>
      <c r="AC243">
        <v>2.61964243E-2</v>
      </c>
      <c r="AD243">
        <v>2.63697988E-2</v>
      </c>
      <c r="AE243">
        <v>2.6539129299999999E-2</v>
      </c>
      <c r="AF243">
        <v>2.6704555599999999E-2</v>
      </c>
      <c r="AG243">
        <v>2.68785959E-2</v>
      </c>
      <c r="AH243">
        <v>2.7048741599999999E-2</v>
      </c>
      <c r="AI243">
        <v>2.8524035100000001E-2</v>
      </c>
      <c r="AJ243">
        <v>2.9969893800000001E-2</v>
      </c>
      <c r="AK243">
        <v>3.1387190099999997E-2</v>
      </c>
      <c r="AL243">
        <v>3.2843363799999997E-2</v>
      </c>
      <c r="AM243">
        <v>3.4271650399999999E-2</v>
      </c>
      <c r="AN243">
        <v>3.45014103E-2</v>
      </c>
      <c r="AO243">
        <v>3.4727729700000001E-2</v>
      </c>
      <c r="AP243">
        <v>3.4950685000000002E-2</v>
      </c>
      <c r="AQ243">
        <v>3.5170350699999998E-2</v>
      </c>
      <c r="AR243">
        <v>3.5386799099999998E-2</v>
      </c>
      <c r="AS243">
        <v>3.5653547299999998E-2</v>
      </c>
      <c r="AT243">
        <v>3.5916990000000003E-2</v>
      </c>
      <c r="AU243">
        <v>3.6177188499999999E-2</v>
      </c>
      <c r="AV243">
        <v>3.6434202399999997E-2</v>
      </c>
      <c r="AW243">
        <v>3.66880895E-2</v>
      </c>
    </row>
    <row r="244" spans="2:49" x14ac:dyDescent="0.25">
      <c r="B244" t="s">
        <v>573</v>
      </c>
      <c r="C244">
        <v>0.92287069498865704</v>
      </c>
      <c r="D244">
        <v>0.92287069498865704</v>
      </c>
      <c r="E244">
        <v>0.92286479210000005</v>
      </c>
      <c r="F244">
        <v>0.89638981049999999</v>
      </c>
      <c r="G244">
        <v>0.87085573910000003</v>
      </c>
      <c r="H244">
        <v>0.84568439939999995</v>
      </c>
      <c r="I244">
        <v>0.82160761920000003</v>
      </c>
      <c r="J244">
        <v>0.79828742460000002</v>
      </c>
      <c r="K244">
        <v>0.77568514460000004</v>
      </c>
      <c r="L244">
        <v>0.75370240759999996</v>
      </c>
      <c r="M244">
        <v>0.73217338170000001</v>
      </c>
      <c r="N244">
        <v>0.71125005240000005</v>
      </c>
      <c r="O244">
        <v>0.70846737790000003</v>
      </c>
      <c r="P244">
        <v>0.70615889239999996</v>
      </c>
      <c r="Q244">
        <v>0.70420933539999997</v>
      </c>
      <c r="R244">
        <v>0.70230907730000003</v>
      </c>
      <c r="S244">
        <v>0.70002621639999996</v>
      </c>
      <c r="T244">
        <v>0.67384213599999998</v>
      </c>
      <c r="U244">
        <v>0.64714097370000001</v>
      </c>
      <c r="V244">
        <v>0.61984855999999999</v>
      </c>
      <c r="W244">
        <v>0.65018641099999996</v>
      </c>
      <c r="X244">
        <v>0.67886471829999995</v>
      </c>
      <c r="Y244">
        <v>0.67249067979999999</v>
      </c>
      <c r="Z244">
        <v>0.66605440309999997</v>
      </c>
      <c r="AA244">
        <v>0.65960171560000003</v>
      </c>
      <c r="AB244">
        <v>0.65304350069999995</v>
      </c>
      <c r="AC244">
        <v>0.64649243050000005</v>
      </c>
      <c r="AD244">
        <v>0.64070703129999995</v>
      </c>
      <c r="AE244">
        <v>0.63496742220000002</v>
      </c>
      <c r="AF244">
        <v>0.62927789369999998</v>
      </c>
      <c r="AG244">
        <v>0.62349932090000004</v>
      </c>
      <c r="AH244">
        <v>0.61776947390000003</v>
      </c>
      <c r="AI244">
        <v>0.61523017170000005</v>
      </c>
      <c r="AJ244">
        <v>0.61271716210000005</v>
      </c>
      <c r="AK244">
        <v>0.6102265053</v>
      </c>
      <c r="AL244">
        <v>0.6077226255</v>
      </c>
      <c r="AM244">
        <v>0.60523605479999998</v>
      </c>
      <c r="AN244">
        <v>0.60216180180000001</v>
      </c>
      <c r="AO244">
        <v>0.59910408039999996</v>
      </c>
      <c r="AP244">
        <v>0.59606074139999998</v>
      </c>
      <c r="AQ244">
        <v>0.59302874139999995</v>
      </c>
      <c r="AR244">
        <v>0.59001296950000004</v>
      </c>
      <c r="AS244">
        <v>0.58692620259999995</v>
      </c>
      <c r="AT244">
        <v>0.5838376824</v>
      </c>
      <c r="AU244">
        <v>0.58075233999999998</v>
      </c>
      <c r="AV244">
        <v>0.57766868540000005</v>
      </c>
      <c r="AW244">
        <v>0.57457781029999999</v>
      </c>
    </row>
    <row r="245" spans="2:49" x14ac:dyDescent="0.25">
      <c r="B245" t="s">
        <v>574</v>
      </c>
      <c r="C245">
        <v>4.1245617653124303E-2</v>
      </c>
      <c r="D245">
        <v>4.1245617653124303E-2</v>
      </c>
      <c r="E245">
        <v>4.1248777399999999E-2</v>
      </c>
      <c r="F245">
        <v>6.5764282199999996E-2</v>
      </c>
      <c r="G245">
        <v>8.8551192700000003E-2</v>
      </c>
      <c r="H245">
        <v>0.1097913126</v>
      </c>
      <c r="I245">
        <v>0.1286980093</v>
      </c>
      <c r="J245">
        <v>0.1451502958</v>
      </c>
      <c r="K245">
        <v>0.15872254180000001</v>
      </c>
      <c r="L245">
        <v>0.16890082140000001</v>
      </c>
      <c r="M245">
        <v>0.1750410838</v>
      </c>
      <c r="N245">
        <v>0.17606494080000001</v>
      </c>
      <c r="O245">
        <v>0.1780619319</v>
      </c>
      <c r="P245">
        <v>0.1797681565</v>
      </c>
      <c r="Q245">
        <v>0.181252846</v>
      </c>
      <c r="R245">
        <v>0.18270505479999999</v>
      </c>
      <c r="S245">
        <v>0.18439017369999999</v>
      </c>
      <c r="T245">
        <v>0.18922366979999999</v>
      </c>
      <c r="U245">
        <v>0.19412006200000001</v>
      </c>
      <c r="V245">
        <v>0.19911803089999999</v>
      </c>
      <c r="W245">
        <v>0.2009348664</v>
      </c>
      <c r="X245">
        <v>0.2026987998</v>
      </c>
      <c r="Y245">
        <v>0.20515587739999999</v>
      </c>
      <c r="Z245">
        <v>0.20764995459999999</v>
      </c>
      <c r="AA245">
        <v>0.21015199700000001</v>
      </c>
      <c r="AB245">
        <v>0.2126314825</v>
      </c>
      <c r="AC245">
        <v>0.21510560179999999</v>
      </c>
      <c r="AD245">
        <v>0.21782733700000001</v>
      </c>
      <c r="AE245">
        <v>0.2205264307</v>
      </c>
      <c r="AF245">
        <v>0.22320030320000001</v>
      </c>
      <c r="AG245">
        <v>0.22585561649999999</v>
      </c>
      <c r="AH245">
        <v>0.2284872389</v>
      </c>
      <c r="AI245">
        <v>0.22893644430000001</v>
      </c>
      <c r="AJ245">
        <v>0.22937513230000001</v>
      </c>
      <c r="AK245">
        <v>0.22980570259999999</v>
      </c>
      <c r="AL245">
        <v>0.23020013980000001</v>
      </c>
      <c r="AM245">
        <v>0.2305897314</v>
      </c>
      <c r="AN245">
        <v>0.23145906699999999</v>
      </c>
      <c r="AO245">
        <v>0.23232092400000001</v>
      </c>
      <c r="AP245">
        <v>0.2331765989</v>
      </c>
      <c r="AQ245">
        <v>0.23402788199999999</v>
      </c>
      <c r="AR245">
        <v>0.23487199180000001</v>
      </c>
      <c r="AS245">
        <v>0.2347528234</v>
      </c>
      <c r="AT245">
        <v>0.23463026819999999</v>
      </c>
      <c r="AU245">
        <v>0.23450162599999999</v>
      </c>
      <c r="AV245">
        <v>0.23436784460000001</v>
      </c>
      <c r="AW245">
        <v>0.23423393140000001</v>
      </c>
    </row>
    <row r="246" spans="2:49" x14ac:dyDescent="0.25">
      <c r="B246" t="s">
        <v>575</v>
      </c>
      <c r="C246">
        <v>5.1557022066405396E-3</v>
      </c>
      <c r="D246">
        <v>5.1557022066405396E-3</v>
      </c>
      <c r="E246">
        <v>5.1560971800000003E-3</v>
      </c>
      <c r="F246">
        <v>4.8526464600000003E-3</v>
      </c>
      <c r="G246">
        <v>4.5606585200000001E-3</v>
      </c>
      <c r="H246">
        <v>4.29861793E-3</v>
      </c>
      <c r="I246">
        <v>4.0413932099999999E-3</v>
      </c>
      <c r="J246">
        <v>3.7993227100000001E-3</v>
      </c>
      <c r="K246">
        <v>3.5718517099999998E-3</v>
      </c>
      <c r="L246">
        <v>3.3591094299999999E-3</v>
      </c>
      <c r="M246">
        <v>3.16153859E-3</v>
      </c>
      <c r="N246">
        <v>2.97565917E-3</v>
      </c>
      <c r="O246">
        <v>4.4677916399999996E-3</v>
      </c>
      <c r="P246">
        <v>5.9470615800000003E-3</v>
      </c>
      <c r="Q246">
        <v>7.4096140599999999E-3</v>
      </c>
      <c r="R246">
        <v>8.8598309699999996E-3</v>
      </c>
      <c r="S246">
        <v>1.0312209899999999E-2</v>
      </c>
      <c r="T246">
        <v>1.6054732799999999E-2</v>
      </c>
      <c r="U246">
        <v>2.192465E-2</v>
      </c>
      <c r="V246">
        <v>2.7927490700000002E-2</v>
      </c>
      <c r="W246">
        <v>2.0318780099999999E-2</v>
      </c>
      <c r="X246">
        <v>1.31121603E-2</v>
      </c>
      <c r="Y246">
        <v>1.3099452100000001E-2</v>
      </c>
      <c r="Z246">
        <v>1.3088886500000001E-2</v>
      </c>
      <c r="AA246">
        <v>1.3078574399999999E-2</v>
      </c>
      <c r="AB246">
        <v>1.30623162E-2</v>
      </c>
      <c r="AC246">
        <v>1.30456203E-2</v>
      </c>
      <c r="AD246">
        <v>1.3532052500000001E-2</v>
      </c>
      <c r="AE246">
        <v>1.4015010099999999E-2</v>
      </c>
      <c r="AF246">
        <v>1.44943246E-2</v>
      </c>
      <c r="AG246">
        <v>1.4973584E-2</v>
      </c>
      <c r="AH246">
        <v>1.54492021E-2</v>
      </c>
      <c r="AI246">
        <v>1.6043328900000001E-2</v>
      </c>
      <c r="AJ246">
        <v>1.6634001700000001E-2</v>
      </c>
      <c r="AK246">
        <v>1.7221358900000001E-2</v>
      </c>
      <c r="AL246">
        <v>1.7814925700000001E-2</v>
      </c>
      <c r="AM246">
        <v>1.8405337500000001E-2</v>
      </c>
      <c r="AN246">
        <v>1.8933675600000002E-2</v>
      </c>
      <c r="AO246">
        <v>1.94603382E-2</v>
      </c>
      <c r="AP246">
        <v>1.9985408E-2</v>
      </c>
      <c r="AQ246">
        <v>2.0509021799999999E-2</v>
      </c>
      <c r="AR246">
        <v>2.1030920599999999E-2</v>
      </c>
      <c r="AS246">
        <v>2.1453488699999999E-2</v>
      </c>
      <c r="AT246">
        <v>2.18767614E-2</v>
      </c>
      <c r="AU246">
        <v>2.2300468399999999E-2</v>
      </c>
      <c r="AV246">
        <v>2.2724672500000001E-2</v>
      </c>
      <c r="AW246">
        <v>2.3149844999999999E-2</v>
      </c>
    </row>
    <row r="247" spans="2:49" x14ac:dyDescent="0.25">
      <c r="B247" t="s">
        <v>576</v>
      </c>
      <c r="C247">
        <v>1.5260878531656001E-2</v>
      </c>
      <c r="D247">
        <v>1.5260878531656001E-2</v>
      </c>
      <c r="E247">
        <v>1.52620476E-2</v>
      </c>
      <c r="F247">
        <v>1.4656560500000001E-2</v>
      </c>
      <c r="G247">
        <v>1.4055382599999999E-2</v>
      </c>
      <c r="H247">
        <v>1.35177891E-2</v>
      </c>
      <c r="I247">
        <v>1.29678993E-2</v>
      </c>
      <c r="J247">
        <v>1.2439599799999999E-2</v>
      </c>
      <c r="K247">
        <v>1.1933156800000001E-2</v>
      </c>
      <c r="L247">
        <v>1.14511152E-2</v>
      </c>
      <c r="M247">
        <v>1.0997243E-2</v>
      </c>
      <c r="N247">
        <v>1.05616124E-2</v>
      </c>
      <c r="O247">
        <v>1.54774552E-2</v>
      </c>
      <c r="P247">
        <v>2.0349716899999998E-2</v>
      </c>
      <c r="Q247">
        <v>2.5166025200000001E-2</v>
      </c>
      <c r="R247">
        <v>2.99416235E-2</v>
      </c>
      <c r="S247">
        <v>3.4725358099999999E-2</v>
      </c>
      <c r="T247">
        <v>3.6166579300000001E-2</v>
      </c>
      <c r="U247">
        <v>3.7631664799999999E-2</v>
      </c>
      <c r="V247">
        <v>3.9128225699999998E-2</v>
      </c>
      <c r="W247">
        <v>3.0619799400000001E-2</v>
      </c>
      <c r="X247">
        <v>2.2562665199999998E-2</v>
      </c>
      <c r="Y247">
        <v>2.2576651699999999E-2</v>
      </c>
      <c r="Z247">
        <v>2.2594377700000001E-2</v>
      </c>
      <c r="AA247">
        <v>2.2612594499999999E-2</v>
      </c>
      <c r="AB247">
        <v>2.2611909699999998E-2</v>
      </c>
      <c r="AC247">
        <v>2.26104848E-2</v>
      </c>
      <c r="AD247">
        <v>2.24625907E-2</v>
      </c>
      <c r="AE247">
        <v>2.23151545E-2</v>
      </c>
      <c r="AF247">
        <v>2.2167921399999999E-2</v>
      </c>
      <c r="AG247">
        <v>2.2017720399999999E-2</v>
      </c>
      <c r="AH247">
        <v>2.1868003E-2</v>
      </c>
      <c r="AI247">
        <v>2.1786315899999999E-2</v>
      </c>
      <c r="AJ247">
        <v>2.1704228799999999E-2</v>
      </c>
      <c r="AK247">
        <v>2.16219767E-2</v>
      </c>
      <c r="AL247">
        <v>2.15373978E-2</v>
      </c>
      <c r="AM247">
        <v>2.1452965399999999E-2</v>
      </c>
      <c r="AN247">
        <v>2.14085673E-2</v>
      </c>
      <c r="AO247">
        <v>2.1363767799999999E-2</v>
      </c>
      <c r="AP247">
        <v>2.13186933E-2</v>
      </c>
      <c r="AQ247">
        <v>2.12735119E-2</v>
      </c>
      <c r="AR247">
        <v>2.1227975E-2</v>
      </c>
      <c r="AS247">
        <v>2.1245706100000001E-2</v>
      </c>
      <c r="AT247">
        <v>2.1263197399999999E-2</v>
      </c>
      <c r="AU247">
        <v>2.1280203000000001E-2</v>
      </c>
      <c r="AV247">
        <v>2.1296807000000001E-2</v>
      </c>
      <c r="AW247">
        <v>2.13134637E-2</v>
      </c>
    </row>
    <row r="248" spans="2:49" x14ac:dyDescent="0.25">
      <c r="B248" t="s">
        <v>577</v>
      </c>
      <c r="C248">
        <v>5.1557022066405396E-3</v>
      </c>
      <c r="D248">
        <v>5.1557022066405396E-3</v>
      </c>
      <c r="E248">
        <v>5.1560971800000003E-3</v>
      </c>
      <c r="F248">
        <v>5.1473760400000002E-3</v>
      </c>
      <c r="G248">
        <v>5.1314729500000003E-3</v>
      </c>
      <c r="H248">
        <v>5.1303923399999996E-3</v>
      </c>
      <c r="I248">
        <v>5.1163480900000002E-3</v>
      </c>
      <c r="J248">
        <v>5.1020229100000002E-3</v>
      </c>
      <c r="K248">
        <v>5.0878803E-3</v>
      </c>
      <c r="L248">
        <v>5.07545359E-3</v>
      </c>
      <c r="M248">
        <v>5.0670645899999998E-3</v>
      </c>
      <c r="N248">
        <v>5.0588101799999997E-3</v>
      </c>
      <c r="O248">
        <v>5.8702164300000002E-3</v>
      </c>
      <c r="P248">
        <v>6.6691586799999996E-3</v>
      </c>
      <c r="Q248">
        <v>7.4550280499999996E-3</v>
      </c>
      <c r="R248">
        <v>8.2338701200000003E-3</v>
      </c>
      <c r="S248">
        <v>9.01848689E-3</v>
      </c>
      <c r="T248">
        <v>1.07278359E-2</v>
      </c>
      <c r="U248">
        <v>1.2473604900000001E-2</v>
      </c>
      <c r="V248">
        <v>1.42585916E-2</v>
      </c>
      <c r="W248">
        <v>1.12698599E-2</v>
      </c>
      <c r="X248">
        <v>8.4397600499999999E-3</v>
      </c>
      <c r="Y248">
        <v>8.5333783799999997E-3</v>
      </c>
      <c r="Z248">
        <v>8.6285245700000006E-3</v>
      </c>
      <c r="AA248">
        <v>8.7239891600000008E-3</v>
      </c>
      <c r="AB248">
        <v>8.8151508100000001E-3</v>
      </c>
      <c r="AC248">
        <v>8.9060825299999997E-3</v>
      </c>
      <c r="AD248">
        <v>8.8550233600000004E-3</v>
      </c>
      <c r="AE248">
        <v>8.8040974600000002E-3</v>
      </c>
      <c r="AF248">
        <v>8.7532042700000003E-3</v>
      </c>
      <c r="AG248">
        <v>8.7015796400000001E-3</v>
      </c>
      <c r="AH248">
        <v>8.6500933399999997E-3</v>
      </c>
      <c r="AI248">
        <v>8.6236039299999994E-3</v>
      </c>
      <c r="AJ248">
        <v>8.5969279600000004E-3</v>
      </c>
      <c r="AK248">
        <v>8.5701581299999999E-3</v>
      </c>
      <c r="AL248">
        <v>8.5431919799999999E-3</v>
      </c>
      <c r="AM248">
        <v>8.5162514200000008E-3</v>
      </c>
      <c r="AN248">
        <v>8.5075815999999995E-3</v>
      </c>
      <c r="AO248">
        <v>8.4987314000000008E-3</v>
      </c>
      <c r="AP248">
        <v>8.4897505400000003E-3</v>
      </c>
      <c r="AQ248">
        <v>8.4807057200000004E-3</v>
      </c>
      <c r="AR248">
        <v>8.4714974599999996E-3</v>
      </c>
      <c r="AS248">
        <v>8.4823971699999907E-3</v>
      </c>
      <c r="AT248">
        <v>8.4932100800000007E-3</v>
      </c>
      <c r="AU248">
        <v>8.5038377899999996E-3</v>
      </c>
      <c r="AV248">
        <v>8.5143137199999996E-3</v>
      </c>
      <c r="AW248">
        <v>8.5248192899999905E-3</v>
      </c>
    </row>
    <row r="249" spans="2:49" x14ac:dyDescent="0.25">
      <c r="B249" t="s">
        <v>578</v>
      </c>
      <c r="C249">
        <v>1.0311404413280999E-2</v>
      </c>
      <c r="D249">
        <v>1.0311404413280999E-2</v>
      </c>
      <c r="E249">
        <v>1.03121944E-2</v>
      </c>
      <c r="F249">
        <v>1.31893251E-2</v>
      </c>
      <c r="G249">
        <v>1.6845558E-2</v>
      </c>
      <c r="H249">
        <v>2.1577474700000002E-2</v>
      </c>
      <c r="I249">
        <v>2.7568732700000001E-2</v>
      </c>
      <c r="J249">
        <v>3.5221334200000003E-2</v>
      </c>
      <c r="K249">
        <v>4.4999425000000003E-2</v>
      </c>
      <c r="L249">
        <v>5.7511092999999999E-2</v>
      </c>
      <c r="M249">
        <v>7.3559688400000003E-2</v>
      </c>
      <c r="N249">
        <v>9.4088924700000007E-2</v>
      </c>
      <c r="O249">
        <v>8.7655222899999996E-2</v>
      </c>
      <c r="P249">
        <v>8.1107016300000001E-2</v>
      </c>
      <c r="Q249">
        <v>7.4507147300000007E-2</v>
      </c>
      <c r="R249">
        <v>6.7950542599999997E-2</v>
      </c>
      <c r="S249">
        <v>6.15275313E-2</v>
      </c>
      <c r="T249">
        <v>7.3985045400000005E-2</v>
      </c>
      <c r="U249">
        <v>8.6709042099999994E-2</v>
      </c>
      <c r="V249">
        <v>9.9719099500000005E-2</v>
      </c>
      <c r="W249">
        <v>8.66702798E-2</v>
      </c>
      <c r="X249">
        <v>7.4321896400000004E-2</v>
      </c>
      <c r="Y249">
        <v>7.8143959099999896E-2</v>
      </c>
      <c r="Z249">
        <v>8.19838544E-2</v>
      </c>
      <c r="AA249">
        <v>8.5831126199999996E-2</v>
      </c>
      <c r="AB249">
        <v>8.9835637699999998E-2</v>
      </c>
      <c r="AC249">
        <v>9.3839778700000001E-2</v>
      </c>
      <c r="AD249">
        <v>9.6615964999999998E-2</v>
      </c>
      <c r="AE249">
        <v>9.9371884899999999E-2</v>
      </c>
      <c r="AF249">
        <v>0.1021063527</v>
      </c>
      <c r="AG249">
        <v>0.1049521786</v>
      </c>
      <c r="AH249">
        <v>0.10777598870000001</v>
      </c>
      <c r="AI249">
        <v>0.1093801353</v>
      </c>
      <c r="AJ249">
        <v>0.11097254719999999</v>
      </c>
      <c r="AK249">
        <v>0.1125542974</v>
      </c>
      <c r="AL249">
        <v>0.1141817153</v>
      </c>
      <c r="AM249">
        <v>0.1157996604</v>
      </c>
      <c r="AN249">
        <v>0.1175293065</v>
      </c>
      <c r="AO249">
        <v>0.119252158</v>
      </c>
      <c r="AP249">
        <v>0.1209688077</v>
      </c>
      <c r="AQ249">
        <v>0.12268013699999999</v>
      </c>
      <c r="AR249">
        <v>0.1243846455</v>
      </c>
      <c r="AS249">
        <v>0.127139382</v>
      </c>
      <c r="AT249">
        <v>0.12989888080000001</v>
      </c>
      <c r="AU249">
        <v>0.132661525</v>
      </c>
      <c r="AV249">
        <v>0.1354276744</v>
      </c>
      <c r="AW249">
        <v>0.1382001289</v>
      </c>
    </row>
    <row r="250" spans="2:49" x14ac:dyDescent="0.25">
      <c r="B250" t="s">
        <v>579</v>
      </c>
      <c r="C250">
        <v>0.99132434052165697</v>
      </c>
      <c r="D250">
        <v>0.99132434052165697</v>
      </c>
      <c r="E250">
        <v>0.99172610110000003</v>
      </c>
      <c r="F250">
        <v>0.98765502360000001</v>
      </c>
      <c r="G250">
        <v>0.98360065809999997</v>
      </c>
      <c r="H250">
        <v>0.97956293589999999</v>
      </c>
      <c r="I250">
        <v>0.97554178869999997</v>
      </c>
      <c r="J250">
        <v>0.97153714849999995</v>
      </c>
      <c r="K250">
        <v>0.96754894749999998</v>
      </c>
      <c r="L250">
        <v>0.96357711820000003</v>
      </c>
      <c r="M250">
        <v>0.95962159349999998</v>
      </c>
      <c r="N250">
        <v>0.95568230639999996</v>
      </c>
      <c r="O250">
        <v>0.95496918220000004</v>
      </c>
      <c r="P250">
        <v>0.95421073860000005</v>
      </c>
      <c r="Q250">
        <v>0.95340251369999995</v>
      </c>
      <c r="R250">
        <v>0.95253944010000002</v>
      </c>
      <c r="S250">
        <v>0.95161573820000001</v>
      </c>
      <c r="T250">
        <v>0.94906485620000003</v>
      </c>
      <c r="U250">
        <v>0.94659676530000003</v>
      </c>
      <c r="V250">
        <v>0.94420749940000004</v>
      </c>
      <c r="W250">
        <v>0.94173000809999996</v>
      </c>
      <c r="X250">
        <v>0.93914802249999996</v>
      </c>
      <c r="Y250">
        <v>0.93915106670000004</v>
      </c>
      <c r="Z250">
        <v>0.93915429120000005</v>
      </c>
      <c r="AA250">
        <v>0.93915771260000003</v>
      </c>
      <c r="AB250">
        <v>0.93914282400000004</v>
      </c>
      <c r="AC250">
        <v>0.93912696520000005</v>
      </c>
      <c r="AD250">
        <v>0.93917792330000005</v>
      </c>
      <c r="AE250">
        <v>0.93923165669999997</v>
      </c>
      <c r="AF250">
        <v>0.9392883984</v>
      </c>
      <c r="AG250">
        <v>0.93933993189999998</v>
      </c>
      <c r="AH250">
        <v>0.93939452649999999</v>
      </c>
      <c r="AI250">
        <v>0.93936840190000004</v>
      </c>
      <c r="AJ250">
        <v>0.93934093090000004</v>
      </c>
      <c r="AK250">
        <v>0.93931200660000003</v>
      </c>
      <c r="AL250">
        <v>0.93929188559999999</v>
      </c>
      <c r="AM250">
        <v>0.93927064110000003</v>
      </c>
      <c r="AN250">
        <v>0.93905184689999999</v>
      </c>
      <c r="AO250">
        <v>0.93882460950000002</v>
      </c>
      <c r="AP250">
        <v>0.93858843049999996</v>
      </c>
      <c r="AQ250">
        <v>0.93834277150000001</v>
      </c>
      <c r="AR250">
        <v>0.93808705020000005</v>
      </c>
      <c r="AS250">
        <v>0.93778548299999998</v>
      </c>
      <c r="AT250">
        <v>0.93747725920000002</v>
      </c>
      <c r="AU250">
        <v>0.93716215570000005</v>
      </c>
      <c r="AV250">
        <v>0.93683993970000001</v>
      </c>
      <c r="AW250">
        <v>0.93651036759999995</v>
      </c>
    </row>
    <row r="251" spans="2:49" x14ac:dyDescent="0.25">
      <c r="B251" s="23" t="s">
        <v>331</v>
      </c>
      <c r="C251">
        <v>0.91950930808135101</v>
      </c>
      <c r="D251">
        <v>0.91950930808135101</v>
      </c>
      <c r="E251">
        <v>0.91950930809999998</v>
      </c>
      <c r="F251">
        <v>0.91950930809999998</v>
      </c>
      <c r="G251">
        <v>0.91950930809999998</v>
      </c>
      <c r="H251">
        <v>0.91950930809999998</v>
      </c>
      <c r="I251">
        <v>0.91950930809999998</v>
      </c>
      <c r="J251">
        <v>0.91950930809999998</v>
      </c>
      <c r="K251">
        <v>0.91950930809999998</v>
      </c>
      <c r="L251">
        <v>0.91950930809999998</v>
      </c>
      <c r="M251">
        <v>0.91950930809999998</v>
      </c>
      <c r="N251">
        <v>0.91950930809999998</v>
      </c>
      <c r="O251">
        <v>0.91950930809999998</v>
      </c>
      <c r="P251">
        <v>0.91950930809999998</v>
      </c>
      <c r="Q251">
        <v>0.91950930809999998</v>
      </c>
      <c r="R251">
        <v>0.91950930809999998</v>
      </c>
      <c r="S251">
        <v>0.91950930809999998</v>
      </c>
      <c r="T251">
        <v>0.91950930809999998</v>
      </c>
      <c r="U251">
        <v>0.91950930809999998</v>
      </c>
      <c r="V251">
        <v>0.91950930809999998</v>
      </c>
      <c r="W251">
        <v>0.91950930809999998</v>
      </c>
      <c r="X251">
        <v>0.91950930809999998</v>
      </c>
      <c r="Y251">
        <v>0.91950930809999998</v>
      </c>
      <c r="Z251">
        <v>0.91950930809999998</v>
      </c>
      <c r="AA251">
        <v>0.91950930809999998</v>
      </c>
      <c r="AB251">
        <v>0.91950930809999998</v>
      </c>
      <c r="AC251">
        <v>0.91950930809999998</v>
      </c>
      <c r="AD251">
        <v>0.91950930809999998</v>
      </c>
      <c r="AE251">
        <v>0.91950930809999998</v>
      </c>
      <c r="AF251">
        <v>0.91950930809999998</v>
      </c>
      <c r="AG251">
        <v>0.91950930809999998</v>
      </c>
      <c r="AH251">
        <v>0.91950930809999998</v>
      </c>
      <c r="AI251">
        <v>0.91950930809999998</v>
      </c>
      <c r="AJ251">
        <v>0.91950930809999998</v>
      </c>
      <c r="AK251">
        <v>0.91950930809999998</v>
      </c>
      <c r="AL251">
        <v>0.91950930809999998</v>
      </c>
      <c r="AM251">
        <v>0.91950930809999998</v>
      </c>
      <c r="AN251">
        <v>0.91950930809999998</v>
      </c>
      <c r="AO251">
        <v>0.91950930809999998</v>
      </c>
      <c r="AP251">
        <v>0.91950930809999998</v>
      </c>
      <c r="AQ251">
        <v>0.91950930809999998</v>
      </c>
      <c r="AR251">
        <v>0.91950930809999998</v>
      </c>
      <c r="AS251">
        <v>0.91950930809999998</v>
      </c>
      <c r="AT251">
        <v>0.91950930809999998</v>
      </c>
      <c r="AU251">
        <v>0.91950930809999998</v>
      </c>
      <c r="AV251">
        <v>0.91950930809999998</v>
      </c>
      <c r="AW251">
        <v>0.91950930809999998</v>
      </c>
    </row>
    <row r="252" spans="2:49" x14ac:dyDescent="0.25">
      <c r="B252" t="s">
        <v>282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283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284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285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286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287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288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289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290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291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292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293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294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296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297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298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299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300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301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302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303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304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305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306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307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308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309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310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311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312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313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314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315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316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317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318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319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320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321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322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323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324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325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326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327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328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329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330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5" t="s">
        <v>243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6" t="s">
        <v>227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4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8">
        <v>4</v>
      </c>
      <c r="F5" s="238">
        <f>E5+9</f>
        <v>13</v>
      </c>
      <c r="G5" s="238">
        <f>F5+3</f>
        <v>16</v>
      </c>
      <c r="H5" s="238">
        <f t="shared" ref="H5:S5" si="0">G5+1</f>
        <v>17</v>
      </c>
      <c r="I5" s="238">
        <f t="shared" si="0"/>
        <v>18</v>
      </c>
      <c r="J5" s="238">
        <f t="shared" si="0"/>
        <v>19</v>
      </c>
      <c r="K5" s="238">
        <f t="shared" si="0"/>
        <v>20</v>
      </c>
      <c r="L5" s="238">
        <f t="shared" si="0"/>
        <v>21</v>
      </c>
      <c r="M5" s="238">
        <f t="shared" si="0"/>
        <v>22</v>
      </c>
      <c r="N5" s="238">
        <f t="shared" si="0"/>
        <v>23</v>
      </c>
      <c r="O5" s="238">
        <f t="shared" si="0"/>
        <v>24</v>
      </c>
      <c r="P5" s="238">
        <f t="shared" si="0"/>
        <v>25</v>
      </c>
      <c r="Q5" s="238">
        <f t="shared" si="0"/>
        <v>26</v>
      </c>
      <c r="R5" s="238">
        <f t="shared" si="0"/>
        <v>27</v>
      </c>
      <c r="S5" s="238">
        <f t="shared" si="0"/>
        <v>28</v>
      </c>
      <c r="T5" s="238">
        <f>S5+5</f>
        <v>33</v>
      </c>
      <c r="U5" s="238">
        <f>T5+5</f>
        <v>38</v>
      </c>
      <c r="V5" s="238">
        <f>U5+5</f>
        <v>43</v>
      </c>
      <c r="W5" s="238">
        <f>V5+5</f>
        <v>48</v>
      </c>
      <c r="X5" s="3"/>
    </row>
    <row r="6" spans="1:29" x14ac:dyDescent="0.25">
      <c r="A6" s="3"/>
      <c r="B6" s="205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236</v>
      </c>
      <c r="AA6" s="51"/>
      <c r="AB6" s="51"/>
      <c r="AC6" s="53"/>
    </row>
    <row r="7" spans="1:29" ht="15" customHeight="1" x14ac:dyDescent="0.25">
      <c r="A7" s="3"/>
      <c r="B7" s="272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8"/>
      <c r="AA7" s="209">
        <v>2020</v>
      </c>
      <c r="AB7" s="209">
        <v>2030</v>
      </c>
      <c r="AC7" s="210">
        <v>2050</v>
      </c>
    </row>
    <row r="8" spans="1:29" x14ac:dyDescent="0.25">
      <c r="A8" s="3"/>
      <c r="B8" s="273"/>
      <c r="C8" s="3" t="s">
        <v>2</v>
      </c>
      <c r="D8" s="18" t="s">
        <v>136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3" t="s">
        <v>178</v>
      </c>
      <c r="AA8" s="215" t="e">
        <f>I27</f>
        <v>#N/A</v>
      </c>
      <c r="AB8" s="215" t="e">
        <f>S27</f>
        <v>#N/A</v>
      </c>
      <c r="AC8" s="216" t="e">
        <f>W27</f>
        <v>#N/A</v>
      </c>
    </row>
    <row r="9" spans="1:29" x14ac:dyDescent="0.25">
      <c r="A9" s="3"/>
      <c r="B9" s="274"/>
      <c r="C9" s="7" t="s">
        <v>3</v>
      </c>
      <c r="D9" s="18" t="s">
        <v>137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2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3"/>
      <c r="C11" s="3" t="s">
        <v>5</v>
      </c>
      <c r="D11" s="3" t="s">
        <v>138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3"/>
      <c r="C12" s="3" t="s">
        <v>6</v>
      </c>
      <c r="D12" s="3" t="s">
        <v>139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7"/>
      <c r="AA12" s="218"/>
      <c r="AB12" s="218"/>
      <c r="AC12" s="218"/>
    </row>
    <row r="13" spans="1:29" x14ac:dyDescent="0.25">
      <c r="A13" s="3"/>
      <c r="B13" s="273"/>
      <c r="C13" s="3" t="s">
        <v>7</v>
      </c>
      <c r="D13" s="3" t="s">
        <v>140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3"/>
      <c r="C14" s="3" t="s">
        <v>8</v>
      </c>
      <c r="D14" s="3" t="s">
        <v>141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3"/>
      <c r="C15" s="3" t="s">
        <v>9</v>
      </c>
      <c r="D15" s="3" t="s">
        <v>142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3"/>
      <c r="C16" s="3" t="s">
        <v>10</v>
      </c>
      <c r="D16" s="3" t="s">
        <v>143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3"/>
      <c r="C17" s="3" t="s">
        <v>11</v>
      </c>
      <c r="D17" s="3" t="s">
        <v>144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4"/>
      <c r="C18" s="7" t="s">
        <v>12</v>
      </c>
      <c r="D18" s="3" t="s">
        <v>145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2" t="s">
        <v>163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3"/>
      <c r="C20" s="3" t="s">
        <v>13</v>
      </c>
      <c r="D20" s="3" t="s">
        <v>146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3"/>
      <c r="C21" s="3" t="s">
        <v>14</v>
      </c>
      <c r="D21" s="3" t="s">
        <v>147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3"/>
      <c r="C22" s="3" t="s">
        <v>15</v>
      </c>
      <c r="D22" s="3" t="s">
        <v>148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3"/>
      <c r="C23" s="3" t="s">
        <v>16</v>
      </c>
      <c r="D23" s="3" t="s">
        <v>149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3"/>
      <c r="C24" s="3" t="s">
        <v>17</v>
      </c>
      <c r="D24" s="3" t="s">
        <v>150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4"/>
      <c r="C25" s="7" t="s">
        <v>12</v>
      </c>
      <c r="D25" s="3" t="s">
        <v>151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7" t="s">
        <v>8</v>
      </c>
      <c r="C26" s="2"/>
      <c r="D26" s="17" t="s">
        <v>152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6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6" t="s">
        <v>228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4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237</v>
      </c>
      <c r="AA31" s="51"/>
      <c r="AB31" s="51"/>
      <c r="AC31" s="53"/>
      <c r="AE31" s="51" t="s">
        <v>240</v>
      </c>
      <c r="AF31" s="51"/>
      <c r="AG31" s="51"/>
      <c r="AH31" s="53"/>
      <c r="AJ31" s="51" t="s">
        <v>241</v>
      </c>
      <c r="AK31" s="51"/>
      <c r="AL31" s="51"/>
      <c r="AM31" s="53"/>
    </row>
    <row r="32" spans="1:39" x14ac:dyDescent="0.25">
      <c r="A32" s="3"/>
      <c r="B32" s="205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8"/>
      <c r="AA32" s="209">
        <v>2020</v>
      </c>
      <c r="AB32" s="209">
        <v>2030</v>
      </c>
      <c r="AC32" s="210">
        <v>2050</v>
      </c>
      <c r="AE32" s="208"/>
      <c r="AF32" s="209">
        <v>2020</v>
      </c>
      <c r="AG32" s="209">
        <v>2030</v>
      </c>
      <c r="AH32" s="210">
        <v>2050</v>
      </c>
      <c r="AJ32" s="208"/>
      <c r="AK32" s="209">
        <v>2020</v>
      </c>
      <c r="AL32" s="209">
        <v>2030</v>
      </c>
      <c r="AM32" s="210">
        <v>2050</v>
      </c>
    </row>
    <row r="33" spans="1:39" x14ac:dyDescent="0.25">
      <c r="A33" s="3"/>
      <c r="B33" s="272" t="s">
        <v>0</v>
      </c>
      <c r="C33" s="5" t="s">
        <v>1</v>
      </c>
      <c r="D33" s="2" t="s">
        <v>113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1" t="s">
        <v>42</v>
      </c>
      <c r="AA33" s="220" t="e">
        <f>(I38+I40)/I36</f>
        <v>#N/A</v>
      </c>
      <c r="AB33" s="220" t="e">
        <f>(S38+S40)/S36</f>
        <v>#N/A</v>
      </c>
      <c r="AC33" s="221" t="e">
        <f>(W38+W40)/W36</f>
        <v>#N/A</v>
      </c>
      <c r="AE33" s="211" t="s">
        <v>242</v>
      </c>
      <c r="AF33" s="220" t="e">
        <f>I34/I33</f>
        <v>#N/A</v>
      </c>
      <c r="AG33" s="220" t="e">
        <f>S34/S33</f>
        <v>#N/A</v>
      </c>
      <c r="AH33" s="221" t="e">
        <f>W34/W33</f>
        <v>#N/A</v>
      </c>
      <c r="AJ33" s="211" t="s">
        <v>176</v>
      </c>
      <c r="AK33" s="220" t="e">
        <f>I46/(I46+I48)</f>
        <v>#N/A</v>
      </c>
      <c r="AL33" s="220" t="e">
        <f>S46/(S46+S48)</f>
        <v>#N/A</v>
      </c>
      <c r="AM33" s="221" t="e">
        <f>W46/(W46+W48)</f>
        <v>#N/A</v>
      </c>
    </row>
    <row r="34" spans="1:39" x14ac:dyDescent="0.25">
      <c r="A34" s="3"/>
      <c r="B34" s="273"/>
      <c r="C34" s="3" t="s">
        <v>2</v>
      </c>
      <c r="D34" s="18" t="s">
        <v>128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1" t="s">
        <v>171</v>
      </c>
      <c r="AA34" s="220" t="e">
        <f>I37/I36</f>
        <v>#N/A</v>
      </c>
      <c r="AB34" s="220" t="e">
        <f>S37/S36</f>
        <v>#N/A</v>
      </c>
      <c r="AC34" s="221" t="e">
        <f>W37/W36</f>
        <v>#N/A</v>
      </c>
      <c r="AE34" s="213" t="s">
        <v>175</v>
      </c>
      <c r="AF34" s="222" t="e">
        <f>I35/I33</f>
        <v>#N/A</v>
      </c>
      <c r="AG34" s="222" t="e">
        <f>S35/S33</f>
        <v>#N/A</v>
      </c>
      <c r="AH34" s="223" t="e">
        <f>W35/W33</f>
        <v>#N/A</v>
      </c>
      <c r="AJ34" s="213" t="s">
        <v>177</v>
      </c>
      <c r="AK34" s="222" t="e">
        <f>I48/(I46+I48)</f>
        <v>#N/A</v>
      </c>
      <c r="AL34" s="222" t="e">
        <f>S48/(S46+S48)</f>
        <v>#N/A</v>
      </c>
      <c r="AM34" s="223" t="e">
        <f>W48/(W46+W48)</f>
        <v>#N/A</v>
      </c>
    </row>
    <row r="35" spans="1:39" x14ac:dyDescent="0.25">
      <c r="A35" s="3"/>
      <c r="B35" s="274"/>
      <c r="C35" s="7" t="s">
        <v>3</v>
      </c>
      <c r="D35" s="3" t="s">
        <v>129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1" t="s">
        <v>239</v>
      </c>
      <c r="AA35" s="220" t="e">
        <f>I43/I36</f>
        <v>#N/A</v>
      </c>
      <c r="AB35" s="220" t="e">
        <f>S43/S36</f>
        <v>#N/A</v>
      </c>
      <c r="AC35" s="221" t="e">
        <f>W43/W36</f>
        <v>#N/A</v>
      </c>
      <c r="AE35" s="219" t="s">
        <v>238</v>
      </c>
      <c r="AF35" s="224" t="e">
        <f>SUM(AF33:AF34)</f>
        <v>#N/A</v>
      </c>
      <c r="AG35" s="224" t="e">
        <f t="shared" ref="AG35:AH35" si="6">SUM(AG33:AG34)</f>
        <v>#N/A</v>
      </c>
      <c r="AH35" s="224" t="e">
        <f t="shared" si="6"/>
        <v>#N/A</v>
      </c>
      <c r="AJ35" s="219" t="s">
        <v>238</v>
      </c>
      <c r="AK35" s="224" t="e">
        <f>SUM(AK33:AK34)</f>
        <v>#N/A</v>
      </c>
      <c r="AL35" s="224" t="e">
        <f t="shared" ref="AL35" si="7">SUM(AL33:AL34)</f>
        <v>#N/A</v>
      </c>
      <c r="AM35" s="224" t="e">
        <f t="shared" ref="AM35" si="8">SUM(AM33:AM34)</f>
        <v>#N/A</v>
      </c>
    </row>
    <row r="36" spans="1:39" x14ac:dyDescent="0.25">
      <c r="A36" s="3"/>
      <c r="B36" s="272" t="s">
        <v>4</v>
      </c>
      <c r="C36" s="5" t="s">
        <v>1</v>
      </c>
      <c r="D36" s="2" t="s">
        <v>114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1" t="s">
        <v>172</v>
      </c>
      <c r="AA36" s="220" t="e">
        <f>I42/I36</f>
        <v>#N/A</v>
      </c>
      <c r="AB36" s="220" t="e">
        <f>S42/S36</f>
        <v>#N/A</v>
      </c>
      <c r="AC36" s="221" t="e">
        <f>W42/W36</f>
        <v>#N/A</v>
      </c>
    </row>
    <row r="37" spans="1:39" x14ac:dyDescent="0.25">
      <c r="A37" s="3"/>
      <c r="B37" s="273"/>
      <c r="C37" s="3" t="s">
        <v>5</v>
      </c>
      <c r="D37" s="3" t="s">
        <v>120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1" t="s">
        <v>173</v>
      </c>
      <c r="AA37" s="220" t="e">
        <f>I41/I36</f>
        <v>#N/A</v>
      </c>
      <c r="AB37" s="220" t="e">
        <f>S41/S36</f>
        <v>#N/A</v>
      </c>
      <c r="AC37" s="221" t="e">
        <f>W41/W36</f>
        <v>#N/A</v>
      </c>
    </row>
    <row r="38" spans="1:39" x14ac:dyDescent="0.25">
      <c r="A38" s="3"/>
      <c r="B38" s="273"/>
      <c r="C38" s="3" t="s">
        <v>6</v>
      </c>
      <c r="D38" s="3" t="s">
        <v>121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3" t="s">
        <v>174</v>
      </c>
      <c r="AA38" s="222" t="e">
        <f>(I39+I44)/I36</f>
        <v>#N/A</v>
      </c>
      <c r="AB38" s="222" t="e">
        <f>(S39+S44)/S36</f>
        <v>#N/A</v>
      </c>
      <c r="AC38" s="223" t="e">
        <f>(W39+W44)/W36</f>
        <v>#N/A</v>
      </c>
    </row>
    <row r="39" spans="1:39" x14ac:dyDescent="0.25">
      <c r="A39" s="3"/>
      <c r="B39" s="273"/>
      <c r="C39" s="3" t="s">
        <v>7</v>
      </c>
      <c r="D39" s="3" t="s">
        <v>122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9" t="s">
        <v>238</v>
      </c>
      <c r="AA39" s="224" t="e">
        <f>SUM(AA33:AA38)</f>
        <v>#N/A</v>
      </c>
      <c r="AB39" s="224" t="e">
        <f t="shared" ref="AB39:AC39" si="10">SUM(AB33:AB38)</f>
        <v>#N/A</v>
      </c>
      <c r="AC39" s="224" t="e">
        <f t="shared" si="10"/>
        <v>#N/A</v>
      </c>
      <c r="AJ39" s="219"/>
      <c r="AK39" s="224"/>
      <c r="AL39" s="224"/>
      <c r="AM39" s="224"/>
    </row>
    <row r="40" spans="1:39" x14ac:dyDescent="0.25">
      <c r="A40" s="3"/>
      <c r="B40" s="273"/>
      <c r="C40" s="3" t="s">
        <v>8</v>
      </c>
      <c r="D40" s="3" t="s">
        <v>123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3"/>
      <c r="C41" s="3" t="s">
        <v>9</v>
      </c>
      <c r="D41" s="3" t="s">
        <v>124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3"/>
      <c r="C42" s="3" t="s">
        <v>10</v>
      </c>
      <c r="D42" s="3" t="s">
        <v>125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3"/>
      <c r="C43" s="3" t="s">
        <v>11</v>
      </c>
      <c r="D43" s="3" t="s">
        <v>126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4"/>
      <c r="C44" s="7" t="s">
        <v>12</v>
      </c>
      <c r="D44" s="3" t="s">
        <v>127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2" t="s">
        <v>163</v>
      </c>
      <c r="C45" s="5" t="s">
        <v>1</v>
      </c>
      <c r="D45" s="2" t="s">
        <v>115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3"/>
      <c r="C46" s="3" t="s">
        <v>13</v>
      </c>
      <c r="D46" s="3" t="s">
        <v>130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3"/>
      <c r="C47" s="3" t="s">
        <v>14</v>
      </c>
      <c r="D47" s="3" t="s">
        <v>131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3"/>
      <c r="C48" s="3" t="s">
        <v>15</v>
      </c>
      <c r="D48" s="3" t="s">
        <v>132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3"/>
      <c r="C49" s="3" t="s">
        <v>16</v>
      </c>
      <c r="D49" s="3" t="s">
        <v>133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3"/>
      <c r="C50" s="3" t="s">
        <v>17</v>
      </c>
      <c r="D50" s="3" t="s">
        <v>134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4"/>
      <c r="C51" s="7" t="s">
        <v>12</v>
      </c>
      <c r="D51" s="3" t="s">
        <v>135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7" t="s">
        <v>8</v>
      </c>
      <c r="C52" s="2"/>
      <c r="D52" s="17" t="s">
        <v>116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6" t="s">
        <v>1</v>
      </c>
      <c r="C53" s="2"/>
      <c r="D53" s="2" t="s">
        <v>117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abSelected="1" topLeftCell="A109" zoomScale="77" zoomScaleNormal="77" workbookViewId="0">
      <selection activeCell="L118" sqref="L118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5" t="s">
        <v>244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228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4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229</v>
      </c>
      <c r="I7" s="3"/>
      <c r="J7" s="3"/>
      <c r="K7" s="3"/>
      <c r="L7" s="3"/>
      <c r="M7" s="3"/>
      <c r="N7" s="65" t="s">
        <v>230</v>
      </c>
      <c r="O7" s="3"/>
      <c r="P7" s="3"/>
      <c r="Q7" s="3"/>
      <c r="R7" s="3"/>
      <c r="S7" s="3"/>
      <c r="U7" s="65" t="s">
        <v>229</v>
      </c>
      <c r="AA7" s="3"/>
      <c r="AB7" s="3"/>
      <c r="AC7" s="3"/>
      <c r="AD7" s="3"/>
    </row>
    <row r="8" spans="1:30" ht="23.25" x14ac:dyDescent="0.35">
      <c r="B8" s="70"/>
      <c r="C8" s="66" t="s">
        <v>160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231</v>
      </c>
      <c r="U8" s="66" t="s">
        <v>160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4">
        <v>2015</v>
      </c>
      <c r="D10" s="175"/>
      <c r="E10" s="175"/>
      <c r="F10" s="175"/>
      <c r="G10" s="175"/>
      <c r="H10" s="101" t="s">
        <v>36</v>
      </c>
      <c r="I10" s="101" t="s">
        <v>159</v>
      </c>
      <c r="J10" s="101" t="s">
        <v>38</v>
      </c>
      <c r="K10" s="101" t="s">
        <v>158</v>
      </c>
      <c r="L10" s="118" t="s">
        <v>1</v>
      </c>
      <c r="M10" s="25"/>
      <c r="N10" s="174">
        <v>2015</v>
      </c>
      <c r="O10" s="170" t="s">
        <v>36</v>
      </c>
      <c r="P10" s="101" t="s">
        <v>159</v>
      </c>
      <c r="Q10" s="101" t="s">
        <v>38</v>
      </c>
      <c r="R10" s="101" t="s">
        <v>158</v>
      </c>
      <c r="S10" s="118" t="s">
        <v>1</v>
      </c>
      <c r="U10" s="174">
        <v>2015</v>
      </c>
      <c r="V10" s="175"/>
      <c r="W10" s="175"/>
      <c r="X10" s="175"/>
      <c r="Y10" s="175"/>
      <c r="Z10" s="101" t="s">
        <v>36</v>
      </c>
      <c r="AA10" s="101" t="s">
        <v>159</v>
      </c>
      <c r="AB10" s="101" t="s">
        <v>38</v>
      </c>
      <c r="AC10" s="101" t="s">
        <v>158</v>
      </c>
      <c r="AD10" s="118" t="s">
        <v>1</v>
      </c>
    </row>
    <row r="11" spans="1:30" x14ac:dyDescent="0.25">
      <c r="C11" s="176" t="s">
        <v>18</v>
      </c>
      <c r="H11" s="8">
        <f>SUM(H12:H13)</f>
        <v>0</v>
      </c>
      <c r="I11" s="8">
        <f>SUM(I12:I13)</f>
        <v>43.296715939999999</v>
      </c>
      <c r="J11" s="8">
        <f>SUM(J12:J13)</f>
        <v>1.2190163543999999</v>
      </c>
      <c r="K11" s="8">
        <f>SUM(K12:K13)</f>
        <v>0.24408603343621002</v>
      </c>
      <c r="L11" s="121">
        <f>SUM(H11:K11)</f>
        <v>44.759818327836207</v>
      </c>
      <c r="M11" s="99"/>
      <c r="N11" s="179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1">
        <f>SUM(O11:R11)</f>
        <v>43.76608279974559</v>
      </c>
      <c r="U11" s="176" t="s">
        <v>18</v>
      </c>
      <c r="Z11" s="8">
        <v>0</v>
      </c>
      <c r="AA11" s="8">
        <v>43.655444759999995</v>
      </c>
      <c r="AB11" s="8">
        <v>1.3708612775</v>
      </c>
      <c r="AC11" s="8">
        <v>0.26944764454513997</v>
      </c>
      <c r="AD11" s="121">
        <v>45.295753682045131</v>
      </c>
    </row>
    <row r="12" spans="1:30" x14ac:dyDescent="0.25">
      <c r="C12" s="177" t="s">
        <v>19</v>
      </c>
      <c r="D12" t="s">
        <v>580</v>
      </c>
      <c r="E12" t="s">
        <v>581</v>
      </c>
      <c r="F12" t="s">
        <v>582</v>
      </c>
      <c r="G12" t="s">
        <v>583</v>
      </c>
      <c r="H12" s="19">
        <f>VLOOKUP(D12,Résultats!$B$2:$AX$476,'T energie vecteurs'!F5,FALSE)</f>
        <v>0</v>
      </c>
      <c r="I12" s="19">
        <f>VLOOKUP(E12,Résultats!$B$2:$AX$476,'T energie vecteurs'!F5,FALSE)</f>
        <v>24.25561944</v>
      </c>
      <c r="J12" s="19">
        <f>VLOOKUP(F12,Résultats!$B$2:$AX$476,'T energie vecteurs'!F5,FALSE)</f>
        <v>2.90133404E-2</v>
      </c>
      <c r="K12" s="19">
        <f>VLOOKUP(G12,Résultats!$B$2:$AX$476,'T energie vecteurs'!F5,FALSE)</f>
        <v>9.1395362099999892E-6</v>
      </c>
      <c r="L12" s="120">
        <f t="shared" ref="L12:L20" si="0">SUM(H12:K12)</f>
        <v>24.28464191993621</v>
      </c>
      <c r="M12" s="19"/>
      <c r="N12" s="177" t="s">
        <v>19</v>
      </c>
      <c r="O12" s="172"/>
      <c r="P12" s="19"/>
      <c r="Q12" s="55"/>
      <c r="R12" s="19"/>
      <c r="S12" s="120"/>
      <c r="U12" s="177" t="s">
        <v>19</v>
      </c>
      <c r="V12" t="s">
        <v>89</v>
      </c>
      <c r="W12" t="s">
        <v>90</v>
      </c>
      <c r="X12" t="s">
        <v>91</v>
      </c>
      <c r="Y12" t="s">
        <v>92</v>
      </c>
      <c r="Z12" s="19">
        <v>0</v>
      </c>
      <c r="AA12" s="19">
        <v>24.375674969999999</v>
      </c>
      <c r="AB12" s="19">
        <v>2.8638346499999998E-2</v>
      </c>
      <c r="AC12" s="19">
        <v>6.2334451400000002E-6</v>
      </c>
      <c r="AD12" s="120">
        <v>24.404319549945139</v>
      </c>
    </row>
    <row r="13" spans="1:30" x14ac:dyDescent="0.25">
      <c r="C13" s="178" t="s">
        <v>20</v>
      </c>
      <c r="D13" t="s">
        <v>584</v>
      </c>
      <c r="E13" t="s">
        <v>585</v>
      </c>
      <c r="F13" t="s">
        <v>586</v>
      </c>
      <c r="G13" t="s">
        <v>587</v>
      </c>
      <c r="H13" s="19">
        <f>VLOOKUP(D13,Résultats!$B$2:$AX$476,'T energie vecteurs'!F5,FALSE)</f>
        <v>0</v>
      </c>
      <c r="I13" s="19">
        <f>VLOOKUP(E13,Résultats!$B$2:$AX$476,'T energie vecteurs'!F5,FALSE)</f>
        <v>19.041096499999998</v>
      </c>
      <c r="J13" s="19">
        <f>VLOOKUP(F13,Résultats!$B$2:$AX$476,'T energie vecteurs'!F5,FALSE)</f>
        <v>1.190003014</v>
      </c>
      <c r="K13" s="19">
        <f>VLOOKUP(G13,Résultats!$B$2:$AX$476,'T energie vecteurs'!F5,FALSE)</f>
        <v>0.24407689390000001</v>
      </c>
      <c r="L13" s="120">
        <f t="shared" si="0"/>
        <v>20.475176407899998</v>
      </c>
      <c r="M13" s="19"/>
      <c r="N13" s="178" t="s">
        <v>20</v>
      </c>
      <c r="O13" s="172"/>
      <c r="P13" s="19"/>
      <c r="Q13" s="55"/>
      <c r="R13" s="19"/>
      <c r="S13" s="120"/>
      <c r="U13" s="178" t="s">
        <v>20</v>
      </c>
      <c r="V13" t="s">
        <v>93</v>
      </c>
      <c r="W13" t="s">
        <v>94</v>
      </c>
      <c r="X13" t="s">
        <v>95</v>
      </c>
      <c r="Y13" t="s">
        <v>96</v>
      </c>
      <c r="Z13" s="19">
        <v>0</v>
      </c>
      <c r="AA13" s="19">
        <v>19.27976979</v>
      </c>
      <c r="AB13" s="19">
        <v>1.342222931</v>
      </c>
      <c r="AC13" s="19">
        <v>0.26944141109999997</v>
      </c>
      <c r="AD13" s="120">
        <v>20.891434132099999</v>
      </c>
    </row>
    <row r="14" spans="1:30" x14ac:dyDescent="0.25">
      <c r="C14" s="176" t="s">
        <v>21</v>
      </c>
      <c r="D14" t="s">
        <v>588</v>
      </c>
      <c r="E14" t="s">
        <v>589</v>
      </c>
      <c r="F14" t="s">
        <v>590</v>
      </c>
      <c r="G14" t="s">
        <v>591</v>
      </c>
      <c r="H14" s="8">
        <f>VLOOKUP(D14,Résultats!$B$2:$AX$476,'T energie vecteurs'!F5,FALSE)</f>
        <v>0.33699222420000002</v>
      </c>
      <c r="I14" s="8">
        <f>VLOOKUP(E14,Résultats!$B$2:$AX$476,'T energie vecteurs'!F5,FALSE)</f>
        <v>7.1888095700000001</v>
      </c>
      <c r="J14" s="8">
        <f>VLOOKUP(F14,Résultats!$B$2:$AX$476,'T energie vecteurs'!F5,FALSE)</f>
        <v>13.80657761</v>
      </c>
      <c r="K14" s="8">
        <f>VLOOKUP(G14,Résultats!$B$2:$AX$476,'T energie vecteurs'!F5,FALSE)+5</f>
        <v>23.35437817</v>
      </c>
      <c r="L14" s="121">
        <f>SUM(H14:K14)</f>
        <v>44.686757574200001</v>
      </c>
      <c r="M14" s="99"/>
      <c r="N14" s="179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1">
        <f t="shared" ref="S14:S19" si="1">SUM(O14:R14)</f>
        <v>42.165290372129348</v>
      </c>
      <c r="U14" s="176" t="s">
        <v>21</v>
      </c>
      <c r="V14" t="s">
        <v>97</v>
      </c>
      <c r="W14" t="s">
        <v>98</v>
      </c>
      <c r="X14" t="s">
        <v>99</v>
      </c>
      <c r="Y14" t="s">
        <v>100</v>
      </c>
      <c r="Z14" s="8">
        <v>0.29143290669999999</v>
      </c>
      <c r="AA14" s="8">
        <v>6.7506659720000002</v>
      </c>
      <c r="AB14" s="8">
        <v>14.41119116</v>
      </c>
      <c r="AC14" s="8">
        <v>20.636263469999999</v>
      </c>
      <c r="AD14" s="121">
        <v>42.0895535087</v>
      </c>
    </row>
    <row r="15" spans="1:30" x14ac:dyDescent="0.25">
      <c r="C15" s="176" t="s">
        <v>22</v>
      </c>
      <c r="D15" t="s">
        <v>592</v>
      </c>
      <c r="E15" t="s">
        <v>593</v>
      </c>
      <c r="F15" t="s">
        <v>594</v>
      </c>
      <c r="G15" t="s">
        <v>595</v>
      </c>
      <c r="H15" s="8">
        <f>VLOOKUP(D15,Résultats!$B$2:$AX$476,'T energie vecteurs'!F5,FALSE)</f>
        <v>0</v>
      </c>
      <c r="I15" s="8">
        <f>VLOOKUP(E15,Résultats!$B$2:$AX$476,'T energie vecteurs'!F5,FALSE)</f>
        <v>4.1772130589999996</v>
      </c>
      <c r="J15" s="8">
        <f>VLOOKUP(F15,Résultats!$B$2:$AX$476,'T energie vecteurs'!F5,FALSE)</f>
        <v>13.072682670000001</v>
      </c>
      <c r="K15" s="8">
        <f>VLOOKUP(G15,Résultats!$B$2:$AX$476,'T energie vecteurs'!F5,FALSE)</f>
        <v>11.11972967</v>
      </c>
      <c r="L15" s="121">
        <f t="shared" si="0"/>
        <v>28.369625399</v>
      </c>
      <c r="M15" s="99"/>
      <c r="N15" s="179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1">
        <f t="shared" si="1"/>
        <v>24.506016758025968</v>
      </c>
      <c r="U15" s="176" t="s">
        <v>22</v>
      </c>
      <c r="V15" t="s">
        <v>101</v>
      </c>
      <c r="W15" t="s">
        <v>102</v>
      </c>
      <c r="X15" t="s">
        <v>103</v>
      </c>
      <c r="Y15" t="s">
        <v>104</v>
      </c>
      <c r="Z15" s="8">
        <v>0</v>
      </c>
      <c r="AA15" s="271">
        <v>3.568616939</v>
      </c>
      <c r="AB15" s="271">
        <v>12.769876119999999</v>
      </c>
      <c r="AC15" s="271">
        <v>9.0390917910000006</v>
      </c>
      <c r="AD15" s="121">
        <v>25.377584850000002</v>
      </c>
    </row>
    <row r="16" spans="1:30" x14ac:dyDescent="0.25">
      <c r="C16" s="176" t="s">
        <v>23</v>
      </c>
      <c r="H16" s="8">
        <f>SUM(H17:H19)</f>
        <v>4.8765354159999994</v>
      </c>
      <c r="I16" s="8">
        <f>SUM(I17:I19)</f>
        <v>18.491929931999998</v>
      </c>
      <c r="J16" s="8">
        <f>SUM(J17:J19)</f>
        <v>11.204931141700001</v>
      </c>
      <c r="K16" s="8">
        <f>SUM(K17:K19)</f>
        <v>14.968213004800001</v>
      </c>
      <c r="L16" s="121">
        <f>SUM(H16:K16)</f>
        <v>49.541609494500001</v>
      </c>
      <c r="M16" s="99"/>
      <c r="N16" s="179" t="s">
        <v>280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1">
        <f t="shared" si="1"/>
        <v>42.95530079425177</v>
      </c>
      <c r="U16" s="176" t="s">
        <v>23</v>
      </c>
      <c r="Z16" s="8">
        <v>4.1729010901999999</v>
      </c>
      <c r="AA16" s="8">
        <v>18.040350471</v>
      </c>
      <c r="AB16" s="8">
        <v>11.314938957000001</v>
      </c>
      <c r="AC16" s="8">
        <v>14.446423944999999</v>
      </c>
      <c r="AD16" s="121">
        <v>47.974614463199998</v>
      </c>
    </row>
    <row r="17" spans="2:30" x14ac:dyDescent="0.25">
      <c r="C17" s="178" t="s">
        <v>24</v>
      </c>
      <c r="D17" t="s">
        <v>596</v>
      </c>
      <c r="E17" t="s">
        <v>597</v>
      </c>
      <c r="F17" t="s">
        <v>598</v>
      </c>
      <c r="G17" t="s">
        <v>599</v>
      </c>
      <c r="H17" s="19">
        <f>VLOOKUP(D17,Résultats!$B$2:$AX$476,'T energie vecteurs'!F5,FALSE)</f>
        <v>3.8823198269999999</v>
      </c>
      <c r="I17" s="19">
        <f>VLOOKUP(E17,Résultats!$B$2:$AX$476,'T energie vecteurs'!F5,FALSE)</f>
        <v>14.15502992</v>
      </c>
      <c r="J17" s="19">
        <f>VLOOKUP(F17,Résultats!$B$2:$AX$476,'T energie vecteurs'!F5,FALSE)</f>
        <v>10.887530870000001</v>
      </c>
      <c r="K17" s="19">
        <f>VLOOKUP(G17,Résultats!$B$2:$AX$476,'T energie vecteurs'!F5,FALSE)</f>
        <v>12.78159413</v>
      </c>
      <c r="L17" s="120">
        <f t="shared" si="0"/>
        <v>41.706474747000001</v>
      </c>
      <c r="M17" s="19"/>
      <c r="N17" s="178" t="s">
        <v>281</v>
      </c>
      <c r="O17" s="172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U17" s="178" t="s">
        <v>24</v>
      </c>
      <c r="V17" t="s">
        <v>105</v>
      </c>
      <c r="W17" t="s">
        <v>106</v>
      </c>
      <c r="X17" t="s">
        <v>107</v>
      </c>
      <c r="Y17" t="s">
        <v>108</v>
      </c>
      <c r="Z17" s="19">
        <v>3.252665173</v>
      </c>
      <c r="AA17" s="19">
        <v>13.839453020000001</v>
      </c>
      <c r="AB17" s="19">
        <v>10.97816242</v>
      </c>
      <c r="AC17" s="19">
        <v>12.365702000000001</v>
      </c>
      <c r="AD17" s="120">
        <v>40.435982613</v>
      </c>
    </row>
    <row r="18" spans="2:30" x14ac:dyDescent="0.25">
      <c r="C18" s="178" t="s">
        <v>153</v>
      </c>
      <c r="D18" t="s">
        <v>600</v>
      </c>
      <c r="E18" t="s">
        <v>601</v>
      </c>
      <c r="F18" t="s">
        <v>602</v>
      </c>
      <c r="G18" t="s">
        <v>603</v>
      </c>
      <c r="H18" s="19">
        <f>VLOOKUP(D18,Résultats!$B$2:$AX$476,'T energie vecteurs'!F5,FALSE)</f>
        <v>0.99421558899999996</v>
      </c>
      <c r="I18" s="19">
        <f>VLOOKUP(E18,Résultats!$B$2:$AX$476,'T energie vecteurs'!F5,FALSE)</f>
        <v>1.8954507620000001</v>
      </c>
      <c r="J18" s="19">
        <f>VLOOKUP(F18,Résultats!$B$2:$AX$476,'T energie vecteurs'!F5,FALSE)</f>
        <v>0</v>
      </c>
      <c r="K18" s="19">
        <f>VLOOKUP(G18,Résultats!$B$2:$AX$476,'T energie vecteurs'!F5,FALSE)</f>
        <v>1.7872898909999999</v>
      </c>
      <c r="L18" s="120">
        <f t="shared" si="0"/>
        <v>4.6769562419999993</v>
      </c>
      <c r="M18" s="19"/>
      <c r="N18" s="178" t="s">
        <v>153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U18" s="178" t="s">
        <v>153</v>
      </c>
      <c r="V18" t="s">
        <v>154</v>
      </c>
      <c r="W18" t="s">
        <v>155</v>
      </c>
      <c r="X18" t="s">
        <v>156</v>
      </c>
      <c r="Y18" t="s">
        <v>157</v>
      </c>
      <c r="Z18" s="19">
        <v>0.92023591719999998</v>
      </c>
      <c r="AA18" s="19">
        <v>1.779999739</v>
      </c>
      <c r="AB18" s="19">
        <v>0</v>
      </c>
      <c r="AC18" s="19">
        <v>1.7183807259999999</v>
      </c>
      <c r="AD18" s="120">
        <v>4.4186163821999997</v>
      </c>
    </row>
    <row r="19" spans="2:30" x14ac:dyDescent="0.25">
      <c r="C19" s="178" t="s">
        <v>25</v>
      </c>
      <c r="D19" t="s">
        <v>604</v>
      </c>
      <c r="E19" t="s">
        <v>605</v>
      </c>
      <c r="F19" t="s">
        <v>606</v>
      </c>
      <c r="G19" t="s">
        <v>607</v>
      </c>
      <c r="H19" s="19">
        <f>VLOOKUP(D19,Résultats!$B$2:$AX$476,'T energie vecteurs'!F5,FALSE)</f>
        <v>0</v>
      </c>
      <c r="I19" s="19">
        <f>VLOOKUP(E19,Résultats!$B$2:$AX$476,'T energie vecteurs'!F5,FALSE)</f>
        <v>2.4414492499999998</v>
      </c>
      <c r="J19" s="19">
        <f>VLOOKUP(F19,Résultats!$B$2:$AX$476,'T energie vecteurs'!F5,FALSE)</f>
        <v>0.31740027170000001</v>
      </c>
      <c r="K19" s="19">
        <f>VLOOKUP(G19,Résultats!$B$2:$AX$476,'T energie vecteurs'!F5,FALSE)</f>
        <v>0.39932898379999998</v>
      </c>
      <c r="L19" s="120">
        <f t="shared" si="0"/>
        <v>3.1581785054999996</v>
      </c>
      <c r="M19" s="19"/>
      <c r="N19" s="179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1">
        <f t="shared" si="1"/>
        <v>4.4860507954281585</v>
      </c>
      <c r="U19" s="178" t="s">
        <v>25</v>
      </c>
      <c r="V19" t="s">
        <v>109</v>
      </c>
      <c r="W19" t="s">
        <v>110</v>
      </c>
      <c r="X19" t="s">
        <v>111</v>
      </c>
      <c r="Y19" t="s">
        <v>112</v>
      </c>
      <c r="Z19" s="19">
        <v>0</v>
      </c>
      <c r="AA19" s="19">
        <v>2.4208977119999999</v>
      </c>
      <c r="AB19" s="19">
        <v>0.33677653699999999</v>
      </c>
      <c r="AC19" s="19">
        <v>0.36234121899999999</v>
      </c>
      <c r="AD19" s="120">
        <v>3.1200154680000001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5.2135276401999997</v>
      </c>
      <c r="I20" s="9">
        <f>SUM(I11,I14:I16)</f>
        <v>73.154668501000003</v>
      </c>
      <c r="J20" s="9">
        <f>SUM(J11,J14:J16)</f>
        <v>39.303207776100002</v>
      </c>
      <c r="K20" s="9">
        <f>SUM(K11,K14:K16)</f>
        <v>49.686406878236212</v>
      </c>
      <c r="L20" s="123">
        <f t="shared" si="0"/>
        <v>167.35781079553624</v>
      </c>
      <c r="M20" s="105"/>
      <c r="N20" s="180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3">
        <f>SUM(O20:R20)</f>
        <v>157.87874151958081</v>
      </c>
      <c r="T20" s="69"/>
      <c r="U20" s="29" t="s">
        <v>26</v>
      </c>
      <c r="V20" s="10"/>
      <c r="W20" s="10"/>
      <c r="X20" s="10"/>
      <c r="Y20" s="10"/>
      <c r="Z20" s="9">
        <v>4.4643339968999998</v>
      </c>
      <c r="AA20" s="9">
        <v>72.015078141999993</v>
      </c>
      <c r="AB20" s="9">
        <v>39.866867514500001</v>
      </c>
      <c r="AC20" s="9">
        <v>44.391226850545138</v>
      </c>
      <c r="AD20" s="123">
        <v>160.73750650394513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4">
        <v>2020</v>
      </c>
      <c r="D23" s="175"/>
      <c r="E23" s="175"/>
      <c r="F23" s="175"/>
      <c r="G23" s="175"/>
      <c r="H23" s="101" t="s">
        <v>36</v>
      </c>
      <c r="I23" s="101" t="s">
        <v>159</v>
      </c>
      <c r="J23" s="101" t="s">
        <v>38</v>
      </c>
      <c r="K23" s="101" t="s">
        <v>158</v>
      </c>
      <c r="L23" s="118" t="s">
        <v>1</v>
      </c>
      <c r="M23" s="25"/>
      <c r="N23" s="174">
        <v>2020</v>
      </c>
      <c r="O23" s="170" t="s">
        <v>36</v>
      </c>
      <c r="P23" s="101" t="s">
        <v>159</v>
      </c>
      <c r="Q23" s="101" t="s">
        <v>38</v>
      </c>
      <c r="R23" s="101" t="s">
        <v>158</v>
      </c>
      <c r="S23" s="118" t="s">
        <v>1</v>
      </c>
      <c r="T23" s="25"/>
      <c r="U23" s="174">
        <v>2020</v>
      </c>
      <c r="V23" s="175"/>
      <c r="W23" s="175"/>
      <c r="X23" s="175"/>
      <c r="Y23" s="175"/>
      <c r="Z23" s="101" t="s">
        <v>36</v>
      </c>
      <c r="AA23" s="101" t="s">
        <v>159</v>
      </c>
      <c r="AB23" s="101" t="s">
        <v>38</v>
      </c>
      <c r="AC23" s="101" t="s">
        <v>158</v>
      </c>
      <c r="AD23" s="118" t="s">
        <v>1</v>
      </c>
    </row>
    <row r="24" spans="2:30" x14ac:dyDescent="0.25">
      <c r="C24" s="176" t="s">
        <v>18</v>
      </c>
      <c r="H24" s="8">
        <f>SUM(H25:H26)</f>
        <v>0</v>
      </c>
      <c r="I24" s="8">
        <f>SUM(I25:I26)</f>
        <v>42.470170709999998</v>
      </c>
      <c r="J24" s="8">
        <f>SUM(J25:J26)</f>
        <v>1.4398483075000001</v>
      </c>
      <c r="K24" s="8">
        <f>SUM(K25:K26)</f>
        <v>0.26857153999110001</v>
      </c>
      <c r="L24" s="121">
        <f t="shared" ref="L24:L33" si="3">SUM(H24:K24)</f>
        <v>44.178590557491098</v>
      </c>
      <c r="M24" s="99"/>
      <c r="N24" s="179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1">
        <f>SUM(O24:R24)</f>
        <v>36.578175203680367</v>
      </c>
      <c r="T24" s="169"/>
      <c r="U24" s="176" t="s">
        <v>18</v>
      </c>
      <c r="Z24" s="8">
        <v>0</v>
      </c>
      <c r="AA24" s="8">
        <v>43.018744479999995</v>
      </c>
      <c r="AB24" s="8">
        <v>1.8220352072999999</v>
      </c>
      <c r="AC24" s="8">
        <v>0.31541142310885001</v>
      </c>
      <c r="AD24" s="121">
        <v>45.156191110408841</v>
      </c>
    </row>
    <row r="25" spans="2:30" x14ac:dyDescent="0.25">
      <c r="C25" s="177" t="s">
        <v>19</v>
      </c>
      <c r="D25" t="s">
        <v>580</v>
      </c>
      <c r="E25" t="s">
        <v>581</v>
      </c>
      <c r="F25" t="s">
        <v>582</v>
      </c>
      <c r="G25" t="s">
        <v>583</v>
      </c>
      <c r="H25" s="19">
        <f>VLOOKUP(D25,Résultats!$B$2:$AX$476,'T energie vecteurs'!I5,FALSE)</f>
        <v>0</v>
      </c>
      <c r="I25" s="19">
        <f>VLOOKUP(E25,Résultats!$B$2:$AX$476,'T energie vecteurs'!I5,FALSE)</f>
        <v>23.933606399999999</v>
      </c>
      <c r="J25" s="19">
        <f>VLOOKUP(F25,Résultats!$B$2:$AX$476,'T energie vecteurs'!I5,FALSE)</f>
        <v>0.1115936015</v>
      </c>
      <c r="K25" s="19">
        <f>VLOOKUP(G77,Résultats!$B$2:$AX$476,'T energie vecteurs'!I5,FALSE)</f>
        <v>1.3015391099999999E-5</v>
      </c>
      <c r="L25" s="120">
        <f t="shared" si="3"/>
        <v>24.0452130168911</v>
      </c>
      <c r="M25" s="19"/>
      <c r="N25" s="177" t="s">
        <v>19</v>
      </c>
      <c r="O25" s="172"/>
      <c r="P25" s="19"/>
      <c r="Q25" s="55"/>
      <c r="R25" s="19"/>
      <c r="S25" s="120"/>
      <c r="T25" s="169"/>
      <c r="U25" s="177" t="s">
        <v>19</v>
      </c>
      <c r="V25" t="s">
        <v>89</v>
      </c>
      <c r="W25" t="s">
        <v>90</v>
      </c>
      <c r="X25" t="s">
        <v>91</v>
      </c>
      <c r="Y25" t="s">
        <v>92</v>
      </c>
      <c r="Z25" s="19">
        <v>0</v>
      </c>
      <c r="AA25" s="19">
        <v>23.922501159999999</v>
      </c>
      <c r="AB25" s="19">
        <v>0.1058478073</v>
      </c>
      <c r="AC25" s="19">
        <v>9.2348088500000006E-6</v>
      </c>
      <c r="AD25" s="120">
        <v>24.028358202108851</v>
      </c>
    </row>
    <row r="26" spans="2:30" x14ac:dyDescent="0.25">
      <c r="C26" s="178" t="s">
        <v>20</v>
      </c>
      <c r="D26" t="s">
        <v>584</v>
      </c>
      <c r="E26" t="s">
        <v>585</v>
      </c>
      <c r="F26" t="s">
        <v>586</v>
      </c>
      <c r="G26" t="s">
        <v>587</v>
      </c>
      <c r="H26" s="19">
        <f>VLOOKUP(D26,Résultats!$B$2:$AX$476,'T energie vecteurs'!I5,FALSE)</f>
        <v>0</v>
      </c>
      <c r="I26" s="19">
        <f>VLOOKUP(E26,Résultats!$B$2:$AX$476,'T energie vecteurs'!I5,FALSE)</f>
        <v>18.536564309999999</v>
      </c>
      <c r="J26" s="19">
        <f>VLOOKUP(F26,Résultats!$B$2:$AX$476,'T energie vecteurs'!I5,FALSE)</f>
        <v>1.3282547060000001</v>
      </c>
      <c r="K26" s="19">
        <f>VLOOKUP(G26,Résultats!$B$2:$AX$476,'T energie vecteurs'!I5,FALSE)</f>
        <v>0.26855852460000001</v>
      </c>
      <c r="L26" s="120">
        <f t="shared" si="3"/>
        <v>20.133377540599998</v>
      </c>
      <c r="M26" s="19"/>
      <c r="N26" s="178" t="s">
        <v>20</v>
      </c>
      <c r="O26" s="172"/>
      <c r="P26" s="19"/>
      <c r="Q26" s="55"/>
      <c r="R26" s="19"/>
      <c r="S26" s="120"/>
      <c r="T26" s="169"/>
      <c r="U26" s="178" t="s">
        <v>20</v>
      </c>
      <c r="V26" t="s">
        <v>93</v>
      </c>
      <c r="W26" t="s">
        <v>94</v>
      </c>
      <c r="X26" t="s">
        <v>95</v>
      </c>
      <c r="Y26" t="s">
        <v>96</v>
      </c>
      <c r="Z26" s="19">
        <v>0</v>
      </c>
      <c r="AA26" s="19">
        <v>19.096243319999999</v>
      </c>
      <c r="AB26" s="19">
        <v>1.7161873999999999</v>
      </c>
      <c r="AC26" s="19">
        <v>0.3154021883</v>
      </c>
      <c r="AD26" s="120">
        <v>21.127832908299997</v>
      </c>
    </row>
    <row r="27" spans="2:30" x14ac:dyDescent="0.25">
      <c r="C27" s="176" t="s">
        <v>21</v>
      </c>
      <c r="D27" t="s">
        <v>588</v>
      </c>
      <c r="E27" t="s">
        <v>589</v>
      </c>
      <c r="F27" t="s">
        <v>590</v>
      </c>
      <c r="G27" t="s">
        <v>591</v>
      </c>
      <c r="H27" s="8">
        <f>VLOOKUP(D27,Résultats!$B$2:$AX$476,'T energie vecteurs'!I5,FALSE)</f>
        <v>0.32532885449999999</v>
      </c>
      <c r="I27" s="8">
        <f>VLOOKUP(E27,Résultats!$B$2:$AX$476,'T energie vecteurs'!I5,FALSE)</f>
        <v>6.4298124789999997</v>
      </c>
      <c r="J27" s="8">
        <f>VLOOKUP(F27,Résultats!$B$2:$AX$476,'T energie vecteurs'!I5,FALSE)</f>
        <v>14.548182280000001</v>
      </c>
      <c r="K27" s="8">
        <f>VLOOKUP(G27,Résultats!$B$2:$AX$476,'T energie vecteurs'!I5,FALSE)+6</f>
        <v>23.699657599999998</v>
      </c>
      <c r="L27" s="121">
        <f t="shared" si="3"/>
        <v>45.0029812135</v>
      </c>
      <c r="M27" s="99"/>
      <c r="N27" s="179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1">
        <f t="shared" ref="S27:S33" si="4">SUM(O27:R27)</f>
        <v>38.335315468831681</v>
      </c>
      <c r="T27" s="169"/>
      <c r="U27" s="176" t="s">
        <v>21</v>
      </c>
      <c r="V27" t="s">
        <v>97</v>
      </c>
      <c r="W27" t="s">
        <v>98</v>
      </c>
      <c r="X27" t="s">
        <v>99</v>
      </c>
      <c r="Y27" t="s">
        <v>100</v>
      </c>
      <c r="Z27" s="8">
        <v>0.26184970889999998</v>
      </c>
      <c r="AA27" s="8">
        <v>5.7024644279999999</v>
      </c>
      <c r="AB27" s="8">
        <v>15.25918953</v>
      </c>
      <c r="AC27" s="8">
        <v>20.182440509999999</v>
      </c>
      <c r="AD27" s="121">
        <v>41.4059441769</v>
      </c>
    </row>
    <row r="28" spans="2:30" x14ac:dyDescent="0.25">
      <c r="C28" s="176" t="s">
        <v>22</v>
      </c>
      <c r="D28" t="s">
        <v>592</v>
      </c>
      <c r="E28" t="s">
        <v>593</v>
      </c>
      <c r="F28" t="s">
        <v>594</v>
      </c>
      <c r="G28" t="s">
        <v>595</v>
      </c>
      <c r="H28" s="8">
        <f>VLOOKUP(D28,Résultats!$B$2:$AX$476,'T energie vecteurs'!I5,FALSE)</f>
        <v>0</v>
      </c>
      <c r="I28" s="8">
        <f>VLOOKUP(E28,Résultats!$B$2:$AX$476,'T energie vecteurs'!I5,FALSE)</f>
        <v>3.0099111129999998</v>
      </c>
      <c r="J28" s="8">
        <f>VLOOKUP(F28,Résultats!$B$2:$AX$476,'T energie vecteurs'!I5,FALSE)</f>
        <v>12.66223059</v>
      </c>
      <c r="K28" s="8">
        <f>VLOOKUP(G28,Résultats!$B$2:$AX$476,'T energie vecteurs'!I5,FALSE)</f>
        <v>9.4093188350000005</v>
      </c>
      <c r="L28" s="121">
        <f t="shared" si="3"/>
        <v>25.081460538000002</v>
      </c>
      <c r="M28" s="99"/>
      <c r="N28" s="179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1">
        <f t="shared" si="4"/>
        <v>20.652866188587154</v>
      </c>
      <c r="T28" s="169"/>
      <c r="U28" s="176" t="s">
        <v>22</v>
      </c>
      <c r="V28" t="s">
        <v>101</v>
      </c>
      <c r="W28" t="s">
        <v>102</v>
      </c>
      <c r="X28" t="s">
        <v>103</v>
      </c>
      <c r="Y28" t="s">
        <v>104</v>
      </c>
      <c r="Z28" s="8">
        <v>0</v>
      </c>
      <c r="AA28" s="8">
        <v>2.5782826139999999</v>
      </c>
      <c r="AB28" s="8">
        <v>12.10446735</v>
      </c>
      <c r="AC28" s="8">
        <v>7.683267743</v>
      </c>
      <c r="AD28" s="121">
        <v>22.366017706999997</v>
      </c>
    </row>
    <row r="29" spans="2:30" x14ac:dyDescent="0.25">
      <c r="C29" s="176" t="s">
        <v>23</v>
      </c>
      <c r="H29" s="8">
        <f>SUM(H30:H32)</f>
        <v>2.6041915935</v>
      </c>
      <c r="I29" s="8">
        <f>SUM(I30:I32)</f>
        <v>13.11843627199999</v>
      </c>
      <c r="J29" s="8">
        <f>SUM(J30:J32)</f>
        <v>9.2676307303000005</v>
      </c>
      <c r="K29" s="8">
        <f>SUM(K30:K32)</f>
        <v>15.630882400800001</v>
      </c>
      <c r="L29" s="121">
        <f t="shared" si="3"/>
        <v>40.621140996599991</v>
      </c>
      <c r="M29" s="99"/>
      <c r="N29" s="179" t="s">
        <v>280</v>
      </c>
      <c r="O29" s="36">
        <f>O30+O31</f>
        <v>3.1626378182920636</v>
      </c>
      <c r="P29" s="35">
        <f t="shared" ref="P29:R29" si="5">P30+P31</f>
        <v>13.919973516612528</v>
      </c>
      <c r="Q29" s="35">
        <f t="shared" si="5"/>
        <v>9.0413234941421319</v>
      </c>
      <c r="R29" s="35">
        <f t="shared" si="5"/>
        <v>14.312071337572707</v>
      </c>
      <c r="S29" s="171">
        <f t="shared" si="4"/>
        <v>40.436006166619435</v>
      </c>
      <c r="T29" s="169"/>
      <c r="U29" s="176" t="s">
        <v>23</v>
      </c>
      <c r="Z29" s="8">
        <v>2.9352593538000002</v>
      </c>
      <c r="AA29" s="8">
        <v>14.864282436999998</v>
      </c>
      <c r="AB29" s="8">
        <v>9.5134153553999994</v>
      </c>
      <c r="AC29" s="8">
        <v>13.758628141300001</v>
      </c>
      <c r="AD29" s="121">
        <v>41.0715852875</v>
      </c>
    </row>
    <row r="30" spans="2:30" x14ac:dyDescent="0.25">
      <c r="C30" s="178" t="s">
        <v>24</v>
      </c>
      <c r="D30" t="s">
        <v>596</v>
      </c>
      <c r="E30" t="s">
        <v>597</v>
      </c>
      <c r="F30" t="s">
        <v>598</v>
      </c>
      <c r="G30" t="s">
        <v>599</v>
      </c>
      <c r="H30" s="19">
        <f>VLOOKUP(D30,Résultats!$B$2:$AX$476,'T energie vecteurs'!I5,FALSE)</f>
        <v>1.7388215869999999</v>
      </c>
      <c r="I30" s="19">
        <f>VLOOKUP(E30,Résultats!$B$2:$AX$476,'T energie vecteurs'!I5,FALSE)</f>
        <v>8.8549437999999903</v>
      </c>
      <c r="J30" s="19">
        <f>VLOOKUP(F30,Résultats!$B$2:$AX$476,'T energie vecteurs'!I5,FALSE)</f>
        <v>8.9540998980000008</v>
      </c>
      <c r="K30" s="19">
        <f>VLOOKUP(G30,Résultats!$B$2:$AX$476,'T energie vecteurs'!I5,FALSE)</f>
        <v>13.12985211</v>
      </c>
      <c r="L30" s="120">
        <f t="shared" si="3"/>
        <v>32.677717394999995</v>
      </c>
      <c r="M30" s="19"/>
      <c r="N30" s="178" t="s">
        <v>281</v>
      </c>
      <c r="O30" s="172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4"/>
        <v>25.792217113675775</v>
      </c>
      <c r="T30" s="169"/>
      <c r="U30" s="178" t="s">
        <v>24</v>
      </c>
      <c r="V30" t="s">
        <v>105</v>
      </c>
      <c r="W30" t="s">
        <v>106</v>
      </c>
      <c r="X30" t="s">
        <v>107</v>
      </c>
      <c r="Y30" t="s">
        <v>108</v>
      </c>
      <c r="Z30" s="19">
        <v>2.0907212450000001</v>
      </c>
      <c r="AA30" s="19">
        <v>10.561312149999999</v>
      </c>
      <c r="AB30" s="19">
        <v>9.1722502499999994</v>
      </c>
      <c r="AC30" s="19">
        <v>11.439847840000001</v>
      </c>
      <c r="AD30" s="120">
        <v>33.264131485</v>
      </c>
    </row>
    <row r="31" spans="2:30" x14ac:dyDescent="0.25">
      <c r="C31" s="178" t="s">
        <v>153</v>
      </c>
      <c r="D31" t="s">
        <v>600</v>
      </c>
      <c r="E31" t="s">
        <v>601</v>
      </c>
      <c r="F31" t="s">
        <v>602</v>
      </c>
      <c r="G31" t="s">
        <v>603</v>
      </c>
      <c r="H31" s="19">
        <f>VLOOKUP(D31,Résultats!$B$2:$AX$476,'T energie vecteurs'!I5,FALSE)</f>
        <v>0.86537000649999996</v>
      </c>
      <c r="I31" s="19">
        <f>VLOOKUP(E31,Résultats!$B$2:$AX$476,'T energie vecteurs'!I5,FALSE)</f>
        <v>1.8757407829999999</v>
      </c>
      <c r="J31" s="19">
        <f>VLOOKUP(F31,Résultats!$B$2:$AX$476,'T energie vecteurs'!I5,FALSE)</f>
        <v>0</v>
      </c>
      <c r="K31" s="19">
        <f>VLOOKUP(G31,Résultats!$B$2:$AX$476,'T energie vecteurs'!I5,FALSE)</f>
        <v>2.1265502610000002</v>
      </c>
      <c r="L31" s="120">
        <f t="shared" si="3"/>
        <v>4.8676610505000006</v>
      </c>
      <c r="M31" s="19"/>
      <c r="N31" s="178" t="s">
        <v>153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4"/>
        <v>14.643789052943653</v>
      </c>
      <c r="T31" s="169"/>
      <c r="U31" s="178" t="s">
        <v>153</v>
      </c>
      <c r="V31" t="s">
        <v>154</v>
      </c>
      <c r="W31" t="s">
        <v>155</v>
      </c>
      <c r="X31" t="s">
        <v>156</v>
      </c>
      <c r="Y31" t="s">
        <v>157</v>
      </c>
      <c r="Z31" s="19">
        <v>0.84453810880000002</v>
      </c>
      <c r="AA31" s="19">
        <v>1.899081222</v>
      </c>
      <c r="AB31" s="19">
        <v>0</v>
      </c>
      <c r="AC31" s="19">
        <v>1.9869122779999999</v>
      </c>
      <c r="AD31" s="120">
        <v>4.7305316087999998</v>
      </c>
    </row>
    <row r="32" spans="2:30" x14ac:dyDescent="0.25">
      <c r="C32" s="178" t="s">
        <v>25</v>
      </c>
      <c r="D32" t="s">
        <v>604</v>
      </c>
      <c r="E32" t="s">
        <v>605</v>
      </c>
      <c r="F32" t="s">
        <v>606</v>
      </c>
      <c r="G32" t="s">
        <v>607</v>
      </c>
      <c r="H32" s="19">
        <f>VLOOKUP(D32,Résultats!$B$2:$AX$476,'T energie vecteurs'!I5,FALSE)</f>
        <v>0</v>
      </c>
      <c r="I32" s="19">
        <f>VLOOKUP(E32,Résultats!$B$2:$AX$476,'T energie vecteurs'!I5,FALSE)</f>
        <v>2.3877516889999999</v>
      </c>
      <c r="J32" s="19">
        <f>VLOOKUP(F32,Résultats!$B$2:$AX$476,'T energie vecteurs'!I5,FALSE)</f>
        <v>0.31353083230000001</v>
      </c>
      <c r="K32" s="19">
        <f>VLOOKUP(G32,Résultats!$B$2:$AX$476,'T energie vecteurs'!I5,FALSE)</f>
        <v>0.3744800298</v>
      </c>
      <c r="L32" s="120">
        <f t="shared" si="3"/>
        <v>3.0757625511</v>
      </c>
      <c r="M32" s="19"/>
      <c r="N32" s="179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1">
        <f t="shared" si="4"/>
        <v>4.4610384226828508</v>
      </c>
      <c r="T32" s="169"/>
      <c r="U32" s="178" t="s">
        <v>25</v>
      </c>
      <c r="V32" t="s">
        <v>109</v>
      </c>
      <c r="W32" t="s">
        <v>110</v>
      </c>
      <c r="X32" t="s">
        <v>111</v>
      </c>
      <c r="Y32" t="s">
        <v>112</v>
      </c>
      <c r="Z32" s="19">
        <v>0</v>
      </c>
      <c r="AA32" s="19">
        <v>2.403889065</v>
      </c>
      <c r="AB32" s="19">
        <v>0.3411651054</v>
      </c>
      <c r="AC32" s="19">
        <v>0.33186802329999998</v>
      </c>
      <c r="AD32" s="120">
        <v>3.0769221936999998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2.9295204479999999</v>
      </c>
      <c r="I33" s="9">
        <f>SUM(I24,I27:I29)</f>
        <v>65.028330573999995</v>
      </c>
      <c r="J33" s="9">
        <f>SUM(J24,J27:J29)</f>
        <v>37.917891907799998</v>
      </c>
      <c r="K33" s="9">
        <f>SUM(K24,K27:K29)</f>
        <v>49.008430375791107</v>
      </c>
      <c r="L33" s="123">
        <f t="shared" si="3"/>
        <v>154.8841733055911</v>
      </c>
      <c r="M33" s="105"/>
      <c r="N33" s="180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3">
        <f t="shared" si="4"/>
        <v>140.46340145040148</v>
      </c>
      <c r="T33" s="105"/>
      <c r="U33" s="29" t="s">
        <v>26</v>
      </c>
      <c r="V33" s="10"/>
      <c r="W33" s="10"/>
      <c r="X33" s="10"/>
      <c r="Y33" s="10"/>
      <c r="Z33" s="9">
        <v>3.1971090627000001</v>
      </c>
      <c r="AA33" s="9">
        <v>66.163773958999997</v>
      </c>
      <c r="AB33" s="9">
        <v>38.699107442699997</v>
      </c>
      <c r="AC33" s="9">
        <v>41.93974781740885</v>
      </c>
      <c r="AD33" s="123">
        <v>149.99973828180885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4">
        <v>2022</v>
      </c>
      <c r="D36" s="175"/>
      <c r="E36" s="175"/>
      <c r="F36" s="175"/>
      <c r="G36" s="175"/>
      <c r="H36" s="101" t="s">
        <v>36</v>
      </c>
      <c r="I36" s="101" t="s">
        <v>159</v>
      </c>
      <c r="J36" s="101" t="s">
        <v>38</v>
      </c>
      <c r="K36" s="101" t="s">
        <v>158</v>
      </c>
      <c r="L36" s="118" t="s">
        <v>1</v>
      </c>
      <c r="M36" s="25"/>
      <c r="N36" s="174">
        <v>2022</v>
      </c>
      <c r="O36" s="170" t="s">
        <v>36</v>
      </c>
      <c r="P36" s="101" t="s">
        <v>159</v>
      </c>
      <c r="Q36" s="101" t="s">
        <v>38</v>
      </c>
      <c r="R36" s="101" t="s">
        <v>158</v>
      </c>
      <c r="S36" s="118" t="s">
        <v>1</v>
      </c>
      <c r="T36" s="25"/>
      <c r="U36" s="174">
        <v>2022</v>
      </c>
      <c r="V36" s="175"/>
      <c r="W36" s="175"/>
      <c r="X36" s="175"/>
      <c r="Y36" s="175"/>
      <c r="Z36" s="101" t="s">
        <v>36</v>
      </c>
      <c r="AA36" s="101" t="s">
        <v>159</v>
      </c>
      <c r="AB36" s="101" t="s">
        <v>38</v>
      </c>
      <c r="AC36" s="101" t="s">
        <v>158</v>
      </c>
      <c r="AD36" s="118" t="s">
        <v>1</v>
      </c>
    </row>
    <row r="37" spans="3:30" x14ac:dyDescent="0.25">
      <c r="C37" s="176" t="s">
        <v>18</v>
      </c>
      <c r="H37" s="8">
        <f>SUM(H38:H39)</f>
        <v>0</v>
      </c>
      <c r="I37" s="8">
        <f>SUM(I38:I39)</f>
        <v>42.196799800000001</v>
      </c>
      <c r="J37" s="8">
        <f>SUM(J38:J39)</f>
        <v>1.5518960473000001</v>
      </c>
      <c r="K37" s="8">
        <f>SUM(K38:K39)</f>
        <v>0.37730478291210001</v>
      </c>
      <c r="L37" s="121">
        <f t="shared" ref="L37:L46" si="6">SUM(H37:K37)</f>
        <v>44.126000630212097</v>
      </c>
      <c r="M37" s="99"/>
      <c r="N37" s="179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1">
        <f>SUM(O37:R37)</f>
        <v>44.645367337060996</v>
      </c>
      <c r="T37" s="99"/>
      <c r="U37" s="176" t="s">
        <v>18</v>
      </c>
      <c r="Z37" s="8">
        <v>0</v>
      </c>
      <c r="AA37" s="8">
        <v>42.966688779999998</v>
      </c>
      <c r="AB37" s="8">
        <v>1.9854484355000002</v>
      </c>
      <c r="AC37" s="8">
        <v>0.44041368824390004</v>
      </c>
      <c r="AD37" s="121">
        <v>45.392550903743896</v>
      </c>
    </row>
    <row r="38" spans="3:30" x14ac:dyDescent="0.25">
      <c r="C38" s="177" t="s">
        <v>19</v>
      </c>
      <c r="D38" t="s">
        <v>580</v>
      </c>
      <c r="E38" t="s">
        <v>581</v>
      </c>
      <c r="F38" t="s">
        <v>582</v>
      </c>
      <c r="G38" t="s">
        <v>583</v>
      </c>
      <c r="H38" s="19">
        <f>VLOOKUP(D38,Résultats!$B$2:$AX$476,'T energie vecteurs'!K5,FALSE)</f>
        <v>0</v>
      </c>
      <c r="I38" s="19">
        <f>VLOOKUP(E38,Résultats!$B$2:$AX$476,'T energie vecteurs'!K5,FALSE)</f>
        <v>23.39484934</v>
      </c>
      <c r="J38" s="19">
        <f>VLOOKUP(F38,Résultats!$B$2:$AX$476,'T energie vecteurs'!K5,FALSE)</f>
        <v>0.1762139583</v>
      </c>
      <c r="K38" s="19">
        <f>VLOOKUP(G51,Résultats!$B$2:$AX$476,'T energie vecteurs'!K5,FALSE)</f>
        <v>1.6439012100000001E-5</v>
      </c>
      <c r="L38" s="120">
        <f t="shared" si="6"/>
        <v>23.5710797373121</v>
      </c>
      <c r="M38" s="19"/>
      <c r="N38" s="177" t="s">
        <v>19</v>
      </c>
      <c r="O38" s="172"/>
      <c r="P38" s="19"/>
      <c r="Q38" s="55"/>
      <c r="R38" s="19"/>
      <c r="S38" s="120"/>
      <c r="T38" s="19"/>
      <c r="U38" s="177" t="s">
        <v>19</v>
      </c>
      <c r="V38" t="s">
        <v>89</v>
      </c>
      <c r="W38" t="s">
        <v>90</v>
      </c>
      <c r="X38" t="s">
        <v>91</v>
      </c>
      <c r="Y38" t="s">
        <v>92</v>
      </c>
      <c r="Z38" s="19">
        <v>0</v>
      </c>
      <c r="AA38" s="19">
        <v>23.09105083</v>
      </c>
      <c r="AB38" s="19">
        <v>0.1608671015</v>
      </c>
      <c r="AC38" s="19">
        <v>1.1521843900000001E-5</v>
      </c>
      <c r="AD38" s="120">
        <v>23.251929453343898</v>
      </c>
    </row>
    <row r="39" spans="3:30" x14ac:dyDescent="0.25">
      <c r="C39" s="178" t="s">
        <v>20</v>
      </c>
      <c r="D39" t="s">
        <v>584</v>
      </c>
      <c r="E39" t="s">
        <v>585</v>
      </c>
      <c r="F39" t="s">
        <v>586</v>
      </c>
      <c r="G39" t="s">
        <v>587</v>
      </c>
      <c r="H39" s="19">
        <f>VLOOKUP(D39,Résultats!$B$2:$AX$476,'T energie vecteurs'!K5,FALSE)</f>
        <v>0</v>
      </c>
      <c r="I39" s="19">
        <f>VLOOKUP(E39,Résultats!$B$2:$AX$476,'T energie vecteurs'!K5,FALSE)</f>
        <v>18.80195046</v>
      </c>
      <c r="J39" s="19">
        <f>VLOOKUP(F39,Résultats!$B$2:$AX$476,'T energie vecteurs'!K5,FALSE)</f>
        <v>1.3756820890000001</v>
      </c>
      <c r="K39" s="19">
        <f>VLOOKUP(G39,Résultats!$B$2:$AX$476,'T energie vecteurs'!K5,FALSE)</f>
        <v>0.37728834389999999</v>
      </c>
      <c r="L39" s="120">
        <f t="shared" si="6"/>
        <v>20.5549208929</v>
      </c>
      <c r="M39" s="19"/>
      <c r="N39" s="178" t="s">
        <v>20</v>
      </c>
      <c r="O39" s="172"/>
      <c r="P39" s="19"/>
      <c r="Q39" s="55"/>
      <c r="R39" s="19"/>
      <c r="S39" s="120"/>
      <c r="T39" s="19"/>
      <c r="U39" s="178" t="s">
        <v>20</v>
      </c>
      <c r="V39" t="s">
        <v>93</v>
      </c>
      <c r="W39" t="s">
        <v>94</v>
      </c>
      <c r="X39" t="s">
        <v>95</v>
      </c>
      <c r="Y39" t="s">
        <v>96</v>
      </c>
      <c r="Z39" s="19">
        <v>0</v>
      </c>
      <c r="AA39" s="19">
        <v>19.875637950000002</v>
      </c>
      <c r="AB39" s="19">
        <v>1.8245813340000001</v>
      </c>
      <c r="AC39" s="19">
        <v>0.44040216640000002</v>
      </c>
      <c r="AD39" s="120">
        <v>22.140621450400001</v>
      </c>
    </row>
    <row r="40" spans="3:30" x14ac:dyDescent="0.25">
      <c r="C40" s="176" t="s">
        <v>21</v>
      </c>
      <c r="D40" t="s">
        <v>588</v>
      </c>
      <c r="E40" t="s">
        <v>589</v>
      </c>
      <c r="F40" t="s">
        <v>590</v>
      </c>
      <c r="G40" t="s">
        <v>591</v>
      </c>
      <c r="H40" s="8">
        <f>VLOOKUP(D40,Résultats!$B$2:$AX$476,'T energie vecteurs'!K5,FALSE)</f>
        <v>0.30935707070000001</v>
      </c>
      <c r="I40" s="8">
        <f>VLOOKUP(E40,Résultats!$B$2:$AX$476,'T energie vecteurs'!K5,FALSE)</f>
        <v>6.1152615319999999</v>
      </c>
      <c r="J40" s="8">
        <f>VLOOKUP(F40,Résultats!$B$2:$AX$476,'T energie vecteurs'!K5,FALSE)</f>
        <v>14.673588240000001</v>
      </c>
      <c r="K40" s="8">
        <f>VLOOKUP(G40,Résultats!$B$2:$AX$476,'T energie vecteurs'!K5,FALSE)+8</f>
        <v>25.069665570000002</v>
      </c>
      <c r="L40" s="121">
        <f t="shared" si="6"/>
        <v>46.167872412700007</v>
      </c>
      <c r="M40" s="99"/>
      <c r="N40" s="179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1">
        <f t="shared" ref="S40:S46" si="7">SUM(O40:R40)</f>
        <v>37.245425371126601</v>
      </c>
      <c r="T40" s="99"/>
      <c r="U40" s="176" t="s">
        <v>21</v>
      </c>
      <c r="V40" t="s">
        <v>97</v>
      </c>
      <c r="W40" t="s">
        <v>98</v>
      </c>
      <c r="X40" t="s">
        <v>99</v>
      </c>
      <c r="Y40" t="s">
        <v>100</v>
      </c>
      <c r="Z40" s="263">
        <v>0.24246651059999999</v>
      </c>
      <c r="AA40" s="263">
        <v>5.559916952</v>
      </c>
      <c r="AB40" s="263">
        <v>15.062817750000001</v>
      </c>
      <c r="AC40" s="263">
        <v>21.52460911</v>
      </c>
      <c r="AD40" s="264">
        <v>42.389810322599999</v>
      </c>
    </row>
    <row r="41" spans="3:30" x14ac:dyDescent="0.25">
      <c r="C41" s="176" t="s">
        <v>22</v>
      </c>
      <c r="D41" t="s">
        <v>592</v>
      </c>
      <c r="E41" t="s">
        <v>593</v>
      </c>
      <c r="F41" t="s">
        <v>594</v>
      </c>
      <c r="G41" t="s">
        <v>595</v>
      </c>
      <c r="H41" s="8">
        <f>VLOOKUP(D41,Résultats!$B$2:$AX$476,'T energie vecteurs'!K5,FALSE)</f>
        <v>0</v>
      </c>
      <c r="I41" s="8">
        <f>VLOOKUP(E41,Résultats!$B$2:$AX$476,'T energie vecteurs'!K5,FALSE)</f>
        <v>3.0089517360000002</v>
      </c>
      <c r="J41" s="8">
        <f>VLOOKUP(F41,Résultats!$B$2:$AX$476,'T energie vecteurs'!K5,FALSE)</f>
        <v>12.796412650000001</v>
      </c>
      <c r="K41" s="8">
        <f>VLOOKUP(G41,Résultats!$B$2:$AX$476,'T energie vecteurs'!K5,FALSE)</f>
        <v>9.2626327990000004</v>
      </c>
      <c r="L41" s="121">
        <f t="shared" si="6"/>
        <v>25.067997185000003</v>
      </c>
      <c r="M41" s="99"/>
      <c r="N41" s="179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1">
        <f t="shared" si="7"/>
        <v>20.954949624397219</v>
      </c>
      <c r="T41" s="99"/>
      <c r="U41" s="176" t="s">
        <v>22</v>
      </c>
      <c r="V41" t="s">
        <v>101</v>
      </c>
      <c r="W41" t="s">
        <v>102</v>
      </c>
      <c r="X41" t="s">
        <v>103</v>
      </c>
      <c r="Y41" t="s">
        <v>104</v>
      </c>
      <c r="Z41" s="8">
        <v>0</v>
      </c>
      <c r="AA41" s="8">
        <v>2.6093376460000002</v>
      </c>
      <c r="AB41" s="8">
        <v>12.11176948</v>
      </c>
      <c r="AC41" s="8">
        <v>7.4488841529999998</v>
      </c>
      <c r="AD41" s="121">
        <v>22.169991279000001</v>
      </c>
    </row>
    <row r="42" spans="3:30" x14ac:dyDescent="0.25">
      <c r="C42" s="176" t="s">
        <v>23</v>
      </c>
      <c r="H42" s="8">
        <f>SUM(H43:H45)</f>
        <v>2.5894166891000001</v>
      </c>
      <c r="I42" s="8">
        <f>SUM(I43:I45)</f>
        <v>12.838508321000001</v>
      </c>
      <c r="J42" s="8">
        <f>SUM(J43:J45)</f>
        <v>9.6564707698000003</v>
      </c>
      <c r="K42" s="8">
        <f>SUM(K43:K45)</f>
        <v>15.9895936569</v>
      </c>
      <c r="L42" s="121">
        <f t="shared" si="6"/>
        <v>41.073989436799998</v>
      </c>
      <c r="M42" s="99"/>
      <c r="N42" s="179" t="s">
        <v>280</v>
      </c>
      <c r="O42" s="36">
        <f>O43+O44</f>
        <v>4.5030917883254036</v>
      </c>
      <c r="P42" s="35">
        <f t="shared" ref="P42:R42" si="8">P43+P44</f>
        <v>11.747675010745624</v>
      </c>
      <c r="Q42" s="35">
        <f t="shared" si="8"/>
        <v>9.2559822012037838</v>
      </c>
      <c r="R42" s="35">
        <f t="shared" si="8"/>
        <v>13.798624448265977</v>
      </c>
      <c r="S42" s="171">
        <f t="shared" si="7"/>
        <v>39.305373448540784</v>
      </c>
      <c r="T42" s="99"/>
      <c r="U42" s="176" t="s">
        <v>23</v>
      </c>
      <c r="Z42" s="8">
        <v>3.0042872987</v>
      </c>
      <c r="AA42" s="8">
        <v>15.48110514</v>
      </c>
      <c r="AB42" s="8">
        <v>9.8959557320000009</v>
      </c>
      <c r="AC42" s="8">
        <v>14.553168923499999</v>
      </c>
      <c r="AD42" s="121">
        <v>42.934517094200004</v>
      </c>
    </row>
    <row r="43" spans="3:30" x14ac:dyDescent="0.25">
      <c r="C43" s="178" t="s">
        <v>24</v>
      </c>
      <c r="D43" t="s">
        <v>596</v>
      </c>
      <c r="E43" t="s">
        <v>597</v>
      </c>
      <c r="F43" t="s">
        <v>598</v>
      </c>
      <c r="G43" t="s">
        <v>599</v>
      </c>
      <c r="H43" s="19">
        <f>VLOOKUP(D43,Résultats!$B$2:$AX$476,'T energie vecteurs'!K5,FALSE)</f>
        <v>1.704645185</v>
      </c>
      <c r="I43" s="19">
        <f>VLOOKUP(E43,Résultats!$B$2:$AX$476,'T energie vecteurs'!K5,FALSE)</f>
        <v>8.5110894259999998</v>
      </c>
      <c r="J43" s="19">
        <f>VLOOKUP(F43,Résultats!$B$2:$AX$476,'T energie vecteurs'!K5,FALSE)</f>
        <v>9.3330364479999997</v>
      </c>
      <c r="K43" s="19">
        <f>VLOOKUP(G43,Résultats!$B$2:$AX$476,'T energie vecteurs'!K5,FALSE)</f>
        <v>13.451678599999999</v>
      </c>
      <c r="L43" s="120">
        <f t="shared" si="6"/>
        <v>33.000449658999997</v>
      </c>
      <c r="M43" s="19"/>
      <c r="N43" s="178" t="s">
        <v>281</v>
      </c>
      <c r="O43" s="172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7"/>
        <v>25.293858313036537</v>
      </c>
      <c r="T43" s="19"/>
      <c r="U43" s="178" t="s">
        <v>24</v>
      </c>
      <c r="V43" t="s">
        <v>105</v>
      </c>
      <c r="W43" t="s">
        <v>106</v>
      </c>
      <c r="X43" t="s">
        <v>107</v>
      </c>
      <c r="Y43" t="s">
        <v>108</v>
      </c>
      <c r="Z43" s="19">
        <v>2.1281616240000001</v>
      </c>
      <c r="AA43" s="19">
        <v>11.01290726</v>
      </c>
      <c r="AB43" s="19">
        <v>9.5584665710000003</v>
      </c>
      <c r="AC43" s="19">
        <v>12.08815914</v>
      </c>
      <c r="AD43" s="120">
        <v>34.787694595000005</v>
      </c>
    </row>
    <row r="44" spans="3:30" x14ac:dyDescent="0.25">
      <c r="C44" s="178" t="s">
        <v>153</v>
      </c>
      <c r="D44" t="s">
        <v>600</v>
      </c>
      <c r="E44" t="s">
        <v>601</v>
      </c>
      <c r="F44" t="s">
        <v>602</v>
      </c>
      <c r="G44" t="s">
        <v>603</v>
      </c>
      <c r="H44" s="19">
        <f>VLOOKUP(D44,Résultats!$B$2:$AX$476,'T energie vecteurs'!K5,FALSE)</f>
        <v>0.88477150410000005</v>
      </c>
      <c r="I44" s="19">
        <f>VLOOKUP(E44,Résultats!$B$2:$AX$476,'T energie vecteurs'!K5,FALSE)</f>
        <v>1.9045931359999999</v>
      </c>
      <c r="J44" s="19">
        <f>VLOOKUP(F44,Résultats!$B$2:$AX$476,'T energie vecteurs'!K5,FALSE)</f>
        <v>0</v>
      </c>
      <c r="K44" s="19">
        <f>VLOOKUP(G44,Résultats!$B$2:$AX$476,'T energie vecteurs'!K5,FALSE)</f>
        <v>2.1523416530000001</v>
      </c>
      <c r="L44" s="120">
        <f t="shared" si="6"/>
        <v>4.9417062931000002</v>
      </c>
      <c r="M44" s="19"/>
      <c r="N44" s="178" t="s">
        <v>153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7"/>
        <v>14.011515135504252</v>
      </c>
      <c r="T44" s="19"/>
      <c r="U44" s="178" t="s">
        <v>153</v>
      </c>
      <c r="V44" t="s">
        <v>154</v>
      </c>
      <c r="W44" t="s">
        <v>155</v>
      </c>
      <c r="X44" t="s">
        <v>156</v>
      </c>
      <c r="Y44" t="s">
        <v>157</v>
      </c>
      <c r="Z44" s="19">
        <v>0.87612567470000002</v>
      </c>
      <c r="AA44" s="19">
        <v>2.034113396</v>
      </c>
      <c r="AB44" s="19">
        <v>0</v>
      </c>
      <c r="AC44" s="19">
        <v>2.1331636500000002</v>
      </c>
      <c r="AD44" s="120">
        <v>5.0434027206999996</v>
      </c>
    </row>
    <row r="45" spans="3:30" x14ac:dyDescent="0.25">
      <c r="C45" s="178" t="s">
        <v>25</v>
      </c>
      <c r="D45" t="s">
        <v>604</v>
      </c>
      <c r="E45" t="s">
        <v>605</v>
      </c>
      <c r="F45" t="s">
        <v>606</v>
      </c>
      <c r="G45" t="s">
        <v>607</v>
      </c>
      <c r="H45" s="19">
        <f>VLOOKUP(D45,Résultats!$B$2:$AX$476,'T energie vecteurs'!K5,FALSE)</f>
        <v>0</v>
      </c>
      <c r="I45" s="19">
        <f>VLOOKUP(E45,Résultats!$B$2:$AX$476,'T energie vecteurs'!K5,FALSE)</f>
        <v>2.4228257590000002</v>
      </c>
      <c r="J45" s="19">
        <f>VLOOKUP(F45,Résultats!$B$2:$AX$476,'T energie vecteurs'!K5,FALSE)</f>
        <v>0.32343432179999998</v>
      </c>
      <c r="K45" s="19">
        <f>VLOOKUP(G45,Résultats!$B$2:$AX$476,'T energie vecteurs'!K5,FALSE)</f>
        <v>0.3855734039</v>
      </c>
      <c r="L45" s="120">
        <f t="shared" si="6"/>
        <v>3.1318334847</v>
      </c>
      <c r="M45" s="19"/>
      <c r="N45" s="179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1">
        <f t="shared" si="7"/>
        <v>4.6843091081492378</v>
      </c>
      <c r="T45" s="19"/>
      <c r="U45" s="178" t="s">
        <v>25</v>
      </c>
      <c r="V45" t="s">
        <v>109</v>
      </c>
      <c r="W45" t="s">
        <v>110</v>
      </c>
      <c r="X45" t="s">
        <v>111</v>
      </c>
      <c r="Y45" t="s">
        <v>112</v>
      </c>
      <c r="Z45" s="19">
        <v>0</v>
      </c>
      <c r="AA45" s="19">
        <v>2.434084484</v>
      </c>
      <c r="AB45" s="19">
        <v>0.33748916099999998</v>
      </c>
      <c r="AC45" s="19">
        <v>0.33184613349999997</v>
      </c>
      <c r="AD45" s="120">
        <v>3.1034197785000002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2.8987737598000001</v>
      </c>
      <c r="I46" s="9">
        <f>SUM(I37,I40:I42)</f>
        <v>64.159521389000005</v>
      </c>
      <c r="J46" s="9">
        <f>SUM(J37,J40:J42)</f>
        <v>38.678367707100001</v>
      </c>
      <c r="K46" s="9">
        <f>SUM(K37,K40:K42)</f>
        <v>50.699196808812097</v>
      </c>
      <c r="L46" s="123">
        <f t="shared" si="6"/>
        <v>156.4358596647121</v>
      </c>
      <c r="M46" s="105"/>
      <c r="N46" s="180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3">
        <f t="shared" si="7"/>
        <v>146.83542488927486</v>
      </c>
      <c r="T46" s="105"/>
      <c r="U46" s="29" t="s">
        <v>26</v>
      </c>
      <c r="V46" s="10"/>
      <c r="W46" s="10"/>
      <c r="X46" s="10"/>
      <c r="Y46" s="10"/>
      <c r="Z46" s="9">
        <v>3.2467538092999999</v>
      </c>
      <c r="AA46" s="9">
        <v>66.617048518000004</v>
      </c>
      <c r="AB46" s="9">
        <v>39.055991397500001</v>
      </c>
      <c r="AC46" s="9">
        <v>43.967075874743898</v>
      </c>
      <c r="AD46" s="123">
        <v>152.8868695995439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4">
        <v>2023</v>
      </c>
      <c r="D49" s="175"/>
      <c r="E49" s="175"/>
      <c r="F49" s="175"/>
      <c r="G49" s="175"/>
      <c r="H49" s="101" t="s">
        <v>36</v>
      </c>
      <c r="I49" s="101" t="s">
        <v>159</v>
      </c>
      <c r="J49" s="101" t="s">
        <v>38</v>
      </c>
      <c r="K49" s="101" t="s">
        <v>158</v>
      </c>
      <c r="L49" s="118" t="s">
        <v>1</v>
      </c>
      <c r="M49" s="25"/>
      <c r="N49" s="174">
        <v>2023</v>
      </c>
      <c r="O49" s="170" t="s">
        <v>36</v>
      </c>
      <c r="P49" s="101" t="s">
        <v>159</v>
      </c>
      <c r="Q49" s="101" t="s">
        <v>38</v>
      </c>
      <c r="R49" s="101" t="s">
        <v>158</v>
      </c>
      <c r="S49" s="118" t="s">
        <v>1</v>
      </c>
      <c r="T49" s="25"/>
      <c r="U49" s="174">
        <v>2023</v>
      </c>
      <c r="V49" s="175"/>
      <c r="W49" s="175"/>
      <c r="X49" s="175"/>
      <c r="Y49" s="175"/>
      <c r="Z49" s="101" t="s">
        <v>36</v>
      </c>
      <c r="AA49" s="101" t="s">
        <v>159</v>
      </c>
      <c r="AB49" s="101" t="s">
        <v>38</v>
      </c>
      <c r="AC49" s="101" t="s">
        <v>158</v>
      </c>
      <c r="AD49" s="118" t="s">
        <v>1</v>
      </c>
    </row>
    <row r="50" spans="2:30" x14ac:dyDescent="0.25">
      <c r="C50" s="176" t="s">
        <v>18</v>
      </c>
      <c r="H50" s="8">
        <f>SUM(H51:H52)</f>
        <v>0</v>
      </c>
      <c r="I50" s="8">
        <f>SUM(I51:I52)</f>
        <v>42.04377126</v>
      </c>
      <c r="J50" s="8">
        <f>SUM(J51:J52)</f>
        <v>1.6290970059000001</v>
      </c>
      <c r="K50" s="8">
        <f>SUM(K51:K52)</f>
        <v>0.42044466549120002</v>
      </c>
      <c r="L50" s="121">
        <f>SUM(H50:K50)</f>
        <v>44.093312931391203</v>
      </c>
      <c r="M50" s="99"/>
      <c r="N50" s="179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1">
        <f>SUM(O50:R50)</f>
        <v>43.365041093404294</v>
      </c>
      <c r="T50" s="245"/>
      <c r="U50" s="176" t="s">
        <v>18</v>
      </c>
      <c r="Z50" s="8">
        <v>0</v>
      </c>
      <c r="AA50" s="8">
        <v>42.795846499999996</v>
      </c>
      <c r="AB50" s="8">
        <v>2.0406269565000001</v>
      </c>
      <c r="AC50" s="8">
        <v>0.48883759963529999</v>
      </c>
      <c r="AD50" s="121">
        <v>45.325311056135298</v>
      </c>
    </row>
    <row r="51" spans="2:30" x14ac:dyDescent="0.25">
      <c r="C51" s="177" t="s">
        <v>19</v>
      </c>
      <c r="D51" t="s">
        <v>580</v>
      </c>
      <c r="E51" t="s">
        <v>581</v>
      </c>
      <c r="F51" t="s">
        <v>582</v>
      </c>
      <c r="G51" t="s">
        <v>583</v>
      </c>
      <c r="H51" s="19">
        <f>VLOOKUP(D51,Résultats!$B$2:$AX$476,'T energie vecteurs'!L5,FALSE)</f>
        <v>0</v>
      </c>
      <c r="I51" s="19">
        <f>VLOOKUP(E51,Résultats!$B$2:$AX$476,'T energie vecteurs'!L5,FALSE)</f>
        <v>23.003747260000001</v>
      </c>
      <c r="J51" s="19">
        <f>VLOOKUP(F51,Résultats!$B$2:$AX$476,'T energie vecteurs'!L5,FALSE)</f>
        <v>0.22141492290000001</v>
      </c>
      <c r="K51" s="19">
        <f>VLOOKUP(G51,Résultats!$B$2:$AX$476,'T energie vecteurs'!L5,FALSE)</f>
        <v>1.89428912E-5</v>
      </c>
      <c r="L51" s="120">
        <f t="shared" ref="L51:L52" si="9">SUM(H51:K51)</f>
        <v>23.225181125791199</v>
      </c>
      <c r="M51" s="19"/>
      <c r="N51" s="177" t="s">
        <v>19</v>
      </c>
      <c r="O51" s="172"/>
      <c r="P51" s="19"/>
      <c r="Q51" s="55"/>
      <c r="R51" s="19"/>
      <c r="S51" s="120"/>
      <c r="T51" s="245"/>
      <c r="U51" s="177" t="s">
        <v>19</v>
      </c>
      <c r="V51" t="s">
        <v>89</v>
      </c>
      <c r="W51" t="s">
        <v>90</v>
      </c>
      <c r="X51" t="s">
        <v>91</v>
      </c>
      <c r="Y51" t="s">
        <v>92</v>
      </c>
      <c r="Z51" s="19">
        <v>0</v>
      </c>
      <c r="AA51" s="19">
        <v>22.561407509999999</v>
      </c>
      <c r="AB51" s="19">
        <v>0.1998115415</v>
      </c>
      <c r="AC51" s="19">
        <v>1.32188353E-5</v>
      </c>
      <c r="AD51" s="120">
        <v>22.761232270335299</v>
      </c>
    </row>
    <row r="52" spans="2:30" x14ac:dyDescent="0.25">
      <c r="C52" s="178" t="s">
        <v>20</v>
      </c>
      <c r="D52" t="s">
        <v>584</v>
      </c>
      <c r="E52" t="s">
        <v>585</v>
      </c>
      <c r="F52" t="s">
        <v>586</v>
      </c>
      <c r="G52" t="s">
        <v>587</v>
      </c>
      <c r="H52" s="19">
        <f>VLOOKUP(D52,Résultats!$B$2:$AX$476,'T energie vecteurs'!L5,FALSE)</f>
        <v>0</v>
      </c>
      <c r="I52" s="19">
        <f>VLOOKUP(E52,Résultats!$B$2:$AX$476,'T energie vecteurs'!L5,FALSE)</f>
        <v>19.040023999999999</v>
      </c>
      <c r="J52" s="19">
        <f>VLOOKUP(F52,Résultats!$B$2:$AX$476,'T energie vecteurs'!L5,FALSE)</f>
        <v>1.4076820830000001</v>
      </c>
      <c r="K52" s="19">
        <f>VLOOKUP(G52,Résultats!$B$2:$AX$476,'T energie vecteurs'!L5,FALSE)</f>
        <v>0.4204257226</v>
      </c>
      <c r="L52" s="120">
        <f t="shared" si="9"/>
        <v>20.868131805600001</v>
      </c>
      <c r="M52" s="19"/>
      <c r="N52" s="178" t="s">
        <v>20</v>
      </c>
      <c r="O52" s="172"/>
      <c r="P52" s="19"/>
      <c r="Q52" s="55"/>
      <c r="R52" s="19"/>
      <c r="S52" s="120"/>
      <c r="T52" s="245"/>
      <c r="U52" s="178" t="s">
        <v>20</v>
      </c>
      <c r="V52" t="s">
        <v>93</v>
      </c>
      <c r="W52" t="s">
        <v>94</v>
      </c>
      <c r="X52" t="s">
        <v>95</v>
      </c>
      <c r="Y52" t="s">
        <v>96</v>
      </c>
      <c r="Z52" s="19">
        <v>0</v>
      </c>
      <c r="AA52" s="19">
        <v>20.234438990000001</v>
      </c>
      <c r="AB52" s="19">
        <v>1.840815415</v>
      </c>
      <c r="AC52" s="19">
        <v>0.48882438080000001</v>
      </c>
      <c r="AD52" s="120">
        <v>22.564078785800003</v>
      </c>
    </row>
    <row r="53" spans="2:30" x14ac:dyDescent="0.25">
      <c r="C53" s="176" t="s">
        <v>21</v>
      </c>
      <c r="D53" t="s">
        <v>588</v>
      </c>
      <c r="E53" t="s">
        <v>589</v>
      </c>
      <c r="F53" t="s">
        <v>590</v>
      </c>
      <c r="G53" t="s">
        <v>591</v>
      </c>
      <c r="H53" s="8">
        <f>VLOOKUP(D53,Résultats!$B$2:$AX$476,'T energie vecteurs'!L5,FALSE)</f>
        <v>0.3011587309</v>
      </c>
      <c r="I53" s="8">
        <f>VLOOKUP(E53,Résultats!$B$2:$AX$476,'T energie vecteurs'!L5,FALSE)</f>
        <v>5.937017838</v>
      </c>
      <c r="J53" s="8">
        <f>VLOOKUP(F53,Résultats!$B$2:$AX$476,'T energie vecteurs'!L5,FALSE)</f>
        <v>14.805342960000001</v>
      </c>
      <c r="K53" s="8">
        <f>VLOOKUP(G53,Résultats!$B$2:$AX$476,'T energie vecteurs'!L5,FALSE)+8</f>
        <v>24.847947080000001</v>
      </c>
      <c r="L53" s="121">
        <f>SUM(H53:K53)</f>
        <v>45.891466608900004</v>
      </c>
      <c r="M53" s="99"/>
      <c r="N53" s="179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1">
        <f t="shared" ref="S53:S59" si="10">SUM(O53:R53)</f>
        <v>36.413241511271863</v>
      </c>
      <c r="T53" s="245"/>
      <c r="U53" s="176" t="s">
        <v>21</v>
      </c>
      <c r="V53" t="s">
        <v>97</v>
      </c>
      <c r="W53" t="s">
        <v>98</v>
      </c>
      <c r="X53" t="s">
        <v>99</v>
      </c>
      <c r="Y53" t="s">
        <v>100</v>
      </c>
      <c r="Z53" s="263">
        <v>0.23206824070000001</v>
      </c>
      <c r="AA53" s="263">
        <v>5.4374454109999997</v>
      </c>
      <c r="AB53" s="263">
        <v>15.022933159999999</v>
      </c>
      <c r="AC53" s="263">
        <v>21.18374021</v>
      </c>
      <c r="AD53" s="264">
        <v>41.876187021699998</v>
      </c>
    </row>
    <row r="54" spans="2:30" x14ac:dyDescent="0.25">
      <c r="C54" s="176" t="s">
        <v>22</v>
      </c>
      <c r="D54" t="s">
        <v>592</v>
      </c>
      <c r="E54" t="s">
        <v>593</v>
      </c>
      <c r="F54" t="s">
        <v>594</v>
      </c>
      <c r="G54" t="s">
        <v>595</v>
      </c>
      <c r="H54" s="8">
        <f>VLOOKUP(D54,Résultats!$B$2:$AX$476,'T energie vecteurs'!L5,FALSE)</f>
        <v>0</v>
      </c>
      <c r="I54" s="8">
        <f>VLOOKUP(E54,Résultats!$B$2:$AX$476,'T energie vecteurs'!L5,FALSE)</f>
        <v>3.0105893930000001</v>
      </c>
      <c r="J54" s="8">
        <f>VLOOKUP(F54,Résultats!$B$2:$AX$476,'T energie vecteurs'!L5,FALSE)</f>
        <v>12.833197009999999</v>
      </c>
      <c r="K54" s="8">
        <f>VLOOKUP(G54,Résultats!$B$2:$AX$476,'T energie vecteurs'!L5,FALSE)</f>
        <v>9.2118265479999994</v>
      </c>
      <c r="L54" s="121">
        <f t="shared" ref="L54:L56" si="11">SUM(H54:K54)</f>
        <v>25.055612951000001</v>
      </c>
      <c r="M54" s="99"/>
      <c r="N54" s="179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1">
        <f t="shared" si="10"/>
        <v>20.35711736471265</v>
      </c>
      <c r="T54" s="245"/>
      <c r="U54" s="176" t="s">
        <v>22</v>
      </c>
      <c r="V54" t="s">
        <v>101</v>
      </c>
      <c r="W54" t="s">
        <v>102</v>
      </c>
      <c r="X54" t="s">
        <v>103</v>
      </c>
      <c r="Y54" t="s">
        <v>104</v>
      </c>
      <c r="Z54" s="8">
        <v>0</v>
      </c>
      <c r="AA54" s="8">
        <v>2.6397847670000001</v>
      </c>
      <c r="AB54" s="8">
        <v>12.036809610000001</v>
      </c>
      <c r="AC54" s="8">
        <v>7.320463395</v>
      </c>
      <c r="AD54" s="121">
        <v>21.997057772000002</v>
      </c>
    </row>
    <row r="55" spans="2:30" x14ac:dyDescent="0.25">
      <c r="C55" s="176" t="s">
        <v>23</v>
      </c>
      <c r="H55" s="8">
        <f>SUM(H56:H58)</f>
        <v>2.6017189035000001</v>
      </c>
      <c r="I55" s="8">
        <f>SUM(I56:I58)</f>
        <v>12.792955195000001</v>
      </c>
      <c r="J55" s="8">
        <f>SUM(J56:J58)</f>
        <v>9.9821471652000007</v>
      </c>
      <c r="K55" s="8">
        <f>SUM(K56:K58)</f>
        <v>16.2672360593</v>
      </c>
      <c r="L55" s="121">
        <f t="shared" si="11"/>
        <v>41.644057322999998</v>
      </c>
      <c r="M55" s="99"/>
      <c r="N55" s="179" t="s">
        <v>280</v>
      </c>
      <c r="O55" s="36">
        <f>O56+O57</f>
        <v>3.8091541290558895</v>
      </c>
      <c r="P55" s="35">
        <f t="shared" ref="P55:R55" si="12">P56+P57</f>
        <v>12.120619615422576</v>
      </c>
      <c r="Q55" s="35">
        <f t="shared" si="12"/>
        <v>8.8688043852106624</v>
      </c>
      <c r="R55" s="35">
        <f t="shared" si="12"/>
        <v>13.00955432637566</v>
      </c>
      <c r="S55" s="171">
        <f t="shared" si="10"/>
        <v>37.808132456064783</v>
      </c>
      <c r="T55" s="245"/>
      <c r="U55" s="176" t="s">
        <v>23</v>
      </c>
      <c r="Z55" s="244">
        <v>3.0747745164000002</v>
      </c>
      <c r="AA55" s="244">
        <v>15.84569046</v>
      </c>
      <c r="AB55" s="8">
        <v>10.0922613549</v>
      </c>
      <c r="AC55" s="244">
        <v>14.850558835699999</v>
      </c>
      <c r="AD55" s="121">
        <v>43.863285167000001</v>
      </c>
    </row>
    <row r="56" spans="2:30" x14ac:dyDescent="0.25">
      <c r="C56" s="178" t="s">
        <v>24</v>
      </c>
      <c r="D56" t="s">
        <v>596</v>
      </c>
      <c r="E56" t="s">
        <v>597</v>
      </c>
      <c r="F56" t="s">
        <v>598</v>
      </c>
      <c r="G56" t="s">
        <v>599</v>
      </c>
      <c r="H56" s="19">
        <f>VLOOKUP(D56,Résultats!$B$2:$AX$476,'T energie vecteurs'!L5,FALSE)</f>
        <v>1.700369947</v>
      </c>
      <c r="I56" s="19">
        <f>VLOOKUP(E56,Résultats!$B$2:$AX$476,'T energie vecteurs'!L5,FALSE)</f>
        <v>8.3935604060000006</v>
      </c>
      <c r="J56" s="19">
        <f>VLOOKUP(F56,Résultats!$B$2:$AX$476,'T energie vecteurs'!L5,FALSE)</f>
        <v>9.6501702859999998</v>
      </c>
      <c r="K56" s="19">
        <f>VLOOKUP(G56,Résultats!$B$2:$AX$476,'T energie vecteurs'!L5,FALSE)</f>
        <v>13.68784718</v>
      </c>
      <c r="L56" s="120">
        <f t="shared" si="11"/>
        <v>33.431947819000001</v>
      </c>
      <c r="M56" s="19"/>
      <c r="N56" s="178" t="s">
        <v>281</v>
      </c>
      <c r="O56" s="172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12.148361914509795</v>
      </c>
      <c r="S56" s="120">
        <f t="shared" si="10"/>
        <v>23.993805328243035</v>
      </c>
      <c r="T56" s="245"/>
      <c r="U56" s="178" t="s">
        <v>24</v>
      </c>
      <c r="V56" t="s">
        <v>105</v>
      </c>
      <c r="W56" t="s">
        <v>106</v>
      </c>
      <c r="X56" t="s">
        <v>107</v>
      </c>
      <c r="Y56" t="s">
        <v>108</v>
      </c>
      <c r="Z56" s="19">
        <v>2.1817270600000001</v>
      </c>
      <c r="AA56" s="19">
        <v>11.317897370000001</v>
      </c>
      <c r="AB56" s="19">
        <v>9.7594965400000007</v>
      </c>
      <c r="AC56" s="19">
        <v>12.32752153</v>
      </c>
      <c r="AD56" s="120">
        <v>35.586642500000004</v>
      </c>
    </row>
    <row r="57" spans="2:30" x14ac:dyDescent="0.25">
      <c r="C57" s="178" t="s">
        <v>153</v>
      </c>
      <c r="D57" t="s">
        <v>600</v>
      </c>
      <c r="E57" t="s">
        <v>601</v>
      </c>
      <c r="F57" t="s">
        <v>602</v>
      </c>
      <c r="G57" t="s">
        <v>603</v>
      </c>
      <c r="H57" s="19">
        <f>VLOOKUP(D57,Résultats!$B$2:$AX$476,'T energie vecteurs'!L5,FALSE)</f>
        <v>0.90134895650000002</v>
      </c>
      <c r="I57" s="19">
        <f>VLOOKUP(E57,Résultats!$B$2:$AX$476,'T energie vecteurs'!L5,FALSE)</f>
        <v>1.9408582679999999</v>
      </c>
      <c r="J57" s="19">
        <f>VLOOKUP(F57,Résultats!$B$2:$AX$476,'T energie vecteurs'!L5,FALSE)</f>
        <v>0</v>
      </c>
      <c r="K57" s="19">
        <f>VLOOKUP(G57,Résultats!$B$2:$AX$476,'T energie vecteurs'!L5,FALSE)</f>
        <v>2.183374583</v>
      </c>
      <c r="L57" s="120">
        <f>SUM(H57:K57)</f>
        <v>5.0255818075000001</v>
      </c>
      <c r="M57" s="19"/>
      <c r="N57" s="178" t="s">
        <v>153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0"/>
        <v>13.814327127821752</v>
      </c>
      <c r="T57" s="245"/>
      <c r="U57" s="178" t="s">
        <v>153</v>
      </c>
      <c r="V57" t="s">
        <v>154</v>
      </c>
      <c r="W57" t="s">
        <v>155</v>
      </c>
      <c r="X57" t="s">
        <v>156</v>
      </c>
      <c r="Y57" t="s">
        <v>157</v>
      </c>
      <c r="Z57" s="19">
        <v>0.89304745640000005</v>
      </c>
      <c r="AA57" s="19">
        <v>2.1002378620000002</v>
      </c>
      <c r="AB57" s="19">
        <v>0</v>
      </c>
      <c r="AC57" s="19">
        <v>2.1932316489999999</v>
      </c>
      <c r="AD57" s="120">
        <v>5.1865169674000002</v>
      </c>
    </row>
    <row r="58" spans="2:30" x14ac:dyDescent="0.25">
      <c r="C58" s="178" t="s">
        <v>25</v>
      </c>
      <c r="D58" t="s">
        <v>604</v>
      </c>
      <c r="E58" t="s">
        <v>605</v>
      </c>
      <c r="F58" t="s">
        <v>606</v>
      </c>
      <c r="G58" t="s">
        <v>607</v>
      </c>
      <c r="H58" s="19">
        <f>VLOOKUP(D58,Résultats!$B$2:$AX$476,'T energie vecteurs'!L5,FALSE)</f>
        <v>0</v>
      </c>
      <c r="I58" s="19">
        <f>VLOOKUP(E58,Résultats!$B$2:$AX$476,'T energie vecteurs'!L5,FALSE)</f>
        <v>2.4585365210000001</v>
      </c>
      <c r="J58" s="19">
        <f>VLOOKUP(F58,Résultats!$B$2:$AX$476,'T energie vecteurs'!L5,FALSE)</f>
        <v>0.33197687920000002</v>
      </c>
      <c r="K58" s="19">
        <f>VLOOKUP(G58,Résultats!$B$2:$AX$476,'T energie vecteurs'!L5,FALSE)</f>
        <v>0.39601429630000001</v>
      </c>
      <c r="L58" s="120">
        <f t="shared" ref="L58" si="13">SUM(H58:K58)</f>
        <v>3.1865276965000002</v>
      </c>
      <c r="M58" s="19"/>
      <c r="N58" s="179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1">
        <f t="shared" si="10"/>
        <v>4.5190032996359957</v>
      </c>
      <c r="T58" s="245"/>
      <c r="U58" s="178" t="s">
        <v>25</v>
      </c>
      <c r="V58" t="s">
        <v>109</v>
      </c>
      <c r="W58" t="s">
        <v>110</v>
      </c>
      <c r="X58" t="s">
        <v>111</v>
      </c>
      <c r="Y58" t="s">
        <v>112</v>
      </c>
      <c r="Z58" s="19">
        <v>0</v>
      </c>
      <c r="AA58" s="19">
        <v>2.4275552280000001</v>
      </c>
      <c r="AB58" s="19">
        <v>0.33276481489999998</v>
      </c>
      <c r="AC58" s="19">
        <v>0.3298056567</v>
      </c>
      <c r="AD58" s="120">
        <v>3.0901256996000002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2.9028776344000002</v>
      </c>
      <c r="I59" s="9">
        <f>SUM(I50,I53:I55)</f>
        <v>63.784333686000011</v>
      </c>
      <c r="J59" s="9">
        <f>SUM(J50,J53:J55)</f>
        <v>39.249784141100001</v>
      </c>
      <c r="K59" s="9">
        <f>SUM(K50,K53:K55)</f>
        <v>50.747454352791195</v>
      </c>
      <c r="L59" s="123">
        <f>SUM(H59:K59)</f>
        <v>156.68444981429121</v>
      </c>
      <c r="M59" s="105"/>
      <c r="N59" s="180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3">
        <f t="shared" si="10"/>
        <v>142.46253572508959</v>
      </c>
      <c r="T59" s="105"/>
      <c r="U59" s="29" t="s">
        <v>26</v>
      </c>
      <c r="V59" s="10"/>
      <c r="W59" s="10"/>
      <c r="X59" s="10"/>
      <c r="Y59" s="10"/>
      <c r="Z59" s="9">
        <v>3.3068427571000001</v>
      </c>
      <c r="AA59" s="9">
        <v>66.718767138000004</v>
      </c>
      <c r="AB59" s="9">
        <v>39.192631081399995</v>
      </c>
      <c r="AC59" s="9">
        <v>43.843600040335303</v>
      </c>
      <c r="AD59" s="123">
        <v>153.0618410168353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4">
        <v>2025</v>
      </c>
      <c r="D62" s="175"/>
      <c r="E62" s="175"/>
      <c r="F62" s="175"/>
      <c r="G62" s="175"/>
      <c r="H62" s="101" t="s">
        <v>36</v>
      </c>
      <c r="I62" s="101" t="s">
        <v>159</v>
      </c>
      <c r="J62" s="101" t="s">
        <v>38</v>
      </c>
      <c r="K62" s="101" t="s">
        <v>158</v>
      </c>
      <c r="L62" s="118" t="s">
        <v>1</v>
      </c>
      <c r="M62" s="25"/>
      <c r="N62" s="174">
        <v>2025</v>
      </c>
      <c r="O62" s="170" t="s">
        <v>36</v>
      </c>
      <c r="P62" s="101" t="s">
        <v>159</v>
      </c>
      <c r="Q62" s="101" t="s">
        <v>38</v>
      </c>
      <c r="R62" s="101" t="s">
        <v>158</v>
      </c>
      <c r="S62" s="118" t="s">
        <v>1</v>
      </c>
      <c r="T62" s="25"/>
      <c r="U62" s="174">
        <v>2025</v>
      </c>
      <c r="V62" s="175"/>
      <c r="W62" s="175"/>
      <c r="X62" s="175"/>
      <c r="Y62" s="175"/>
      <c r="Z62" s="101" t="s">
        <v>36</v>
      </c>
      <c r="AA62" s="101" t="s">
        <v>159</v>
      </c>
      <c r="AB62" s="101" t="s">
        <v>38</v>
      </c>
      <c r="AC62" s="101" t="s">
        <v>158</v>
      </c>
      <c r="AD62" s="118" t="s">
        <v>1</v>
      </c>
    </row>
    <row r="63" spans="2:30" x14ac:dyDescent="0.25">
      <c r="C63" s="176" t="s">
        <v>18</v>
      </c>
      <c r="H63" s="8">
        <f>SUM(H64:H65)</f>
        <v>0</v>
      </c>
      <c r="I63" s="8">
        <f>SUM(I64:I65)</f>
        <v>41.375778089999997</v>
      </c>
      <c r="J63" s="8">
        <f>SUM(J64:J65)</f>
        <v>1.8059260915999999</v>
      </c>
      <c r="K63" s="8">
        <f>SUM(K64:K65)</f>
        <v>0.58233724264620002</v>
      </c>
      <c r="L63" s="121">
        <f t="shared" ref="L63:L72" si="14">SUM(H63:K63)</f>
        <v>43.764041424246194</v>
      </c>
      <c r="M63" s="99"/>
      <c r="N63" s="179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1">
        <f>SUM(O63:R63)</f>
        <v>40.669108899112402</v>
      </c>
      <c r="T63" s="99"/>
      <c r="U63" s="176" t="s">
        <v>18</v>
      </c>
      <c r="Z63" s="8">
        <v>0</v>
      </c>
      <c r="AA63" s="8">
        <v>42.185575020000002</v>
      </c>
      <c r="AB63" s="8">
        <v>2.2049147527000001</v>
      </c>
      <c r="AC63" s="8">
        <v>0.67795165934269996</v>
      </c>
      <c r="AD63" s="121">
        <v>45.068441432042704</v>
      </c>
    </row>
    <row r="64" spans="2:30" x14ac:dyDescent="0.25">
      <c r="C64" s="177" t="s">
        <v>19</v>
      </c>
      <c r="D64" t="s">
        <v>580</v>
      </c>
      <c r="E64" t="s">
        <v>581</v>
      </c>
      <c r="F64" t="s">
        <v>582</v>
      </c>
      <c r="G64" t="s">
        <v>583</v>
      </c>
      <c r="H64" s="19">
        <f>VLOOKUP(D64,Résultats!$B$2:$AX$476,'T energie vecteurs'!N5,FALSE)</f>
        <v>0</v>
      </c>
      <c r="I64" s="19">
        <f>VLOOKUP(E64,Résultats!$B$2:$AX$476,'T energie vecteurs'!N5,FALSE)</f>
        <v>22.185905399999999</v>
      </c>
      <c r="J64" s="19">
        <f>VLOOKUP(F64,Résultats!$B$2:$AX$476,'T energie vecteurs'!N5,FALSE)</f>
        <v>0.3373448926</v>
      </c>
      <c r="K64" s="19">
        <f>VLOOKUP(G77,Résultats!$B$2:$AX$476,'T energie vecteurs'!N5,FALSE)</f>
        <v>2.3801746199999999E-5</v>
      </c>
      <c r="L64" s="120">
        <f t="shared" si="14"/>
        <v>22.523274094346199</v>
      </c>
      <c r="M64" s="19"/>
      <c r="N64" s="177" t="s">
        <v>19</v>
      </c>
      <c r="O64" s="172"/>
      <c r="P64" s="19"/>
      <c r="Q64" s="55"/>
      <c r="R64" s="19"/>
      <c r="S64" s="120"/>
      <c r="T64" s="19"/>
      <c r="U64" s="177" t="s">
        <v>19</v>
      </c>
      <c r="V64" t="s">
        <v>89</v>
      </c>
      <c r="W64" t="s">
        <v>90</v>
      </c>
      <c r="X64" t="s">
        <v>91</v>
      </c>
      <c r="Y64" t="s">
        <v>92</v>
      </c>
      <c r="Z64" s="19">
        <v>0</v>
      </c>
      <c r="AA64" s="19">
        <v>21.485258959999999</v>
      </c>
      <c r="AB64" s="19">
        <v>0.30036180169999999</v>
      </c>
      <c r="AC64" s="19">
        <v>1.6350542700000002E-5</v>
      </c>
      <c r="AD64" s="120">
        <v>21.7856371122427</v>
      </c>
    </row>
    <row r="65" spans="3:30" x14ac:dyDescent="0.25">
      <c r="C65" s="178" t="s">
        <v>20</v>
      </c>
      <c r="D65" t="s">
        <v>584</v>
      </c>
      <c r="E65" t="s">
        <v>585</v>
      </c>
      <c r="F65" t="s">
        <v>586</v>
      </c>
      <c r="G65" t="s">
        <v>587</v>
      </c>
      <c r="H65" s="19">
        <f>VLOOKUP(D65,Résultats!$B$2:$AX$476,'T energie vecteurs'!N5,FALSE)</f>
        <v>0</v>
      </c>
      <c r="I65" s="19">
        <f>VLOOKUP(E65,Résultats!$B$2:$AX$476,'T energie vecteurs'!N5,FALSE)</f>
        <v>19.189872690000001</v>
      </c>
      <c r="J65" s="19">
        <f>VLOOKUP(F65,Résultats!$B$2:$AX$476,'T energie vecteurs'!N5,FALSE)</f>
        <v>1.4685811989999999</v>
      </c>
      <c r="K65" s="19">
        <f>VLOOKUP(G65,Résultats!$B$2:$AX$476,'T energie vecteurs'!N5,FALSE)</f>
        <v>0.58231344090000003</v>
      </c>
      <c r="L65" s="120">
        <f t="shared" si="14"/>
        <v>21.240767329899999</v>
      </c>
      <c r="M65" s="19"/>
      <c r="N65" s="178" t="s">
        <v>20</v>
      </c>
      <c r="O65" s="172"/>
      <c r="P65" s="19"/>
      <c r="Q65" s="55"/>
      <c r="R65" s="19"/>
      <c r="S65" s="120"/>
      <c r="T65" s="19"/>
      <c r="U65" s="178" t="s">
        <v>20</v>
      </c>
      <c r="V65" t="s">
        <v>93</v>
      </c>
      <c r="W65" t="s">
        <v>94</v>
      </c>
      <c r="X65" t="s">
        <v>95</v>
      </c>
      <c r="Y65" t="s">
        <v>96</v>
      </c>
      <c r="Z65" s="19">
        <v>0</v>
      </c>
      <c r="AA65" s="19">
        <v>20.700316059999999</v>
      </c>
      <c r="AB65" s="19">
        <v>1.9045529510000001</v>
      </c>
      <c r="AC65" s="19">
        <v>0.67793530879999997</v>
      </c>
      <c r="AD65" s="120">
        <v>23.282804319799997</v>
      </c>
    </row>
    <row r="66" spans="3:30" x14ac:dyDescent="0.25">
      <c r="C66" s="176" t="s">
        <v>21</v>
      </c>
      <c r="D66" t="s">
        <v>588</v>
      </c>
      <c r="E66" t="s">
        <v>589</v>
      </c>
      <c r="F66" t="s">
        <v>590</v>
      </c>
      <c r="G66" t="s">
        <v>591</v>
      </c>
      <c r="H66" s="8">
        <f>VLOOKUP(D66,Résultats!$B$2:$AX$476,'T energie vecteurs'!N5,FALSE)</f>
        <v>0.2871436798</v>
      </c>
      <c r="I66" s="8">
        <f>VLOOKUP(E66,Résultats!$B$2:$AX$476,'T energie vecteurs'!N5,FALSE)</f>
        <v>5.6510821059999996</v>
      </c>
      <c r="J66" s="8">
        <f>VLOOKUP(F66,Résultats!$B$2:$AX$476,'T energie vecteurs'!N5,FALSE)</f>
        <v>15.114046630000001</v>
      </c>
      <c r="K66" s="8">
        <f>VLOOKUP(G66,Résultats!$B$2:$AX$476,'T energie vecteurs'!N5,FALSE)+8</f>
        <v>24.440587870000002</v>
      </c>
      <c r="L66" s="121">
        <f t="shared" si="14"/>
        <v>45.492860285800006</v>
      </c>
      <c r="M66" s="99"/>
      <c r="N66" s="179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1">
        <f t="shared" ref="S66:S72" si="15">SUM(O66:R66)</f>
        <v>39.105494056556061</v>
      </c>
      <c r="T66" s="99"/>
      <c r="U66" s="176" t="s">
        <v>21</v>
      </c>
      <c r="V66" t="s">
        <v>97</v>
      </c>
      <c r="W66" t="s">
        <v>98</v>
      </c>
      <c r="X66" t="s">
        <v>99</v>
      </c>
      <c r="Y66" t="s">
        <v>100</v>
      </c>
      <c r="Z66" s="263">
        <v>0.2127020067</v>
      </c>
      <c r="AA66" s="263">
        <v>5.0926712209999998</v>
      </c>
      <c r="AB66" s="263">
        <v>14.91479638</v>
      </c>
      <c r="AC66" s="263">
        <v>20.802555349999999</v>
      </c>
      <c r="AD66" s="264">
        <v>41.022724957699999</v>
      </c>
    </row>
    <row r="67" spans="3:30" x14ac:dyDescent="0.25">
      <c r="C67" s="176" t="s">
        <v>22</v>
      </c>
      <c r="D67" t="s">
        <v>592</v>
      </c>
      <c r="E67" t="s">
        <v>593</v>
      </c>
      <c r="F67" t="s">
        <v>594</v>
      </c>
      <c r="G67" t="s">
        <v>595</v>
      </c>
      <c r="H67" s="8">
        <f>VLOOKUP(D67,Résultats!$B$2:$AX$476,'T energie vecteurs'!N5,FALSE)</f>
        <v>0</v>
      </c>
      <c r="I67" s="8">
        <f>VLOOKUP(E67,Résultats!$B$2:$AX$476,'T energie vecteurs'!N5,FALSE)</f>
        <v>2.8097945599999998</v>
      </c>
      <c r="J67" s="8">
        <f>VLOOKUP(F67,Résultats!$B$2:$AX$476,'T energie vecteurs'!N5,FALSE)</f>
        <v>13.42823798</v>
      </c>
      <c r="K67" s="8">
        <f>VLOOKUP(G67,Résultats!$B$2:$AX$476,'T energie vecteurs'!N5,FALSE)</f>
        <v>9.2338452610000008</v>
      </c>
      <c r="L67" s="121">
        <f t="shared" si="14"/>
        <v>25.471877800999998</v>
      </c>
      <c r="M67" s="99"/>
      <c r="N67" s="179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1">
        <f t="shared" si="15"/>
        <v>20.446248451860367</v>
      </c>
      <c r="T67" s="99"/>
      <c r="U67" s="176" t="s">
        <v>22</v>
      </c>
      <c r="V67" t="s">
        <v>101</v>
      </c>
      <c r="W67" t="s">
        <v>102</v>
      </c>
      <c r="X67" t="s">
        <v>103</v>
      </c>
      <c r="Y67" t="s">
        <v>104</v>
      </c>
      <c r="Z67" s="8">
        <v>0</v>
      </c>
      <c r="AA67" s="8">
        <v>2.5387753740000001</v>
      </c>
      <c r="AB67" s="8">
        <v>12.130408040000001</v>
      </c>
      <c r="AC67" s="8">
        <v>7.3230770300000003</v>
      </c>
      <c r="AD67" s="121">
        <v>21.992260444000003</v>
      </c>
    </row>
    <row r="68" spans="3:30" x14ac:dyDescent="0.25">
      <c r="C68" s="176" t="s">
        <v>23</v>
      </c>
      <c r="H68" s="8">
        <f>SUM(H69:H71)</f>
        <v>2.5441308317</v>
      </c>
      <c r="I68" s="8">
        <f>SUM(I69:I71)</f>
        <v>12.599775060000001</v>
      </c>
      <c r="J68" s="8">
        <f>SUM(J69:J71)</f>
        <v>10.7155223476</v>
      </c>
      <c r="K68" s="8">
        <f>SUM(K69:K71)</f>
        <v>16.376152019500001</v>
      </c>
      <c r="L68" s="121">
        <f t="shared" si="14"/>
        <v>42.235580258799999</v>
      </c>
      <c r="M68" s="99"/>
      <c r="N68" s="179" t="s">
        <v>280</v>
      </c>
      <c r="O68" s="36">
        <f>O69+O70</f>
        <v>4.2119673749809596</v>
      </c>
      <c r="P68" s="35">
        <f t="shared" ref="P68:R68" si="16">P69+P70</f>
        <v>13.344099936220454</v>
      </c>
      <c r="Q68" s="35">
        <f t="shared" si="16"/>
        <v>9.4854890713287645</v>
      </c>
      <c r="R68" s="35">
        <f t="shared" si="16"/>
        <v>13.855608235952786</v>
      </c>
      <c r="S68" s="171">
        <f t="shared" si="15"/>
        <v>40.897164618482961</v>
      </c>
      <c r="T68" s="99"/>
      <c r="U68" s="176" t="s">
        <v>23</v>
      </c>
      <c r="Z68" s="8">
        <v>3.2028718037999999</v>
      </c>
      <c r="AA68" s="8">
        <v>16.496629178999999</v>
      </c>
      <c r="AB68" s="8">
        <v>10.4818738513</v>
      </c>
      <c r="AC68" s="8">
        <v>15.5080600384</v>
      </c>
      <c r="AD68" s="121">
        <v>45.689434872500001</v>
      </c>
    </row>
    <row r="69" spans="3:30" x14ac:dyDescent="0.25">
      <c r="C69" s="178" t="s">
        <v>24</v>
      </c>
      <c r="D69" t="s">
        <v>596</v>
      </c>
      <c r="E69" t="s">
        <v>597</v>
      </c>
      <c r="F69" t="s">
        <v>598</v>
      </c>
      <c r="G69" t="s">
        <v>599</v>
      </c>
      <c r="H69" s="19">
        <f>VLOOKUP(D69,Résultats!$B$2:$AX$476,'T energie vecteurs'!N5,FALSE)</f>
        <v>1.6360452649999999</v>
      </c>
      <c r="I69" s="19">
        <f>VLOOKUP(E69,Résultats!$B$2:$AX$476,'T energie vecteurs'!N5,FALSE)</f>
        <v>8.1276443910000005</v>
      </c>
      <c r="J69" s="19">
        <f>VLOOKUP(F69,Résultats!$B$2:$AX$476,'T energie vecteurs'!N5,FALSE)</f>
        <v>10.37466731</v>
      </c>
      <c r="K69" s="19">
        <f>VLOOKUP(G69,Résultats!$B$2:$AX$476,'T energie vecteurs'!N5,FALSE)</f>
        <v>13.754958029999999</v>
      </c>
      <c r="L69" s="120">
        <f t="shared" si="14"/>
        <v>33.893314996000001</v>
      </c>
      <c r="M69" s="19"/>
      <c r="N69" s="178" t="s">
        <v>281</v>
      </c>
      <c r="O69" s="172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5"/>
        <v>25.274570604429478</v>
      </c>
      <c r="T69" s="19"/>
      <c r="U69" s="178" t="s">
        <v>24</v>
      </c>
      <c r="V69" t="s">
        <v>105</v>
      </c>
      <c r="W69" t="s">
        <v>106</v>
      </c>
      <c r="X69" t="s">
        <v>107</v>
      </c>
      <c r="Y69" t="s">
        <v>108</v>
      </c>
      <c r="Z69" s="19">
        <v>2.2810592999999999</v>
      </c>
      <c r="AA69" s="19">
        <v>11.881499249999999</v>
      </c>
      <c r="AB69" s="19">
        <v>10.15468869</v>
      </c>
      <c r="AC69" s="19">
        <v>12.86976907</v>
      </c>
      <c r="AD69" s="120">
        <v>37.187016310000004</v>
      </c>
    </row>
    <row r="70" spans="3:30" x14ac:dyDescent="0.25">
      <c r="C70" s="178" t="s">
        <v>153</v>
      </c>
      <c r="D70" t="s">
        <v>600</v>
      </c>
      <c r="E70" t="s">
        <v>601</v>
      </c>
      <c r="F70" t="s">
        <v>602</v>
      </c>
      <c r="G70" t="s">
        <v>603</v>
      </c>
      <c r="H70" s="19">
        <f>VLOOKUP(D70,Résultats!$B$2:$AX$476,'T energie vecteurs'!N5,FALSE)</f>
        <v>0.90808556669999996</v>
      </c>
      <c r="I70" s="19">
        <f>VLOOKUP(E70,Résultats!$B$2:$AX$476,'T energie vecteurs'!N5,FALSE)</f>
        <v>1.995999332</v>
      </c>
      <c r="J70" s="19">
        <f>VLOOKUP(F70,Résultats!$B$2:$AX$476,'T energie vecteurs'!N5,FALSE)</f>
        <v>0</v>
      </c>
      <c r="K70" s="19">
        <f>VLOOKUP(G70,Résultats!$B$2:$AX$476,'T energie vecteurs'!N5,FALSE)</f>
        <v>2.2189311420000002</v>
      </c>
      <c r="L70" s="120">
        <f t="shared" si="14"/>
        <v>5.1230160406999996</v>
      </c>
      <c r="M70" s="19"/>
      <c r="N70" s="178" t="s">
        <v>153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5"/>
        <v>15.622594014053488</v>
      </c>
      <c r="T70" s="19"/>
      <c r="U70" s="178" t="s">
        <v>153</v>
      </c>
      <c r="V70" t="s">
        <v>154</v>
      </c>
      <c r="W70" t="s">
        <v>155</v>
      </c>
      <c r="X70" t="s">
        <v>156</v>
      </c>
      <c r="Y70" t="s">
        <v>157</v>
      </c>
      <c r="Z70" s="19">
        <v>0.92181250380000002</v>
      </c>
      <c r="AA70" s="19">
        <v>2.2161908910000001</v>
      </c>
      <c r="AB70" s="19">
        <v>0</v>
      </c>
      <c r="AC70" s="19">
        <v>2.306016912</v>
      </c>
      <c r="AD70" s="120">
        <v>5.4440203068000006</v>
      </c>
    </row>
    <row r="71" spans="3:30" x14ac:dyDescent="0.25">
      <c r="C71" s="178" t="s">
        <v>25</v>
      </c>
      <c r="D71" t="s">
        <v>604</v>
      </c>
      <c r="E71" t="s">
        <v>605</v>
      </c>
      <c r="F71" t="s">
        <v>606</v>
      </c>
      <c r="G71" t="s">
        <v>607</v>
      </c>
      <c r="H71" s="19">
        <f>VLOOKUP(D71,Résultats!$B$2:$AX$476,'T energie vecteurs'!N5,FALSE)</f>
        <v>0</v>
      </c>
      <c r="I71" s="19">
        <f>VLOOKUP(E71,Résultats!$B$2:$AX$476,'T energie vecteurs'!N5,FALSE)</f>
        <v>2.476131337</v>
      </c>
      <c r="J71" s="19">
        <f>VLOOKUP(F71,Résultats!$B$2:$AX$476,'T energie vecteurs'!N5,FALSE)</f>
        <v>0.34085503760000002</v>
      </c>
      <c r="K71" s="19">
        <f>VLOOKUP(G71,Résultats!$B$2:$AX$476,'T energie vecteurs'!N5,FALSE)</f>
        <v>0.40226284750000002</v>
      </c>
      <c r="L71" s="120">
        <f t="shared" si="14"/>
        <v>3.2192492220999998</v>
      </c>
      <c r="M71" s="19"/>
      <c r="N71" s="179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1">
        <f t="shared" si="15"/>
        <v>4.1518340546380408</v>
      </c>
      <c r="T71" s="19"/>
      <c r="U71" s="178" t="s">
        <v>25</v>
      </c>
      <c r="V71" t="s">
        <v>109</v>
      </c>
      <c r="W71" t="s">
        <v>110</v>
      </c>
      <c r="X71" t="s">
        <v>111</v>
      </c>
      <c r="Y71" t="s">
        <v>112</v>
      </c>
      <c r="Z71" s="19">
        <v>0</v>
      </c>
      <c r="AA71" s="19">
        <v>2.398939038</v>
      </c>
      <c r="AB71" s="19">
        <v>0.32718516130000003</v>
      </c>
      <c r="AC71" s="19">
        <v>0.33227405640000002</v>
      </c>
      <c r="AD71" s="120">
        <v>3.0583982557000002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2.8312745115000002</v>
      </c>
      <c r="I72" s="9">
        <f>SUM(I63,I66:I68)</f>
        <v>62.436429815999993</v>
      </c>
      <c r="J72" s="9">
        <f>SUM(J63,J66:J68)</f>
        <v>41.063733049200003</v>
      </c>
      <c r="K72" s="9">
        <f>SUM(K63,K66:K68)</f>
        <v>50.632922393146202</v>
      </c>
      <c r="L72" s="123">
        <f t="shared" si="14"/>
        <v>156.9643597698462</v>
      </c>
      <c r="M72" s="105"/>
      <c r="N72" s="180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3">
        <f t="shared" si="15"/>
        <v>145.26985008064983</v>
      </c>
      <c r="T72" s="105"/>
      <c r="U72" s="29" t="s">
        <v>26</v>
      </c>
      <c r="V72" s="10"/>
      <c r="W72" s="10"/>
      <c r="X72" s="10"/>
      <c r="Y72" s="10"/>
      <c r="Z72" s="9">
        <v>3.4155738104999998</v>
      </c>
      <c r="AA72" s="9">
        <v>66.313650793999997</v>
      </c>
      <c r="AB72" s="9">
        <v>39.731993024000005</v>
      </c>
      <c r="AC72" s="9">
        <v>44.311644077742699</v>
      </c>
      <c r="AD72" s="123">
        <v>153.77286170624268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4">
        <v>2030</v>
      </c>
      <c r="D75" s="175"/>
      <c r="E75" s="175"/>
      <c r="F75" s="175"/>
      <c r="G75" s="175"/>
      <c r="H75" s="101" t="s">
        <v>36</v>
      </c>
      <c r="I75" s="101" t="s">
        <v>159</v>
      </c>
      <c r="J75" s="101" t="s">
        <v>38</v>
      </c>
      <c r="K75" s="101" t="s">
        <v>158</v>
      </c>
      <c r="L75" s="118" t="s">
        <v>1</v>
      </c>
      <c r="M75" s="25"/>
      <c r="N75" s="174">
        <v>2030</v>
      </c>
      <c r="O75" s="170" t="s">
        <v>36</v>
      </c>
      <c r="P75" s="101" t="s">
        <v>159</v>
      </c>
      <c r="Q75" s="101" t="s">
        <v>38</v>
      </c>
      <c r="R75" s="101" t="s">
        <v>158</v>
      </c>
      <c r="S75" s="118" t="s">
        <v>1</v>
      </c>
      <c r="T75" s="25"/>
      <c r="U75" s="174">
        <v>2030</v>
      </c>
      <c r="V75" s="175"/>
      <c r="W75" s="175"/>
      <c r="X75" s="175"/>
      <c r="Y75" s="175"/>
      <c r="Z75" s="101" t="s">
        <v>36</v>
      </c>
      <c r="AA75" s="101" t="s">
        <v>159</v>
      </c>
      <c r="AB75" s="101" t="s">
        <v>38</v>
      </c>
      <c r="AC75" s="101" t="s">
        <v>158</v>
      </c>
      <c r="AD75" s="118" t="s">
        <v>1</v>
      </c>
    </row>
    <row r="76" spans="3:30" x14ac:dyDescent="0.25">
      <c r="C76" s="176" t="s">
        <v>18</v>
      </c>
      <c r="H76" s="8">
        <f>SUM(H77:H78)</f>
        <v>0</v>
      </c>
      <c r="I76" s="8">
        <f>SUM(I77:I78)</f>
        <v>39.112774309999999</v>
      </c>
      <c r="J76" s="8">
        <f>SUM(J77:J78)</f>
        <v>2.5240941948</v>
      </c>
      <c r="K76" s="8">
        <f>SUM(K77:K78)</f>
        <v>1.3412343432161999</v>
      </c>
      <c r="L76" s="121">
        <f>SUM(H76:K76)</f>
        <v>42.978102848016199</v>
      </c>
      <c r="M76" s="99"/>
      <c r="N76" s="179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1">
        <f>SUM(O76:R76)</f>
        <v>36.389770824723101</v>
      </c>
      <c r="T76" s="245">
        <f>S76-'[1]Bilan 2030'!$X$5/11.63</f>
        <v>0</v>
      </c>
      <c r="U76" s="176" t="s">
        <v>18</v>
      </c>
      <c r="Z76" s="8">
        <v>0</v>
      </c>
      <c r="AA76" s="8">
        <v>40.853511490000002</v>
      </c>
      <c r="AB76" s="8">
        <v>3.1193281531999997</v>
      </c>
      <c r="AC76" s="8">
        <v>1.5414298451549</v>
      </c>
      <c r="AD76" s="121">
        <v>45.514269488354905</v>
      </c>
    </row>
    <row r="77" spans="3:30" x14ac:dyDescent="0.25">
      <c r="C77" s="177" t="s">
        <v>19</v>
      </c>
      <c r="D77" t="s">
        <v>580</v>
      </c>
      <c r="E77" t="s">
        <v>581</v>
      </c>
      <c r="F77" t="s">
        <v>582</v>
      </c>
      <c r="G77" t="s">
        <v>583</v>
      </c>
      <c r="H77" s="19">
        <f>VLOOKUP(D77,Résultats!$B$2:$AX$476,'T energie vecteurs'!S5,FALSE)</f>
        <v>0</v>
      </c>
      <c r="I77" s="19">
        <f>VLOOKUP(E77,Résultats!$B$2:$AX$476,'T energie vecteurs'!S5,FALSE)</f>
        <v>20.0216709</v>
      </c>
      <c r="J77" s="19">
        <f>VLOOKUP(F77,Résultats!$B$2:$AX$476,'T energie vecteurs'!S5,FALSE)</f>
        <v>0.79003121980000002</v>
      </c>
      <c r="K77" s="19">
        <f>VLOOKUP(G77,Résultats!$B$2:$AX$476,'T energie vecteurs'!S5,FALSE)</f>
        <v>3.3964216200000003E-5</v>
      </c>
      <c r="L77" s="120">
        <f t="shared" ref="L77:L84" si="17">SUM(H77:K77)</f>
        <v>20.8117360840162</v>
      </c>
      <c r="M77" s="19"/>
      <c r="N77" s="177" t="s">
        <v>19</v>
      </c>
      <c r="O77" s="172"/>
      <c r="P77" s="19"/>
      <c r="Q77" s="55"/>
      <c r="R77" s="19"/>
      <c r="S77" s="120"/>
      <c r="T77" s="245"/>
      <c r="U77" s="177" t="s">
        <v>19</v>
      </c>
      <c r="V77" t="s">
        <v>89</v>
      </c>
      <c r="W77" t="s">
        <v>90</v>
      </c>
      <c r="X77" t="s">
        <v>91</v>
      </c>
      <c r="Y77" t="s">
        <v>92</v>
      </c>
      <c r="Z77" s="19">
        <v>0</v>
      </c>
      <c r="AA77" s="19">
        <v>19.358452450000001</v>
      </c>
      <c r="AB77" s="19">
        <v>0.75402416120000004</v>
      </c>
      <c r="AC77" s="19">
        <v>2.4245154900000002E-5</v>
      </c>
      <c r="AD77" s="120">
        <v>20.112500856354902</v>
      </c>
    </row>
    <row r="78" spans="3:30" x14ac:dyDescent="0.25">
      <c r="C78" s="178" t="s">
        <v>20</v>
      </c>
      <c r="D78" t="s">
        <v>584</v>
      </c>
      <c r="E78" t="s">
        <v>585</v>
      </c>
      <c r="F78" t="s">
        <v>586</v>
      </c>
      <c r="G78" t="s">
        <v>587</v>
      </c>
      <c r="H78" s="19">
        <f>VLOOKUP(D78,Résultats!$B$2:$AX$476,'T energie vecteurs'!S5,FALSE)</f>
        <v>0</v>
      </c>
      <c r="I78" s="19">
        <f>VLOOKUP(E78,Résultats!$B$2:$AX$476,'T energie vecteurs'!S5,FALSE)</f>
        <v>19.091103409999999</v>
      </c>
      <c r="J78" s="19">
        <f>VLOOKUP(F78,Résultats!$B$2:$AX$476,'T energie vecteurs'!S5,FALSE)</f>
        <v>1.7340629750000001</v>
      </c>
      <c r="K78" s="19">
        <f>VLOOKUP(G78,Résultats!$B$2:$AX$476,'T energie vecteurs'!S5,FALSE)</f>
        <v>1.341200379</v>
      </c>
      <c r="L78" s="120">
        <f t="shared" si="17"/>
        <v>22.166366763999999</v>
      </c>
      <c r="M78" s="19"/>
      <c r="N78" s="178" t="s">
        <v>20</v>
      </c>
      <c r="O78" s="172"/>
      <c r="P78" s="19"/>
      <c r="Q78" s="55"/>
      <c r="R78" s="19"/>
      <c r="S78" s="120"/>
      <c r="T78" s="245"/>
      <c r="U78" s="178" t="s">
        <v>20</v>
      </c>
      <c r="V78" t="s">
        <v>93</v>
      </c>
      <c r="W78" t="s">
        <v>94</v>
      </c>
      <c r="X78" t="s">
        <v>95</v>
      </c>
      <c r="Y78" t="s">
        <v>96</v>
      </c>
      <c r="Z78" s="19">
        <v>0</v>
      </c>
      <c r="AA78" s="19">
        <v>21.495059040000001</v>
      </c>
      <c r="AB78" s="19">
        <v>2.3653039919999999</v>
      </c>
      <c r="AC78" s="19">
        <v>1.5414056</v>
      </c>
      <c r="AD78" s="120">
        <v>25.401768632000003</v>
      </c>
    </row>
    <row r="79" spans="3:30" x14ac:dyDescent="0.25">
      <c r="C79" s="176" t="s">
        <v>21</v>
      </c>
      <c r="D79" t="s">
        <v>588</v>
      </c>
      <c r="E79" t="s">
        <v>589</v>
      </c>
      <c r="F79" t="s">
        <v>590</v>
      </c>
      <c r="G79" t="s">
        <v>591</v>
      </c>
      <c r="H79" s="8">
        <f>VLOOKUP(D79,Résultats!$B$2:$AX$476,'T energie vecteurs'!S5,FALSE)</f>
        <v>0.2681498967</v>
      </c>
      <c r="I79" s="8">
        <f>VLOOKUP(E79,Résultats!$B$2:$AX$476,'T energie vecteurs'!S5,FALSE)</f>
        <v>5.4593729160000004</v>
      </c>
      <c r="J79" s="8">
        <f>VLOOKUP(F79,Résultats!$B$2:$AX$476,'T energie vecteurs'!S5,FALSE)</f>
        <v>15.86649334</v>
      </c>
      <c r="K79" s="8">
        <f>VLOOKUP(G79,Résultats!$B$2:$AX$476,'T energie vecteurs'!S5,FALSE)+8</f>
        <v>24.385815560000001</v>
      </c>
      <c r="L79" s="121">
        <f>SUM(H79:K79)</f>
        <v>45.979831712700005</v>
      </c>
      <c r="M79" s="99"/>
      <c r="N79" s="179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1">
        <f t="shared" ref="S79:S85" si="18">SUM(O79:R79)</f>
        <v>38.794555466365907</v>
      </c>
      <c r="T79" s="245">
        <f>S79-'[1]Bilan 2030'!$V$5/11.63</f>
        <v>0</v>
      </c>
      <c r="U79" s="176" t="s">
        <v>21</v>
      </c>
      <c r="V79" t="s">
        <v>97</v>
      </c>
      <c r="W79" t="s">
        <v>98</v>
      </c>
      <c r="X79" t="s">
        <v>99</v>
      </c>
      <c r="Y79" t="s">
        <v>100</v>
      </c>
      <c r="Z79" s="263">
        <v>0.1805846381</v>
      </c>
      <c r="AA79" s="263">
        <v>4.4292818440000001</v>
      </c>
      <c r="AB79" s="263">
        <v>15.093857529999999</v>
      </c>
      <c r="AC79" s="263">
        <v>19.98849293</v>
      </c>
      <c r="AD79" s="264">
        <v>39.692216942100004</v>
      </c>
    </row>
    <row r="80" spans="3:30" x14ac:dyDescent="0.25">
      <c r="C80" s="176" t="s">
        <v>22</v>
      </c>
      <c r="D80" t="s">
        <v>592</v>
      </c>
      <c r="E80" t="s">
        <v>593</v>
      </c>
      <c r="F80" t="s">
        <v>594</v>
      </c>
      <c r="G80" t="s">
        <v>595</v>
      </c>
      <c r="H80" s="8">
        <f>VLOOKUP(D80,Résultats!$B$2:$AX$476,'T energie vecteurs'!S5,FALSE)</f>
        <v>0</v>
      </c>
      <c r="I80" s="8">
        <f>VLOOKUP(E80,Résultats!$B$2:$AX$476,'T energie vecteurs'!S5,FALSE)</f>
        <v>2.4264424249999998</v>
      </c>
      <c r="J80" s="8">
        <f>VLOOKUP(F80,Résultats!$B$2:$AX$476,'T energie vecteurs'!S5,FALSE)</f>
        <v>14.188732460000001</v>
      </c>
      <c r="K80" s="8">
        <f>VLOOKUP(G80,Résultats!$B$2:$AX$476,'T energie vecteurs'!S5,FALSE)</f>
        <v>9.3048820570000004</v>
      </c>
      <c r="L80" s="121">
        <f t="shared" si="17"/>
        <v>25.920056942000002</v>
      </c>
      <c r="M80" s="99"/>
      <c r="N80" s="179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1">
        <f t="shared" si="18"/>
        <v>19.329080375165663</v>
      </c>
      <c r="T80" s="245">
        <f>S80-'[1]Bilan 2030'!$W$5/11.63</f>
        <v>0</v>
      </c>
      <c r="U80" s="176" t="s">
        <v>22</v>
      </c>
      <c r="V80" t="s">
        <v>101</v>
      </c>
      <c r="W80" t="s">
        <v>102</v>
      </c>
      <c r="X80" t="s">
        <v>103</v>
      </c>
      <c r="Y80" t="s">
        <v>104</v>
      </c>
      <c r="Z80" s="8">
        <v>0</v>
      </c>
      <c r="AA80" s="8">
        <v>2.184145623</v>
      </c>
      <c r="AB80" s="8">
        <v>12.712587640000001</v>
      </c>
      <c r="AC80" s="8">
        <v>7.6433201009999996</v>
      </c>
      <c r="AD80" s="121">
        <v>22.540053364000002</v>
      </c>
    </row>
    <row r="81" spans="2:30" x14ac:dyDescent="0.25">
      <c r="C81" s="176" t="s">
        <v>23</v>
      </c>
      <c r="H81" s="8">
        <f>SUM(H82:H84)</f>
        <v>2.7031635456999998</v>
      </c>
      <c r="I81" s="8">
        <f>SUM(I82:I84)</f>
        <v>14.225509622000001</v>
      </c>
      <c r="J81" s="8">
        <f>SUM(J82:J84)</f>
        <v>12.2691131415</v>
      </c>
      <c r="K81" s="8">
        <f>SUM(K82:K84)</f>
        <v>18.2577798672</v>
      </c>
      <c r="L81" s="121">
        <f t="shared" si="17"/>
        <v>47.455566176399998</v>
      </c>
      <c r="M81" s="99"/>
      <c r="N81" s="179" t="s">
        <v>280</v>
      </c>
      <c r="O81" s="36">
        <f>O82+O83</f>
        <v>3.9851054274374702</v>
      </c>
      <c r="P81" s="35">
        <f t="shared" ref="P81:R81" si="19">P82+P83</f>
        <v>12.588919196501005</v>
      </c>
      <c r="Q81" s="35">
        <f t="shared" si="19"/>
        <v>9.4169455866228393</v>
      </c>
      <c r="R81" s="35">
        <f t="shared" si="19"/>
        <v>13.466989601471942</v>
      </c>
      <c r="S81" s="171">
        <f t="shared" si="18"/>
        <v>39.457959812033259</v>
      </c>
      <c r="T81" s="245"/>
      <c r="U81" s="176" t="s">
        <v>23</v>
      </c>
      <c r="Z81" s="244">
        <v>3.58849989</v>
      </c>
      <c r="AA81" s="244">
        <v>18.760202760999999</v>
      </c>
      <c r="AB81" s="8">
        <v>11.873285237700001</v>
      </c>
      <c r="AC81" s="244">
        <v>17.769262412</v>
      </c>
      <c r="AD81" s="121">
        <v>51.991250300700003</v>
      </c>
    </row>
    <row r="82" spans="2:30" x14ac:dyDescent="0.25">
      <c r="C82" s="178" t="s">
        <v>24</v>
      </c>
      <c r="D82" t="s">
        <v>596</v>
      </c>
      <c r="E82" t="s">
        <v>597</v>
      </c>
      <c r="F82" t="s">
        <v>598</v>
      </c>
      <c r="G82" t="s">
        <v>599</v>
      </c>
      <c r="H82" s="19">
        <f>VLOOKUP(D82,Résultats!$B$2:$AX$476,'T energie vecteurs'!S5,FALSE)</f>
        <v>1.7561564039999999</v>
      </c>
      <c r="I82" s="19">
        <f>VLOOKUP(E82,Résultats!$B$2:$AX$476,'T energie vecteurs'!S5,FALSE)</f>
        <v>9.3824675850000006</v>
      </c>
      <c r="J82" s="19">
        <f>VLOOKUP(F82,Résultats!$B$2:$AX$476,'T energie vecteurs'!S5,FALSE)</f>
        <v>11.91057363</v>
      </c>
      <c r="K82" s="19">
        <f>VLOOKUP(G82,Résultats!$B$2:$AX$476,'T energie vecteurs'!S5,FALSE)</f>
        <v>15.441733109999999</v>
      </c>
      <c r="L82" s="120">
        <f t="shared" si="17"/>
        <v>38.490930728999999</v>
      </c>
      <c r="M82" s="19"/>
      <c r="N82" s="178" t="s">
        <v>281</v>
      </c>
      <c r="O82" s="172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12.399810480766773</v>
      </c>
      <c r="S82" s="120">
        <f t="shared" si="18"/>
        <v>24.603224340636181</v>
      </c>
      <c r="T82" s="245">
        <f>S82-'[1]Bilan 2030'!$U$5/11.63</f>
        <v>0</v>
      </c>
      <c r="U82" s="178" t="s">
        <v>24</v>
      </c>
      <c r="V82" t="s">
        <v>105</v>
      </c>
      <c r="W82" t="s">
        <v>106</v>
      </c>
      <c r="X82" t="s">
        <v>107</v>
      </c>
      <c r="Y82" t="s">
        <v>108</v>
      </c>
      <c r="Z82" s="19">
        <v>2.5639056579999999</v>
      </c>
      <c r="AA82" s="19">
        <v>13.677651389999999</v>
      </c>
      <c r="AB82" s="19">
        <v>11.519283420000001</v>
      </c>
      <c r="AC82" s="19">
        <v>14.77519219</v>
      </c>
      <c r="AD82" s="120">
        <v>42.536032658000003</v>
      </c>
    </row>
    <row r="83" spans="2:30" x14ac:dyDescent="0.25">
      <c r="C83" s="178" t="s">
        <v>153</v>
      </c>
      <c r="D83" t="s">
        <v>600</v>
      </c>
      <c r="E83" t="s">
        <v>601</v>
      </c>
      <c r="F83" t="s">
        <v>602</v>
      </c>
      <c r="G83" t="s">
        <v>603</v>
      </c>
      <c r="H83" s="19">
        <f>VLOOKUP(D83,Résultats!$B$2:$AX$476,'T energie vecteurs'!S5,FALSE)</f>
        <v>0.9470071417</v>
      </c>
      <c r="I83" s="19">
        <f>VLOOKUP(E83,Résultats!$B$2:$AX$476,'T energie vecteurs'!S5,FALSE)</f>
        <v>2.181241838</v>
      </c>
      <c r="J83" s="19">
        <f>VLOOKUP(F83,Résultats!$B$2:$AX$476,'T energie vecteurs'!S5,FALSE)</f>
        <v>0</v>
      </c>
      <c r="K83" s="19">
        <f>VLOOKUP(G83,Résultats!$B$2:$AX$476,'T energie vecteurs'!S5,FALSE)</f>
        <v>2.389587745</v>
      </c>
      <c r="L83" s="120">
        <f>SUM(H83:K83)</f>
        <v>5.5178367247000004</v>
      </c>
      <c r="M83" s="19"/>
      <c r="N83" s="178" t="s">
        <v>153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18"/>
        <v>14.854735471397074</v>
      </c>
      <c r="T83" s="245">
        <f>S83-SUM('[1]Bilan 2030'!$E$52:$E$57)/11.63</f>
        <v>0</v>
      </c>
      <c r="U83" s="178" t="s">
        <v>153</v>
      </c>
      <c r="V83" t="s">
        <v>154</v>
      </c>
      <c r="W83" t="s">
        <v>155</v>
      </c>
      <c r="X83" t="s">
        <v>156</v>
      </c>
      <c r="Y83" t="s">
        <v>157</v>
      </c>
      <c r="Z83" s="19">
        <v>1.0245942320000001</v>
      </c>
      <c r="AA83" s="19">
        <v>2.516253807</v>
      </c>
      <c r="AB83" s="19">
        <v>0</v>
      </c>
      <c r="AC83" s="19">
        <v>2.624489487</v>
      </c>
      <c r="AD83" s="120">
        <v>6.1653375260000001</v>
      </c>
    </row>
    <row r="84" spans="2:30" x14ac:dyDescent="0.25">
      <c r="C84" s="178" t="s">
        <v>25</v>
      </c>
      <c r="D84" t="s">
        <v>604</v>
      </c>
      <c r="E84" t="s">
        <v>605</v>
      </c>
      <c r="F84" t="s">
        <v>606</v>
      </c>
      <c r="G84" t="s">
        <v>607</v>
      </c>
      <c r="H84" s="19">
        <f>VLOOKUP(D84,Résultats!$B$2:$AX$476,'T energie vecteurs'!S5,FALSE)</f>
        <v>0</v>
      </c>
      <c r="I84" s="19">
        <f>VLOOKUP(E84,Résultats!$B$2:$AX$476,'T energie vecteurs'!S5,FALSE)</f>
        <v>2.661800199</v>
      </c>
      <c r="J84" s="19">
        <f>VLOOKUP(F84,Résultats!$B$2:$AX$476,'T energie vecteurs'!S5,FALSE)</f>
        <v>0.35853951150000002</v>
      </c>
      <c r="K84" s="19">
        <f>VLOOKUP(G84,Résultats!$B$2:$AX$476,'T energie vecteurs'!S5,FALSE)</f>
        <v>0.42645901219999999</v>
      </c>
      <c r="L84" s="120">
        <f t="shared" si="17"/>
        <v>3.4467987227000001</v>
      </c>
      <c r="M84" s="19"/>
      <c r="N84" s="179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1">
        <f t="shared" si="18"/>
        <v>4.0539873022561537</v>
      </c>
      <c r="T84" s="245">
        <f>S84-'[1]Bilan 2030'!$T$5/11.63</f>
        <v>0</v>
      </c>
      <c r="U84" s="178" t="s">
        <v>25</v>
      </c>
      <c r="V84" t="s">
        <v>109</v>
      </c>
      <c r="W84" t="s">
        <v>110</v>
      </c>
      <c r="X84" t="s">
        <v>111</v>
      </c>
      <c r="Y84" t="s">
        <v>112</v>
      </c>
      <c r="Z84" s="19">
        <v>0</v>
      </c>
      <c r="AA84" s="19">
        <v>2.5662975640000001</v>
      </c>
      <c r="AB84" s="19">
        <v>0.3540018177</v>
      </c>
      <c r="AC84" s="19">
        <v>0.36958073499999999</v>
      </c>
      <c r="AD84" s="120">
        <v>3.2898801167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2.9713134423999996</v>
      </c>
      <c r="I85" s="9">
        <f>SUM(I76,I79:I81)</f>
        <v>61.224099272999993</v>
      </c>
      <c r="J85" s="9">
        <f>SUM(J76,J79:J81)</f>
        <v>44.848433136300002</v>
      </c>
      <c r="K85" s="9">
        <f>SUM(K76,K79:K81)</f>
        <v>53.289711827416198</v>
      </c>
      <c r="L85" s="123">
        <f>SUM(H85:K85)</f>
        <v>162.33355767911621</v>
      </c>
      <c r="M85" s="105"/>
      <c r="N85" s="180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42.983562642623433</v>
      </c>
      <c r="S85" s="173">
        <f t="shared" si="18"/>
        <v>138.02535378054407</v>
      </c>
      <c r="T85" s="105"/>
      <c r="U85" s="29" t="s">
        <v>26</v>
      </c>
      <c r="V85" s="10"/>
      <c r="W85" s="10"/>
      <c r="X85" s="10"/>
      <c r="Y85" s="10"/>
      <c r="Z85" s="9">
        <v>3.7690845281000001</v>
      </c>
      <c r="AA85" s="9">
        <v>66.227141717999999</v>
      </c>
      <c r="AB85" s="9">
        <v>42.799058560900001</v>
      </c>
      <c r="AC85" s="9">
        <v>46.942505288154905</v>
      </c>
      <c r="AD85" s="123">
        <v>159.73779009515491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4">
        <v>2035</v>
      </c>
      <c r="D88" s="175"/>
      <c r="E88" s="175"/>
      <c r="F88" s="175"/>
      <c r="G88" s="175"/>
      <c r="H88" s="101" t="s">
        <v>36</v>
      </c>
      <c r="I88" s="101" t="s">
        <v>159</v>
      </c>
      <c r="J88" s="101" t="s">
        <v>38</v>
      </c>
      <c r="K88" s="101" t="s">
        <v>158</v>
      </c>
      <c r="L88" s="118" t="s">
        <v>1</v>
      </c>
      <c r="M88" s="25"/>
      <c r="N88" s="174">
        <v>2035</v>
      </c>
      <c r="O88" s="170" t="s">
        <v>36</v>
      </c>
      <c r="P88" s="101" t="s">
        <v>159</v>
      </c>
      <c r="Q88" s="101" t="s">
        <v>38</v>
      </c>
      <c r="R88" s="101" t="s">
        <v>158</v>
      </c>
      <c r="S88" s="118" t="s">
        <v>1</v>
      </c>
      <c r="T88" s="25"/>
      <c r="U88" s="174">
        <v>2035</v>
      </c>
      <c r="V88" s="175"/>
      <c r="W88" s="175"/>
      <c r="X88" s="175"/>
      <c r="Y88" s="175"/>
      <c r="Z88" s="101" t="s">
        <v>36</v>
      </c>
      <c r="AA88" s="101" t="s">
        <v>159</v>
      </c>
      <c r="AB88" s="101" t="s">
        <v>38</v>
      </c>
      <c r="AC88" s="101" t="s">
        <v>158</v>
      </c>
      <c r="AD88" s="118" t="s">
        <v>1</v>
      </c>
    </row>
    <row r="89" spans="2:30" x14ac:dyDescent="0.25">
      <c r="C89" s="176" t="s">
        <v>18</v>
      </c>
      <c r="H89" s="8">
        <f>SUM(H90:H91)</f>
        <v>0</v>
      </c>
      <c r="I89" s="8">
        <f>SUM(I90:I91)</f>
        <v>35.980119439999996</v>
      </c>
      <c r="J89" s="8">
        <f>SUM(J90:J91)</f>
        <v>3.5022054750000002</v>
      </c>
      <c r="K89" s="8">
        <f>SUM(K90:K91)</f>
        <v>2.3213832691259002</v>
      </c>
      <c r="L89" s="121">
        <f t="shared" ref="L89:L98" si="20">SUM(H89:K89)</f>
        <v>41.803708184125895</v>
      </c>
      <c r="M89" s="99"/>
      <c r="N89" s="179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1">
        <f>SUM(O89:R89)</f>
        <v>33.701357473269766</v>
      </c>
      <c r="T89" s="99"/>
      <c r="U89" s="176" t="s">
        <v>18</v>
      </c>
      <c r="Z89" s="8">
        <v>0</v>
      </c>
      <c r="AA89" s="8">
        <v>38.668277180000004</v>
      </c>
      <c r="AB89" s="8">
        <v>4.3734985540000002</v>
      </c>
      <c r="AC89" s="8">
        <v>2.7136197354418998</v>
      </c>
      <c r="AD89" s="121">
        <v>45.755395469441908</v>
      </c>
    </row>
    <row r="90" spans="2:30" x14ac:dyDescent="0.25">
      <c r="C90" s="177" t="s">
        <v>19</v>
      </c>
      <c r="D90" t="s">
        <v>580</v>
      </c>
      <c r="E90" t="s">
        <v>581</v>
      </c>
      <c r="F90" t="s">
        <v>582</v>
      </c>
      <c r="G90" t="s">
        <v>583</v>
      </c>
      <c r="H90" s="19">
        <f>VLOOKUP(D90,Résultats!$B$2:$AX$476,'T energie vecteurs'!T5,FALSE)</f>
        <v>0</v>
      </c>
      <c r="I90" s="19">
        <f>VLOOKUP(E90,Résultats!$B$2:$AX$476,'T energie vecteurs'!T5,FALSE)</f>
        <v>17.51785125</v>
      </c>
      <c r="J90" s="19">
        <f>VLOOKUP(F90,Résultats!$B$2:$AX$476,'T energie vecteurs'!T5,FALSE)</f>
        <v>1.388944395</v>
      </c>
      <c r="K90" s="19">
        <f>VLOOKUP(G90,Résultats!$B$2:$AX$476,'T energie vecteurs'!T5,FALSE)</f>
        <v>3.9863125900000001E-5</v>
      </c>
      <c r="L90" s="120">
        <f t="shared" si="20"/>
        <v>18.906835508125898</v>
      </c>
      <c r="M90" s="19"/>
      <c r="N90" s="177" t="s">
        <v>19</v>
      </c>
      <c r="O90" s="172"/>
      <c r="P90" s="19"/>
      <c r="Q90" s="55"/>
      <c r="R90" s="19"/>
      <c r="S90" s="120"/>
      <c r="T90" s="19"/>
      <c r="U90" s="177" t="s">
        <v>19</v>
      </c>
      <c r="V90" t="s">
        <v>89</v>
      </c>
      <c r="W90" t="s">
        <v>90</v>
      </c>
      <c r="X90" t="s">
        <v>91</v>
      </c>
      <c r="Y90" t="s">
        <v>92</v>
      </c>
      <c r="Z90" s="19">
        <v>0</v>
      </c>
      <c r="AA90" s="19">
        <v>16.9723297</v>
      </c>
      <c r="AB90" s="59">
        <v>1.366200434</v>
      </c>
      <c r="AC90" s="19">
        <v>2.9232441900000001E-5</v>
      </c>
      <c r="AD90" s="120">
        <v>18.338559366441899</v>
      </c>
    </row>
    <row r="91" spans="2:30" x14ac:dyDescent="0.25">
      <c r="C91" s="178" t="s">
        <v>20</v>
      </c>
      <c r="D91" t="s">
        <v>584</v>
      </c>
      <c r="E91" t="s">
        <v>585</v>
      </c>
      <c r="F91" t="s">
        <v>586</v>
      </c>
      <c r="G91" t="s">
        <v>587</v>
      </c>
      <c r="H91" s="19">
        <f>VLOOKUP(D91,Résultats!$B$2:$AX$476,'T energie vecteurs'!T5,FALSE)</f>
        <v>0</v>
      </c>
      <c r="I91" s="19">
        <f>VLOOKUP(E91,Résultats!$B$2:$AX$476,'T energie vecteurs'!T5,FALSE)</f>
        <v>18.46226819</v>
      </c>
      <c r="J91" s="19">
        <f>VLOOKUP(F91,Résultats!$B$2:$AX$476,'T energie vecteurs'!T5,FALSE)</f>
        <v>2.11326108</v>
      </c>
      <c r="K91" s="19">
        <f>VLOOKUP(G91,Résultats!$B$2:$AX$476,'T energie vecteurs'!T5,FALSE)</f>
        <v>2.321343406</v>
      </c>
      <c r="L91" s="120">
        <f t="shared" si="20"/>
        <v>22.896872676000001</v>
      </c>
      <c r="M91" s="19"/>
      <c r="N91" s="178" t="s">
        <v>20</v>
      </c>
      <c r="O91" s="172"/>
      <c r="P91" s="19"/>
      <c r="Q91" s="55"/>
      <c r="R91" s="19"/>
      <c r="S91" s="120"/>
      <c r="T91" s="19"/>
      <c r="U91" s="178" t="s">
        <v>20</v>
      </c>
      <c r="V91" t="s">
        <v>93</v>
      </c>
      <c r="W91" t="s">
        <v>94</v>
      </c>
      <c r="X91" t="s">
        <v>95</v>
      </c>
      <c r="Y91" t="s">
        <v>96</v>
      </c>
      <c r="Z91" s="19">
        <v>0</v>
      </c>
      <c r="AA91" s="19">
        <v>21.695947480000001</v>
      </c>
      <c r="AB91" s="19">
        <v>3.0072981200000002</v>
      </c>
      <c r="AC91" s="19">
        <v>2.7135905029999998</v>
      </c>
      <c r="AD91" s="120">
        <v>27.416836103000001</v>
      </c>
    </row>
    <row r="92" spans="2:30" x14ac:dyDescent="0.25">
      <c r="C92" s="176" t="s">
        <v>21</v>
      </c>
      <c r="D92" t="s">
        <v>588</v>
      </c>
      <c r="E92" t="s">
        <v>589</v>
      </c>
      <c r="F92" t="s">
        <v>590</v>
      </c>
      <c r="G92" t="s">
        <v>591</v>
      </c>
      <c r="H92" s="8">
        <f>VLOOKUP(D92,Résultats!$B$2:$AX$476,'T energie vecteurs'!T5,FALSE)</f>
        <v>0.25792053129999998</v>
      </c>
      <c r="I92" s="8">
        <f>VLOOKUP(E92,Résultats!$B$2:$AX$476,'T energie vecteurs'!T5,FALSE)</f>
        <v>5.4180996529999996</v>
      </c>
      <c r="J92" s="8">
        <f>VLOOKUP(F92,Résultats!$B$2:$AX$476,'T energie vecteurs'!T5,FALSE)</f>
        <v>16.65422001</v>
      </c>
      <c r="K92" s="8">
        <f>VLOOKUP(G92,Résultats!$B$2:$AX$476,'T energie vecteurs'!T5,FALSE)+8</f>
        <v>24.701198600000001</v>
      </c>
      <c r="L92" s="121">
        <f t="shared" si="20"/>
        <v>47.031438794300001</v>
      </c>
      <c r="M92" s="99"/>
      <c r="N92" s="179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1">
        <f t="shared" ref="S92:S98" si="21">SUM(O92:R92)</f>
        <v>38.804881473743706</v>
      </c>
      <c r="T92" s="99"/>
      <c r="U92" s="176" t="s">
        <v>21</v>
      </c>
      <c r="V92" t="s">
        <v>97</v>
      </c>
      <c r="W92" t="s">
        <v>98</v>
      </c>
      <c r="X92" t="s">
        <v>99</v>
      </c>
      <c r="Y92" t="s">
        <v>100</v>
      </c>
      <c r="Z92" s="263">
        <v>0.1572168089</v>
      </c>
      <c r="AA92" s="263">
        <v>3.899314553</v>
      </c>
      <c r="AB92" s="263">
        <v>15.55518461</v>
      </c>
      <c r="AC92" s="263">
        <v>18.95424723</v>
      </c>
      <c r="AD92" s="264">
        <v>38.565963201900004</v>
      </c>
    </row>
    <row r="93" spans="2:30" x14ac:dyDescent="0.25">
      <c r="C93" s="176" t="s">
        <v>22</v>
      </c>
      <c r="D93" t="s">
        <v>592</v>
      </c>
      <c r="E93" t="s">
        <v>593</v>
      </c>
      <c r="F93" t="s">
        <v>594</v>
      </c>
      <c r="G93" t="s">
        <v>595</v>
      </c>
      <c r="H93" s="8">
        <f>VLOOKUP(D93,Résultats!$B$2:$AX$476,'T energie vecteurs'!T5,FALSE)</f>
        <v>0</v>
      </c>
      <c r="I93" s="8">
        <f>VLOOKUP(E93,Résultats!$B$2:$AX$476,'T energie vecteurs'!T5,FALSE)</f>
        <v>2.1580490530000001</v>
      </c>
      <c r="J93" s="8">
        <f>VLOOKUP(F93,Résultats!$B$2:$AX$476,'T energie vecteurs'!T5,FALSE)</f>
        <v>14.462548269999999</v>
      </c>
      <c r="K93" s="8">
        <f>VLOOKUP(G93,Résultats!$B$2:$AX$476,'T energie vecteurs'!T5,FALSE)</f>
        <v>9.150532643</v>
      </c>
      <c r="L93" s="121">
        <f t="shared" si="20"/>
        <v>25.771129965999997</v>
      </c>
      <c r="M93" s="99"/>
      <c r="N93" s="179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1">
        <f t="shared" si="21"/>
        <v>19.321732641993904</v>
      </c>
      <c r="T93" s="99"/>
      <c r="U93" s="176" t="s">
        <v>22</v>
      </c>
      <c r="V93" t="s">
        <v>101</v>
      </c>
      <c r="W93" t="s">
        <v>102</v>
      </c>
      <c r="X93" t="s">
        <v>103</v>
      </c>
      <c r="Y93" t="s">
        <v>104</v>
      </c>
      <c r="Z93" s="8">
        <v>0</v>
      </c>
      <c r="AA93" s="8">
        <v>1.9031772140000001</v>
      </c>
      <c r="AB93" s="8">
        <v>13.323713789999999</v>
      </c>
      <c r="AC93" s="8">
        <v>7.4212506149999999</v>
      </c>
      <c r="AD93" s="121">
        <v>22.648141619</v>
      </c>
    </row>
    <row r="94" spans="2:30" x14ac:dyDescent="0.25">
      <c r="C94" s="176" t="s">
        <v>23</v>
      </c>
      <c r="H94" s="8">
        <f>SUM(H95:H97)</f>
        <v>2.7574484517000002</v>
      </c>
      <c r="I94" s="8">
        <f>SUM(I95:I97)</f>
        <v>15.123719317000001</v>
      </c>
      <c r="J94" s="8">
        <f>SUM(J95:J97)</f>
        <v>12.9193646519</v>
      </c>
      <c r="K94" s="8">
        <f>SUM(K95:K97)</f>
        <v>19.104192702000002</v>
      </c>
      <c r="L94" s="121">
        <f t="shared" si="20"/>
        <v>49.904725122600006</v>
      </c>
      <c r="M94" s="99"/>
      <c r="N94" s="179" t="s">
        <v>280</v>
      </c>
      <c r="O94" s="36">
        <f>O95+O96</f>
        <v>3.9553292854700368</v>
      </c>
      <c r="P94" s="35">
        <f t="shared" ref="P94:R94" si="22">P95+P96</f>
        <v>11.944511664213444</v>
      </c>
      <c r="Q94" s="35">
        <f t="shared" si="22"/>
        <v>9.4578136584636443</v>
      </c>
      <c r="R94" s="35">
        <f t="shared" si="22"/>
        <v>13.231890023314502</v>
      </c>
      <c r="S94" s="171">
        <f t="shared" si="21"/>
        <v>38.589544631461621</v>
      </c>
      <c r="T94" s="99"/>
      <c r="U94" s="176" t="s">
        <v>23</v>
      </c>
      <c r="Z94" s="8">
        <v>3.9399808370000002</v>
      </c>
      <c r="AA94" s="8">
        <v>20.543176041000002</v>
      </c>
      <c r="AB94" s="8">
        <v>13.378807820700001</v>
      </c>
      <c r="AC94" s="8">
        <v>19.409515790299999</v>
      </c>
      <c r="AD94" s="121">
        <v>57.271480489000005</v>
      </c>
    </row>
    <row r="95" spans="2:30" x14ac:dyDescent="0.25">
      <c r="C95" s="178" t="s">
        <v>24</v>
      </c>
      <c r="D95" t="s">
        <v>596</v>
      </c>
      <c r="E95" t="s">
        <v>597</v>
      </c>
      <c r="F95" t="s">
        <v>598</v>
      </c>
      <c r="G95" t="s">
        <v>599</v>
      </c>
      <c r="H95" s="19">
        <f>VLOOKUP(D95,Résultats!$B$2:$AX$476,'T energie vecteurs'!T5,FALSE)</f>
        <v>1.807217598</v>
      </c>
      <c r="I95" s="19">
        <f>VLOOKUP(E95,Résultats!$B$2:$AX$476,'T energie vecteurs'!T5,FALSE)</f>
        <v>9.9457036760000008</v>
      </c>
      <c r="J95" s="19">
        <f>VLOOKUP(F95,Résultats!$B$2:$AX$476,'T energie vecteurs'!T5,FALSE)</f>
        <v>12.538909370000001</v>
      </c>
      <c r="K95" s="19">
        <f>VLOOKUP(G95,Résultats!$B$2:$AX$476,'T energie vecteurs'!T5,FALSE)</f>
        <v>16.159697040000001</v>
      </c>
      <c r="L95" s="120">
        <f t="shared" si="20"/>
        <v>40.451527683999998</v>
      </c>
      <c r="M95" s="19"/>
      <c r="N95" s="178" t="s">
        <v>281</v>
      </c>
      <c r="O95" s="172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</v>
      </c>
      <c r="S95" s="120">
        <f t="shared" si="21"/>
        <v>24.188191806859361</v>
      </c>
      <c r="T95" s="19"/>
      <c r="U95" s="178" t="s">
        <v>24</v>
      </c>
      <c r="V95" t="s">
        <v>105</v>
      </c>
      <c r="W95" t="s">
        <v>106</v>
      </c>
      <c r="X95" t="s">
        <v>107</v>
      </c>
      <c r="Y95" t="s">
        <v>108</v>
      </c>
      <c r="Z95" s="19">
        <v>2.8145349749999999</v>
      </c>
      <c r="AA95" s="19">
        <v>14.926587850000001</v>
      </c>
      <c r="AB95" s="19">
        <v>12.97554289</v>
      </c>
      <c r="AC95" s="19">
        <v>16.085233370000001</v>
      </c>
      <c r="AD95" s="120">
        <v>46.801899085000002</v>
      </c>
    </row>
    <row r="96" spans="2:30" x14ac:dyDescent="0.25">
      <c r="C96" s="178" t="s">
        <v>153</v>
      </c>
      <c r="D96" t="s">
        <v>600</v>
      </c>
      <c r="E96" t="s">
        <v>601</v>
      </c>
      <c r="F96" t="s">
        <v>602</v>
      </c>
      <c r="G96" t="s">
        <v>603</v>
      </c>
      <c r="H96" s="19">
        <f>VLOOKUP(D96,Résultats!$B$2:$AX$476,'T energie vecteurs'!T5,FALSE)</f>
        <v>0.95023085370000004</v>
      </c>
      <c r="I96" s="19">
        <f>VLOOKUP(E96,Résultats!$B$2:$AX$476,'T energie vecteurs'!T5,FALSE)</f>
        <v>2.2993578320000001</v>
      </c>
      <c r="J96" s="19">
        <f>VLOOKUP(F96,Résultats!$B$2:$AX$476,'T energie vecteurs'!T5,FALSE)</f>
        <v>0</v>
      </c>
      <c r="K96" s="19">
        <f>VLOOKUP(G96,Résultats!$B$2:$AX$476,'T energie vecteurs'!T5,FALSE)</f>
        <v>2.4889309929999999</v>
      </c>
      <c r="L96" s="120">
        <f t="shared" si="20"/>
        <v>5.7385196786999995</v>
      </c>
      <c r="M96" s="19"/>
      <c r="N96" s="178" t="s">
        <v>153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1"/>
        <v>14.401352824602267</v>
      </c>
      <c r="T96" s="19"/>
      <c r="U96" s="178" t="s">
        <v>153</v>
      </c>
      <c r="V96" t="s">
        <v>154</v>
      </c>
      <c r="W96" t="s">
        <v>155</v>
      </c>
      <c r="X96" t="s">
        <v>156</v>
      </c>
      <c r="Y96" t="s">
        <v>157</v>
      </c>
      <c r="Z96" s="19">
        <v>1.1254458620000001</v>
      </c>
      <c r="AA96" s="19">
        <v>2.8182461910000001</v>
      </c>
      <c r="AB96" s="19">
        <v>0</v>
      </c>
      <c r="AC96" s="19">
        <v>2.9238783970000002</v>
      </c>
      <c r="AD96" s="120">
        <v>6.8675704500000005</v>
      </c>
    </row>
    <row r="97" spans="3:30" x14ac:dyDescent="0.25">
      <c r="C97" s="178" t="s">
        <v>25</v>
      </c>
      <c r="D97" t="s">
        <v>604</v>
      </c>
      <c r="E97" t="s">
        <v>605</v>
      </c>
      <c r="F97" t="s">
        <v>606</v>
      </c>
      <c r="G97" t="s">
        <v>607</v>
      </c>
      <c r="H97" s="19">
        <f>VLOOKUP(D97,Résultats!$B$2:$AX$476,'T energie vecteurs'!T5,FALSE)</f>
        <v>0</v>
      </c>
      <c r="I97" s="19">
        <f>VLOOKUP(E97,Résultats!$B$2:$AX$476,'T energie vecteurs'!T5,FALSE)</f>
        <v>2.8786578089999999</v>
      </c>
      <c r="J97" s="19">
        <f>VLOOKUP(F97,Résultats!$B$2:$AX$476,'T energie vecteurs'!T5,FALSE)</f>
        <v>0.3804552819</v>
      </c>
      <c r="K97" s="19">
        <f>VLOOKUP(G97,Résultats!$B$2:$AX$476,'T energie vecteurs'!T5,FALSE)</f>
        <v>0.45556466899999998</v>
      </c>
      <c r="L97" s="120">
        <f t="shared" si="20"/>
        <v>3.7146777598999998</v>
      </c>
      <c r="M97" s="19"/>
      <c r="N97" s="179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1">
        <f t="shared" si="21"/>
        <v>3.9214647627544661</v>
      </c>
      <c r="T97" s="19"/>
      <c r="U97" s="178" t="s">
        <v>25</v>
      </c>
      <c r="V97" t="s">
        <v>109</v>
      </c>
      <c r="W97" t="s">
        <v>110</v>
      </c>
      <c r="X97" t="s">
        <v>111</v>
      </c>
      <c r="Y97" t="s">
        <v>112</v>
      </c>
      <c r="Z97" s="19">
        <v>0</v>
      </c>
      <c r="AA97" s="19">
        <v>2.7983419999999999</v>
      </c>
      <c r="AB97" s="19">
        <v>0.40326493070000002</v>
      </c>
      <c r="AC97" s="19">
        <v>0.40040402330000002</v>
      </c>
      <c r="AD97" s="120">
        <v>3.6020109539999998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3.0153689830000001</v>
      </c>
      <c r="I98" s="9">
        <f>SUM(I89,I92:I94)</f>
        <v>58.679987462999996</v>
      </c>
      <c r="J98" s="9">
        <f>SUM(J89,J92:J94)</f>
        <v>47.538338406899996</v>
      </c>
      <c r="K98" s="9">
        <f>SUM(K89,K92:K94)</f>
        <v>55.277307214125898</v>
      </c>
      <c r="L98" s="123">
        <f t="shared" si="20"/>
        <v>164.51100206702588</v>
      </c>
      <c r="M98" s="105"/>
      <c r="N98" s="180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</v>
      </c>
      <c r="S98" s="173">
        <f t="shared" si="21"/>
        <v>134.33898098322345</v>
      </c>
      <c r="T98" s="105"/>
      <c r="U98" s="29" t="s">
        <v>26</v>
      </c>
      <c r="V98" s="10"/>
      <c r="W98" s="10"/>
      <c r="X98" s="10"/>
      <c r="Y98" s="10"/>
      <c r="Z98" s="9">
        <v>4.0971976459000006</v>
      </c>
      <c r="AA98" s="9">
        <v>65.013944988000006</v>
      </c>
      <c r="AB98" s="9">
        <v>46.631204774699995</v>
      </c>
      <c r="AC98" s="9">
        <v>48.498633370741899</v>
      </c>
      <c r="AD98" s="123">
        <v>164.2409807793419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4">
        <v>2040</v>
      </c>
      <c r="D101" s="175"/>
      <c r="E101" s="175"/>
      <c r="F101" s="175"/>
      <c r="G101" s="175"/>
      <c r="H101" s="101" t="s">
        <v>36</v>
      </c>
      <c r="I101" s="101" t="s">
        <v>159</v>
      </c>
      <c r="J101" s="101" t="s">
        <v>38</v>
      </c>
      <c r="K101" s="101" t="s">
        <v>158</v>
      </c>
      <c r="L101" s="118" t="s">
        <v>1</v>
      </c>
      <c r="M101" s="25"/>
      <c r="N101" s="174">
        <v>2040</v>
      </c>
      <c r="O101" s="170" t="s">
        <v>36</v>
      </c>
      <c r="P101" s="101" t="s">
        <v>159</v>
      </c>
      <c r="Q101" s="101" t="s">
        <v>38</v>
      </c>
      <c r="R101" s="101" t="s">
        <v>158</v>
      </c>
      <c r="S101" s="118" t="s">
        <v>1</v>
      </c>
      <c r="U101" s="174">
        <v>2040</v>
      </c>
      <c r="V101" s="175"/>
      <c r="W101" s="175"/>
      <c r="X101" s="175"/>
      <c r="Y101" s="175"/>
      <c r="Z101" s="101" t="s">
        <v>36</v>
      </c>
      <c r="AA101" s="101" t="s">
        <v>159</v>
      </c>
      <c r="AB101" s="101" t="s">
        <v>38</v>
      </c>
      <c r="AC101" s="101" t="s">
        <v>158</v>
      </c>
      <c r="AD101" s="118" t="s">
        <v>1</v>
      </c>
    </row>
    <row r="102" spans="3:30" s="3" customFormat="1" x14ac:dyDescent="0.25">
      <c r="C102" s="176" t="s">
        <v>18</v>
      </c>
      <c r="D102"/>
      <c r="E102"/>
      <c r="F102"/>
      <c r="G102"/>
      <c r="H102" s="8">
        <f>SUM(H103:H104)</f>
        <v>0</v>
      </c>
      <c r="I102" s="8">
        <f>SUM(I103:I104)</f>
        <v>33.535766000000002</v>
      </c>
      <c r="J102" s="8">
        <f>SUM(J103:J104)</f>
        <v>4.5528429769999992</v>
      </c>
      <c r="K102" s="8">
        <f>SUM(K103:K104)</f>
        <v>3.1775192580817002</v>
      </c>
      <c r="L102" s="121">
        <f t="shared" ref="L102:L111" si="23">SUM(H102:K102)</f>
        <v>41.266128235081702</v>
      </c>
      <c r="M102" s="99"/>
      <c r="N102" s="179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1">
        <f>SUM(O102:R102)</f>
        <v>31.632845919753716</v>
      </c>
      <c r="U102" s="176" t="s">
        <v>18</v>
      </c>
      <c r="V102"/>
      <c r="W102"/>
      <c r="X102"/>
      <c r="Y102"/>
      <c r="Z102" s="8">
        <v>0</v>
      </c>
      <c r="AA102" s="8">
        <v>36.959097059999998</v>
      </c>
      <c r="AB102" s="8">
        <v>5.7191832749999998</v>
      </c>
      <c r="AC102" s="8">
        <v>3.7855244943277997</v>
      </c>
      <c r="AD102" s="121">
        <v>46.463804829327799</v>
      </c>
    </row>
    <row r="103" spans="3:30" s="3" customFormat="1" x14ac:dyDescent="0.25">
      <c r="C103" s="177" t="s">
        <v>19</v>
      </c>
      <c r="D103" t="s">
        <v>580</v>
      </c>
      <c r="E103" t="s">
        <v>581</v>
      </c>
      <c r="F103" t="s">
        <v>582</v>
      </c>
      <c r="G103" t="s">
        <v>583</v>
      </c>
      <c r="H103" s="37">
        <f>VLOOKUP(D103,Résultats!$B$2:$AX$476,'T energie vecteurs'!U5,FALSE)</f>
        <v>0</v>
      </c>
      <c r="I103" s="37">
        <f>VLOOKUP(E103,Résultats!$B$2:$AX$476,'T energie vecteurs'!U5,FALSE)</f>
        <v>15.08441288</v>
      </c>
      <c r="J103" s="37">
        <f>VLOOKUP(F103,Résultats!$B$2:$AX$476,'T energie vecteurs'!U5,FALSE)</f>
        <v>2.0442654139999998</v>
      </c>
      <c r="K103" s="37">
        <f>VLOOKUP(G103,Résultats!$B$2:$AX$476,'T energie vecteurs'!U5,FALSE)</f>
        <v>4.3170081699999998E-5</v>
      </c>
      <c r="L103" s="266">
        <f t="shared" si="23"/>
        <v>17.1287214640817</v>
      </c>
      <c r="M103" s="19"/>
      <c r="N103" s="177" t="s">
        <v>19</v>
      </c>
      <c r="O103" s="172"/>
      <c r="P103" s="19"/>
      <c r="Q103" s="55"/>
      <c r="R103" s="19"/>
      <c r="S103" s="120"/>
      <c r="U103" s="177" t="s">
        <v>19</v>
      </c>
      <c r="V103" t="s">
        <v>89</v>
      </c>
      <c r="W103" t="s">
        <v>90</v>
      </c>
      <c r="X103" t="s">
        <v>91</v>
      </c>
      <c r="Y103" t="s">
        <v>92</v>
      </c>
      <c r="Z103" s="37">
        <v>0</v>
      </c>
      <c r="AA103" s="37">
        <v>14.646265290000001</v>
      </c>
      <c r="AB103" s="265">
        <v>2.037764567</v>
      </c>
      <c r="AC103" s="37">
        <v>3.2073327799999997E-5</v>
      </c>
      <c r="AD103" s="266">
        <v>16.6840619303278</v>
      </c>
    </row>
    <row r="104" spans="3:30" s="3" customFormat="1" x14ac:dyDescent="0.25">
      <c r="C104" s="178" t="s">
        <v>20</v>
      </c>
      <c r="D104" t="s">
        <v>584</v>
      </c>
      <c r="E104" t="s">
        <v>585</v>
      </c>
      <c r="F104" t="s">
        <v>586</v>
      </c>
      <c r="G104" t="s">
        <v>587</v>
      </c>
      <c r="H104" s="37">
        <f>VLOOKUP(D104,Résultats!$B$2:$AX$476,'T energie vecteurs'!U5,FALSE)</f>
        <v>0</v>
      </c>
      <c r="I104" s="37">
        <f>VLOOKUP(E104,Résultats!$B$2:$AX$476,'T energie vecteurs'!U5,FALSE)</f>
        <v>18.45135312</v>
      </c>
      <c r="J104" s="37">
        <f>VLOOKUP(F104,Résultats!$B$2:$AX$476,'T energie vecteurs'!U5,FALSE)</f>
        <v>2.5085775629999998</v>
      </c>
      <c r="K104" s="37">
        <f>VLOOKUP(G104,Résultats!$B$2:$AX$476,'T energie vecteurs'!U5,FALSE)</f>
        <v>3.1774760880000001</v>
      </c>
      <c r="L104" s="266">
        <f t="shared" si="23"/>
        <v>24.137406770999998</v>
      </c>
      <c r="M104" s="19"/>
      <c r="N104" s="178" t="s">
        <v>20</v>
      </c>
      <c r="O104" s="172"/>
      <c r="P104" s="19"/>
      <c r="Q104" s="55"/>
      <c r="R104" s="19"/>
      <c r="S104" s="120"/>
      <c r="U104" s="178" t="s">
        <v>20</v>
      </c>
      <c r="V104" t="s">
        <v>93</v>
      </c>
      <c r="W104" t="s">
        <v>94</v>
      </c>
      <c r="X104" t="s">
        <v>95</v>
      </c>
      <c r="Y104" t="s">
        <v>96</v>
      </c>
      <c r="Z104" s="37">
        <v>0</v>
      </c>
      <c r="AA104" s="37">
        <v>22.312831769999999</v>
      </c>
      <c r="AB104" s="37">
        <v>3.6814187079999998</v>
      </c>
      <c r="AC104" s="37">
        <v>3.7854924209999998</v>
      </c>
      <c r="AD104" s="266">
        <v>29.779742898999999</v>
      </c>
    </row>
    <row r="105" spans="3:30" s="3" customFormat="1" x14ac:dyDescent="0.25">
      <c r="C105" s="176" t="s">
        <v>21</v>
      </c>
      <c r="D105" t="s">
        <v>588</v>
      </c>
      <c r="E105" t="s">
        <v>589</v>
      </c>
      <c r="F105" t="s">
        <v>590</v>
      </c>
      <c r="G105" t="s">
        <v>591</v>
      </c>
      <c r="H105" s="267">
        <f>VLOOKUP(D105,Résultats!$B$2:$AX$476,'T energie vecteurs'!U5,FALSE)</f>
        <v>0.24994238460000001</v>
      </c>
      <c r="I105" s="267">
        <f>VLOOKUP(E105,Résultats!$B$2:$AX$476,'T energie vecteurs'!U5,FALSE)</f>
        <v>5.4415372360000003</v>
      </c>
      <c r="J105" s="267">
        <f>VLOOKUP(F105,Résultats!$B$2:$AX$476,'T energie vecteurs'!U5,FALSE)</f>
        <v>17.39844999</v>
      </c>
      <c r="K105" s="267">
        <f>VLOOKUP(G105,Résultats!$B$2:$AX$476,'T energie vecteurs'!U5,FALSE)+8</f>
        <v>24.984336079999999</v>
      </c>
      <c r="L105" s="268">
        <f t="shared" si="23"/>
        <v>48.074265690600001</v>
      </c>
      <c r="M105" s="99"/>
      <c r="N105" s="179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1">
        <f t="shared" ref="S105:S111" si="24">SUM(O105:R105)</f>
        <v>38.540648786248397</v>
      </c>
      <c r="U105" s="176" t="s">
        <v>21</v>
      </c>
      <c r="V105" t="s">
        <v>97</v>
      </c>
      <c r="W105" t="s">
        <v>98</v>
      </c>
      <c r="X105" t="s">
        <v>99</v>
      </c>
      <c r="Y105" t="s">
        <v>100</v>
      </c>
      <c r="Z105" s="267">
        <v>0.1379359845</v>
      </c>
      <c r="AA105" s="267">
        <v>3.449879954</v>
      </c>
      <c r="AB105" s="267">
        <v>15.996784570000001</v>
      </c>
      <c r="AC105" s="267">
        <v>18.099164890000001</v>
      </c>
      <c r="AD105" s="268">
        <v>37.6837653985</v>
      </c>
    </row>
    <row r="106" spans="3:30" s="3" customFormat="1" x14ac:dyDescent="0.25">
      <c r="C106" s="176" t="s">
        <v>22</v>
      </c>
      <c r="D106" t="s">
        <v>592</v>
      </c>
      <c r="E106" t="s">
        <v>593</v>
      </c>
      <c r="F106" t="s">
        <v>594</v>
      </c>
      <c r="G106" t="s">
        <v>595</v>
      </c>
      <c r="H106" s="267">
        <f>VLOOKUP(D106,Résultats!$B$2:$AX$476,'T energie vecteurs'!U5,FALSE)</f>
        <v>0</v>
      </c>
      <c r="I106" s="267">
        <f>VLOOKUP(E106,Résultats!$B$2:$AX$476,'T energie vecteurs'!U5,FALSE)</f>
        <v>1.9587686950000001</v>
      </c>
      <c r="J106" s="267">
        <f>VLOOKUP(F106,Résultats!$B$2:$AX$476,'T energie vecteurs'!U5,FALSE)</f>
        <v>14.480386899999999</v>
      </c>
      <c r="K106" s="267">
        <f>VLOOKUP(G106,Résultats!$B$2:$AX$476,'T energie vecteurs'!U5,FALSE)</f>
        <v>8.8115027230000003</v>
      </c>
      <c r="L106" s="268">
        <f t="shared" si="23"/>
        <v>25.250658317999999</v>
      </c>
      <c r="M106" s="99"/>
      <c r="N106" s="179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1">
        <f t="shared" si="24"/>
        <v>19.367441585952957</v>
      </c>
      <c r="U106" s="176" t="s">
        <v>22</v>
      </c>
      <c r="V106" t="s">
        <v>101</v>
      </c>
      <c r="W106" t="s">
        <v>102</v>
      </c>
      <c r="X106" t="s">
        <v>103</v>
      </c>
      <c r="Y106" t="s">
        <v>104</v>
      </c>
      <c r="Z106" s="267">
        <v>0</v>
      </c>
      <c r="AA106" s="267">
        <v>1.6772777619999999</v>
      </c>
      <c r="AB106" s="267">
        <v>13.688227769999999</v>
      </c>
      <c r="AC106" s="267">
        <v>7.1040742950000002</v>
      </c>
      <c r="AD106" s="268">
        <v>22.469579826999997</v>
      </c>
    </row>
    <row r="107" spans="3:30" s="3" customFormat="1" x14ac:dyDescent="0.25">
      <c r="C107" s="176" t="s">
        <v>23</v>
      </c>
      <c r="D107"/>
      <c r="E107"/>
      <c r="F107"/>
      <c r="G107"/>
      <c r="H107" s="267">
        <f>SUM(H108:H110)</f>
        <v>2.8715387234</v>
      </c>
      <c r="I107" s="267">
        <f>SUM(I108:I110)</f>
        <v>16.360434553000001</v>
      </c>
      <c r="J107" s="267">
        <f>SUM(J108:J110)</f>
        <v>13.9542494377</v>
      </c>
      <c r="K107" s="267">
        <f>SUM(K108:K110)</f>
        <v>20.299328719399998</v>
      </c>
      <c r="L107" s="268">
        <f t="shared" si="23"/>
        <v>53.485551433499992</v>
      </c>
      <c r="M107" s="99"/>
      <c r="N107" s="179" t="s">
        <v>280</v>
      </c>
      <c r="O107" s="36">
        <f>O108+O109</f>
        <v>3.8874337769367404</v>
      </c>
      <c r="P107" s="35">
        <f t="shared" ref="P107:R107" si="25">P108+P109</f>
        <v>11.388314604220763</v>
      </c>
      <c r="Q107" s="35">
        <f t="shared" si="25"/>
        <v>9.6134424318279077</v>
      </c>
      <c r="R107" s="35">
        <f t="shared" si="25"/>
        <v>13.104002297133148</v>
      </c>
      <c r="S107" s="171">
        <f t="shared" si="24"/>
        <v>37.993193110118561</v>
      </c>
      <c r="U107" s="176" t="s">
        <v>23</v>
      </c>
      <c r="V107"/>
      <c r="W107"/>
      <c r="X107"/>
      <c r="Y107"/>
      <c r="Z107" s="267">
        <v>4.3400296889999996</v>
      </c>
      <c r="AA107" s="267">
        <v>22.625466808999999</v>
      </c>
      <c r="AB107" s="267">
        <v>15.1917268877</v>
      </c>
      <c r="AC107" s="267">
        <v>21.330928298400003</v>
      </c>
      <c r="AD107" s="268">
        <v>63.488151684100004</v>
      </c>
    </row>
    <row r="108" spans="3:30" s="3" customFormat="1" x14ac:dyDescent="0.25">
      <c r="C108" s="178" t="s">
        <v>24</v>
      </c>
      <c r="D108" t="s">
        <v>596</v>
      </c>
      <c r="E108" t="s">
        <v>597</v>
      </c>
      <c r="F108" t="s">
        <v>598</v>
      </c>
      <c r="G108" t="s">
        <v>599</v>
      </c>
      <c r="H108" s="37">
        <f>VLOOKUP(D108,Résultats!$B$2:$AX$476,'T energie vecteurs'!U5,FALSE)</f>
        <v>1.8961780619999999</v>
      </c>
      <c r="I108" s="37">
        <f>VLOOKUP(E108,Résultats!$B$2:$AX$476,'T energie vecteurs'!U5,FALSE)</f>
        <v>10.728680710000001</v>
      </c>
      <c r="J108" s="37">
        <f>VLOOKUP(F108,Résultats!$B$2:$AX$476,'T energie vecteurs'!U5,FALSE)</f>
        <v>13.54320405</v>
      </c>
      <c r="K108" s="37">
        <f>VLOOKUP(G108,Résultats!$B$2:$AX$476,'T energie vecteurs'!U5,FALSE)</f>
        <v>17.15850073</v>
      </c>
      <c r="L108" s="266">
        <f t="shared" si="23"/>
        <v>43.326563552000003</v>
      </c>
      <c r="M108" s="19"/>
      <c r="N108" s="178" t="s">
        <v>281</v>
      </c>
      <c r="O108" s="172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11.936351978766361</v>
      </c>
      <c r="S108" s="120">
        <f t="shared" si="24"/>
        <v>23.976169791173501</v>
      </c>
      <c r="U108" s="178" t="s">
        <v>24</v>
      </c>
      <c r="V108" t="s">
        <v>105</v>
      </c>
      <c r="W108" t="s">
        <v>106</v>
      </c>
      <c r="X108" t="s">
        <v>107</v>
      </c>
      <c r="Y108" t="s">
        <v>108</v>
      </c>
      <c r="Z108" s="37">
        <v>3.0981000710000002</v>
      </c>
      <c r="AA108" s="37">
        <v>16.407926639999999</v>
      </c>
      <c r="AB108" s="37">
        <v>14.72986798</v>
      </c>
      <c r="AC108" s="37">
        <v>17.628857150000002</v>
      </c>
      <c r="AD108" s="266">
        <v>51.864751841</v>
      </c>
    </row>
    <row r="109" spans="3:30" s="3" customFormat="1" x14ac:dyDescent="0.25">
      <c r="C109" s="178" t="s">
        <v>153</v>
      </c>
      <c r="D109" t="s">
        <v>600</v>
      </c>
      <c r="E109" t="s">
        <v>601</v>
      </c>
      <c r="F109" t="s">
        <v>602</v>
      </c>
      <c r="G109" t="s">
        <v>603</v>
      </c>
      <c r="H109" s="37">
        <f>VLOOKUP(D109,Résultats!$B$2:$AX$476,'T energie vecteurs'!U5,FALSE)</f>
        <v>0.9753606614</v>
      </c>
      <c r="I109" s="37">
        <f>VLOOKUP(E109,Résultats!$B$2:$AX$476,'T energie vecteurs'!U5,FALSE)</f>
        <v>2.4790604580000002</v>
      </c>
      <c r="J109" s="37">
        <f>VLOOKUP(F109,Résultats!$B$2:$AX$476,'T energie vecteurs'!U5,FALSE)</f>
        <v>0</v>
      </c>
      <c r="K109" s="37">
        <f>VLOOKUP(G109,Résultats!$B$2:$AX$476,'T energie vecteurs'!U5,FALSE)</f>
        <v>2.6495632800000002</v>
      </c>
      <c r="L109" s="266">
        <f t="shared" si="23"/>
        <v>6.1039843993999998</v>
      </c>
      <c r="M109" s="19"/>
      <c r="N109" s="178" t="s">
        <v>153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24"/>
        <v>14.017023318945059</v>
      </c>
      <c r="U109" s="178" t="s">
        <v>153</v>
      </c>
      <c r="V109" t="s">
        <v>154</v>
      </c>
      <c r="W109" t="s">
        <v>155</v>
      </c>
      <c r="X109" t="s">
        <v>156</v>
      </c>
      <c r="Y109" t="s">
        <v>157</v>
      </c>
      <c r="Z109" s="37">
        <v>1.2419296179999999</v>
      </c>
      <c r="AA109" s="37">
        <v>3.1616425499999998</v>
      </c>
      <c r="AB109" s="37">
        <v>0</v>
      </c>
      <c r="AC109" s="37">
        <v>3.2657716809999999</v>
      </c>
      <c r="AD109" s="266">
        <v>7.6693438490000005</v>
      </c>
    </row>
    <row r="110" spans="3:30" s="3" customFormat="1" x14ac:dyDescent="0.25">
      <c r="C110" s="178" t="s">
        <v>25</v>
      </c>
      <c r="D110" t="s">
        <v>604</v>
      </c>
      <c r="E110" t="s">
        <v>605</v>
      </c>
      <c r="F110" t="s">
        <v>606</v>
      </c>
      <c r="G110" t="s">
        <v>607</v>
      </c>
      <c r="H110" s="37">
        <f>VLOOKUP(D110,Résultats!$B$2:$AX$476,'T energie vecteurs'!U5,FALSE)</f>
        <v>0</v>
      </c>
      <c r="I110" s="37">
        <f>VLOOKUP(E110,Résultats!$B$2:$AX$476,'T energie vecteurs'!U5,FALSE)</f>
        <v>3.1526933850000001</v>
      </c>
      <c r="J110" s="37">
        <f>VLOOKUP(F110,Résultats!$B$2:$AX$476,'T energie vecteurs'!U5,FALSE)</f>
        <v>0.41104538769999999</v>
      </c>
      <c r="K110" s="37">
        <f>VLOOKUP(G110,Résultats!$B$2:$AX$476,'T energie vecteurs'!U5,FALSE)</f>
        <v>0.4912647094</v>
      </c>
      <c r="L110" s="266">
        <f t="shared" si="23"/>
        <v>4.0550034821000001</v>
      </c>
      <c r="M110" s="19"/>
      <c r="N110" s="179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1">
        <f t="shared" si="24"/>
        <v>3.7781067567977473</v>
      </c>
      <c r="U110" s="178" t="s">
        <v>25</v>
      </c>
      <c r="V110" t="s">
        <v>109</v>
      </c>
      <c r="W110" t="s">
        <v>110</v>
      </c>
      <c r="X110" t="s">
        <v>111</v>
      </c>
      <c r="Y110" t="s">
        <v>112</v>
      </c>
      <c r="Z110" s="37">
        <v>0</v>
      </c>
      <c r="AA110" s="37">
        <v>3.055897619</v>
      </c>
      <c r="AB110" s="37">
        <v>0.46185890769999999</v>
      </c>
      <c r="AC110" s="37">
        <v>0.43629946739999997</v>
      </c>
      <c r="AD110" s="266">
        <v>3.9540559941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9">
        <f>SUM(H102,H105:H107)</f>
        <v>3.1214811080000002</v>
      </c>
      <c r="I111" s="269">
        <f>SUM(I102,I105:I107)</f>
        <v>57.296506484000005</v>
      </c>
      <c r="J111" s="269">
        <f>SUM(J102,J105:J107)</f>
        <v>50.385929304699999</v>
      </c>
      <c r="K111" s="269">
        <f>SUM(K102,K105:K107)</f>
        <v>57.272686780481692</v>
      </c>
      <c r="L111" s="270">
        <f t="shared" si="23"/>
        <v>168.07660367718171</v>
      </c>
      <c r="M111" s="105"/>
      <c r="N111" s="180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44.198180431013775</v>
      </c>
      <c r="S111" s="173">
        <f t="shared" si="24"/>
        <v>131.31223615887137</v>
      </c>
      <c r="U111" s="29" t="s">
        <v>26</v>
      </c>
      <c r="V111" s="10"/>
      <c r="W111" s="10"/>
      <c r="X111" s="10"/>
      <c r="Y111" s="10"/>
      <c r="Z111" s="269">
        <v>4.4779656735</v>
      </c>
      <c r="AA111" s="269">
        <v>64.711721585000006</v>
      </c>
      <c r="AB111" s="269">
        <v>50.595922502699999</v>
      </c>
      <c r="AC111" s="269">
        <v>50.3196919777278</v>
      </c>
      <c r="AD111" s="270">
        <v>170.10530173892778</v>
      </c>
    </row>
    <row r="112" spans="3:30" s="3" customFormat="1" x14ac:dyDescent="0.25"/>
    <row r="113" spans="3:30" s="3" customFormat="1" x14ac:dyDescent="0.25"/>
    <row r="114" spans="3:30" ht="31.5" x14ac:dyDescent="0.35">
      <c r="C114" s="174">
        <v>2050</v>
      </c>
      <c r="D114" s="175"/>
      <c r="E114" s="175"/>
      <c r="F114" s="175"/>
      <c r="G114" s="175"/>
      <c r="H114" s="101" t="s">
        <v>36</v>
      </c>
      <c r="I114" s="101" t="s">
        <v>159</v>
      </c>
      <c r="J114" s="101" t="s">
        <v>38</v>
      </c>
      <c r="K114" s="101" t="s">
        <v>158</v>
      </c>
      <c r="L114" s="118" t="s">
        <v>1</v>
      </c>
      <c r="M114" s="25"/>
      <c r="N114" s="174">
        <v>2050</v>
      </c>
      <c r="O114" s="170" t="s">
        <v>36</v>
      </c>
      <c r="P114" s="101" t="s">
        <v>159</v>
      </c>
      <c r="Q114" s="101" t="s">
        <v>38</v>
      </c>
      <c r="R114" s="101" t="s">
        <v>158</v>
      </c>
      <c r="S114" s="118" t="s">
        <v>1</v>
      </c>
      <c r="T114" s="25"/>
      <c r="U114" s="174">
        <v>2050</v>
      </c>
      <c r="V114" s="175"/>
      <c r="W114" s="175"/>
      <c r="X114" s="175"/>
      <c r="Y114" s="175"/>
      <c r="Z114" s="101" t="s">
        <v>36</v>
      </c>
      <c r="AA114" s="101" t="s">
        <v>159</v>
      </c>
      <c r="AB114" s="101" t="s">
        <v>38</v>
      </c>
      <c r="AC114" s="101" t="s">
        <v>158</v>
      </c>
      <c r="AD114" s="118" t="s">
        <v>1</v>
      </c>
    </row>
    <row r="115" spans="3:30" x14ac:dyDescent="0.25">
      <c r="C115" s="176" t="s">
        <v>18</v>
      </c>
      <c r="H115" s="8">
        <f>SUM(H116:H117)</f>
        <v>0</v>
      </c>
      <c r="I115" s="8">
        <f>SUM(I116:I117)</f>
        <v>31.27378272</v>
      </c>
      <c r="J115" s="8">
        <f>SUM(J116:J117)</f>
        <v>6.2415628230000006</v>
      </c>
      <c r="K115" s="8">
        <f>SUM(K116:K117)</f>
        <v>3.8941090397083</v>
      </c>
      <c r="L115" s="121">
        <f>SUM(H115:K115)</f>
        <v>41.4094545827083</v>
      </c>
      <c r="M115" s="99"/>
      <c r="N115" s="179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1">
        <f>SUM(O115:R115)</f>
        <v>30.517990573867085</v>
      </c>
      <c r="T115" s="245"/>
      <c r="U115" s="176" t="s">
        <v>18</v>
      </c>
      <c r="Z115" s="8">
        <v>0</v>
      </c>
      <c r="AA115" s="8">
        <v>36.484483330000003</v>
      </c>
      <c r="AB115" s="8">
        <v>8.0463840350000009</v>
      </c>
      <c r="AC115" s="8">
        <v>4.8678335704380995</v>
      </c>
      <c r="AD115" s="121">
        <v>49.398700935438107</v>
      </c>
    </row>
    <row r="116" spans="3:30" x14ac:dyDescent="0.25">
      <c r="C116" s="177" t="s">
        <v>19</v>
      </c>
      <c r="D116" t="s">
        <v>580</v>
      </c>
      <c r="E116" t="s">
        <v>581</v>
      </c>
      <c r="F116" t="s">
        <v>582</v>
      </c>
      <c r="G116" t="s">
        <v>583</v>
      </c>
      <c r="H116" s="19">
        <f>VLOOKUP(D116,Résultats!$B$2:$AX$476,'T energie vecteurs'!W5,FALSE)</f>
        <v>0</v>
      </c>
      <c r="I116" s="19">
        <f>VLOOKUP(E116,Résultats!$B$2:$AX$476,'T energie vecteurs'!W5,FALSE)</f>
        <v>10.849947999999999</v>
      </c>
      <c r="J116" s="19">
        <f>VLOOKUP(F116,Résultats!$B$2:$AX$476,'T energie vecteurs'!W5,FALSE)</f>
        <v>3.3265233510000001</v>
      </c>
      <c r="K116" s="19">
        <f>VLOOKUP(G116,Résultats!$B$2:$AX$476,'T energie vecteurs'!W5,FALSE)</f>
        <v>4.7378708299999998E-5</v>
      </c>
      <c r="L116" s="120">
        <f t="shared" ref="L116:L124" si="26">SUM(H116:K116)</f>
        <v>14.176518729708301</v>
      </c>
      <c r="M116" s="19"/>
      <c r="N116" s="177" t="s">
        <v>19</v>
      </c>
      <c r="O116" s="172"/>
      <c r="P116" s="19"/>
      <c r="Q116" s="55"/>
      <c r="R116" s="19"/>
      <c r="S116" s="120"/>
      <c r="T116" s="245"/>
      <c r="U116" s="177" t="s">
        <v>19</v>
      </c>
      <c r="V116" t="s">
        <v>89</v>
      </c>
      <c r="W116" t="s">
        <v>90</v>
      </c>
      <c r="X116" t="s">
        <v>91</v>
      </c>
      <c r="Y116" t="s">
        <v>92</v>
      </c>
      <c r="Z116" s="19">
        <v>0</v>
      </c>
      <c r="AA116" s="19">
        <v>10.6065296</v>
      </c>
      <c r="AB116" s="19">
        <v>3.3682351330000002</v>
      </c>
      <c r="AC116" s="19">
        <v>3.5815438099999998E-5</v>
      </c>
      <c r="AD116" s="120">
        <v>13.9748005484381</v>
      </c>
    </row>
    <row r="117" spans="3:30" x14ac:dyDescent="0.25">
      <c r="C117" s="178" t="s">
        <v>20</v>
      </c>
      <c r="D117" t="s">
        <v>584</v>
      </c>
      <c r="E117" t="s">
        <v>585</v>
      </c>
      <c r="F117" t="s">
        <v>586</v>
      </c>
      <c r="G117" t="s">
        <v>587</v>
      </c>
      <c r="H117" s="19">
        <f>VLOOKUP(D117,Résultats!$B$2:$AX$476,'T energie vecteurs'!W5,FALSE)</f>
        <v>0</v>
      </c>
      <c r="I117" s="19">
        <f>VLOOKUP(E117,Résultats!$B$2:$AX$476,'T energie vecteurs'!W5,FALSE)</f>
        <v>20.423834719999999</v>
      </c>
      <c r="J117" s="19">
        <f>VLOOKUP(F117,Résultats!$B$2:$AX$476,'T energie vecteurs'!W5,FALSE)</f>
        <v>2.9150394720000001</v>
      </c>
      <c r="K117" s="19">
        <f>VLOOKUP(G117,Résultats!$B$2:$AX$476,'T energie vecteurs'!W5,FALSE)</f>
        <v>3.8940616609999998</v>
      </c>
      <c r="L117" s="120">
        <f t="shared" si="26"/>
        <v>27.232935852999997</v>
      </c>
      <c r="M117" s="19"/>
      <c r="N117" s="178" t="s">
        <v>20</v>
      </c>
      <c r="O117" s="172"/>
      <c r="P117" s="19"/>
      <c r="Q117" s="55"/>
      <c r="R117" s="19"/>
      <c r="S117" s="120"/>
      <c r="T117" s="245"/>
      <c r="U117" s="178" t="s">
        <v>20</v>
      </c>
      <c r="V117" t="s">
        <v>93</v>
      </c>
      <c r="W117" t="s">
        <v>94</v>
      </c>
      <c r="X117" t="s">
        <v>95</v>
      </c>
      <c r="Y117" t="s">
        <v>96</v>
      </c>
      <c r="Z117" s="19">
        <v>0</v>
      </c>
      <c r="AA117" s="19">
        <v>25.877953730000002</v>
      </c>
      <c r="AB117" s="19">
        <v>4.6781489020000002</v>
      </c>
      <c r="AC117" s="19">
        <v>4.8677977549999998</v>
      </c>
      <c r="AD117" s="120">
        <v>35.423900387000003</v>
      </c>
    </row>
    <row r="118" spans="3:30" x14ac:dyDescent="0.25">
      <c r="C118" s="176" t="s">
        <v>21</v>
      </c>
      <c r="D118" t="s">
        <v>588</v>
      </c>
      <c r="E118" t="s">
        <v>589</v>
      </c>
      <c r="F118" t="s">
        <v>590</v>
      </c>
      <c r="G118" t="s">
        <v>591</v>
      </c>
      <c r="H118" s="8">
        <f>VLOOKUP(D118,Résultats!$B$2:$AX$476,'T energie vecteurs'!W5,FALSE)</f>
        <v>0.22744577060000001</v>
      </c>
      <c r="I118" s="8">
        <f>VLOOKUP(E118,Résultats!$B$2:$AX$476,'T energie vecteurs'!W5,FALSE)</f>
        <v>5.1556695259999996</v>
      </c>
      <c r="J118" s="8">
        <f>VLOOKUP(F118,Résultats!$B$2:$AX$476,'T energie vecteurs'!W5,FALSE)</f>
        <v>18.388367980000002</v>
      </c>
      <c r="K118" s="8">
        <f>VLOOKUP(G118,Résultats!$B$2:$AX$476,'T energie vecteurs'!W5,FALSE)+8</f>
        <v>24.888820169999999</v>
      </c>
      <c r="L118" s="121">
        <f t="shared" si="26"/>
        <v>48.660303446599997</v>
      </c>
      <c r="M118" s="99"/>
      <c r="N118" s="179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1">
        <f t="shared" ref="S118:S124" si="27">SUM(O118:R118)</f>
        <v>37.796602156011176</v>
      </c>
      <c r="T118" s="245"/>
      <c r="U118" s="176" t="s">
        <v>21</v>
      </c>
      <c r="V118" t="s">
        <v>97</v>
      </c>
      <c r="W118" t="s">
        <v>98</v>
      </c>
      <c r="X118" t="s">
        <v>99</v>
      </c>
      <c r="Y118" t="s">
        <v>100</v>
      </c>
      <c r="Z118" s="263">
        <v>0.1047875102</v>
      </c>
      <c r="AA118" s="263">
        <v>2.5498981110000001</v>
      </c>
      <c r="AB118" s="263">
        <v>16.573729669999999</v>
      </c>
      <c r="AC118" s="263">
        <v>16.247589345000002</v>
      </c>
      <c r="AD118" s="264">
        <v>35.476004636200003</v>
      </c>
    </row>
    <row r="119" spans="3:30" x14ac:dyDescent="0.25">
      <c r="C119" s="176" t="s">
        <v>22</v>
      </c>
      <c r="D119" t="s">
        <v>592</v>
      </c>
      <c r="E119" t="s">
        <v>593</v>
      </c>
      <c r="F119" t="s">
        <v>594</v>
      </c>
      <c r="G119" t="s">
        <v>595</v>
      </c>
      <c r="H119" s="8">
        <f>VLOOKUP(D119,Résultats!$B$2:$AX$476,'T energie vecteurs'!W5,FALSE)</f>
        <v>0</v>
      </c>
      <c r="I119" s="8">
        <f>VLOOKUP(E119,Résultats!$B$2:$AX$476,'T energie vecteurs'!W5,FALSE)</f>
        <v>1.9192569020000001</v>
      </c>
      <c r="J119" s="8">
        <f>VLOOKUP(F119,Résultats!$B$2:$AX$476,'T energie vecteurs'!W5,FALSE)</f>
        <v>12.84679049</v>
      </c>
      <c r="K119" s="8">
        <f>VLOOKUP(G119,Résultats!$B$2:$AX$476,'T energie vecteurs'!W5,FALSE)</f>
        <v>7.5356139539999996</v>
      </c>
      <c r="L119" s="121">
        <f t="shared" si="26"/>
        <v>22.301661345999999</v>
      </c>
      <c r="M119" s="99"/>
      <c r="N119" s="179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1">
        <f t="shared" si="27"/>
        <v>19.596611130280287</v>
      </c>
      <c r="T119" s="245"/>
      <c r="U119" s="176" t="s">
        <v>22</v>
      </c>
      <c r="V119" t="s">
        <v>101</v>
      </c>
      <c r="W119" t="s">
        <v>102</v>
      </c>
      <c r="X119" t="s">
        <v>103</v>
      </c>
      <c r="Y119" t="s">
        <v>104</v>
      </c>
      <c r="Z119" s="8">
        <v>0</v>
      </c>
      <c r="AA119" s="8">
        <v>1.523110929</v>
      </c>
      <c r="AB119" s="8">
        <v>13.12631228</v>
      </c>
      <c r="AC119" s="8">
        <v>5.8285237130000001</v>
      </c>
      <c r="AD119" s="121">
        <v>20.477946922000001</v>
      </c>
    </row>
    <row r="120" spans="3:30" x14ac:dyDescent="0.25">
      <c r="C120" s="176" t="s">
        <v>23</v>
      </c>
      <c r="H120" s="8">
        <f>SUM(H121:H123)</f>
        <v>2.844695293</v>
      </c>
      <c r="I120" s="8">
        <f>SUM(I121:I123)</f>
        <v>17.536048585</v>
      </c>
      <c r="J120" s="8">
        <f>SUM(J121:J123)</f>
        <v>16.778899801399998</v>
      </c>
      <c r="K120" s="8">
        <f>SUM(K121:K123)</f>
        <v>22.437208617699998</v>
      </c>
      <c r="L120" s="8">
        <f>SUM(L121:L123)</f>
        <v>59.5968522971</v>
      </c>
      <c r="M120" s="99"/>
      <c r="N120" s="179" t="s">
        <v>280</v>
      </c>
      <c r="O120" s="36">
        <f>O121+O122</f>
        <v>3.7208173415817956</v>
      </c>
      <c r="P120" s="35">
        <f t="shared" ref="P120:R120" si="28">P121+P122</f>
        <v>10.357640817267992</v>
      </c>
      <c r="Q120" s="35">
        <f t="shared" si="28"/>
        <v>9.8880397220191174</v>
      </c>
      <c r="R120" s="35">
        <f t="shared" si="28"/>
        <v>12.816914942214364</v>
      </c>
      <c r="S120" s="171">
        <f t="shared" si="27"/>
        <v>36.783412823083268</v>
      </c>
      <c r="T120" s="245"/>
      <c r="U120" s="176" t="s">
        <v>23</v>
      </c>
      <c r="Z120" s="8">
        <v>5.1412328250000003</v>
      </c>
      <c r="AA120" s="8">
        <v>26.462387749999998</v>
      </c>
      <c r="AB120" s="8">
        <v>19.642527276599999</v>
      </c>
      <c r="AC120" s="8">
        <v>25.1580574169</v>
      </c>
      <c r="AD120" s="8">
        <v>76.404205268499993</v>
      </c>
    </row>
    <row r="121" spans="3:30" x14ac:dyDescent="0.25">
      <c r="C121" s="178" t="s">
        <v>24</v>
      </c>
      <c r="D121" t="s">
        <v>596</v>
      </c>
      <c r="E121" t="s">
        <v>597</v>
      </c>
      <c r="F121" t="s">
        <v>598</v>
      </c>
      <c r="G121" t="s">
        <v>599</v>
      </c>
      <c r="H121" s="19">
        <f>VLOOKUP(D121,Résultats!$B$2:$AX$476,'T energie vecteurs'!W5,FALSE)</f>
        <v>1.833853677</v>
      </c>
      <c r="I121" s="19">
        <f>VLOOKUP(E121,Résultats!$B$2:$AX$476,'T energie vecteurs'!W5,FALSE)</f>
        <v>10.949307729999999</v>
      </c>
      <c r="J121" s="19">
        <f>VLOOKUP(F121,Résultats!$B$2:$AX$476,'T energie vecteurs'!W5,FALSE)</f>
        <v>16.300642289999999</v>
      </c>
      <c r="K121" s="19">
        <f>VLOOKUP(G121,Résultats!$B$2:$AX$476,'T energie vecteurs'!W5,FALSE)</f>
        <v>18.809146729999998</v>
      </c>
      <c r="L121" s="120">
        <f t="shared" si="26"/>
        <v>47.892950427000002</v>
      </c>
      <c r="M121" s="19"/>
      <c r="N121" s="178" t="s">
        <v>281</v>
      </c>
      <c r="O121" s="172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11.51748338251616</v>
      </c>
      <c r="S121" s="120">
        <f t="shared" si="27"/>
        <v>23.475824375270456</v>
      </c>
      <c r="T121" s="245"/>
      <c r="U121" s="178" t="s">
        <v>24</v>
      </c>
      <c r="V121" t="s">
        <v>105</v>
      </c>
      <c r="W121" t="s">
        <v>106</v>
      </c>
      <c r="X121" t="s">
        <v>107</v>
      </c>
      <c r="Y121" t="s">
        <v>108</v>
      </c>
      <c r="Z121" s="19">
        <v>3.6650423980000002</v>
      </c>
      <c r="AA121" s="19">
        <v>19.122842460000001</v>
      </c>
      <c r="AB121" s="19">
        <v>19.030234780000001</v>
      </c>
      <c r="AC121" s="19">
        <v>20.668763089999999</v>
      </c>
      <c r="AD121" s="120">
        <v>62.486882727999998</v>
      </c>
    </row>
    <row r="122" spans="3:30" x14ac:dyDescent="0.25">
      <c r="C122" s="178" t="s">
        <v>153</v>
      </c>
      <c r="D122" t="s">
        <v>600</v>
      </c>
      <c r="E122" t="s">
        <v>601</v>
      </c>
      <c r="F122" t="s">
        <v>602</v>
      </c>
      <c r="G122" t="s">
        <v>603</v>
      </c>
      <c r="H122" s="19">
        <f>VLOOKUP(D122,Résultats!$B$2:$AX$476,'T energie vecteurs'!W5,FALSE)</f>
        <v>1.010841616</v>
      </c>
      <c r="I122" s="19">
        <f>VLOOKUP(E122,Résultats!$B$2:$AX$476,'T energie vecteurs'!W5,FALSE)</f>
        <v>2.908419275</v>
      </c>
      <c r="J122" s="19">
        <f>VLOOKUP(F122,Résultats!$B$2:$AX$476,'T energie vecteurs'!W5,FALSE)</f>
        <v>0</v>
      </c>
      <c r="K122" s="19">
        <f>VLOOKUP(G122,Résultats!$B$2:$AX$476,'T energie vecteurs'!W5,FALSE)</f>
        <v>3.0529446299999998</v>
      </c>
      <c r="L122" s="120">
        <f t="shared" si="26"/>
        <v>6.9722055209999994</v>
      </c>
      <c r="M122" s="19"/>
      <c r="N122" s="178" t="s">
        <v>153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27"/>
        <v>13.307588447812815</v>
      </c>
      <c r="T122" s="245"/>
      <c r="U122" s="178" t="s">
        <v>153</v>
      </c>
      <c r="V122" t="s">
        <v>154</v>
      </c>
      <c r="W122" t="s">
        <v>155</v>
      </c>
      <c r="X122" t="s">
        <v>156</v>
      </c>
      <c r="Y122" t="s">
        <v>157</v>
      </c>
      <c r="Z122" s="19">
        <v>1.4761904269999999</v>
      </c>
      <c r="AA122" s="19">
        <v>3.8824293000000001</v>
      </c>
      <c r="AB122" s="19">
        <v>0</v>
      </c>
      <c r="AC122" s="19">
        <v>3.9789644160000002</v>
      </c>
      <c r="AD122" s="120">
        <v>9.3375841430000008</v>
      </c>
    </row>
    <row r="123" spans="3:30" x14ac:dyDescent="0.25">
      <c r="C123" s="178" t="s">
        <v>25</v>
      </c>
      <c r="D123" t="s">
        <v>604</v>
      </c>
      <c r="E123" t="s">
        <v>605</v>
      </c>
      <c r="F123" t="s">
        <v>606</v>
      </c>
      <c r="G123" t="s">
        <v>607</v>
      </c>
      <c r="H123" s="19">
        <f>VLOOKUP(D123,Résultats!$B$2:$AX$476,'T energie vecteurs'!W5,FALSE)</f>
        <v>0</v>
      </c>
      <c r="I123" s="19">
        <f>VLOOKUP(E123,Résultats!$B$2:$AX$476,'T energie vecteurs'!W5,FALSE)</f>
        <v>3.67832158</v>
      </c>
      <c r="J123" s="19">
        <f>VLOOKUP(F123,Résultats!$B$2:$AX$476,'T energie vecteurs'!W5,FALSE)</f>
        <v>0.4782575114</v>
      </c>
      <c r="K123" s="19">
        <f>VLOOKUP(G123,Résultats!$B$2:$AX$476,'T energie vecteurs'!W5,FALSE)</f>
        <v>0.5751172577</v>
      </c>
      <c r="L123" s="120">
        <f t="shared" si="26"/>
        <v>4.7316963490999999</v>
      </c>
      <c r="M123" s="19"/>
      <c r="N123" s="179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1">
        <f t="shared" si="27"/>
        <v>3.6027044468717877</v>
      </c>
      <c r="T123" s="245"/>
      <c r="U123" s="178" t="s">
        <v>25</v>
      </c>
      <c r="V123" t="s">
        <v>109</v>
      </c>
      <c r="W123" t="s">
        <v>110</v>
      </c>
      <c r="X123" t="s">
        <v>111</v>
      </c>
      <c r="Y123" t="s">
        <v>112</v>
      </c>
      <c r="Z123" s="19">
        <v>0</v>
      </c>
      <c r="AA123" s="19">
        <v>3.4571159900000001</v>
      </c>
      <c r="AB123" s="19">
        <v>0.61229249659999996</v>
      </c>
      <c r="AC123" s="19">
        <v>0.51032991090000002</v>
      </c>
      <c r="AD123" s="120">
        <v>4.5797383975000008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3.0721410636000002</v>
      </c>
      <c r="I124" s="9">
        <f>SUM(I115,I118:I120)</f>
        <v>55.884757733000001</v>
      </c>
      <c r="J124" s="9">
        <f>SUM(J115,J118:J120)</f>
        <v>54.255621094399999</v>
      </c>
      <c r="K124" s="9">
        <f>SUM(K115,K118:K120)</f>
        <v>58.755751781408293</v>
      </c>
      <c r="L124" s="123">
        <f t="shared" si="26"/>
        <v>171.96827167240829</v>
      </c>
      <c r="M124" s="105"/>
      <c r="N124" s="180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43.910246102932639</v>
      </c>
      <c r="S124" s="173">
        <f t="shared" si="27"/>
        <v>128.2973211301136</v>
      </c>
      <c r="T124" s="105"/>
      <c r="U124" s="29" t="s">
        <v>26</v>
      </c>
      <c r="V124" s="10"/>
      <c r="W124" s="10"/>
      <c r="X124" s="10"/>
      <c r="Y124" s="10"/>
      <c r="Z124" s="9">
        <v>5.2460203352000008</v>
      </c>
      <c r="AA124" s="9">
        <v>67.019880119999996</v>
      </c>
      <c r="AB124" s="9">
        <v>57.388953261600001</v>
      </c>
      <c r="AC124" s="9">
        <v>52.102004045338106</v>
      </c>
      <c r="AD124" s="123">
        <v>181.75685776213811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250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251</v>
      </c>
      <c r="O128" s="3"/>
      <c r="P128" s="3"/>
      <c r="Q128" s="3"/>
      <c r="R128" s="3"/>
      <c r="S128" s="3"/>
      <c r="U128" s="84" t="s">
        <v>250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4">
        <v>2050</v>
      </c>
      <c r="D129" s="175"/>
      <c r="E129" s="175"/>
      <c r="F129" s="175"/>
      <c r="G129" s="175"/>
      <c r="H129" s="101" t="s">
        <v>36</v>
      </c>
      <c r="I129" s="101" t="s">
        <v>159</v>
      </c>
      <c r="J129" s="101" t="s">
        <v>38</v>
      </c>
      <c r="K129" s="101" t="s">
        <v>158</v>
      </c>
      <c r="L129" s="118" t="s">
        <v>1</v>
      </c>
      <c r="N129" s="174">
        <v>2050</v>
      </c>
      <c r="O129" s="170" t="s">
        <v>36</v>
      </c>
      <c r="P129" s="101" t="s">
        <v>159</v>
      </c>
      <c r="Q129" s="101" t="s">
        <v>38</v>
      </c>
      <c r="R129" s="101" t="s">
        <v>158</v>
      </c>
      <c r="S129" s="118" t="s">
        <v>1</v>
      </c>
      <c r="U129" s="174">
        <v>2050</v>
      </c>
      <c r="V129" s="175"/>
      <c r="W129" s="175"/>
      <c r="X129" s="175"/>
      <c r="Y129" s="175"/>
      <c r="Z129" s="101" t="s">
        <v>36</v>
      </c>
      <c r="AA129" s="101" t="s">
        <v>159</v>
      </c>
      <c r="AB129" s="101" t="s">
        <v>38</v>
      </c>
      <c r="AC129" s="101" t="s">
        <v>158</v>
      </c>
      <c r="AD129" s="118" t="s">
        <v>1</v>
      </c>
    </row>
    <row r="130" spans="3:30" s="3" customFormat="1" x14ac:dyDescent="0.25">
      <c r="C130" s="248" t="s">
        <v>18</v>
      </c>
      <c r="D130" s="249"/>
      <c r="E130" s="249"/>
      <c r="F130" s="249"/>
      <c r="G130" s="249"/>
      <c r="H130" s="250" t="e">
        <f>H115-#REF!</f>
        <v>#REF!</v>
      </c>
      <c r="I130" s="251" t="e">
        <f>I115-#REF!</f>
        <v>#REF!</v>
      </c>
      <c r="J130" s="251" t="e">
        <f>J115-#REF!</f>
        <v>#REF!</v>
      </c>
      <c r="K130" s="251" t="e">
        <f>K115-#REF!</f>
        <v>#REF!</v>
      </c>
      <c r="L130" s="252" t="e">
        <f>L115-#REF!</f>
        <v>#REF!</v>
      </c>
      <c r="N130" s="248" t="s">
        <v>18</v>
      </c>
      <c r="O130" s="250">
        <f>H115-O115</f>
        <v>0</v>
      </c>
      <c r="P130" s="251">
        <f t="shared" ref="P130:S139" si="29">I115-P115</f>
        <v>10.829092603383675</v>
      </c>
      <c r="Q130" s="251">
        <f t="shared" si="29"/>
        <v>-0.707643563780465</v>
      </c>
      <c r="R130" s="251">
        <f t="shared" si="29"/>
        <v>0.77001496923800339</v>
      </c>
      <c r="S130" s="252">
        <f t="shared" si="29"/>
        <v>10.891464008841215</v>
      </c>
      <c r="U130" s="248" t="s">
        <v>18</v>
      </c>
      <c r="V130" s="249"/>
      <c r="W130" s="249"/>
      <c r="X130" s="249"/>
      <c r="Y130" s="249"/>
      <c r="Z130" s="250" t="e">
        <v>#REF!</v>
      </c>
      <c r="AA130" s="251" t="e">
        <v>#REF!</v>
      </c>
      <c r="AB130" s="251" t="e">
        <v>#REF!</v>
      </c>
      <c r="AC130" s="251" t="e">
        <v>#REF!</v>
      </c>
      <c r="AD130" s="252" t="e">
        <v>#REF!</v>
      </c>
    </row>
    <row r="131" spans="3:30" s="3" customFormat="1" x14ac:dyDescent="0.25">
      <c r="C131" s="177" t="s">
        <v>19</v>
      </c>
      <c r="D131" t="s">
        <v>252</v>
      </c>
      <c r="E131" t="s">
        <v>253</v>
      </c>
      <c r="F131" t="s">
        <v>254</v>
      </c>
      <c r="G131" t="s">
        <v>255</v>
      </c>
      <c r="H131" s="253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4" t="e">
        <f>L116-#REF!</f>
        <v>#REF!</v>
      </c>
      <c r="N131" s="177" t="s">
        <v>19</v>
      </c>
      <c r="O131" s="253">
        <f t="shared" ref="O131:O139" si="30">H116-O116</f>
        <v>0</v>
      </c>
      <c r="P131" s="55">
        <f t="shared" si="29"/>
        <v>10.849947999999999</v>
      </c>
      <c r="Q131" s="55">
        <f t="shared" si="29"/>
        <v>3.3265233510000001</v>
      </c>
      <c r="R131" s="55">
        <f t="shared" si="29"/>
        <v>4.7378708299999998E-5</v>
      </c>
      <c r="S131" s="254">
        <f t="shared" si="29"/>
        <v>14.176518729708301</v>
      </c>
      <c r="U131" s="177" t="s">
        <v>19</v>
      </c>
      <c r="V131" t="s">
        <v>252</v>
      </c>
      <c r="W131" t="s">
        <v>253</v>
      </c>
      <c r="X131" t="s">
        <v>254</v>
      </c>
      <c r="Y131" t="s">
        <v>255</v>
      </c>
      <c r="Z131" s="253" t="e">
        <v>#REF!</v>
      </c>
      <c r="AA131" s="55" t="e">
        <v>#REF!</v>
      </c>
      <c r="AB131" s="55" t="e">
        <v>#REF!</v>
      </c>
      <c r="AC131" s="55" t="e">
        <v>#REF!</v>
      </c>
      <c r="AD131" s="254" t="e">
        <v>#REF!</v>
      </c>
    </row>
    <row r="132" spans="3:30" s="3" customFormat="1" x14ac:dyDescent="0.25">
      <c r="C132" s="178" t="s">
        <v>20</v>
      </c>
      <c r="D132" t="s">
        <v>256</v>
      </c>
      <c r="E132" t="s">
        <v>257</v>
      </c>
      <c r="F132" t="s">
        <v>258</v>
      </c>
      <c r="G132" t="s">
        <v>259</v>
      </c>
      <c r="H132" s="253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4" t="e">
        <f>L117-#REF!</f>
        <v>#REF!</v>
      </c>
      <c r="N132" s="178" t="s">
        <v>20</v>
      </c>
      <c r="O132" s="253">
        <f t="shared" si="30"/>
        <v>0</v>
      </c>
      <c r="P132" s="55">
        <f t="shared" si="29"/>
        <v>20.423834719999999</v>
      </c>
      <c r="Q132" s="55">
        <f t="shared" si="29"/>
        <v>2.9150394720000001</v>
      </c>
      <c r="R132" s="55">
        <f t="shared" si="29"/>
        <v>3.8940616609999998</v>
      </c>
      <c r="S132" s="254">
        <f t="shared" si="29"/>
        <v>27.232935852999997</v>
      </c>
      <c r="U132" s="178" t="s">
        <v>20</v>
      </c>
      <c r="V132" t="s">
        <v>256</v>
      </c>
      <c r="W132" t="s">
        <v>257</v>
      </c>
      <c r="X132" t="s">
        <v>258</v>
      </c>
      <c r="Y132" t="s">
        <v>259</v>
      </c>
      <c r="Z132" s="253" t="e">
        <v>#REF!</v>
      </c>
      <c r="AA132" s="55" t="e">
        <v>#REF!</v>
      </c>
      <c r="AB132" s="55" t="e">
        <v>#REF!</v>
      </c>
      <c r="AC132" s="55" t="e">
        <v>#REF!</v>
      </c>
      <c r="AD132" s="254" t="e">
        <v>#REF!</v>
      </c>
    </row>
    <row r="133" spans="3:30" s="3" customFormat="1" x14ac:dyDescent="0.25">
      <c r="C133" s="248" t="s">
        <v>21</v>
      </c>
      <c r="D133" s="249" t="s">
        <v>260</v>
      </c>
      <c r="E133" s="249" t="s">
        <v>261</v>
      </c>
      <c r="F133" s="249" t="s">
        <v>262</v>
      </c>
      <c r="G133" s="249" t="s">
        <v>263</v>
      </c>
      <c r="H133" s="255" t="e">
        <f>H118-#REF!</f>
        <v>#REF!</v>
      </c>
      <c r="I133" s="251" t="e">
        <f>I118-#REF!</f>
        <v>#REF!</v>
      </c>
      <c r="J133" s="251" t="e">
        <f>J118-#REF!</f>
        <v>#REF!</v>
      </c>
      <c r="K133" s="251" t="e">
        <f>K118-#REF!</f>
        <v>#REF!</v>
      </c>
      <c r="L133" s="252" t="e">
        <f>L118-#REF!</f>
        <v>#REF!</v>
      </c>
      <c r="N133" s="248" t="s">
        <v>21</v>
      </c>
      <c r="O133" s="255">
        <f t="shared" si="30"/>
        <v>0.22744577060000001</v>
      </c>
      <c r="P133" s="251">
        <f t="shared" si="29"/>
        <v>4.7077359549905511</v>
      </c>
      <c r="Q133" s="251">
        <f t="shared" si="29"/>
        <v>1.6662981637054841</v>
      </c>
      <c r="R133" s="251">
        <f t="shared" si="29"/>
        <v>4.2622214012927948</v>
      </c>
      <c r="S133" s="252">
        <f t="shared" si="29"/>
        <v>10.863701290588821</v>
      </c>
      <c r="U133" s="248" t="s">
        <v>21</v>
      </c>
      <c r="V133" s="249" t="s">
        <v>260</v>
      </c>
      <c r="W133" s="249" t="s">
        <v>261</v>
      </c>
      <c r="X133" s="249" t="s">
        <v>262</v>
      </c>
      <c r="Y133" s="249" t="s">
        <v>263</v>
      </c>
      <c r="Z133" s="255" t="e">
        <v>#REF!</v>
      </c>
      <c r="AA133" s="251" t="e">
        <v>#REF!</v>
      </c>
      <c r="AB133" s="251" t="e">
        <v>#REF!</v>
      </c>
      <c r="AC133" s="251" t="e">
        <v>#REF!</v>
      </c>
      <c r="AD133" s="252" t="e">
        <v>#REF!</v>
      </c>
    </row>
    <row r="134" spans="3:30" s="3" customFormat="1" x14ac:dyDescent="0.25">
      <c r="C134" s="248" t="s">
        <v>22</v>
      </c>
      <c r="D134" s="249" t="s">
        <v>264</v>
      </c>
      <c r="E134" s="249" t="s">
        <v>265</v>
      </c>
      <c r="F134" s="249" t="s">
        <v>266</v>
      </c>
      <c r="G134" s="249" t="s">
        <v>267</v>
      </c>
      <c r="H134" s="255" t="e">
        <f>H119-#REF!</f>
        <v>#REF!</v>
      </c>
      <c r="I134" s="251" t="e">
        <f>I119-#REF!</f>
        <v>#REF!</v>
      </c>
      <c r="J134" s="251" t="e">
        <f>J119-#REF!</f>
        <v>#REF!</v>
      </c>
      <c r="K134" s="251" t="e">
        <f>K119-#REF!</f>
        <v>#REF!</v>
      </c>
      <c r="L134" s="252" t="e">
        <f>L119-#REF!</f>
        <v>#REF!</v>
      </c>
      <c r="N134" s="248" t="s">
        <v>22</v>
      </c>
      <c r="O134" s="255">
        <f t="shared" si="30"/>
        <v>0</v>
      </c>
      <c r="P134" s="251">
        <f t="shared" si="29"/>
        <v>1.7199338419764332</v>
      </c>
      <c r="Q134" s="251">
        <f t="shared" si="29"/>
        <v>0.28541476572479496</v>
      </c>
      <c r="R134" s="251">
        <f t="shared" si="29"/>
        <v>0.69970160801848547</v>
      </c>
      <c r="S134" s="252">
        <f t="shared" si="29"/>
        <v>2.7050502157197123</v>
      </c>
      <c r="U134" s="248" t="s">
        <v>22</v>
      </c>
      <c r="V134" s="249" t="s">
        <v>264</v>
      </c>
      <c r="W134" s="249" t="s">
        <v>265</v>
      </c>
      <c r="X134" s="249" t="s">
        <v>266</v>
      </c>
      <c r="Y134" s="249" t="s">
        <v>267</v>
      </c>
      <c r="Z134" s="255" t="e">
        <v>#REF!</v>
      </c>
      <c r="AA134" s="251" t="e">
        <v>#REF!</v>
      </c>
      <c r="AB134" s="251" t="e">
        <v>#REF!</v>
      </c>
      <c r="AC134" s="251" t="e">
        <v>#REF!</v>
      </c>
      <c r="AD134" s="252" t="e">
        <v>#REF!</v>
      </c>
    </row>
    <row r="135" spans="3:30" s="3" customFormat="1" x14ac:dyDescent="0.25">
      <c r="C135" s="248" t="s">
        <v>23</v>
      </c>
      <c r="D135" s="249"/>
      <c r="E135" s="249"/>
      <c r="F135" s="249"/>
      <c r="G135" s="249"/>
      <c r="H135" s="255" t="e">
        <f>H120-#REF!</f>
        <v>#REF!</v>
      </c>
      <c r="I135" s="251" t="e">
        <f>I120-#REF!</f>
        <v>#REF!</v>
      </c>
      <c r="J135" s="251" t="e">
        <f>J120-#REF!</f>
        <v>#REF!</v>
      </c>
      <c r="K135" s="251" t="e">
        <f>K120-#REF!</f>
        <v>#REF!</v>
      </c>
      <c r="L135" s="252" t="e">
        <f>L120-#REF!</f>
        <v>#REF!</v>
      </c>
      <c r="N135" s="248" t="s">
        <v>23</v>
      </c>
      <c r="O135" s="255">
        <f t="shared" si="30"/>
        <v>-0.87612204858179554</v>
      </c>
      <c r="P135" s="251">
        <f t="shared" si="29"/>
        <v>7.1784077677320077</v>
      </c>
      <c r="Q135" s="251">
        <f t="shared" si="29"/>
        <v>6.8908600793808805</v>
      </c>
      <c r="R135" s="251">
        <f t="shared" si="29"/>
        <v>9.6202936754856339</v>
      </c>
      <c r="S135" s="252">
        <f t="shared" si="29"/>
        <v>22.813439474016732</v>
      </c>
      <c r="U135" s="248" t="s">
        <v>23</v>
      </c>
      <c r="V135" s="249"/>
      <c r="W135" s="249"/>
      <c r="X135" s="249"/>
      <c r="Y135" s="249"/>
      <c r="Z135" s="255" t="e">
        <v>#REF!</v>
      </c>
      <c r="AA135" s="251" t="e">
        <v>#REF!</v>
      </c>
      <c r="AB135" s="251" t="e">
        <v>#REF!</v>
      </c>
      <c r="AC135" s="251" t="e">
        <v>#REF!</v>
      </c>
      <c r="AD135" s="252" t="e">
        <v>#REF!</v>
      </c>
    </row>
    <row r="136" spans="3:30" s="3" customFormat="1" x14ac:dyDescent="0.25">
      <c r="C136" s="178" t="s">
        <v>24</v>
      </c>
      <c r="D136" t="s">
        <v>268</v>
      </c>
      <c r="E136" t="s">
        <v>269</v>
      </c>
      <c r="F136" t="s">
        <v>270</v>
      </c>
      <c r="G136" t="s">
        <v>271</v>
      </c>
      <c r="H136" s="253" t="e">
        <f>H121-#REF!</f>
        <v>#REF!</v>
      </c>
      <c r="I136" s="256" t="e">
        <f>I121-#REF!</f>
        <v>#REF!</v>
      </c>
      <c r="J136" s="256" t="e">
        <f>J121-#REF!</f>
        <v>#REF!</v>
      </c>
      <c r="K136" s="256" t="e">
        <f>K121-#REF!</f>
        <v>#REF!</v>
      </c>
      <c r="L136" s="254" t="e">
        <f>L121-#REF!</f>
        <v>#REF!</v>
      </c>
      <c r="N136" s="178" t="s">
        <v>24</v>
      </c>
      <c r="O136" s="253">
        <f t="shared" si="30"/>
        <v>1.5179987507771897</v>
      </c>
      <c r="P136" s="256">
        <f t="shared" si="29"/>
        <v>9.1948613854876342</v>
      </c>
      <c r="Q136" s="256">
        <f t="shared" si="29"/>
        <v>6.4126025679808816</v>
      </c>
      <c r="R136" s="256">
        <f t="shared" si="29"/>
        <v>7.2916633474838388</v>
      </c>
      <c r="S136" s="254">
        <f t="shared" si="29"/>
        <v>24.417126051729547</v>
      </c>
      <c r="U136" s="178" t="s">
        <v>24</v>
      </c>
      <c r="V136" t="s">
        <v>268</v>
      </c>
      <c r="W136" t="s">
        <v>269</v>
      </c>
      <c r="X136" t="s">
        <v>270</v>
      </c>
      <c r="Y136" t="s">
        <v>271</v>
      </c>
      <c r="Z136" s="253" t="e">
        <v>#REF!</v>
      </c>
      <c r="AA136" s="256" t="e">
        <v>#REF!</v>
      </c>
      <c r="AB136" s="256" t="e">
        <v>#REF!</v>
      </c>
      <c r="AC136" s="256" t="e">
        <v>#REF!</v>
      </c>
      <c r="AD136" s="254" t="e">
        <v>#REF!</v>
      </c>
    </row>
    <row r="137" spans="3:30" s="3" customFormat="1" x14ac:dyDescent="0.25">
      <c r="C137" s="178" t="s">
        <v>153</v>
      </c>
      <c r="D137" t="s">
        <v>272</v>
      </c>
      <c r="E137" t="s">
        <v>273</v>
      </c>
      <c r="F137" t="s">
        <v>274</v>
      </c>
      <c r="G137" t="s">
        <v>275</v>
      </c>
      <c r="H137" s="257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4" t="e">
        <f>L122-#REF!</f>
        <v>#REF!</v>
      </c>
      <c r="N137" s="178" t="s">
        <v>153</v>
      </c>
      <c r="O137" s="257">
        <f t="shared" si="30"/>
        <v>-2.3941207993589853</v>
      </c>
      <c r="P137" s="55">
        <f t="shared" si="29"/>
        <v>-5.6947751977556251</v>
      </c>
      <c r="Q137" s="55">
        <f t="shared" si="29"/>
        <v>0</v>
      </c>
      <c r="R137" s="55">
        <f t="shared" si="29"/>
        <v>1.7535130703017963</v>
      </c>
      <c r="S137" s="254">
        <f t="shared" si="29"/>
        <v>-6.3353829268128159</v>
      </c>
      <c r="U137" s="178" t="s">
        <v>153</v>
      </c>
      <c r="V137" t="s">
        <v>272</v>
      </c>
      <c r="W137" t="s">
        <v>273</v>
      </c>
      <c r="X137" t="s">
        <v>274</v>
      </c>
      <c r="Y137" t="s">
        <v>275</v>
      </c>
      <c r="Z137" s="257" t="e">
        <v>#REF!</v>
      </c>
      <c r="AA137" s="55" t="e">
        <v>#REF!</v>
      </c>
      <c r="AB137" s="55" t="e">
        <v>#REF!</v>
      </c>
      <c r="AC137" s="55" t="e">
        <v>#REF!</v>
      </c>
      <c r="AD137" s="254" t="e">
        <v>#REF!</v>
      </c>
    </row>
    <row r="138" spans="3:30" s="3" customFormat="1" x14ac:dyDescent="0.25">
      <c r="C138" s="178" t="s">
        <v>25</v>
      </c>
      <c r="D138" t="s">
        <v>276</v>
      </c>
      <c r="E138" t="s">
        <v>277</v>
      </c>
      <c r="F138" t="s">
        <v>278</v>
      </c>
      <c r="G138" t="s">
        <v>279</v>
      </c>
      <c r="H138" s="253" t="e">
        <f>H123-#REF!</f>
        <v>#REF!</v>
      </c>
      <c r="I138" s="256" t="e">
        <f>I123-#REF!</f>
        <v>#REF!</v>
      </c>
      <c r="J138" s="256" t="e">
        <f>J123-#REF!</f>
        <v>#REF!</v>
      </c>
      <c r="K138" s="256" t="e">
        <f>K123-#REF!</f>
        <v>#REF!</v>
      </c>
      <c r="L138" s="254" t="e">
        <f>L123-#REF!</f>
        <v>#REF!</v>
      </c>
      <c r="N138" s="178" t="s">
        <v>25</v>
      </c>
      <c r="O138" s="253">
        <f t="shared" si="30"/>
        <v>0</v>
      </c>
      <c r="P138" s="256">
        <f t="shared" si="29"/>
        <v>1.0572833252044349</v>
      </c>
      <c r="Q138" s="256">
        <f t="shared" si="29"/>
        <v>3.3172948830333393E-3</v>
      </c>
      <c r="R138" s="256">
        <f t="shared" si="29"/>
        <v>6.8391282140744192E-2</v>
      </c>
      <c r="S138" s="254">
        <f t="shared" si="29"/>
        <v>1.1289919022282122</v>
      </c>
      <c r="U138" s="178" t="s">
        <v>25</v>
      </c>
      <c r="V138" t="s">
        <v>276</v>
      </c>
      <c r="W138" t="s">
        <v>277</v>
      </c>
      <c r="X138" t="s">
        <v>278</v>
      </c>
      <c r="Y138" t="s">
        <v>279</v>
      </c>
      <c r="Z138" s="253" t="e">
        <v>#REF!</v>
      </c>
      <c r="AA138" s="256" t="e">
        <v>#REF!</v>
      </c>
      <c r="AB138" s="256" t="e">
        <v>#REF!</v>
      </c>
      <c r="AC138" s="256" t="e">
        <v>#REF!</v>
      </c>
      <c r="AD138" s="254" t="e">
        <v>#REF!</v>
      </c>
    </row>
    <row r="139" spans="3:30" s="3" customFormat="1" x14ac:dyDescent="0.25">
      <c r="C139" s="258" t="s">
        <v>26</v>
      </c>
      <c r="D139" s="259"/>
      <c r="E139" s="259"/>
      <c r="F139" s="259"/>
      <c r="G139" s="259"/>
      <c r="H139" s="260" t="e">
        <f>H124-#REF!</f>
        <v>#REF!</v>
      </c>
      <c r="I139" s="261" t="e">
        <f>I124-#REF!</f>
        <v>#REF!</v>
      </c>
      <c r="J139" s="261" t="e">
        <f>J124-#REF!</f>
        <v>#REF!</v>
      </c>
      <c r="K139" s="261" t="e">
        <f>K124-#REF!</f>
        <v>#REF!</v>
      </c>
      <c r="L139" s="262" t="e">
        <f>L124-#REF!</f>
        <v>#REF!</v>
      </c>
      <c r="N139" s="258" t="s">
        <v>26</v>
      </c>
      <c r="O139" s="260">
        <f t="shared" si="30"/>
        <v>-0.64867627798179539</v>
      </c>
      <c r="P139" s="261">
        <f t="shared" si="29"/>
        <v>21.814131913287099</v>
      </c>
      <c r="Q139" s="261">
        <f t="shared" si="29"/>
        <v>7.659989228513723</v>
      </c>
      <c r="R139" s="261">
        <f t="shared" si="29"/>
        <v>14.845505678475654</v>
      </c>
      <c r="S139" s="262">
        <f t="shared" si="29"/>
        <v>43.67095054229469</v>
      </c>
      <c r="U139" s="258" t="s">
        <v>26</v>
      </c>
      <c r="V139" s="259"/>
      <c r="W139" s="259"/>
      <c r="X139" s="259"/>
      <c r="Y139" s="259"/>
      <c r="Z139" s="260" t="e">
        <v>#REF!</v>
      </c>
      <c r="AA139" s="261" t="e">
        <v>#REF!</v>
      </c>
      <c r="AB139" s="261" t="e">
        <v>#REF!</v>
      </c>
      <c r="AC139" s="261" t="e">
        <v>#REF!</v>
      </c>
      <c r="AD139" s="262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40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232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4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4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5" t="s">
        <v>18</v>
      </c>
      <c r="B6" s="57">
        <f>B7+B8</f>
        <v>0</v>
      </c>
      <c r="C6" s="57">
        <f>C7+C8</f>
        <v>130.29249061508349</v>
      </c>
      <c r="D6" s="57">
        <f>D7+D8</f>
        <v>0.60091246323069858</v>
      </c>
      <c r="E6" s="57">
        <f>E7+E8</f>
        <v>0.40961237182934868</v>
      </c>
      <c r="F6" s="57">
        <f>F7+F8</f>
        <v>0</v>
      </c>
      <c r="G6" s="196">
        <f t="shared" ref="G6:G15" si="0">SUM(B6:F6)</f>
        <v>131.30301545014353</v>
      </c>
      <c r="H6" s="3"/>
      <c r="I6" s="203"/>
      <c r="J6" s="51"/>
      <c r="K6" s="51" t="s">
        <v>235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7" t="s">
        <v>19</v>
      </c>
      <c r="B7" s="19">
        <v>0</v>
      </c>
      <c r="C7" s="19">
        <f>'T energie usages'!I12*3.2*Résultats!L250</f>
        <v>74.790911616483513</v>
      </c>
      <c r="D7" s="19">
        <f>'T energie usages'!J12/'T energie usages'!J$20*(Résultats!N$159+Résultats!N$60+Résultats!N$161)/1000000</f>
        <v>9.4886251699021935E-3</v>
      </c>
      <c r="E7" s="19">
        <f>'T energie usages'!K12*2.394*Résultats!L251</f>
        <v>2.0118909348647898E-5</v>
      </c>
      <c r="F7" s="19">
        <v>0</v>
      </c>
      <c r="G7" s="120">
        <f t="shared" si="0"/>
        <v>74.800420360562768</v>
      </c>
      <c r="H7" s="3"/>
      <c r="I7" s="203"/>
      <c r="J7" s="51"/>
      <c r="K7" s="208"/>
      <c r="L7" s="209">
        <v>2020</v>
      </c>
      <c r="M7" s="209">
        <v>2030</v>
      </c>
      <c r="N7" s="210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8" t="s">
        <v>20</v>
      </c>
      <c r="B8" s="19">
        <v>0</v>
      </c>
      <c r="C8" s="19">
        <f>(Résultats!N$150+Résultats!N$151+Résultats!N$152+Résultats!N$153+Résultats!N$154)/1000000</f>
        <v>55.501578998599989</v>
      </c>
      <c r="D8" s="19">
        <f>'T energie usages'!J13/'T energie usages'!J$20*(Résultats!N$159+Résultats!N$160+Résultats!N$161)/1000000</f>
        <v>0.59142383806079635</v>
      </c>
      <c r="E8" s="19">
        <f>(Résultats!N$176+Résultats!N$177+Résultats!N$178+Résultats!N$179+Résultats!N$180)/1000000</f>
        <v>0.40959225292000001</v>
      </c>
      <c r="F8" s="19">
        <v>0</v>
      </c>
      <c r="G8" s="120">
        <f t="shared" si="0"/>
        <v>56.502595089580787</v>
      </c>
      <c r="H8" s="3"/>
      <c r="I8" s="203"/>
      <c r="J8" s="51"/>
      <c r="K8" s="211" t="s">
        <v>18</v>
      </c>
      <c r="L8" s="24">
        <f>G19</f>
        <v>127.64983611629791</v>
      </c>
      <c r="M8" s="24">
        <f>G45</f>
        <v>117.2227393797592</v>
      </c>
      <c r="N8" s="214">
        <f>G71</f>
        <v>97.701931809409615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5" t="s">
        <v>21</v>
      </c>
      <c r="B9" s="57">
        <f>Résultats!N$102/1000000</f>
        <v>1.033218159</v>
      </c>
      <c r="C9" s="57">
        <f>'T energie usages'!I14*3.2*Résultats!L250</f>
        <v>22.166311707997384</v>
      </c>
      <c r="D9" s="57">
        <f>'T energie usages'!J14/'T energie usages'!J$20*(Résultats!N$159+Résultats!N$160+Résultats!N$161)/1000000</f>
        <v>6.8617802009957396</v>
      </c>
      <c r="E9" s="57">
        <f>('T energie usages'!K14-5)*2.394*Résultats!L251</f>
        <v>40.403589642655653</v>
      </c>
      <c r="F9" s="57">
        <v>0</v>
      </c>
      <c r="G9" s="196">
        <f t="shared" si="0"/>
        <v>70.46489971064878</v>
      </c>
      <c r="H9" s="3"/>
      <c r="I9" s="203"/>
      <c r="J9" s="51"/>
      <c r="K9" s="211" t="s">
        <v>233</v>
      </c>
      <c r="L9" s="24">
        <f>G22</f>
        <v>62.650208231684388</v>
      </c>
      <c r="M9" s="24">
        <f>G48</f>
        <v>55.514408807593426</v>
      </c>
      <c r="N9" s="214">
        <f>G74</f>
        <v>57.250975718358895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5" t="s">
        <v>22</v>
      </c>
      <c r="B10" s="57">
        <f>(Résultats!N$135+Résultats!N$136)/1000000</f>
        <v>0</v>
      </c>
      <c r="C10" s="57">
        <f>(Résultats!N$155+Résultats!N$156)/1000000</f>
        <v>12.1758702615</v>
      </c>
      <c r="D10" s="57">
        <f>'T energie usages'!J15/'T energie usages'!J$20*(Résultats!N$159+Résultats!N$160+Résultats!N$161)/1000000</f>
        <v>6.4970391398036069</v>
      </c>
      <c r="E10" s="57">
        <f>(Résultats!N$181+Résultats!N$182)/1000000</f>
        <v>18.660328943</v>
      </c>
      <c r="F10" s="57">
        <v>0</v>
      </c>
      <c r="G10" s="196">
        <f t="shared" si="0"/>
        <v>37.333238344303609</v>
      </c>
      <c r="H10" s="3"/>
      <c r="I10" s="203"/>
      <c r="J10" s="51"/>
      <c r="K10" s="212" t="s">
        <v>22</v>
      </c>
      <c r="L10" s="24">
        <f>G23</f>
        <v>28.815162048983581</v>
      </c>
      <c r="M10" s="24">
        <f>G49</f>
        <v>22.928967091430298</v>
      </c>
      <c r="N10" s="214">
        <f>G75</f>
        <v>18.123682276939611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5" t="s">
        <v>23</v>
      </c>
      <c r="B11" s="57">
        <f>B12+B13</f>
        <v>19.506141666899996</v>
      </c>
      <c r="C11" s="57">
        <f>C12+C13</f>
        <v>62.165186509070615</v>
      </c>
      <c r="D11" s="57">
        <f>D12+D13</f>
        <v>5.5687786527162144</v>
      </c>
      <c r="E11" s="57">
        <f>E12+E13</f>
        <v>25.905232620469356</v>
      </c>
      <c r="F11" s="57">
        <f>F12+F13</f>
        <v>12.05881789</v>
      </c>
      <c r="G11" s="196">
        <f t="shared" si="0"/>
        <v>125.20415733915618</v>
      </c>
      <c r="H11" s="3"/>
      <c r="I11" s="203"/>
      <c r="J11" s="51"/>
      <c r="K11" s="213" t="s">
        <v>234</v>
      </c>
      <c r="L11" s="215">
        <f>G24</f>
        <v>96.337396404821448</v>
      </c>
      <c r="M11" s="215">
        <f>G50</f>
        <v>106.80215958833908</v>
      </c>
      <c r="N11" s="216">
        <f>G76</f>
        <v>124.69465867440456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8" t="s">
        <v>24</v>
      </c>
      <c r="B12" s="19">
        <f>(Résultats!N$129+Résultats!N$130+Résultats!N$131+Résultats!N$132+Résultats!N$133+Résultats!N$134)/1000000</f>
        <v>19.506141666899996</v>
      </c>
      <c r="C12" s="19">
        <f>(Résultats!N$138+Résultats!N$140+Résultats!N$141+Résultats!N$142+Résultats!N$143+Résultats!N$144+Résultats!N$145+Résultats!N$146+Résultats!N$147+Résultats!N$148+Résultats!N$149)/1000000</f>
        <v>55.048774467070615</v>
      </c>
      <c r="D12" s="19">
        <f>'T energie usages'!J17/'T energie usages'!J$20*(Résultats!N$159+Résultats!N$160+Résultats!N$161)/1000000</f>
        <v>5.4110327607462692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25.235107498969356</v>
      </c>
      <c r="F12" s="19">
        <f>Résultats!N$100/1000000</f>
        <v>12.05881789</v>
      </c>
      <c r="G12" s="120">
        <f t="shared" si="0"/>
        <v>117.25987428368623</v>
      </c>
      <c r="H12" s="3"/>
      <c r="I12" s="203"/>
      <c r="J12" s="51"/>
      <c r="K12" s="217" t="s">
        <v>1</v>
      </c>
      <c r="L12" s="218">
        <f>SUM(L8:L11)</f>
        <v>315.45260280178729</v>
      </c>
      <c r="M12" s="218">
        <f t="shared" ref="M12:N12" si="1">SUM(M8:M11)</f>
        <v>302.46827486712203</v>
      </c>
      <c r="N12" s="218">
        <f t="shared" si="1"/>
        <v>297.77124847911267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8" t="s">
        <v>25</v>
      </c>
      <c r="B13" s="19">
        <v>0</v>
      </c>
      <c r="C13" s="19">
        <f>(Résultats!N$139)/1000000</f>
        <v>7.1164120420000003</v>
      </c>
      <c r="D13" s="19">
        <f>'T energie usages'!J19/'T energie usages'!J$20*(Résultats!N$159+Résultats!N$160+Résultats!N$161)/1000000</f>
        <v>0.15774589196994551</v>
      </c>
      <c r="E13" s="19">
        <f>(Résultats!N$163)/1000000</f>
        <v>0.67012512150000003</v>
      </c>
      <c r="F13" s="19">
        <v>0</v>
      </c>
      <c r="G13" s="120">
        <f t="shared" si="0"/>
        <v>7.9442830554699455</v>
      </c>
      <c r="H13" s="3"/>
      <c r="I13" s="203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20.539359825899997</v>
      </c>
      <c r="C14" s="58">
        <f>SUM(C9:C11)+C6</f>
        <v>226.79985909365149</v>
      </c>
      <c r="D14" s="58">
        <f>SUM(D9:D11)+D6</f>
        <v>19.528510456746261</v>
      </c>
      <c r="E14" s="58">
        <f>SUM(E9:E11)+E6</f>
        <v>85.378763577954373</v>
      </c>
      <c r="F14" s="58">
        <f>SUM(F9:F11)+F6</f>
        <v>12.05881789</v>
      </c>
      <c r="G14" s="197">
        <f t="shared" si="0"/>
        <v>364.30531084425212</v>
      </c>
      <c r="H14" s="3"/>
      <c r="I14" s="203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8" t="s">
        <v>43</v>
      </c>
      <c r="B15" s="201">
        <f>(Résultats!N$102+Résultats!N$129+Résultats!N$130+Résultats!N$131+Résultats!N$132+Résultats!N$133+Résultats!N$134+Résultats!N$135+Résultats!N$136)/1000000</f>
        <v>20.5393598259</v>
      </c>
      <c r="C15" s="201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226.06357733917048</v>
      </c>
      <c r="D15" s="201">
        <f>(Résultats!N$159+Résultats!N$160+Résultats!N$161)/1000000</f>
        <v>19.533441274999998</v>
      </c>
      <c r="E15" s="201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75.916052826389375</v>
      </c>
      <c r="F15" s="201">
        <f>Résultats!N$100/1000000</f>
        <v>12.05881789</v>
      </c>
      <c r="G15" s="202">
        <f t="shared" si="0"/>
        <v>354.11124915645985</v>
      </c>
      <c r="H15" s="3"/>
      <c r="I15" s="203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8"/>
      <c r="B16" s="199"/>
      <c r="C16" s="199"/>
      <c r="D16" s="199"/>
      <c r="E16" s="199"/>
      <c r="F16" s="199"/>
      <c r="G16" s="200">
        <f>Résultats!N$194/1000000</f>
        <v>354.11124849999999</v>
      </c>
      <c r="H16" s="3"/>
      <c r="I16" s="203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3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4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5" t="s">
        <v>18</v>
      </c>
      <c r="B19" s="57">
        <f>B20+B21</f>
        <v>0</v>
      </c>
      <c r="C19" s="57">
        <f>C20+C21</f>
        <v>126.68295217309759</v>
      </c>
      <c r="D19" s="57">
        <f>D20+D21</f>
        <v>0.52571728981111476</v>
      </c>
      <c r="E19" s="61">
        <f>E20+E21</f>
        <v>0.44116665338919647</v>
      </c>
      <c r="F19" s="57">
        <f>F20+F21</f>
        <v>0</v>
      </c>
      <c r="G19" s="196">
        <f>SUM(B19:F19)</f>
        <v>127.64983611629791</v>
      </c>
      <c r="H19" s="3"/>
      <c r="I19" s="203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7" t="s">
        <v>19</v>
      </c>
      <c r="B20" s="19">
        <v>0</v>
      </c>
      <c r="C20" s="19">
        <f>'T energie usages'!I25*3.2*Résultats!S250</f>
        <v>72.881908870797588</v>
      </c>
      <c r="D20" s="19">
        <f>'T energie usages'!J25/'T energie usages'!J$33*(Résultats!S$159+Résultats!S$160+Résultats!S$161)/1000000</f>
        <v>4.0745046151913156E-2</v>
      </c>
      <c r="E20" s="55">
        <f>'T energie usages'!K25*2.394*Résultats!S251</f>
        <v>2.8650849196438481E-5</v>
      </c>
      <c r="F20" s="19">
        <v>0</v>
      </c>
      <c r="G20" s="120">
        <f>SUM(B20:F20)</f>
        <v>72.922682567798702</v>
      </c>
      <c r="H20" s="3"/>
      <c r="I20" s="203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8" t="s">
        <v>20</v>
      </c>
      <c r="B21" s="19">
        <v>0</v>
      </c>
      <c r="C21" s="19">
        <f>(Résultats!S$150+Résultats!S$151+Résultats!S$152+Résultats!S$153+Résultats!S$154)/1000000</f>
        <v>53.801043302300002</v>
      </c>
      <c r="D21" s="19">
        <f>'T energie usages'!J26/'T energie usages'!J$33*(Résultats!S$159+Résultats!S$160+Résultats!S$161)/1000000</f>
        <v>0.48497224365920161</v>
      </c>
      <c r="E21" s="55">
        <f>(Résultats!S$176+Résultats!S$177+Résultats!S$178+Résultats!S$179+Résultats!S$180)/1000000</f>
        <v>0.44113800254000002</v>
      </c>
      <c r="F21" s="19">
        <v>0</v>
      </c>
      <c r="G21" s="120">
        <f>SUM(B21:F21)</f>
        <v>54.727153548499203</v>
      </c>
      <c r="H21" s="3"/>
      <c r="I21" s="203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5" t="s">
        <v>21</v>
      </c>
      <c r="B22" s="57">
        <f>Résultats!S$102/1000000</f>
        <v>0.99745826790000003</v>
      </c>
      <c r="C22" s="57">
        <f>'T energie usages'!I27*3.2*Résultats!S250</f>
        <v>19.579874395811704</v>
      </c>
      <c r="D22" s="57">
        <f>'T energie usages'!J27/'T energie usages'!J$33*(Résultats!S$159+Résultats!S$160+Résultats!S$161)/1000000</f>
        <v>5.311831058925411</v>
      </c>
      <c r="E22" s="57">
        <f>('T energie usages'!K27-7)*2.394*Résultats!S251</f>
        <v>36.761044509047274</v>
      </c>
      <c r="F22" s="57">
        <v>0</v>
      </c>
      <c r="G22" s="196">
        <f>SUM(B22:F22)</f>
        <v>62.650208231684388</v>
      </c>
      <c r="H22" s="3"/>
      <c r="I22" s="203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5" t="s">
        <v>22</v>
      </c>
      <c r="B23" s="57">
        <f>(Résultats!S$135+Résultats!S$136)/1000000</f>
        <v>0</v>
      </c>
      <c r="C23" s="57">
        <f>(Résultats!S$155+Résultats!S$156)/1000000</f>
        <v>8.7360502984000004</v>
      </c>
      <c r="D23" s="57">
        <f>'T energie usages'!J28/'T energie usages'!J$33*(Résultats!S$159+Résultats!S$160+Résultats!S$161)/1000000</f>
        <v>4.6232325405835795</v>
      </c>
      <c r="E23" s="57">
        <f>(Résultats!S$181+Résultats!S$182)/1000000</f>
        <v>15.455879210000001</v>
      </c>
      <c r="F23" s="57">
        <v>0</v>
      </c>
      <c r="G23" s="196">
        <f t="shared" ref="G23:G28" si="2">SUM(B23:F23)</f>
        <v>28.815162048983581</v>
      </c>
      <c r="H23" s="3"/>
      <c r="I23" s="203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5" t="s">
        <v>23</v>
      </c>
      <c r="B24" s="57">
        <f>B25+B26</f>
        <v>10.416766375</v>
      </c>
      <c r="C24" s="57">
        <f>C25+C26</f>
        <v>42.829237331806375</v>
      </c>
      <c r="D24" s="57">
        <f>D25+D26</f>
        <v>3.3837965326798973</v>
      </c>
      <c r="E24" s="57">
        <f>E25+E26</f>
        <v>26.299139765335163</v>
      </c>
      <c r="F24" s="57">
        <f>F25+F26</f>
        <v>13.4084564</v>
      </c>
      <c r="G24" s="196">
        <f t="shared" si="2"/>
        <v>96.337396404821448</v>
      </c>
      <c r="H24" s="3"/>
      <c r="I24" s="203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8" t="s">
        <v>24</v>
      </c>
      <c r="B25" s="19">
        <f>(Résultats!S$129+Résultats!S$130+Résultats!S$131+Résultats!S$132+Résultats!S$133+Résultats!S$134)/1000000</f>
        <v>10.416766375</v>
      </c>
      <c r="C25" s="19">
        <f>(Résultats!S$138+Résultats!S$140+Résultats!S$141+Résultats!S$142+Résultats!S$143+Résultats!S$144+Résultats!S$145+Résultats!S$146+Résultats!S$147+Résultats!S$148+Résultats!V$149)/1000000</f>
        <v>35.898959967806377</v>
      </c>
      <c r="D25" s="19">
        <f>'T energie usages'!J30/'T energie usages'!J$33*(Résultats!S$159+Résultats!S$160+Résultats!S$161)/1000000</f>
        <v>3.2693201822404752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25.684013611335164</v>
      </c>
      <c r="F25" s="19">
        <f>Résultats!S$100/1000000</f>
        <v>13.4084564</v>
      </c>
      <c r="G25" s="120">
        <f t="shared" si="2"/>
        <v>88.677516536382029</v>
      </c>
      <c r="H25" s="3"/>
      <c r="I25" s="203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8" t="s">
        <v>25</v>
      </c>
      <c r="B26" s="19">
        <v>0</v>
      </c>
      <c r="C26" s="19">
        <f>(Résultats!S$139)/1000000</f>
        <v>6.9302773640000002</v>
      </c>
      <c r="D26" s="19">
        <f>'T energie usages'!J32/'T energie usages'!J$33*(Résultats!S$159+Résultats!S$160+Résultats!S$161)/1000000</f>
        <v>0.11447635043942232</v>
      </c>
      <c r="E26" s="19">
        <f>(Résultats!S$163)/1000000</f>
        <v>0.61512615399999993</v>
      </c>
      <c r="F26" s="19">
        <v>0</v>
      </c>
      <c r="G26" s="120">
        <f t="shared" si="2"/>
        <v>7.6598798684394218</v>
      </c>
      <c r="H26" s="3"/>
      <c r="I26" s="203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11.414224642900001</v>
      </c>
      <c r="C27" s="58">
        <f>SUM(C22:C24)+C19</f>
        <v>197.82811419911567</v>
      </c>
      <c r="D27" s="58">
        <f>SUM(D22:D24)+D19</f>
        <v>13.844577422</v>
      </c>
      <c r="E27" s="58">
        <f>SUM(E22:E24)+E19</f>
        <v>78.957230137771646</v>
      </c>
      <c r="F27" s="58">
        <f>SUM(F22:F24)+F19</f>
        <v>13.4084564</v>
      </c>
      <c r="G27" s="197">
        <f t="shared" si="2"/>
        <v>315.45260280178729</v>
      </c>
      <c r="H27" s="3"/>
      <c r="I27" s="203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8" t="s">
        <v>43</v>
      </c>
      <c r="B28" s="201">
        <f>(Résultats!S$102+Résultats!S$129+Résultats!S$130+Résultats!S$131+Résultats!S$132+Résultats!S$133+Résultats!S$134+Résultats!S$135+Résultats!S$136)/1000000</f>
        <v>11.414224642900001</v>
      </c>
      <c r="C28" s="201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197.88398884281915</v>
      </c>
      <c r="D28" s="201">
        <f>(Résultats!S$159+Résultats!S$160+Résultats!S$161)/1000000</f>
        <v>13.844577422</v>
      </c>
      <c r="E28" s="200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71.074573218275177</v>
      </c>
      <c r="F28" s="201">
        <f>Résultats!S$100/1000000</f>
        <v>13.4084564</v>
      </c>
      <c r="G28" s="202">
        <f t="shared" si="2"/>
        <v>307.6258205259943</v>
      </c>
      <c r="H28" s="3"/>
      <c r="I28" s="203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8"/>
      <c r="B29" s="199"/>
      <c r="C29" s="199"/>
      <c r="D29" s="199"/>
      <c r="E29" s="199"/>
      <c r="F29" s="199"/>
      <c r="G29" s="200">
        <f>Résultats!S$194/1000000</f>
        <v>307.9531753</v>
      </c>
      <c r="H29" s="3"/>
      <c r="I29" s="203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3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4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5" t="s">
        <v>18</v>
      </c>
      <c r="B32" s="57">
        <f>B33+B34</f>
        <v>0</v>
      </c>
      <c r="C32" s="57">
        <f>C33+C34</f>
        <v>121.64221690970263</v>
      </c>
      <c r="D32" s="57">
        <f>D33+D34</f>
        <v>0.28878097327697294</v>
      </c>
      <c r="E32" s="61">
        <f>E33+E34</f>
        <v>0.92415975695966879</v>
      </c>
      <c r="F32" s="57">
        <f>F33+F34</f>
        <v>0</v>
      </c>
      <c r="G32" s="196">
        <f>SUM(B32:F32)</f>
        <v>122.85515763993926</v>
      </c>
      <c r="H32" s="3"/>
      <c r="I32" s="203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7" t="s">
        <v>19</v>
      </c>
      <c r="B33" s="19">
        <v>0</v>
      </c>
      <c r="C33" s="19">
        <f>'T energie usages'!I64*3.2*Résultats!X250</f>
        <v>66.674717388102636</v>
      </c>
      <c r="D33" s="19">
        <f>'T energie usages'!J64/'T energie usages'!J$72*(Résultats!X$159+Résultats!X$160+Résultats!X$161)/1000000</f>
        <v>5.3943949792947282E-2</v>
      </c>
      <c r="E33" s="55">
        <f>'T energie usages'!K64*2.394*Résultats!X251</f>
        <v>5.2394909668761528E-5</v>
      </c>
      <c r="F33" s="19">
        <v>0</v>
      </c>
      <c r="G33" s="120">
        <f>SUM(B33:F33)</f>
        <v>66.728713732805261</v>
      </c>
      <c r="H33" s="3"/>
      <c r="I33" s="203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8" t="s">
        <v>20</v>
      </c>
      <c r="B34" s="19">
        <v>0</v>
      </c>
      <c r="C34" s="19">
        <f>(Résultats!X$150+Résultats!X$151+Résultats!X$152+Résultats!X$153+Résultats!X$154)/1000000</f>
        <v>54.967499521599997</v>
      </c>
      <c r="D34" s="19">
        <f>'T energie usages'!J65/'T energie usages'!J$72*(Résultats!X$159+Résultats!X$160+Résultats!X$161)/1000000</f>
        <v>0.23483702348402566</v>
      </c>
      <c r="E34" s="55">
        <f>(Résultats!X$176+Résultats!X$177+Résultats!X$178+Résultats!X$179+Résultats!X$180)/1000000</f>
        <v>0.92410736204999999</v>
      </c>
      <c r="F34" s="19">
        <v>0</v>
      </c>
      <c r="G34" s="120">
        <f>SUM(B34:F34)</f>
        <v>56.126443907134025</v>
      </c>
      <c r="H34" s="3"/>
      <c r="I34" s="203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5" t="s">
        <v>21</v>
      </c>
      <c r="B35" s="57">
        <f>Résultats!X$102/1000000</f>
        <v>0.8803825220999999</v>
      </c>
      <c r="C35" s="57">
        <f>'T energie usages'!I66*3.2*Résultats!X250</f>
        <v>16.983048271472111</v>
      </c>
      <c r="D35" s="57">
        <f>'T energie usages'!J66/'T energie usages'!J$72*(Résultats!X$159+Résultats!X$160+Résultats!X$161)/1000000</f>
        <v>2.4168481292044435</v>
      </c>
      <c r="E35" s="57">
        <f>('T energie usages'!K66-8)*2.394*Résultats!X251</f>
        <v>36.190752943579689</v>
      </c>
      <c r="F35" s="57">
        <v>0</v>
      </c>
      <c r="G35" s="196">
        <f>SUM(B35:F35)</f>
        <v>56.471031866356242</v>
      </c>
      <c r="H35" s="3"/>
      <c r="I35" s="203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5" t="s">
        <v>22</v>
      </c>
      <c r="B36" s="57">
        <f>(Résultats!X$135+Résultats!X$136)/1000000</f>
        <v>0</v>
      </c>
      <c r="C36" s="57">
        <f>(Résultats!X$155+Résultats!X$156)/1000000</f>
        <v>8.0483796626000004</v>
      </c>
      <c r="D36" s="57">
        <f>'T energie usages'!J67/'T energie usages'!J$72*(Résultats!X$159+Résultats!X$160+Résultats!X$161)/1000000</f>
        <v>2.147274825529307</v>
      </c>
      <c r="E36" s="57">
        <f>(Résultats!X$181+Résultats!X$182)/1000000</f>
        <v>14.653730767999999</v>
      </c>
      <c r="F36" s="57">
        <v>0</v>
      </c>
      <c r="G36" s="196">
        <f t="shared" ref="G36:G41" si="3">SUM(B36:F36)</f>
        <v>24.849385256129306</v>
      </c>
      <c r="H36" s="3"/>
      <c r="I36" s="203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5" t="s">
        <v>23</v>
      </c>
      <c r="B37" s="57">
        <f>B38+B39</f>
        <v>10.1765233282</v>
      </c>
      <c r="C37" s="57">
        <f>C38+C39</f>
        <v>45.951020522479226</v>
      </c>
      <c r="D37" s="57">
        <f>D38+D39</f>
        <v>1.7134914806892763</v>
      </c>
      <c r="E37" s="57">
        <f>E38+E39</f>
        <v>26.577071526410432</v>
      </c>
      <c r="F37" s="57">
        <f>F38+F39</f>
        <v>14.33491714</v>
      </c>
      <c r="G37" s="196">
        <f t="shared" si="3"/>
        <v>98.753023997778939</v>
      </c>
      <c r="H37" s="3"/>
      <c r="I37" s="203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8" t="s">
        <v>24</v>
      </c>
      <c r="B38" s="19">
        <f>(Résultats!X$129+Résultats!X$130+Résultats!X$131+Résultats!X$132+Résultats!X$133+Résultats!X$134)/1000000</f>
        <v>10.1765233282</v>
      </c>
      <c r="C38" s="19">
        <f>(Résultats!X$138+Résultats!X$140+Résultats!X$141+Résultats!X$142+Résultats!X$143+Résultats!X$144+Résultats!X$145+Résultats!X$146+Résultats!X$147+Résultats!X$148+Résultats!X149)/1000000</f>
        <v>38.858386284479224</v>
      </c>
      <c r="D38" s="19">
        <f>'T energie usages'!J69/'T energie usages'!J$72*(Résultats!X$159+Résultats!X$160+Résultats!X$161)/1000000</f>
        <v>1.6589862326825437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25.938697014110431</v>
      </c>
      <c r="F38" s="19">
        <f>Résultats!X$100/1000000</f>
        <v>14.33491714</v>
      </c>
      <c r="G38" s="120">
        <f t="shared" si="3"/>
        <v>90.967509999472199</v>
      </c>
      <c r="H38" s="3"/>
      <c r="I38" s="203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8" t="s">
        <v>25</v>
      </c>
      <c r="B39" s="19">
        <v>0</v>
      </c>
      <c r="C39" s="19">
        <f>(Résultats!X$139)/1000000</f>
        <v>7.0926342379999996</v>
      </c>
      <c r="D39" s="19">
        <f>'T energie usages'!J71/'T energie usages'!J$72*(Résultats!X$159+Résultats!X$160+Résultats!X$161)/1000000</f>
        <v>5.4505248006732558E-2</v>
      </c>
      <c r="E39" s="19">
        <f>(Résultats!X$163)/1000000</f>
        <v>0.63837451229999997</v>
      </c>
      <c r="F39" s="19">
        <v>0</v>
      </c>
      <c r="G39" s="120">
        <f t="shared" si="3"/>
        <v>7.7855139983067314</v>
      </c>
      <c r="H39" s="3"/>
      <c r="I39" s="203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11.0569058503</v>
      </c>
      <c r="C40" s="58">
        <f>SUM(C35:C37)+C32</f>
        <v>192.62466536625396</v>
      </c>
      <c r="D40" s="58">
        <f>SUM(D35:D37)+D32</f>
        <v>6.5663954087</v>
      </c>
      <c r="E40" s="58">
        <f>SUM(E35:E37)+E32</f>
        <v>78.345714994949788</v>
      </c>
      <c r="F40" s="58">
        <f>SUM(F35:F37)+F32</f>
        <v>14.33491714</v>
      </c>
      <c r="G40" s="197">
        <f t="shared" si="3"/>
        <v>302.92859876020378</v>
      </c>
      <c r="H40" s="3"/>
      <c r="I40" s="203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8" t="s">
        <v>43</v>
      </c>
      <c r="B41" s="201">
        <f>(Résultats!X$102+Résultats!X$129+Résultats!X$130+Résultats!X$131+Résultats!X$132+Résultats!X$133+Résultats!X$134+Résultats!X$135+Résultats!X$136)/1000000</f>
        <v>11.0569058503</v>
      </c>
      <c r="C41" s="201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192.67521938167911</v>
      </c>
      <c r="D41" s="201">
        <f>(Résultats!X$159+Résultats!X$160+Résultats!X$161)/1000000</f>
        <v>6.5663954087000009</v>
      </c>
      <c r="E41" s="200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68.073854904260443</v>
      </c>
      <c r="F41" s="201">
        <f>Résultats!X$100/1000000</f>
        <v>14.33491714</v>
      </c>
      <c r="G41" s="202">
        <f t="shared" si="3"/>
        <v>292.7072926849396</v>
      </c>
      <c r="H41" s="3"/>
      <c r="I41" s="203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8"/>
      <c r="B42" s="199"/>
      <c r="C42" s="199"/>
      <c r="D42" s="199"/>
      <c r="E42" s="199"/>
      <c r="F42" s="199"/>
      <c r="G42" s="200">
        <f>Résultats!X$194/1000000</f>
        <v>292.99741419999998</v>
      </c>
      <c r="H42" s="3"/>
      <c r="I42" s="203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3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4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5" t="s">
        <v>18</v>
      </c>
      <c r="B45" s="57">
        <f>B46+B47</f>
        <v>0</v>
      </c>
      <c r="C45" s="57">
        <f>C46+C47</f>
        <v>114.8526098246605</v>
      </c>
      <c r="D45" s="57">
        <f>D46+D47</f>
        <v>0.35245495354013551</v>
      </c>
      <c r="E45" s="61">
        <f>E46+E47</f>
        <v>2.017674601558574</v>
      </c>
      <c r="F45" s="57">
        <f>F46+F47</f>
        <v>0</v>
      </c>
      <c r="G45" s="196">
        <f>SUM(B45:F45)</f>
        <v>117.2227393797592</v>
      </c>
      <c r="H45" s="3"/>
      <c r="I45" s="203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7" t="s">
        <v>19</v>
      </c>
      <c r="B46" s="19">
        <v>0</v>
      </c>
      <c r="C46" s="19">
        <f>'T energie usages'!I77*3.2*Résultats!AC250</f>
        <v>60.169251297760489</v>
      </c>
      <c r="D46" s="19">
        <f>'T energie usages'!J77/'T energie usages'!J$85*(Résultats!AC$159+Résultats!AC$160+Résultats!AC$161)/1000000</f>
        <v>0.1103169673475395</v>
      </c>
      <c r="E46" s="55">
        <f>'T energie usages'!K77*2.394*Résultats!AC251</f>
        <v>7.4765608574100625E-5</v>
      </c>
      <c r="F46" s="19">
        <v>0</v>
      </c>
      <c r="G46" s="120">
        <f>SUM(B46:F46)</f>
        <v>60.279643030716599</v>
      </c>
      <c r="H46" s="3"/>
      <c r="I46" s="203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8" t="s">
        <v>20</v>
      </c>
      <c r="B47" s="19">
        <v>0</v>
      </c>
      <c r="C47" s="19">
        <f>(Résultats!AC$150+Résultats!AC$151+Résultats!AC$152+Résultats!AC$153+Résultats!AC$154)/1000000</f>
        <v>54.683358526900008</v>
      </c>
      <c r="D47" s="19">
        <f>'T energie usages'!J78/'T energie usages'!J$85*(Résultats!AC$159+Résultats!AC$160+Résultats!AC$161)/1000000</f>
        <v>0.24213798619259602</v>
      </c>
      <c r="E47" s="55">
        <f>(Résultats!AC$176+Résultats!AC$177+Résultats!AC$178+Résultats!AC$179+Résultats!AC$180)/1000000</f>
        <v>2.01759983595</v>
      </c>
      <c r="F47" s="19">
        <v>0</v>
      </c>
      <c r="G47" s="120">
        <f>SUM(B47:F47)</f>
        <v>56.943096349042605</v>
      </c>
      <c r="H47" s="3"/>
      <c r="I47" s="203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5" t="s">
        <v>21</v>
      </c>
      <c r="B48" s="57">
        <f>Résultats!AC$102/1000000</f>
        <v>0.82214758340000005</v>
      </c>
      <c r="C48" s="57">
        <f>'T energie usages'!I79*3.2*Résultats!AC250</f>
        <v>16.406541819194096</v>
      </c>
      <c r="D48" s="57">
        <f>'T energie usages'!J79/'T energie usages'!J$85*(Résultats!AC$159+Résultats!AC$160+Résultats!AC$161)/1000000</f>
        <v>2.2155370368171532</v>
      </c>
      <c r="E48" s="57">
        <f>('T energie usages'!K79-8)*2.394*Résultats!AC251</f>
        <v>36.070182368182181</v>
      </c>
      <c r="F48" s="57">
        <v>0</v>
      </c>
      <c r="G48" s="196">
        <f>SUM(B48:F48)</f>
        <v>55.514408807593426</v>
      </c>
      <c r="H48" s="3"/>
      <c r="I48" s="203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5" t="s">
        <v>22</v>
      </c>
      <c r="B49" s="57">
        <f>(Résultats!AC$135+Résultats!AC$136)/1000000</f>
        <v>0</v>
      </c>
      <c r="C49" s="57">
        <f>(Résultats!AC$155+Résultats!AC$156)/1000000</f>
        <v>6.9501494074999997</v>
      </c>
      <c r="D49" s="57">
        <f>'T energie usages'!J80/'T energie usages'!J$85*(Résultats!AC$159+Résultats!AC$160+Résultats!AC$161)/1000000</f>
        <v>1.9812608619302994</v>
      </c>
      <c r="E49" s="57">
        <f>(Résultats!AC$181+Résultats!AC$182)/1000000</f>
        <v>13.997556822</v>
      </c>
      <c r="F49" s="57">
        <v>0</v>
      </c>
      <c r="G49" s="196">
        <f t="shared" ref="G49:G53" si="4">SUM(B49:F49)</f>
        <v>22.928967091430298</v>
      </c>
      <c r="H49" s="3"/>
      <c r="I49" s="203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5" t="s">
        <v>23</v>
      </c>
      <c r="B50" s="57">
        <f>B51+B52</f>
        <v>10.812654184200001</v>
      </c>
      <c r="C50" s="57">
        <f>C51+C52</f>
        <v>51.553397365872961</v>
      </c>
      <c r="D50" s="57">
        <f>D51+D52</f>
        <v>1.7132124907124124</v>
      </c>
      <c r="E50" s="57">
        <f>E51+E52</f>
        <v>28.058068457553709</v>
      </c>
      <c r="F50" s="57">
        <f>F51+F52</f>
        <v>14.664827089999999</v>
      </c>
      <c r="G50" s="196">
        <f t="shared" si="4"/>
        <v>106.80215958833908</v>
      </c>
      <c r="H50" s="3"/>
      <c r="I50" s="203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8" t="s">
        <v>24</v>
      </c>
      <c r="B51" s="19">
        <f>(Résultats!AC$129+Résultats!AC$130+Résultats!AC$131+Résultats!AC$132+Résultats!AC$133+Résultats!AC$134)/1000000</f>
        <v>10.812654184200001</v>
      </c>
      <c r="C51" s="19">
        <f>(Résultats!AC$138+Résultats!AC$140+Résultats!AC$141+Résultats!AC$142+Résultats!AC$143+Résultats!AC$144+Résultats!AC$145+Résultats!AC$146+Résultats!AC$147+Résultats!AC$148+Résultats!AC$149)/1000000</f>
        <v>43.929103918872961</v>
      </c>
      <c r="D51" s="19">
        <f>'T energie usages'!J82/'T energie usages'!J$85*(Résultats!AC$159+Résultats!AC$160+Résultats!AC$161)/1000000</f>
        <v>1.6631473912686698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27.416535956853711</v>
      </c>
      <c r="F51" s="19">
        <f>Résultats!AC$100/1000000</f>
        <v>14.664827089999999</v>
      </c>
      <c r="G51" s="120">
        <f t="shared" si="4"/>
        <v>98.486268541195344</v>
      </c>
      <c r="H51" s="3"/>
      <c r="I51" s="203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8" t="s">
        <v>25</v>
      </c>
      <c r="B52" s="19">
        <v>0</v>
      </c>
      <c r="C52" s="19">
        <f>(Résultats!AC$139)/1000000</f>
        <v>7.6242934469999994</v>
      </c>
      <c r="D52" s="19">
        <f>'T energie usages'!J84/'T energie usages'!J$85*(Résultats!AC$159+Résultats!AC$160+Résultats!AC$161)/1000000</f>
        <v>5.0065099443742593E-2</v>
      </c>
      <c r="E52" s="19">
        <f>(Résultats!AC$163)/1000000</f>
        <v>0.64153250070000001</v>
      </c>
      <c r="F52" s="19">
        <v>0</v>
      </c>
      <c r="G52" s="120">
        <f t="shared" si="4"/>
        <v>8.3158910471437419</v>
      </c>
      <c r="H52" s="3"/>
      <c r="I52" s="203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11.634801767600001</v>
      </c>
      <c r="C53" s="58">
        <f>SUM(C48:C50)+C45</f>
        <v>189.76269841722757</v>
      </c>
      <c r="D53" s="58">
        <f>SUM(D48:D50)+D45</f>
        <v>6.2624653430000006</v>
      </c>
      <c r="E53" s="58">
        <f>SUM(E48:E50)+E45</f>
        <v>80.143482249294451</v>
      </c>
      <c r="F53" s="58">
        <f>SUM(F48:F50)+F45</f>
        <v>14.664827089999999</v>
      </c>
      <c r="G53" s="197">
        <f t="shared" si="4"/>
        <v>302.46827486712203</v>
      </c>
      <c r="H53" s="3"/>
      <c r="I53" s="203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8" t="s">
        <v>43</v>
      </c>
      <c r="B54" s="201">
        <f>(Résultats!AC$102+Résultats!AC$129+Résultats!AC$130+Résultats!AC$131+Résultats!AC$132+Résultats!AC$133+Résultats!AC$134+Résultats!AC$135+Résultats!AC$136)/1000000</f>
        <v>11.634801767600003</v>
      </c>
      <c r="C54" s="201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189.80897331027299</v>
      </c>
      <c r="D54" s="201">
        <f>(Résultats!AC$159+Résultats!AC$160+Résultats!AC$161)/1000000</f>
        <v>6.2624653430000006</v>
      </c>
      <c r="E54" s="200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68.547244848903702</v>
      </c>
      <c r="F54" s="201">
        <f>Résultats!AC$100/1000000</f>
        <v>14.664827089999999</v>
      </c>
      <c r="G54" s="202">
        <f>SUM(B54:F54)</f>
        <v>290.91831235977673</v>
      </c>
      <c r="H54" s="3"/>
      <c r="I54" s="203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8"/>
      <c r="B55" s="199"/>
      <c r="C55" s="199"/>
      <c r="D55" s="199"/>
      <c r="E55" s="199"/>
      <c r="F55" s="199"/>
      <c r="G55" s="200">
        <f>Résultats!AC$194/1000000</f>
        <v>291.20586910000003</v>
      </c>
      <c r="H55" s="3"/>
      <c r="I55" s="203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3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4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5" t="s">
        <v>18</v>
      </c>
      <c r="B58" s="57">
        <f>B59+B60</f>
        <v>0</v>
      </c>
      <c r="C58" s="57">
        <f>C59+C60</f>
        <v>105.55698420323179</v>
      </c>
      <c r="D58" s="57">
        <f>D59+D60</f>
        <v>0.47691108761149403</v>
      </c>
      <c r="E58" s="61">
        <f>E59+E60</f>
        <v>3.3234821653896636</v>
      </c>
      <c r="F58" s="57">
        <f>F59+F60</f>
        <v>0</v>
      </c>
      <c r="G58" s="196">
        <f t="shared" ref="G58:G67" si="5">SUM(B58:F58)</f>
        <v>109.35737745623295</v>
      </c>
      <c r="H58" s="3"/>
      <c r="I58" s="203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7" t="s">
        <v>19</v>
      </c>
      <c r="B59" s="19">
        <v>0</v>
      </c>
      <c r="C59" s="19">
        <f>'T energie usages'!I90*3.2*Résultats!AH250</f>
        <v>52.659755456931791</v>
      </c>
      <c r="D59" s="19">
        <f>'T energie usages'!J90/'T energie usages'!J$98*(Résultats!AH$159+Résultats!AH$160+Résultats!AH$161)/1000000</f>
        <v>0.1891388117515688</v>
      </c>
      <c r="E59" s="55">
        <f>'T energie usages'!K90*2.394*Résultats!AH251</f>
        <v>8.7750909664139186E-5</v>
      </c>
      <c r="F59" s="19">
        <v>0</v>
      </c>
      <c r="G59" s="120">
        <f t="shared" si="5"/>
        <v>52.848982019593024</v>
      </c>
      <c r="H59" s="3"/>
      <c r="I59" s="203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8" t="s">
        <v>20</v>
      </c>
      <c r="B60" s="19">
        <v>0</v>
      </c>
      <c r="C60" s="19">
        <f>(Résultats!AH$150+Résultats!AH$151+Résultats!AH$152+Résultats!AH$153+Résultats!AH$154)/1000000</f>
        <v>52.897228746299994</v>
      </c>
      <c r="D60" s="19">
        <f>'T energie usages'!J91/'T energie usages'!J$98*(Résultats!AH$159+Résultats!AH$160+Résultats!AH$161)/1000000</f>
        <v>0.28777227585992526</v>
      </c>
      <c r="E60" s="55">
        <f>(Résultats!AH$176+Résultats!AH$177+Résultats!AH$178+Résultats!AH$179+Résultats!AH$180)/1000000</f>
        <v>3.3233944144799996</v>
      </c>
      <c r="F60" s="19">
        <v>0</v>
      </c>
      <c r="G60" s="120">
        <f t="shared" si="5"/>
        <v>56.508395436639915</v>
      </c>
      <c r="H60" s="3"/>
      <c r="I60" s="203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5" t="s">
        <v>21</v>
      </c>
      <c r="B61" s="57">
        <f>Résultats!AH$102/1000000</f>
        <v>0.79078434909999995</v>
      </c>
      <c r="C61" s="57">
        <f>'T energie usages'!I92*3.2*Résultats!AH250</f>
        <v>16.287146105791198</v>
      </c>
      <c r="D61" s="57">
        <f>'T energie usages'!J92/'T energie usages'!J$98*(Résultats!AH$159+Résultats!AH$160+Résultats!AH$161)/1000000</f>
        <v>2.2678801215369031</v>
      </c>
      <c r="E61" s="57">
        <f>('T energie usages'!K92-8)*2.394*Résultats!AH251</f>
        <v>36.764436720489293</v>
      </c>
      <c r="F61" s="57">
        <v>0</v>
      </c>
      <c r="G61" s="196">
        <f t="shared" si="5"/>
        <v>56.110247296917393</v>
      </c>
      <c r="H61" s="3"/>
      <c r="I61" s="203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5" t="s">
        <v>22</v>
      </c>
      <c r="B62" s="57">
        <f>(Résultats!AH$135+Résultats!AH$136)/1000000</f>
        <v>0</v>
      </c>
      <c r="C62" s="57">
        <f>(Résultats!AH$155+Résultats!AH$156)/1000000</f>
        <v>6.1831413785999993</v>
      </c>
      <c r="D62" s="57">
        <f>'T energie usages'!J93/'T energie usages'!J$98*(Résultats!AH$159+Résultats!AH$160+Résultats!AH$161)/1000000</f>
        <v>1.9694303130742012</v>
      </c>
      <c r="E62" s="57">
        <f>(Résultats!AH$181+Résultats!AH$182)/1000000</f>
        <v>13.100530060000001</v>
      </c>
      <c r="F62" s="57">
        <v>0</v>
      </c>
      <c r="G62" s="196">
        <f t="shared" si="5"/>
        <v>21.253101751674201</v>
      </c>
      <c r="H62" s="3"/>
      <c r="I62" s="203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5" t="s">
        <v>23</v>
      </c>
      <c r="B63" s="57">
        <f>B64+B65</f>
        <v>11.029793805800002</v>
      </c>
      <c r="C63" s="57">
        <f>C64+C65</f>
        <v>54.752064388223197</v>
      </c>
      <c r="D63" s="57">
        <f>D64+D65</f>
        <v>1.7592880518774019</v>
      </c>
      <c r="E63" s="57">
        <f>E64+E65</f>
        <v>27.935926967124022</v>
      </c>
      <c r="F63" s="57">
        <f>F64+F65</f>
        <v>14.999189980000001</v>
      </c>
      <c r="G63" s="196">
        <f t="shared" si="5"/>
        <v>110.47626319302462</v>
      </c>
      <c r="H63" s="3"/>
      <c r="I63" s="203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8" t="s">
        <v>24</v>
      </c>
      <c r="B64" s="99">
        <f>(Résultats!AH$129+Résultats!AH$130+Résultats!AH$131+Résultats!AH$132+Résultats!AH$133+Résultats!AH$134)/1000000</f>
        <v>11.029793805800002</v>
      </c>
      <c r="C64" s="19">
        <f>(Résultats!AH$138+Résultats!AH$140+Résultats!AH$141+Résultats!AH$142+Résultats!AH$143+Résultats!AH$144+Résultats!AH$145+Résultats!AH$146+Résultats!AH$147+Résultats!AH$148+Résultats!AH$149)/1000000</f>
        <v>46.504268449223197</v>
      </c>
      <c r="D64" s="19">
        <f>'T energie usages'!J95/'T energie usages'!J$98*(Résultats!AH$159+Résultats!AH$160+Résultats!AH$161)/1000000</f>
        <v>1.7074797432062876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27.283709345124024</v>
      </c>
      <c r="F64" s="19">
        <f>Résultats!AH$100/1000000</f>
        <v>14.999189980000001</v>
      </c>
      <c r="G64" s="120">
        <f t="shared" si="5"/>
        <v>101.52444132335351</v>
      </c>
      <c r="H64" s="3"/>
      <c r="I64" s="203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8" t="s">
        <v>25</v>
      </c>
      <c r="B65" s="19">
        <v>0</v>
      </c>
      <c r="C65" s="19">
        <f>(Résultats!AH$139)/1000000</f>
        <v>8.2477959389999995</v>
      </c>
      <c r="D65" s="19">
        <f>'T energie usages'!J97/'T energie usages'!J$98*(Résultats!AH$159+Résultats!AH$160+Résultats!AH$161)/1000000</f>
        <v>5.1808308671114335E-2</v>
      </c>
      <c r="E65" s="19">
        <f>(Résultats!AH$163)/1000000</f>
        <v>0.652217622</v>
      </c>
      <c r="F65" s="19">
        <v>0</v>
      </c>
      <c r="G65" s="120">
        <f t="shared" si="5"/>
        <v>8.9518218696711145</v>
      </c>
      <c r="H65" s="3"/>
      <c r="I65" s="203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11.820578154900002</v>
      </c>
      <c r="C66" s="58">
        <f>SUM(C61:C63)+C58</f>
        <v>182.77933607584617</v>
      </c>
      <c r="D66" s="58">
        <f>SUM(D61:D63)+D58</f>
        <v>6.4735095741000004</v>
      </c>
      <c r="E66" s="58">
        <f>SUM(E61:E63)+E58</f>
        <v>81.124375913002979</v>
      </c>
      <c r="F66" s="58">
        <f>SUM(F61:F63)+F58</f>
        <v>14.999189980000001</v>
      </c>
      <c r="G66" s="204">
        <f t="shared" si="5"/>
        <v>297.19698969784918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8" t="s">
        <v>43</v>
      </c>
      <c r="B67" s="201">
        <f>(Résultats!AH$102+Résultats!AH$129+Résultats!AH$130+Résultats!AH$131+Résultats!AH$132+Résultats!AH$133+Résultats!AH$134+Résultats!AH$135+Résultats!AH$136)/1000000</f>
        <v>11.820578154900002</v>
      </c>
      <c r="C67" s="201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182.82100082312317</v>
      </c>
      <c r="D67" s="201">
        <f>(Résultats!AH$159+Résultats!AH$160+Résultats!AH$161)/1000000</f>
        <v>6.4735095740999995</v>
      </c>
      <c r="E67" s="200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68.096263672204032</v>
      </c>
      <c r="F67" s="201">
        <f>Résultats!AH$100/1000000</f>
        <v>14.999189980000001</v>
      </c>
      <c r="G67" s="202">
        <f t="shared" si="5"/>
        <v>284.21054220432723</v>
      </c>
      <c r="H67" s="3"/>
      <c r="I67" s="69"/>
      <c r="K67" s="24"/>
      <c r="L67" s="51"/>
    </row>
    <row r="68" spans="1:28" x14ac:dyDescent="0.25">
      <c r="A68" s="198"/>
      <c r="B68" s="198"/>
      <c r="C68" s="198"/>
      <c r="D68" s="198"/>
      <c r="E68" s="198"/>
      <c r="F68" s="198"/>
      <c r="G68" s="200">
        <f>Résultats!AH$194/1000000</f>
        <v>284.49336289999997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4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5" t="s">
        <v>18</v>
      </c>
      <c r="B71" s="57">
        <f>B72+B73</f>
        <v>0.40075131720000001</v>
      </c>
      <c r="C71" s="57">
        <f>C72+C73</f>
        <v>90.853239667046836</v>
      </c>
      <c r="D71" s="57">
        <f>D72+D73</f>
        <v>1.3324310567918565</v>
      </c>
      <c r="E71" s="57">
        <f>E72+E73</f>
        <v>5.1155097683709103</v>
      </c>
      <c r="F71" s="57">
        <f>F72+F73</f>
        <v>0</v>
      </c>
      <c r="G71" s="196">
        <f t="shared" ref="G71:G80" si="6">SUM(B71:F71)</f>
        <v>97.701931809409615</v>
      </c>
      <c r="H71" s="3"/>
      <c r="I71" s="3"/>
    </row>
    <row r="72" spans="1:28" x14ac:dyDescent="0.25">
      <c r="A72" s="177" t="s">
        <v>19</v>
      </c>
      <c r="B72" s="19">
        <f>Résultats!AF$118/1000000</f>
        <v>0.40075131720000001</v>
      </c>
      <c r="C72" s="19">
        <f>'T energie usages'!I116*3.2*Résultats!AW250</f>
        <v>32.515484127746831</v>
      </c>
      <c r="D72" s="19">
        <f>'T energie usages'!J116/'T energie usages'!J$124*(Résultats!AW$159+Résultats!AW$160+Résultats!AW$161)/1000000</f>
        <v>0.71013673173048464</v>
      </c>
      <c r="E72" s="19">
        <f>'T energie usages'!K116*2.394*Résultats!AW251</f>
        <v>1.0429500091052571E-4</v>
      </c>
      <c r="F72" s="19">
        <v>0</v>
      </c>
      <c r="G72" s="120">
        <f t="shared" si="6"/>
        <v>33.626476471678224</v>
      </c>
      <c r="H72" s="3"/>
      <c r="I72" s="3"/>
    </row>
    <row r="73" spans="1:28" x14ac:dyDescent="0.25">
      <c r="A73" s="178" t="s">
        <v>20</v>
      </c>
      <c r="B73" s="19">
        <v>0</v>
      </c>
      <c r="C73" s="19">
        <f>(Résultats!AW$150+Résultats!AW$151+Résultats!AW$152+Résultats!AW$153+Résultats!AW$154)/1000000</f>
        <v>58.337755539300005</v>
      </c>
      <c r="D73" s="19">
        <f>'T energie usages'!J117/'T energie usages'!J$124*(Résultats!AW$159+Résultats!AW$160+Résultats!AW$161)/1000000</f>
        <v>0.62229432506137183</v>
      </c>
      <c r="E73" s="19">
        <f>(Résultats!AW$176+Résultats!AW$177+Résultats!AW$178+Résultats!AW$179+Résultats!AW$180)/1000000</f>
        <v>5.1154054733700001</v>
      </c>
      <c r="F73" s="19">
        <v>0</v>
      </c>
      <c r="G73" s="120">
        <f t="shared" si="6"/>
        <v>64.075455337731384</v>
      </c>
      <c r="H73" s="3"/>
      <c r="I73" s="3"/>
    </row>
    <row r="74" spans="1:28" x14ac:dyDescent="0.25">
      <c r="A74" s="195" t="s">
        <v>21</v>
      </c>
      <c r="B74" s="57">
        <f>Résultats!AW$102/1000000</f>
        <v>0.69734873270000008</v>
      </c>
      <c r="C74" s="57">
        <f>'T energie usages'!I118*3.2*Résultats!AW250</f>
        <v>15.450681481658807</v>
      </c>
      <c r="D74" s="57">
        <f>'T energie usages'!J118/'T energie usages'!J$124*(Résultats!AW$159+Résultats!AW$160+Résultats!AW$161)/1000000</f>
        <v>3.925496430154082</v>
      </c>
      <c r="E74" s="57">
        <f>('T energie usages'!K118-8)*2.394*Résultats!AW251</f>
        <v>37.177449073846006</v>
      </c>
      <c r="F74" s="57">
        <v>0</v>
      </c>
      <c r="G74" s="196">
        <f t="shared" si="6"/>
        <v>57.250975718358895</v>
      </c>
      <c r="H74" s="3"/>
      <c r="I74" s="3"/>
    </row>
    <row r="75" spans="1:28" x14ac:dyDescent="0.25">
      <c r="A75" s="195" t="s">
        <v>22</v>
      </c>
      <c r="B75" s="57">
        <f>(Résultats!AW$135+Résultats!AW$136)/1000000</f>
        <v>0</v>
      </c>
      <c r="C75" s="57">
        <f>(Résultats!AW$155+Résultats!AW$156)/1000000</f>
        <v>5.4820821580999999</v>
      </c>
      <c r="D75" s="57">
        <f>'T energie usages'!J119/'T energie usages'!J$124*(Résultats!AW$159+Résultats!AW$160+Résultats!AW$161)/1000000</f>
        <v>2.7424962488396103</v>
      </c>
      <c r="E75" s="57">
        <f>(Résultats!AW$181+Résultats!AW$182)/1000000</f>
        <v>9.8991038700000011</v>
      </c>
      <c r="F75" s="57">
        <v>0</v>
      </c>
      <c r="G75" s="196">
        <f t="shared" si="6"/>
        <v>18.123682276939611</v>
      </c>
      <c r="H75" s="3"/>
      <c r="I75" s="3"/>
    </row>
    <row r="76" spans="1:28" x14ac:dyDescent="0.25">
      <c r="A76" s="195" t="s">
        <v>23</v>
      </c>
      <c r="B76" s="57">
        <f>B77+B78</f>
        <v>11.37878116818</v>
      </c>
      <c r="C76" s="57">
        <f>C77+C78</f>
        <v>62.791709450289837</v>
      </c>
      <c r="D76" s="57">
        <f>D77+D78</f>
        <v>3.5819117468144515</v>
      </c>
      <c r="E76" s="57">
        <f>E77+E78</f>
        <v>30.078785759120269</v>
      </c>
      <c r="F76" s="57">
        <f>F77+F78</f>
        <v>16.863470550000002</v>
      </c>
      <c r="G76" s="196">
        <f t="shared" si="6"/>
        <v>124.69465867440456</v>
      </c>
      <c r="H76" s="3"/>
      <c r="I76" s="3"/>
    </row>
    <row r="77" spans="1:28" x14ac:dyDescent="0.25">
      <c r="A77" s="178" t="s">
        <v>24</v>
      </c>
      <c r="B77" s="19">
        <f>(Résultats!AW$129+Résultats!AW$130+Résultats!AW$131+Résultats!AW$132+Résultats!AW$133+Résultats!AW$134)/1000000</f>
        <v>11.37878116818</v>
      </c>
      <c r="C77" s="19">
        <f>(Résultats!AW$138+Résultats!AW$140+Résultats!AW$141+Résultats!AW$142+Résultats!AW$143+Résultats!AW$144+Résultats!AW$145+Résultats!AW$146+Résultats!AW$147+Résultats!AW$148+Résultats!AW$149)/1000000</f>
        <v>52.285111250289837</v>
      </c>
      <c r="D77" s="19">
        <f>'T energie usages'!J121/'T energie usages'!J$124*(Résultats!AW$159+Résultats!AW$160+Résultats!AW$161)/1000000</f>
        <v>3.4798146952578906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29.323287201820268</v>
      </c>
      <c r="F77" s="19">
        <f>Résultats!AW$100/1000000</f>
        <v>16.863470550000002</v>
      </c>
      <c r="G77" s="120">
        <f t="shared" si="6"/>
        <v>113.330464865548</v>
      </c>
      <c r="H77" s="3"/>
      <c r="I77" s="3"/>
    </row>
    <row r="78" spans="1:28" x14ac:dyDescent="0.25">
      <c r="A78" s="178" t="s">
        <v>25</v>
      </c>
      <c r="B78" s="19">
        <v>0</v>
      </c>
      <c r="C78" s="19">
        <f>(Résultats!AW$139)/1000000</f>
        <v>10.506598199999999</v>
      </c>
      <c r="D78" s="19">
        <f>'T energie usages'!J123/'T energie usages'!J$124*(Résultats!AW$159+Résultats!AW$160+Résultats!AW$161)/1000000</f>
        <v>0.10209705155656097</v>
      </c>
      <c r="E78" s="19">
        <f>(Résultats!AW$163)/1000000</f>
        <v>0.75549855730000004</v>
      </c>
      <c r="F78" s="19">
        <v>0</v>
      </c>
      <c r="G78" s="120">
        <f t="shared" si="6"/>
        <v>11.364193808856559</v>
      </c>
      <c r="H78" s="3"/>
      <c r="I78" s="3"/>
    </row>
    <row r="79" spans="1:28" x14ac:dyDescent="0.25">
      <c r="A79" s="72" t="s">
        <v>41</v>
      </c>
      <c r="B79" s="58">
        <f>SUM(B74:B76)+B71</f>
        <v>12.476881218079999</v>
      </c>
      <c r="C79" s="58">
        <f>SUM(C74:C76)+C71</f>
        <v>174.57771275709547</v>
      </c>
      <c r="D79" s="58">
        <f>SUM(D74:D76)+D71</f>
        <v>11.5823354826</v>
      </c>
      <c r="E79" s="60">
        <f>SUM(E74:E76)+E71</f>
        <v>82.270848471337189</v>
      </c>
      <c r="F79" s="58">
        <f>SUM(F74:F76)+F71</f>
        <v>16.863470550000002</v>
      </c>
      <c r="G79" s="197">
        <f t="shared" si="6"/>
        <v>297.77124847911261</v>
      </c>
      <c r="H79" s="3"/>
      <c r="I79" s="3"/>
    </row>
    <row r="80" spans="1:28" x14ac:dyDescent="0.25">
      <c r="A80" s="198" t="s">
        <v>43</v>
      </c>
      <c r="B80" s="201">
        <f>(Résultats!AW$102+Résultats!AW$129+Résultats!AW$130+Résultats!AW$131+Résultats!AW$132+Résultats!AW$133+Résultats!AW$134+Résultats!AW$135+Résultats!AW$136)/1000000</f>
        <v>12.07612990088</v>
      </c>
      <c r="C80" s="201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174.60669878768982</v>
      </c>
      <c r="D80" s="201">
        <f>(Résultats!AW$159+Résultats!AW$160+Résultats!AW$161)/1000000</f>
        <v>11.5823354826</v>
      </c>
      <c r="E80" s="200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67.379993702490268</v>
      </c>
      <c r="F80" s="201">
        <f>Résultats!AW100/1000000</f>
        <v>16.863470550000002</v>
      </c>
      <c r="G80" s="202">
        <f t="shared" si="6"/>
        <v>282.50862842366007</v>
      </c>
      <c r="H80" s="3"/>
      <c r="I80" s="71"/>
    </row>
    <row r="81" spans="1:9" x14ac:dyDescent="0.25">
      <c r="A81" s="198"/>
      <c r="B81" s="201"/>
      <c r="C81" s="201"/>
      <c r="D81" s="201"/>
      <c r="E81" s="198"/>
      <c r="F81" s="198"/>
      <c r="G81" s="200">
        <f>Résultats!AW194/1000000</f>
        <v>282.50862810000001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179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30"/>
      <c r="E2" s="238">
        <f>Résultats!E1</f>
        <v>4</v>
      </c>
      <c r="F2" s="238">
        <f>Résultats!N1</f>
        <v>13</v>
      </c>
      <c r="G2" s="238">
        <f>F2+3</f>
        <v>16</v>
      </c>
      <c r="H2" s="238">
        <f t="shared" ref="H2:AA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 t="shared" si="0"/>
        <v>29</v>
      </c>
      <c r="U2" s="238">
        <f t="shared" si="0"/>
        <v>30</v>
      </c>
      <c r="V2" s="238">
        <f t="shared" si="0"/>
        <v>31</v>
      </c>
      <c r="W2" s="238">
        <f t="shared" si="0"/>
        <v>32</v>
      </c>
      <c r="X2" s="238">
        <f>S2+5</f>
        <v>33</v>
      </c>
      <c r="Y2" s="238">
        <f t="shared" si="0"/>
        <v>34</v>
      </c>
      <c r="Z2" s="238">
        <f t="shared" ref="Z2" si="1">U2+5</f>
        <v>35</v>
      </c>
      <c r="AA2" s="238">
        <f t="shared" si="0"/>
        <v>36</v>
      </c>
      <c r="AB2" s="238">
        <f t="shared" ref="AB2" si="2">W2+5</f>
        <v>37</v>
      </c>
      <c r="AC2" s="238">
        <f>X2+5</f>
        <v>38</v>
      </c>
      <c r="AD2" s="238">
        <f t="shared" ref="AD2:AG2" si="3">Y2+5</f>
        <v>39</v>
      </c>
      <c r="AE2" s="238">
        <f t="shared" si="3"/>
        <v>40</v>
      </c>
      <c r="AF2" s="238">
        <f t="shared" si="3"/>
        <v>41</v>
      </c>
      <c r="AG2" s="238">
        <f t="shared" si="3"/>
        <v>42</v>
      </c>
      <c r="AH2" s="238">
        <f>AC2+5</f>
        <v>43</v>
      </c>
      <c r="AI2" s="238">
        <f t="shared" ref="AI2:AL2" si="4">AD2+5</f>
        <v>44</v>
      </c>
      <c r="AJ2" s="238">
        <f t="shared" si="4"/>
        <v>45</v>
      </c>
      <c r="AK2" s="238">
        <f t="shared" si="4"/>
        <v>46</v>
      </c>
      <c r="AL2" s="238">
        <f t="shared" si="4"/>
        <v>47</v>
      </c>
      <c r="AM2" s="238">
        <f>AH2+5</f>
        <v>48</v>
      </c>
    </row>
    <row r="3" spans="1:39" ht="23.25" x14ac:dyDescent="0.35">
      <c r="B3" s="1"/>
      <c r="C3" s="229"/>
      <c r="D3" s="175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1" t="str">
        <f>Résultats!B1</f>
        <v>TEND</v>
      </c>
      <c r="C4" s="231" t="s">
        <v>181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1" t="s">
        <v>182</v>
      </c>
      <c r="D5" s="82" t="s">
        <v>186</v>
      </c>
      <c r="E5" s="184"/>
      <c r="F5" s="184"/>
      <c r="G5" s="184" t="e">
        <f t="shared" ref="G5:AM5" si="7">G4/1000</f>
        <v>#N/A</v>
      </c>
      <c r="H5" s="184" t="e">
        <f t="shared" si="7"/>
        <v>#N/A</v>
      </c>
      <c r="I5" s="184" t="e">
        <f t="shared" si="7"/>
        <v>#N/A</v>
      </c>
      <c r="J5" s="184" t="e">
        <f t="shared" si="7"/>
        <v>#N/A</v>
      </c>
      <c r="K5" s="184" t="e">
        <f t="shared" si="7"/>
        <v>#N/A</v>
      </c>
      <c r="L5" s="184" t="e">
        <f t="shared" si="7"/>
        <v>#N/A</v>
      </c>
      <c r="M5" s="184" t="e">
        <f t="shared" si="7"/>
        <v>#N/A</v>
      </c>
      <c r="N5" s="184" t="e">
        <f t="shared" si="7"/>
        <v>#N/A</v>
      </c>
      <c r="O5" s="184" t="e">
        <f t="shared" si="7"/>
        <v>#N/A</v>
      </c>
      <c r="P5" s="184" t="e">
        <f t="shared" si="7"/>
        <v>#N/A</v>
      </c>
      <c r="Q5" s="184" t="e">
        <f t="shared" si="7"/>
        <v>#N/A</v>
      </c>
      <c r="R5" s="184" t="e">
        <f t="shared" si="7"/>
        <v>#N/A</v>
      </c>
      <c r="S5" s="184" t="e">
        <f t="shared" si="7"/>
        <v>#N/A</v>
      </c>
      <c r="T5" s="184" t="e">
        <f t="shared" si="7"/>
        <v>#N/A</v>
      </c>
      <c r="U5" s="184" t="e">
        <f t="shared" si="7"/>
        <v>#N/A</v>
      </c>
      <c r="V5" s="184" t="e">
        <f t="shared" si="7"/>
        <v>#N/A</v>
      </c>
      <c r="W5" s="184" t="e">
        <f t="shared" si="7"/>
        <v>#N/A</v>
      </c>
      <c r="X5" s="184" t="e">
        <f t="shared" si="7"/>
        <v>#N/A</v>
      </c>
      <c r="Y5" s="184" t="e">
        <f t="shared" si="7"/>
        <v>#N/A</v>
      </c>
      <c r="Z5" s="184" t="e">
        <f t="shared" si="7"/>
        <v>#N/A</v>
      </c>
      <c r="AA5" s="184" t="e">
        <f t="shared" si="7"/>
        <v>#N/A</v>
      </c>
      <c r="AB5" s="184" t="e">
        <f t="shared" si="7"/>
        <v>#N/A</v>
      </c>
      <c r="AC5" s="184" t="e">
        <f t="shared" si="7"/>
        <v>#N/A</v>
      </c>
      <c r="AD5" s="184" t="e">
        <f t="shared" si="7"/>
        <v>#N/A</v>
      </c>
      <c r="AE5" s="184" t="e">
        <f t="shared" si="7"/>
        <v>#N/A</v>
      </c>
      <c r="AF5" s="184" t="e">
        <f t="shared" si="7"/>
        <v>#N/A</v>
      </c>
      <c r="AG5" s="184" t="e">
        <f t="shared" si="7"/>
        <v>#N/A</v>
      </c>
      <c r="AH5" s="184" t="e">
        <f t="shared" si="7"/>
        <v>#N/A</v>
      </c>
      <c r="AI5" s="184" t="e">
        <f t="shared" si="7"/>
        <v>#N/A</v>
      </c>
      <c r="AJ5" s="184" t="e">
        <f t="shared" si="7"/>
        <v>#N/A</v>
      </c>
      <c r="AK5" s="184" t="e">
        <f t="shared" si="7"/>
        <v>#N/A</v>
      </c>
      <c r="AL5" s="184" t="e">
        <f t="shared" si="7"/>
        <v>#N/A</v>
      </c>
      <c r="AM5" s="232" t="e">
        <f t="shared" si="7"/>
        <v>#N/A</v>
      </c>
    </row>
    <row r="6" spans="1:39" x14ac:dyDescent="0.25">
      <c r="C6" s="187" t="s">
        <v>183</v>
      </c>
      <c r="D6" s="3" t="s">
        <v>187</v>
      </c>
      <c r="E6" s="185"/>
      <c r="F6" s="185"/>
      <c r="G6" s="185" t="e">
        <f>G93</f>
        <v>#N/A</v>
      </c>
      <c r="H6" s="185" t="e">
        <f t="shared" ref="H6:AM6" si="8">H93</f>
        <v>#N/A</v>
      </c>
      <c r="I6" s="185" t="e">
        <f t="shared" si="8"/>
        <v>#N/A</v>
      </c>
      <c r="J6" s="185" t="e">
        <f t="shared" si="8"/>
        <v>#N/A</v>
      </c>
      <c r="K6" s="185" t="e">
        <f t="shared" si="8"/>
        <v>#N/A</v>
      </c>
      <c r="L6" s="185" t="e">
        <f t="shared" si="8"/>
        <v>#N/A</v>
      </c>
      <c r="M6" s="185" t="e">
        <f t="shared" si="8"/>
        <v>#N/A</v>
      </c>
      <c r="N6" s="185" t="e">
        <f t="shared" si="8"/>
        <v>#N/A</v>
      </c>
      <c r="O6" s="185" t="e">
        <f t="shared" si="8"/>
        <v>#N/A</v>
      </c>
      <c r="P6" s="185" t="e">
        <f t="shared" si="8"/>
        <v>#N/A</v>
      </c>
      <c r="Q6" s="185" t="e">
        <f t="shared" si="8"/>
        <v>#N/A</v>
      </c>
      <c r="R6" s="185" t="e">
        <f t="shared" si="8"/>
        <v>#N/A</v>
      </c>
      <c r="S6" s="185" t="e">
        <f t="shared" si="8"/>
        <v>#N/A</v>
      </c>
      <c r="T6" s="185" t="e">
        <f t="shared" si="8"/>
        <v>#N/A</v>
      </c>
      <c r="U6" s="185" t="e">
        <f t="shared" si="8"/>
        <v>#N/A</v>
      </c>
      <c r="V6" s="185" t="e">
        <f t="shared" si="8"/>
        <v>#N/A</v>
      </c>
      <c r="W6" s="185" t="e">
        <f t="shared" si="8"/>
        <v>#N/A</v>
      </c>
      <c r="X6" s="185" t="e">
        <f t="shared" si="8"/>
        <v>#N/A</v>
      </c>
      <c r="Y6" s="185" t="e">
        <f t="shared" si="8"/>
        <v>#N/A</v>
      </c>
      <c r="Z6" s="185" t="e">
        <f t="shared" si="8"/>
        <v>#N/A</v>
      </c>
      <c r="AA6" s="185" t="e">
        <f t="shared" si="8"/>
        <v>#N/A</v>
      </c>
      <c r="AB6" s="185" t="e">
        <f t="shared" si="8"/>
        <v>#N/A</v>
      </c>
      <c r="AC6" s="185" t="e">
        <f t="shared" si="8"/>
        <v>#N/A</v>
      </c>
      <c r="AD6" s="185" t="e">
        <f t="shared" si="8"/>
        <v>#N/A</v>
      </c>
      <c r="AE6" s="185" t="e">
        <f t="shared" si="8"/>
        <v>#N/A</v>
      </c>
      <c r="AF6" s="185" t="e">
        <f t="shared" si="8"/>
        <v>#N/A</v>
      </c>
      <c r="AG6" s="185" t="e">
        <f t="shared" si="8"/>
        <v>#N/A</v>
      </c>
      <c r="AH6" s="185" t="e">
        <f t="shared" si="8"/>
        <v>#N/A</v>
      </c>
      <c r="AI6" s="185" t="e">
        <f t="shared" si="8"/>
        <v>#N/A</v>
      </c>
      <c r="AJ6" s="185" t="e">
        <f t="shared" si="8"/>
        <v>#N/A</v>
      </c>
      <c r="AK6" s="185" t="e">
        <f t="shared" si="8"/>
        <v>#N/A</v>
      </c>
      <c r="AL6" s="185" t="e">
        <f t="shared" si="8"/>
        <v>#N/A</v>
      </c>
      <c r="AM6" s="233" t="e">
        <f t="shared" si="8"/>
        <v>#N/A</v>
      </c>
    </row>
    <row r="7" spans="1:39" x14ac:dyDescent="0.25">
      <c r="C7" s="234" t="s">
        <v>188</v>
      </c>
      <c r="D7" s="7" t="s">
        <v>211</v>
      </c>
      <c r="E7" s="235"/>
      <c r="F7" s="235"/>
      <c r="G7" s="235" t="e">
        <f>G101</f>
        <v>#N/A</v>
      </c>
      <c r="H7" s="235" t="e">
        <f t="shared" ref="H7:AM7" si="9">H101</f>
        <v>#N/A</v>
      </c>
      <c r="I7" s="235" t="e">
        <f t="shared" si="9"/>
        <v>#N/A</v>
      </c>
      <c r="J7" s="235" t="e">
        <f t="shared" si="9"/>
        <v>#N/A</v>
      </c>
      <c r="K7" s="235" t="e">
        <f t="shared" si="9"/>
        <v>#N/A</v>
      </c>
      <c r="L7" s="235" t="e">
        <f t="shared" si="9"/>
        <v>#N/A</v>
      </c>
      <c r="M7" s="235" t="e">
        <f t="shared" si="9"/>
        <v>#N/A</v>
      </c>
      <c r="N7" s="235" t="e">
        <f t="shared" si="9"/>
        <v>#N/A</v>
      </c>
      <c r="O7" s="235" t="e">
        <f t="shared" si="9"/>
        <v>#N/A</v>
      </c>
      <c r="P7" s="235" t="e">
        <f t="shared" si="9"/>
        <v>#N/A</v>
      </c>
      <c r="Q7" s="235" t="e">
        <f t="shared" si="9"/>
        <v>#N/A</v>
      </c>
      <c r="R7" s="235" t="e">
        <f t="shared" si="9"/>
        <v>#N/A</v>
      </c>
      <c r="S7" s="235" t="e">
        <f t="shared" si="9"/>
        <v>#N/A</v>
      </c>
      <c r="T7" s="235" t="e">
        <f t="shared" si="9"/>
        <v>#N/A</v>
      </c>
      <c r="U7" s="235" t="e">
        <f t="shared" si="9"/>
        <v>#N/A</v>
      </c>
      <c r="V7" s="235" t="e">
        <f t="shared" si="9"/>
        <v>#N/A</v>
      </c>
      <c r="W7" s="235" t="e">
        <f t="shared" si="9"/>
        <v>#N/A</v>
      </c>
      <c r="X7" s="235" t="e">
        <f t="shared" si="9"/>
        <v>#N/A</v>
      </c>
      <c r="Y7" s="235" t="e">
        <f t="shared" si="9"/>
        <v>#N/A</v>
      </c>
      <c r="Z7" s="235" t="e">
        <f t="shared" si="9"/>
        <v>#N/A</v>
      </c>
      <c r="AA7" s="235" t="e">
        <f t="shared" si="9"/>
        <v>#N/A</v>
      </c>
      <c r="AB7" s="235" t="e">
        <f t="shared" si="9"/>
        <v>#N/A</v>
      </c>
      <c r="AC7" s="235" t="e">
        <f t="shared" si="9"/>
        <v>#N/A</v>
      </c>
      <c r="AD7" s="235" t="e">
        <f t="shared" si="9"/>
        <v>#N/A</v>
      </c>
      <c r="AE7" s="235" t="e">
        <f t="shared" si="9"/>
        <v>#N/A</v>
      </c>
      <c r="AF7" s="235" t="e">
        <f t="shared" si="9"/>
        <v>#N/A</v>
      </c>
      <c r="AG7" s="235" t="e">
        <f t="shared" si="9"/>
        <v>#N/A</v>
      </c>
      <c r="AH7" s="235" t="e">
        <f t="shared" si="9"/>
        <v>#N/A</v>
      </c>
      <c r="AI7" s="235" t="e">
        <f t="shared" si="9"/>
        <v>#N/A</v>
      </c>
      <c r="AJ7" s="235" t="e">
        <f t="shared" si="9"/>
        <v>#N/A</v>
      </c>
      <c r="AK7" s="235" t="e">
        <f t="shared" si="9"/>
        <v>#N/A</v>
      </c>
      <c r="AL7" s="235" t="e">
        <f t="shared" si="9"/>
        <v>#N/A</v>
      </c>
      <c r="AM7" s="236" t="e">
        <f t="shared" si="9"/>
        <v>#N/A</v>
      </c>
    </row>
    <row r="8" spans="1:39" x14ac:dyDescent="0.25">
      <c r="C8" s="182" t="s">
        <v>180</v>
      </c>
      <c r="E8" s="183"/>
      <c r="F8" s="183"/>
      <c r="G8" s="183" t="e">
        <f>SUM(G6:G7)</f>
        <v>#N/A</v>
      </c>
      <c r="H8" s="183" t="e">
        <f t="shared" ref="H8:AM8" si="10">SUM(H6:H7)</f>
        <v>#N/A</v>
      </c>
      <c r="I8" s="183" t="e">
        <f t="shared" si="10"/>
        <v>#N/A</v>
      </c>
      <c r="J8" s="183" t="e">
        <f t="shared" si="10"/>
        <v>#N/A</v>
      </c>
      <c r="K8" s="183" t="e">
        <f t="shared" si="10"/>
        <v>#N/A</v>
      </c>
      <c r="L8" s="183" t="e">
        <f t="shared" si="10"/>
        <v>#N/A</v>
      </c>
      <c r="M8" s="183" t="e">
        <f t="shared" si="10"/>
        <v>#N/A</v>
      </c>
      <c r="N8" s="183" t="e">
        <f t="shared" si="10"/>
        <v>#N/A</v>
      </c>
      <c r="O8" s="183" t="e">
        <f t="shared" si="10"/>
        <v>#N/A</v>
      </c>
      <c r="P8" s="183" t="e">
        <f t="shared" si="10"/>
        <v>#N/A</v>
      </c>
      <c r="Q8" s="183" t="e">
        <f t="shared" si="10"/>
        <v>#N/A</v>
      </c>
      <c r="R8" s="183" t="e">
        <f t="shared" si="10"/>
        <v>#N/A</v>
      </c>
      <c r="S8" s="183" t="e">
        <f t="shared" si="10"/>
        <v>#N/A</v>
      </c>
      <c r="T8" s="183" t="e">
        <f t="shared" si="10"/>
        <v>#N/A</v>
      </c>
      <c r="U8" s="183" t="e">
        <f t="shared" si="10"/>
        <v>#N/A</v>
      </c>
      <c r="V8" s="183" t="e">
        <f t="shared" si="10"/>
        <v>#N/A</v>
      </c>
      <c r="W8" s="183" t="e">
        <f t="shared" si="10"/>
        <v>#N/A</v>
      </c>
      <c r="X8" s="183" t="e">
        <f t="shared" si="10"/>
        <v>#N/A</v>
      </c>
      <c r="Y8" s="183" t="e">
        <f t="shared" si="10"/>
        <v>#N/A</v>
      </c>
      <c r="Z8" s="183" t="e">
        <f t="shared" si="10"/>
        <v>#N/A</v>
      </c>
      <c r="AA8" s="183" t="e">
        <f t="shared" si="10"/>
        <v>#N/A</v>
      </c>
      <c r="AB8" s="183" t="e">
        <f t="shared" si="10"/>
        <v>#N/A</v>
      </c>
      <c r="AC8" s="183" t="e">
        <f t="shared" si="10"/>
        <v>#N/A</v>
      </c>
      <c r="AD8" s="183" t="e">
        <f t="shared" si="10"/>
        <v>#N/A</v>
      </c>
      <c r="AE8" s="183" t="e">
        <f t="shared" si="10"/>
        <v>#N/A</v>
      </c>
      <c r="AF8" s="183" t="e">
        <f t="shared" si="10"/>
        <v>#N/A</v>
      </c>
      <c r="AG8" s="183" t="e">
        <f t="shared" si="10"/>
        <v>#N/A</v>
      </c>
      <c r="AH8" s="183" t="e">
        <f t="shared" si="10"/>
        <v>#N/A</v>
      </c>
      <c r="AI8" s="183" t="e">
        <f t="shared" si="10"/>
        <v>#N/A</v>
      </c>
      <c r="AJ8" s="183" t="e">
        <f t="shared" si="10"/>
        <v>#N/A</v>
      </c>
      <c r="AK8" s="183" t="e">
        <f t="shared" si="10"/>
        <v>#N/A</v>
      </c>
      <c r="AL8" s="183" t="e">
        <f t="shared" si="10"/>
        <v>#N/A</v>
      </c>
      <c r="AM8" s="183" t="e">
        <f t="shared" si="10"/>
        <v>#N/A</v>
      </c>
    </row>
    <row r="12" spans="1:39" x14ac:dyDescent="0.25">
      <c r="C12" s="186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7" t="s">
        <v>183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8" t="s">
        <v>169</v>
      </c>
      <c r="E14" s="189"/>
      <c r="F14" s="189"/>
      <c r="G14" s="189"/>
      <c r="H14" s="189"/>
      <c r="I14" s="189" t="e">
        <f>I93</f>
        <v>#N/A</v>
      </c>
      <c r="J14" s="189" t="e">
        <f>S93</f>
        <v>#N/A</v>
      </c>
      <c r="K14" s="189" t="e">
        <f>AM93</f>
        <v>#N/A</v>
      </c>
    </row>
    <row r="15" spans="1:39" x14ac:dyDescent="0.25">
      <c r="C15" s="187" t="s">
        <v>184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8" t="s">
        <v>166</v>
      </c>
      <c r="E16" s="190"/>
      <c r="F16" s="190"/>
      <c r="G16" s="190"/>
      <c r="H16" s="190"/>
      <c r="I16" s="190" t="e">
        <f>I102+I103</f>
        <v>#N/A</v>
      </c>
      <c r="J16" s="190" t="e">
        <f>S102+S103</f>
        <v>#N/A</v>
      </c>
      <c r="K16" s="190" t="e">
        <f>AM102+AM103</f>
        <v>#N/A</v>
      </c>
    </row>
    <row r="17" spans="1:39" x14ac:dyDescent="0.25">
      <c r="C17" s="191" t="s">
        <v>167</v>
      </c>
      <c r="E17" s="189"/>
      <c r="F17" s="189"/>
      <c r="G17" s="189"/>
      <c r="H17" s="189"/>
      <c r="I17" s="189" t="e">
        <f>I104+I105+I106</f>
        <v>#N/A</v>
      </c>
      <c r="J17" s="189" t="e">
        <f>S104+S105+S106</f>
        <v>#N/A</v>
      </c>
      <c r="K17" s="189" t="e">
        <f>AM104+AM105+AM106</f>
        <v>#N/A</v>
      </c>
    </row>
    <row r="18" spans="1:39" x14ac:dyDescent="0.25">
      <c r="C18" s="191" t="s">
        <v>168</v>
      </c>
      <c r="E18" s="189"/>
      <c r="F18" s="189"/>
      <c r="G18" s="189"/>
      <c r="H18" s="189"/>
      <c r="I18" s="189" t="e">
        <f>I107+I108</f>
        <v>#N/A</v>
      </c>
      <c r="J18" s="189" t="e">
        <f>S107+S108</f>
        <v>#N/A</v>
      </c>
      <c r="K18" s="189" t="e">
        <f>AM107+AM108</f>
        <v>#N/A</v>
      </c>
    </row>
    <row r="19" spans="1:39" x14ac:dyDescent="0.25">
      <c r="C19" s="192" t="s">
        <v>180</v>
      </c>
      <c r="E19" s="193"/>
      <c r="F19" s="193"/>
      <c r="G19" s="193"/>
      <c r="H19" s="193"/>
      <c r="I19" s="193" t="e">
        <f>SUM(I16:I18)</f>
        <v>#N/A</v>
      </c>
      <c r="J19" s="193" t="e">
        <f>SUM(J16:J18)</f>
        <v>#N/A</v>
      </c>
      <c r="K19" s="193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189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1" t="str">
        <f>Résultats!B1</f>
        <v>TEND</v>
      </c>
      <c r="B26" s="23" t="s">
        <v>190</v>
      </c>
      <c r="C26" s="74" t="s">
        <v>161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118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119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191</v>
      </c>
      <c r="C44" s="82" t="s">
        <v>162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162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118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119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192</v>
      </c>
      <c r="C69" s="74" t="s">
        <v>161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118</v>
      </c>
      <c r="D70" s="76" t="s">
        <v>194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195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196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197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198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199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200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201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119</v>
      </c>
      <c r="D78" s="76" t="s">
        <v>202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203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204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205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206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207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208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209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193</v>
      </c>
      <c r="C87" s="82" t="s">
        <v>162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210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211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187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212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162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118</v>
      </c>
      <c r="D93" s="3" t="s">
        <v>187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213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214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215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216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217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218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219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119</v>
      </c>
      <c r="D101" s="76" t="s">
        <v>211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220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221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222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223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224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225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226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8">
        <f>'T energie vecteurs'!E5</f>
        <v>4</v>
      </c>
      <c r="F2" s="238">
        <f>E2+9</f>
        <v>13</v>
      </c>
      <c r="G2" s="238">
        <f>F2+3</f>
        <v>16</v>
      </c>
      <c r="H2" s="238">
        <f t="shared" ref="H2:S2" si="0">G2+1</f>
        <v>17</v>
      </c>
      <c r="I2" s="238">
        <f t="shared" si="0"/>
        <v>18</v>
      </c>
      <c r="J2" s="238">
        <f t="shared" si="0"/>
        <v>19</v>
      </c>
      <c r="K2" s="238">
        <f t="shared" si="0"/>
        <v>20</v>
      </c>
      <c r="L2" s="238">
        <f t="shared" si="0"/>
        <v>21</v>
      </c>
      <c r="M2" s="238">
        <f t="shared" si="0"/>
        <v>22</v>
      </c>
      <c r="N2" s="238">
        <f t="shared" si="0"/>
        <v>23</v>
      </c>
      <c r="O2" s="238">
        <f t="shared" si="0"/>
        <v>24</v>
      </c>
      <c r="P2" s="238">
        <f t="shared" si="0"/>
        <v>25</v>
      </c>
      <c r="Q2" s="238">
        <f t="shared" si="0"/>
        <v>26</v>
      </c>
      <c r="R2" s="238">
        <f t="shared" si="0"/>
        <v>27</v>
      </c>
      <c r="S2" s="238">
        <f t="shared" si="0"/>
        <v>28</v>
      </c>
      <c r="T2" s="238">
        <f>S2+5</f>
        <v>33</v>
      </c>
      <c r="U2" s="238">
        <f>T2+5</f>
        <v>38</v>
      </c>
      <c r="V2" s="238">
        <f>U2+5</f>
        <v>43</v>
      </c>
      <c r="W2" s="238">
        <f>V2+5</f>
        <v>48</v>
      </c>
    </row>
    <row r="3" spans="1:38" ht="23.25" x14ac:dyDescent="0.35">
      <c r="A3" s="240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4" t="str">
        <f>Résultats!B1</f>
        <v>TEND</v>
      </c>
      <c r="B4" s="239" t="s">
        <v>246</v>
      </c>
      <c r="C4" s="5" t="s">
        <v>238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1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1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1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1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1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1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1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2" t="s">
        <v>247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248</v>
      </c>
    </row>
    <row r="16" spans="1:38" x14ac:dyDescent="0.25">
      <c r="A16" s="3"/>
      <c r="B16" s="241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1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164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1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165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1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170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1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7" t="s">
        <v>238</v>
      </c>
      <c r="Z20" s="228" t="e">
        <f>SUM(Z17:Z19)</f>
        <v>#N/A</v>
      </c>
      <c r="AA20" s="228" t="e">
        <f t="shared" ref="AA20:AB20" si="8">SUM(AA17:AA19)</f>
        <v>#N/A</v>
      </c>
      <c r="AB20" s="228" t="e">
        <f t="shared" si="8"/>
        <v>#N/A</v>
      </c>
    </row>
    <row r="21" spans="1:28" x14ac:dyDescent="0.25">
      <c r="A21" s="3"/>
      <c r="B21" s="241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1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Graphique1</vt:lpstr>
      <vt:lpstr>Graphique2</vt:lpstr>
      <vt:lpstr>Graphique3</vt:lpstr>
      <vt:lpstr>Graphique4</vt:lpstr>
      <vt:lpstr>Graphique5</vt:lpstr>
      <vt:lpstr>Graphique6</vt:lpstr>
      <vt:lpstr>Graphique7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2025-03-13T10:37:53Z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2025-03-13T10:37:52Z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1f0fdedd-8d82-4f74-8cf9-d75270dcc93d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